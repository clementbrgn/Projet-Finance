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checkCompatibility="1" defaultThemeVersion="124226"/>
  <xr:revisionPtr revIDLastSave="0" documentId="13_ncr:1_{566A277B-C5F8-4A79-A07A-622E6569145F}" xr6:coauthVersionLast="47" xr6:coauthVersionMax="47" xr10:uidLastSave="{00000000-0000-0000-0000-000000000000}"/>
  <bookViews>
    <workbookView xWindow="-108" yWindow="-108" windowWidth="23256" windowHeight="12456" firstSheet="3" activeTab="3" xr2:uid="{AC446B55-E2DA-497B-A2DB-DAC262103982}"/>
  </bookViews>
  <sheets>
    <sheet name="Question 1abd" sheetId="17" r:id="rId1"/>
    <sheet name="Question 1c" sheetId="27" r:id="rId2"/>
    <sheet name="Question 1d" sheetId="29" r:id="rId3"/>
    <sheet name="Question 2" sheetId="20" r:id="rId4"/>
    <sheet name="Question 3" sheetId="34" r:id="rId5"/>
    <sheet name="Question 4" sheetId="25" r:id="rId6"/>
    <sheet name="Question 5a" sheetId="26" r:id="rId7"/>
    <sheet name="Question 5 Bi" sheetId="31" r:id="rId8"/>
    <sheet name="Question 5 Bii" sheetId="32" r:id="rId9"/>
    <sheet name="Question 5 Biii" sheetId="33" r:id="rId10"/>
  </sheets>
  <functionGroups builtInGroupCount="19"/>
  <definedNames>
    <definedName name="_xleta.NORMDIST" hidden="1" xlm="1">#NAME?</definedName>
    <definedName name="_xleta.NORMSDIS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 i="20" l="1"/>
  <c r="J29" i="20"/>
  <c r="I29" i="20"/>
  <c r="B19" i="26"/>
  <c r="C34" i="20"/>
  <c r="M10" i="34" l="1"/>
  <c r="M5" i="34"/>
  <c r="F37" i="34"/>
  <c r="E37" i="34"/>
  <c r="E38" i="34"/>
  <c r="F36" i="34"/>
  <c r="F35" i="34"/>
  <c r="E36" i="34"/>
  <c r="E35" i="34"/>
  <c r="F31" i="34"/>
  <c r="E31" i="34"/>
  <c r="F29" i="34"/>
  <c r="F28" i="34"/>
  <c r="E28" i="34"/>
  <c r="E29" i="34"/>
  <c r="E25" i="34"/>
  <c r="E23" i="34"/>
  <c r="E16" i="34"/>
  <c r="E19" i="34"/>
  <c r="H18" i="34"/>
  <c r="H17" i="34"/>
  <c r="E24" i="34" l="1"/>
  <c r="B4" i="34" l="1"/>
  <c r="N73" i="25"/>
  <c r="N71" i="25"/>
  <c r="N57" i="25"/>
  <c r="K59" i="25"/>
  <c r="K58" i="25"/>
  <c r="L59" i="25"/>
  <c r="M59" i="25" s="1"/>
  <c r="L60" i="25"/>
  <c r="M60" i="25" s="1"/>
  <c r="L61" i="25"/>
  <c r="M61" i="25" s="1"/>
  <c r="L62" i="25"/>
  <c r="M62" i="25" s="1"/>
  <c r="L63" i="25"/>
  <c r="M63" i="25" s="1"/>
  <c r="L64" i="25"/>
  <c r="M64" i="25" s="1"/>
  <c r="L65" i="25"/>
  <c r="M65" i="25" s="1"/>
  <c r="L66" i="25"/>
  <c r="M66" i="25" s="1"/>
  <c r="L67" i="25"/>
  <c r="M67" i="25" s="1"/>
  <c r="L68" i="25"/>
  <c r="M68" i="25" s="1"/>
  <c r="L69" i="25"/>
  <c r="M69" i="25" s="1"/>
  <c r="L58" i="25"/>
  <c r="M58" i="25" s="1"/>
  <c r="B58" i="25"/>
  <c r="B59" i="25" s="1"/>
  <c r="B60" i="25" s="1"/>
  <c r="B61" i="25" s="1"/>
  <c r="B62" i="25" s="1"/>
  <c r="B63" i="25" s="1"/>
  <c r="B64" i="25" s="1"/>
  <c r="B65" i="25" s="1"/>
  <c r="B66" i="25" s="1"/>
  <c r="B67" i="25" s="1"/>
  <c r="B68" i="25" s="1"/>
  <c r="B69" i="25" s="1"/>
  <c r="A58" i="25"/>
  <c r="A59" i="25" s="1"/>
  <c r="H54" i="25"/>
  <c r="B34" i="25"/>
  <c r="B35" i="25" s="1"/>
  <c r="B36" i="25" s="1"/>
  <c r="B37" i="25" s="1"/>
  <c r="B38" i="25" s="1"/>
  <c r="B39" i="25" s="1"/>
  <c r="B40" i="25" s="1"/>
  <c r="B41" i="25" s="1"/>
  <c r="B42" i="25" s="1"/>
  <c r="B43" i="25" s="1"/>
  <c r="B44" i="25" s="1"/>
  <c r="B45" i="25" s="1"/>
  <c r="A34" i="25"/>
  <c r="A35" i="25" s="1"/>
  <c r="H30" i="25"/>
  <c r="G5" i="25"/>
  <c r="A5" i="25"/>
  <c r="H5" i="25" s="1"/>
  <c r="I5" i="25" s="1"/>
  <c r="J5" i="25" s="1"/>
  <c r="K5" i="25" s="1"/>
  <c r="B18" i="26"/>
  <c r="B17" i="26"/>
  <c r="B16" i="26"/>
  <c r="O8" i="33"/>
  <c r="O7" i="33"/>
  <c r="L7" i="33"/>
  <c r="I7" i="33"/>
  <c r="O6" i="33"/>
  <c r="M5" i="33"/>
  <c r="O5" i="33" s="1"/>
  <c r="H5" i="33"/>
  <c r="P4" i="33"/>
  <c r="O4" i="33"/>
  <c r="J4" i="33"/>
  <c r="O3" i="33"/>
  <c r="Q3" i="33" s="1"/>
  <c r="Q4" i="33" s="1"/>
  <c r="K3" i="33"/>
  <c r="O8" i="32"/>
  <c r="O7" i="32"/>
  <c r="L7" i="32"/>
  <c r="I7" i="32"/>
  <c r="O6" i="32"/>
  <c r="M5" i="32"/>
  <c r="O5" i="32" s="1"/>
  <c r="H5" i="32"/>
  <c r="P4" i="32"/>
  <c r="O4" i="32"/>
  <c r="J4" i="32"/>
  <c r="O3" i="32"/>
  <c r="Q3" i="32" s="1"/>
  <c r="K3" i="32"/>
  <c r="Q8" i="26"/>
  <c r="Q3" i="31"/>
  <c r="Q4" i="31" s="1"/>
  <c r="Q5" i="31" s="1"/>
  <c r="Q6" i="31" s="1"/>
  <c r="Q7" i="31" s="1"/>
  <c r="O3" i="31"/>
  <c r="O4" i="31"/>
  <c r="O5" i="31"/>
  <c r="O7" i="31"/>
  <c r="O8" i="31"/>
  <c r="O6" i="31"/>
  <c r="O6" i="26"/>
  <c r="L7" i="31"/>
  <c r="I7" i="31"/>
  <c r="M5" i="31"/>
  <c r="H5" i="31"/>
  <c r="P4" i="31"/>
  <c r="J4" i="31"/>
  <c r="K3" i="31"/>
  <c r="P9" i="26"/>
  <c r="P4" i="26"/>
  <c r="M5" i="26"/>
  <c r="L7" i="26"/>
  <c r="K3" i="26"/>
  <c r="J4" i="26"/>
  <c r="I7" i="26"/>
  <c r="H5" i="26"/>
  <c r="J23" i="20"/>
  <c r="J24" i="20"/>
  <c r="J25" i="20"/>
  <c r="J26" i="20"/>
  <c r="J22" i="20"/>
  <c r="H23" i="20"/>
  <c r="H24" i="20"/>
  <c r="H25" i="20"/>
  <c r="H26" i="20"/>
  <c r="H22" i="20"/>
  <c r="J21" i="20"/>
  <c r="H21" i="20"/>
  <c r="J20" i="20"/>
  <c r="H20" i="20"/>
  <c r="C20" i="20"/>
  <c r="C19" i="20"/>
  <c r="C18" i="20"/>
  <c r="C17" i="20"/>
  <c r="C16" i="20"/>
  <c r="C12" i="20"/>
  <c r="C13" i="20" s="1"/>
  <c r="B5" i="34" l="1"/>
  <c r="G4" i="34"/>
  <c r="H4" i="34" s="1"/>
  <c r="I4" i="34" s="1"/>
  <c r="K4" i="34"/>
  <c r="A6" i="25"/>
  <c r="A60" i="25"/>
  <c r="H59" i="25"/>
  <c r="J59" i="25" s="1"/>
  <c r="G59" i="25"/>
  <c r="H58" i="25"/>
  <c r="J58" i="25" s="1"/>
  <c r="N58" i="25" s="1"/>
  <c r="G58" i="25"/>
  <c r="I58" i="25" s="1"/>
  <c r="A36" i="25"/>
  <c r="H35" i="25"/>
  <c r="I35" i="25" s="1"/>
  <c r="J35" i="25" s="1"/>
  <c r="K35" i="25" s="1"/>
  <c r="G35" i="25"/>
  <c r="G34" i="25"/>
  <c r="H34" i="25"/>
  <c r="Q5" i="33"/>
  <c r="Q6" i="33" s="1"/>
  <c r="Q7" i="33" s="1"/>
  <c r="Q8" i="33" s="1"/>
  <c r="Q4" i="32"/>
  <c r="Q5" i="32" s="1"/>
  <c r="Q6" i="32" s="1"/>
  <c r="Q7" i="32" s="1"/>
  <c r="Q8" i="32" s="1"/>
  <c r="P9" i="32"/>
  <c r="P10" i="32" s="1"/>
  <c r="P9" i="31"/>
  <c r="P10" i="31" s="1"/>
  <c r="Q8" i="31"/>
  <c r="P10" i="26"/>
  <c r="H8" i="20"/>
  <c r="G8" i="20"/>
  <c r="F8" i="20"/>
  <c r="G13" i="17"/>
  <c r="F13" i="17"/>
  <c r="B109" i="29"/>
  <c r="B107" i="29"/>
  <c r="C110" i="29"/>
  <c r="C108" i="29"/>
  <c r="C106" i="29"/>
  <c r="D111" i="29"/>
  <c r="D109" i="29"/>
  <c r="D107" i="29"/>
  <c r="D105" i="29"/>
  <c r="AE130" i="29"/>
  <c r="AE122" i="29"/>
  <c r="AE120" i="29"/>
  <c r="AE118" i="29"/>
  <c r="AE116" i="29"/>
  <c r="AE114" i="29"/>
  <c r="AE112" i="29"/>
  <c r="AE106" i="29"/>
  <c r="AE104" i="29"/>
  <c r="AE96" i="29"/>
  <c r="AE88" i="29"/>
  <c r="AE86" i="29"/>
  <c r="AE84" i="29"/>
  <c r="AE82" i="29"/>
  <c r="AE80" i="29"/>
  <c r="AE78" i="29"/>
  <c r="A45" i="29"/>
  <c r="B9" i="29"/>
  <c r="B6" i="29"/>
  <c r="B5" i="29"/>
  <c r="B4" i="29"/>
  <c r="B2" i="29"/>
  <c r="AE138" i="29" s="1"/>
  <c r="G1" i="29"/>
  <c r="G2" i="29" s="1"/>
  <c r="E112" i="27"/>
  <c r="E110" i="27"/>
  <c r="E108" i="27"/>
  <c r="E106" i="27"/>
  <c r="E104" i="27"/>
  <c r="B6" i="27"/>
  <c r="B5" i="27"/>
  <c r="B4" i="27"/>
  <c r="B2" i="27"/>
  <c r="A45" i="27"/>
  <c r="B9" i="27"/>
  <c r="G1" i="27"/>
  <c r="G2" i="27" s="1"/>
  <c r="C17" i="17"/>
  <c r="C16" i="17"/>
  <c r="C19" i="17"/>
  <c r="C20" i="17"/>
  <c r="C14" i="17"/>
  <c r="E6" i="17"/>
  <c r="C15" i="17" s="1"/>
  <c r="C21" i="17" s="1"/>
  <c r="E5" i="17"/>
  <c r="E4" i="17"/>
  <c r="E3" i="17"/>
  <c r="L4" i="34" l="1"/>
  <c r="J4" i="34"/>
  <c r="B6" i="34"/>
  <c r="K5" i="34"/>
  <c r="G5" i="34"/>
  <c r="H5" i="34" s="1"/>
  <c r="I5" i="34" s="1"/>
  <c r="I59" i="25"/>
  <c r="N59" i="25" s="1"/>
  <c r="A7" i="25"/>
  <c r="G6" i="25"/>
  <c r="H6" i="25"/>
  <c r="I6" i="25" s="1"/>
  <c r="J6" i="25" s="1"/>
  <c r="K6" i="25" s="1"/>
  <c r="G60" i="25"/>
  <c r="I60" i="25" s="1"/>
  <c r="K60" i="25"/>
  <c r="L35" i="25"/>
  <c r="M35" i="25" s="1"/>
  <c r="A61" i="25"/>
  <c r="K61" i="25" s="1"/>
  <c r="H60" i="25"/>
  <c r="J60" i="25" s="1"/>
  <c r="I34" i="25"/>
  <c r="J34" i="25" s="1"/>
  <c r="H36" i="25"/>
  <c r="A37" i="25"/>
  <c r="G36" i="25"/>
  <c r="P9" i="33"/>
  <c r="P10" i="33" s="1"/>
  <c r="G3" i="29"/>
  <c r="B44" i="29"/>
  <c r="C43" i="29"/>
  <c r="D42" i="29" s="1"/>
  <c r="E41" i="29" s="1"/>
  <c r="E104" i="29" s="1"/>
  <c r="G4" i="29"/>
  <c r="B46" i="29"/>
  <c r="C47" i="29" s="1"/>
  <c r="D48" i="29" s="1"/>
  <c r="E49" i="29" s="1"/>
  <c r="E112" i="29" s="1"/>
  <c r="AE90" i="29"/>
  <c r="AE124" i="29"/>
  <c r="AE92" i="29"/>
  <c r="AE126" i="29"/>
  <c r="AE94" i="29"/>
  <c r="AE108" i="29"/>
  <c r="AE128" i="29"/>
  <c r="AE98" i="29"/>
  <c r="AE132" i="29"/>
  <c r="AE100" i="29"/>
  <c r="AE134" i="29"/>
  <c r="AE102" i="29"/>
  <c r="AE136" i="29"/>
  <c r="AE110" i="29"/>
  <c r="B44" i="27"/>
  <c r="C43" i="27" s="1"/>
  <c r="D42" i="27" s="1"/>
  <c r="E41" i="27" s="1"/>
  <c r="AE78" i="27" s="1"/>
  <c r="G3" i="27"/>
  <c r="B46" i="27" s="1"/>
  <c r="C24" i="17"/>
  <c r="C25" i="17" s="1"/>
  <c r="C26" i="17" s="1"/>
  <c r="C27" i="17" s="1"/>
  <c r="J5" i="34" l="1"/>
  <c r="L5" i="34"/>
  <c r="B7" i="34"/>
  <c r="K6" i="34"/>
  <c r="G6" i="34"/>
  <c r="H6" i="34" s="1"/>
  <c r="I6" i="34" s="1"/>
  <c r="N60" i="25"/>
  <c r="K34" i="25"/>
  <c r="L34" i="25"/>
  <c r="M34" i="25" s="1"/>
  <c r="G7" i="25"/>
  <c r="H7" i="25"/>
  <c r="I7" i="25" s="1"/>
  <c r="J7" i="25" s="1"/>
  <c r="K7" i="25" s="1"/>
  <c r="A8" i="25"/>
  <c r="H61" i="25"/>
  <c r="J61" i="25" s="1"/>
  <c r="A62" i="25"/>
  <c r="K62" i="25" s="1"/>
  <c r="G61" i="25"/>
  <c r="I61" i="25" s="1"/>
  <c r="A38" i="25"/>
  <c r="H37" i="25"/>
  <c r="G37" i="25"/>
  <c r="I36" i="25"/>
  <c r="J36" i="25" s="1"/>
  <c r="C45" i="29"/>
  <c r="D44" i="29" s="1"/>
  <c r="E43" i="29" s="1"/>
  <c r="E106" i="29" s="1"/>
  <c r="D46" i="29"/>
  <c r="E45" i="29" s="1"/>
  <c r="E108" i="29" s="1"/>
  <c r="E47" i="29"/>
  <c r="E110" i="29" s="1"/>
  <c r="C47" i="27"/>
  <c r="C45" i="27"/>
  <c r="D44" i="27" s="1"/>
  <c r="E43" i="27" s="1"/>
  <c r="AE80" i="27" s="1"/>
  <c r="G4" i="27"/>
  <c r="J6" i="34" l="1"/>
  <c r="B8" i="34"/>
  <c r="G7" i="34"/>
  <c r="H7" i="34" s="1"/>
  <c r="I7" i="34" s="1"/>
  <c r="K7" i="34"/>
  <c r="L6" i="34"/>
  <c r="K36" i="25"/>
  <c r="L36" i="25"/>
  <c r="M36" i="25" s="1"/>
  <c r="A9" i="25"/>
  <c r="G8" i="25"/>
  <c r="H8" i="25"/>
  <c r="I8" i="25" s="1"/>
  <c r="J8" i="25" s="1"/>
  <c r="K8" i="25" s="1"/>
  <c r="I37" i="25"/>
  <c r="J37" i="25" s="1"/>
  <c r="N61" i="25"/>
  <c r="A63" i="25"/>
  <c r="K63" i="25" s="1"/>
  <c r="G62" i="25"/>
  <c r="I62" i="25" s="1"/>
  <c r="H62" i="25"/>
  <c r="J62" i="25" s="1"/>
  <c r="A39" i="25"/>
  <c r="H38" i="25"/>
  <c r="G38" i="25"/>
  <c r="D48" i="27"/>
  <c r="D46" i="27"/>
  <c r="E45" i="27" s="1"/>
  <c r="AE82" i="27" s="1"/>
  <c r="J7" i="34" l="1"/>
  <c r="B9" i="34"/>
  <c r="G8" i="34"/>
  <c r="H8" i="34" s="1"/>
  <c r="I8" i="34" s="1"/>
  <c r="K8" i="34"/>
  <c r="L7" i="34"/>
  <c r="N62" i="25"/>
  <c r="K37" i="25"/>
  <c r="L37" i="25"/>
  <c r="M37" i="25" s="1"/>
  <c r="A10" i="25"/>
  <c r="H9" i="25"/>
  <c r="G9" i="25"/>
  <c r="A64" i="25"/>
  <c r="K64" i="25" s="1"/>
  <c r="H63" i="25"/>
  <c r="J63" i="25" s="1"/>
  <c r="G63" i="25"/>
  <c r="I63" i="25" s="1"/>
  <c r="I38" i="25"/>
  <c r="J38" i="25" s="1"/>
  <c r="G39" i="25"/>
  <c r="A40" i="25"/>
  <c r="H39" i="25"/>
  <c r="I39" i="25" s="1"/>
  <c r="J39" i="25" s="1"/>
  <c r="K39" i="25" s="1"/>
  <c r="A108" i="29"/>
  <c r="G5" i="29" s="1"/>
  <c r="G6" i="29" s="1"/>
  <c r="G7" i="29" s="1"/>
  <c r="E49" i="27"/>
  <c r="E47" i="27"/>
  <c r="AE84" i="27" s="1"/>
  <c r="J8" i="34" l="1"/>
  <c r="L8" i="34"/>
  <c r="B10" i="34"/>
  <c r="G9" i="34"/>
  <c r="H9" i="34" s="1"/>
  <c r="I9" i="34" s="1"/>
  <c r="K9" i="34"/>
  <c r="L39" i="25"/>
  <c r="M39" i="25" s="1"/>
  <c r="K38" i="25"/>
  <c r="L38" i="25"/>
  <c r="M38" i="25" s="1"/>
  <c r="I9" i="25"/>
  <c r="J9" i="25" s="1"/>
  <c r="K9" i="25" s="1"/>
  <c r="A11" i="25"/>
  <c r="G10" i="25"/>
  <c r="H10" i="25"/>
  <c r="I10" i="25" s="1"/>
  <c r="J10" i="25" s="1"/>
  <c r="K10" i="25" s="1"/>
  <c r="N63" i="25"/>
  <c r="A65" i="25"/>
  <c r="K65" i="25" s="1"/>
  <c r="H64" i="25"/>
  <c r="J64" i="25" s="1"/>
  <c r="G64" i="25"/>
  <c r="I64" i="25" s="1"/>
  <c r="G40" i="25"/>
  <c r="A41" i="25"/>
  <c r="H40" i="25"/>
  <c r="I40" i="25" s="1"/>
  <c r="J40" i="25" s="1"/>
  <c r="K40" i="25" s="1"/>
  <c r="AE86" i="27"/>
  <c r="I10" i="34" l="1"/>
  <c r="J9" i="34"/>
  <c r="L9" i="34"/>
  <c r="B11" i="34"/>
  <c r="G10" i="34"/>
  <c r="H10" i="34" s="1"/>
  <c r="K10" i="34"/>
  <c r="N64" i="25"/>
  <c r="A12" i="25"/>
  <c r="G11" i="25"/>
  <c r="H11" i="25"/>
  <c r="I11" i="25" s="1"/>
  <c r="J11" i="25" s="1"/>
  <c r="K11" i="25" s="1"/>
  <c r="L40" i="25"/>
  <c r="M40" i="25" s="1"/>
  <c r="H65" i="25"/>
  <c r="J65" i="25" s="1"/>
  <c r="G65" i="25"/>
  <c r="I65" i="25" s="1"/>
  <c r="A66" i="25"/>
  <c r="K66" i="25" s="1"/>
  <c r="A42" i="25"/>
  <c r="H41" i="25"/>
  <c r="G41" i="25"/>
  <c r="AE88" i="27"/>
  <c r="J10" i="34" l="1"/>
  <c r="L10" i="34"/>
  <c r="B12" i="34"/>
  <c r="G11" i="34"/>
  <c r="H11" i="34" s="1"/>
  <c r="I11" i="34" s="1"/>
  <c r="K11" i="34"/>
  <c r="A13" i="25"/>
  <c r="H12" i="25"/>
  <c r="G12" i="25"/>
  <c r="N65" i="25"/>
  <c r="A67" i="25"/>
  <c r="K67" i="25" s="1"/>
  <c r="H66" i="25"/>
  <c r="J66" i="25" s="1"/>
  <c r="G66" i="25"/>
  <c r="I66" i="25" s="1"/>
  <c r="I41" i="25"/>
  <c r="J41" i="25" s="1"/>
  <c r="H42" i="25"/>
  <c r="G42" i="25"/>
  <c r="A43" i="25"/>
  <c r="AE90" i="27"/>
  <c r="J11" i="34" l="1"/>
  <c r="L11" i="34"/>
  <c r="G12" i="34"/>
  <c r="H12" i="34" s="1"/>
  <c r="I12" i="34" s="1"/>
  <c r="J12" i="34" s="1"/>
  <c r="K12" i="34"/>
  <c r="K41" i="25"/>
  <c r="L41" i="25"/>
  <c r="M41" i="25" s="1"/>
  <c r="N66" i="25"/>
  <c r="I12" i="25"/>
  <c r="J12" i="25" s="1"/>
  <c r="K12" i="25" s="1"/>
  <c r="A14" i="25"/>
  <c r="H13" i="25"/>
  <c r="G13" i="25"/>
  <c r="A68" i="25"/>
  <c r="K68" i="25" s="1"/>
  <c r="H67" i="25"/>
  <c r="J67" i="25" s="1"/>
  <c r="G67" i="25"/>
  <c r="I67" i="25" s="1"/>
  <c r="A44" i="25"/>
  <c r="H43" i="25"/>
  <c r="G43" i="25"/>
  <c r="I42" i="25"/>
  <c r="J42" i="25" s="1"/>
  <c r="AE92" i="27"/>
  <c r="H19" i="34" l="1"/>
  <c r="H16" i="34"/>
  <c r="E14" i="34" s="1"/>
  <c r="L12" i="34"/>
  <c r="L13" i="34" s="1"/>
  <c r="K42" i="25"/>
  <c r="L42" i="25"/>
  <c r="M42" i="25" s="1"/>
  <c r="I13" i="25"/>
  <c r="J13" i="25" s="1"/>
  <c r="K13" i="25" s="1"/>
  <c r="A15" i="25"/>
  <c r="H14" i="25"/>
  <c r="I14" i="25" s="1"/>
  <c r="J14" i="25" s="1"/>
  <c r="K14" i="25" s="1"/>
  <c r="G14" i="25"/>
  <c r="N67" i="25"/>
  <c r="A69" i="25"/>
  <c r="K69" i="25" s="1"/>
  <c r="H68" i="25"/>
  <c r="J68" i="25" s="1"/>
  <c r="G68" i="25"/>
  <c r="I68" i="25" s="1"/>
  <c r="I43" i="25"/>
  <c r="J43" i="25" s="1"/>
  <c r="A45" i="25"/>
  <c r="H44" i="25"/>
  <c r="I44" i="25" s="1"/>
  <c r="J44" i="25" s="1"/>
  <c r="K44" i="25" s="1"/>
  <c r="G44" i="25"/>
  <c r="AE94" i="27"/>
  <c r="K43" i="25" l="1"/>
  <c r="L43" i="25"/>
  <c r="M43" i="25" s="1"/>
  <c r="N68" i="25"/>
  <c r="L44" i="25"/>
  <c r="M44" i="25" s="1"/>
  <c r="A16" i="25"/>
  <c r="G15" i="25"/>
  <c r="H15" i="25"/>
  <c r="I15" i="25" s="1"/>
  <c r="J15" i="25" s="1"/>
  <c r="K15" i="25" s="1"/>
  <c r="H69" i="25"/>
  <c r="J69" i="25" s="1"/>
  <c r="G69" i="25"/>
  <c r="I69" i="25" s="1"/>
  <c r="H45" i="25"/>
  <c r="G45" i="25"/>
  <c r="AE96" i="27"/>
  <c r="N69" i="25" l="1"/>
  <c r="N70" i="25" s="1"/>
  <c r="N72" i="25" s="1"/>
  <c r="S73" i="25" s="1"/>
  <c r="I45" i="25"/>
  <c r="J45" i="25" s="1"/>
  <c r="H16" i="25"/>
  <c r="G16" i="25"/>
  <c r="AE98" i="27"/>
  <c r="I16" i="25" l="1"/>
  <c r="J16" i="25" s="1"/>
  <c r="K16" i="25" s="1"/>
  <c r="K17" i="25" s="1"/>
  <c r="K45" i="25"/>
  <c r="L45" i="25"/>
  <c r="M45" i="25" s="1"/>
  <c r="M46" i="25" s="1"/>
  <c r="AE100" i="27"/>
  <c r="AE102" i="27" l="1"/>
  <c r="AE104" i="27" l="1"/>
  <c r="AE106" i="27" l="1"/>
  <c r="AE108" i="27" l="1"/>
  <c r="AE110" i="27" l="1"/>
  <c r="AE112" i="27" l="1"/>
  <c r="AE114" i="27" l="1"/>
  <c r="AE116" i="27" l="1"/>
  <c r="AE118" i="27" l="1"/>
  <c r="AE120" i="27" l="1"/>
  <c r="AE122" i="27" l="1"/>
  <c r="AE124" i="27" l="1"/>
  <c r="AE126" i="27" l="1"/>
  <c r="AE128" i="27" l="1"/>
  <c r="AE130" i="27" l="1"/>
  <c r="AE132" i="27" l="1"/>
  <c r="AE134" i="27" l="1"/>
  <c r="AE138" i="27" l="1"/>
  <c r="AE136" i="27"/>
  <c r="D105" i="27" l="1"/>
  <c r="D111" i="27" l="1"/>
  <c r="D109" i="27" l="1"/>
  <c r="C110" i="27" s="1"/>
  <c r="D107" i="27"/>
  <c r="C108" i="27" l="1"/>
  <c r="B109" i="27" s="1"/>
  <c r="C106" i="27"/>
  <c r="B107" i="27" l="1"/>
  <c r="A108" i="27" s="1"/>
  <c r="G5" i="27" s="1"/>
  <c r="G6" i="27" s="1"/>
  <c r="G7" i="27" s="1"/>
  <c r="B5" i="25" l="1"/>
  <c r="B6" i="25" s="1"/>
  <c r="B7" i="25" s="1"/>
  <c r="B8" i="25" s="1"/>
  <c r="B9" i="25" s="1"/>
  <c r="B10" i="25" s="1"/>
  <c r="B11" i="25" s="1"/>
  <c r="B12" i="25" s="1"/>
  <c r="B13" i="25" s="1"/>
  <c r="B14" i="25" s="1"/>
  <c r="B15" i="25" s="1"/>
  <c r="B16" i="25" s="1"/>
  <c r="H1" i="25"/>
  <c r="C15"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tc={78EBBF48-7D05-4DCE-8274-724816280504}</author>
    <author>tc={CC0640A2-5CEB-4542-8A56-BE39D5D47B64}</author>
  </authors>
  <commentList>
    <comment ref="C4" authorId="0" shapeId="0" xr:uid="{78EBBF48-7D05-4DCE-8274-7248162805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Notional applied from 22 Jun 26 - 22 Jun 27</t>
      </text>
    </comment>
    <comment ref="C8" authorId="1" shapeId="0" xr:uid="{CC0640A2-5CEB-4542-8A56-BE39D5D47B6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Notional applied from 22 Jun 27 to 22 Jun 28</t>
      </text>
    </comment>
  </commentList>
</comments>
</file>

<file path=xl/sharedStrings.xml><?xml version="1.0" encoding="utf-8"?>
<sst xmlns="http://schemas.openxmlformats.org/spreadsheetml/2006/main" count="326" uniqueCount="166">
  <si>
    <t>Time</t>
  </si>
  <si>
    <t>2 mths</t>
  </si>
  <si>
    <t>4 mths</t>
  </si>
  <si>
    <t>6 mths</t>
  </si>
  <si>
    <t>8 mths</t>
  </si>
  <si>
    <t>Time (yrs)</t>
  </si>
  <si>
    <t>Yellow means a formula needs to be entered</t>
  </si>
  <si>
    <t>Legend</t>
  </si>
  <si>
    <t>Date</t>
  </si>
  <si>
    <t>Notional (ISK)</t>
  </si>
  <si>
    <t>Zero Rates (Risk Free)</t>
  </si>
  <si>
    <t>10 mths</t>
  </si>
  <si>
    <t>12 mths</t>
  </si>
  <si>
    <t>S0</t>
  </si>
  <si>
    <t>Spot Rate (USD/ISK)</t>
  </si>
  <si>
    <t>Volatility</t>
  </si>
  <si>
    <t xml:space="preserve">Zero Rates (Dividends) </t>
  </si>
  <si>
    <t>Simple Fwd Rates (Isk Risk Free)</t>
  </si>
  <si>
    <t>Simple Fwd Rates (Usd Risk Free)</t>
  </si>
  <si>
    <t>0 - 2 mths</t>
  </si>
  <si>
    <t>2 - 4  mths</t>
  </si>
  <si>
    <t>4 - 6 mths</t>
  </si>
  <si>
    <t>6 - 8 mths</t>
  </si>
  <si>
    <t>Today</t>
  </si>
  <si>
    <t>USD Discount Factors</t>
  </si>
  <si>
    <t>ISK Discount Factors</t>
  </si>
  <si>
    <t>USD/ISK volatility</t>
  </si>
  <si>
    <t>Spot Currency Rate</t>
  </si>
  <si>
    <t>&lt;&lt;PV(Payoff)</t>
  </si>
  <si>
    <t>&lt;&lt;Option Payoff</t>
  </si>
  <si>
    <t>c</t>
  </si>
  <si>
    <t>b</t>
  </si>
  <si>
    <t>d</t>
  </si>
  <si>
    <t>X</t>
  </si>
  <si>
    <t>Correlation</t>
  </si>
  <si>
    <t>S20</t>
  </si>
  <si>
    <t>Stock Price2</t>
  </si>
  <si>
    <t>Stock Price1</t>
  </si>
  <si>
    <t>correlated Norm Rnd #2</t>
  </si>
  <si>
    <t>Std Norm Rnd # 2</t>
  </si>
  <si>
    <t>Std Norm Rnd # 1</t>
  </si>
  <si>
    <t>Uni Rand # 2</t>
  </si>
  <si>
    <t>Uni Rand # 1</t>
  </si>
  <si>
    <t>fwd vol 2</t>
  </si>
  <si>
    <t>fwd vol 1</t>
  </si>
  <si>
    <t>fwd rate</t>
  </si>
  <si>
    <t>Spot Vol2</t>
  </si>
  <si>
    <t>Spot Vol1</t>
  </si>
  <si>
    <t>Zero Rates</t>
  </si>
  <si>
    <t>S10</t>
  </si>
  <si>
    <t>Currency Forward</t>
  </si>
  <si>
    <t>Spot</t>
  </si>
  <si>
    <t>ISK per USD</t>
  </si>
  <si>
    <t>strike</t>
  </si>
  <si>
    <t>dom risk (ISK)</t>
  </si>
  <si>
    <t>for risk (USD)</t>
  </si>
  <si>
    <t>volatility</t>
  </si>
  <si>
    <t>Notional (USD)</t>
  </si>
  <si>
    <t>d1</t>
  </si>
  <si>
    <t>d2</t>
  </si>
  <si>
    <t>put (USD)</t>
  </si>
  <si>
    <t xml:space="preserve">ISK </t>
  </si>
  <si>
    <t>1a)</t>
  </si>
  <si>
    <t>1b)</t>
  </si>
  <si>
    <t>Working</t>
  </si>
  <si>
    <t>Delta t</t>
  </si>
  <si>
    <t>u</t>
  </si>
  <si>
    <t>Dom Risk free (ISK)</t>
  </si>
  <si>
    <t>p</t>
  </si>
  <si>
    <t>For Risk Free (USD)</t>
  </si>
  <si>
    <t>Option Value</t>
  </si>
  <si>
    <t>Term (yrs)</t>
  </si>
  <si>
    <t>ISK</t>
  </si>
  <si>
    <t>n</t>
  </si>
  <si>
    <t>USD</t>
  </si>
  <si>
    <t>Notional</t>
  </si>
  <si>
    <t>2 Delta t</t>
  </si>
  <si>
    <t>3 Delta t</t>
  </si>
  <si>
    <t>4 Delta t</t>
  </si>
  <si>
    <t>Probability of exercise</t>
  </si>
  <si>
    <t>Zero rates forward</t>
  </si>
  <si>
    <t xml:space="preserve">Zero Rates (Dividends)forward </t>
  </si>
  <si>
    <t>Volatility forward</t>
  </si>
  <si>
    <t>call</t>
  </si>
  <si>
    <t>S*</t>
  </si>
  <si>
    <t>a1</t>
  </si>
  <si>
    <t>a2</t>
  </si>
  <si>
    <t>b1</t>
  </si>
  <si>
    <t>b2</t>
  </si>
  <si>
    <t>rho</t>
  </si>
  <si>
    <t>Nœuds et Poids</t>
  </si>
  <si>
    <t>Poids</t>
  </si>
  <si>
    <t>Nœuds</t>
  </si>
  <si>
    <t>I1</t>
  </si>
  <si>
    <t>I1 code</t>
  </si>
  <si>
    <t>b)</t>
  </si>
  <si>
    <t>B3=0</t>
  </si>
  <si>
    <t>B3=1</t>
  </si>
  <si>
    <t>B3=-1</t>
  </si>
  <si>
    <t>B3=0 PV</t>
  </si>
  <si>
    <t>B3=1 PV</t>
  </si>
  <si>
    <t>B3=-1 PV</t>
  </si>
  <si>
    <t>Zero Rate (US)</t>
  </si>
  <si>
    <t>Zero Rate (ISK)</t>
  </si>
  <si>
    <t>forward</t>
  </si>
  <si>
    <t>USD/ISK</t>
  </si>
  <si>
    <t>revenue(USD)</t>
  </si>
  <si>
    <t>revenue(ISK)</t>
  </si>
  <si>
    <t>PV(Revenue in ISK)</t>
  </si>
  <si>
    <t>bi</t>
  </si>
  <si>
    <t>bii/biii</t>
  </si>
  <si>
    <t>Strikes</t>
  </si>
  <si>
    <t>rates (ISK per USD)</t>
  </si>
  <si>
    <t>ISK premium</t>
  </si>
  <si>
    <t>Fwd rate (US)</t>
  </si>
  <si>
    <t>Fwd rate (ISK)</t>
  </si>
  <si>
    <t>Fwd volatility</t>
  </si>
  <si>
    <t>uniform rand</t>
  </si>
  <si>
    <t xml:space="preserve">normal rand </t>
  </si>
  <si>
    <t>FX Rate</t>
  </si>
  <si>
    <t>total revenue</t>
  </si>
  <si>
    <t>Strike of cashflow option</t>
  </si>
  <si>
    <t>Shortfall</t>
  </si>
  <si>
    <t>Cost of option</t>
  </si>
  <si>
    <t>Notional (millions)</t>
  </si>
  <si>
    <t>Continuously Compounded Fwd Rates</t>
  </si>
  <si>
    <t>&lt;&lt;rate applicable from 22 Mar 26 - 22 Jun 26</t>
  </si>
  <si>
    <t>&lt;&lt;rate applicable from 22 Jun 26 - 22 Sep 26</t>
  </si>
  <si>
    <t>&lt;&lt;rate applicable from 22 Sep 26 - 22 Dec 26</t>
  </si>
  <si>
    <t>&lt;&lt;rate applicable from 22 Dec 26 - 22 Mar 27</t>
  </si>
  <si>
    <t>&lt;&lt;rate applicable from 22 Mar 27 - 22 Jun 27</t>
  </si>
  <si>
    <t>&lt;&lt;rate applicable from 22 Jun 27 - 22 Sep 27</t>
  </si>
  <si>
    <t>&lt;&lt;rate applicable from 22 Sep 27 - 22 Dec 27</t>
  </si>
  <si>
    <t>&lt;&lt;rate applicable from 22 Dec 27 - 22 Mar 28</t>
  </si>
  <si>
    <t>&lt;&lt;rate applicable from 22 Mar 28 - 22 Jun 28</t>
  </si>
  <si>
    <t>a)</t>
  </si>
  <si>
    <t>Fwd Start Swap Rate</t>
  </si>
  <si>
    <t>F0 (%)</t>
  </si>
  <si>
    <t>K (%)</t>
  </si>
  <si>
    <t>Volatility (%)</t>
  </si>
  <si>
    <t>Swaption Premium</t>
  </si>
  <si>
    <t>Caplet 1</t>
  </si>
  <si>
    <t>Caplet 2</t>
  </si>
  <si>
    <t>c)</t>
  </si>
  <si>
    <t>F0</t>
  </si>
  <si>
    <t>K</t>
  </si>
  <si>
    <t>Sigma</t>
  </si>
  <si>
    <t>Caplet Premium</t>
  </si>
  <si>
    <t>Cap Premium</t>
  </si>
  <si>
    <t>Green means a value needs to be entered</t>
  </si>
  <si>
    <t>Jours</t>
  </si>
  <si>
    <t>Numerateur</t>
  </si>
  <si>
    <t>Denominateur</t>
  </si>
  <si>
    <t>Convention1</t>
  </si>
  <si>
    <t>Convention2</t>
  </si>
  <si>
    <t>F*J</t>
  </si>
  <si>
    <t>Σ F × J</t>
  </si>
  <si>
    <t>ti</t>
  </si>
  <si>
    <t>Dfi</t>
  </si>
  <si>
    <t>ti*Dfi</t>
  </si>
  <si>
    <t>millions</t>
  </si>
  <si>
    <t>Sum</t>
  </si>
  <si>
    <t>Initial installment</t>
  </si>
  <si>
    <t>M(a1,b1,rho)</t>
  </si>
  <si>
    <t>M(a2,b2,rho)</t>
  </si>
  <si>
    <t>B3=0,5 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</si>
</sst>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_(&quot;$&quot;* #,##0.00_);_(&quot;$&quot;* \(#,##0.00\);_(&quot;$&quot;* &quot;-&quot;??_);_(@_)"/>
    <numFmt numFmtId="165" formatCode="_(* #,##0.00_);_(* \(#,##0.00\);_(* &quot;-&quot;??_);_(@_)"/>
    <numFmt numFmtId="166" formatCode="0.0000"/>
    <numFmt numFmtId="167" formatCode="&quot;$&quot;#,##0_);[Red]\(&quot;$&quot;#,##0\)"/>
    <numFmt numFmtId="168" formatCode="0.00000"/>
    <numFmt numFmtId="169" formatCode="_-&quot;$&quot;* #,##0.00_-;\-&quot;$&quot;* #,##0.00_-;_-&quot;$&quot;* &quot;-&quot;??_-;_-@_-"/>
    <numFmt numFmtId="170" formatCode="0.00000%"/>
    <numFmt numFmtId="171" formatCode="0.000"/>
    <numFmt numFmtId="172" formatCode="_-* #,##0.00\ _€_-;\-* #,##0.00\ _€_-;_-* &quot;-&quot;??\ _€_-;_-@_-"/>
    <numFmt numFmtId="173" formatCode="0.000000000000000"/>
    <numFmt numFmtId="174" formatCode="_-* #,##0.00000\ _€_-;\-* #,##0.00000\ _€_-;_-* &quot;-&quot;?????\ _€_-;_-@_-"/>
    <numFmt numFmtId="175" formatCode="0.000%"/>
    <numFmt numFmtId="176" formatCode="_(&quot;$&quot;* #,##0_);_(&quot;$&quot;* \(#,##0\);_(&quot;$&quot;* &quot;-&quot;??_);_(@_)"/>
  </numFmts>
  <fonts count="13" x14ac:knownFonts="1">
    <font>
      <sz val="11"/>
      <color theme="1"/>
      <name val="Calibri"/>
      <family val="2"/>
      <scheme val="minor"/>
    </font>
    <font>
      <sz val="10"/>
      <name val="Arial"/>
      <family val="2"/>
    </font>
    <font>
      <sz val="14"/>
      <name val="Calibri"/>
      <family val="2"/>
    </font>
    <font>
      <sz val="11"/>
      <name val="Calibri"/>
      <family val="2"/>
    </font>
    <font>
      <sz val="11"/>
      <color theme="1"/>
      <name val="Calibri"/>
      <family val="2"/>
      <scheme val="minor"/>
    </font>
    <font>
      <sz val="14"/>
      <color theme="0"/>
      <name val="Calibri"/>
      <family val="2"/>
      <scheme val="minor"/>
    </font>
    <font>
      <sz val="10"/>
      <color theme="0"/>
      <name val="Arial"/>
      <family val="2"/>
    </font>
    <font>
      <b/>
      <sz val="14"/>
      <color rgb="FFFF0000"/>
      <name val="Calibri"/>
      <family val="2"/>
      <scheme val="minor"/>
    </font>
    <font>
      <sz val="10"/>
      <color indexed="10"/>
      <name val="Arial"/>
      <family val="2"/>
    </font>
    <font>
      <sz val="14"/>
      <color theme="1"/>
      <name val="Calibri"/>
      <family val="2"/>
      <scheme val="minor"/>
    </font>
    <font>
      <b/>
      <sz val="14"/>
      <color theme="1"/>
      <name val="Calibri"/>
      <family val="2"/>
      <scheme val="minor"/>
    </font>
    <font>
      <sz val="10"/>
      <color theme="1"/>
      <name val="Calibri"/>
      <family val="2"/>
      <scheme val="minor"/>
    </font>
    <font>
      <b/>
      <sz val="10"/>
      <color theme="1"/>
      <name val="Arial"/>
      <family val="2"/>
    </font>
  </fonts>
  <fills count="7">
    <fill>
      <patternFill patternType="none"/>
    </fill>
    <fill>
      <patternFill patternType="gray125"/>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
      <patternFill patternType="solid">
        <fgColor indexed="9"/>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s>
  <cellStyleXfs count="12">
    <xf numFmtId="0" fontId="0" fillId="0" borderId="0"/>
    <xf numFmtId="43" fontId="4" fillId="0" borderId="0" applyFont="0" applyFill="0" applyBorder="0" applyAlignment="0" applyProtection="0"/>
    <xf numFmtId="165"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169" fontId="1" fillId="0" borderId="0" applyFont="0" applyFill="0" applyBorder="0" applyAlignment="0" applyProtection="0"/>
  </cellStyleXfs>
  <cellXfs count="164">
    <xf numFmtId="0" fontId="0" fillId="0" borderId="0" xfId="0"/>
    <xf numFmtId="0" fontId="6" fillId="2" borderId="0" xfId="5" applyFont="1" applyFill="1"/>
    <xf numFmtId="10" fontId="6" fillId="2" borderId="4" xfId="8" applyNumberFormat="1" applyFont="1" applyFill="1" applyBorder="1" applyAlignment="1">
      <alignment horizontal="center"/>
    </xf>
    <xf numFmtId="0" fontId="6" fillId="2" borderId="6" xfId="5" applyFont="1" applyFill="1" applyBorder="1" applyAlignment="1">
      <alignment horizontal="center"/>
    </xf>
    <xf numFmtId="0" fontId="7" fillId="3" borderId="3" xfId="0" applyFont="1" applyFill="1" applyBorder="1"/>
    <xf numFmtId="0" fontId="6" fillId="2" borderId="1" xfId="5" applyFont="1" applyFill="1" applyBorder="1" applyAlignment="1">
      <alignment horizontal="center"/>
    </xf>
    <xf numFmtId="0" fontId="6" fillId="2" borderId="7" xfId="5" applyFont="1" applyFill="1" applyBorder="1" applyAlignment="1">
      <alignment horizontal="center"/>
    </xf>
    <xf numFmtId="10" fontId="6" fillId="2" borderId="7" xfId="8" applyNumberFormat="1" applyFont="1" applyFill="1" applyBorder="1" applyAlignment="1">
      <alignment horizontal="center"/>
    </xf>
    <xf numFmtId="164" fontId="6" fillId="2" borderId="0" xfId="3" applyFont="1" applyFill="1"/>
    <xf numFmtId="10" fontId="1" fillId="4" borderId="7" xfId="8" applyNumberFormat="1" applyFont="1" applyFill="1" applyBorder="1" applyAlignment="1">
      <alignment horizontal="center"/>
    </xf>
    <xf numFmtId="10" fontId="1" fillId="4" borderId="4" xfId="8" applyNumberFormat="1" applyFont="1" applyFill="1" applyBorder="1" applyAlignment="1">
      <alignment horizontal="center"/>
    </xf>
    <xf numFmtId="10" fontId="1" fillId="4" borderId="5" xfId="8" applyNumberFormat="1" applyFont="1" applyFill="1" applyBorder="1" applyAlignment="1">
      <alignment horizontal="center"/>
    </xf>
    <xf numFmtId="10" fontId="1" fillId="4" borderId="0" xfId="8" applyNumberFormat="1" applyFont="1" applyFill="1" applyBorder="1" applyAlignment="1">
      <alignment horizontal="center"/>
    </xf>
    <xf numFmtId="0" fontId="1" fillId="4" borderId="0" xfId="5" applyFill="1"/>
    <xf numFmtId="0" fontId="6" fillId="2" borderId="2" xfId="5" applyFont="1" applyFill="1" applyBorder="1" applyAlignment="1">
      <alignment horizontal="center"/>
    </xf>
    <xf numFmtId="9" fontId="6" fillId="2" borderId="1" xfId="8" applyFont="1" applyFill="1" applyBorder="1" applyAlignment="1">
      <alignment horizontal="center"/>
    </xf>
    <xf numFmtId="9" fontId="6" fillId="2" borderId="6" xfId="8" applyFont="1" applyFill="1" applyBorder="1" applyAlignment="1">
      <alignment horizontal="center"/>
    </xf>
    <xf numFmtId="167" fontId="2" fillId="4" borderId="0" xfId="5" applyNumberFormat="1" applyFont="1" applyFill="1"/>
    <xf numFmtId="0" fontId="2" fillId="4" borderId="0" xfId="5" applyFont="1" applyFill="1"/>
    <xf numFmtId="0" fontId="3" fillId="4" borderId="2" xfId="5" applyFont="1" applyFill="1" applyBorder="1" applyAlignment="1">
      <alignment horizontal="center"/>
    </xf>
    <xf numFmtId="15" fontId="3" fillId="4" borderId="2" xfId="5" applyNumberFormat="1" applyFont="1" applyFill="1" applyBorder="1" applyAlignment="1">
      <alignment horizontal="center"/>
    </xf>
    <xf numFmtId="0" fontId="3" fillId="4" borderId="0" xfId="5" applyFont="1" applyFill="1"/>
    <xf numFmtId="0" fontId="3" fillId="4" borderId="2" xfId="5" applyFont="1" applyFill="1" applyBorder="1"/>
    <xf numFmtId="0" fontId="1" fillId="2" borderId="0" xfId="5" applyFill="1"/>
    <xf numFmtId="0" fontId="1" fillId="2" borderId="0" xfId="5" applyFill="1" applyAlignment="1">
      <alignment horizontal="center"/>
    </xf>
    <xf numFmtId="0" fontId="5" fillId="2" borderId="2" xfId="0" applyFont="1" applyFill="1" applyBorder="1" applyAlignment="1">
      <alignment horizontal="center"/>
    </xf>
    <xf numFmtId="0" fontId="1" fillId="3" borderId="2" xfId="5" applyFill="1" applyBorder="1" applyAlignment="1">
      <alignment horizontal="center"/>
    </xf>
    <xf numFmtId="2" fontId="1" fillId="3" borderId="3" xfId="5" applyNumberFormat="1" applyFill="1" applyBorder="1" applyAlignment="1">
      <alignment horizontal="center"/>
    </xf>
    <xf numFmtId="2" fontId="1" fillId="2" borderId="3" xfId="5" applyNumberFormat="1" applyFill="1" applyBorder="1" applyAlignment="1">
      <alignment horizontal="center"/>
    </xf>
    <xf numFmtId="2" fontId="1" fillId="2" borderId="6" xfId="5" applyNumberFormat="1" applyFill="1" applyBorder="1" applyAlignment="1">
      <alignment horizontal="center"/>
    </xf>
    <xf numFmtId="2" fontId="1" fillId="3" borderId="6" xfId="5" applyNumberFormat="1" applyFill="1" applyBorder="1" applyAlignment="1">
      <alignment horizontal="center"/>
    </xf>
    <xf numFmtId="168" fontId="1" fillId="3" borderId="6" xfId="5" applyNumberFormat="1" applyFill="1" applyBorder="1" applyAlignment="1">
      <alignment horizontal="center"/>
    </xf>
    <xf numFmtId="0" fontId="1" fillId="2" borderId="5" xfId="5" applyFill="1" applyBorder="1" applyAlignment="1">
      <alignment horizontal="center"/>
    </xf>
    <xf numFmtId="0" fontId="1" fillId="2" borderId="3" xfId="5" applyFill="1" applyBorder="1" applyAlignment="1">
      <alignment horizontal="center"/>
    </xf>
    <xf numFmtId="0" fontId="1" fillId="2" borderId="4" xfId="5" applyFill="1" applyBorder="1" applyAlignment="1">
      <alignment horizontal="center"/>
    </xf>
    <xf numFmtId="0" fontId="1" fillId="2" borderId="6" xfId="5" applyFill="1" applyBorder="1" applyAlignment="1">
      <alignment horizontal="center"/>
    </xf>
    <xf numFmtId="2" fontId="1" fillId="2" borderId="1" xfId="5" applyNumberFormat="1" applyFill="1" applyBorder="1" applyAlignment="1">
      <alignment horizontal="center"/>
    </xf>
    <xf numFmtId="0" fontId="1" fillId="2" borderId="2" xfId="5" applyFill="1" applyBorder="1" applyAlignment="1">
      <alignment horizontal="center"/>
    </xf>
    <xf numFmtId="0" fontId="1" fillId="2" borderId="7" xfId="5" applyFill="1" applyBorder="1" applyAlignment="1">
      <alignment horizontal="center"/>
    </xf>
    <xf numFmtId="0" fontId="1" fillId="2" borderId="1" xfId="5" applyFill="1" applyBorder="1" applyAlignment="1">
      <alignment horizontal="center"/>
    </xf>
    <xf numFmtId="0" fontId="1" fillId="4" borderId="0" xfId="5" applyFill="1" applyAlignment="1">
      <alignment vertical="top"/>
    </xf>
    <xf numFmtId="0" fontId="1" fillId="4" borderId="1" xfId="5" applyFill="1" applyBorder="1" applyAlignment="1">
      <alignment horizontal="center"/>
    </xf>
    <xf numFmtId="0" fontId="1" fillId="4" borderId="7" xfId="5" applyFill="1" applyBorder="1" applyAlignment="1">
      <alignment horizontal="center"/>
    </xf>
    <xf numFmtId="0" fontId="1" fillId="4" borderId="2" xfId="5" applyFill="1" applyBorder="1"/>
    <xf numFmtId="0" fontId="1" fillId="4" borderId="6" xfId="5" applyFill="1" applyBorder="1" applyAlignment="1">
      <alignment horizontal="center"/>
    </xf>
    <xf numFmtId="0" fontId="1" fillId="4" borderId="3" xfId="5" applyFill="1" applyBorder="1" applyAlignment="1">
      <alignment horizontal="center"/>
    </xf>
    <xf numFmtId="0" fontId="1" fillId="4" borderId="0" xfId="5" applyFill="1" applyAlignment="1">
      <alignment horizontal="center"/>
    </xf>
    <xf numFmtId="166" fontId="1" fillId="4" borderId="0" xfId="5" applyNumberFormat="1" applyFill="1" applyAlignment="1">
      <alignment horizontal="center"/>
    </xf>
    <xf numFmtId="0" fontId="1" fillId="4" borderId="2" xfId="6" applyFill="1" applyBorder="1"/>
    <xf numFmtId="0" fontId="1" fillId="4" borderId="0" xfId="6" applyFill="1"/>
    <xf numFmtId="43" fontId="1" fillId="4" borderId="2" xfId="1" applyFont="1" applyFill="1" applyBorder="1"/>
    <xf numFmtId="43" fontId="1" fillId="4" borderId="0" xfId="1" applyFont="1" applyFill="1"/>
    <xf numFmtId="43" fontId="1" fillId="4" borderId="7" xfId="1" applyFont="1" applyFill="1" applyBorder="1" applyAlignment="1">
      <alignment horizontal="center"/>
    </xf>
    <xf numFmtId="43" fontId="1" fillId="4" borderId="0" xfId="1" applyFont="1" applyFill="1" applyBorder="1" applyAlignment="1">
      <alignment horizontal="center"/>
    </xf>
    <xf numFmtId="43" fontId="1" fillId="4" borderId="2" xfId="1" applyFont="1" applyFill="1" applyBorder="1" applyAlignment="1">
      <alignment horizontal="center"/>
    </xf>
    <xf numFmtId="43" fontId="1" fillId="3" borderId="2" xfId="1" applyFont="1" applyFill="1" applyBorder="1"/>
    <xf numFmtId="0" fontId="1" fillId="3" borderId="2" xfId="5" applyFill="1" applyBorder="1"/>
    <xf numFmtId="0" fontId="1" fillId="5" borderId="1" xfId="6" applyFill="1" applyBorder="1" applyAlignment="1">
      <alignment horizontal="center"/>
    </xf>
    <xf numFmtId="0" fontId="0" fillId="5" borderId="7" xfId="11" applyNumberFormat="1" applyFont="1" applyFill="1" applyBorder="1" applyAlignment="1">
      <alignment horizontal="center"/>
    </xf>
    <xf numFmtId="0" fontId="1" fillId="5" borderId="0" xfId="6" applyFill="1"/>
    <xf numFmtId="0" fontId="1" fillId="4" borderId="8" xfId="6" applyFill="1" applyBorder="1" applyAlignment="1">
      <alignment horizontal="center"/>
    </xf>
    <xf numFmtId="0" fontId="1" fillId="5" borderId="6" xfId="6" applyFill="1" applyBorder="1" applyAlignment="1">
      <alignment horizontal="center"/>
    </xf>
    <xf numFmtId="0" fontId="0" fillId="5" borderId="4" xfId="11" applyNumberFormat="1" applyFont="1" applyFill="1" applyBorder="1" applyAlignment="1">
      <alignment horizontal="center"/>
    </xf>
    <xf numFmtId="10" fontId="1" fillId="5" borderId="4" xfId="10" applyNumberFormat="1" applyFill="1" applyBorder="1" applyAlignment="1">
      <alignment horizontal="center"/>
    </xf>
    <xf numFmtId="0" fontId="1" fillId="5" borderId="8" xfId="6" applyFill="1" applyBorder="1" applyAlignment="1">
      <alignment horizontal="center"/>
    </xf>
    <xf numFmtId="0" fontId="1" fillId="5" borderId="2" xfId="6" applyFill="1" applyBorder="1"/>
    <xf numFmtId="168" fontId="1" fillId="4" borderId="2" xfId="6" applyNumberFormat="1" applyFill="1" applyBorder="1"/>
    <xf numFmtId="169" fontId="1" fillId="4" borderId="0" xfId="6" applyNumberFormat="1" applyFill="1"/>
    <xf numFmtId="0" fontId="1" fillId="5" borderId="4" xfId="6" applyFill="1" applyBorder="1" applyAlignment="1">
      <alignment horizontal="center"/>
    </xf>
    <xf numFmtId="0" fontId="1" fillId="5" borderId="0" xfId="6" applyFill="1" applyAlignment="1">
      <alignment vertical="center"/>
    </xf>
    <xf numFmtId="170" fontId="0" fillId="4" borderId="0" xfId="10" applyNumberFormat="1" applyFont="1" applyFill="1" applyBorder="1"/>
    <xf numFmtId="0" fontId="1" fillId="5" borderId="3" xfId="6" applyFill="1" applyBorder="1" applyAlignment="1">
      <alignment horizontal="center"/>
    </xf>
    <xf numFmtId="0" fontId="1" fillId="5" borderId="5" xfId="6" applyFill="1" applyBorder="1" applyAlignment="1">
      <alignment horizontal="center"/>
    </xf>
    <xf numFmtId="0" fontId="1" fillId="4" borderId="0" xfId="6" applyFill="1" applyAlignment="1">
      <alignment horizontal="center"/>
    </xf>
    <xf numFmtId="0" fontId="1" fillId="5" borderId="2" xfId="6" applyFill="1" applyBorder="1" applyAlignment="1">
      <alignment horizontal="center" vertical="center"/>
    </xf>
    <xf numFmtId="3" fontId="1" fillId="5" borderId="2" xfId="6" applyNumberFormat="1" applyFill="1" applyBorder="1"/>
    <xf numFmtId="0" fontId="1" fillId="5" borderId="0" xfId="6" applyFill="1" applyAlignment="1">
      <alignment horizontal="center"/>
    </xf>
    <xf numFmtId="0" fontId="8" fillId="5" borderId="9" xfId="6" applyFont="1" applyFill="1" applyBorder="1" applyAlignment="1">
      <alignment horizontal="center"/>
    </xf>
    <xf numFmtId="0" fontId="8" fillId="5" borderId="10" xfId="6" applyFont="1" applyFill="1" applyBorder="1" applyAlignment="1">
      <alignment horizontal="center"/>
    </xf>
    <xf numFmtId="0" fontId="8" fillId="5" borderId="0" xfId="6" applyFont="1" applyFill="1" applyAlignment="1">
      <alignment horizontal="center"/>
    </xf>
    <xf numFmtId="171" fontId="1" fillId="5" borderId="0" xfId="6" applyNumberFormat="1" applyFill="1"/>
    <xf numFmtId="0" fontId="1" fillId="5" borderId="11" xfId="6" applyFill="1" applyBorder="1"/>
    <xf numFmtId="0" fontId="1" fillId="5" borderId="12" xfId="6" applyFill="1" applyBorder="1"/>
    <xf numFmtId="171" fontId="1" fillId="5" borderId="12" xfId="6" applyNumberFormat="1" applyFill="1" applyBorder="1"/>
    <xf numFmtId="171" fontId="1" fillId="5" borderId="11" xfId="6" applyNumberFormat="1" applyFill="1" applyBorder="1"/>
    <xf numFmtId="9" fontId="1" fillId="5" borderId="4" xfId="8" applyFont="1" applyFill="1" applyBorder="1" applyAlignment="1">
      <alignment horizontal="center"/>
    </xf>
    <xf numFmtId="9" fontId="0" fillId="4" borderId="2" xfId="8" applyFont="1" applyFill="1" applyBorder="1"/>
    <xf numFmtId="0" fontId="1" fillId="4" borderId="2" xfId="6" applyFill="1" applyBorder="1" applyAlignment="1">
      <alignment horizontal="center"/>
    </xf>
    <xf numFmtId="43" fontId="1" fillId="3" borderId="2" xfId="1" applyFont="1" applyFill="1" applyBorder="1" applyAlignment="1">
      <alignment horizontal="center"/>
    </xf>
    <xf numFmtId="0" fontId="1" fillId="3" borderId="0" xfId="5" applyFill="1"/>
    <xf numFmtId="9" fontId="1" fillId="4" borderId="3" xfId="8" applyFont="1" applyFill="1" applyBorder="1" applyAlignment="1">
      <alignment horizontal="center"/>
    </xf>
    <xf numFmtId="9" fontId="1" fillId="4" borderId="6" xfId="8" applyFont="1" applyFill="1" applyBorder="1" applyAlignment="1">
      <alignment horizontal="center"/>
    </xf>
    <xf numFmtId="10" fontId="1" fillId="4" borderId="0" xfId="8" applyNumberFormat="1" applyFont="1" applyFill="1"/>
    <xf numFmtId="172" fontId="6" fillId="2" borderId="0" xfId="5" applyNumberFormat="1" applyFont="1" applyFill="1"/>
    <xf numFmtId="43" fontId="6" fillId="2" borderId="0" xfId="1" applyFont="1" applyFill="1"/>
    <xf numFmtId="0" fontId="6" fillId="2" borderId="2" xfId="5" applyFont="1" applyFill="1" applyBorder="1"/>
    <xf numFmtId="0" fontId="1" fillId="4" borderId="0" xfId="5" quotePrefix="1" applyFill="1"/>
    <xf numFmtId="173" fontId="6" fillId="2" borderId="0" xfId="5" applyNumberFormat="1" applyFont="1" applyFill="1"/>
    <xf numFmtId="0" fontId="1" fillId="2" borderId="0" xfId="6" applyFill="1" applyAlignment="1">
      <alignment horizontal="center"/>
    </xf>
    <xf numFmtId="0" fontId="1" fillId="2" borderId="0" xfId="6" applyFill="1"/>
    <xf numFmtId="43" fontId="2" fillId="4" borderId="0" xfId="1" applyFont="1" applyFill="1"/>
    <xf numFmtId="0" fontId="3" fillId="4" borderId="1" xfId="5" applyFont="1" applyFill="1" applyBorder="1"/>
    <xf numFmtId="43" fontId="2" fillId="4" borderId="2" xfId="1" applyFont="1" applyFill="1" applyBorder="1"/>
    <xf numFmtId="168" fontId="3" fillId="4" borderId="2" xfId="9" applyNumberFormat="1" applyFont="1" applyFill="1" applyBorder="1" applyAlignment="1">
      <alignment horizontal="center"/>
    </xf>
    <xf numFmtId="10" fontId="2" fillId="4" borderId="2" xfId="8" applyNumberFormat="1" applyFont="1" applyFill="1" applyBorder="1" applyAlignment="1">
      <alignment horizontal="center"/>
    </xf>
    <xf numFmtId="2" fontId="1" fillId="4" borderId="0" xfId="5" applyNumberFormat="1" applyFill="1"/>
    <xf numFmtId="10" fontId="3" fillId="4" borderId="2" xfId="8" applyNumberFormat="1" applyFont="1" applyFill="1" applyBorder="1"/>
    <xf numFmtId="172" fontId="3" fillId="4" borderId="2" xfId="5" applyNumberFormat="1" applyFont="1" applyFill="1" applyBorder="1"/>
    <xf numFmtId="174" fontId="3" fillId="4" borderId="2" xfId="5" applyNumberFormat="1" applyFont="1" applyFill="1" applyBorder="1"/>
    <xf numFmtId="174" fontId="1" fillId="4" borderId="2" xfId="5" applyNumberFormat="1" applyFill="1" applyBorder="1"/>
    <xf numFmtId="172" fontId="1" fillId="4" borderId="2" xfId="5" applyNumberFormat="1" applyFill="1" applyBorder="1"/>
    <xf numFmtId="172" fontId="1" fillId="3" borderId="2" xfId="5" applyNumberFormat="1" applyFill="1" applyBorder="1"/>
    <xf numFmtId="174" fontId="1" fillId="3" borderId="2" xfId="5" applyNumberFormat="1" applyFill="1" applyBorder="1"/>
    <xf numFmtId="10" fontId="1" fillId="4" borderId="2" xfId="5" applyNumberFormat="1" applyFill="1" applyBorder="1"/>
    <xf numFmtId="10" fontId="1" fillId="4" borderId="2" xfId="8" applyNumberFormat="1" applyFont="1" applyFill="1" applyBorder="1"/>
    <xf numFmtId="43" fontId="1" fillId="4" borderId="2" xfId="5" applyNumberFormat="1" applyFill="1" applyBorder="1"/>
    <xf numFmtId="167" fontId="9" fillId="4" borderId="0" xfId="0" applyNumberFormat="1" applyFont="1" applyFill="1"/>
    <xf numFmtId="0" fontId="9" fillId="4" borderId="0" xfId="0" applyFont="1" applyFill="1"/>
    <xf numFmtId="0" fontId="0" fillId="4" borderId="0" xfId="0" applyFill="1"/>
    <xf numFmtId="0" fontId="0" fillId="2" borderId="0" xfId="0" applyFill="1"/>
    <xf numFmtId="0" fontId="0" fillId="4" borderId="1" xfId="0" applyFill="1" applyBorder="1" applyAlignment="1">
      <alignment horizontal="center"/>
    </xf>
    <xf numFmtId="0" fontId="0" fillId="4" borderId="2" xfId="0" applyFill="1" applyBorder="1" applyAlignment="1">
      <alignment horizontal="center"/>
    </xf>
    <xf numFmtId="0" fontId="0" fillId="4" borderId="0" xfId="0" applyFill="1" applyAlignment="1">
      <alignment horizontal="center"/>
    </xf>
    <xf numFmtId="15" fontId="0" fillId="4" borderId="1" xfId="0" applyNumberFormat="1" applyFill="1" applyBorder="1" applyAlignment="1">
      <alignment horizontal="center"/>
    </xf>
    <xf numFmtId="166" fontId="0" fillId="4" borderId="1" xfId="8" applyNumberFormat="1" applyFont="1" applyFill="1" applyBorder="1" applyAlignment="1">
      <alignment horizontal="center"/>
    </xf>
    <xf numFmtId="15" fontId="0" fillId="4" borderId="6" xfId="0" applyNumberFormat="1" applyFill="1" applyBorder="1" applyAlignment="1">
      <alignment horizontal="center"/>
    </xf>
    <xf numFmtId="0" fontId="0" fillId="4" borderId="6" xfId="0" applyFill="1" applyBorder="1" applyAlignment="1">
      <alignment horizontal="center"/>
    </xf>
    <xf numFmtId="170" fontId="0" fillId="4" borderId="6" xfId="8" applyNumberFormat="1" applyFont="1" applyFill="1" applyBorder="1" applyAlignment="1">
      <alignment horizontal="center"/>
    </xf>
    <xf numFmtId="0" fontId="9" fillId="4" borderId="0" xfId="0" applyFont="1" applyFill="1" applyAlignment="1">
      <alignment horizontal="center"/>
    </xf>
    <xf numFmtId="15" fontId="0" fillId="4" borderId="3" xfId="0" applyNumberFormat="1" applyFill="1" applyBorder="1" applyAlignment="1">
      <alignment horizontal="center"/>
    </xf>
    <xf numFmtId="0" fontId="0" fillId="4" borderId="3" xfId="0" applyFill="1" applyBorder="1" applyAlignment="1">
      <alignment horizontal="center"/>
    </xf>
    <xf numFmtId="170" fontId="0" fillId="4" borderId="3" xfId="8" applyNumberFormat="1" applyFont="1" applyFill="1" applyBorder="1" applyAlignment="1">
      <alignment horizontal="center"/>
    </xf>
    <xf numFmtId="15" fontId="0" fillId="4" borderId="0" xfId="0" applyNumberFormat="1" applyFill="1" applyAlignment="1">
      <alignment horizontal="center"/>
    </xf>
    <xf numFmtId="10" fontId="0" fillId="4" borderId="0" xfId="8" applyNumberFormat="1" applyFont="1" applyFill="1" applyBorder="1" applyAlignment="1">
      <alignment horizontal="center"/>
    </xf>
    <xf numFmtId="175" fontId="10" fillId="3" borderId="0" xfId="8" applyNumberFormat="1" applyFont="1" applyFill="1" applyBorder="1"/>
    <xf numFmtId="0" fontId="11" fillId="4" borderId="0" xfId="0" applyFont="1" applyFill="1" applyAlignment="1">
      <alignment horizontal="center"/>
    </xf>
    <xf numFmtId="175" fontId="9" fillId="3" borderId="0" xfId="8" applyNumberFormat="1" applyFont="1" applyFill="1" applyBorder="1"/>
    <xf numFmtId="9" fontId="9" fillId="6" borderId="0" xfId="8" applyFont="1" applyFill="1" applyBorder="1"/>
    <xf numFmtId="0" fontId="9" fillId="3" borderId="0" xfId="0" applyFont="1" applyFill="1"/>
    <xf numFmtId="176" fontId="9" fillId="4" borderId="0" xfId="3" applyNumberFormat="1" applyFont="1" applyFill="1" applyBorder="1"/>
    <xf numFmtId="10" fontId="12" fillId="4" borderId="0" xfId="8" applyNumberFormat="1" applyFont="1" applyFill="1" applyBorder="1" applyAlignment="1">
      <alignment horizontal="center"/>
    </xf>
    <xf numFmtId="0" fontId="9" fillId="4" borderId="2" xfId="0" applyFont="1" applyFill="1" applyBorder="1" applyAlignment="1">
      <alignment horizontal="center"/>
    </xf>
    <xf numFmtId="10" fontId="9" fillId="6" borderId="6" xfId="8" applyNumberFormat="1" applyFont="1" applyFill="1" applyBorder="1"/>
    <xf numFmtId="0" fontId="9" fillId="3" borderId="3" xfId="0" applyFont="1" applyFill="1" applyBorder="1"/>
    <xf numFmtId="0" fontId="10" fillId="6" borderId="6" xfId="0" applyFont="1" applyFill="1" applyBorder="1"/>
    <xf numFmtId="0" fontId="10" fillId="3" borderId="3" xfId="0" applyFont="1" applyFill="1" applyBorder="1"/>
    <xf numFmtId="0" fontId="0" fillId="3" borderId="0" xfId="0" applyFill="1"/>
    <xf numFmtId="0" fontId="9" fillId="4" borderId="2" xfId="0" applyFont="1" applyFill="1" applyBorder="1"/>
    <xf numFmtId="0" fontId="0" fillId="4" borderId="2" xfId="0" applyFill="1" applyBorder="1"/>
    <xf numFmtId="0" fontId="0" fillId="4" borderId="9" xfId="0" applyFill="1" applyBorder="1"/>
    <xf numFmtId="0" fontId="1" fillId="3" borderId="0" xfId="6" applyFill="1"/>
    <xf numFmtId="164" fontId="4" fillId="3" borderId="0" xfId="3" applyFill="1"/>
    <xf numFmtId="9" fontId="9" fillId="6" borderId="6" xfId="8" applyFont="1" applyFill="1" applyBorder="1"/>
    <xf numFmtId="10" fontId="9" fillId="3" borderId="1" xfId="0" applyNumberFormat="1" applyFont="1" applyFill="1" applyBorder="1"/>
    <xf numFmtId="10" fontId="9" fillId="3" borderId="6" xfId="0" applyNumberFormat="1" applyFont="1" applyFill="1" applyBorder="1"/>
    <xf numFmtId="10" fontId="9" fillId="3" borderId="1" xfId="8" applyNumberFormat="1" applyFont="1" applyFill="1" applyBorder="1"/>
    <xf numFmtId="10" fontId="9" fillId="3" borderId="6" xfId="8" applyNumberFormat="1" applyFont="1" applyFill="1" applyBorder="1"/>
    <xf numFmtId="0" fontId="1" fillId="3" borderId="1" xfId="6" applyFill="1" applyBorder="1"/>
    <xf numFmtId="0" fontId="1" fillId="3" borderId="6" xfId="6" applyFill="1" applyBorder="1"/>
    <xf numFmtId="164" fontId="4" fillId="3" borderId="2" xfId="3" applyFill="1" applyBorder="1"/>
    <xf numFmtId="0" fontId="1" fillId="5" borderId="1" xfId="6" applyFill="1" applyBorder="1" applyAlignment="1">
      <alignment horizontal="center" vertical="center"/>
    </xf>
    <xf numFmtId="0" fontId="1" fillId="5" borderId="6" xfId="6" applyFill="1" applyBorder="1" applyAlignment="1">
      <alignment horizontal="center" vertical="center"/>
    </xf>
    <xf numFmtId="0" fontId="1" fillId="5" borderId="3" xfId="6" applyFill="1" applyBorder="1" applyAlignment="1">
      <alignment horizontal="center" vertical="center"/>
    </xf>
    <xf numFmtId="174" fontId="1" fillId="3" borderId="0" xfId="5" applyNumberFormat="1" applyFill="1"/>
  </cellXfs>
  <cellStyles count="12">
    <cellStyle name="Comma 2" xfId="2" xr:uid="{91B205A7-301F-4B2E-A338-B08C69A42DEC}"/>
    <cellStyle name="Currency 2" xfId="4" xr:uid="{37173756-BB48-4AE1-A574-29A0950D521D}"/>
    <cellStyle name="Currency 2 3" xfId="11" xr:uid="{FF1D8B7A-57DB-44A2-9645-64248ACE6205}"/>
    <cellStyle name="Milliers" xfId="1" builtinId="3"/>
    <cellStyle name="Monétaire" xfId="3" builtinId="4"/>
    <cellStyle name="Normal" xfId="0" builtinId="0"/>
    <cellStyle name="Normal 2" xfId="5" xr:uid="{CE4CFD9C-E894-4A3F-8CD3-FB7C57F2780E}"/>
    <cellStyle name="Normal 2 2" xfId="6" xr:uid="{B8521F5A-AAB3-4F78-BA09-2C046C01FDEE}"/>
    <cellStyle name="Normal 3" xfId="7" xr:uid="{34F46D57-1392-46EF-AAD1-EDD2D8D25A54}"/>
    <cellStyle name="Percent 2" xfId="9" xr:uid="{21949878-F329-43F8-8770-43BCC4EFF5D7}"/>
    <cellStyle name="Percent 2 2" xfId="10" xr:uid="{42C7A384-CEE8-4F6A-A9AA-31EBC1287534}"/>
    <cellStyle name="Pourcentage" xfId="8"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586740</xdr:colOff>
      <xdr:row>18</xdr:row>
      <xdr:rowOff>144780</xdr:rowOff>
    </xdr:from>
    <xdr:to>
      <xdr:col>5</xdr:col>
      <xdr:colOff>403860</xdr:colOff>
      <xdr:row>24</xdr:row>
      <xdr:rowOff>99060</xdr:rowOff>
    </xdr:to>
    <xdr:sp macro="" textlink="">
      <xdr:nvSpPr>
        <xdr:cNvPr id="2" name="ZoneTexte 1">
          <a:extLst>
            <a:ext uri="{FF2B5EF4-FFF2-40B4-BE49-F238E27FC236}">
              <a16:creationId xmlns:a16="http://schemas.microsoft.com/office/drawing/2014/main" id="{185CC174-16AD-1310-D97C-FF69A7070A84}"/>
            </a:ext>
          </a:extLst>
        </xdr:cNvPr>
        <xdr:cNvSpPr txBox="1"/>
      </xdr:nvSpPr>
      <xdr:spPr>
        <a:xfrm>
          <a:off x="586740" y="4137660"/>
          <a:ext cx="4884420" cy="96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a:t>The Icelandic treasurer receives USD and needs to convert them into ISK, she expects USD to be stronger so she fears a depreciation of the USD against the ISK. To protect herself, she should buy </a:t>
          </a:r>
          <a:r>
            <a:rPr lang="fr-FR" b="1"/>
            <a:t>calls on ISK</a:t>
          </a:r>
          <a:r>
            <a:rPr lang="fr-FR"/>
            <a:t> (equivalently puts on USD) with maturities of 1 month through 12 months.</a:t>
          </a:r>
          <a:endParaRPr lang="fr-FR" sz="1100"/>
        </a:p>
      </xdr:txBody>
    </xdr:sp>
    <xdr:clientData/>
  </xdr:twoCellAnchor>
  <xdr:twoCellAnchor>
    <xdr:from>
      <xdr:col>1</xdr:col>
      <xdr:colOff>322730</xdr:colOff>
      <xdr:row>78</xdr:row>
      <xdr:rowOff>35859</xdr:rowOff>
    </xdr:from>
    <xdr:to>
      <xdr:col>4</xdr:col>
      <xdr:colOff>510988</xdr:colOff>
      <xdr:row>85</xdr:row>
      <xdr:rowOff>44824</xdr:rowOff>
    </xdr:to>
    <xdr:sp macro="" textlink="">
      <xdr:nvSpPr>
        <xdr:cNvPr id="3" name="ZoneTexte 2">
          <a:extLst>
            <a:ext uri="{FF2B5EF4-FFF2-40B4-BE49-F238E27FC236}">
              <a16:creationId xmlns:a16="http://schemas.microsoft.com/office/drawing/2014/main" id="{6B068CD7-1D92-9287-615D-00C452E91E28}"/>
            </a:ext>
          </a:extLst>
        </xdr:cNvPr>
        <xdr:cNvSpPr txBox="1"/>
      </xdr:nvSpPr>
      <xdr:spPr>
        <a:xfrm>
          <a:off x="1165412" y="16333694"/>
          <a:ext cx="3442447" cy="1201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a)The</a:t>
          </a:r>
          <a:r>
            <a:rPr lang="fr-FR" sz="1100" baseline="0"/>
            <a:t> pros are that you are paying nothing for the strategy and that you are securising your money and easy to do with no experience needed.</a:t>
          </a:r>
          <a:br>
            <a:rPr lang="fr-FR" sz="1100" baseline="0"/>
          </a:br>
          <a:r>
            <a:rPr lang="fr-FR" sz="1100" baseline="0"/>
            <a:t>The con is you couldn't win money if USD is getting stronger so you could not earn as much as you can.</a:t>
          </a:r>
          <a:endParaRPr lang="fr-FR" sz="1100"/>
        </a:p>
      </xdr:txBody>
    </xdr:sp>
    <xdr:clientData/>
  </xdr:twoCellAnchor>
  <xdr:twoCellAnchor>
    <xdr:from>
      <xdr:col>5</xdr:col>
      <xdr:colOff>744071</xdr:colOff>
      <xdr:row>78</xdr:row>
      <xdr:rowOff>80683</xdr:rowOff>
    </xdr:from>
    <xdr:to>
      <xdr:col>9</xdr:col>
      <xdr:colOff>53789</xdr:colOff>
      <xdr:row>85</xdr:row>
      <xdr:rowOff>53788</xdr:rowOff>
    </xdr:to>
    <xdr:sp macro="" textlink="">
      <xdr:nvSpPr>
        <xdr:cNvPr id="4" name="ZoneTexte 3">
          <a:extLst>
            <a:ext uri="{FF2B5EF4-FFF2-40B4-BE49-F238E27FC236}">
              <a16:creationId xmlns:a16="http://schemas.microsoft.com/office/drawing/2014/main" id="{41B53DDE-F5AC-8D91-4312-7AB2A35DBD88}"/>
            </a:ext>
          </a:extLst>
        </xdr:cNvPr>
        <xdr:cNvSpPr txBox="1"/>
      </xdr:nvSpPr>
      <xdr:spPr>
        <a:xfrm>
          <a:off x="5880847" y="16378518"/>
          <a:ext cx="3460377" cy="11654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b)The pros are: you are hedged, you can win money if USD is</a:t>
          </a:r>
          <a:r>
            <a:rPr lang="fr-FR" sz="1100" baseline="0"/>
            <a:t> getting stronger.</a:t>
          </a:r>
          <a:br>
            <a:rPr lang="fr-FR" sz="1100" baseline="0"/>
          </a:br>
          <a:r>
            <a:rPr lang="fr-FR" sz="1100" baseline="0"/>
            <a:t>Cons: You need to pay a huge premium. And it asks more time to buy the option each month.</a:t>
          </a:r>
          <a:endParaRPr lang="fr-FR" sz="1100"/>
        </a:p>
      </xdr:txBody>
    </xdr:sp>
    <xdr:clientData/>
  </xdr:twoCellAnchor>
  <xdr:twoCellAnchor>
    <xdr:from>
      <xdr:col>9</xdr:col>
      <xdr:colOff>959224</xdr:colOff>
      <xdr:row>78</xdr:row>
      <xdr:rowOff>107577</xdr:rowOff>
    </xdr:from>
    <xdr:to>
      <xdr:col>12</xdr:col>
      <xdr:colOff>71718</xdr:colOff>
      <xdr:row>85</xdr:row>
      <xdr:rowOff>62753</xdr:rowOff>
    </xdr:to>
    <xdr:sp macro="" textlink="">
      <xdr:nvSpPr>
        <xdr:cNvPr id="5" name="ZoneTexte 4">
          <a:extLst>
            <a:ext uri="{FF2B5EF4-FFF2-40B4-BE49-F238E27FC236}">
              <a16:creationId xmlns:a16="http://schemas.microsoft.com/office/drawing/2014/main" id="{DD784F49-73EC-C374-BA08-E7A44C427B56}"/>
            </a:ext>
          </a:extLst>
        </xdr:cNvPr>
        <xdr:cNvSpPr txBox="1"/>
      </xdr:nvSpPr>
      <xdr:spPr>
        <a:xfrm>
          <a:off x="10246659" y="16405412"/>
          <a:ext cx="3173506" cy="11474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c )Pros: Easy because 1 contract, less expensive</a:t>
          </a:r>
          <a:r>
            <a:rPr lang="fr-FR" sz="1100" baseline="0"/>
            <a:t> than b and </a:t>
          </a:r>
          <a:r>
            <a:rPr lang="fr-FR" sz="1100">
              <a:solidFill>
                <a:schemeClr val="dk1"/>
              </a:solidFill>
              <a:effectLst/>
              <a:latin typeface="+mn-lt"/>
              <a:ea typeface="+mn-ea"/>
              <a:cs typeface="+mn-cs"/>
            </a:rPr>
            <a:t>, you can win money if USD is</a:t>
          </a:r>
          <a:r>
            <a:rPr lang="fr-FR" sz="1100" baseline="0">
              <a:solidFill>
                <a:schemeClr val="dk1"/>
              </a:solidFill>
              <a:effectLst/>
              <a:latin typeface="+mn-lt"/>
              <a:ea typeface="+mn-ea"/>
              <a:cs typeface="+mn-cs"/>
            </a:rPr>
            <a:t> getting stronger.</a:t>
          </a:r>
        </a:p>
        <a:p>
          <a:r>
            <a:rPr lang="fr-FR" sz="1100" baseline="0">
              <a:solidFill>
                <a:schemeClr val="dk1"/>
              </a:solidFill>
              <a:effectLst/>
              <a:latin typeface="+mn-lt"/>
              <a:ea typeface="+mn-ea"/>
              <a:cs typeface="+mn-cs"/>
            </a:rPr>
            <a:t>Cons: PAy a premium, less precise hedging which could lead to some lose for some months.</a:t>
          </a:r>
          <a:endParaRPr lang="fr-FR" sz="1100"/>
        </a:p>
      </xdr:txBody>
    </xdr:sp>
    <xdr:clientData/>
  </xdr:twoCellAnchor>
  <xdr:twoCellAnchor>
    <xdr:from>
      <xdr:col>1</xdr:col>
      <xdr:colOff>268942</xdr:colOff>
      <xdr:row>87</xdr:row>
      <xdr:rowOff>125506</xdr:rowOff>
    </xdr:from>
    <xdr:to>
      <xdr:col>4</xdr:col>
      <xdr:colOff>510988</xdr:colOff>
      <xdr:row>94</xdr:row>
      <xdr:rowOff>80682</xdr:rowOff>
    </xdr:to>
    <xdr:sp macro="" textlink="">
      <xdr:nvSpPr>
        <xdr:cNvPr id="6" name="ZoneTexte 5">
          <a:extLst>
            <a:ext uri="{FF2B5EF4-FFF2-40B4-BE49-F238E27FC236}">
              <a16:creationId xmlns:a16="http://schemas.microsoft.com/office/drawing/2014/main" id="{360B3843-1D2F-A62A-889B-5A2E09447B7F}"/>
            </a:ext>
          </a:extLst>
        </xdr:cNvPr>
        <xdr:cNvSpPr txBox="1"/>
      </xdr:nvSpPr>
      <xdr:spPr>
        <a:xfrm>
          <a:off x="1111624" y="17956306"/>
          <a:ext cx="3496235" cy="11474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b="1"/>
            <a:t>I think the option c is the best because :</a:t>
          </a:r>
        </a:p>
        <a:p>
          <a:r>
            <a:rPr lang="fr-FR" b="1"/>
            <a:t>-Lower cost than strategy b)</a:t>
          </a:r>
          <a:r>
            <a:rPr lang="fr-FR"/>
            <a:t> </a:t>
          </a:r>
        </a:p>
        <a:p>
          <a:r>
            <a:rPr lang="fr-FR"/>
            <a:t>- </a:t>
          </a:r>
          <a:r>
            <a:rPr lang="fr-FR" b="1"/>
            <a:t>Sufficient global protection</a:t>
          </a:r>
          <a:r>
            <a:rPr lang="fr-FR"/>
            <a:t> </a:t>
          </a:r>
        </a:p>
        <a:p>
          <a:r>
            <a:rPr lang="fr-FR"/>
            <a:t>- </a:t>
          </a:r>
          <a:r>
            <a:rPr lang="fr-FR" b="1"/>
            <a:t>Upside retained unlike strategy a)</a:t>
          </a:r>
          <a:r>
            <a:rPr lang="fr-FR"/>
            <a:t> </a:t>
          </a:r>
        </a:p>
        <a:p>
          <a:r>
            <a:rPr lang="fr-FR" b="1"/>
            <a:t>-Operational </a:t>
          </a:r>
          <a:br>
            <a:rPr lang="fr-FR" b="1"/>
          </a:br>
          <a:r>
            <a:rPr lang="fr-FR" b="1"/>
            <a:t>So</a:t>
          </a:r>
          <a:r>
            <a:rPr lang="fr-FR" b="1" baseline="0"/>
            <a:t> that strategy is a combination of the first two by taking their advantage and reducing their flaws</a:t>
          </a:r>
          <a:endParaRPr lang="fr-FR" sz="1100"/>
        </a:p>
      </xdr:txBody>
    </xdr:sp>
    <xdr:clientData/>
  </xdr:twoCellAnchor>
  <xdr:twoCellAnchor>
    <xdr:from>
      <xdr:col>6</xdr:col>
      <xdr:colOff>179295</xdr:colOff>
      <xdr:row>18</xdr:row>
      <xdr:rowOff>116542</xdr:rowOff>
    </xdr:from>
    <xdr:to>
      <xdr:col>10</xdr:col>
      <xdr:colOff>1308847</xdr:colOff>
      <xdr:row>25</xdr:row>
      <xdr:rowOff>35860</xdr:rowOff>
    </xdr:to>
    <xdr:sp macro="" textlink="">
      <xdr:nvSpPr>
        <xdr:cNvPr id="7" name="ZoneTexte 6">
          <a:extLst>
            <a:ext uri="{FF2B5EF4-FFF2-40B4-BE49-F238E27FC236}">
              <a16:creationId xmlns:a16="http://schemas.microsoft.com/office/drawing/2014/main" id="{91C6F25A-67C4-7F69-399B-0B062FC44457}"/>
            </a:ext>
          </a:extLst>
        </xdr:cNvPr>
        <xdr:cNvSpPr txBox="1"/>
      </xdr:nvSpPr>
      <xdr:spPr>
        <a:xfrm>
          <a:off x="6535271" y="4186518"/>
          <a:ext cx="5387788" cy="1111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b="1"/>
            <a:t>Full downside protection from the outset:</a:t>
          </a:r>
          <a:r>
            <a:rPr lang="fr-FR"/>
            <a:t> An ATM forward strike means she is protected against </a:t>
          </a:r>
          <a:r>
            <a:rPr lang="fr-FR" i="1"/>
            <a:t>any</a:t>
          </a:r>
          <a:r>
            <a:rPr lang="fr-FR"/>
            <a:t> adverse deviation below what the market currently implies for each settlement date. She loses nothing relative to the forward benchmark if markets move against her.</a:t>
          </a: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716280</xdr:colOff>
      <xdr:row>14</xdr:row>
      <xdr:rowOff>148590</xdr:rowOff>
    </xdr:from>
    <xdr:to>
      <xdr:col>10</xdr:col>
      <xdr:colOff>45720</xdr:colOff>
      <xdr:row>20</xdr:row>
      <xdr:rowOff>57150</xdr:rowOff>
    </xdr:to>
    <xdr:sp macro="" textlink="">
      <xdr:nvSpPr>
        <xdr:cNvPr id="2" name="ZoneTexte 1">
          <a:extLst>
            <a:ext uri="{FF2B5EF4-FFF2-40B4-BE49-F238E27FC236}">
              <a16:creationId xmlns:a16="http://schemas.microsoft.com/office/drawing/2014/main" id="{C0CC8517-B45A-F379-C093-C432D5DE7010}"/>
            </a:ext>
          </a:extLst>
        </xdr:cNvPr>
        <xdr:cNvSpPr txBox="1"/>
      </xdr:nvSpPr>
      <xdr:spPr>
        <a:xfrm>
          <a:off x="4998720" y="2617470"/>
          <a:ext cx="474726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So</a:t>
          </a:r>
          <a:r>
            <a:rPr lang="fr-FR" sz="1100" baseline="0"/>
            <a:t> we can see more the option are correlated less the price is. Wich make sense because the payoff has more chance to be huge with stock varying completely differently because of the bigger gap between their values.</a:t>
          </a:r>
          <a:endParaRPr lang="fr-FR"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4" dT="2026-03-22T04:30:35.71" personId="{00000000-0000-0000-0000-000000000000}" id="{78EBBF48-7D05-4DCE-8274-724816280504}">
    <text>Notional applied from 22 Jun 26 - 22 Jun 27</text>
  </threadedComment>
  <threadedComment ref="C8" dT="2026-03-22T04:31:00.09" personId="{00000000-0000-0000-0000-000000000000}" id="{CC0640A2-5CEB-4542-8A56-BE39D5D47B64}">
    <text>Notional applied from 22 Jun 27 to 22 Jun 28</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8F8A0-90F2-4082-868A-0A5DDDB5EFE2}">
  <sheetPr codeName="Feuil1"/>
  <dimension ref="A1:G27"/>
  <sheetViews>
    <sheetView workbookViewId="0">
      <selection activeCell="G13" sqref="G13"/>
    </sheetView>
  </sheetViews>
  <sheetFormatPr baseColWidth="10" defaultColWidth="9.21875" defaultRowHeight="13.2" x14ac:dyDescent="0.25"/>
  <cols>
    <col min="1" max="1" width="9.21875" style="13"/>
    <col min="2" max="2" width="19.5546875" style="13" bestFit="1" customWidth="1"/>
    <col min="3" max="3" width="28.21875" style="51" bestFit="1" customWidth="1"/>
    <col min="4" max="4" width="29" style="13" bestFit="1" customWidth="1"/>
    <col min="5" max="5" width="19.109375" style="13" bestFit="1" customWidth="1"/>
    <col min="6" max="16384" width="9.21875" style="13"/>
  </cols>
  <sheetData>
    <row r="1" spans="1:7" x14ac:dyDescent="0.25">
      <c r="A1" s="13" t="s">
        <v>62</v>
      </c>
    </row>
    <row r="2" spans="1:7" x14ac:dyDescent="0.25">
      <c r="B2" s="41" t="s">
        <v>0</v>
      </c>
      <c r="C2" s="52" t="s">
        <v>17</v>
      </c>
      <c r="D2" s="42" t="s">
        <v>18</v>
      </c>
      <c r="E2" s="43" t="s">
        <v>50</v>
      </c>
    </row>
    <row r="3" spans="1:7" x14ac:dyDescent="0.25">
      <c r="B3" s="41" t="s">
        <v>19</v>
      </c>
      <c r="C3" s="9">
        <v>0.06</v>
      </c>
      <c r="D3" s="9">
        <v>0.03</v>
      </c>
      <c r="E3" s="56">
        <f>$C$8*EXP((C3-D3)*2/12)</f>
        <v>125.62656510742512</v>
      </c>
    </row>
    <row r="4" spans="1:7" x14ac:dyDescent="0.25">
      <c r="B4" s="44" t="s">
        <v>20</v>
      </c>
      <c r="C4" s="10">
        <v>6.5000000000000002E-2</v>
      </c>
      <c r="D4" s="10">
        <v>3.2500000000000001E-2</v>
      </c>
      <c r="E4" s="56">
        <f>$C$8*EXP((C4-D4)*4/12)</f>
        <v>126.36152829575525</v>
      </c>
    </row>
    <row r="5" spans="1:7" x14ac:dyDescent="0.25">
      <c r="B5" s="44" t="s">
        <v>21</v>
      </c>
      <c r="C5" s="10">
        <v>6.7500000000000004E-2</v>
      </c>
      <c r="D5" s="10">
        <v>0.04</v>
      </c>
      <c r="E5" s="56">
        <f>$C$8*EXP((C5-D5)*6/12)</f>
        <v>126.73062075146174</v>
      </c>
    </row>
    <row r="6" spans="1:7" x14ac:dyDescent="0.25">
      <c r="B6" s="45" t="s">
        <v>22</v>
      </c>
      <c r="C6" s="11">
        <v>7.0000000000000007E-2</v>
      </c>
      <c r="D6" s="11">
        <v>0.05</v>
      </c>
      <c r="E6" s="56">
        <f>$C$8*EXP((C6-D6)*8/12)</f>
        <v>126.67782732554281</v>
      </c>
    </row>
    <row r="7" spans="1:7" x14ac:dyDescent="0.25">
      <c r="B7" s="46"/>
      <c r="C7" s="53"/>
      <c r="D7" s="12"/>
    </row>
    <row r="8" spans="1:7" x14ac:dyDescent="0.25">
      <c r="B8" s="43" t="s">
        <v>14</v>
      </c>
      <c r="C8" s="54">
        <v>125</v>
      </c>
      <c r="D8" s="47"/>
    </row>
    <row r="9" spans="1:7" x14ac:dyDescent="0.25">
      <c r="B9" s="43" t="s">
        <v>9</v>
      </c>
      <c r="C9" s="54">
        <v>100000000</v>
      </c>
    </row>
    <row r="10" spans="1:7" x14ac:dyDescent="0.25">
      <c r="E10" s="40"/>
    </row>
    <row r="12" spans="1:7" x14ac:dyDescent="0.25">
      <c r="F12" s="13" t="s">
        <v>31</v>
      </c>
      <c r="G12" s="13" t="s">
        <v>30</v>
      </c>
    </row>
    <row r="13" spans="1:7" x14ac:dyDescent="0.25">
      <c r="E13" s="89" t="s">
        <v>79</v>
      </c>
      <c r="F13" s="89">
        <f>NORMSDIST(C25)</f>
        <v>0.46746265582105884</v>
      </c>
      <c r="G13" s="89">
        <f>(1-'Question 1c'!G4)^2+2*'Question 1c'!G4*(1-'Question 1c'!G4)^2+3*'Question 1c'!G4^2*(1-'Question 1c'!G4)^2</f>
        <v>0.68746596339914845</v>
      </c>
    </row>
    <row r="14" spans="1:7" x14ac:dyDescent="0.25">
      <c r="A14" s="13" t="s">
        <v>63</v>
      </c>
      <c r="B14" s="48" t="s">
        <v>51</v>
      </c>
      <c r="C14" s="50">
        <f>C8</f>
        <v>125</v>
      </c>
      <c r="D14" s="49" t="s">
        <v>52</v>
      </c>
    </row>
    <row r="15" spans="1:7" x14ac:dyDescent="0.25">
      <c r="B15" s="48" t="s">
        <v>53</v>
      </c>
      <c r="C15" s="50">
        <f>E6</f>
        <v>126.67782732554281</v>
      </c>
      <c r="D15" s="49" t="s">
        <v>52</v>
      </c>
    </row>
    <row r="16" spans="1:7" ht="14.4" x14ac:dyDescent="0.3">
      <c r="B16" s="48" t="s">
        <v>54</v>
      </c>
      <c r="C16" s="86">
        <f>C6</f>
        <v>7.0000000000000007E-2</v>
      </c>
      <c r="D16" s="49"/>
    </row>
    <row r="17" spans="2:4" ht="14.4" x14ac:dyDescent="0.3">
      <c r="B17" s="48" t="s">
        <v>55</v>
      </c>
      <c r="C17" s="86">
        <f>D6</f>
        <v>0.05</v>
      </c>
      <c r="D17" s="49"/>
    </row>
    <row r="18" spans="2:4" ht="14.4" x14ac:dyDescent="0.3">
      <c r="B18" s="48" t="s">
        <v>56</v>
      </c>
      <c r="C18" s="86">
        <v>0.2</v>
      </c>
      <c r="D18" s="49"/>
    </row>
    <row r="19" spans="2:4" x14ac:dyDescent="0.25">
      <c r="B19" s="48" t="s">
        <v>0</v>
      </c>
      <c r="C19" s="50">
        <f>8/12</f>
        <v>0.66666666666666663</v>
      </c>
      <c r="D19" s="49"/>
    </row>
    <row r="20" spans="2:4" x14ac:dyDescent="0.25">
      <c r="B20" s="48" t="s">
        <v>9</v>
      </c>
      <c r="C20" s="50">
        <f>C9</f>
        <v>100000000</v>
      </c>
      <c r="D20" s="49"/>
    </row>
    <row r="21" spans="2:4" x14ac:dyDescent="0.25">
      <c r="B21" s="48" t="s">
        <v>57</v>
      </c>
      <c r="C21" s="50">
        <f>C20/C15</f>
        <v>789404.12944575667</v>
      </c>
      <c r="D21" s="49"/>
    </row>
    <row r="22" spans="2:4" x14ac:dyDescent="0.25">
      <c r="B22" s="49"/>
      <c r="D22" s="49"/>
    </row>
    <row r="23" spans="2:4" x14ac:dyDescent="0.25">
      <c r="B23" s="49"/>
      <c r="D23" s="49"/>
    </row>
    <row r="24" spans="2:4" x14ac:dyDescent="0.25">
      <c r="B24" s="48" t="s">
        <v>58</v>
      </c>
      <c r="C24" s="50">
        <f>(LN(C14/C15)+((C16-C17+(0.5*C18*C18))*C19))/(C18*SQRT(C19))</f>
        <v>8.164965809277315E-2</v>
      </c>
      <c r="D24" s="49"/>
    </row>
    <row r="25" spans="2:4" x14ac:dyDescent="0.25">
      <c r="B25" s="48" t="s">
        <v>59</v>
      </c>
      <c r="C25" s="50">
        <f>C24-(C18*SQRT(C19))</f>
        <v>-8.1649658092772068E-2</v>
      </c>
      <c r="D25" s="49"/>
    </row>
    <row r="26" spans="2:4" x14ac:dyDescent="0.25">
      <c r="B26" s="48" t="s">
        <v>60</v>
      </c>
      <c r="C26" s="50">
        <f>(-C14*EXP(-C17*C19)*NORMSDIST(-C24))+(C15*EXP(-C16*C19)*NORMSDIST(-C25))</f>
        <v>7.8676607891991353</v>
      </c>
      <c r="D26" s="49" t="s">
        <v>52</v>
      </c>
    </row>
    <row r="27" spans="2:4" x14ac:dyDescent="0.25">
      <c r="B27" s="48" t="s">
        <v>60</v>
      </c>
      <c r="C27" s="55">
        <f>C26*C21</f>
        <v>6210763.9160722578</v>
      </c>
      <c r="D27" s="49" t="s">
        <v>61</v>
      </c>
    </row>
  </sheetData>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34E10-89DD-4A7A-B8CB-7F3633C0CF83}">
  <sheetPr codeName="Feuil2"/>
  <dimension ref="A1:AE138"/>
  <sheetViews>
    <sheetView workbookViewId="0">
      <selection activeCell="G7" sqref="G7"/>
    </sheetView>
  </sheetViews>
  <sheetFormatPr baseColWidth="10" defaultRowHeight="14.4" x14ac:dyDescent="0.3"/>
  <cols>
    <col min="1" max="1" width="17.88671875" bestFit="1" customWidth="1"/>
    <col min="7" max="7" width="13" bestFit="1" customWidth="1"/>
  </cols>
  <sheetData>
    <row r="1" spans="1:31" x14ac:dyDescent="0.3">
      <c r="A1" s="57" t="s">
        <v>13</v>
      </c>
      <c r="B1" s="58">
        <v>125</v>
      </c>
      <c r="C1" s="59" t="s">
        <v>52</v>
      </c>
      <c r="D1" s="59"/>
      <c r="E1" s="160" t="s">
        <v>64</v>
      </c>
      <c r="F1" s="60" t="s">
        <v>65</v>
      </c>
      <c r="G1" s="48">
        <f>B6/B7</f>
        <v>0.16666666666666666</v>
      </c>
      <c r="H1" s="49"/>
      <c r="I1" s="59"/>
      <c r="J1" s="59"/>
      <c r="K1" s="59"/>
      <c r="L1" s="59"/>
      <c r="M1" s="59"/>
      <c r="N1" s="59"/>
      <c r="O1" s="59"/>
      <c r="P1" s="59"/>
      <c r="Q1" s="59"/>
      <c r="R1" s="59"/>
      <c r="S1" s="59"/>
      <c r="T1" s="59"/>
      <c r="U1" s="59"/>
      <c r="V1" s="59"/>
      <c r="W1" s="59"/>
      <c r="X1" s="59"/>
      <c r="Y1" s="59"/>
      <c r="Z1" s="59"/>
      <c r="AA1" s="59"/>
      <c r="AB1" s="59"/>
      <c r="AC1" s="59"/>
      <c r="AD1" s="59"/>
      <c r="AE1" s="59"/>
    </row>
    <row r="2" spans="1:31" x14ac:dyDescent="0.3">
      <c r="A2" s="61" t="s">
        <v>33</v>
      </c>
      <c r="B2" s="62">
        <f>'Question 1abd'!E6</f>
        <v>126.67782732554281</v>
      </c>
      <c r="C2" s="59" t="s">
        <v>52</v>
      </c>
      <c r="D2" s="59"/>
      <c r="E2" s="161"/>
      <c r="F2" s="60" t="s">
        <v>66</v>
      </c>
      <c r="G2" s="48">
        <f>EXP(B3*SQRT(G1))</f>
        <v>1.0850755957772693</v>
      </c>
      <c r="H2" s="49"/>
      <c r="I2" s="59"/>
      <c r="J2" s="59"/>
      <c r="K2" s="59"/>
      <c r="L2" s="59"/>
      <c r="M2" s="59"/>
      <c r="N2" s="59"/>
      <c r="O2" s="49"/>
      <c r="P2" s="49"/>
      <c r="Q2" s="59"/>
      <c r="R2" s="59"/>
      <c r="S2" s="59"/>
      <c r="T2" s="59"/>
      <c r="U2" s="59"/>
      <c r="V2" s="59"/>
      <c r="W2" s="59"/>
      <c r="X2" s="59"/>
      <c r="Y2" s="59"/>
      <c r="Z2" s="59"/>
      <c r="AA2" s="59"/>
      <c r="AB2" s="59"/>
      <c r="AC2" s="59"/>
      <c r="AD2" s="59"/>
      <c r="AE2" s="59"/>
    </row>
    <row r="3" spans="1:31" x14ac:dyDescent="0.3">
      <c r="A3" s="61" t="s">
        <v>56</v>
      </c>
      <c r="B3" s="63">
        <v>0.2</v>
      </c>
      <c r="C3" s="59"/>
      <c r="D3" s="59"/>
      <c r="E3" s="161"/>
      <c r="F3" s="60" t="s">
        <v>32</v>
      </c>
      <c r="G3" s="48">
        <f>1/G2</f>
        <v>0.92159477541624435</v>
      </c>
      <c r="H3" s="49"/>
      <c r="I3" s="59"/>
      <c r="J3" s="59"/>
      <c r="K3" s="59"/>
      <c r="L3" s="59"/>
      <c r="M3" s="59"/>
      <c r="N3" s="59"/>
      <c r="O3" s="49"/>
      <c r="P3" s="49"/>
      <c r="Q3" s="59"/>
      <c r="R3" s="59"/>
      <c r="S3" s="59"/>
      <c r="T3" s="59"/>
      <c r="U3" s="59"/>
      <c r="V3" s="59"/>
      <c r="W3" s="59"/>
      <c r="X3" s="59"/>
      <c r="Y3" s="59"/>
      <c r="Z3" s="59"/>
      <c r="AA3" s="59"/>
      <c r="AB3" s="59"/>
      <c r="AC3" s="59"/>
      <c r="AD3" s="59"/>
      <c r="AE3" s="59"/>
    </row>
    <row r="4" spans="1:31" x14ac:dyDescent="0.3">
      <c r="A4" s="61" t="s">
        <v>67</v>
      </c>
      <c r="B4" s="85">
        <f>'Question 1abd'!C6</f>
        <v>7.0000000000000007E-2</v>
      </c>
      <c r="C4" s="59"/>
      <c r="D4" s="59"/>
      <c r="E4" s="161"/>
      <c r="F4" s="64" t="s">
        <v>68</v>
      </c>
      <c r="G4" s="65">
        <f>(EXP((B4-B5)*G1)-G3)/(G2-G3)</f>
        <v>0.50002269055238879</v>
      </c>
      <c r="H4" s="49"/>
      <c r="I4" s="59"/>
      <c r="J4" s="59"/>
      <c r="K4" s="59"/>
      <c r="L4" s="59"/>
      <c r="M4" s="59"/>
      <c r="N4" s="59"/>
      <c r="O4" s="49"/>
      <c r="P4" s="49"/>
      <c r="Q4" s="59"/>
      <c r="R4" s="59"/>
      <c r="S4" s="59"/>
      <c r="T4" s="59"/>
      <c r="U4" s="59"/>
      <c r="V4" s="59"/>
      <c r="W4" s="59"/>
      <c r="X4" s="59"/>
      <c r="Y4" s="59"/>
      <c r="Z4" s="59"/>
      <c r="AA4" s="59"/>
      <c r="AB4" s="59"/>
      <c r="AC4" s="59"/>
      <c r="AD4" s="59"/>
      <c r="AE4" s="59"/>
    </row>
    <row r="5" spans="1:31" x14ac:dyDescent="0.3">
      <c r="A5" s="61" t="s">
        <v>69</v>
      </c>
      <c r="B5" s="63">
        <f>'Question 1abd'!D6</f>
        <v>0.05</v>
      </c>
      <c r="C5" s="59"/>
      <c r="D5" s="59"/>
      <c r="E5" s="162"/>
      <c r="F5" s="65" t="s">
        <v>70</v>
      </c>
      <c r="G5" s="66">
        <f>A108</f>
        <v>8.0800062508920156</v>
      </c>
      <c r="H5" s="59" t="s">
        <v>52</v>
      </c>
      <c r="I5" s="59"/>
      <c r="J5" s="59"/>
      <c r="K5" s="59"/>
      <c r="L5" s="59"/>
      <c r="M5" s="59"/>
      <c r="N5" s="59"/>
      <c r="O5" s="49"/>
      <c r="P5" s="67"/>
      <c r="Q5" s="59"/>
      <c r="R5" s="59"/>
      <c r="S5" s="59"/>
      <c r="T5" s="59"/>
      <c r="U5" s="59"/>
      <c r="V5" s="59"/>
      <c r="W5" s="59"/>
      <c r="X5" s="59"/>
      <c r="Y5" s="59"/>
      <c r="Z5" s="59"/>
      <c r="AA5" s="59"/>
      <c r="AB5" s="59"/>
      <c r="AC5" s="59"/>
      <c r="AD5" s="59"/>
      <c r="AE5" s="59"/>
    </row>
    <row r="6" spans="1:31" x14ac:dyDescent="0.3">
      <c r="A6" s="61" t="s">
        <v>71</v>
      </c>
      <c r="B6" s="68">
        <f>8/12</f>
        <v>0.66666666666666663</v>
      </c>
      <c r="C6" s="59"/>
      <c r="D6" s="59"/>
      <c r="E6" s="69"/>
      <c r="F6" s="49"/>
      <c r="G6" s="88">
        <f>G5*B9</f>
        <v>6378390.3004016839</v>
      </c>
      <c r="H6" s="59" t="s">
        <v>72</v>
      </c>
      <c r="I6" s="59"/>
      <c r="J6" s="59"/>
      <c r="K6" s="59"/>
      <c r="L6" s="59"/>
      <c r="M6" s="59"/>
      <c r="N6" s="59"/>
      <c r="O6" s="49"/>
      <c r="P6" s="70"/>
      <c r="Q6" s="59"/>
      <c r="R6" s="59"/>
      <c r="S6" s="59"/>
      <c r="T6" s="59"/>
      <c r="U6" s="59"/>
      <c r="V6" s="59"/>
      <c r="W6" s="59"/>
      <c r="X6" s="59"/>
      <c r="Y6" s="59"/>
      <c r="Z6" s="59"/>
      <c r="AA6" s="59"/>
      <c r="AB6" s="59"/>
      <c r="AC6" s="59"/>
      <c r="AD6" s="59"/>
      <c r="AE6" s="59"/>
    </row>
    <row r="7" spans="1:31" x14ac:dyDescent="0.3">
      <c r="A7" s="71" t="s">
        <v>73</v>
      </c>
      <c r="B7" s="72">
        <v>4</v>
      </c>
      <c r="C7" s="59"/>
      <c r="D7" s="59"/>
      <c r="E7" s="69"/>
      <c r="F7" s="73"/>
      <c r="G7" s="87">
        <f>G6/B1</f>
        <v>51027.122403213471</v>
      </c>
      <c r="H7" s="59" t="s">
        <v>74</v>
      </c>
      <c r="I7" s="59"/>
      <c r="J7" s="59"/>
      <c r="K7" s="59"/>
      <c r="L7" s="59"/>
      <c r="M7" s="59"/>
      <c r="N7" s="59"/>
      <c r="O7" s="59"/>
      <c r="P7" s="59"/>
      <c r="Q7" s="59"/>
      <c r="R7" s="59"/>
      <c r="S7" s="59"/>
      <c r="T7" s="59"/>
      <c r="U7" s="59"/>
      <c r="V7" s="59"/>
      <c r="W7" s="59"/>
      <c r="X7" s="59"/>
      <c r="Y7" s="59"/>
      <c r="Z7" s="59"/>
      <c r="AA7" s="59"/>
      <c r="AB7" s="59"/>
      <c r="AC7" s="59"/>
      <c r="AD7" s="59"/>
      <c r="AE7" s="59"/>
    </row>
    <row r="8" spans="1:31" x14ac:dyDescent="0.3">
      <c r="A8" s="74" t="s">
        <v>75</v>
      </c>
      <c r="B8" s="75">
        <v>100000000</v>
      </c>
      <c r="C8" s="59" t="s">
        <v>72</v>
      </c>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row>
    <row r="9" spans="1:31" x14ac:dyDescent="0.3">
      <c r="A9" s="74" t="s">
        <v>75</v>
      </c>
      <c r="B9" s="75">
        <f>B8/B2</f>
        <v>789404.12944575667</v>
      </c>
      <c r="C9" s="59" t="s">
        <v>74</v>
      </c>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row>
    <row r="10" spans="1:31" x14ac:dyDescent="0.3">
      <c r="A10" s="76"/>
      <c r="B10" s="76"/>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row>
    <row r="11" spans="1:31" x14ac:dyDescent="0.3">
      <c r="A11" s="76"/>
      <c r="B11" s="76"/>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row>
    <row r="12" spans="1:31" x14ac:dyDescent="0.3">
      <c r="A12" s="76"/>
      <c r="B12" s="76"/>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row>
    <row r="13" spans="1:31" x14ac:dyDescent="0.3">
      <c r="A13" s="76"/>
      <c r="B13" s="76"/>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row>
    <row r="14" spans="1:31" x14ac:dyDescent="0.3">
      <c r="A14" s="77">
        <v>0</v>
      </c>
      <c r="B14" s="78" t="s">
        <v>65</v>
      </c>
      <c r="C14" s="78" t="s">
        <v>76</v>
      </c>
      <c r="D14" s="78" t="s">
        <v>77</v>
      </c>
      <c r="E14" s="78" t="s">
        <v>78</v>
      </c>
      <c r="F14" s="78"/>
      <c r="G14" s="78"/>
      <c r="H14" s="78"/>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x14ac:dyDescent="0.3">
      <c r="A15" s="79"/>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80"/>
    </row>
    <row r="16" spans="1:31" x14ac:dyDescent="0.3">
      <c r="A16" s="79"/>
      <c r="B16" s="79"/>
      <c r="C16" s="79"/>
      <c r="D16" s="79"/>
      <c r="E16" s="79"/>
      <c r="F16" s="79"/>
      <c r="G16" s="79"/>
      <c r="H16" s="79"/>
      <c r="I16" s="79"/>
      <c r="J16" s="79"/>
      <c r="K16" s="79"/>
      <c r="L16" s="79"/>
      <c r="M16" s="79"/>
      <c r="N16" s="79"/>
      <c r="O16" s="79"/>
      <c r="P16" s="79"/>
      <c r="Q16" s="79"/>
      <c r="R16" s="79"/>
      <c r="S16" s="79"/>
      <c r="T16" s="79"/>
      <c r="U16" s="79"/>
      <c r="V16" s="79"/>
      <c r="W16" s="79"/>
      <c r="X16" s="79"/>
      <c r="Y16" s="79"/>
      <c r="Z16" s="79"/>
      <c r="AA16" s="79"/>
      <c r="AB16" s="79"/>
      <c r="AC16" s="79"/>
      <c r="AD16" s="80"/>
      <c r="AE16" s="79"/>
    </row>
    <row r="17" spans="1:31" x14ac:dyDescent="0.3">
      <c r="A17" s="79"/>
      <c r="B17" s="79"/>
      <c r="C17" s="79"/>
      <c r="D17" s="79"/>
      <c r="E17" s="79"/>
      <c r="F17" s="79"/>
      <c r="G17" s="79"/>
      <c r="H17" s="79"/>
      <c r="I17" s="79"/>
      <c r="J17" s="79"/>
      <c r="K17" s="79"/>
      <c r="L17" s="79"/>
      <c r="M17" s="79"/>
      <c r="N17" s="79"/>
      <c r="O17" s="79"/>
      <c r="P17" s="79"/>
      <c r="Q17" s="79"/>
      <c r="R17" s="79"/>
      <c r="S17" s="79"/>
      <c r="T17" s="79"/>
      <c r="U17" s="79"/>
      <c r="V17" s="79"/>
      <c r="W17" s="79"/>
      <c r="X17" s="79"/>
      <c r="Y17" s="79"/>
      <c r="Z17" s="79"/>
      <c r="AA17" s="79"/>
      <c r="AB17" s="79"/>
      <c r="AC17" s="80"/>
      <c r="AD17" s="79"/>
      <c r="AE17" s="80"/>
    </row>
    <row r="18" spans="1:31" x14ac:dyDescent="0.3">
      <c r="A18" s="79"/>
      <c r="B18" s="79"/>
      <c r="C18" s="79"/>
      <c r="D18" s="79"/>
      <c r="E18" s="79"/>
      <c r="F18" s="79"/>
      <c r="G18" s="79"/>
      <c r="H18" s="79"/>
      <c r="I18" s="79"/>
      <c r="J18" s="79"/>
      <c r="K18" s="79"/>
      <c r="L18" s="79"/>
      <c r="M18" s="79"/>
      <c r="N18" s="79"/>
      <c r="O18" s="79"/>
      <c r="P18" s="79"/>
      <c r="Q18" s="79"/>
      <c r="R18" s="79"/>
      <c r="S18" s="79"/>
      <c r="T18" s="79"/>
      <c r="U18" s="79"/>
      <c r="V18" s="79"/>
      <c r="W18" s="79"/>
      <c r="X18" s="79"/>
      <c r="Y18" s="79"/>
      <c r="Z18" s="79"/>
      <c r="AA18" s="79"/>
      <c r="AB18" s="80"/>
      <c r="AC18" s="79"/>
      <c r="AD18" s="80"/>
      <c r="AE18" s="79"/>
    </row>
    <row r="19" spans="1:31" x14ac:dyDescent="0.3">
      <c r="A19" s="79"/>
      <c r="B19" s="79"/>
      <c r="C19" s="79"/>
      <c r="D19" s="79"/>
      <c r="E19" s="79"/>
      <c r="F19" s="79"/>
      <c r="G19" s="79"/>
      <c r="H19" s="79"/>
      <c r="I19" s="79"/>
      <c r="J19" s="79"/>
      <c r="K19" s="79"/>
      <c r="L19" s="79"/>
      <c r="M19" s="79"/>
      <c r="N19" s="79"/>
      <c r="O19" s="79"/>
      <c r="P19" s="79"/>
      <c r="Q19" s="79"/>
      <c r="R19" s="79"/>
      <c r="S19" s="79"/>
      <c r="T19" s="79"/>
      <c r="U19" s="79"/>
      <c r="V19" s="79"/>
      <c r="W19" s="79"/>
      <c r="X19" s="79"/>
      <c r="Y19" s="79"/>
      <c r="Z19" s="79"/>
      <c r="AA19" s="80"/>
      <c r="AB19" s="79"/>
      <c r="AC19" s="80"/>
      <c r="AD19" s="79"/>
      <c r="AE19" s="80"/>
    </row>
    <row r="20" spans="1:31" x14ac:dyDescent="0.3">
      <c r="A20" s="79"/>
      <c r="B20" s="79"/>
      <c r="C20" s="79"/>
      <c r="D20" s="79"/>
      <c r="E20" s="79"/>
      <c r="F20" s="79"/>
      <c r="G20" s="79"/>
      <c r="H20" s="79"/>
      <c r="I20" s="79"/>
      <c r="J20" s="79"/>
      <c r="K20" s="79"/>
      <c r="L20" s="79"/>
      <c r="M20" s="79"/>
      <c r="N20" s="79"/>
      <c r="O20" s="79"/>
      <c r="P20" s="79"/>
      <c r="Q20" s="79"/>
      <c r="R20" s="79"/>
      <c r="S20" s="79"/>
      <c r="T20" s="79"/>
      <c r="U20" s="79"/>
      <c r="V20" s="79"/>
      <c r="W20" s="79"/>
      <c r="X20" s="79"/>
      <c r="Y20" s="79"/>
      <c r="Z20" s="80"/>
      <c r="AA20" s="79"/>
      <c r="AB20" s="80"/>
      <c r="AC20" s="79"/>
      <c r="AD20" s="80"/>
      <c r="AE20" s="79"/>
    </row>
    <row r="21" spans="1:31" x14ac:dyDescent="0.3">
      <c r="A21" s="79"/>
      <c r="B21" s="79"/>
      <c r="C21" s="79"/>
      <c r="D21" s="79"/>
      <c r="E21" s="79"/>
      <c r="F21" s="79"/>
      <c r="G21" s="79"/>
      <c r="H21" s="79"/>
      <c r="I21" s="79"/>
      <c r="J21" s="79"/>
      <c r="K21" s="79"/>
      <c r="L21" s="79"/>
      <c r="M21" s="79"/>
      <c r="N21" s="79"/>
      <c r="O21" s="79"/>
      <c r="P21" s="79"/>
      <c r="Q21" s="79"/>
      <c r="R21" s="79"/>
      <c r="S21" s="79"/>
      <c r="T21" s="79"/>
      <c r="U21" s="79"/>
      <c r="V21" s="79"/>
      <c r="W21" s="79"/>
      <c r="X21" s="79"/>
      <c r="Y21" s="80"/>
      <c r="Z21" s="79"/>
      <c r="AA21" s="80"/>
      <c r="AB21" s="79"/>
      <c r="AC21" s="80"/>
      <c r="AD21" s="79"/>
      <c r="AE21" s="80"/>
    </row>
    <row r="22" spans="1:31" x14ac:dyDescent="0.3">
      <c r="A22" s="79"/>
      <c r="B22" s="79"/>
      <c r="C22" s="79"/>
      <c r="D22" s="79"/>
      <c r="E22" s="79"/>
      <c r="F22" s="79"/>
      <c r="G22" s="79"/>
      <c r="H22" s="79"/>
      <c r="I22" s="79"/>
      <c r="J22" s="79"/>
      <c r="K22" s="79"/>
      <c r="L22" s="79"/>
      <c r="M22" s="79"/>
      <c r="N22" s="79"/>
      <c r="O22" s="79"/>
      <c r="P22" s="79"/>
      <c r="Q22" s="79"/>
      <c r="R22" s="79"/>
      <c r="S22" s="79"/>
      <c r="T22" s="79"/>
      <c r="U22" s="79"/>
      <c r="V22" s="79"/>
      <c r="W22" s="79"/>
      <c r="X22" s="80"/>
      <c r="Y22" s="79"/>
      <c r="Z22" s="80"/>
      <c r="AA22" s="79"/>
      <c r="AB22" s="80"/>
      <c r="AC22" s="79"/>
      <c r="AD22" s="80"/>
      <c r="AE22" s="79"/>
    </row>
    <row r="23" spans="1:31" x14ac:dyDescent="0.3">
      <c r="A23" s="79"/>
      <c r="B23" s="79"/>
      <c r="C23" s="79"/>
      <c r="D23" s="79"/>
      <c r="E23" s="79"/>
      <c r="F23" s="79"/>
      <c r="G23" s="79"/>
      <c r="H23" s="79"/>
      <c r="I23" s="79"/>
      <c r="J23" s="79"/>
      <c r="K23" s="79"/>
      <c r="L23" s="79"/>
      <c r="M23" s="79"/>
      <c r="N23" s="79"/>
      <c r="O23" s="79"/>
      <c r="P23" s="79"/>
      <c r="Q23" s="79"/>
      <c r="R23" s="79"/>
      <c r="S23" s="79"/>
      <c r="T23" s="79"/>
      <c r="U23" s="79"/>
      <c r="V23" s="79"/>
      <c r="W23" s="80"/>
      <c r="X23" s="79"/>
      <c r="Y23" s="80"/>
      <c r="Z23" s="79"/>
      <c r="AA23" s="80"/>
      <c r="AB23" s="79"/>
      <c r="AC23" s="80"/>
      <c r="AD23" s="79"/>
      <c r="AE23" s="80"/>
    </row>
    <row r="24" spans="1:31" x14ac:dyDescent="0.3">
      <c r="A24" s="79"/>
      <c r="B24" s="79"/>
      <c r="C24" s="79"/>
      <c r="D24" s="79"/>
      <c r="E24" s="79"/>
      <c r="F24" s="79"/>
      <c r="G24" s="79"/>
      <c r="H24" s="79"/>
      <c r="I24" s="79"/>
      <c r="J24" s="79"/>
      <c r="K24" s="79"/>
      <c r="L24" s="79"/>
      <c r="M24" s="79"/>
      <c r="N24" s="79"/>
      <c r="O24" s="79"/>
      <c r="P24" s="79"/>
      <c r="Q24" s="79"/>
      <c r="R24" s="79"/>
      <c r="S24" s="79"/>
      <c r="T24" s="79"/>
      <c r="U24" s="79"/>
      <c r="V24" s="80"/>
      <c r="W24" s="79"/>
      <c r="X24" s="80"/>
      <c r="Y24" s="79"/>
      <c r="Z24" s="80"/>
      <c r="AA24" s="79"/>
      <c r="AB24" s="80"/>
      <c r="AC24" s="79"/>
      <c r="AD24" s="80"/>
      <c r="AE24" s="79"/>
    </row>
    <row r="25" spans="1:31" x14ac:dyDescent="0.3">
      <c r="A25" s="79"/>
      <c r="B25" s="79"/>
      <c r="C25" s="79"/>
      <c r="D25" s="79"/>
      <c r="E25" s="79"/>
      <c r="F25" s="79"/>
      <c r="G25" s="79"/>
      <c r="H25" s="79"/>
      <c r="I25" s="79"/>
      <c r="J25" s="79"/>
      <c r="K25" s="79"/>
      <c r="L25" s="79"/>
      <c r="M25" s="79"/>
      <c r="N25" s="79"/>
      <c r="O25" s="79"/>
      <c r="P25" s="79"/>
      <c r="Q25" s="79"/>
      <c r="R25" s="79"/>
      <c r="S25" s="79"/>
      <c r="T25" s="79"/>
      <c r="U25" s="80"/>
      <c r="V25" s="79"/>
      <c r="W25" s="80"/>
      <c r="X25" s="79"/>
      <c r="Y25" s="80"/>
      <c r="Z25" s="79"/>
      <c r="AA25" s="80"/>
      <c r="AB25" s="79"/>
      <c r="AC25" s="80"/>
      <c r="AD25" s="79"/>
      <c r="AE25" s="80"/>
    </row>
    <row r="26" spans="1:31" x14ac:dyDescent="0.3">
      <c r="A26" s="79"/>
      <c r="B26" s="79"/>
      <c r="C26" s="79"/>
      <c r="D26" s="79"/>
      <c r="E26" s="79"/>
      <c r="F26" s="79"/>
      <c r="G26" s="79"/>
      <c r="H26" s="79"/>
      <c r="I26" s="79"/>
      <c r="J26" s="79"/>
      <c r="K26" s="79"/>
      <c r="L26" s="79"/>
      <c r="M26" s="79"/>
      <c r="N26" s="79"/>
      <c r="O26" s="79"/>
      <c r="P26" s="79"/>
      <c r="Q26" s="79"/>
      <c r="R26" s="79"/>
      <c r="S26" s="79"/>
      <c r="T26" s="80"/>
      <c r="U26" s="79"/>
      <c r="V26" s="80"/>
      <c r="W26" s="79"/>
      <c r="X26" s="80"/>
      <c r="Y26" s="79"/>
      <c r="Z26" s="80"/>
      <c r="AA26" s="79"/>
      <c r="AB26" s="80"/>
      <c r="AC26" s="79"/>
      <c r="AD26" s="80"/>
      <c r="AE26" s="79"/>
    </row>
    <row r="27" spans="1:31" x14ac:dyDescent="0.3">
      <c r="A27" s="79"/>
      <c r="B27" s="79"/>
      <c r="C27" s="79"/>
      <c r="D27" s="79"/>
      <c r="E27" s="79"/>
      <c r="F27" s="79"/>
      <c r="G27" s="79"/>
      <c r="H27" s="79"/>
      <c r="I27" s="79"/>
      <c r="J27" s="79"/>
      <c r="K27" s="79"/>
      <c r="L27" s="79"/>
      <c r="M27" s="79"/>
      <c r="N27" s="79"/>
      <c r="O27" s="79"/>
      <c r="P27" s="79"/>
      <c r="Q27" s="79"/>
      <c r="R27" s="79"/>
      <c r="S27" s="80"/>
      <c r="T27" s="79"/>
      <c r="U27" s="80"/>
      <c r="V27" s="79"/>
      <c r="W27" s="80"/>
      <c r="X27" s="79"/>
      <c r="Y27" s="80"/>
      <c r="Z27" s="79"/>
      <c r="AA27" s="80"/>
      <c r="AB27" s="79"/>
      <c r="AC27" s="80"/>
      <c r="AD27" s="79"/>
      <c r="AE27" s="80"/>
    </row>
    <row r="28" spans="1:31" x14ac:dyDescent="0.3">
      <c r="A28" s="79"/>
      <c r="B28" s="79"/>
      <c r="C28" s="79"/>
      <c r="D28" s="79"/>
      <c r="E28" s="79"/>
      <c r="F28" s="79"/>
      <c r="G28" s="79"/>
      <c r="H28" s="79"/>
      <c r="I28" s="79"/>
      <c r="J28" s="79"/>
      <c r="K28" s="79"/>
      <c r="L28" s="79"/>
      <c r="M28" s="79"/>
      <c r="N28" s="79"/>
      <c r="O28" s="79"/>
      <c r="P28" s="79"/>
      <c r="Q28" s="79"/>
      <c r="R28" s="80"/>
      <c r="S28" s="79"/>
      <c r="T28" s="80"/>
      <c r="U28" s="79"/>
      <c r="V28" s="80"/>
      <c r="W28" s="79"/>
      <c r="X28" s="80"/>
      <c r="Y28" s="79"/>
      <c r="Z28" s="80"/>
      <c r="AA28" s="79"/>
      <c r="AB28" s="80"/>
      <c r="AC28" s="79"/>
      <c r="AD28" s="80"/>
      <c r="AE28" s="79"/>
    </row>
    <row r="29" spans="1:31" x14ac:dyDescent="0.3">
      <c r="A29" s="79"/>
      <c r="B29" s="79"/>
      <c r="C29" s="79"/>
      <c r="D29" s="79"/>
      <c r="E29" s="79"/>
      <c r="F29" s="79"/>
      <c r="G29" s="79"/>
      <c r="H29" s="79"/>
      <c r="I29" s="79"/>
      <c r="J29" s="79"/>
      <c r="K29" s="79"/>
      <c r="L29" s="79"/>
      <c r="M29" s="79"/>
      <c r="N29" s="79"/>
      <c r="O29" s="79"/>
      <c r="P29" s="79"/>
      <c r="Q29" s="80"/>
      <c r="R29" s="79"/>
      <c r="S29" s="80"/>
      <c r="T29" s="79"/>
      <c r="U29" s="80"/>
      <c r="V29" s="79"/>
      <c r="W29" s="80"/>
      <c r="X29" s="79"/>
      <c r="Y29" s="80"/>
      <c r="Z29" s="79"/>
      <c r="AA29" s="80"/>
      <c r="AB29" s="79"/>
      <c r="AC29" s="80"/>
      <c r="AD29" s="79"/>
      <c r="AE29" s="80"/>
    </row>
    <row r="30" spans="1:31" x14ac:dyDescent="0.3">
      <c r="A30" s="79"/>
      <c r="B30" s="79"/>
      <c r="C30" s="79"/>
      <c r="D30" s="79"/>
      <c r="E30" s="79"/>
      <c r="F30" s="79"/>
      <c r="G30" s="79"/>
      <c r="H30" s="79"/>
      <c r="I30" s="79"/>
      <c r="J30" s="79"/>
      <c r="K30" s="79"/>
      <c r="L30" s="79"/>
      <c r="M30" s="79"/>
      <c r="N30" s="79"/>
      <c r="O30" s="79"/>
      <c r="P30" s="80"/>
      <c r="Q30" s="79"/>
      <c r="R30" s="80"/>
      <c r="S30" s="79"/>
      <c r="T30" s="80"/>
      <c r="U30" s="79"/>
      <c r="V30" s="80"/>
      <c r="W30" s="79"/>
      <c r="X30" s="80"/>
      <c r="Y30" s="79"/>
      <c r="Z30" s="80"/>
      <c r="AA30" s="79"/>
      <c r="AB30" s="80"/>
      <c r="AC30" s="79"/>
      <c r="AD30" s="80"/>
      <c r="AE30" s="79"/>
    </row>
    <row r="31" spans="1:31" x14ac:dyDescent="0.3">
      <c r="A31" s="79"/>
      <c r="B31" s="79"/>
      <c r="C31" s="79"/>
      <c r="D31" s="79"/>
      <c r="E31" s="79"/>
      <c r="F31" s="79"/>
      <c r="G31" s="79"/>
      <c r="H31" s="79"/>
      <c r="I31" s="79"/>
      <c r="J31" s="79"/>
      <c r="K31" s="79"/>
      <c r="L31" s="79"/>
      <c r="M31" s="79"/>
      <c r="N31" s="79"/>
      <c r="O31" s="80"/>
      <c r="P31" s="79"/>
      <c r="Q31" s="80"/>
      <c r="R31" s="79"/>
      <c r="S31" s="80"/>
      <c r="T31" s="79"/>
      <c r="U31" s="80"/>
      <c r="V31" s="79"/>
      <c r="W31" s="80"/>
      <c r="X31" s="79"/>
      <c r="Y31" s="80"/>
      <c r="Z31" s="79"/>
      <c r="AA31" s="80"/>
      <c r="AB31" s="79"/>
      <c r="AC31" s="80"/>
      <c r="AD31" s="79"/>
      <c r="AE31" s="80"/>
    </row>
    <row r="32" spans="1:31" x14ac:dyDescent="0.3">
      <c r="A32" s="79"/>
      <c r="B32" s="79"/>
      <c r="C32" s="79"/>
      <c r="D32" s="79"/>
      <c r="E32" s="79"/>
      <c r="F32" s="79"/>
      <c r="G32" s="79"/>
      <c r="H32" s="79"/>
      <c r="I32" s="79"/>
      <c r="J32" s="79"/>
      <c r="K32" s="79"/>
      <c r="L32" s="79"/>
      <c r="M32" s="79"/>
      <c r="N32" s="80"/>
      <c r="O32" s="79"/>
      <c r="P32" s="80"/>
      <c r="Q32" s="79"/>
      <c r="R32" s="80"/>
      <c r="S32" s="79"/>
      <c r="T32" s="80"/>
      <c r="U32" s="79"/>
      <c r="V32" s="80"/>
      <c r="W32" s="79"/>
      <c r="X32" s="80"/>
      <c r="Y32" s="79"/>
      <c r="Z32" s="80"/>
      <c r="AA32" s="79"/>
      <c r="AB32" s="80"/>
      <c r="AC32" s="79"/>
      <c r="AD32" s="80"/>
      <c r="AE32" s="79"/>
    </row>
    <row r="33" spans="1:31" x14ac:dyDescent="0.3">
      <c r="A33" s="59"/>
      <c r="B33" s="59"/>
      <c r="C33" s="59"/>
      <c r="D33" s="59"/>
      <c r="E33" s="59"/>
      <c r="F33" s="59"/>
      <c r="G33" s="59"/>
      <c r="H33" s="59"/>
      <c r="I33" s="59"/>
      <c r="J33" s="59"/>
      <c r="K33" s="59"/>
      <c r="L33" s="59"/>
      <c r="M33" s="80"/>
      <c r="N33" s="59"/>
      <c r="O33" s="80"/>
      <c r="P33" s="79"/>
      <c r="Q33" s="80"/>
      <c r="R33" s="79"/>
      <c r="S33" s="80"/>
      <c r="T33" s="79"/>
      <c r="U33" s="80"/>
      <c r="V33" s="79"/>
      <c r="W33" s="80"/>
      <c r="X33" s="79"/>
      <c r="Y33" s="80"/>
      <c r="Z33" s="79"/>
      <c r="AA33" s="80"/>
      <c r="AB33" s="79"/>
      <c r="AC33" s="80"/>
      <c r="AD33" s="79"/>
      <c r="AE33" s="80"/>
    </row>
    <row r="34" spans="1:31" x14ac:dyDescent="0.3">
      <c r="A34" s="59"/>
      <c r="B34" s="59"/>
      <c r="C34" s="59"/>
      <c r="D34" s="59"/>
      <c r="E34" s="59"/>
      <c r="F34" s="59"/>
      <c r="G34" s="59"/>
      <c r="H34" s="59"/>
      <c r="I34" s="59"/>
      <c r="J34" s="59"/>
      <c r="K34" s="59"/>
      <c r="L34" s="80"/>
      <c r="M34" s="59"/>
      <c r="N34" s="80"/>
      <c r="O34" s="79"/>
      <c r="P34" s="80"/>
      <c r="Q34" s="79"/>
      <c r="R34" s="80"/>
      <c r="S34" s="79"/>
      <c r="T34" s="80"/>
      <c r="U34" s="79"/>
      <c r="V34" s="80"/>
      <c r="W34" s="79"/>
      <c r="X34" s="80"/>
      <c r="Y34" s="79"/>
      <c r="Z34" s="80"/>
      <c r="AA34" s="79"/>
      <c r="AB34" s="80"/>
      <c r="AC34" s="79"/>
      <c r="AD34" s="80"/>
      <c r="AE34" s="79"/>
    </row>
    <row r="35" spans="1:31" x14ac:dyDescent="0.3">
      <c r="A35" s="81"/>
      <c r="B35" s="59"/>
      <c r="C35" s="59"/>
      <c r="D35" s="59"/>
      <c r="E35" s="59"/>
      <c r="F35" s="59"/>
      <c r="G35" s="59"/>
      <c r="H35" s="59"/>
      <c r="I35" s="59"/>
      <c r="J35" s="59"/>
      <c r="K35" s="80"/>
      <c r="L35" s="59"/>
      <c r="M35" s="80"/>
      <c r="N35" s="79"/>
      <c r="O35" s="80"/>
      <c r="P35" s="79"/>
      <c r="Q35" s="80"/>
      <c r="R35" s="79"/>
      <c r="S35" s="80"/>
      <c r="T35" s="79"/>
      <c r="U35" s="80"/>
      <c r="V35" s="79"/>
      <c r="W35" s="80"/>
      <c r="X35" s="79"/>
      <c r="Y35" s="80"/>
      <c r="Z35" s="79"/>
      <c r="AA35" s="80"/>
      <c r="AB35" s="79"/>
      <c r="AC35" s="80"/>
      <c r="AD35" s="79"/>
      <c r="AE35" s="80"/>
    </row>
    <row r="36" spans="1:31" x14ac:dyDescent="0.3">
      <c r="A36" s="81"/>
      <c r="B36" s="59"/>
      <c r="C36" s="59"/>
      <c r="D36" s="59"/>
      <c r="E36" s="59"/>
      <c r="F36" s="59"/>
      <c r="G36" s="59"/>
      <c r="H36" s="59"/>
      <c r="I36" s="59"/>
      <c r="J36" s="80"/>
      <c r="K36" s="59"/>
      <c r="L36" s="80"/>
      <c r="M36" s="79"/>
      <c r="N36" s="80"/>
      <c r="O36" s="79"/>
      <c r="P36" s="80"/>
      <c r="Q36" s="79"/>
      <c r="R36" s="80"/>
      <c r="S36" s="79"/>
      <c r="T36" s="80"/>
      <c r="U36" s="79"/>
      <c r="V36" s="80"/>
      <c r="W36" s="79"/>
      <c r="X36" s="80"/>
      <c r="Y36" s="79"/>
      <c r="Z36" s="80"/>
      <c r="AA36" s="79"/>
      <c r="AB36" s="80"/>
      <c r="AC36" s="59"/>
      <c r="AD36" s="80"/>
      <c r="AE36" s="59"/>
    </row>
    <row r="37" spans="1:31" x14ac:dyDescent="0.3">
      <c r="A37" s="81"/>
      <c r="B37" s="59"/>
      <c r="C37" s="59"/>
      <c r="D37" s="59"/>
      <c r="E37" s="59"/>
      <c r="F37" s="59"/>
      <c r="G37" s="59"/>
      <c r="H37" s="59"/>
      <c r="I37" s="80"/>
      <c r="J37" s="59"/>
      <c r="K37" s="80"/>
      <c r="L37" s="79"/>
      <c r="M37" s="80"/>
      <c r="N37" s="79"/>
      <c r="O37" s="80"/>
      <c r="P37" s="79"/>
      <c r="Q37" s="80"/>
      <c r="R37" s="79"/>
      <c r="S37" s="80"/>
      <c r="T37" s="79"/>
      <c r="U37" s="80"/>
      <c r="V37" s="79"/>
      <c r="W37" s="80"/>
      <c r="X37" s="79"/>
      <c r="Y37" s="80"/>
      <c r="Z37" s="79"/>
      <c r="AA37" s="80"/>
      <c r="AB37" s="59"/>
      <c r="AC37" s="80"/>
      <c r="AD37" s="59"/>
      <c r="AE37" s="80"/>
    </row>
    <row r="38" spans="1:31" x14ac:dyDescent="0.3">
      <c r="A38" s="81"/>
      <c r="B38" s="59"/>
      <c r="C38" s="59"/>
      <c r="D38" s="59"/>
      <c r="E38" s="59"/>
      <c r="F38" s="59"/>
      <c r="G38" s="59"/>
      <c r="H38" s="80"/>
      <c r="I38" s="59"/>
      <c r="J38" s="80"/>
      <c r="K38" s="79"/>
      <c r="L38" s="80"/>
      <c r="M38" s="79"/>
      <c r="N38" s="80"/>
      <c r="O38" s="79"/>
      <c r="P38" s="80"/>
      <c r="Q38" s="79"/>
      <c r="R38" s="80"/>
      <c r="S38" s="79"/>
      <c r="T38" s="80"/>
      <c r="U38" s="79"/>
      <c r="V38" s="80"/>
      <c r="W38" s="79"/>
      <c r="X38" s="80"/>
      <c r="Y38" s="79"/>
      <c r="Z38" s="80"/>
      <c r="AA38" s="59"/>
      <c r="AB38" s="80"/>
      <c r="AC38" s="79"/>
      <c r="AD38" s="80"/>
      <c r="AE38" s="79"/>
    </row>
    <row r="39" spans="1:31" x14ac:dyDescent="0.3">
      <c r="A39" s="81"/>
      <c r="B39" s="59"/>
      <c r="C39" s="59"/>
      <c r="D39" s="59"/>
      <c r="E39" s="59"/>
      <c r="F39" s="59"/>
      <c r="G39" s="80"/>
      <c r="H39" s="59"/>
      <c r="I39" s="80"/>
      <c r="J39" s="79"/>
      <c r="K39" s="80"/>
      <c r="L39" s="79"/>
      <c r="M39" s="80"/>
      <c r="N39" s="79"/>
      <c r="O39" s="80"/>
      <c r="P39" s="79"/>
      <c r="Q39" s="80"/>
      <c r="R39" s="79"/>
      <c r="S39" s="80"/>
      <c r="T39" s="79"/>
      <c r="U39" s="80"/>
      <c r="V39" s="79"/>
      <c r="W39" s="80"/>
      <c r="X39" s="79"/>
      <c r="Y39" s="80"/>
      <c r="Z39" s="59"/>
      <c r="AA39" s="80"/>
      <c r="AB39" s="79"/>
      <c r="AC39" s="80"/>
      <c r="AD39" s="79"/>
      <c r="AE39" s="80"/>
    </row>
    <row r="40" spans="1:31" x14ac:dyDescent="0.3">
      <c r="A40" s="81"/>
      <c r="B40" s="59"/>
      <c r="C40" s="59"/>
      <c r="D40" s="59"/>
      <c r="E40" s="59"/>
      <c r="F40" s="80"/>
      <c r="G40" s="59"/>
      <c r="H40" s="80"/>
      <c r="I40" s="79"/>
      <c r="J40" s="80"/>
      <c r="K40" s="79"/>
      <c r="L40" s="80"/>
      <c r="M40" s="79"/>
      <c r="N40" s="80"/>
      <c r="O40" s="79"/>
      <c r="P40" s="80"/>
      <c r="Q40" s="79"/>
      <c r="R40" s="80"/>
      <c r="S40" s="79"/>
      <c r="T40" s="80"/>
      <c r="U40" s="79"/>
      <c r="V40" s="80"/>
      <c r="W40" s="79"/>
      <c r="X40" s="80"/>
      <c r="Y40" s="59"/>
      <c r="Z40" s="80"/>
      <c r="AA40" s="79"/>
      <c r="AB40" s="80"/>
      <c r="AC40" s="79"/>
      <c r="AD40" s="80"/>
      <c r="AE40" s="79"/>
    </row>
    <row r="41" spans="1:31" x14ac:dyDescent="0.3">
      <c r="A41" s="81"/>
      <c r="B41" s="59"/>
      <c r="C41" s="59"/>
      <c r="D41" s="59"/>
      <c r="E41" s="80">
        <f>$G$2*D42</f>
        <v>173.28062145609513</v>
      </c>
      <c r="F41" s="59"/>
      <c r="G41" s="80"/>
      <c r="H41" s="79"/>
      <c r="I41" s="80"/>
      <c r="J41" s="79"/>
      <c r="K41" s="80"/>
      <c r="L41" s="79"/>
      <c r="M41" s="80"/>
      <c r="N41" s="79"/>
      <c r="O41" s="80"/>
      <c r="P41" s="79"/>
      <c r="Q41" s="80"/>
      <c r="R41" s="79"/>
      <c r="S41" s="80"/>
      <c r="T41" s="79"/>
      <c r="U41" s="80"/>
      <c r="V41" s="79"/>
      <c r="W41" s="80"/>
      <c r="X41" s="59"/>
      <c r="Y41" s="80"/>
      <c r="Z41" s="79"/>
      <c r="AA41" s="80"/>
      <c r="AB41" s="79"/>
      <c r="AC41" s="80"/>
      <c r="AD41" s="79"/>
      <c r="AE41" s="80"/>
    </row>
    <row r="42" spans="1:31" x14ac:dyDescent="0.3">
      <c r="A42" s="81"/>
      <c r="B42" s="59"/>
      <c r="C42" s="59"/>
      <c r="D42" s="80">
        <f>$G$2*C43</f>
        <v>159.69451541481723</v>
      </c>
      <c r="E42" s="59"/>
      <c r="F42" s="80"/>
      <c r="G42" s="79"/>
      <c r="H42" s="80"/>
      <c r="I42" s="79"/>
      <c r="J42" s="80"/>
      <c r="K42" s="79"/>
      <c r="L42" s="80"/>
      <c r="M42" s="79"/>
      <c r="N42" s="80"/>
      <c r="O42" s="79"/>
      <c r="P42" s="80"/>
      <c r="Q42" s="79"/>
      <c r="R42" s="80"/>
      <c r="S42" s="79"/>
      <c r="T42" s="80"/>
      <c r="U42" s="79"/>
      <c r="V42" s="80"/>
      <c r="W42" s="59"/>
      <c r="X42" s="80"/>
      <c r="Y42" s="79"/>
      <c r="Z42" s="80"/>
      <c r="AA42" s="79"/>
      <c r="AB42" s="80"/>
      <c r="AC42" s="79"/>
      <c r="AD42" s="80"/>
      <c r="AE42" s="79"/>
    </row>
    <row r="43" spans="1:31" x14ac:dyDescent="0.3">
      <c r="A43" s="81"/>
      <c r="B43" s="59"/>
      <c r="C43" s="80">
        <f>$G$2*B44</f>
        <v>147.17363106892446</v>
      </c>
      <c r="D43" s="59"/>
      <c r="E43" s="80">
        <f>$G$2*D44</f>
        <v>147.17363106892452</v>
      </c>
      <c r="F43" s="79"/>
      <c r="G43" s="80"/>
      <c r="H43" s="79"/>
      <c r="I43" s="80"/>
      <c r="J43" s="79"/>
      <c r="K43" s="80"/>
      <c r="L43" s="79"/>
      <c r="M43" s="80"/>
      <c r="N43" s="79"/>
      <c r="O43" s="80"/>
      <c r="P43" s="79"/>
      <c r="Q43" s="80"/>
      <c r="R43" s="79"/>
      <c r="S43" s="80"/>
      <c r="T43" s="79"/>
      <c r="U43" s="80"/>
      <c r="V43" s="59"/>
      <c r="W43" s="80"/>
      <c r="X43" s="79"/>
      <c r="Y43" s="80"/>
      <c r="Z43" s="79"/>
      <c r="AA43" s="80"/>
      <c r="AB43" s="79"/>
      <c r="AC43" s="80"/>
      <c r="AD43" s="79"/>
      <c r="AE43" s="80"/>
    </row>
    <row r="44" spans="1:31" x14ac:dyDescent="0.3">
      <c r="A44" s="81"/>
      <c r="B44" s="80">
        <f>$G$2*A45</f>
        <v>135.63444947215865</v>
      </c>
      <c r="C44" s="59"/>
      <c r="D44" s="80">
        <f>$G$2*C45</f>
        <v>135.63444947215868</v>
      </c>
      <c r="E44" s="79"/>
      <c r="F44" s="80"/>
      <c r="G44" s="79"/>
      <c r="H44" s="80"/>
      <c r="I44" s="79"/>
      <c r="J44" s="80"/>
      <c r="K44" s="79"/>
      <c r="L44" s="80"/>
      <c r="M44" s="79"/>
      <c r="N44" s="80"/>
      <c r="O44" s="79"/>
      <c r="P44" s="80"/>
      <c r="Q44" s="79"/>
      <c r="R44" s="80"/>
      <c r="S44" s="79"/>
      <c r="T44" s="80"/>
      <c r="U44" s="59"/>
      <c r="V44" s="80"/>
      <c r="W44" s="79"/>
      <c r="X44" s="80"/>
      <c r="Y44" s="79"/>
      <c r="Z44" s="80"/>
      <c r="AA44" s="79"/>
      <c r="AB44" s="80"/>
      <c r="AC44" s="79"/>
      <c r="AD44" s="80"/>
      <c r="AE44" s="79"/>
    </row>
    <row r="45" spans="1:31" x14ac:dyDescent="0.3">
      <c r="A45" s="81">
        <f>B1</f>
        <v>125</v>
      </c>
      <c r="B45" s="59"/>
      <c r="C45" s="80">
        <f>$G$2*B46</f>
        <v>125.00000000000001</v>
      </c>
      <c r="D45" s="59"/>
      <c r="E45" s="80">
        <f>$G$2*D46</f>
        <v>125.00000000000003</v>
      </c>
      <c r="F45" s="79"/>
      <c r="G45" s="80"/>
      <c r="H45" s="79"/>
      <c r="I45" s="80"/>
      <c r="J45" s="79"/>
      <c r="K45" s="80"/>
      <c r="L45" s="79"/>
      <c r="M45" s="80"/>
      <c r="N45" s="79"/>
      <c r="O45" s="80"/>
      <c r="P45" s="79"/>
      <c r="Q45" s="80"/>
      <c r="R45" s="79"/>
      <c r="S45" s="80"/>
      <c r="T45" s="59"/>
      <c r="U45" s="80"/>
      <c r="V45" s="79"/>
      <c r="W45" s="80"/>
      <c r="X45" s="79"/>
      <c r="Y45" s="80"/>
      <c r="Z45" s="79"/>
      <c r="AA45" s="80"/>
      <c r="AB45" s="79"/>
      <c r="AC45" s="80"/>
      <c r="AD45" s="79"/>
      <c r="AE45" s="80"/>
    </row>
    <row r="46" spans="1:31" x14ac:dyDescent="0.3">
      <c r="A46" s="81"/>
      <c r="B46" s="59">
        <f>A45*$G$3</f>
        <v>115.19934692703055</v>
      </c>
      <c r="C46" s="59"/>
      <c r="D46" s="80">
        <f>$G$2*C47</f>
        <v>115.19934692703056</v>
      </c>
      <c r="E46" s="79"/>
      <c r="F46" s="80"/>
      <c r="G46" s="79"/>
      <c r="H46" s="80"/>
      <c r="I46" s="79"/>
      <c r="J46" s="80"/>
      <c r="K46" s="79"/>
      <c r="L46" s="80"/>
      <c r="M46" s="79"/>
      <c r="N46" s="80"/>
      <c r="O46" s="79"/>
      <c r="P46" s="80"/>
      <c r="Q46" s="79"/>
      <c r="R46" s="80"/>
      <c r="S46" s="59"/>
      <c r="T46" s="80"/>
      <c r="U46" s="79"/>
      <c r="V46" s="80"/>
      <c r="W46" s="79"/>
      <c r="X46" s="80"/>
      <c r="Y46" s="79"/>
      <c r="Z46" s="80"/>
      <c r="AA46" s="79"/>
      <c r="AB46" s="80"/>
      <c r="AC46" s="59"/>
      <c r="AD46" s="80"/>
      <c r="AE46" s="59"/>
    </row>
    <row r="47" spans="1:31" x14ac:dyDescent="0.3">
      <c r="A47" s="81"/>
      <c r="B47" s="59"/>
      <c r="C47" s="59">
        <f>B46*$G$3</f>
        <v>106.16711625931474</v>
      </c>
      <c r="D47" s="59"/>
      <c r="E47" s="80">
        <f>$G$2*D48</f>
        <v>106.16711625931474</v>
      </c>
      <c r="F47" s="79"/>
      <c r="G47" s="80"/>
      <c r="H47" s="79"/>
      <c r="I47" s="80"/>
      <c r="J47" s="79"/>
      <c r="K47" s="80"/>
      <c r="L47" s="79"/>
      <c r="M47" s="80"/>
      <c r="N47" s="79"/>
      <c r="O47" s="80"/>
      <c r="P47" s="79"/>
      <c r="Q47" s="80"/>
      <c r="R47" s="59"/>
      <c r="S47" s="80"/>
      <c r="T47" s="79"/>
      <c r="U47" s="80"/>
      <c r="V47" s="79"/>
      <c r="W47" s="80"/>
      <c r="X47" s="79"/>
      <c r="Y47" s="80"/>
      <c r="Z47" s="79"/>
      <c r="AA47" s="80"/>
      <c r="AB47" s="59"/>
      <c r="AC47" s="80"/>
      <c r="AD47" s="59"/>
      <c r="AE47" s="80"/>
    </row>
    <row r="48" spans="1:31" x14ac:dyDescent="0.3">
      <c r="A48" s="81"/>
      <c r="B48" s="59"/>
      <c r="C48" s="59"/>
      <c r="D48" s="59">
        <f>C47*$G$3</f>
        <v>97.843059665593472</v>
      </c>
      <c r="E48" s="80"/>
      <c r="F48" s="80"/>
      <c r="G48" s="79"/>
      <c r="H48" s="80"/>
      <c r="I48" s="79"/>
      <c r="J48" s="80"/>
      <c r="K48" s="79"/>
      <c r="L48" s="80"/>
      <c r="M48" s="79"/>
      <c r="N48" s="80"/>
      <c r="O48" s="79"/>
      <c r="P48" s="80"/>
      <c r="Q48" s="59"/>
      <c r="R48" s="80"/>
      <c r="S48" s="79"/>
      <c r="T48" s="80"/>
      <c r="U48" s="79"/>
      <c r="V48" s="80"/>
      <c r="W48" s="79"/>
      <c r="X48" s="80"/>
      <c r="Y48" s="79"/>
      <c r="Z48" s="80"/>
      <c r="AA48" s="59"/>
      <c r="AB48" s="80"/>
      <c r="AC48" s="79"/>
      <c r="AD48" s="80"/>
      <c r="AE48" s="79"/>
    </row>
    <row r="49" spans="1:31" x14ac:dyDescent="0.3">
      <c r="A49" s="59"/>
      <c r="B49" s="59"/>
      <c r="C49" s="59"/>
      <c r="D49" s="59"/>
      <c r="E49" s="59">
        <f>D48*$G$3</f>
        <v>90.171652598550807</v>
      </c>
      <c r="F49" s="59"/>
      <c r="G49" s="80"/>
      <c r="H49" s="79"/>
      <c r="I49" s="80"/>
      <c r="J49" s="79"/>
      <c r="K49" s="80"/>
      <c r="L49" s="79"/>
      <c r="M49" s="80"/>
      <c r="N49" s="79"/>
      <c r="O49" s="80"/>
      <c r="P49" s="59"/>
      <c r="Q49" s="80"/>
      <c r="R49" s="79"/>
      <c r="S49" s="80"/>
      <c r="T49" s="79"/>
      <c r="U49" s="80"/>
      <c r="V49" s="79"/>
      <c r="W49" s="80"/>
      <c r="X49" s="79"/>
      <c r="Y49" s="80"/>
      <c r="Z49" s="59"/>
      <c r="AA49" s="80"/>
      <c r="AB49" s="79"/>
      <c r="AC49" s="80"/>
      <c r="AD49" s="79"/>
      <c r="AE49" s="80"/>
    </row>
    <row r="50" spans="1:31" x14ac:dyDescent="0.3">
      <c r="A50" s="59"/>
      <c r="B50" s="59"/>
      <c r="C50" s="59"/>
      <c r="D50" s="59"/>
      <c r="E50" s="80"/>
      <c r="F50" s="59"/>
      <c r="G50" s="59"/>
      <c r="H50" s="80"/>
      <c r="I50" s="79"/>
      <c r="J50" s="80"/>
      <c r="K50" s="79"/>
      <c r="L50" s="80"/>
      <c r="M50" s="79"/>
      <c r="N50" s="80"/>
      <c r="O50" s="59"/>
      <c r="P50" s="80"/>
      <c r="Q50" s="79"/>
      <c r="R50" s="80"/>
      <c r="S50" s="79"/>
      <c r="T50" s="80"/>
      <c r="U50" s="79"/>
      <c r="V50" s="80"/>
      <c r="W50" s="79"/>
      <c r="X50" s="80"/>
      <c r="Y50" s="59"/>
      <c r="Z50" s="80"/>
      <c r="AA50" s="79"/>
      <c r="AB50" s="80"/>
      <c r="AC50" s="79"/>
      <c r="AD50" s="80"/>
      <c r="AE50" s="79"/>
    </row>
    <row r="51" spans="1:31" x14ac:dyDescent="0.3">
      <c r="A51" s="59"/>
      <c r="B51" s="59"/>
      <c r="C51" s="59"/>
      <c r="D51" s="59"/>
      <c r="E51" s="80"/>
      <c r="F51" s="59"/>
      <c r="G51" s="59"/>
      <c r="H51" s="59"/>
      <c r="I51" s="80"/>
      <c r="J51" s="79"/>
      <c r="K51" s="80"/>
      <c r="L51" s="79"/>
      <c r="M51" s="80"/>
      <c r="N51" s="59"/>
      <c r="O51" s="80"/>
      <c r="P51" s="79"/>
      <c r="Q51" s="80"/>
      <c r="R51" s="79"/>
      <c r="S51" s="80"/>
      <c r="T51" s="79"/>
      <c r="U51" s="80"/>
      <c r="V51" s="79"/>
      <c r="W51" s="80"/>
      <c r="X51" s="59"/>
      <c r="Y51" s="80"/>
      <c r="Z51" s="79"/>
      <c r="AA51" s="80"/>
      <c r="AB51" s="79"/>
      <c r="AC51" s="80"/>
      <c r="AD51" s="79"/>
      <c r="AE51" s="80"/>
    </row>
    <row r="52" spans="1:31" x14ac:dyDescent="0.3">
      <c r="A52" s="59"/>
      <c r="B52" s="59"/>
      <c r="C52" s="59"/>
      <c r="D52" s="59"/>
      <c r="E52" s="80"/>
      <c r="F52" s="59"/>
      <c r="G52" s="59"/>
      <c r="H52" s="59"/>
      <c r="I52" s="59"/>
      <c r="J52" s="80"/>
      <c r="K52" s="79"/>
      <c r="L52" s="80"/>
      <c r="M52" s="59"/>
      <c r="N52" s="80"/>
      <c r="O52" s="79"/>
      <c r="P52" s="80"/>
      <c r="Q52" s="79"/>
      <c r="R52" s="80"/>
      <c r="S52" s="79"/>
      <c r="T52" s="80"/>
      <c r="U52" s="79"/>
      <c r="V52" s="80"/>
      <c r="W52" s="59"/>
      <c r="X52" s="80"/>
      <c r="Y52" s="79"/>
      <c r="Z52" s="80"/>
      <c r="AA52" s="79"/>
      <c r="AB52" s="80"/>
      <c r="AC52" s="79"/>
      <c r="AD52" s="80"/>
      <c r="AE52" s="79"/>
    </row>
    <row r="53" spans="1:31" x14ac:dyDescent="0.3">
      <c r="A53" s="59"/>
      <c r="B53" s="59"/>
      <c r="C53" s="59"/>
      <c r="D53" s="59"/>
      <c r="E53" s="80"/>
      <c r="F53" s="59"/>
      <c r="G53" s="59"/>
      <c r="H53" s="59"/>
      <c r="I53" s="59"/>
      <c r="J53" s="59"/>
      <c r="K53" s="80"/>
      <c r="L53" s="59"/>
      <c r="M53" s="80"/>
      <c r="N53" s="79"/>
      <c r="O53" s="80"/>
      <c r="P53" s="79"/>
      <c r="Q53" s="80"/>
      <c r="R53" s="79"/>
      <c r="S53" s="80"/>
      <c r="T53" s="79"/>
      <c r="U53" s="80"/>
      <c r="V53" s="59"/>
      <c r="W53" s="80"/>
      <c r="X53" s="79"/>
      <c r="Y53" s="80"/>
      <c r="Z53" s="79"/>
      <c r="AA53" s="80"/>
      <c r="AB53" s="79"/>
      <c r="AC53" s="80"/>
      <c r="AD53" s="79"/>
      <c r="AE53" s="80"/>
    </row>
    <row r="54" spans="1:31" x14ac:dyDescent="0.3">
      <c r="A54" s="59"/>
      <c r="B54" s="59"/>
      <c r="C54" s="59"/>
      <c r="D54" s="59"/>
      <c r="E54" s="80"/>
      <c r="F54" s="59"/>
      <c r="G54" s="59"/>
      <c r="H54" s="59"/>
      <c r="I54" s="59"/>
      <c r="J54" s="59"/>
      <c r="K54" s="59"/>
      <c r="L54" s="80"/>
      <c r="M54" s="79"/>
      <c r="N54" s="80"/>
      <c r="O54" s="79"/>
      <c r="P54" s="80"/>
      <c r="Q54" s="79"/>
      <c r="R54" s="80"/>
      <c r="S54" s="79"/>
      <c r="T54" s="80"/>
      <c r="U54" s="59"/>
      <c r="V54" s="80"/>
      <c r="W54" s="79"/>
      <c r="X54" s="80"/>
      <c r="Y54" s="79"/>
      <c r="Z54" s="80"/>
      <c r="AA54" s="79"/>
      <c r="AB54" s="80"/>
      <c r="AC54" s="79"/>
      <c r="AD54" s="80"/>
      <c r="AE54" s="79"/>
    </row>
    <row r="55" spans="1:31" x14ac:dyDescent="0.3">
      <c r="A55" s="59"/>
      <c r="B55" s="59"/>
      <c r="C55" s="59"/>
      <c r="D55" s="59"/>
      <c r="E55" s="80"/>
      <c r="F55" s="59"/>
      <c r="G55" s="59"/>
      <c r="H55" s="59"/>
      <c r="I55" s="59"/>
      <c r="J55" s="59"/>
      <c r="K55" s="59"/>
      <c r="L55" s="59"/>
      <c r="M55" s="80"/>
      <c r="N55" s="79"/>
      <c r="O55" s="80"/>
      <c r="P55" s="79"/>
      <c r="Q55" s="80"/>
      <c r="R55" s="79"/>
      <c r="S55" s="80"/>
      <c r="T55" s="59"/>
      <c r="U55" s="80"/>
      <c r="V55" s="79"/>
      <c r="W55" s="80"/>
      <c r="X55" s="79"/>
      <c r="Y55" s="80"/>
      <c r="Z55" s="79"/>
      <c r="AA55" s="80"/>
      <c r="AB55" s="79"/>
      <c r="AC55" s="80"/>
      <c r="AD55" s="79"/>
      <c r="AE55" s="80"/>
    </row>
    <row r="56" spans="1:31" x14ac:dyDescent="0.3">
      <c r="A56" s="59"/>
      <c r="B56" s="59"/>
      <c r="C56" s="59"/>
      <c r="D56" s="59"/>
      <c r="E56" s="80"/>
      <c r="F56" s="59"/>
      <c r="G56" s="59"/>
      <c r="H56" s="59"/>
      <c r="I56" s="59"/>
      <c r="J56" s="59"/>
      <c r="K56" s="59"/>
      <c r="L56" s="59"/>
      <c r="M56" s="59"/>
      <c r="N56" s="80"/>
      <c r="O56" s="79"/>
      <c r="P56" s="80"/>
      <c r="Q56" s="79"/>
      <c r="R56" s="80"/>
      <c r="S56" s="59"/>
      <c r="T56" s="80"/>
      <c r="U56" s="79"/>
      <c r="V56" s="80"/>
      <c r="W56" s="79"/>
      <c r="X56" s="80"/>
      <c r="Y56" s="79"/>
      <c r="Z56" s="80"/>
      <c r="AA56" s="79"/>
      <c r="AB56" s="80"/>
      <c r="AC56" s="59"/>
      <c r="AD56" s="80"/>
      <c r="AE56" s="59"/>
    </row>
    <row r="57" spans="1:31" x14ac:dyDescent="0.3">
      <c r="A57" s="59"/>
      <c r="B57" s="59"/>
      <c r="C57" s="59"/>
      <c r="D57" s="59"/>
      <c r="E57" s="80"/>
      <c r="F57" s="59"/>
      <c r="G57" s="59"/>
      <c r="H57" s="59"/>
      <c r="I57" s="59"/>
      <c r="J57" s="59"/>
      <c r="K57" s="59"/>
      <c r="L57" s="59"/>
      <c r="M57" s="59"/>
      <c r="N57" s="59"/>
      <c r="O57" s="80"/>
      <c r="P57" s="79"/>
      <c r="Q57" s="80"/>
      <c r="R57" s="59"/>
      <c r="S57" s="80"/>
      <c r="T57" s="79"/>
      <c r="U57" s="80"/>
      <c r="V57" s="79"/>
      <c r="W57" s="80"/>
      <c r="X57" s="79"/>
      <c r="Y57" s="80"/>
      <c r="Z57" s="79"/>
      <c r="AA57" s="80"/>
      <c r="AB57" s="59"/>
      <c r="AC57" s="80"/>
      <c r="AD57" s="59"/>
      <c r="AE57" s="80"/>
    </row>
    <row r="58" spans="1:31" x14ac:dyDescent="0.3">
      <c r="A58" s="59"/>
      <c r="B58" s="59"/>
      <c r="C58" s="59"/>
      <c r="D58" s="59"/>
      <c r="E58" s="80"/>
      <c r="F58" s="59"/>
      <c r="G58" s="59"/>
      <c r="H58" s="59"/>
      <c r="I58" s="59"/>
      <c r="J58" s="59"/>
      <c r="K58" s="59"/>
      <c r="L58" s="59"/>
      <c r="M58" s="59"/>
      <c r="N58" s="59"/>
      <c r="O58" s="59"/>
      <c r="P58" s="80"/>
      <c r="Q58" s="59"/>
      <c r="R58" s="80"/>
      <c r="S58" s="79"/>
      <c r="T58" s="80"/>
      <c r="U58" s="79"/>
      <c r="V58" s="80"/>
      <c r="W58" s="79"/>
      <c r="X58" s="80"/>
      <c r="Y58" s="79"/>
      <c r="Z58" s="80"/>
      <c r="AA58" s="59"/>
      <c r="AB58" s="80"/>
      <c r="AC58" s="79"/>
      <c r="AD58" s="80"/>
      <c r="AE58" s="79"/>
    </row>
    <row r="59" spans="1:31" x14ac:dyDescent="0.3">
      <c r="A59" s="59"/>
      <c r="B59" s="59"/>
      <c r="C59" s="59"/>
      <c r="D59" s="59"/>
      <c r="E59" s="80"/>
      <c r="F59" s="59"/>
      <c r="G59" s="59"/>
      <c r="H59" s="59"/>
      <c r="I59" s="59"/>
      <c r="J59" s="59"/>
      <c r="K59" s="59"/>
      <c r="L59" s="59"/>
      <c r="M59" s="59"/>
      <c r="N59" s="59"/>
      <c r="O59" s="59"/>
      <c r="P59" s="59"/>
      <c r="Q59" s="80"/>
      <c r="R59" s="79"/>
      <c r="S59" s="80"/>
      <c r="T59" s="79"/>
      <c r="U59" s="80"/>
      <c r="V59" s="79"/>
      <c r="W59" s="80"/>
      <c r="X59" s="79"/>
      <c r="Y59" s="80"/>
      <c r="Z59" s="59"/>
      <c r="AA59" s="80"/>
      <c r="AB59" s="79"/>
      <c r="AC59" s="80"/>
      <c r="AD59" s="79"/>
      <c r="AE59" s="80"/>
    </row>
    <row r="60" spans="1:31" x14ac:dyDescent="0.3">
      <c r="A60" s="59"/>
      <c r="B60" s="59"/>
      <c r="C60" s="59"/>
      <c r="D60" s="59"/>
      <c r="E60" s="80"/>
      <c r="F60" s="59"/>
      <c r="G60" s="59"/>
      <c r="H60" s="59"/>
      <c r="I60" s="59"/>
      <c r="J60" s="59"/>
      <c r="K60" s="59"/>
      <c r="L60" s="59"/>
      <c r="M60" s="59"/>
      <c r="N60" s="59"/>
      <c r="O60" s="59"/>
      <c r="P60" s="59"/>
      <c r="Q60" s="59"/>
      <c r="R60" s="80"/>
      <c r="S60" s="79"/>
      <c r="T60" s="80"/>
      <c r="U60" s="79"/>
      <c r="V60" s="80"/>
      <c r="W60" s="79"/>
      <c r="X60" s="80"/>
      <c r="Y60" s="59"/>
      <c r="Z60" s="80"/>
      <c r="AA60" s="79"/>
      <c r="AB60" s="80"/>
      <c r="AC60" s="79"/>
      <c r="AD60" s="80"/>
      <c r="AE60" s="79"/>
    </row>
    <row r="61" spans="1:31" x14ac:dyDescent="0.3">
      <c r="A61" s="59"/>
      <c r="B61" s="59"/>
      <c r="C61" s="59"/>
      <c r="D61" s="59"/>
      <c r="E61" s="80"/>
      <c r="F61" s="59"/>
      <c r="G61" s="59"/>
      <c r="H61" s="59"/>
      <c r="I61" s="59"/>
      <c r="J61" s="59"/>
      <c r="K61" s="59"/>
      <c r="L61" s="59"/>
      <c r="M61" s="59"/>
      <c r="N61" s="59"/>
      <c r="O61" s="59"/>
      <c r="P61" s="59"/>
      <c r="Q61" s="59"/>
      <c r="R61" s="59"/>
      <c r="S61" s="80"/>
      <c r="T61" s="79"/>
      <c r="U61" s="80"/>
      <c r="V61" s="79"/>
      <c r="W61" s="80"/>
      <c r="X61" s="59"/>
      <c r="Y61" s="80"/>
      <c r="Z61" s="79"/>
      <c r="AA61" s="80"/>
      <c r="AB61" s="79"/>
      <c r="AC61" s="80"/>
      <c r="AD61" s="79"/>
      <c r="AE61" s="80"/>
    </row>
    <row r="62" spans="1:31" x14ac:dyDescent="0.3">
      <c r="A62" s="59"/>
      <c r="B62" s="59"/>
      <c r="C62" s="59"/>
      <c r="D62" s="59"/>
      <c r="E62" s="80"/>
      <c r="F62" s="59"/>
      <c r="G62" s="59"/>
      <c r="H62" s="59"/>
      <c r="I62" s="59"/>
      <c r="J62" s="59"/>
      <c r="K62" s="59"/>
      <c r="L62" s="59"/>
      <c r="M62" s="59"/>
      <c r="N62" s="59"/>
      <c r="O62" s="59"/>
      <c r="P62" s="59"/>
      <c r="Q62" s="59"/>
      <c r="R62" s="59"/>
      <c r="S62" s="59"/>
      <c r="T62" s="80"/>
      <c r="U62" s="79"/>
      <c r="V62" s="80"/>
      <c r="W62" s="59"/>
      <c r="X62" s="80"/>
      <c r="Y62" s="79"/>
      <c r="Z62" s="80"/>
      <c r="AA62" s="79"/>
      <c r="AB62" s="80"/>
      <c r="AC62" s="79"/>
      <c r="AD62" s="80"/>
      <c r="AE62" s="79"/>
    </row>
    <row r="63" spans="1:31" x14ac:dyDescent="0.3">
      <c r="A63" s="59"/>
      <c r="B63" s="59"/>
      <c r="C63" s="59"/>
      <c r="D63" s="59"/>
      <c r="E63" s="80"/>
      <c r="F63" s="59"/>
      <c r="G63" s="59"/>
      <c r="H63" s="59"/>
      <c r="I63" s="59"/>
      <c r="J63" s="59"/>
      <c r="K63" s="59"/>
      <c r="L63" s="59"/>
      <c r="M63" s="59"/>
      <c r="N63" s="59"/>
      <c r="O63" s="59"/>
      <c r="P63" s="59"/>
      <c r="Q63" s="59"/>
      <c r="R63" s="59"/>
      <c r="S63" s="59"/>
      <c r="T63" s="59"/>
      <c r="U63" s="80"/>
      <c r="V63" s="59"/>
      <c r="W63" s="80"/>
      <c r="X63" s="79"/>
      <c r="Y63" s="80"/>
      <c r="Z63" s="79"/>
      <c r="AA63" s="80"/>
      <c r="AB63" s="79"/>
      <c r="AC63" s="80"/>
      <c r="AD63" s="79"/>
      <c r="AE63" s="80"/>
    </row>
    <row r="64" spans="1:31" x14ac:dyDescent="0.3">
      <c r="A64" s="59"/>
      <c r="B64" s="59"/>
      <c r="C64" s="59"/>
      <c r="D64" s="59"/>
      <c r="E64" s="80"/>
      <c r="F64" s="59"/>
      <c r="G64" s="59"/>
      <c r="H64" s="59"/>
      <c r="I64" s="59"/>
      <c r="J64" s="59"/>
      <c r="K64" s="59"/>
      <c r="L64" s="59"/>
      <c r="M64" s="59"/>
      <c r="N64" s="59"/>
      <c r="O64" s="59"/>
      <c r="P64" s="59"/>
      <c r="Q64" s="59"/>
      <c r="R64" s="59"/>
      <c r="S64" s="59"/>
      <c r="T64" s="59"/>
      <c r="U64" s="59"/>
      <c r="V64" s="80"/>
      <c r="W64" s="79"/>
      <c r="X64" s="80"/>
      <c r="Y64" s="79"/>
      <c r="Z64" s="80"/>
      <c r="AA64" s="79"/>
      <c r="AB64" s="80"/>
      <c r="AC64" s="79"/>
      <c r="AD64" s="80"/>
      <c r="AE64" s="79"/>
    </row>
    <row r="65" spans="1:31" x14ac:dyDescent="0.3">
      <c r="A65" s="59"/>
      <c r="B65" s="59"/>
      <c r="C65" s="59"/>
      <c r="D65" s="59"/>
      <c r="E65" s="80"/>
      <c r="F65" s="59"/>
      <c r="G65" s="59"/>
      <c r="H65" s="59"/>
      <c r="I65" s="59"/>
      <c r="J65" s="59"/>
      <c r="K65" s="59"/>
      <c r="L65" s="59"/>
      <c r="M65" s="59"/>
      <c r="N65" s="59"/>
      <c r="O65" s="59"/>
      <c r="P65" s="59"/>
      <c r="Q65" s="59"/>
      <c r="R65" s="59"/>
      <c r="S65" s="59"/>
      <c r="T65" s="59"/>
      <c r="U65" s="59"/>
      <c r="V65" s="59"/>
      <c r="W65" s="80"/>
      <c r="X65" s="79"/>
      <c r="Y65" s="80"/>
      <c r="Z65" s="79"/>
      <c r="AA65" s="80"/>
      <c r="AB65" s="79"/>
      <c r="AC65" s="80"/>
      <c r="AD65" s="79"/>
      <c r="AE65" s="80"/>
    </row>
    <row r="66" spans="1:31" x14ac:dyDescent="0.3">
      <c r="A66" s="59"/>
      <c r="B66" s="59"/>
      <c r="C66" s="59"/>
      <c r="D66" s="59"/>
      <c r="E66" s="80"/>
      <c r="F66" s="59"/>
      <c r="G66" s="59"/>
      <c r="H66" s="59"/>
      <c r="I66" s="59"/>
      <c r="J66" s="59"/>
      <c r="K66" s="59"/>
      <c r="L66" s="59"/>
      <c r="M66" s="59"/>
      <c r="N66" s="59"/>
      <c r="O66" s="59"/>
      <c r="P66" s="59"/>
      <c r="Q66" s="59"/>
      <c r="R66" s="59"/>
      <c r="S66" s="59"/>
      <c r="T66" s="59"/>
      <c r="U66" s="59"/>
      <c r="V66" s="59"/>
      <c r="W66" s="59"/>
      <c r="X66" s="80"/>
      <c r="Y66" s="79"/>
      <c r="Z66" s="80"/>
      <c r="AA66" s="79"/>
      <c r="AB66" s="80"/>
      <c r="AC66" s="59"/>
      <c r="AD66" s="80"/>
      <c r="AE66" s="59"/>
    </row>
    <row r="67" spans="1:31" x14ac:dyDescent="0.3">
      <c r="A67" s="59"/>
      <c r="B67" s="59"/>
      <c r="C67" s="59"/>
      <c r="D67" s="59"/>
      <c r="E67" s="80"/>
      <c r="F67" s="59"/>
      <c r="G67" s="59"/>
      <c r="H67" s="59"/>
      <c r="I67" s="59"/>
      <c r="J67" s="59"/>
      <c r="K67" s="59"/>
      <c r="L67" s="59"/>
      <c r="M67" s="59"/>
      <c r="N67" s="59"/>
      <c r="O67" s="59"/>
      <c r="P67" s="59"/>
      <c r="Q67" s="59"/>
      <c r="R67" s="59"/>
      <c r="S67" s="59"/>
      <c r="T67" s="59"/>
      <c r="U67" s="59"/>
      <c r="V67" s="59"/>
      <c r="W67" s="59"/>
      <c r="X67" s="59"/>
      <c r="Y67" s="80"/>
      <c r="Z67" s="79"/>
      <c r="AA67" s="80"/>
      <c r="AB67" s="59"/>
      <c r="AC67" s="80"/>
      <c r="AD67" s="59"/>
      <c r="AE67" s="80"/>
    </row>
    <row r="68" spans="1:31" x14ac:dyDescent="0.3">
      <c r="A68" s="59"/>
      <c r="B68" s="59"/>
      <c r="C68" s="59"/>
      <c r="D68" s="59"/>
      <c r="E68" s="80"/>
      <c r="F68" s="59"/>
      <c r="G68" s="59"/>
      <c r="H68" s="59"/>
      <c r="I68" s="59"/>
      <c r="J68" s="59"/>
      <c r="K68" s="59"/>
      <c r="L68" s="59"/>
      <c r="M68" s="59"/>
      <c r="N68" s="59"/>
      <c r="O68" s="59"/>
      <c r="P68" s="59"/>
      <c r="Q68" s="59"/>
      <c r="R68" s="59"/>
      <c r="S68" s="59"/>
      <c r="T68" s="59"/>
      <c r="U68" s="59"/>
      <c r="V68" s="59"/>
      <c r="W68" s="59"/>
      <c r="X68" s="59"/>
      <c r="Y68" s="59"/>
      <c r="Z68" s="80"/>
      <c r="AA68" s="59"/>
      <c r="AB68" s="80"/>
      <c r="AC68" s="79"/>
      <c r="AD68" s="80"/>
      <c r="AE68" s="79"/>
    </row>
    <row r="69" spans="1:31" x14ac:dyDescent="0.3">
      <c r="A69" s="59"/>
      <c r="B69" s="59"/>
      <c r="C69" s="59"/>
      <c r="D69" s="59"/>
      <c r="E69" s="80"/>
      <c r="F69" s="59"/>
      <c r="G69" s="59"/>
      <c r="H69" s="59"/>
      <c r="I69" s="59"/>
      <c r="J69" s="59"/>
      <c r="K69" s="59"/>
      <c r="L69" s="59"/>
      <c r="M69" s="59"/>
      <c r="N69" s="59"/>
      <c r="O69" s="59"/>
      <c r="P69" s="59"/>
      <c r="Q69" s="59"/>
      <c r="R69" s="59"/>
      <c r="S69" s="59"/>
      <c r="T69" s="59"/>
      <c r="U69" s="59"/>
      <c r="V69" s="59"/>
      <c r="W69" s="59"/>
      <c r="X69" s="59"/>
      <c r="Y69" s="59"/>
      <c r="Z69" s="59"/>
      <c r="AA69" s="80"/>
      <c r="AB69" s="79"/>
      <c r="AC69" s="80"/>
      <c r="AD69" s="79"/>
      <c r="AE69" s="80"/>
    </row>
    <row r="70" spans="1:31" x14ac:dyDescent="0.3">
      <c r="A70" s="59"/>
      <c r="B70" s="59"/>
      <c r="C70" s="59"/>
      <c r="D70" s="59"/>
      <c r="E70" s="80"/>
      <c r="F70" s="59"/>
      <c r="G70" s="59"/>
      <c r="H70" s="59"/>
      <c r="I70" s="59"/>
      <c r="J70" s="59"/>
      <c r="K70" s="59"/>
      <c r="L70" s="59"/>
      <c r="M70" s="59"/>
      <c r="N70" s="59"/>
      <c r="O70" s="59"/>
      <c r="P70" s="59"/>
      <c r="Q70" s="59"/>
      <c r="R70" s="59"/>
      <c r="S70" s="59"/>
      <c r="T70" s="59"/>
      <c r="U70" s="59"/>
      <c r="V70" s="59"/>
      <c r="W70" s="59"/>
      <c r="X70" s="59"/>
      <c r="Y70" s="59"/>
      <c r="Z70" s="59"/>
      <c r="AA70" s="59"/>
      <c r="AB70" s="80"/>
      <c r="AC70" s="79"/>
      <c r="AD70" s="80"/>
      <c r="AE70" s="79"/>
    </row>
    <row r="71" spans="1:31" x14ac:dyDescent="0.3">
      <c r="A71" s="59"/>
      <c r="B71" s="59"/>
      <c r="C71" s="59"/>
      <c r="D71" s="59"/>
      <c r="E71" s="80"/>
      <c r="F71" s="59"/>
      <c r="G71" s="59"/>
      <c r="H71" s="59"/>
      <c r="I71" s="59"/>
      <c r="J71" s="59"/>
      <c r="K71" s="59"/>
      <c r="L71" s="59"/>
      <c r="M71" s="59"/>
      <c r="N71" s="59"/>
      <c r="O71" s="59"/>
      <c r="P71" s="59"/>
      <c r="Q71" s="59"/>
      <c r="R71" s="59"/>
      <c r="S71" s="59"/>
      <c r="T71" s="59"/>
      <c r="U71" s="59"/>
      <c r="V71" s="59"/>
      <c r="W71" s="59"/>
      <c r="X71" s="59"/>
      <c r="Y71" s="59"/>
      <c r="Z71" s="59"/>
      <c r="AA71" s="59"/>
      <c r="AB71" s="59"/>
      <c r="AC71" s="80"/>
      <c r="AD71" s="79"/>
      <c r="AE71" s="80"/>
    </row>
    <row r="72" spans="1:31" x14ac:dyDescent="0.3">
      <c r="A72" s="59"/>
      <c r="B72" s="59"/>
      <c r="C72" s="59"/>
      <c r="D72" s="59"/>
      <c r="E72" s="80"/>
      <c r="F72" s="59"/>
      <c r="G72" s="59"/>
      <c r="H72" s="59"/>
      <c r="I72" s="59"/>
      <c r="J72" s="59"/>
      <c r="K72" s="59"/>
      <c r="L72" s="59"/>
      <c r="M72" s="59"/>
      <c r="N72" s="59"/>
      <c r="O72" s="59"/>
      <c r="P72" s="59"/>
      <c r="Q72" s="59"/>
      <c r="R72" s="59"/>
      <c r="S72" s="59"/>
      <c r="T72" s="59"/>
      <c r="U72" s="59"/>
      <c r="V72" s="59"/>
      <c r="W72" s="59"/>
      <c r="X72" s="59"/>
      <c r="Y72" s="59"/>
      <c r="Z72" s="59"/>
      <c r="AA72" s="59"/>
      <c r="AB72" s="59"/>
      <c r="AC72" s="59"/>
      <c r="AD72" s="80"/>
      <c r="AE72" s="79"/>
    </row>
    <row r="73" spans="1:31" x14ac:dyDescent="0.3">
      <c r="A73" s="59"/>
      <c r="B73" s="59"/>
      <c r="C73" s="59"/>
      <c r="D73" s="59"/>
      <c r="E73" s="80"/>
      <c r="F73" s="59"/>
      <c r="G73" s="59"/>
      <c r="H73" s="59"/>
      <c r="I73" s="59"/>
      <c r="J73" s="59"/>
      <c r="K73" s="59"/>
      <c r="L73" s="59"/>
      <c r="M73" s="59"/>
      <c r="N73" s="59"/>
      <c r="O73" s="59"/>
      <c r="P73" s="59"/>
      <c r="Q73" s="59"/>
      <c r="R73" s="59"/>
      <c r="S73" s="59"/>
      <c r="T73" s="59"/>
      <c r="U73" s="59"/>
      <c r="V73" s="59"/>
      <c r="W73" s="59"/>
      <c r="X73" s="59"/>
      <c r="Y73" s="59"/>
      <c r="Z73" s="59"/>
      <c r="AA73" s="59"/>
      <c r="AB73" s="59"/>
      <c r="AC73" s="59"/>
      <c r="AD73" s="79"/>
      <c r="AE73" s="80"/>
    </row>
    <row r="74" spans="1:31" x14ac:dyDescent="0.3">
      <c r="A74" s="59"/>
      <c r="B74" s="59"/>
      <c r="C74" s="59"/>
      <c r="D74" s="59"/>
      <c r="E74" s="80"/>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c r="AE74" s="79"/>
    </row>
    <row r="75" spans="1:31" x14ac:dyDescent="0.3">
      <c r="A75" s="59"/>
      <c r="B75" s="59"/>
      <c r="C75" s="59"/>
      <c r="D75" s="59"/>
      <c r="E75" s="80"/>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row>
    <row r="76" spans="1:31" x14ac:dyDescent="0.3">
      <c r="A76" s="82"/>
      <c r="B76" s="82"/>
      <c r="C76" s="82"/>
      <c r="D76" s="82"/>
      <c r="E76" s="83"/>
      <c r="F76" s="8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row>
    <row r="77" spans="1:31" x14ac:dyDescent="0.3">
      <c r="A77" s="81"/>
      <c r="B77" s="59"/>
      <c r="C77" s="59"/>
      <c r="D77" s="59"/>
      <c r="E77" s="59"/>
      <c r="F77" s="59"/>
      <c r="G77" s="80"/>
      <c r="H77" s="59"/>
      <c r="I77" s="59"/>
      <c r="J77" s="59"/>
      <c r="K77" s="59"/>
      <c r="L77" s="59"/>
      <c r="M77" s="59"/>
      <c r="N77" s="59"/>
      <c r="O77" s="59"/>
      <c r="P77" s="59"/>
      <c r="Q77" s="59"/>
      <c r="R77" s="59"/>
      <c r="S77" s="59"/>
      <c r="T77" s="59"/>
      <c r="U77" s="59"/>
      <c r="V77" s="59"/>
      <c r="W77" s="59"/>
      <c r="X77" s="59"/>
      <c r="Y77" s="59"/>
      <c r="Z77" s="59"/>
      <c r="AA77" s="59"/>
      <c r="AB77" s="59"/>
      <c r="AC77" s="59"/>
      <c r="AD77" s="59"/>
      <c r="AE77" s="59"/>
    </row>
    <row r="78" spans="1:31" x14ac:dyDescent="0.3">
      <c r="A78" s="81"/>
      <c r="B78" s="59"/>
      <c r="C78" s="59"/>
      <c r="D78" s="59"/>
      <c r="E78" s="59"/>
      <c r="F78" s="59"/>
      <c r="G78" s="80"/>
      <c r="H78" s="59"/>
      <c r="I78" s="59"/>
      <c r="J78" s="59"/>
      <c r="K78" s="59"/>
      <c r="L78" s="59"/>
      <c r="M78" s="59"/>
      <c r="N78" s="59"/>
      <c r="O78" s="59"/>
      <c r="P78" s="59"/>
      <c r="Q78" s="59"/>
      <c r="R78" s="59"/>
      <c r="S78" s="59"/>
      <c r="T78" s="59"/>
      <c r="U78" s="59"/>
      <c r="V78" s="59"/>
      <c r="W78" s="59"/>
      <c r="X78" s="59"/>
      <c r="Y78" s="59"/>
      <c r="Z78" s="59"/>
      <c r="AA78" s="59"/>
      <c r="AB78" s="59"/>
      <c r="AC78" s="59"/>
      <c r="AD78" s="59"/>
      <c r="AE78" s="80">
        <f>MAX($B$2-AE15,0)</f>
        <v>126.67782732554281</v>
      </c>
    </row>
    <row r="79" spans="1:31" x14ac:dyDescent="0.3">
      <c r="A79" s="81"/>
      <c r="B79" s="59"/>
      <c r="C79" s="59"/>
      <c r="D79" s="59"/>
      <c r="E79" s="59"/>
      <c r="F79" s="59"/>
      <c r="G79" s="80"/>
      <c r="H79" s="59"/>
      <c r="I79" s="59"/>
      <c r="J79" s="59"/>
      <c r="K79" s="59"/>
      <c r="L79" s="59"/>
      <c r="M79" s="59"/>
      <c r="N79" s="59"/>
      <c r="O79" s="59"/>
      <c r="P79" s="59"/>
      <c r="Q79" s="59"/>
      <c r="R79" s="59"/>
      <c r="S79" s="59"/>
      <c r="T79" s="59"/>
      <c r="U79" s="59"/>
      <c r="V79" s="59"/>
      <c r="W79" s="59"/>
      <c r="X79" s="59"/>
      <c r="Y79" s="59"/>
      <c r="Z79" s="59"/>
      <c r="AA79" s="59"/>
      <c r="AB79" s="59"/>
      <c r="AC79" s="59"/>
      <c r="AD79" s="80"/>
      <c r="AE79" s="59"/>
    </row>
    <row r="80" spans="1:31" x14ac:dyDescent="0.3">
      <c r="A80" s="81"/>
      <c r="B80" s="59"/>
      <c r="C80" s="59"/>
      <c r="D80" s="59"/>
      <c r="E80" s="59"/>
      <c r="F80" s="59"/>
      <c r="G80" s="80"/>
      <c r="H80" s="59"/>
      <c r="I80" s="59"/>
      <c r="J80" s="59"/>
      <c r="K80" s="59"/>
      <c r="L80" s="59"/>
      <c r="M80" s="59"/>
      <c r="N80" s="59"/>
      <c r="O80" s="59"/>
      <c r="P80" s="59"/>
      <c r="Q80" s="59"/>
      <c r="R80" s="59"/>
      <c r="S80" s="59"/>
      <c r="T80" s="59"/>
      <c r="U80" s="59"/>
      <c r="V80" s="59"/>
      <c r="W80" s="59"/>
      <c r="X80" s="59"/>
      <c r="Y80" s="59"/>
      <c r="Z80" s="59"/>
      <c r="AA80" s="59"/>
      <c r="AB80" s="59"/>
      <c r="AC80" s="80"/>
      <c r="AD80" s="59"/>
      <c r="AE80" s="80">
        <f>MAX($B$2-AE17,0)</f>
        <v>126.67782732554281</v>
      </c>
    </row>
    <row r="81" spans="1:31" x14ac:dyDescent="0.3">
      <c r="A81" s="81"/>
      <c r="B81" s="59"/>
      <c r="C81" s="59"/>
      <c r="D81" s="59"/>
      <c r="E81" s="59"/>
      <c r="F81" s="59"/>
      <c r="G81" s="80"/>
      <c r="H81" s="59"/>
      <c r="I81" s="59"/>
      <c r="J81" s="59"/>
      <c r="K81" s="59"/>
      <c r="L81" s="59"/>
      <c r="M81" s="59"/>
      <c r="N81" s="59"/>
      <c r="O81" s="59"/>
      <c r="P81" s="59"/>
      <c r="Q81" s="59"/>
      <c r="R81" s="59"/>
      <c r="S81" s="59"/>
      <c r="T81" s="59"/>
      <c r="U81" s="59"/>
      <c r="V81" s="59"/>
      <c r="W81" s="59"/>
      <c r="X81" s="59"/>
      <c r="Y81" s="59"/>
      <c r="Z81" s="59"/>
      <c r="AA81" s="59"/>
      <c r="AB81" s="80"/>
      <c r="AC81" s="59"/>
      <c r="AD81" s="80"/>
      <c r="AE81" s="59"/>
    </row>
    <row r="82" spans="1:31" x14ac:dyDescent="0.3">
      <c r="A82" s="81"/>
      <c r="B82" s="59"/>
      <c r="C82" s="59"/>
      <c r="D82" s="59"/>
      <c r="E82" s="59"/>
      <c r="F82" s="59"/>
      <c r="G82" s="80"/>
      <c r="H82" s="59"/>
      <c r="I82" s="59"/>
      <c r="J82" s="59"/>
      <c r="K82" s="59"/>
      <c r="L82" s="59"/>
      <c r="M82" s="59"/>
      <c r="N82" s="59"/>
      <c r="O82" s="59"/>
      <c r="P82" s="59"/>
      <c r="Q82" s="59"/>
      <c r="R82" s="59"/>
      <c r="S82" s="59"/>
      <c r="T82" s="59"/>
      <c r="U82" s="59"/>
      <c r="V82" s="59"/>
      <c r="W82" s="59"/>
      <c r="X82" s="59"/>
      <c r="Y82" s="59"/>
      <c r="Z82" s="59"/>
      <c r="AA82" s="80"/>
      <c r="AB82" s="59"/>
      <c r="AC82" s="80"/>
      <c r="AD82" s="59"/>
      <c r="AE82" s="80">
        <f>MAX($B$2-AE19,0)</f>
        <v>126.67782732554281</v>
      </c>
    </row>
    <row r="83" spans="1:31" x14ac:dyDescent="0.3">
      <c r="A83" s="81"/>
      <c r="B83" s="59"/>
      <c r="C83" s="59"/>
      <c r="D83" s="59"/>
      <c r="E83" s="59"/>
      <c r="F83" s="59"/>
      <c r="G83" s="80"/>
      <c r="H83" s="59"/>
      <c r="I83" s="59"/>
      <c r="J83" s="59"/>
      <c r="K83" s="59"/>
      <c r="L83" s="59"/>
      <c r="M83" s="59"/>
      <c r="N83" s="59"/>
      <c r="O83" s="59"/>
      <c r="P83" s="59"/>
      <c r="Q83" s="59"/>
      <c r="R83" s="59"/>
      <c r="S83" s="59"/>
      <c r="T83" s="59"/>
      <c r="U83" s="59"/>
      <c r="V83" s="59"/>
      <c r="W83" s="59"/>
      <c r="X83" s="59"/>
      <c r="Y83" s="59"/>
      <c r="Z83" s="80"/>
      <c r="AA83" s="59"/>
      <c r="AB83" s="80"/>
      <c r="AC83" s="59"/>
      <c r="AD83" s="80"/>
      <c r="AE83" s="59"/>
    </row>
    <row r="84" spans="1:31" x14ac:dyDescent="0.3">
      <c r="A84" s="81"/>
      <c r="B84" s="59"/>
      <c r="C84" s="59"/>
      <c r="D84" s="59"/>
      <c r="E84" s="59"/>
      <c r="F84" s="59"/>
      <c r="G84" s="80"/>
      <c r="H84" s="59"/>
      <c r="I84" s="59"/>
      <c r="J84" s="59"/>
      <c r="K84" s="59"/>
      <c r="L84" s="59"/>
      <c r="M84" s="59"/>
      <c r="N84" s="59"/>
      <c r="O84" s="59"/>
      <c r="P84" s="59"/>
      <c r="Q84" s="59"/>
      <c r="R84" s="59"/>
      <c r="S84" s="59"/>
      <c r="T84" s="59"/>
      <c r="U84" s="59"/>
      <c r="V84" s="59"/>
      <c r="W84" s="59"/>
      <c r="X84" s="59"/>
      <c r="Y84" s="80"/>
      <c r="Z84" s="59"/>
      <c r="AA84" s="80"/>
      <c r="AB84" s="59"/>
      <c r="AC84" s="80"/>
      <c r="AD84" s="59"/>
      <c r="AE84" s="80">
        <f>MAX($B$2-AE21,0)</f>
        <v>126.67782732554281</v>
      </c>
    </row>
    <row r="85" spans="1:31" x14ac:dyDescent="0.3">
      <c r="A85" s="81"/>
      <c r="B85" s="59"/>
      <c r="C85" s="59"/>
      <c r="D85" s="59"/>
      <c r="E85" s="59"/>
      <c r="F85" s="59"/>
      <c r="G85" s="80"/>
      <c r="H85" s="59"/>
      <c r="I85" s="59"/>
      <c r="J85" s="59"/>
      <c r="K85" s="59"/>
      <c r="L85" s="59"/>
      <c r="M85" s="59"/>
      <c r="N85" s="59"/>
      <c r="O85" s="59"/>
      <c r="P85" s="59"/>
      <c r="Q85" s="59"/>
      <c r="R85" s="59"/>
      <c r="S85" s="59"/>
      <c r="T85" s="59"/>
      <c r="U85" s="59"/>
      <c r="V85" s="59"/>
      <c r="W85" s="59"/>
      <c r="X85" s="80"/>
      <c r="Y85" s="59"/>
      <c r="Z85" s="80"/>
      <c r="AA85" s="59"/>
      <c r="AB85" s="80"/>
      <c r="AC85" s="59"/>
      <c r="AD85" s="80"/>
      <c r="AE85" s="59"/>
    </row>
    <row r="86" spans="1:31" x14ac:dyDescent="0.3">
      <c r="A86" s="81"/>
      <c r="B86" s="59"/>
      <c r="C86" s="59"/>
      <c r="D86" s="59"/>
      <c r="E86" s="59"/>
      <c r="F86" s="59"/>
      <c r="G86" s="80"/>
      <c r="H86" s="59"/>
      <c r="I86" s="59"/>
      <c r="J86" s="59"/>
      <c r="K86" s="59"/>
      <c r="L86" s="59"/>
      <c r="M86" s="59"/>
      <c r="N86" s="59"/>
      <c r="O86" s="59"/>
      <c r="P86" s="59"/>
      <c r="Q86" s="59"/>
      <c r="R86" s="59"/>
      <c r="S86" s="59"/>
      <c r="T86" s="59"/>
      <c r="U86" s="59"/>
      <c r="V86" s="59"/>
      <c r="W86" s="80"/>
      <c r="X86" s="59"/>
      <c r="Y86" s="80"/>
      <c r="Z86" s="59"/>
      <c r="AA86" s="80"/>
      <c r="AB86" s="59"/>
      <c r="AC86" s="80"/>
      <c r="AD86" s="59"/>
      <c r="AE86" s="80">
        <f>MAX($B$2-AE23,0)</f>
        <v>126.67782732554281</v>
      </c>
    </row>
    <row r="87" spans="1:31" x14ac:dyDescent="0.3">
      <c r="A87" s="81"/>
      <c r="B87" s="59"/>
      <c r="C87" s="59"/>
      <c r="D87" s="59"/>
      <c r="E87" s="59"/>
      <c r="F87" s="59"/>
      <c r="G87" s="80"/>
      <c r="H87" s="59"/>
      <c r="I87" s="59"/>
      <c r="J87" s="59"/>
      <c r="K87" s="59"/>
      <c r="L87" s="59"/>
      <c r="M87" s="59"/>
      <c r="N87" s="59"/>
      <c r="O87" s="59"/>
      <c r="P87" s="59"/>
      <c r="Q87" s="59"/>
      <c r="R87" s="59"/>
      <c r="S87" s="59"/>
      <c r="T87" s="59"/>
      <c r="U87" s="59"/>
      <c r="V87" s="80"/>
      <c r="W87" s="59"/>
      <c r="X87" s="80"/>
      <c r="Y87" s="59"/>
      <c r="Z87" s="80"/>
      <c r="AA87" s="59"/>
      <c r="AB87" s="80"/>
      <c r="AC87" s="59"/>
      <c r="AD87" s="80"/>
      <c r="AE87" s="59"/>
    </row>
    <row r="88" spans="1:31" x14ac:dyDescent="0.3">
      <c r="A88" s="81"/>
      <c r="B88" s="59"/>
      <c r="C88" s="59"/>
      <c r="D88" s="59"/>
      <c r="E88" s="59"/>
      <c r="F88" s="59"/>
      <c r="G88" s="80"/>
      <c r="H88" s="59"/>
      <c r="I88" s="59"/>
      <c r="J88" s="59"/>
      <c r="K88" s="59"/>
      <c r="L88" s="59"/>
      <c r="M88" s="59"/>
      <c r="N88" s="59"/>
      <c r="O88" s="59"/>
      <c r="P88" s="59"/>
      <c r="Q88" s="59"/>
      <c r="R88" s="59"/>
      <c r="S88" s="59"/>
      <c r="T88" s="59"/>
      <c r="U88" s="80"/>
      <c r="V88" s="59"/>
      <c r="W88" s="80"/>
      <c r="X88" s="59"/>
      <c r="Y88" s="80"/>
      <c r="Z88" s="59"/>
      <c r="AA88" s="80"/>
      <c r="AB88" s="59"/>
      <c r="AC88" s="80"/>
      <c r="AD88" s="59"/>
      <c r="AE88" s="80">
        <f>MAX($B$2-AE25,0)</f>
        <v>126.67782732554281</v>
      </c>
    </row>
    <row r="89" spans="1:31" x14ac:dyDescent="0.3">
      <c r="A89" s="81"/>
      <c r="B89" s="59"/>
      <c r="C89" s="59"/>
      <c r="D89" s="59"/>
      <c r="E89" s="59"/>
      <c r="F89" s="59"/>
      <c r="G89" s="80"/>
      <c r="H89" s="59"/>
      <c r="I89" s="59"/>
      <c r="J89" s="59"/>
      <c r="K89" s="59"/>
      <c r="L89" s="59"/>
      <c r="M89" s="59"/>
      <c r="N89" s="59"/>
      <c r="O89" s="59"/>
      <c r="P89" s="59"/>
      <c r="Q89" s="59"/>
      <c r="R89" s="59"/>
      <c r="S89" s="59"/>
      <c r="T89" s="80"/>
      <c r="U89" s="59"/>
      <c r="V89" s="80"/>
      <c r="W89" s="59"/>
      <c r="X89" s="80"/>
      <c r="Y89" s="59"/>
      <c r="Z89" s="80"/>
      <c r="AA89" s="59"/>
      <c r="AB89" s="80"/>
      <c r="AC89" s="59"/>
      <c r="AD89" s="80"/>
      <c r="AE89" s="59"/>
    </row>
    <row r="90" spans="1:31" x14ac:dyDescent="0.3">
      <c r="A90" s="81"/>
      <c r="B90" s="59"/>
      <c r="C90" s="59"/>
      <c r="D90" s="59"/>
      <c r="E90" s="59"/>
      <c r="F90" s="59"/>
      <c r="G90" s="80"/>
      <c r="H90" s="59"/>
      <c r="I90" s="59"/>
      <c r="J90" s="59"/>
      <c r="K90" s="59"/>
      <c r="L90" s="59"/>
      <c r="M90" s="59"/>
      <c r="N90" s="59"/>
      <c r="O90" s="59"/>
      <c r="P90" s="59"/>
      <c r="Q90" s="59"/>
      <c r="R90" s="59"/>
      <c r="S90" s="80"/>
      <c r="T90" s="59"/>
      <c r="U90" s="80"/>
      <c r="V90" s="59"/>
      <c r="W90" s="80"/>
      <c r="X90" s="59"/>
      <c r="Y90" s="80"/>
      <c r="Z90" s="59"/>
      <c r="AA90" s="80"/>
      <c r="AB90" s="59"/>
      <c r="AC90" s="80"/>
      <c r="AD90" s="59"/>
      <c r="AE90" s="80">
        <f>MAX($B$2-AE27,0)</f>
        <v>126.67782732554281</v>
      </c>
    </row>
    <row r="91" spans="1:31" x14ac:dyDescent="0.3">
      <c r="A91" s="81"/>
      <c r="B91" s="59"/>
      <c r="C91" s="59"/>
      <c r="D91" s="59"/>
      <c r="E91" s="59"/>
      <c r="F91" s="59"/>
      <c r="G91" s="80"/>
      <c r="H91" s="59"/>
      <c r="I91" s="59"/>
      <c r="J91" s="59"/>
      <c r="K91" s="59"/>
      <c r="L91" s="59"/>
      <c r="M91" s="59"/>
      <c r="N91" s="59"/>
      <c r="O91" s="59"/>
      <c r="P91" s="59"/>
      <c r="Q91" s="59"/>
      <c r="R91" s="80"/>
      <c r="S91" s="59"/>
      <c r="T91" s="80"/>
      <c r="U91" s="59"/>
      <c r="V91" s="80"/>
      <c r="W91" s="59"/>
      <c r="X91" s="80"/>
      <c r="Y91" s="59"/>
      <c r="Z91" s="80"/>
      <c r="AA91" s="59"/>
      <c r="AB91" s="80"/>
      <c r="AC91" s="59"/>
      <c r="AD91" s="80"/>
      <c r="AE91" s="59"/>
    </row>
    <row r="92" spans="1:31" x14ac:dyDescent="0.3">
      <c r="A92" s="81"/>
      <c r="B92" s="59"/>
      <c r="C92" s="59"/>
      <c r="D92" s="59"/>
      <c r="E92" s="59"/>
      <c r="F92" s="59"/>
      <c r="G92" s="80"/>
      <c r="H92" s="59"/>
      <c r="I92" s="59"/>
      <c r="J92" s="59"/>
      <c r="K92" s="59"/>
      <c r="L92" s="59"/>
      <c r="M92" s="59"/>
      <c r="N92" s="59"/>
      <c r="O92" s="59"/>
      <c r="P92" s="59"/>
      <c r="Q92" s="80"/>
      <c r="R92" s="59"/>
      <c r="S92" s="80"/>
      <c r="T92" s="59"/>
      <c r="U92" s="80"/>
      <c r="V92" s="59"/>
      <c r="W92" s="80"/>
      <c r="X92" s="59"/>
      <c r="Y92" s="80"/>
      <c r="Z92" s="59"/>
      <c r="AA92" s="80"/>
      <c r="AB92" s="59"/>
      <c r="AC92" s="80"/>
      <c r="AD92" s="59"/>
      <c r="AE92" s="80">
        <f>MAX($B$2-AE29,0)</f>
        <v>126.67782732554281</v>
      </c>
    </row>
    <row r="93" spans="1:31" x14ac:dyDescent="0.3">
      <c r="A93" s="81"/>
      <c r="B93" s="59"/>
      <c r="C93" s="59"/>
      <c r="D93" s="59"/>
      <c r="E93" s="59"/>
      <c r="F93" s="59"/>
      <c r="G93" s="80"/>
      <c r="H93" s="59"/>
      <c r="I93" s="59"/>
      <c r="J93" s="59"/>
      <c r="K93" s="59"/>
      <c r="L93" s="59"/>
      <c r="M93" s="59"/>
      <c r="N93" s="59"/>
      <c r="O93" s="59"/>
      <c r="P93" s="80"/>
      <c r="Q93" s="59"/>
      <c r="R93" s="80"/>
      <c r="S93" s="59"/>
      <c r="T93" s="80"/>
      <c r="U93" s="59"/>
      <c r="V93" s="80"/>
      <c r="W93" s="59"/>
      <c r="X93" s="80"/>
      <c r="Y93" s="59"/>
      <c r="Z93" s="80"/>
      <c r="AA93" s="59"/>
      <c r="AB93" s="80"/>
      <c r="AC93" s="59"/>
      <c r="AD93" s="80"/>
      <c r="AE93" s="59"/>
    </row>
    <row r="94" spans="1:31" x14ac:dyDescent="0.3">
      <c r="A94" s="81"/>
      <c r="B94" s="59"/>
      <c r="C94" s="59"/>
      <c r="D94" s="59"/>
      <c r="E94" s="59"/>
      <c r="F94" s="59"/>
      <c r="G94" s="80"/>
      <c r="H94" s="59"/>
      <c r="I94" s="59"/>
      <c r="J94" s="59"/>
      <c r="K94" s="59"/>
      <c r="L94" s="59"/>
      <c r="M94" s="59"/>
      <c r="N94" s="59"/>
      <c r="O94" s="80"/>
      <c r="P94" s="59"/>
      <c r="Q94" s="80"/>
      <c r="R94" s="59"/>
      <c r="S94" s="80"/>
      <c r="T94" s="59"/>
      <c r="U94" s="80"/>
      <c r="V94" s="59"/>
      <c r="W94" s="80"/>
      <c r="X94" s="59"/>
      <c r="Y94" s="80"/>
      <c r="Z94" s="59"/>
      <c r="AA94" s="80"/>
      <c r="AB94" s="59"/>
      <c r="AC94" s="80"/>
      <c r="AD94" s="59"/>
      <c r="AE94" s="80">
        <f>MAX($B$2-AE31,0)</f>
        <v>126.67782732554281</v>
      </c>
    </row>
    <row r="95" spans="1:31" x14ac:dyDescent="0.3">
      <c r="A95" s="81"/>
      <c r="B95" s="59"/>
      <c r="C95" s="59"/>
      <c r="D95" s="59"/>
      <c r="E95" s="59"/>
      <c r="F95" s="59"/>
      <c r="G95" s="80"/>
      <c r="H95" s="59"/>
      <c r="I95" s="59"/>
      <c r="J95" s="59"/>
      <c r="K95" s="59"/>
      <c r="L95" s="59"/>
      <c r="M95" s="59"/>
      <c r="N95" s="80"/>
      <c r="O95" s="59"/>
      <c r="P95" s="80"/>
      <c r="Q95" s="59"/>
      <c r="R95" s="80"/>
      <c r="S95" s="59"/>
      <c r="T95" s="80"/>
      <c r="U95" s="59"/>
      <c r="V95" s="80"/>
      <c r="W95" s="59"/>
      <c r="X95" s="80"/>
      <c r="Y95" s="59"/>
      <c r="Z95" s="80"/>
      <c r="AA95" s="59"/>
      <c r="AB95" s="80"/>
      <c r="AC95" s="59"/>
      <c r="AD95" s="80"/>
      <c r="AE95" s="59"/>
    </row>
    <row r="96" spans="1:31" x14ac:dyDescent="0.3">
      <c r="A96" s="81"/>
      <c r="B96" s="59"/>
      <c r="C96" s="59"/>
      <c r="D96" s="59"/>
      <c r="E96" s="59"/>
      <c r="F96" s="59"/>
      <c r="G96" s="80"/>
      <c r="H96" s="59"/>
      <c r="I96" s="59"/>
      <c r="J96" s="59"/>
      <c r="K96" s="59"/>
      <c r="L96" s="59"/>
      <c r="M96" s="80"/>
      <c r="N96" s="59"/>
      <c r="O96" s="80"/>
      <c r="P96" s="59"/>
      <c r="Q96" s="80"/>
      <c r="R96" s="59"/>
      <c r="S96" s="80"/>
      <c r="T96" s="59"/>
      <c r="U96" s="80"/>
      <c r="V96" s="59"/>
      <c r="W96" s="80"/>
      <c r="X96" s="59"/>
      <c r="Y96" s="80"/>
      <c r="Z96" s="59"/>
      <c r="AA96" s="80"/>
      <c r="AB96" s="59"/>
      <c r="AC96" s="80"/>
      <c r="AD96" s="59"/>
      <c r="AE96" s="80">
        <f>MAX($B$2-AE33,0)</f>
        <v>126.67782732554281</v>
      </c>
    </row>
    <row r="97" spans="1:31" x14ac:dyDescent="0.3">
      <c r="A97" s="81"/>
      <c r="B97" s="59"/>
      <c r="C97" s="59"/>
      <c r="D97" s="59"/>
      <c r="E97" s="59"/>
      <c r="F97" s="59"/>
      <c r="G97" s="80"/>
      <c r="H97" s="59"/>
      <c r="I97" s="59"/>
      <c r="J97" s="59"/>
      <c r="K97" s="59"/>
      <c r="L97" s="80"/>
      <c r="M97" s="59"/>
      <c r="N97" s="80"/>
      <c r="O97" s="59"/>
      <c r="P97" s="80"/>
      <c r="Q97" s="59"/>
      <c r="R97" s="80"/>
      <c r="S97" s="59"/>
      <c r="T97" s="80"/>
      <c r="U97" s="59"/>
      <c r="V97" s="80"/>
      <c r="W97" s="59"/>
      <c r="X97" s="80"/>
      <c r="Y97" s="59"/>
      <c r="Z97" s="80"/>
      <c r="AA97" s="59"/>
      <c r="AB97" s="80"/>
      <c r="AC97" s="59"/>
      <c r="AD97" s="80"/>
      <c r="AE97" s="59"/>
    </row>
    <row r="98" spans="1:31" x14ac:dyDescent="0.3">
      <c r="A98" s="81"/>
      <c r="B98" s="59"/>
      <c r="C98" s="59"/>
      <c r="D98" s="59"/>
      <c r="E98" s="59"/>
      <c r="F98" s="59"/>
      <c r="G98" s="80"/>
      <c r="H98" s="59"/>
      <c r="I98" s="59"/>
      <c r="J98" s="59"/>
      <c r="K98" s="80"/>
      <c r="L98" s="59"/>
      <c r="M98" s="80"/>
      <c r="N98" s="59"/>
      <c r="O98" s="80"/>
      <c r="P98" s="59"/>
      <c r="Q98" s="80"/>
      <c r="R98" s="59"/>
      <c r="S98" s="80"/>
      <c r="T98" s="59"/>
      <c r="U98" s="80"/>
      <c r="V98" s="59"/>
      <c r="W98" s="80"/>
      <c r="X98" s="59"/>
      <c r="Y98" s="80"/>
      <c r="Z98" s="59"/>
      <c r="AA98" s="80"/>
      <c r="AB98" s="59"/>
      <c r="AC98" s="80"/>
      <c r="AD98" s="59"/>
      <c r="AE98" s="80">
        <f>MAX($B$2-AE35,0)</f>
        <v>126.67782732554281</v>
      </c>
    </row>
    <row r="99" spans="1:31" x14ac:dyDescent="0.3">
      <c r="A99" s="81"/>
      <c r="B99" s="59"/>
      <c r="C99" s="59"/>
      <c r="D99" s="59"/>
      <c r="E99" s="59"/>
      <c r="F99" s="59"/>
      <c r="G99" s="80"/>
      <c r="H99" s="59"/>
      <c r="I99" s="59"/>
      <c r="J99" s="80"/>
      <c r="K99" s="59"/>
      <c r="L99" s="80"/>
      <c r="M99" s="59"/>
      <c r="N99" s="80"/>
      <c r="O99" s="59"/>
      <c r="P99" s="80"/>
      <c r="Q99" s="59"/>
      <c r="R99" s="80"/>
      <c r="S99" s="59"/>
      <c r="T99" s="80"/>
      <c r="U99" s="59"/>
      <c r="V99" s="80"/>
      <c r="W99" s="59"/>
      <c r="X99" s="80"/>
      <c r="Y99" s="59"/>
      <c r="Z99" s="80"/>
      <c r="AA99" s="59"/>
      <c r="AB99" s="80"/>
      <c r="AC99" s="59"/>
      <c r="AD99" s="80"/>
      <c r="AE99" s="59"/>
    </row>
    <row r="100" spans="1:31" x14ac:dyDescent="0.3">
      <c r="A100" s="81"/>
      <c r="B100" s="59"/>
      <c r="C100" s="59"/>
      <c r="D100" s="59"/>
      <c r="E100" s="59"/>
      <c r="F100" s="59"/>
      <c r="G100" s="80"/>
      <c r="H100" s="59"/>
      <c r="I100" s="80"/>
      <c r="J100" s="59"/>
      <c r="K100" s="80"/>
      <c r="L100" s="59"/>
      <c r="M100" s="80"/>
      <c r="N100" s="59"/>
      <c r="O100" s="80"/>
      <c r="P100" s="59"/>
      <c r="Q100" s="80"/>
      <c r="R100" s="59"/>
      <c r="S100" s="80"/>
      <c r="T100" s="59"/>
      <c r="U100" s="80"/>
      <c r="V100" s="59"/>
      <c r="W100" s="80"/>
      <c r="X100" s="59"/>
      <c r="Y100" s="80"/>
      <c r="Z100" s="59"/>
      <c r="AA100" s="80"/>
      <c r="AB100" s="59"/>
      <c r="AC100" s="80"/>
      <c r="AD100" s="59"/>
      <c r="AE100" s="80">
        <f>MAX($B$2-AE37,0)</f>
        <v>126.67782732554281</v>
      </c>
    </row>
    <row r="101" spans="1:31" x14ac:dyDescent="0.3">
      <c r="A101" s="81"/>
      <c r="B101" s="59"/>
      <c r="C101" s="59"/>
      <c r="D101" s="59"/>
      <c r="E101" s="59"/>
      <c r="F101" s="59"/>
      <c r="G101" s="80"/>
      <c r="H101" s="80"/>
      <c r="I101" s="59"/>
      <c r="J101" s="80"/>
      <c r="K101" s="59"/>
      <c r="L101" s="80"/>
      <c r="M101" s="59"/>
      <c r="N101" s="80"/>
      <c r="O101" s="59"/>
      <c r="P101" s="80"/>
      <c r="Q101" s="59"/>
      <c r="R101" s="80"/>
      <c r="S101" s="59"/>
      <c r="T101" s="80"/>
      <c r="U101" s="59"/>
      <c r="V101" s="80"/>
      <c r="W101" s="59"/>
      <c r="X101" s="80"/>
      <c r="Y101" s="59"/>
      <c r="Z101" s="80"/>
      <c r="AA101" s="59"/>
      <c r="AB101" s="80"/>
      <c r="AC101" s="59"/>
      <c r="AD101" s="80"/>
      <c r="AE101" s="59"/>
    </row>
    <row r="102" spans="1:31" x14ac:dyDescent="0.3">
      <c r="A102" s="81"/>
      <c r="B102" s="59"/>
      <c r="C102" s="59"/>
      <c r="D102" s="59"/>
      <c r="E102" s="59"/>
      <c r="F102" s="59"/>
      <c r="G102" s="80"/>
      <c r="H102" s="59"/>
      <c r="I102" s="80"/>
      <c r="J102" s="59"/>
      <c r="K102" s="80"/>
      <c r="L102" s="59"/>
      <c r="M102" s="80"/>
      <c r="N102" s="59"/>
      <c r="O102" s="80"/>
      <c r="P102" s="59"/>
      <c r="Q102" s="80"/>
      <c r="R102" s="59"/>
      <c r="S102" s="80"/>
      <c r="T102" s="59"/>
      <c r="U102" s="80"/>
      <c r="V102" s="59"/>
      <c r="W102" s="80"/>
      <c r="X102" s="59"/>
      <c r="Y102" s="80"/>
      <c r="Z102" s="59"/>
      <c r="AA102" s="80"/>
      <c r="AB102" s="59"/>
      <c r="AC102" s="80"/>
      <c r="AD102" s="59"/>
      <c r="AE102" s="80">
        <f>MAX($B$2-AE39,0)</f>
        <v>126.67782732554281</v>
      </c>
    </row>
    <row r="103" spans="1:31" x14ac:dyDescent="0.3">
      <c r="A103" s="81"/>
      <c r="B103" s="59"/>
      <c r="C103" s="59"/>
      <c r="D103" s="59"/>
      <c r="E103" s="59"/>
      <c r="F103" s="80"/>
      <c r="G103" s="59"/>
      <c r="H103" s="80"/>
      <c r="I103" s="59"/>
      <c r="J103" s="80"/>
      <c r="K103" s="59"/>
      <c r="L103" s="80"/>
      <c r="M103" s="59"/>
      <c r="N103" s="80"/>
      <c r="O103" s="59"/>
      <c r="P103" s="80"/>
      <c r="Q103" s="59"/>
      <c r="R103" s="80"/>
      <c r="S103" s="59"/>
      <c r="T103" s="80"/>
      <c r="U103" s="59"/>
      <c r="V103" s="80"/>
      <c r="W103" s="59"/>
      <c r="X103" s="80"/>
      <c r="Y103" s="59"/>
      <c r="Z103" s="80"/>
      <c r="AA103" s="59"/>
      <c r="AB103" s="80"/>
      <c r="AC103" s="59"/>
      <c r="AD103" s="80"/>
      <c r="AE103" s="59"/>
    </row>
    <row r="104" spans="1:31" x14ac:dyDescent="0.3">
      <c r="A104" s="81"/>
      <c r="B104" s="59"/>
      <c r="C104" s="59"/>
      <c r="D104" s="59"/>
      <c r="E104" s="80">
        <f>MAX($B$2-E41,0)</f>
        <v>0</v>
      </c>
      <c r="F104" s="59"/>
      <c r="G104" s="80"/>
      <c r="H104" s="59"/>
      <c r="I104" s="80"/>
      <c r="J104" s="59"/>
      <c r="K104" s="80"/>
      <c r="L104" s="59"/>
      <c r="M104" s="80"/>
      <c r="N104" s="59"/>
      <c r="O104" s="80"/>
      <c r="P104" s="59"/>
      <c r="Q104" s="80"/>
      <c r="R104" s="59"/>
      <c r="S104" s="80"/>
      <c r="T104" s="59"/>
      <c r="U104" s="80"/>
      <c r="V104" s="59"/>
      <c r="W104" s="80"/>
      <c r="X104" s="59"/>
      <c r="Y104" s="80"/>
      <c r="Z104" s="59"/>
      <c r="AA104" s="80"/>
      <c r="AB104" s="59"/>
      <c r="AC104" s="80"/>
      <c r="AD104" s="59"/>
      <c r="AE104" s="80">
        <f>MAX($B$2-AE41,0)</f>
        <v>126.67782732554281</v>
      </c>
    </row>
    <row r="105" spans="1:31" x14ac:dyDescent="0.3">
      <c r="A105" s="81"/>
      <c r="B105" s="59"/>
      <c r="C105" s="59"/>
      <c r="D105" s="80">
        <f>MAX((($G$4*E104)+((1-$G$4)*E106))*EXP(-$B$4*$G$1),$B$2-D42)</f>
        <v>0</v>
      </c>
      <c r="E105" s="59"/>
      <c r="F105" s="80"/>
      <c r="G105" s="59"/>
      <c r="H105" s="80"/>
      <c r="I105" s="59"/>
      <c r="J105" s="80"/>
      <c r="K105" s="59"/>
      <c r="L105" s="80"/>
      <c r="M105" s="59"/>
      <c r="N105" s="80"/>
      <c r="O105" s="59"/>
      <c r="P105" s="80"/>
      <c r="Q105" s="59"/>
      <c r="R105" s="80"/>
      <c r="S105" s="59"/>
      <c r="T105" s="80"/>
      <c r="U105" s="59"/>
      <c r="V105" s="80"/>
      <c r="W105" s="59"/>
      <c r="X105" s="80"/>
      <c r="Y105" s="59"/>
      <c r="Z105" s="80"/>
      <c r="AA105" s="59"/>
      <c r="AB105" s="80"/>
      <c r="AC105" s="59"/>
      <c r="AD105" s="80"/>
      <c r="AE105" s="59"/>
    </row>
    <row r="106" spans="1:31" x14ac:dyDescent="0.3">
      <c r="A106" s="81"/>
      <c r="B106" s="59"/>
      <c r="C106" s="80">
        <f>MAX((($G$4*D105)+((1-$G$4)*D107))*EXP(-$B$4*$G$1),$B$2-C43)</f>
        <v>0.40974561588898001</v>
      </c>
      <c r="D106" s="59"/>
      <c r="E106" s="80">
        <f>MAX($B$2-E43,0)</f>
        <v>0</v>
      </c>
      <c r="F106" s="59"/>
      <c r="G106" s="80"/>
      <c r="H106" s="59"/>
      <c r="I106" s="80"/>
      <c r="J106" s="59"/>
      <c r="K106" s="80"/>
      <c r="L106" s="59"/>
      <c r="M106" s="80"/>
      <c r="N106" s="59"/>
      <c r="O106" s="80"/>
      <c r="P106" s="59"/>
      <c r="Q106" s="80"/>
      <c r="R106" s="59"/>
      <c r="S106" s="80"/>
      <c r="T106" s="59"/>
      <c r="U106" s="80"/>
      <c r="V106" s="59"/>
      <c r="W106" s="80"/>
      <c r="X106" s="59"/>
      <c r="Y106" s="80"/>
      <c r="Z106" s="59"/>
      <c r="AA106" s="80"/>
      <c r="AB106" s="59"/>
      <c r="AC106" s="80"/>
      <c r="AD106" s="59"/>
      <c r="AE106" s="80">
        <f>MAX($B$2-AE43,0)</f>
        <v>126.67782732554281</v>
      </c>
    </row>
    <row r="107" spans="1:31" x14ac:dyDescent="0.3">
      <c r="A107" s="81"/>
      <c r="B107" s="80">
        <f>MAX((($G$4*C106)+((1-$G$4)*C108))*EXP(-$B$4*$G$1),$B$2-B44)</f>
        <v>3.2081943974775244</v>
      </c>
      <c r="C107" s="59"/>
      <c r="D107" s="80">
        <f>MAX((($G$4*E106)+((1-$G$4)*E108))*EXP(-$B$4*$G$1),$B$2-D44)</f>
        <v>0.82914557880982898</v>
      </c>
      <c r="E107" s="59"/>
      <c r="F107" s="80"/>
      <c r="G107" s="59"/>
      <c r="H107" s="80"/>
      <c r="I107" s="59"/>
      <c r="J107" s="80"/>
      <c r="K107" s="59"/>
      <c r="L107" s="80"/>
      <c r="M107" s="59"/>
      <c r="N107" s="80"/>
      <c r="O107" s="59"/>
      <c r="P107" s="80"/>
      <c r="Q107" s="59"/>
      <c r="R107" s="80"/>
      <c r="S107" s="59"/>
      <c r="T107" s="80"/>
      <c r="U107" s="59"/>
      <c r="V107" s="80"/>
      <c r="W107" s="59"/>
      <c r="X107" s="80"/>
      <c r="Y107" s="59"/>
      <c r="Z107" s="80"/>
      <c r="AA107" s="59"/>
      <c r="AB107" s="80"/>
      <c r="AC107" s="59"/>
      <c r="AD107" s="80"/>
      <c r="AE107" s="59"/>
    </row>
    <row r="108" spans="1:31" x14ac:dyDescent="0.3">
      <c r="A108" s="80">
        <f>(($G$4*B107)+((1-$G$4)*B109))*EXP(-$B$4*$G$1)</f>
        <v>8.0800062508920156</v>
      </c>
      <c r="B108" s="59"/>
      <c r="C108" s="80">
        <f>MAX((($G$4*D107)+((1-$G$4)*D109))*EXP(-$B$4*$G$1),$B$2-C45)</f>
        <v>6.082196844477382</v>
      </c>
      <c r="D108" s="59"/>
      <c r="E108" s="80">
        <f>MAX($B$2-E45,0)</f>
        <v>1.6778273255427791</v>
      </c>
      <c r="F108" s="59"/>
      <c r="G108" s="80"/>
      <c r="H108" s="59"/>
      <c r="I108" s="80"/>
      <c r="J108" s="59"/>
      <c r="K108" s="80"/>
      <c r="L108" s="59"/>
      <c r="M108" s="80"/>
      <c r="N108" s="59"/>
      <c r="O108" s="80"/>
      <c r="P108" s="59"/>
      <c r="Q108" s="80"/>
      <c r="R108" s="59"/>
      <c r="S108" s="80"/>
      <c r="T108" s="59"/>
      <c r="U108" s="80"/>
      <c r="V108" s="59"/>
      <c r="W108" s="80"/>
      <c r="X108" s="59"/>
      <c r="Y108" s="80"/>
      <c r="Z108" s="59"/>
      <c r="AA108" s="80"/>
      <c r="AB108" s="59"/>
      <c r="AC108" s="80"/>
      <c r="AD108" s="59"/>
      <c r="AE108" s="80">
        <f>MAX($B$2-AE45,0)</f>
        <v>126.67782732554281</v>
      </c>
    </row>
    <row r="109" spans="1:31" x14ac:dyDescent="0.3">
      <c r="A109" s="59"/>
      <c r="B109" s="80">
        <f>MAX((($G$4*C108)+((1-$G$4)*C110))*EXP(-$B$4*$G$1),$B$2-B46)</f>
        <v>13.141906454370661</v>
      </c>
      <c r="C109" s="59"/>
      <c r="D109" s="80">
        <f>MAX((($G$4*E108)+((1-$G$4)*E110))*EXP(-$B$4*$G$1),$B$2-D46)</f>
        <v>11.478480398512247</v>
      </c>
      <c r="E109" s="59"/>
      <c r="F109" s="80"/>
      <c r="G109" s="59"/>
      <c r="H109" s="80"/>
      <c r="I109" s="59"/>
      <c r="J109" s="80"/>
      <c r="K109" s="59"/>
      <c r="L109" s="80"/>
      <c r="M109" s="59"/>
      <c r="N109" s="80"/>
      <c r="O109" s="59"/>
      <c r="P109" s="80"/>
      <c r="Q109" s="59"/>
      <c r="R109" s="80"/>
      <c r="S109" s="59"/>
      <c r="T109" s="80"/>
      <c r="U109" s="59"/>
      <c r="V109" s="80"/>
      <c r="W109" s="59"/>
      <c r="X109" s="80"/>
      <c r="Y109" s="59"/>
      <c r="Z109" s="80"/>
      <c r="AA109" s="59"/>
      <c r="AB109" s="80"/>
      <c r="AC109" s="59"/>
      <c r="AD109" s="80"/>
      <c r="AE109" s="59"/>
    </row>
    <row r="110" spans="1:31" x14ac:dyDescent="0.3">
      <c r="A110" s="80"/>
      <c r="B110" s="59"/>
      <c r="C110" s="80">
        <f>MAX((($G$4*D109)+((1-$G$4)*D111))*EXP(-$B$4*$G$1),$B$2-C47)</f>
        <v>20.510711066228069</v>
      </c>
      <c r="D110" s="59"/>
      <c r="E110" s="80">
        <f>MAX($B$2-E47,0)</f>
        <v>20.510711066228069</v>
      </c>
      <c r="F110" s="59"/>
      <c r="G110" s="80"/>
      <c r="H110" s="59"/>
      <c r="I110" s="80"/>
      <c r="J110" s="59"/>
      <c r="K110" s="80"/>
      <c r="L110" s="59"/>
      <c r="M110" s="80"/>
      <c r="N110" s="59"/>
      <c r="O110" s="80"/>
      <c r="P110" s="59"/>
      <c r="Q110" s="80"/>
      <c r="R110" s="59"/>
      <c r="S110" s="80"/>
      <c r="T110" s="59"/>
      <c r="U110" s="80"/>
      <c r="V110" s="59"/>
      <c r="W110" s="80"/>
      <c r="X110" s="59"/>
      <c r="Y110" s="80"/>
      <c r="Z110" s="59"/>
      <c r="AA110" s="80"/>
      <c r="AB110" s="59"/>
      <c r="AC110" s="80"/>
      <c r="AD110" s="59"/>
      <c r="AE110" s="80">
        <f>MAX($B$2-AE47,0)</f>
        <v>126.67782732554281</v>
      </c>
    </row>
    <row r="111" spans="1:31" x14ac:dyDescent="0.3">
      <c r="A111" s="81"/>
      <c r="B111" s="59"/>
      <c r="C111" s="59"/>
      <c r="D111" s="80">
        <f>MAX((($G$4*E110)+((1-$G$4)*E112))*EXP(-$B$4*$G$1),$B$2-D48)</f>
        <v>28.834767659949335</v>
      </c>
      <c r="E111" s="59"/>
      <c r="F111" s="80"/>
      <c r="G111" s="59"/>
      <c r="H111" s="80"/>
      <c r="I111" s="59"/>
      <c r="J111" s="80"/>
      <c r="K111" s="59"/>
      <c r="L111" s="80"/>
      <c r="M111" s="59"/>
      <c r="N111" s="80"/>
      <c r="O111" s="59"/>
      <c r="P111" s="80"/>
      <c r="Q111" s="59"/>
      <c r="R111" s="80"/>
      <c r="S111" s="59"/>
      <c r="T111" s="80"/>
      <c r="U111" s="59"/>
      <c r="V111" s="80"/>
      <c r="W111" s="59"/>
      <c r="X111" s="80"/>
      <c r="Y111" s="59"/>
      <c r="Z111" s="80"/>
      <c r="AA111" s="59"/>
      <c r="AB111" s="80"/>
      <c r="AC111" s="59"/>
      <c r="AD111" s="80"/>
      <c r="AE111" s="59"/>
    </row>
    <row r="112" spans="1:31" x14ac:dyDescent="0.3">
      <c r="A112" s="81"/>
      <c r="B112" s="59"/>
      <c r="C112" s="59"/>
      <c r="D112" s="59"/>
      <c r="E112" s="80">
        <f>MAX($B$2-E49,0)</f>
        <v>36.506174726992001</v>
      </c>
      <c r="F112" s="59"/>
      <c r="G112" s="80"/>
      <c r="H112" s="59"/>
      <c r="I112" s="80"/>
      <c r="J112" s="59"/>
      <c r="K112" s="80"/>
      <c r="L112" s="59"/>
      <c r="M112" s="80"/>
      <c r="N112" s="59"/>
      <c r="O112" s="80"/>
      <c r="P112" s="59"/>
      <c r="Q112" s="80"/>
      <c r="R112" s="59"/>
      <c r="S112" s="80"/>
      <c r="T112" s="59"/>
      <c r="U112" s="80"/>
      <c r="V112" s="59"/>
      <c r="W112" s="80"/>
      <c r="X112" s="59"/>
      <c r="Y112" s="80"/>
      <c r="Z112" s="59"/>
      <c r="AA112" s="80"/>
      <c r="AB112" s="59"/>
      <c r="AC112" s="80"/>
      <c r="AD112" s="59"/>
      <c r="AE112" s="80">
        <f>MAX($B$2-AE49,0)</f>
        <v>126.67782732554281</v>
      </c>
    </row>
    <row r="113" spans="1:31" x14ac:dyDescent="0.3">
      <c r="A113" s="81"/>
      <c r="B113" s="59"/>
      <c r="C113" s="59"/>
      <c r="D113" s="59"/>
      <c r="E113" s="59"/>
      <c r="F113" s="80"/>
      <c r="G113" s="59"/>
      <c r="H113" s="80"/>
      <c r="I113" s="59"/>
      <c r="J113" s="80"/>
      <c r="K113" s="59"/>
      <c r="L113" s="80"/>
      <c r="M113" s="59"/>
      <c r="N113" s="80"/>
      <c r="O113" s="59"/>
      <c r="P113" s="80"/>
      <c r="Q113" s="59"/>
      <c r="R113" s="80"/>
      <c r="S113" s="59"/>
      <c r="T113" s="80"/>
      <c r="U113" s="59"/>
      <c r="V113" s="80"/>
      <c r="W113" s="59"/>
      <c r="X113" s="80"/>
      <c r="Y113" s="59"/>
      <c r="Z113" s="80"/>
      <c r="AA113" s="59"/>
      <c r="AB113" s="80"/>
      <c r="AC113" s="59"/>
      <c r="AD113" s="80"/>
      <c r="AE113" s="59"/>
    </row>
    <row r="114" spans="1:31" x14ac:dyDescent="0.3">
      <c r="A114" s="81"/>
      <c r="B114" s="59"/>
      <c r="C114" s="59"/>
      <c r="D114" s="59"/>
      <c r="E114" s="59"/>
      <c r="F114" s="59"/>
      <c r="G114" s="80"/>
      <c r="H114" s="59"/>
      <c r="I114" s="80"/>
      <c r="J114" s="59"/>
      <c r="K114" s="80"/>
      <c r="L114" s="59"/>
      <c r="M114" s="80"/>
      <c r="N114" s="59"/>
      <c r="O114" s="80"/>
      <c r="P114" s="59"/>
      <c r="Q114" s="80"/>
      <c r="R114" s="59"/>
      <c r="S114" s="80"/>
      <c r="T114" s="59"/>
      <c r="U114" s="80"/>
      <c r="V114" s="59"/>
      <c r="W114" s="80"/>
      <c r="X114" s="59"/>
      <c r="Y114" s="80"/>
      <c r="Z114" s="59"/>
      <c r="AA114" s="80"/>
      <c r="AB114" s="59"/>
      <c r="AC114" s="80"/>
      <c r="AD114" s="59"/>
      <c r="AE114" s="80">
        <f>MAX($B$2-AE51,0)</f>
        <v>126.67782732554281</v>
      </c>
    </row>
    <row r="115" spans="1:31" x14ac:dyDescent="0.3">
      <c r="A115" s="81"/>
      <c r="B115" s="59"/>
      <c r="C115" s="59"/>
      <c r="D115" s="59"/>
      <c r="E115" s="59"/>
      <c r="F115" s="59"/>
      <c r="G115" s="80"/>
      <c r="H115" s="80"/>
      <c r="I115" s="59"/>
      <c r="J115" s="80"/>
      <c r="K115" s="59"/>
      <c r="L115" s="80"/>
      <c r="M115" s="59"/>
      <c r="N115" s="80"/>
      <c r="O115" s="59"/>
      <c r="P115" s="80"/>
      <c r="Q115" s="59"/>
      <c r="R115" s="80"/>
      <c r="S115" s="59"/>
      <c r="T115" s="80"/>
      <c r="U115" s="59"/>
      <c r="V115" s="80"/>
      <c r="W115" s="59"/>
      <c r="X115" s="80"/>
      <c r="Y115" s="59"/>
      <c r="Z115" s="80"/>
      <c r="AA115" s="59"/>
      <c r="AB115" s="80"/>
      <c r="AC115" s="59"/>
      <c r="AD115" s="80"/>
      <c r="AE115" s="59"/>
    </row>
    <row r="116" spans="1:31" x14ac:dyDescent="0.3">
      <c r="A116" s="81"/>
      <c r="B116" s="59"/>
      <c r="C116" s="59"/>
      <c r="D116" s="59"/>
      <c r="E116" s="59"/>
      <c r="F116" s="59"/>
      <c r="G116" s="80"/>
      <c r="H116" s="59"/>
      <c r="I116" s="80"/>
      <c r="J116" s="59"/>
      <c r="K116" s="80"/>
      <c r="L116" s="59"/>
      <c r="M116" s="80"/>
      <c r="N116" s="59"/>
      <c r="O116" s="80"/>
      <c r="P116" s="59"/>
      <c r="Q116" s="80"/>
      <c r="R116" s="59"/>
      <c r="S116" s="80"/>
      <c r="T116" s="59"/>
      <c r="U116" s="80"/>
      <c r="V116" s="59"/>
      <c r="W116" s="80"/>
      <c r="X116" s="59"/>
      <c r="Y116" s="80"/>
      <c r="Z116" s="59"/>
      <c r="AA116" s="80"/>
      <c r="AB116" s="59"/>
      <c r="AC116" s="80"/>
      <c r="AD116" s="59"/>
      <c r="AE116" s="80">
        <f>MAX($B$2-AE53,0)</f>
        <v>126.67782732554281</v>
      </c>
    </row>
    <row r="117" spans="1:31" x14ac:dyDescent="0.3">
      <c r="A117" s="81"/>
      <c r="B117" s="59"/>
      <c r="C117" s="59"/>
      <c r="D117" s="59"/>
      <c r="E117" s="59"/>
      <c r="F117" s="59"/>
      <c r="G117" s="80"/>
      <c r="H117" s="59"/>
      <c r="I117" s="59"/>
      <c r="J117" s="80"/>
      <c r="K117" s="59"/>
      <c r="L117" s="80"/>
      <c r="M117" s="59"/>
      <c r="N117" s="80"/>
      <c r="O117" s="59"/>
      <c r="P117" s="80"/>
      <c r="Q117" s="59"/>
      <c r="R117" s="80"/>
      <c r="S117" s="59"/>
      <c r="T117" s="80"/>
      <c r="U117" s="59"/>
      <c r="V117" s="80"/>
      <c r="W117" s="59"/>
      <c r="X117" s="80"/>
      <c r="Y117" s="59"/>
      <c r="Z117" s="80"/>
      <c r="AA117" s="59"/>
      <c r="AB117" s="80"/>
      <c r="AC117" s="59"/>
      <c r="AD117" s="80"/>
      <c r="AE117" s="59"/>
    </row>
    <row r="118" spans="1:31" x14ac:dyDescent="0.3">
      <c r="A118" s="81"/>
      <c r="B118" s="59"/>
      <c r="C118" s="59"/>
      <c r="D118" s="59"/>
      <c r="E118" s="59"/>
      <c r="F118" s="59"/>
      <c r="G118" s="80"/>
      <c r="H118" s="59"/>
      <c r="I118" s="59"/>
      <c r="J118" s="59"/>
      <c r="K118" s="80"/>
      <c r="L118" s="59"/>
      <c r="M118" s="80"/>
      <c r="N118" s="59"/>
      <c r="O118" s="80"/>
      <c r="P118" s="59"/>
      <c r="Q118" s="80"/>
      <c r="R118" s="59"/>
      <c r="S118" s="80"/>
      <c r="T118" s="59"/>
      <c r="U118" s="80"/>
      <c r="V118" s="59"/>
      <c r="W118" s="80"/>
      <c r="X118" s="59"/>
      <c r="Y118" s="80"/>
      <c r="Z118" s="59"/>
      <c r="AA118" s="80"/>
      <c r="AB118" s="59"/>
      <c r="AC118" s="80"/>
      <c r="AD118" s="59"/>
      <c r="AE118" s="80">
        <f>MAX($B$2-AE55,0)</f>
        <v>126.67782732554281</v>
      </c>
    </row>
    <row r="119" spans="1:31" x14ac:dyDescent="0.3">
      <c r="A119" s="81"/>
      <c r="B119" s="59"/>
      <c r="C119" s="59"/>
      <c r="D119" s="59"/>
      <c r="E119" s="59"/>
      <c r="F119" s="59"/>
      <c r="G119" s="80"/>
      <c r="H119" s="59"/>
      <c r="I119" s="59"/>
      <c r="J119" s="59"/>
      <c r="K119" s="59"/>
      <c r="L119" s="80"/>
      <c r="M119" s="59"/>
      <c r="N119" s="80"/>
      <c r="O119" s="59"/>
      <c r="P119" s="80"/>
      <c r="Q119" s="59"/>
      <c r="R119" s="80"/>
      <c r="S119" s="59"/>
      <c r="T119" s="80"/>
      <c r="U119" s="59"/>
      <c r="V119" s="80"/>
      <c r="W119" s="59"/>
      <c r="X119" s="80"/>
      <c r="Y119" s="59"/>
      <c r="Z119" s="80"/>
      <c r="AA119" s="59"/>
      <c r="AB119" s="80"/>
      <c r="AC119" s="59"/>
      <c r="AD119" s="80"/>
      <c r="AE119" s="59"/>
    </row>
    <row r="120" spans="1:31" x14ac:dyDescent="0.3">
      <c r="A120" s="81"/>
      <c r="B120" s="59"/>
      <c r="C120" s="59"/>
      <c r="D120" s="80"/>
      <c r="E120" s="59"/>
      <c r="F120" s="59"/>
      <c r="G120" s="80"/>
      <c r="H120" s="59"/>
      <c r="I120" s="59"/>
      <c r="J120" s="59"/>
      <c r="K120" s="59"/>
      <c r="L120" s="59"/>
      <c r="M120" s="80"/>
      <c r="N120" s="59"/>
      <c r="O120" s="80"/>
      <c r="P120" s="59"/>
      <c r="Q120" s="80"/>
      <c r="R120" s="59"/>
      <c r="S120" s="80"/>
      <c r="T120" s="59"/>
      <c r="U120" s="80"/>
      <c r="V120" s="59"/>
      <c r="W120" s="80"/>
      <c r="X120" s="59"/>
      <c r="Y120" s="80"/>
      <c r="Z120" s="59"/>
      <c r="AA120" s="80"/>
      <c r="AB120" s="59"/>
      <c r="AC120" s="80"/>
      <c r="AD120" s="59"/>
      <c r="AE120" s="80">
        <f>MAX($B$2-AE57,0)</f>
        <v>126.67782732554281</v>
      </c>
    </row>
    <row r="121" spans="1:31" x14ac:dyDescent="0.3">
      <c r="A121" s="81"/>
      <c r="B121" s="59"/>
      <c r="C121" s="80"/>
      <c r="D121" s="80"/>
      <c r="E121" s="59"/>
      <c r="F121" s="59"/>
      <c r="G121" s="80"/>
      <c r="H121" s="59"/>
      <c r="I121" s="59"/>
      <c r="J121" s="59"/>
      <c r="K121" s="59"/>
      <c r="L121" s="59"/>
      <c r="M121" s="59"/>
      <c r="N121" s="80"/>
      <c r="O121" s="59"/>
      <c r="P121" s="80"/>
      <c r="Q121" s="59"/>
      <c r="R121" s="80"/>
      <c r="S121" s="59"/>
      <c r="T121" s="80"/>
      <c r="U121" s="59"/>
      <c r="V121" s="80"/>
      <c r="W121" s="59"/>
      <c r="X121" s="80"/>
      <c r="Y121" s="59"/>
      <c r="Z121" s="80"/>
      <c r="AA121" s="59"/>
      <c r="AB121" s="80"/>
      <c r="AC121" s="59"/>
      <c r="AD121" s="80"/>
      <c r="AE121" s="59"/>
    </row>
    <row r="122" spans="1:31" x14ac:dyDescent="0.3">
      <c r="A122" s="81"/>
      <c r="B122" s="80"/>
      <c r="C122" s="59"/>
      <c r="D122" s="80"/>
      <c r="E122" s="59"/>
      <c r="F122" s="59"/>
      <c r="G122" s="80"/>
      <c r="H122" s="59"/>
      <c r="I122" s="59"/>
      <c r="J122" s="59"/>
      <c r="K122" s="59"/>
      <c r="L122" s="59"/>
      <c r="M122" s="59"/>
      <c r="N122" s="59"/>
      <c r="O122" s="80"/>
      <c r="P122" s="59"/>
      <c r="Q122" s="80"/>
      <c r="R122" s="59"/>
      <c r="S122" s="80"/>
      <c r="T122" s="59"/>
      <c r="U122" s="80"/>
      <c r="V122" s="59"/>
      <c r="W122" s="80"/>
      <c r="X122" s="59"/>
      <c r="Y122" s="80"/>
      <c r="Z122" s="59"/>
      <c r="AA122" s="80"/>
      <c r="AB122" s="59"/>
      <c r="AC122" s="80"/>
      <c r="AD122" s="59"/>
      <c r="AE122" s="80">
        <f>MAX($B$2-AE59,0)</f>
        <v>126.67782732554281</v>
      </c>
    </row>
    <row r="123" spans="1:31" x14ac:dyDescent="0.3">
      <c r="A123" s="80"/>
      <c r="B123" s="59"/>
      <c r="C123" s="80"/>
      <c r="D123" s="80"/>
      <c r="E123" s="59"/>
      <c r="F123" s="59"/>
      <c r="G123" s="80"/>
      <c r="H123" s="59"/>
      <c r="I123" s="59"/>
      <c r="J123" s="59"/>
      <c r="K123" s="59"/>
      <c r="L123" s="59"/>
      <c r="M123" s="59"/>
      <c r="N123" s="59"/>
      <c r="O123" s="59"/>
      <c r="P123" s="80"/>
      <c r="Q123" s="59"/>
      <c r="R123" s="80"/>
      <c r="S123" s="59"/>
      <c r="T123" s="80"/>
      <c r="U123" s="59"/>
      <c r="V123" s="80"/>
      <c r="W123" s="59"/>
      <c r="X123" s="80"/>
      <c r="Y123" s="59"/>
      <c r="Z123" s="80"/>
      <c r="AA123" s="59"/>
      <c r="AB123" s="80"/>
      <c r="AC123" s="59"/>
      <c r="AD123" s="80"/>
      <c r="AE123" s="59"/>
    </row>
    <row r="124" spans="1:31" x14ac:dyDescent="0.3">
      <c r="A124" s="84"/>
      <c r="B124" s="80"/>
      <c r="C124" s="80"/>
      <c r="D124" s="80"/>
      <c r="E124" s="80"/>
      <c r="F124" s="59"/>
      <c r="G124" s="59"/>
      <c r="H124" s="59"/>
      <c r="I124" s="59"/>
      <c r="J124" s="59"/>
      <c r="K124" s="59"/>
      <c r="L124" s="59"/>
      <c r="M124" s="59"/>
      <c r="N124" s="59"/>
      <c r="O124" s="59"/>
      <c r="P124" s="59"/>
      <c r="Q124" s="80"/>
      <c r="R124" s="59"/>
      <c r="S124" s="80"/>
      <c r="T124" s="59"/>
      <c r="U124" s="80"/>
      <c r="V124" s="59"/>
      <c r="W124" s="80"/>
      <c r="X124" s="59"/>
      <c r="Y124" s="80"/>
      <c r="Z124" s="59"/>
      <c r="AA124" s="80"/>
      <c r="AB124" s="59"/>
      <c r="AC124" s="80"/>
      <c r="AD124" s="59"/>
      <c r="AE124" s="80">
        <f>MAX($B$2-AE61,0)</f>
        <v>126.67782732554281</v>
      </c>
    </row>
    <row r="125" spans="1:31" x14ac:dyDescent="0.3">
      <c r="A125" s="81"/>
      <c r="B125" s="80"/>
      <c r="C125" s="80"/>
      <c r="D125" s="80"/>
      <c r="E125" s="80"/>
      <c r="F125" s="59"/>
      <c r="G125" s="59"/>
      <c r="H125" s="59"/>
      <c r="I125" s="80"/>
      <c r="J125" s="59"/>
      <c r="K125" s="59"/>
      <c r="L125" s="59"/>
      <c r="M125" s="59"/>
      <c r="N125" s="59"/>
      <c r="O125" s="59"/>
      <c r="P125" s="59"/>
      <c r="Q125" s="59"/>
      <c r="R125" s="80"/>
      <c r="S125" s="59"/>
      <c r="T125" s="80"/>
      <c r="U125" s="59"/>
      <c r="V125" s="80"/>
      <c r="W125" s="59"/>
      <c r="X125" s="80"/>
      <c r="Y125" s="59"/>
      <c r="Z125" s="80"/>
      <c r="AA125" s="59"/>
      <c r="AB125" s="80"/>
      <c r="AC125" s="59"/>
      <c r="AD125" s="80"/>
      <c r="AE125" s="59"/>
    </row>
    <row r="126" spans="1:31" x14ac:dyDescent="0.3">
      <c r="A126" s="81"/>
      <c r="B126" s="59"/>
      <c r="C126" s="80"/>
      <c r="D126" s="80"/>
      <c r="E126" s="80"/>
      <c r="F126" s="59"/>
      <c r="G126" s="59"/>
      <c r="H126" s="59"/>
      <c r="I126" s="59"/>
      <c r="J126" s="59"/>
      <c r="K126" s="59"/>
      <c r="L126" s="59"/>
      <c r="M126" s="59"/>
      <c r="N126" s="59"/>
      <c r="O126" s="59"/>
      <c r="P126" s="59"/>
      <c r="Q126" s="59"/>
      <c r="R126" s="59"/>
      <c r="S126" s="80"/>
      <c r="T126" s="59"/>
      <c r="U126" s="80"/>
      <c r="V126" s="59"/>
      <c r="W126" s="80"/>
      <c r="X126" s="59"/>
      <c r="Y126" s="80"/>
      <c r="Z126" s="59"/>
      <c r="AA126" s="80"/>
      <c r="AB126" s="59"/>
      <c r="AC126" s="80"/>
      <c r="AD126" s="59"/>
      <c r="AE126" s="80">
        <f>MAX($B$2-AE63,0)</f>
        <v>126.67782732554281</v>
      </c>
    </row>
    <row r="127" spans="1:31" x14ac:dyDescent="0.3">
      <c r="A127" s="59"/>
      <c r="B127" s="59"/>
      <c r="C127" s="59"/>
      <c r="D127" s="59"/>
      <c r="E127" s="80"/>
      <c r="F127" s="59"/>
      <c r="G127" s="59"/>
      <c r="H127" s="59"/>
      <c r="I127" s="59"/>
      <c r="J127" s="59"/>
      <c r="K127" s="59"/>
      <c r="L127" s="59"/>
      <c r="M127" s="59"/>
      <c r="N127" s="59"/>
      <c r="O127" s="59"/>
      <c r="P127" s="59"/>
      <c r="Q127" s="59"/>
      <c r="R127" s="59"/>
      <c r="S127" s="59"/>
      <c r="T127" s="80"/>
      <c r="U127" s="59"/>
      <c r="V127" s="80"/>
      <c r="W127" s="59"/>
      <c r="X127" s="80"/>
      <c r="Y127" s="59"/>
      <c r="Z127" s="80"/>
      <c r="AA127" s="59"/>
      <c r="AB127" s="80"/>
      <c r="AC127" s="59"/>
      <c r="AD127" s="80"/>
      <c r="AE127" s="59"/>
    </row>
    <row r="128" spans="1:31" x14ac:dyDescent="0.3">
      <c r="A128" s="59"/>
      <c r="B128" s="59"/>
      <c r="C128" s="59"/>
      <c r="D128" s="59"/>
      <c r="E128" s="80"/>
      <c r="F128" s="59"/>
      <c r="G128" s="59"/>
      <c r="H128" s="59"/>
      <c r="I128" s="59"/>
      <c r="J128" s="59"/>
      <c r="K128" s="59"/>
      <c r="L128" s="59"/>
      <c r="M128" s="80"/>
      <c r="N128" s="59"/>
      <c r="O128" s="59"/>
      <c r="P128" s="59"/>
      <c r="Q128" s="59"/>
      <c r="R128" s="59"/>
      <c r="S128" s="59"/>
      <c r="T128" s="59"/>
      <c r="U128" s="80"/>
      <c r="V128" s="59"/>
      <c r="W128" s="80"/>
      <c r="X128" s="59"/>
      <c r="Y128" s="80"/>
      <c r="Z128" s="59"/>
      <c r="AA128" s="80"/>
      <c r="AB128" s="59"/>
      <c r="AC128" s="80"/>
      <c r="AD128" s="59"/>
      <c r="AE128" s="80">
        <f>MAX($B$2-AE65,0)</f>
        <v>126.67782732554281</v>
      </c>
    </row>
    <row r="129" spans="1:31" x14ac:dyDescent="0.3">
      <c r="A129" s="59"/>
      <c r="B129" s="59"/>
      <c r="C129" s="59"/>
      <c r="D129" s="59"/>
      <c r="E129" s="80"/>
      <c r="F129" s="59"/>
      <c r="G129" s="59"/>
      <c r="H129" s="59"/>
      <c r="I129" s="59"/>
      <c r="J129" s="59"/>
      <c r="K129" s="59"/>
      <c r="L129" s="59"/>
      <c r="M129" s="59"/>
      <c r="N129" s="59"/>
      <c r="O129" s="59"/>
      <c r="P129" s="59"/>
      <c r="Q129" s="59"/>
      <c r="R129" s="59"/>
      <c r="S129" s="59"/>
      <c r="T129" s="59"/>
      <c r="U129" s="59"/>
      <c r="V129" s="80"/>
      <c r="W129" s="59"/>
      <c r="X129" s="80"/>
      <c r="Y129" s="59"/>
      <c r="Z129" s="80"/>
      <c r="AA129" s="59"/>
      <c r="AB129" s="80"/>
      <c r="AC129" s="59"/>
      <c r="AD129" s="80"/>
      <c r="AE129" s="59"/>
    </row>
    <row r="130" spans="1:31" x14ac:dyDescent="0.3">
      <c r="A130" s="59"/>
      <c r="B130" s="59"/>
      <c r="C130" s="59"/>
      <c r="D130" s="59"/>
      <c r="E130" s="59"/>
      <c r="F130" s="59"/>
      <c r="G130" s="59"/>
      <c r="H130" s="59"/>
      <c r="I130" s="59"/>
      <c r="J130" s="59"/>
      <c r="K130" s="59"/>
      <c r="L130" s="59"/>
      <c r="M130" s="59"/>
      <c r="N130" s="59"/>
      <c r="O130" s="80"/>
      <c r="P130" s="59"/>
      <c r="Q130" s="59"/>
      <c r="R130" s="59"/>
      <c r="S130" s="59"/>
      <c r="T130" s="59"/>
      <c r="U130" s="59"/>
      <c r="V130" s="59"/>
      <c r="W130" s="80"/>
      <c r="X130" s="59"/>
      <c r="Y130" s="80"/>
      <c r="Z130" s="59"/>
      <c r="AA130" s="80"/>
      <c r="AB130" s="59"/>
      <c r="AC130" s="80"/>
      <c r="AD130" s="59"/>
      <c r="AE130" s="80">
        <f>MAX($B$2-AE67,0)</f>
        <v>126.67782732554281</v>
      </c>
    </row>
    <row r="131" spans="1:31" x14ac:dyDescent="0.3">
      <c r="A131" s="59"/>
      <c r="B131" s="59"/>
      <c r="C131" s="59"/>
      <c r="D131" s="59"/>
      <c r="E131" s="59"/>
      <c r="F131" s="59"/>
      <c r="G131" s="59"/>
      <c r="H131" s="59"/>
      <c r="I131" s="59"/>
      <c r="J131" s="59"/>
      <c r="K131" s="59"/>
      <c r="L131" s="59"/>
      <c r="M131" s="59"/>
      <c r="N131" s="59"/>
      <c r="O131" s="59"/>
      <c r="P131" s="59"/>
      <c r="Q131" s="59"/>
      <c r="R131" s="59"/>
      <c r="S131" s="59"/>
      <c r="T131" s="59"/>
      <c r="U131" s="59"/>
      <c r="V131" s="59"/>
      <c r="W131" s="59"/>
      <c r="X131" s="80"/>
      <c r="Y131" s="59"/>
      <c r="Z131" s="80"/>
      <c r="AA131" s="59"/>
      <c r="AB131" s="80"/>
      <c r="AC131" s="59"/>
      <c r="AD131" s="80"/>
      <c r="AE131" s="59"/>
    </row>
    <row r="132" spans="1:31" x14ac:dyDescent="0.3">
      <c r="A132" s="59"/>
      <c r="B132" s="59"/>
      <c r="C132" s="59"/>
      <c r="D132" s="59"/>
      <c r="E132" s="59"/>
      <c r="F132" s="59"/>
      <c r="G132" s="59"/>
      <c r="H132" s="59"/>
      <c r="I132" s="59"/>
      <c r="J132" s="59"/>
      <c r="K132" s="59"/>
      <c r="L132" s="59"/>
      <c r="M132" s="59"/>
      <c r="N132" s="59"/>
      <c r="O132" s="59"/>
      <c r="P132" s="59"/>
      <c r="Q132" s="80"/>
      <c r="R132" s="59"/>
      <c r="S132" s="59"/>
      <c r="T132" s="59"/>
      <c r="U132" s="59"/>
      <c r="V132" s="59"/>
      <c r="W132" s="59"/>
      <c r="X132" s="59"/>
      <c r="Y132" s="80"/>
      <c r="Z132" s="59"/>
      <c r="AA132" s="80"/>
      <c r="AB132" s="59"/>
      <c r="AC132" s="80"/>
      <c r="AD132" s="59"/>
      <c r="AE132" s="80">
        <f>MAX($B$2-AE69,0)</f>
        <v>126.67782732554281</v>
      </c>
    </row>
    <row r="133" spans="1:31" x14ac:dyDescent="0.3">
      <c r="A133" s="59"/>
      <c r="B133" s="59"/>
      <c r="C133" s="59"/>
      <c r="D133" s="59"/>
      <c r="E133" s="59"/>
      <c r="F133" s="59"/>
      <c r="G133" s="59"/>
      <c r="H133" s="59"/>
      <c r="I133" s="59"/>
      <c r="J133" s="59"/>
      <c r="K133" s="59"/>
      <c r="L133" s="59"/>
      <c r="M133" s="59"/>
      <c r="N133" s="59"/>
      <c r="O133" s="59"/>
      <c r="P133" s="59"/>
      <c r="Q133" s="59"/>
      <c r="R133" s="59"/>
      <c r="S133" s="59"/>
      <c r="T133" s="59"/>
      <c r="U133" s="59"/>
      <c r="V133" s="59"/>
      <c r="W133" s="59"/>
      <c r="X133" s="59"/>
      <c r="Y133" s="59"/>
      <c r="Z133" s="80"/>
      <c r="AA133" s="59"/>
      <c r="AB133" s="80"/>
      <c r="AC133" s="59"/>
      <c r="AD133" s="80"/>
      <c r="AE133" s="59"/>
    </row>
    <row r="134" spans="1:31" x14ac:dyDescent="0.3">
      <c r="A134" s="59"/>
      <c r="B134" s="59"/>
      <c r="C134" s="59"/>
      <c r="D134" s="59"/>
      <c r="E134" s="59"/>
      <c r="F134" s="59"/>
      <c r="G134" s="59"/>
      <c r="H134" s="59"/>
      <c r="I134" s="59"/>
      <c r="J134" s="59"/>
      <c r="K134" s="59"/>
      <c r="L134" s="59"/>
      <c r="M134" s="59"/>
      <c r="N134" s="59"/>
      <c r="O134" s="59"/>
      <c r="P134" s="59"/>
      <c r="Q134" s="59"/>
      <c r="R134" s="59"/>
      <c r="S134" s="80"/>
      <c r="T134" s="59"/>
      <c r="U134" s="59"/>
      <c r="V134" s="59"/>
      <c r="W134" s="59"/>
      <c r="X134" s="59"/>
      <c r="Y134" s="59"/>
      <c r="Z134" s="59"/>
      <c r="AA134" s="80"/>
      <c r="AB134" s="59"/>
      <c r="AC134" s="80"/>
      <c r="AD134" s="59"/>
      <c r="AE134" s="80">
        <f>MAX($B$2-AE71,0)</f>
        <v>126.67782732554281</v>
      </c>
    </row>
    <row r="135" spans="1:31" x14ac:dyDescent="0.3">
      <c r="A135" s="59"/>
      <c r="B135" s="59"/>
      <c r="C135" s="59"/>
      <c r="D135" s="59"/>
      <c r="E135" s="59"/>
      <c r="F135" s="59"/>
      <c r="G135" s="59"/>
      <c r="H135" s="59"/>
      <c r="I135" s="59"/>
      <c r="J135" s="59"/>
      <c r="K135" s="59"/>
      <c r="L135" s="59"/>
      <c r="M135" s="59"/>
      <c r="N135" s="59"/>
      <c r="O135" s="59"/>
      <c r="P135" s="59"/>
      <c r="Q135" s="59"/>
      <c r="R135" s="59"/>
      <c r="S135" s="59"/>
      <c r="T135" s="59"/>
      <c r="U135" s="59"/>
      <c r="V135" s="59"/>
      <c r="W135" s="59"/>
      <c r="X135" s="59"/>
      <c r="Y135" s="59"/>
      <c r="Z135" s="59"/>
      <c r="AA135" s="59"/>
      <c r="AB135" s="80"/>
      <c r="AC135" s="59"/>
      <c r="AD135" s="80"/>
      <c r="AE135" s="59"/>
    </row>
    <row r="136" spans="1:31" x14ac:dyDescent="0.3">
      <c r="A136" s="59"/>
      <c r="B136" s="59"/>
      <c r="C136" s="59"/>
      <c r="D136" s="59"/>
      <c r="E136" s="59"/>
      <c r="F136" s="59"/>
      <c r="G136" s="59"/>
      <c r="H136" s="59"/>
      <c r="I136" s="59"/>
      <c r="J136" s="59"/>
      <c r="K136" s="59"/>
      <c r="L136" s="59"/>
      <c r="M136" s="59"/>
      <c r="N136" s="59"/>
      <c r="O136" s="59"/>
      <c r="P136" s="59"/>
      <c r="Q136" s="59"/>
      <c r="R136" s="59"/>
      <c r="S136" s="59"/>
      <c r="T136" s="59"/>
      <c r="U136" s="80"/>
      <c r="V136" s="59"/>
      <c r="W136" s="59"/>
      <c r="X136" s="59"/>
      <c r="Y136" s="59"/>
      <c r="Z136" s="59"/>
      <c r="AA136" s="59"/>
      <c r="AB136" s="59"/>
      <c r="AC136" s="80"/>
      <c r="AD136" s="59"/>
      <c r="AE136" s="80">
        <f>MAX($B$2-AE73,0)</f>
        <v>126.67782732554281</v>
      </c>
    </row>
    <row r="137" spans="1:31" x14ac:dyDescent="0.3">
      <c r="A137" s="59"/>
      <c r="B137" s="59"/>
      <c r="C137" s="59"/>
      <c r="D137" s="59"/>
      <c r="E137" s="59"/>
      <c r="F137" s="59"/>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80"/>
      <c r="AE137" s="59"/>
    </row>
    <row r="138" spans="1:31" x14ac:dyDescent="0.3">
      <c r="A138" s="59"/>
      <c r="B138" s="59"/>
      <c r="C138" s="59"/>
      <c r="D138" s="59"/>
      <c r="E138" s="59"/>
      <c r="F138" s="59"/>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80">
        <f>MAX($B$2-AE75,0)</f>
        <v>126.67782732554281</v>
      </c>
    </row>
  </sheetData>
  <mergeCells count="1">
    <mergeCell ref="E1:E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43FF-613E-4858-971A-13C0EA8A4CD0}">
  <sheetPr codeName="Feuil3"/>
  <dimension ref="A1:AE138"/>
  <sheetViews>
    <sheetView workbookViewId="0">
      <selection activeCell="A108" sqref="A108"/>
    </sheetView>
  </sheetViews>
  <sheetFormatPr baseColWidth="10" defaultRowHeight="14.4" x14ac:dyDescent="0.3"/>
  <cols>
    <col min="1" max="1" width="17.88671875" bestFit="1" customWidth="1"/>
    <col min="7" max="7" width="13" bestFit="1" customWidth="1"/>
  </cols>
  <sheetData>
    <row r="1" spans="1:31" x14ac:dyDescent="0.3">
      <c r="A1" s="57" t="s">
        <v>13</v>
      </c>
      <c r="B1" s="58">
        <v>125</v>
      </c>
      <c r="C1" s="59" t="s">
        <v>52</v>
      </c>
      <c r="D1" s="59"/>
      <c r="E1" s="160" t="s">
        <v>64</v>
      </c>
      <c r="F1" s="60" t="s">
        <v>65</v>
      </c>
      <c r="G1" s="48">
        <f>B6/B7</f>
        <v>0.16666666666666666</v>
      </c>
      <c r="H1" s="49"/>
      <c r="I1" s="41" t="s">
        <v>19</v>
      </c>
      <c r="J1" s="59">
        <v>125.62656510742512</v>
      </c>
      <c r="K1" s="59"/>
      <c r="L1" s="59"/>
      <c r="M1" s="59"/>
      <c r="N1" s="59"/>
      <c r="O1" s="59"/>
      <c r="P1" s="59"/>
      <c r="Q1" s="59"/>
      <c r="R1" s="59"/>
      <c r="S1" s="59"/>
      <c r="T1" s="59"/>
      <c r="U1" s="59"/>
      <c r="V1" s="59"/>
      <c r="W1" s="59"/>
      <c r="X1" s="59"/>
      <c r="Y1" s="59"/>
      <c r="Z1" s="59"/>
      <c r="AA1" s="59"/>
      <c r="AB1" s="59"/>
      <c r="AC1" s="59"/>
      <c r="AD1" s="59"/>
      <c r="AE1" s="59"/>
    </row>
    <row r="2" spans="1:31" x14ac:dyDescent="0.3">
      <c r="A2" s="61" t="s">
        <v>33</v>
      </c>
      <c r="B2" s="62">
        <f>'Question 1abd'!E6</f>
        <v>126.67782732554281</v>
      </c>
      <c r="C2" s="59" t="s">
        <v>52</v>
      </c>
      <c r="D2" s="59"/>
      <c r="E2" s="161"/>
      <c r="F2" s="60" t="s">
        <v>66</v>
      </c>
      <c r="G2" s="48">
        <f>EXP(B3*SQRT(G1))</f>
        <v>1.0850755957772693</v>
      </c>
      <c r="H2" s="49"/>
      <c r="I2" s="44" t="s">
        <v>20</v>
      </c>
      <c r="J2" s="59">
        <v>126.36152829575525</v>
      </c>
      <c r="K2" s="59"/>
      <c r="L2" s="59"/>
      <c r="M2" s="59"/>
      <c r="N2" s="59"/>
      <c r="O2" s="49"/>
      <c r="P2" s="49"/>
      <c r="Q2" s="59"/>
      <c r="R2" s="59"/>
      <c r="S2" s="59"/>
      <c r="T2" s="59"/>
      <c r="U2" s="59"/>
      <c r="V2" s="59"/>
      <c r="W2" s="59"/>
      <c r="X2" s="59"/>
      <c r="Y2" s="59"/>
      <c r="Z2" s="59"/>
      <c r="AA2" s="59"/>
      <c r="AB2" s="59"/>
      <c r="AC2" s="59"/>
      <c r="AD2" s="59"/>
      <c r="AE2" s="59"/>
    </row>
    <row r="3" spans="1:31" x14ac:dyDescent="0.3">
      <c r="A3" s="61" t="s">
        <v>56</v>
      </c>
      <c r="B3" s="63">
        <v>0.2</v>
      </c>
      <c r="C3" s="59"/>
      <c r="D3" s="59"/>
      <c r="E3" s="161"/>
      <c r="F3" s="60" t="s">
        <v>32</v>
      </c>
      <c r="G3" s="48">
        <f>1/G2</f>
        <v>0.92159477541624435</v>
      </c>
      <c r="H3" s="49"/>
      <c r="I3" s="44" t="s">
        <v>21</v>
      </c>
      <c r="J3" s="59">
        <v>126.73062075146174</v>
      </c>
      <c r="K3" s="59"/>
      <c r="L3" s="59"/>
      <c r="M3" s="59"/>
      <c r="N3" s="59"/>
      <c r="O3" s="49"/>
      <c r="P3" s="49"/>
      <c r="Q3" s="59"/>
      <c r="R3" s="59"/>
      <c r="S3" s="59"/>
      <c r="T3" s="59"/>
      <c r="U3" s="59"/>
      <c r="V3" s="59"/>
      <c r="W3" s="59"/>
      <c r="X3" s="59"/>
      <c r="Y3" s="59"/>
      <c r="Z3" s="59"/>
      <c r="AA3" s="59"/>
      <c r="AB3" s="59"/>
      <c r="AC3" s="59"/>
      <c r="AD3" s="59"/>
      <c r="AE3" s="59"/>
    </row>
    <row r="4" spans="1:31" x14ac:dyDescent="0.3">
      <c r="A4" s="61" t="s">
        <v>67</v>
      </c>
      <c r="B4" s="85">
        <f>'Question 1abd'!C6</f>
        <v>7.0000000000000007E-2</v>
      </c>
      <c r="C4" s="59"/>
      <c r="D4" s="59"/>
      <c r="E4" s="161"/>
      <c r="F4" s="64" t="s">
        <v>68</v>
      </c>
      <c r="G4" s="65">
        <f>(EXP((B4-B5)*G1)-G3)/(G2-G3)</f>
        <v>0.50002269055238879</v>
      </c>
      <c r="H4" s="49"/>
      <c r="I4" s="45" t="s">
        <v>22</v>
      </c>
      <c r="J4" s="59">
        <v>126.67782732554281</v>
      </c>
      <c r="K4" s="59"/>
      <c r="L4" s="59"/>
      <c r="M4" s="59"/>
      <c r="N4" s="59"/>
      <c r="O4" s="49"/>
      <c r="P4" s="49"/>
      <c r="Q4" s="59"/>
      <c r="R4" s="59"/>
      <c r="S4" s="59"/>
      <c r="T4" s="59"/>
      <c r="U4" s="59"/>
      <c r="V4" s="59"/>
      <c r="W4" s="59"/>
      <c r="X4" s="59"/>
      <c r="Y4" s="59"/>
      <c r="Z4" s="59"/>
      <c r="AA4" s="59"/>
      <c r="AB4" s="59"/>
      <c r="AC4" s="59"/>
      <c r="AD4" s="59"/>
      <c r="AE4" s="59"/>
    </row>
    <row r="5" spans="1:31" x14ac:dyDescent="0.3">
      <c r="A5" s="61" t="s">
        <v>69</v>
      </c>
      <c r="B5" s="63">
        <f>'Question 1abd'!D6</f>
        <v>0.05</v>
      </c>
      <c r="C5" s="59"/>
      <c r="D5" s="59"/>
      <c r="E5" s="162"/>
      <c r="F5" s="65" t="s">
        <v>70</v>
      </c>
      <c r="G5" s="66">
        <f>A108</f>
        <v>8.0155060491013561</v>
      </c>
      <c r="H5" s="59" t="s">
        <v>52</v>
      </c>
      <c r="I5" s="59"/>
      <c r="J5" s="59"/>
      <c r="K5" s="59"/>
      <c r="L5" s="59"/>
      <c r="M5" s="59"/>
      <c r="N5" s="59"/>
      <c r="O5" s="49"/>
      <c r="P5" s="67"/>
      <c r="Q5" s="59"/>
      <c r="R5" s="59"/>
      <c r="S5" s="59"/>
      <c r="T5" s="59"/>
      <c r="U5" s="59"/>
      <c r="V5" s="59"/>
      <c r="W5" s="59"/>
      <c r="X5" s="59"/>
      <c r="Y5" s="59"/>
      <c r="Z5" s="59"/>
      <c r="AA5" s="59"/>
      <c r="AB5" s="59"/>
      <c r="AC5" s="59"/>
      <c r="AD5" s="59"/>
      <c r="AE5" s="59"/>
    </row>
    <row r="6" spans="1:31" x14ac:dyDescent="0.3">
      <c r="A6" s="61" t="s">
        <v>71</v>
      </c>
      <c r="B6" s="68">
        <f>8/12</f>
        <v>0.66666666666666663</v>
      </c>
      <c r="C6" s="59"/>
      <c r="D6" s="59"/>
      <c r="E6" s="69"/>
      <c r="F6" s="49"/>
      <c r="G6" s="88">
        <f>G5*B9</f>
        <v>6327473.5747580528</v>
      </c>
      <c r="H6" s="59" t="s">
        <v>72</v>
      </c>
      <c r="I6" s="59"/>
      <c r="J6" s="59"/>
      <c r="K6" s="59"/>
      <c r="L6" s="59"/>
      <c r="M6" s="59"/>
      <c r="N6" s="59"/>
      <c r="O6" s="49"/>
      <c r="P6" s="70"/>
      <c r="Q6" s="59"/>
      <c r="R6" s="59"/>
      <c r="S6" s="59"/>
      <c r="T6" s="59"/>
      <c r="U6" s="59"/>
      <c r="V6" s="59"/>
      <c r="W6" s="59"/>
      <c r="X6" s="59"/>
      <c r="Y6" s="59"/>
      <c r="Z6" s="59"/>
      <c r="AA6" s="59"/>
      <c r="AB6" s="59"/>
      <c r="AC6" s="59"/>
      <c r="AD6" s="59"/>
      <c r="AE6" s="59"/>
    </row>
    <row r="7" spans="1:31" x14ac:dyDescent="0.3">
      <c r="A7" s="71" t="s">
        <v>73</v>
      </c>
      <c r="B7" s="72">
        <v>4</v>
      </c>
      <c r="C7" s="59"/>
      <c r="D7" s="59"/>
      <c r="E7" s="69"/>
      <c r="F7" s="73"/>
      <c r="G7" s="87">
        <f>G6/B1</f>
        <v>50619.788598064421</v>
      </c>
      <c r="H7" s="59" t="s">
        <v>74</v>
      </c>
      <c r="I7" s="59"/>
      <c r="J7" s="59"/>
      <c r="K7" s="59"/>
      <c r="L7" s="59"/>
      <c r="M7" s="59"/>
      <c r="N7" s="59"/>
      <c r="O7" s="59"/>
      <c r="P7" s="59"/>
      <c r="Q7" s="59"/>
      <c r="R7" s="59"/>
      <c r="S7" s="59"/>
      <c r="T7" s="59"/>
      <c r="U7" s="59"/>
      <c r="V7" s="59"/>
      <c r="W7" s="59"/>
      <c r="X7" s="59"/>
      <c r="Y7" s="59"/>
      <c r="Z7" s="59"/>
      <c r="AA7" s="59"/>
      <c r="AB7" s="59"/>
      <c r="AC7" s="59"/>
      <c r="AD7" s="59"/>
      <c r="AE7" s="59"/>
    </row>
    <row r="8" spans="1:31" x14ac:dyDescent="0.3">
      <c r="A8" s="74" t="s">
        <v>75</v>
      </c>
      <c r="B8" s="75">
        <v>100000000</v>
      </c>
      <c r="C8" s="59" t="s">
        <v>72</v>
      </c>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row>
    <row r="9" spans="1:31" x14ac:dyDescent="0.3">
      <c r="A9" s="74" t="s">
        <v>75</v>
      </c>
      <c r="B9" s="75">
        <f>B8/B2</f>
        <v>789404.12944575667</v>
      </c>
      <c r="C9" s="59" t="s">
        <v>74</v>
      </c>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row>
    <row r="10" spans="1:31" x14ac:dyDescent="0.3">
      <c r="A10" s="76"/>
      <c r="B10" s="76"/>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row>
    <row r="11" spans="1:31" x14ac:dyDescent="0.3">
      <c r="A11" s="76"/>
      <c r="B11" s="76"/>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row>
    <row r="12" spans="1:31" x14ac:dyDescent="0.3">
      <c r="A12" s="76"/>
      <c r="B12" s="76"/>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row>
    <row r="13" spans="1:31" x14ac:dyDescent="0.3">
      <c r="A13" s="76"/>
      <c r="B13" s="76"/>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row>
    <row r="14" spans="1:31" x14ac:dyDescent="0.3">
      <c r="A14" s="77">
        <v>0</v>
      </c>
      <c r="B14" s="78" t="s">
        <v>65</v>
      </c>
      <c r="C14" s="78" t="s">
        <v>76</v>
      </c>
      <c r="D14" s="78" t="s">
        <v>77</v>
      </c>
      <c r="E14" s="78" t="s">
        <v>78</v>
      </c>
      <c r="F14" s="78"/>
      <c r="G14" s="78"/>
      <c r="H14" s="78"/>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x14ac:dyDescent="0.3">
      <c r="A15" s="79"/>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80"/>
    </row>
    <row r="16" spans="1:31" x14ac:dyDescent="0.3">
      <c r="A16" s="79"/>
      <c r="B16" s="79"/>
      <c r="C16" s="79"/>
      <c r="D16" s="79"/>
      <c r="E16" s="79"/>
      <c r="F16" s="79"/>
      <c r="G16" s="79"/>
      <c r="H16" s="79"/>
      <c r="I16" s="79"/>
      <c r="J16" s="79"/>
      <c r="K16" s="79"/>
      <c r="L16" s="79"/>
      <c r="M16" s="79"/>
      <c r="N16" s="79"/>
      <c r="O16" s="79"/>
      <c r="P16" s="79"/>
      <c r="Q16" s="79"/>
      <c r="R16" s="79"/>
      <c r="S16" s="79"/>
      <c r="T16" s="79"/>
      <c r="U16" s="79"/>
      <c r="V16" s="79"/>
      <c r="W16" s="79"/>
      <c r="X16" s="79"/>
      <c r="Y16" s="79"/>
      <c r="Z16" s="79"/>
      <c r="AA16" s="79"/>
      <c r="AB16" s="79"/>
      <c r="AC16" s="79"/>
      <c r="AD16" s="80"/>
      <c r="AE16" s="79"/>
    </row>
    <row r="17" spans="1:31" x14ac:dyDescent="0.3">
      <c r="A17" s="79"/>
      <c r="B17" s="79"/>
      <c r="C17" s="79"/>
      <c r="D17" s="79"/>
      <c r="E17" s="79"/>
      <c r="F17" s="79"/>
      <c r="G17" s="79"/>
      <c r="H17" s="79"/>
      <c r="I17" s="79"/>
      <c r="J17" s="79"/>
      <c r="K17" s="79"/>
      <c r="L17" s="79"/>
      <c r="M17" s="79"/>
      <c r="N17" s="79"/>
      <c r="O17" s="79"/>
      <c r="P17" s="79"/>
      <c r="Q17" s="79"/>
      <c r="R17" s="79"/>
      <c r="S17" s="79"/>
      <c r="T17" s="79"/>
      <c r="U17" s="79"/>
      <c r="V17" s="79"/>
      <c r="W17" s="79"/>
      <c r="X17" s="79"/>
      <c r="Y17" s="79"/>
      <c r="Z17" s="79"/>
      <c r="AA17" s="79"/>
      <c r="AB17" s="79"/>
      <c r="AC17" s="80"/>
      <c r="AD17" s="79"/>
      <c r="AE17" s="80"/>
    </row>
    <row r="18" spans="1:31" x14ac:dyDescent="0.3">
      <c r="A18" s="79"/>
      <c r="B18" s="79"/>
      <c r="C18" s="79"/>
      <c r="D18" s="79"/>
      <c r="E18" s="79"/>
      <c r="F18" s="79"/>
      <c r="G18" s="79"/>
      <c r="H18" s="79"/>
      <c r="I18" s="79"/>
      <c r="J18" s="79"/>
      <c r="K18" s="79"/>
      <c r="L18" s="79"/>
      <c r="M18" s="79"/>
      <c r="N18" s="79"/>
      <c r="O18" s="79"/>
      <c r="P18" s="79"/>
      <c r="Q18" s="79"/>
      <c r="R18" s="79"/>
      <c r="S18" s="79"/>
      <c r="T18" s="79"/>
      <c r="U18" s="79"/>
      <c r="V18" s="79"/>
      <c r="W18" s="79"/>
      <c r="X18" s="79"/>
      <c r="Y18" s="79"/>
      <c r="Z18" s="79"/>
      <c r="AA18" s="79"/>
      <c r="AB18" s="80"/>
      <c r="AC18" s="79"/>
      <c r="AD18" s="80"/>
      <c r="AE18" s="79"/>
    </row>
    <row r="19" spans="1:31" x14ac:dyDescent="0.3">
      <c r="A19" s="79"/>
      <c r="B19" s="79"/>
      <c r="C19" s="79"/>
      <c r="D19" s="79"/>
      <c r="E19" s="79"/>
      <c r="F19" s="79"/>
      <c r="G19" s="79"/>
      <c r="H19" s="79"/>
      <c r="I19" s="79"/>
      <c r="J19" s="79"/>
      <c r="K19" s="79"/>
      <c r="L19" s="79"/>
      <c r="M19" s="79"/>
      <c r="N19" s="79"/>
      <c r="O19" s="79"/>
      <c r="P19" s="79"/>
      <c r="Q19" s="79"/>
      <c r="R19" s="79"/>
      <c r="S19" s="79"/>
      <c r="T19" s="79"/>
      <c r="U19" s="79"/>
      <c r="V19" s="79"/>
      <c r="W19" s="79"/>
      <c r="X19" s="79"/>
      <c r="Y19" s="79"/>
      <c r="Z19" s="79"/>
      <c r="AA19" s="80"/>
      <c r="AB19" s="79"/>
      <c r="AC19" s="80"/>
      <c r="AD19" s="79"/>
      <c r="AE19" s="80"/>
    </row>
    <row r="20" spans="1:31" x14ac:dyDescent="0.3">
      <c r="A20" s="79"/>
      <c r="B20" s="79"/>
      <c r="C20" s="79"/>
      <c r="D20" s="79"/>
      <c r="E20" s="79"/>
      <c r="F20" s="79"/>
      <c r="G20" s="79"/>
      <c r="H20" s="79"/>
      <c r="I20" s="79"/>
      <c r="J20" s="79"/>
      <c r="K20" s="79"/>
      <c r="L20" s="79"/>
      <c r="M20" s="79"/>
      <c r="N20" s="79"/>
      <c r="O20" s="79"/>
      <c r="P20" s="79"/>
      <c r="Q20" s="79"/>
      <c r="R20" s="79"/>
      <c r="S20" s="79"/>
      <c r="T20" s="79"/>
      <c r="U20" s="79"/>
      <c r="V20" s="79"/>
      <c r="W20" s="79"/>
      <c r="X20" s="79"/>
      <c r="Y20" s="79"/>
      <c r="Z20" s="80"/>
      <c r="AA20" s="79"/>
      <c r="AB20" s="80"/>
      <c r="AC20" s="79"/>
      <c r="AD20" s="80"/>
      <c r="AE20" s="79"/>
    </row>
    <row r="21" spans="1:31" x14ac:dyDescent="0.3">
      <c r="A21" s="79"/>
      <c r="B21" s="79"/>
      <c r="C21" s="79"/>
      <c r="D21" s="79"/>
      <c r="E21" s="79"/>
      <c r="F21" s="79"/>
      <c r="G21" s="79"/>
      <c r="H21" s="79"/>
      <c r="I21" s="79"/>
      <c r="J21" s="79"/>
      <c r="K21" s="79"/>
      <c r="L21" s="79"/>
      <c r="M21" s="79"/>
      <c r="N21" s="79"/>
      <c r="O21" s="79"/>
      <c r="P21" s="79"/>
      <c r="Q21" s="79"/>
      <c r="R21" s="79"/>
      <c r="S21" s="79"/>
      <c r="T21" s="79"/>
      <c r="U21" s="79"/>
      <c r="V21" s="79"/>
      <c r="W21" s="79"/>
      <c r="X21" s="79"/>
      <c r="Y21" s="80"/>
      <c r="Z21" s="79"/>
      <c r="AA21" s="80"/>
      <c r="AB21" s="79"/>
      <c r="AC21" s="80"/>
      <c r="AD21" s="79"/>
      <c r="AE21" s="80"/>
    </row>
    <row r="22" spans="1:31" x14ac:dyDescent="0.3">
      <c r="A22" s="79"/>
      <c r="B22" s="79"/>
      <c r="C22" s="79"/>
      <c r="D22" s="79"/>
      <c r="E22" s="79"/>
      <c r="F22" s="79"/>
      <c r="G22" s="79"/>
      <c r="H22" s="79"/>
      <c r="I22" s="79"/>
      <c r="J22" s="79"/>
      <c r="K22" s="79"/>
      <c r="L22" s="79"/>
      <c r="M22" s="79"/>
      <c r="N22" s="79"/>
      <c r="O22" s="79"/>
      <c r="P22" s="79"/>
      <c r="Q22" s="79"/>
      <c r="R22" s="79"/>
      <c r="S22" s="79"/>
      <c r="T22" s="79"/>
      <c r="U22" s="79"/>
      <c r="V22" s="79"/>
      <c r="W22" s="79"/>
      <c r="X22" s="80"/>
      <c r="Y22" s="79"/>
      <c r="Z22" s="80"/>
      <c r="AA22" s="79"/>
      <c r="AB22" s="80"/>
      <c r="AC22" s="79"/>
      <c r="AD22" s="80"/>
      <c r="AE22" s="79"/>
    </row>
    <row r="23" spans="1:31" x14ac:dyDescent="0.3">
      <c r="A23" s="79"/>
      <c r="B23" s="79"/>
      <c r="C23" s="79"/>
      <c r="D23" s="79"/>
      <c r="E23" s="79"/>
      <c r="F23" s="79"/>
      <c r="G23" s="79"/>
      <c r="H23" s="79"/>
      <c r="I23" s="79"/>
      <c r="J23" s="79"/>
      <c r="K23" s="79"/>
      <c r="L23" s="79"/>
      <c r="M23" s="79"/>
      <c r="N23" s="79"/>
      <c r="O23" s="79"/>
      <c r="P23" s="79"/>
      <c r="Q23" s="79"/>
      <c r="R23" s="79"/>
      <c r="S23" s="79"/>
      <c r="T23" s="79"/>
      <c r="U23" s="79"/>
      <c r="V23" s="79"/>
      <c r="W23" s="80"/>
      <c r="X23" s="79"/>
      <c r="Y23" s="80"/>
      <c r="Z23" s="79"/>
      <c r="AA23" s="80"/>
      <c r="AB23" s="79"/>
      <c r="AC23" s="80"/>
      <c r="AD23" s="79"/>
      <c r="AE23" s="80"/>
    </row>
    <row r="24" spans="1:31" x14ac:dyDescent="0.3">
      <c r="A24" s="79"/>
      <c r="B24" s="79"/>
      <c r="C24" s="79"/>
      <c r="D24" s="79"/>
      <c r="E24" s="79"/>
      <c r="F24" s="79"/>
      <c r="G24" s="79"/>
      <c r="H24" s="79"/>
      <c r="I24" s="79"/>
      <c r="J24" s="79"/>
      <c r="K24" s="79"/>
      <c r="L24" s="79"/>
      <c r="M24" s="79"/>
      <c r="N24" s="79"/>
      <c r="O24" s="79"/>
      <c r="P24" s="79"/>
      <c r="Q24" s="79"/>
      <c r="R24" s="79"/>
      <c r="S24" s="79"/>
      <c r="T24" s="79"/>
      <c r="U24" s="79"/>
      <c r="V24" s="80"/>
      <c r="W24" s="79"/>
      <c r="X24" s="80"/>
      <c r="Y24" s="79"/>
      <c r="Z24" s="80"/>
      <c r="AA24" s="79"/>
      <c r="AB24" s="80"/>
      <c r="AC24" s="79"/>
      <c r="AD24" s="80"/>
      <c r="AE24" s="79"/>
    </row>
    <row r="25" spans="1:31" x14ac:dyDescent="0.3">
      <c r="A25" s="79"/>
      <c r="B25" s="79"/>
      <c r="C25" s="79"/>
      <c r="D25" s="79"/>
      <c r="E25" s="79"/>
      <c r="F25" s="79"/>
      <c r="G25" s="79"/>
      <c r="H25" s="79"/>
      <c r="I25" s="79"/>
      <c r="J25" s="79"/>
      <c r="K25" s="79"/>
      <c r="L25" s="79"/>
      <c r="M25" s="79"/>
      <c r="N25" s="79"/>
      <c r="O25" s="79"/>
      <c r="P25" s="79"/>
      <c r="Q25" s="79"/>
      <c r="R25" s="79"/>
      <c r="S25" s="79"/>
      <c r="T25" s="79"/>
      <c r="U25" s="80"/>
      <c r="V25" s="79"/>
      <c r="W25" s="80"/>
      <c r="X25" s="79"/>
      <c r="Y25" s="80"/>
      <c r="Z25" s="79"/>
      <c r="AA25" s="80"/>
      <c r="AB25" s="79"/>
      <c r="AC25" s="80"/>
      <c r="AD25" s="79"/>
      <c r="AE25" s="80"/>
    </row>
    <row r="26" spans="1:31" x14ac:dyDescent="0.3">
      <c r="A26" s="79"/>
      <c r="B26" s="79"/>
      <c r="C26" s="79"/>
      <c r="D26" s="79"/>
      <c r="E26" s="79"/>
      <c r="F26" s="79"/>
      <c r="G26" s="79"/>
      <c r="H26" s="79"/>
      <c r="I26" s="79"/>
      <c r="J26" s="79"/>
      <c r="K26" s="79"/>
      <c r="L26" s="79"/>
      <c r="M26" s="79"/>
      <c r="N26" s="79"/>
      <c r="O26" s="79"/>
      <c r="P26" s="79"/>
      <c r="Q26" s="79"/>
      <c r="R26" s="79"/>
      <c r="S26" s="79"/>
      <c r="T26" s="80"/>
      <c r="U26" s="79"/>
      <c r="V26" s="80"/>
      <c r="W26" s="79"/>
      <c r="X26" s="80"/>
      <c r="Y26" s="79"/>
      <c r="Z26" s="80"/>
      <c r="AA26" s="79"/>
      <c r="AB26" s="80"/>
      <c r="AC26" s="79"/>
      <c r="AD26" s="80"/>
      <c r="AE26" s="79"/>
    </row>
    <row r="27" spans="1:31" x14ac:dyDescent="0.3">
      <c r="A27" s="79"/>
      <c r="B27" s="79"/>
      <c r="C27" s="79"/>
      <c r="D27" s="79"/>
      <c r="E27" s="79"/>
      <c r="F27" s="79"/>
      <c r="G27" s="79"/>
      <c r="H27" s="79"/>
      <c r="I27" s="79"/>
      <c r="J27" s="79"/>
      <c r="K27" s="79"/>
      <c r="L27" s="79"/>
      <c r="M27" s="79"/>
      <c r="N27" s="79"/>
      <c r="O27" s="79"/>
      <c r="P27" s="79"/>
      <c r="Q27" s="79"/>
      <c r="R27" s="79"/>
      <c r="S27" s="80"/>
      <c r="T27" s="79"/>
      <c r="U27" s="80"/>
      <c r="V27" s="79"/>
      <c r="W27" s="80"/>
      <c r="X27" s="79"/>
      <c r="Y27" s="80"/>
      <c r="Z27" s="79"/>
      <c r="AA27" s="80"/>
      <c r="AB27" s="79"/>
      <c r="AC27" s="80"/>
      <c r="AD27" s="79"/>
      <c r="AE27" s="80"/>
    </row>
    <row r="28" spans="1:31" x14ac:dyDescent="0.3">
      <c r="A28" s="79"/>
      <c r="B28" s="79"/>
      <c r="C28" s="79"/>
      <c r="D28" s="79"/>
      <c r="E28" s="79"/>
      <c r="F28" s="79"/>
      <c r="G28" s="79"/>
      <c r="H28" s="79"/>
      <c r="I28" s="79"/>
      <c r="J28" s="79"/>
      <c r="K28" s="79"/>
      <c r="L28" s="79"/>
      <c r="M28" s="79"/>
      <c r="N28" s="79"/>
      <c r="O28" s="79"/>
      <c r="P28" s="79"/>
      <c r="Q28" s="79"/>
      <c r="R28" s="80"/>
      <c r="S28" s="79"/>
      <c r="T28" s="80"/>
      <c r="U28" s="79"/>
      <c r="V28" s="80"/>
      <c r="W28" s="79"/>
      <c r="X28" s="80"/>
      <c r="Y28" s="79"/>
      <c r="Z28" s="80"/>
      <c r="AA28" s="79"/>
      <c r="AB28" s="80"/>
      <c r="AC28" s="79"/>
      <c r="AD28" s="80"/>
      <c r="AE28" s="79"/>
    </row>
    <row r="29" spans="1:31" x14ac:dyDescent="0.3">
      <c r="A29" s="79"/>
      <c r="B29" s="79"/>
      <c r="C29" s="79"/>
      <c r="D29" s="79"/>
      <c r="E29" s="79"/>
      <c r="F29" s="79"/>
      <c r="G29" s="79"/>
      <c r="H29" s="79"/>
      <c r="I29" s="79"/>
      <c r="J29" s="79"/>
      <c r="K29" s="79"/>
      <c r="L29" s="79"/>
      <c r="M29" s="79"/>
      <c r="N29" s="79"/>
      <c r="O29" s="79"/>
      <c r="P29" s="79"/>
      <c r="Q29" s="80"/>
      <c r="R29" s="79"/>
      <c r="S29" s="80"/>
      <c r="T29" s="79"/>
      <c r="U29" s="80"/>
      <c r="V29" s="79"/>
      <c r="W29" s="80"/>
      <c r="X29" s="79"/>
      <c r="Y29" s="80"/>
      <c r="Z29" s="79"/>
      <c r="AA29" s="80"/>
      <c r="AB29" s="79"/>
      <c r="AC29" s="80"/>
      <c r="AD29" s="79"/>
      <c r="AE29" s="80"/>
    </row>
    <row r="30" spans="1:31" x14ac:dyDescent="0.3">
      <c r="A30" s="79"/>
      <c r="B30" s="79"/>
      <c r="C30" s="79"/>
      <c r="D30" s="79"/>
      <c r="E30" s="79"/>
      <c r="F30" s="79"/>
      <c r="G30" s="79"/>
      <c r="H30" s="79"/>
      <c r="I30" s="79"/>
      <c r="J30" s="79"/>
      <c r="K30" s="79"/>
      <c r="L30" s="79"/>
      <c r="M30" s="79"/>
      <c r="N30" s="79"/>
      <c r="O30" s="79"/>
      <c r="P30" s="80"/>
      <c r="Q30" s="79"/>
      <c r="R30" s="80"/>
      <c r="S30" s="79"/>
      <c r="T30" s="80"/>
      <c r="U30" s="79"/>
      <c r="V30" s="80"/>
      <c r="W30" s="79"/>
      <c r="X30" s="80"/>
      <c r="Y30" s="79"/>
      <c r="Z30" s="80"/>
      <c r="AA30" s="79"/>
      <c r="AB30" s="80"/>
      <c r="AC30" s="79"/>
      <c r="AD30" s="80"/>
      <c r="AE30" s="79"/>
    </row>
    <row r="31" spans="1:31" x14ac:dyDescent="0.3">
      <c r="A31" s="79"/>
      <c r="B31" s="79"/>
      <c r="C31" s="79"/>
      <c r="D31" s="79"/>
      <c r="E31" s="79"/>
      <c r="F31" s="79"/>
      <c r="G31" s="79"/>
      <c r="H31" s="79"/>
      <c r="I31" s="79"/>
      <c r="J31" s="79"/>
      <c r="K31" s="79"/>
      <c r="L31" s="79"/>
      <c r="M31" s="79"/>
      <c r="N31" s="79"/>
      <c r="O31" s="80"/>
      <c r="P31" s="79"/>
      <c r="Q31" s="80"/>
      <c r="R31" s="79"/>
      <c r="S31" s="80"/>
      <c r="T31" s="79"/>
      <c r="U31" s="80"/>
      <c r="V31" s="79"/>
      <c r="W31" s="80"/>
      <c r="X31" s="79"/>
      <c r="Y31" s="80"/>
      <c r="Z31" s="79"/>
      <c r="AA31" s="80"/>
      <c r="AB31" s="79"/>
      <c r="AC31" s="80"/>
      <c r="AD31" s="79"/>
      <c r="AE31" s="80"/>
    </row>
    <row r="32" spans="1:31" x14ac:dyDescent="0.3">
      <c r="A32" s="79"/>
      <c r="B32" s="79"/>
      <c r="C32" s="79"/>
      <c r="D32" s="79"/>
      <c r="E32" s="79"/>
      <c r="F32" s="79"/>
      <c r="G32" s="79"/>
      <c r="H32" s="79"/>
      <c r="I32" s="79"/>
      <c r="J32" s="79"/>
      <c r="K32" s="79"/>
      <c r="L32" s="79"/>
      <c r="M32" s="79"/>
      <c r="N32" s="80"/>
      <c r="O32" s="79"/>
      <c r="P32" s="80"/>
      <c r="Q32" s="79"/>
      <c r="R32" s="80"/>
      <c r="S32" s="79"/>
      <c r="T32" s="80"/>
      <c r="U32" s="79"/>
      <c r="V32" s="80"/>
      <c r="W32" s="79"/>
      <c r="X32" s="80"/>
      <c r="Y32" s="79"/>
      <c r="Z32" s="80"/>
      <c r="AA32" s="79"/>
      <c r="AB32" s="80"/>
      <c r="AC32" s="79"/>
      <c r="AD32" s="80"/>
      <c r="AE32" s="79"/>
    </row>
    <row r="33" spans="1:31" x14ac:dyDescent="0.3">
      <c r="A33" s="59"/>
      <c r="B33" s="59"/>
      <c r="C33" s="59"/>
      <c r="D33" s="59"/>
      <c r="E33" s="59"/>
      <c r="F33" s="59"/>
      <c r="G33" s="59"/>
      <c r="H33" s="59"/>
      <c r="I33" s="59"/>
      <c r="J33" s="59"/>
      <c r="K33" s="59"/>
      <c r="L33" s="59"/>
      <c r="M33" s="80"/>
      <c r="N33" s="59"/>
      <c r="O33" s="80"/>
      <c r="P33" s="79"/>
      <c r="Q33" s="80"/>
      <c r="R33" s="79"/>
      <c r="S33" s="80"/>
      <c r="T33" s="79"/>
      <c r="U33" s="80"/>
      <c r="V33" s="79"/>
      <c r="W33" s="80"/>
      <c r="X33" s="79"/>
      <c r="Y33" s="80"/>
      <c r="Z33" s="79"/>
      <c r="AA33" s="80"/>
      <c r="AB33" s="79"/>
      <c r="AC33" s="80"/>
      <c r="AD33" s="79"/>
      <c r="AE33" s="80"/>
    </row>
    <row r="34" spans="1:31" x14ac:dyDescent="0.3">
      <c r="A34" s="59"/>
      <c r="B34" s="59"/>
      <c r="C34" s="59"/>
      <c r="D34" s="59"/>
      <c r="E34" s="59"/>
      <c r="F34" s="59"/>
      <c r="G34" s="59"/>
      <c r="H34" s="59"/>
      <c r="I34" s="59"/>
      <c r="J34" s="59"/>
      <c r="K34" s="59"/>
      <c r="L34" s="80"/>
      <c r="M34" s="59"/>
      <c r="N34" s="80"/>
      <c r="O34" s="79"/>
      <c r="P34" s="80"/>
      <c r="Q34" s="79"/>
      <c r="R34" s="80"/>
      <c r="S34" s="79"/>
      <c r="T34" s="80"/>
      <c r="U34" s="79"/>
      <c r="V34" s="80"/>
      <c r="W34" s="79"/>
      <c r="X34" s="80"/>
      <c r="Y34" s="79"/>
      <c r="Z34" s="80"/>
      <c r="AA34" s="79"/>
      <c r="AB34" s="80"/>
      <c r="AC34" s="79"/>
      <c r="AD34" s="80"/>
      <c r="AE34" s="79"/>
    </row>
    <row r="35" spans="1:31" x14ac:dyDescent="0.3">
      <c r="A35" s="81"/>
      <c r="B35" s="59"/>
      <c r="C35" s="59"/>
      <c r="D35" s="59"/>
      <c r="E35" s="59"/>
      <c r="F35" s="59"/>
      <c r="G35" s="59"/>
      <c r="H35" s="59"/>
      <c r="I35" s="59"/>
      <c r="J35" s="59"/>
      <c r="K35" s="80"/>
      <c r="L35" s="59"/>
      <c r="M35" s="80"/>
      <c r="N35" s="79"/>
      <c r="O35" s="80"/>
      <c r="P35" s="79"/>
      <c r="Q35" s="80"/>
      <c r="R35" s="79"/>
      <c r="S35" s="80"/>
      <c r="T35" s="79"/>
      <c r="U35" s="80"/>
      <c r="V35" s="79"/>
      <c r="W35" s="80"/>
      <c r="X35" s="79"/>
      <c r="Y35" s="80"/>
      <c r="Z35" s="79"/>
      <c r="AA35" s="80"/>
      <c r="AB35" s="79"/>
      <c r="AC35" s="80"/>
      <c r="AD35" s="79"/>
      <c r="AE35" s="80"/>
    </row>
    <row r="36" spans="1:31" x14ac:dyDescent="0.3">
      <c r="A36" s="81"/>
      <c r="B36" s="59"/>
      <c r="C36" s="59"/>
      <c r="D36" s="59"/>
      <c r="E36" s="59"/>
      <c r="F36" s="59"/>
      <c r="G36" s="59"/>
      <c r="H36" s="59"/>
      <c r="I36" s="59"/>
      <c r="J36" s="80"/>
      <c r="K36" s="59"/>
      <c r="L36" s="80"/>
      <c r="M36" s="79"/>
      <c r="N36" s="80"/>
      <c r="O36" s="79"/>
      <c r="P36" s="80"/>
      <c r="Q36" s="79"/>
      <c r="R36" s="80"/>
      <c r="S36" s="79"/>
      <c r="T36" s="80"/>
      <c r="U36" s="79"/>
      <c r="V36" s="80"/>
      <c r="W36" s="79"/>
      <c r="X36" s="80"/>
      <c r="Y36" s="79"/>
      <c r="Z36" s="80"/>
      <c r="AA36" s="79"/>
      <c r="AB36" s="80"/>
      <c r="AC36" s="59"/>
      <c r="AD36" s="80"/>
      <c r="AE36" s="59"/>
    </row>
    <row r="37" spans="1:31" x14ac:dyDescent="0.3">
      <c r="A37" s="81"/>
      <c r="B37" s="59"/>
      <c r="C37" s="59"/>
      <c r="D37" s="59"/>
      <c r="E37" s="59"/>
      <c r="F37" s="59"/>
      <c r="G37" s="59"/>
      <c r="H37" s="59"/>
      <c r="I37" s="80"/>
      <c r="J37" s="59"/>
      <c r="K37" s="80"/>
      <c r="L37" s="79"/>
      <c r="M37" s="80"/>
      <c r="N37" s="79"/>
      <c r="O37" s="80"/>
      <c r="P37" s="79"/>
      <c r="Q37" s="80"/>
      <c r="R37" s="79"/>
      <c r="S37" s="80"/>
      <c r="T37" s="79"/>
      <c r="U37" s="80"/>
      <c r="V37" s="79"/>
      <c r="W37" s="80"/>
      <c r="X37" s="79"/>
      <c r="Y37" s="80"/>
      <c r="Z37" s="79"/>
      <c r="AA37" s="80"/>
      <c r="AB37" s="59"/>
      <c r="AC37" s="80"/>
      <c r="AD37" s="59"/>
      <c r="AE37" s="80"/>
    </row>
    <row r="38" spans="1:31" x14ac:dyDescent="0.3">
      <c r="A38" s="81"/>
      <c r="B38" s="59"/>
      <c r="C38" s="59"/>
      <c r="D38" s="59"/>
      <c r="E38" s="59"/>
      <c r="F38" s="59"/>
      <c r="G38" s="59"/>
      <c r="H38" s="80"/>
      <c r="I38" s="59"/>
      <c r="J38" s="80"/>
      <c r="K38" s="79"/>
      <c r="L38" s="80"/>
      <c r="M38" s="79"/>
      <c r="N38" s="80"/>
      <c r="O38" s="79"/>
      <c r="P38" s="80"/>
      <c r="Q38" s="79"/>
      <c r="R38" s="80"/>
      <c r="S38" s="79"/>
      <c r="T38" s="80"/>
      <c r="U38" s="79"/>
      <c r="V38" s="80"/>
      <c r="W38" s="79"/>
      <c r="X38" s="80"/>
      <c r="Y38" s="79"/>
      <c r="Z38" s="80"/>
      <c r="AA38" s="59"/>
      <c r="AB38" s="80"/>
      <c r="AC38" s="79"/>
      <c r="AD38" s="80"/>
      <c r="AE38" s="79"/>
    </row>
    <row r="39" spans="1:31" x14ac:dyDescent="0.3">
      <c r="A39" s="81"/>
      <c r="B39" s="59"/>
      <c r="C39" s="59"/>
      <c r="D39" s="59"/>
      <c r="E39" s="59"/>
      <c r="F39" s="59"/>
      <c r="G39" s="80"/>
      <c r="H39" s="59"/>
      <c r="I39" s="80"/>
      <c r="J39" s="79"/>
      <c r="K39" s="80"/>
      <c r="L39" s="79"/>
      <c r="M39" s="80"/>
      <c r="N39" s="79"/>
      <c r="O39" s="80"/>
      <c r="P39" s="79"/>
      <c r="Q39" s="80"/>
      <c r="R39" s="79"/>
      <c r="S39" s="80"/>
      <c r="T39" s="79"/>
      <c r="U39" s="80"/>
      <c r="V39" s="79"/>
      <c r="W39" s="80"/>
      <c r="X39" s="79"/>
      <c r="Y39" s="80"/>
      <c r="Z39" s="59"/>
      <c r="AA39" s="80"/>
      <c r="AB39" s="79"/>
      <c r="AC39" s="80"/>
      <c r="AD39" s="79"/>
      <c r="AE39" s="80"/>
    </row>
    <row r="40" spans="1:31" x14ac:dyDescent="0.3">
      <c r="A40" s="81"/>
      <c r="B40" s="59"/>
      <c r="C40" s="59"/>
      <c r="D40" s="59"/>
      <c r="E40" s="59"/>
      <c r="F40" s="80"/>
      <c r="G40" s="59"/>
      <c r="H40" s="80"/>
      <c r="I40" s="79"/>
      <c r="J40" s="80"/>
      <c r="K40" s="79"/>
      <c r="L40" s="80"/>
      <c r="M40" s="79"/>
      <c r="N40" s="80"/>
      <c r="O40" s="79"/>
      <c r="P40" s="80"/>
      <c r="Q40" s="79"/>
      <c r="R40" s="80"/>
      <c r="S40" s="79"/>
      <c r="T40" s="80"/>
      <c r="U40" s="79"/>
      <c r="V40" s="80"/>
      <c r="W40" s="79"/>
      <c r="X40" s="80"/>
      <c r="Y40" s="59"/>
      <c r="Z40" s="80"/>
      <c r="AA40" s="79"/>
      <c r="AB40" s="80"/>
      <c r="AC40" s="79"/>
      <c r="AD40" s="80"/>
      <c r="AE40" s="79"/>
    </row>
    <row r="41" spans="1:31" x14ac:dyDescent="0.3">
      <c r="A41" s="81"/>
      <c r="B41" s="59"/>
      <c r="C41" s="59"/>
      <c r="D41" s="59"/>
      <c r="E41" s="80">
        <f>$G$2*D42</f>
        <v>173.28062145609513</v>
      </c>
      <c r="F41" s="59"/>
      <c r="G41" s="80"/>
      <c r="H41" s="79"/>
      <c r="I41" s="80"/>
      <c r="J41" s="79"/>
      <c r="K41" s="80"/>
      <c r="L41" s="79"/>
      <c r="M41" s="80"/>
      <c r="N41" s="79"/>
      <c r="O41" s="80"/>
      <c r="P41" s="79"/>
      <c r="Q41" s="80"/>
      <c r="R41" s="79"/>
      <c r="S41" s="80"/>
      <c r="T41" s="79"/>
      <c r="U41" s="80"/>
      <c r="V41" s="79"/>
      <c r="W41" s="80"/>
      <c r="X41" s="59"/>
      <c r="Y41" s="80"/>
      <c r="Z41" s="79"/>
      <c r="AA41" s="80"/>
      <c r="AB41" s="79"/>
      <c r="AC41" s="80"/>
      <c r="AD41" s="79"/>
      <c r="AE41" s="80"/>
    </row>
    <row r="42" spans="1:31" x14ac:dyDescent="0.3">
      <c r="A42" s="81"/>
      <c r="B42" s="59"/>
      <c r="C42" s="59"/>
      <c r="D42" s="80">
        <f>$G$2*C43</f>
        <v>159.69451541481723</v>
      </c>
      <c r="E42" s="59"/>
      <c r="F42" s="80"/>
      <c r="G42" s="79"/>
      <c r="H42" s="80"/>
      <c r="I42" s="79"/>
      <c r="J42" s="80"/>
      <c r="K42" s="79"/>
      <c r="L42" s="80"/>
      <c r="M42" s="79"/>
      <c r="N42" s="80"/>
      <c r="O42" s="79"/>
      <c r="P42" s="80"/>
      <c r="Q42" s="79"/>
      <c r="R42" s="80"/>
      <c r="S42" s="79"/>
      <c r="T42" s="80"/>
      <c r="U42" s="79"/>
      <c r="V42" s="80"/>
      <c r="W42" s="59"/>
      <c r="X42" s="80"/>
      <c r="Y42" s="79"/>
      <c r="Z42" s="80"/>
      <c r="AA42" s="79"/>
      <c r="AB42" s="80"/>
      <c r="AC42" s="79"/>
      <c r="AD42" s="80"/>
      <c r="AE42" s="79"/>
    </row>
    <row r="43" spans="1:31" x14ac:dyDescent="0.3">
      <c r="A43" s="81"/>
      <c r="B43" s="59"/>
      <c r="C43" s="80">
        <f>$G$2*B44</f>
        <v>147.17363106892446</v>
      </c>
      <c r="D43" s="59"/>
      <c r="E43" s="80">
        <f>$G$2*D44</f>
        <v>147.17363106892452</v>
      </c>
      <c r="F43" s="79"/>
      <c r="G43" s="80"/>
      <c r="H43" s="79"/>
      <c r="I43" s="80"/>
      <c r="J43" s="79"/>
      <c r="K43" s="80"/>
      <c r="L43" s="79"/>
      <c r="M43" s="80"/>
      <c r="N43" s="79"/>
      <c r="O43" s="80"/>
      <c r="P43" s="79"/>
      <c r="Q43" s="80"/>
      <c r="R43" s="79"/>
      <c r="S43" s="80"/>
      <c r="T43" s="79"/>
      <c r="U43" s="80"/>
      <c r="V43" s="59"/>
      <c r="W43" s="80"/>
      <c r="X43" s="79"/>
      <c r="Y43" s="80"/>
      <c r="Z43" s="79"/>
      <c r="AA43" s="80"/>
      <c r="AB43" s="79"/>
      <c r="AC43" s="80"/>
      <c r="AD43" s="79"/>
      <c r="AE43" s="80"/>
    </row>
    <row r="44" spans="1:31" x14ac:dyDescent="0.3">
      <c r="A44" s="81"/>
      <c r="B44" s="80">
        <f>$G$2*A45</f>
        <v>135.63444947215865</v>
      </c>
      <c r="C44" s="59"/>
      <c r="D44" s="80">
        <f>$G$2*C45</f>
        <v>135.63444947215868</v>
      </c>
      <c r="E44" s="79"/>
      <c r="F44" s="80"/>
      <c r="G44" s="79"/>
      <c r="H44" s="80"/>
      <c r="I44" s="79"/>
      <c r="J44" s="80"/>
      <c r="K44" s="79"/>
      <c r="L44" s="80"/>
      <c r="M44" s="79"/>
      <c r="N44" s="80"/>
      <c r="O44" s="79"/>
      <c r="P44" s="80"/>
      <c r="Q44" s="79"/>
      <c r="R44" s="80"/>
      <c r="S44" s="79"/>
      <c r="T44" s="80"/>
      <c r="U44" s="59"/>
      <c r="V44" s="80"/>
      <c r="W44" s="79"/>
      <c r="X44" s="80"/>
      <c r="Y44" s="79"/>
      <c r="Z44" s="80"/>
      <c r="AA44" s="79"/>
      <c r="AB44" s="80"/>
      <c r="AC44" s="79"/>
      <c r="AD44" s="80"/>
      <c r="AE44" s="79"/>
    </row>
    <row r="45" spans="1:31" x14ac:dyDescent="0.3">
      <c r="A45" s="81">
        <f>B1</f>
        <v>125</v>
      </c>
      <c r="B45" s="59"/>
      <c r="C45" s="80">
        <f>$G$2*B46</f>
        <v>125.00000000000001</v>
      </c>
      <c r="D45" s="59"/>
      <c r="E45" s="80">
        <f>$G$2*D46</f>
        <v>125.00000000000003</v>
      </c>
      <c r="F45" s="79"/>
      <c r="G45" s="80"/>
      <c r="H45" s="79"/>
      <c r="I45" s="80"/>
      <c r="J45" s="79"/>
      <c r="K45" s="80"/>
      <c r="L45" s="79"/>
      <c r="M45" s="80"/>
      <c r="N45" s="79"/>
      <c r="O45" s="80"/>
      <c r="P45" s="79"/>
      <c r="Q45" s="80"/>
      <c r="R45" s="79"/>
      <c r="S45" s="80"/>
      <c r="T45" s="59"/>
      <c r="U45" s="80"/>
      <c r="V45" s="79"/>
      <c r="W45" s="80"/>
      <c r="X45" s="79"/>
      <c r="Y45" s="80"/>
      <c r="Z45" s="79"/>
      <c r="AA45" s="80"/>
      <c r="AB45" s="79"/>
      <c r="AC45" s="80"/>
      <c r="AD45" s="79"/>
      <c r="AE45" s="80"/>
    </row>
    <row r="46" spans="1:31" x14ac:dyDescent="0.3">
      <c r="A46" s="81"/>
      <c r="B46" s="59">
        <f>A45*$G$3</f>
        <v>115.19934692703055</v>
      </c>
      <c r="C46" s="59"/>
      <c r="D46" s="80">
        <f>$G$2*C47</f>
        <v>115.19934692703056</v>
      </c>
      <c r="E46" s="79"/>
      <c r="F46" s="80"/>
      <c r="G46" s="79"/>
      <c r="H46" s="80"/>
      <c r="I46" s="79"/>
      <c r="J46" s="80"/>
      <c r="K46" s="79"/>
      <c r="L46" s="80"/>
      <c r="M46" s="79"/>
      <c r="N46" s="80"/>
      <c r="O46" s="79"/>
      <c r="P46" s="80"/>
      <c r="Q46" s="79"/>
      <c r="R46" s="80"/>
      <c r="S46" s="59"/>
      <c r="T46" s="80"/>
      <c r="U46" s="79"/>
      <c r="V46" s="80"/>
      <c r="W46" s="79"/>
      <c r="X46" s="80"/>
      <c r="Y46" s="79"/>
      <c r="Z46" s="80"/>
      <c r="AA46" s="79"/>
      <c r="AB46" s="80"/>
      <c r="AC46" s="59"/>
      <c r="AD46" s="80"/>
      <c r="AE46" s="59"/>
    </row>
    <row r="47" spans="1:31" x14ac:dyDescent="0.3">
      <c r="A47" s="81"/>
      <c r="B47" s="59"/>
      <c r="C47" s="59">
        <f>B46*$G$3</f>
        <v>106.16711625931474</v>
      </c>
      <c r="D47" s="59"/>
      <c r="E47" s="80">
        <f>$G$2*D48</f>
        <v>106.16711625931474</v>
      </c>
      <c r="F47" s="79"/>
      <c r="G47" s="80"/>
      <c r="H47" s="79"/>
      <c r="I47" s="80"/>
      <c r="J47" s="79"/>
      <c r="K47" s="80"/>
      <c r="L47" s="79"/>
      <c r="M47" s="80"/>
      <c r="N47" s="79"/>
      <c r="O47" s="80"/>
      <c r="P47" s="79"/>
      <c r="Q47" s="80"/>
      <c r="R47" s="59"/>
      <c r="S47" s="80"/>
      <c r="T47" s="79"/>
      <c r="U47" s="80"/>
      <c r="V47" s="79"/>
      <c r="W47" s="80"/>
      <c r="X47" s="79"/>
      <c r="Y47" s="80"/>
      <c r="Z47" s="79"/>
      <c r="AA47" s="80"/>
      <c r="AB47" s="59"/>
      <c r="AC47" s="80"/>
      <c r="AD47" s="59"/>
      <c r="AE47" s="80"/>
    </row>
    <row r="48" spans="1:31" x14ac:dyDescent="0.3">
      <c r="A48" s="81"/>
      <c r="B48" s="59"/>
      <c r="C48" s="59"/>
      <c r="D48" s="59">
        <f>C47*$G$3</f>
        <v>97.843059665593472</v>
      </c>
      <c r="E48" s="80"/>
      <c r="F48" s="80"/>
      <c r="G48" s="79"/>
      <c r="H48" s="80"/>
      <c r="I48" s="79"/>
      <c r="J48" s="80"/>
      <c r="K48" s="79"/>
      <c r="L48" s="80"/>
      <c r="M48" s="79"/>
      <c r="N48" s="80"/>
      <c r="O48" s="79"/>
      <c r="P48" s="80"/>
      <c r="Q48" s="59"/>
      <c r="R48" s="80"/>
      <c r="S48" s="79"/>
      <c r="T48" s="80"/>
      <c r="U48" s="79"/>
      <c r="V48" s="80"/>
      <c r="W48" s="79"/>
      <c r="X48" s="80"/>
      <c r="Y48" s="79"/>
      <c r="Z48" s="80"/>
      <c r="AA48" s="59"/>
      <c r="AB48" s="80"/>
      <c r="AC48" s="79"/>
      <c r="AD48" s="80"/>
      <c r="AE48" s="79"/>
    </row>
    <row r="49" spans="1:31" x14ac:dyDescent="0.3">
      <c r="A49" s="59"/>
      <c r="B49" s="59"/>
      <c r="C49" s="59"/>
      <c r="D49" s="59"/>
      <c r="E49" s="59">
        <f>D48*$G$3</f>
        <v>90.171652598550807</v>
      </c>
      <c r="F49" s="59"/>
      <c r="G49" s="80"/>
      <c r="H49" s="79"/>
      <c r="I49" s="80"/>
      <c r="J49" s="79"/>
      <c r="K49" s="80"/>
      <c r="L49" s="79"/>
      <c r="M49" s="80"/>
      <c r="N49" s="79"/>
      <c r="O49" s="80"/>
      <c r="P49" s="59"/>
      <c r="Q49" s="80"/>
      <c r="R49" s="79"/>
      <c r="S49" s="80"/>
      <c r="T49" s="79"/>
      <c r="U49" s="80"/>
      <c r="V49" s="79"/>
      <c r="W49" s="80"/>
      <c r="X49" s="79"/>
      <c r="Y49" s="80"/>
      <c r="Z49" s="59"/>
      <c r="AA49" s="80"/>
      <c r="AB49" s="79"/>
      <c r="AC49" s="80"/>
      <c r="AD49" s="79"/>
      <c r="AE49" s="80"/>
    </row>
    <row r="50" spans="1:31" x14ac:dyDescent="0.3">
      <c r="A50" s="59"/>
      <c r="B50" s="59"/>
      <c r="C50" s="59"/>
      <c r="D50" s="59"/>
      <c r="E50" s="80"/>
      <c r="F50" s="59"/>
      <c r="G50" s="59"/>
      <c r="H50" s="80"/>
      <c r="I50" s="79"/>
      <c r="J50" s="80"/>
      <c r="K50" s="79"/>
      <c r="L50" s="80"/>
      <c r="M50" s="79"/>
      <c r="N50" s="80"/>
      <c r="O50" s="59"/>
      <c r="P50" s="80"/>
      <c r="Q50" s="79"/>
      <c r="R50" s="80"/>
      <c r="S50" s="79"/>
      <c r="T50" s="80"/>
      <c r="U50" s="79"/>
      <c r="V50" s="80"/>
      <c r="W50" s="79"/>
      <c r="X50" s="80"/>
      <c r="Y50" s="59"/>
      <c r="Z50" s="80"/>
      <c r="AA50" s="79"/>
      <c r="AB50" s="80"/>
      <c r="AC50" s="79"/>
      <c r="AD50" s="80"/>
      <c r="AE50" s="79"/>
    </row>
    <row r="51" spans="1:31" x14ac:dyDescent="0.3">
      <c r="A51" s="59"/>
      <c r="B51" s="59"/>
      <c r="C51" s="59"/>
      <c r="D51" s="59"/>
      <c r="E51" s="80"/>
      <c r="F51" s="59"/>
      <c r="G51" s="59"/>
      <c r="H51" s="59"/>
      <c r="I51" s="80"/>
      <c r="J51" s="79"/>
      <c r="K51" s="80"/>
      <c r="L51" s="79"/>
      <c r="M51" s="80"/>
      <c r="N51" s="59"/>
      <c r="O51" s="80"/>
      <c r="P51" s="79"/>
      <c r="Q51" s="80"/>
      <c r="R51" s="79"/>
      <c r="S51" s="80"/>
      <c r="T51" s="79"/>
      <c r="U51" s="80"/>
      <c r="V51" s="79"/>
      <c r="W51" s="80"/>
      <c r="X51" s="59"/>
      <c r="Y51" s="80"/>
      <c r="Z51" s="79"/>
      <c r="AA51" s="80"/>
      <c r="AB51" s="79"/>
      <c r="AC51" s="80"/>
      <c r="AD51" s="79"/>
      <c r="AE51" s="80"/>
    </row>
    <row r="52" spans="1:31" x14ac:dyDescent="0.3">
      <c r="A52" s="59"/>
      <c r="B52" s="59"/>
      <c r="C52" s="59"/>
      <c r="D52" s="59"/>
      <c r="E52" s="80"/>
      <c r="F52" s="59"/>
      <c r="G52" s="59"/>
      <c r="H52" s="59"/>
      <c r="I52" s="59"/>
      <c r="J52" s="80"/>
      <c r="K52" s="79"/>
      <c r="L52" s="80"/>
      <c r="M52" s="59"/>
      <c r="N52" s="80"/>
      <c r="O52" s="79"/>
      <c r="P52" s="80"/>
      <c r="Q52" s="79"/>
      <c r="R52" s="80"/>
      <c r="S52" s="79"/>
      <c r="T52" s="80"/>
      <c r="U52" s="79"/>
      <c r="V52" s="80"/>
      <c r="W52" s="59"/>
      <c r="X52" s="80"/>
      <c r="Y52" s="79"/>
      <c r="Z52" s="80"/>
      <c r="AA52" s="79"/>
      <c r="AB52" s="80"/>
      <c r="AC52" s="79"/>
      <c r="AD52" s="80"/>
      <c r="AE52" s="79"/>
    </row>
    <row r="53" spans="1:31" x14ac:dyDescent="0.3">
      <c r="A53" s="59"/>
      <c r="B53" s="59"/>
      <c r="C53" s="59"/>
      <c r="D53" s="59"/>
      <c r="E53" s="80"/>
      <c r="F53" s="59"/>
      <c r="G53" s="59"/>
      <c r="H53" s="59"/>
      <c r="I53" s="59"/>
      <c r="J53" s="59"/>
      <c r="K53" s="80"/>
      <c r="L53" s="59"/>
      <c r="M53" s="80"/>
      <c r="N53" s="79"/>
      <c r="O53" s="80"/>
      <c r="P53" s="79"/>
      <c r="Q53" s="80"/>
      <c r="R53" s="79"/>
      <c r="S53" s="80"/>
      <c r="T53" s="79"/>
      <c r="U53" s="80"/>
      <c r="V53" s="59"/>
      <c r="W53" s="80"/>
      <c r="X53" s="79"/>
      <c r="Y53" s="80"/>
      <c r="Z53" s="79"/>
      <c r="AA53" s="80"/>
      <c r="AB53" s="79"/>
      <c r="AC53" s="80"/>
      <c r="AD53" s="79"/>
      <c r="AE53" s="80"/>
    </row>
    <row r="54" spans="1:31" x14ac:dyDescent="0.3">
      <c r="A54" s="59"/>
      <c r="B54" s="59"/>
      <c r="C54" s="59"/>
      <c r="D54" s="59"/>
      <c r="E54" s="80"/>
      <c r="F54" s="59"/>
      <c r="G54" s="59"/>
      <c r="H54" s="59"/>
      <c r="I54" s="59"/>
      <c r="J54" s="59"/>
      <c r="K54" s="59"/>
      <c r="L54" s="80"/>
      <c r="M54" s="79"/>
      <c r="N54" s="80"/>
      <c r="O54" s="79"/>
      <c r="P54" s="80"/>
      <c r="Q54" s="79"/>
      <c r="R54" s="80"/>
      <c r="S54" s="79"/>
      <c r="T54" s="80"/>
      <c r="U54" s="59"/>
      <c r="V54" s="80"/>
      <c r="W54" s="79"/>
      <c r="X54" s="80"/>
      <c r="Y54" s="79"/>
      <c r="Z54" s="80"/>
      <c r="AA54" s="79"/>
      <c r="AB54" s="80"/>
      <c r="AC54" s="79"/>
      <c r="AD54" s="80"/>
      <c r="AE54" s="79"/>
    </row>
    <row r="55" spans="1:31" x14ac:dyDescent="0.3">
      <c r="A55" s="59"/>
      <c r="B55" s="59"/>
      <c r="C55" s="59"/>
      <c r="D55" s="59"/>
      <c r="E55" s="80"/>
      <c r="F55" s="59"/>
      <c r="G55" s="59"/>
      <c r="H55" s="59"/>
      <c r="I55" s="59"/>
      <c r="J55" s="59"/>
      <c r="K55" s="59"/>
      <c r="L55" s="59"/>
      <c r="M55" s="80"/>
      <c r="N55" s="79"/>
      <c r="O55" s="80"/>
      <c r="P55" s="79"/>
      <c r="Q55" s="80"/>
      <c r="R55" s="79"/>
      <c r="S55" s="80"/>
      <c r="T55" s="59"/>
      <c r="U55" s="80"/>
      <c r="V55" s="79"/>
      <c r="W55" s="80"/>
      <c r="X55" s="79"/>
      <c r="Y55" s="80"/>
      <c r="Z55" s="79"/>
      <c r="AA55" s="80"/>
      <c r="AB55" s="79"/>
      <c r="AC55" s="80"/>
      <c r="AD55" s="79"/>
      <c r="AE55" s="80"/>
    </row>
    <row r="56" spans="1:31" x14ac:dyDescent="0.3">
      <c r="A56" s="59"/>
      <c r="B56" s="59"/>
      <c r="C56" s="59"/>
      <c r="D56" s="59"/>
      <c r="E56" s="80"/>
      <c r="F56" s="59"/>
      <c r="G56" s="59"/>
      <c r="H56" s="59"/>
      <c r="I56" s="59"/>
      <c r="J56" s="59"/>
      <c r="K56" s="59"/>
      <c r="L56" s="59"/>
      <c r="M56" s="59"/>
      <c r="N56" s="80"/>
      <c r="O56" s="79"/>
      <c r="P56" s="80"/>
      <c r="Q56" s="79"/>
      <c r="R56" s="80"/>
      <c r="S56" s="59"/>
      <c r="T56" s="80"/>
      <c r="U56" s="79"/>
      <c r="V56" s="80"/>
      <c r="W56" s="79"/>
      <c r="X56" s="80"/>
      <c r="Y56" s="79"/>
      <c r="Z56" s="80"/>
      <c r="AA56" s="79"/>
      <c r="AB56" s="80"/>
      <c r="AC56" s="59"/>
      <c r="AD56" s="80"/>
      <c r="AE56" s="59"/>
    </row>
    <row r="57" spans="1:31" x14ac:dyDescent="0.3">
      <c r="A57" s="59"/>
      <c r="B57" s="59"/>
      <c r="C57" s="59"/>
      <c r="D57" s="59"/>
      <c r="E57" s="80"/>
      <c r="F57" s="59"/>
      <c r="G57" s="59"/>
      <c r="H57" s="59"/>
      <c r="I57" s="59"/>
      <c r="J57" s="59"/>
      <c r="K57" s="59"/>
      <c r="L57" s="59"/>
      <c r="M57" s="59"/>
      <c r="N57" s="59"/>
      <c r="O57" s="80"/>
      <c r="P57" s="79"/>
      <c r="Q57" s="80"/>
      <c r="R57" s="59"/>
      <c r="S57" s="80"/>
      <c r="T57" s="79"/>
      <c r="U57" s="80"/>
      <c r="V57" s="79"/>
      <c r="W57" s="80"/>
      <c r="X57" s="79"/>
      <c r="Y57" s="80"/>
      <c r="Z57" s="79"/>
      <c r="AA57" s="80"/>
      <c r="AB57" s="59"/>
      <c r="AC57" s="80"/>
      <c r="AD57" s="59"/>
      <c r="AE57" s="80"/>
    </row>
    <row r="58" spans="1:31" x14ac:dyDescent="0.3">
      <c r="A58" s="59"/>
      <c r="B58" s="59"/>
      <c r="C58" s="59"/>
      <c r="D58" s="59"/>
      <c r="E58" s="80"/>
      <c r="F58" s="59"/>
      <c r="G58" s="59"/>
      <c r="H58" s="59"/>
      <c r="I58" s="59"/>
      <c r="J58" s="59"/>
      <c r="K58" s="59"/>
      <c r="L58" s="59"/>
      <c r="M58" s="59"/>
      <c r="N58" s="59"/>
      <c r="O58" s="59"/>
      <c r="P58" s="80"/>
      <c r="Q58" s="59"/>
      <c r="R58" s="80"/>
      <c r="S58" s="79"/>
      <c r="T58" s="80"/>
      <c r="U58" s="79"/>
      <c r="V58" s="80"/>
      <c r="W58" s="79"/>
      <c r="X58" s="80"/>
      <c r="Y58" s="79"/>
      <c r="Z58" s="80"/>
      <c r="AA58" s="59"/>
      <c r="AB58" s="80"/>
      <c r="AC58" s="79"/>
      <c r="AD58" s="80"/>
      <c r="AE58" s="79"/>
    </row>
    <row r="59" spans="1:31" x14ac:dyDescent="0.3">
      <c r="A59" s="59"/>
      <c r="B59" s="59"/>
      <c r="C59" s="59"/>
      <c r="D59" s="59"/>
      <c r="E59" s="80"/>
      <c r="F59" s="59"/>
      <c r="G59" s="59"/>
      <c r="H59" s="59"/>
      <c r="I59" s="59"/>
      <c r="J59" s="59"/>
      <c r="K59" s="59"/>
      <c r="L59" s="59"/>
      <c r="M59" s="59"/>
      <c r="N59" s="59"/>
      <c r="O59" s="59"/>
      <c r="P59" s="59"/>
      <c r="Q59" s="80"/>
      <c r="R59" s="79"/>
      <c r="S59" s="80"/>
      <c r="T59" s="79"/>
      <c r="U59" s="80"/>
      <c r="V59" s="79"/>
      <c r="W59" s="80"/>
      <c r="X59" s="79"/>
      <c r="Y59" s="80"/>
      <c r="Z59" s="59"/>
      <c r="AA59" s="80"/>
      <c r="AB59" s="79"/>
      <c r="AC59" s="80"/>
      <c r="AD59" s="79"/>
      <c r="AE59" s="80"/>
    </row>
    <row r="60" spans="1:31" x14ac:dyDescent="0.3">
      <c r="A60" s="59"/>
      <c r="B60" s="59"/>
      <c r="C60" s="59"/>
      <c r="D60" s="59"/>
      <c r="E60" s="80"/>
      <c r="F60" s="59"/>
      <c r="G60" s="59"/>
      <c r="H60" s="59"/>
      <c r="I60" s="59"/>
      <c r="J60" s="59"/>
      <c r="K60" s="59"/>
      <c r="L60" s="59"/>
      <c r="M60" s="59"/>
      <c r="N60" s="59"/>
      <c r="O60" s="59"/>
      <c r="P60" s="59"/>
      <c r="Q60" s="59"/>
      <c r="R60" s="80"/>
      <c r="S60" s="79"/>
      <c r="T60" s="80"/>
      <c r="U60" s="79"/>
      <c r="V60" s="80"/>
      <c r="W60" s="79"/>
      <c r="X60" s="80"/>
      <c r="Y60" s="59"/>
      <c r="Z60" s="80"/>
      <c r="AA60" s="79"/>
      <c r="AB60" s="80"/>
      <c r="AC60" s="79"/>
      <c r="AD60" s="80"/>
      <c r="AE60" s="79"/>
    </row>
    <row r="61" spans="1:31" x14ac:dyDescent="0.3">
      <c r="A61" s="59"/>
      <c r="B61" s="59"/>
      <c r="C61" s="59"/>
      <c r="D61" s="59"/>
      <c r="E61" s="80"/>
      <c r="F61" s="59"/>
      <c r="G61" s="59"/>
      <c r="H61" s="59"/>
      <c r="I61" s="59"/>
      <c r="J61" s="59"/>
      <c r="K61" s="59"/>
      <c r="L61" s="59"/>
      <c r="M61" s="59"/>
      <c r="N61" s="59"/>
      <c r="O61" s="59"/>
      <c r="P61" s="59"/>
      <c r="Q61" s="59"/>
      <c r="R61" s="59"/>
      <c r="S61" s="80"/>
      <c r="T61" s="79"/>
      <c r="U61" s="80"/>
      <c r="V61" s="79"/>
      <c r="W61" s="80"/>
      <c r="X61" s="59"/>
      <c r="Y61" s="80"/>
      <c r="Z61" s="79"/>
      <c r="AA61" s="80"/>
      <c r="AB61" s="79"/>
      <c r="AC61" s="80"/>
      <c r="AD61" s="79"/>
      <c r="AE61" s="80"/>
    </row>
    <row r="62" spans="1:31" x14ac:dyDescent="0.3">
      <c r="A62" s="59"/>
      <c r="B62" s="59"/>
      <c r="C62" s="59"/>
      <c r="D62" s="59"/>
      <c r="E62" s="80"/>
      <c r="F62" s="59"/>
      <c r="G62" s="59"/>
      <c r="H62" s="59"/>
      <c r="I62" s="59"/>
      <c r="J62" s="59"/>
      <c r="K62" s="59"/>
      <c r="L62" s="59"/>
      <c r="M62" s="59"/>
      <c r="N62" s="59"/>
      <c r="O62" s="59"/>
      <c r="P62" s="59"/>
      <c r="Q62" s="59"/>
      <c r="R62" s="59"/>
      <c r="S62" s="59"/>
      <c r="T62" s="80"/>
      <c r="U62" s="79"/>
      <c r="V62" s="80"/>
      <c r="W62" s="59"/>
      <c r="X62" s="80"/>
      <c r="Y62" s="79"/>
      <c r="Z62" s="80"/>
      <c r="AA62" s="79"/>
      <c r="AB62" s="80"/>
      <c r="AC62" s="79"/>
      <c r="AD62" s="80"/>
      <c r="AE62" s="79"/>
    </row>
    <row r="63" spans="1:31" x14ac:dyDescent="0.3">
      <c r="A63" s="59"/>
      <c r="B63" s="59"/>
      <c r="C63" s="59"/>
      <c r="D63" s="59"/>
      <c r="E63" s="80"/>
      <c r="F63" s="59"/>
      <c r="G63" s="59"/>
      <c r="H63" s="59"/>
      <c r="I63" s="59"/>
      <c r="J63" s="59"/>
      <c r="K63" s="59"/>
      <c r="L63" s="59"/>
      <c r="M63" s="59"/>
      <c r="N63" s="59"/>
      <c r="O63" s="59"/>
      <c r="P63" s="59"/>
      <c r="Q63" s="59"/>
      <c r="R63" s="59"/>
      <c r="S63" s="59"/>
      <c r="T63" s="59"/>
      <c r="U63" s="80"/>
      <c r="V63" s="59"/>
      <c r="W63" s="80"/>
      <c r="X63" s="79"/>
      <c r="Y63" s="80"/>
      <c r="Z63" s="79"/>
      <c r="AA63" s="80"/>
      <c r="AB63" s="79"/>
      <c r="AC63" s="80"/>
      <c r="AD63" s="79"/>
      <c r="AE63" s="80"/>
    </row>
    <row r="64" spans="1:31" x14ac:dyDescent="0.3">
      <c r="A64" s="59"/>
      <c r="B64" s="59"/>
      <c r="C64" s="59"/>
      <c r="D64" s="59"/>
      <c r="E64" s="80"/>
      <c r="F64" s="59"/>
      <c r="G64" s="59"/>
      <c r="H64" s="59"/>
      <c r="I64" s="59"/>
      <c r="J64" s="59"/>
      <c r="K64" s="59"/>
      <c r="L64" s="59"/>
      <c r="M64" s="59"/>
      <c r="N64" s="59"/>
      <c r="O64" s="59"/>
      <c r="P64" s="59"/>
      <c r="Q64" s="59"/>
      <c r="R64" s="59"/>
      <c r="S64" s="59"/>
      <c r="T64" s="59"/>
      <c r="U64" s="59"/>
      <c r="V64" s="80"/>
      <c r="W64" s="79"/>
      <c r="X64" s="80"/>
      <c r="Y64" s="79"/>
      <c r="Z64" s="80"/>
      <c r="AA64" s="79"/>
      <c r="AB64" s="80"/>
      <c r="AC64" s="79"/>
      <c r="AD64" s="80"/>
      <c r="AE64" s="79"/>
    </row>
    <row r="65" spans="1:31" x14ac:dyDescent="0.3">
      <c r="A65" s="59"/>
      <c r="B65" s="59"/>
      <c r="C65" s="59"/>
      <c r="D65" s="59"/>
      <c r="E65" s="80"/>
      <c r="F65" s="59"/>
      <c r="G65" s="59"/>
      <c r="H65" s="59"/>
      <c r="I65" s="59"/>
      <c r="J65" s="59"/>
      <c r="K65" s="59"/>
      <c r="L65" s="59"/>
      <c r="M65" s="59"/>
      <c r="N65" s="59"/>
      <c r="O65" s="59"/>
      <c r="P65" s="59"/>
      <c r="Q65" s="59"/>
      <c r="R65" s="59"/>
      <c r="S65" s="59"/>
      <c r="T65" s="59"/>
      <c r="U65" s="59"/>
      <c r="V65" s="59"/>
      <c r="W65" s="80"/>
      <c r="X65" s="79"/>
      <c r="Y65" s="80"/>
      <c r="Z65" s="79"/>
      <c r="AA65" s="80"/>
      <c r="AB65" s="79"/>
      <c r="AC65" s="80"/>
      <c r="AD65" s="79"/>
      <c r="AE65" s="80"/>
    </row>
    <row r="66" spans="1:31" x14ac:dyDescent="0.3">
      <c r="A66" s="59"/>
      <c r="B66" s="59"/>
      <c r="C66" s="59"/>
      <c r="D66" s="59"/>
      <c r="E66" s="80"/>
      <c r="F66" s="59"/>
      <c r="G66" s="59"/>
      <c r="H66" s="59"/>
      <c r="I66" s="59"/>
      <c r="J66" s="59"/>
      <c r="K66" s="59"/>
      <c r="L66" s="59"/>
      <c r="M66" s="59"/>
      <c r="N66" s="59"/>
      <c r="O66" s="59"/>
      <c r="P66" s="59"/>
      <c r="Q66" s="59"/>
      <c r="R66" s="59"/>
      <c r="S66" s="59"/>
      <c r="T66" s="59"/>
      <c r="U66" s="59"/>
      <c r="V66" s="59"/>
      <c r="W66" s="59"/>
      <c r="X66" s="80"/>
      <c r="Y66" s="79"/>
      <c r="Z66" s="80"/>
      <c r="AA66" s="79"/>
      <c r="AB66" s="80"/>
      <c r="AC66" s="59"/>
      <c r="AD66" s="80"/>
      <c r="AE66" s="59"/>
    </row>
    <row r="67" spans="1:31" x14ac:dyDescent="0.3">
      <c r="A67" s="59"/>
      <c r="B67" s="59"/>
      <c r="C67" s="59"/>
      <c r="D67" s="59"/>
      <c r="E67" s="80"/>
      <c r="F67" s="59"/>
      <c r="G67" s="59"/>
      <c r="H67" s="59"/>
      <c r="I67" s="59"/>
      <c r="J67" s="59"/>
      <c r="K67" s="59"/>
      <c r="L67" s="59"/>
      <c r="M67" s="59"/>
      <c r="N67" s="59"/>
      <c r="O67" s="59"/>
      <c r="P67" s="59"/>
      <c r="Q67" s="59"/>
      <c r="R67" s="59"/>
      <c r="S67" s="59"/>
      <c r="T67" s="59"/>
      <c r="U67" s="59"/>
      <c r="V67" s="59"/>
      <c r="W67" s="59"/>
      <c r="X67" s="59"/>
      <c r="Y67" s="80"/>
      <c r="Z67" s="79"/>
      <c r="AA67" s="80"/>
      <c r="AB67" s="59"/>
      <c r="AC67" s="80"/>
      <c r="AD67" s="59"/>
      <c r="AE67" s="80"/>
    </row>
    <row r="68" spans="1:31" x14ac:dyDescent="0.3">
      <c r="A68" s="59"/>
      <c r="B68" s="59"/>
      <c r="C68" s="59"/>
      <c r="D68" s="59"/>
      <c r="E68" s="80"/>
      <c r="F68" s="59"/>
      <c r="G68" s="59"/>
      <c r="H68" s="59"/>
      <c r="I68" s="59"/>
      <c r="J68" s="59"/>
      <c r="K68" s="59"/>
      <c r="L68" s="59"/>
      <c r="M68" s="59"/>
      <c r="N68" s="59"/>
      <c r="O68" s="59"/>
      <c r="P68" s="59"/>
      <c r="Q68" s="59"/>
      <c r="R68" s="59"/>
      <c r="S68" s="59"/>
      <c r="T68" s="59"/>
      <c r="U68" s="59"/>
      <c r="V68" s="59"/>
      <c r="W68" s="59"/>
      <c r="X68" s="59"/>
      <c r="Y68" s="59"/>
      <c r="Z68" s="80"/>
      <c r="AA68" s="59"/>
      <c r="AB68" s="80"/>
      <c r="AC68" s="79"/>
      <c r="AD68" s="80"/>
      <c r="AE68" s="79"/>
    </row>
    <row r="69" spans="1:31" x14ac:dyDescent="0.3">
      <c r="A69" s="59"/>
      <c r="B69" s="59"/>
      <c r="C69" s="59"/>
      <c r="D69" s="59"/>
      <c r="E69" s="80"/>
      <c r="F69" s="59"/>
      <c r="G69" s="59"/>
      <c r="H69" s="59"/>
      <c r="I69" s="59"/>
      <c r="J69" s="59"/>
      <c r="K69" s="59"/>
      <c r="L69" s="59"/>
      <c r="M69" s="59"/>
      <c r="N69" s="59"/>
      <c r="O69" s="59"/>
      <c r="P69" s="59"/>
      <c r="Q69" s="59"/>
      <c r="R69" s="59"/>
      <c r="S69" s="59"/>
      <c r="T69" s="59"/>
      <c r="U69" s="59"/>
      <c r="V69" s="59"/>
      <c r="W69" s="59"/>
      <c r="X69" s="59"/>
      <c r="Y69" s="59"/>
      <c r="Z69" s="59"/>
      <c r="AA69" s="80"/>
      <c r="AB69" s="79"/>
      <c r="AC69" s="80"/>
      <c r="AD69" s="79"/>
      <c r="AE69" s="80"/>
    </row>
    <row r="70" spans="1:31" x14ac:dyDescent="0.3">
      <c r="A70" s="59"/>
      <c r="B70" s="59"/>
      <c r="C70" s="59"/>
      <c r="D70" s="59"/>
      <c r="E70" s="80"/>
      <c r="F70" s="59"/>
      <c r="G70" s="59"/>
      <c r="H70" s="59"/>
      <c r="I70" s="59"/>
      <c r="J70" s="59"/>
      <c r="K70" s="59"/>
      <c r="L70" s="59"/>
      <c r="M70" s="59"/>
      <c r="N70" s="59"/>
      <c r="O70" s="59"/>
      <c r="P70" s="59"/>
      <c r="Q70" s="59"/>
      <c r="R70" s="59"/>
      <c r="S70" s="59"/>
      <c r="T70" s="59"/>
      <c r="U70" s="59"/>
      <c r="V70" s="59"/>
      <c r="W70" s="59"/>
      <c r="X70" s="59"/>
      <c r="Y70" s="59"/>
      <c r="Z70" s="59"/>
      <c r="AA70" s="59"/>
      <c r="AB70" s="80"/>
      <c r="AC70" s="79"/>
      <c r="AD70" s="80"/>
      <c r="AE70" s="79"/>
    </row>
    <row r="71" spans="1:31" x14ac:dyDescent="0.3">
      <c r="A71" s="59"/>
      <c r="B71" s="59"/>
      <c r="C71" s="59"/>
      <c r="D71" s="59"/>
      <c r="E71" s="80"/>
      <c r="F71" s="59"/>
      <c r="G71" s="59"/>
      <c r="H71" s="59"/>
      <c r="I71" s="59"/>
      <c r="J71" s="59"/>
      <c r="K71" s="59"/>
      <c r="L71" s="59"/>
      <c r="M71" s="59"/>
      <c r="N71" s="59"/>
      <c r="O71" s="59"/>
      <c r="P71" s="59"/>
      <c r="Q71" s="59"/>
      <c r="R71" s="59"/>
      <c r="S71" s="59"/>
      <c r="T71" s="59"/>
      <c r="U71" s="59"/>
      <c r="V71" s="59"/>
      <c r="W71" s="59"/>
      <c r="X71" s="59"/>
      <c r="Y71" s="59"/>
      <c r="Z71" s="59"/>
      <c r="AA71" s="59"/>
      <c r="AB71" s="59"/>
      <c r="AC71" s="80"/>
      <c r="AD71" s="79"/>
      <c r="AE71" s="80"/>
    </row>
    <row r="72" spans="1:31" x14ac:dyDescent="0.3">
      <c r="A72" s="59"/>
      <c r="B72" s="59"/>
      <c r="C72" s="59"/>
      <c r="D72" s="59"/>
      <c r="E72" s="80"/>
      <c r="F72" s="59"/>
      <c r="G72" s="59"/>
      <c r="H72" s="59"/>
      <c r="I72" s="59"/>
      <c r="J72" s="59"/>
      <c r="K72" s="59"/>
      <c r="L72" s="59"/>
      <c r="M72" s="59"/>
      <c r="N72" s="59"/>
      <c r="O72" s="59"/>
      <c r="P72" s="59"/>
      <c r="Q72" s="59"/>
      <c r="R72" s="59"/>
      <c r="S72" s="59"/>
      <c r="T72" s="59"/>
      <c r="U72" s="59"/>
      <c r="V72" s="59"/>
      <c r="W72" s="59"/>
      <c r="X72" s="59"/>
      <c r="Y72" s="59"/>
      <c r="Z72" s="59"/>
      <c r="AA72" s="59"/>
      <c r="AB72" s="59"/>
      <c r="AC72" s="59"/>
      <c r="AD72" s="80"/>
      <c r="AE72" s="79"/>
    </row>
    <row r="73" spans="1:31" x14ac:dyDescent="0.3">
      <c r="A73" s="59"/>
      <c r="B73" s="59"/>
      <c r="C73" s="59"/>
      <c r="D73" s="59"/>
      <c r="E73" s="80"/>
      <c r="F73" s="59"/>
      <c r="G73" s="59"/>
      <c r="H73" s="59"/>
      <c r="I73" s="59"/>
      <c r="J73" s="59"/>
      <c r="K73" s="59"/>
      <c r="L73" s="59"/>
      <c r="M73" s="59"/>
      <c r="N73" s="59"/>
      <c r="O73" s="59"/>
      <c r="P73" s="59"/>
      <c r="Q73" s="59"/>
      <c r="R73" s="59"/>
      <c r="S73" s="59"/>
      <c r="T73" s="59"/>
      <c r="U73" s="59"/>
      <c r="V73" s="59"/>
      <c r="W73" s="59"/>
      <c r="X73" s="59"/>
      <c r="Y73" s="59"/>
      <c r="Z73" s="59"/>
      <c r="AA73" s="59"/>
      <c r="AB73" s="59"/>
      <c r="AC73" s="59"/>
      <c r="AD73" s="79"/>
      <c r="AE73" s="80"/>
    </row>
    <row r="74" spans="1:31" x14ac:dyDescent="0.3">
      <c r="A74" s="59"/>
      <c r="B74" s="59"/>
      <c r="C74" s="59"/>
      <c r="D74" s="59"/>
      <c r="E74" s="80"/>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c r="AE74" s="79"/>
    </row>
    <row r="75" spans="1:31" x14ac:dyDescent="0.3">
      <c r="A75" s="59"/>
      <c r="B75" s="59"/>
      <c r="C75" s="59"/>
      <c r="D75" s="59"/>
      <c r="E75" s="80"/>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row>
    <row r="76" spans="1:31" x14ac:dyDescent="0.3">
      <c r="A76" s="82"/>
      <c r="B76" s="82"/>
      <c r="C76" s="82"/>
      <c r="D76" s="82"/>
      <c r="E76" s="83"/>
      <c r="F76" s="8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row>
    <row r="77" spans="1:31" x14ac:dyDescent="0.3">
      <c r="A77" s="81"/>
      <c r="B77" s="59"/>
      <c r="C77" s="59"/>
      <c r="D77" s="59"/>
      <c r="E77" s="59"/>
      <c r="F77" s="59"/>
      <c r="G77" s="80"/>
      <c r="H77" s="59"/>
      <c r="I77" s="59"/>
      <c r="J77" s="59"/>
      <c r="K77" s="59"/>
      <c r="L77" s="59"/>
      <c r="M77" s="59"/>
      <c r="N77" s="59"/>
      <c r="O77" s="59"/>
      <c r="P77" s="59"/>
      <c r="Q77" s="59"/>
      <c r="R77" s="59"/>
      <c r="S77" s="59"/>
      <c r="T77" s="59"/>
      <c r="U77" s="59"/>
      <c r="V77" s="59"/>
      <c r="W77" s="59"/>
      <c r="X77" s="59"/>
      <c r="Y77" s="59"/>
      <c r="Z77" s="59"/>
      <c r="AA77" s="59"/>
      <c r="AB77" s="59"/>
      <c r="AC77" s="59"/>
      <c r="AD77" s="59"/>
      <c r="AE77" s="59"/>
    </row>
    <row r="78" spans="1:31" x14ac:dyDescent="0.3">
      <c r="A78" s="81"/>
      <c r="B78" s="59"/>
      <c r="C78" s="59"/>
      <c r="D78" s="59"/>
      <c r="E78" s="59"/>
      <c r="F78" s="59"/>
      <c r="G78" s="80"/>
      <c r="H78" s="59"/>
      <c r="I78" s="59"/>
      <c r="J78" s="59"/>
      <c r="K78" s="59"/>
      <c r="L78" s="59"/>
      <c r="M78" s="59"/>
      <c r="N78" s="59"/>
      <c r="O78" s="59"/>
      <c r="P78" s="59"/>
      <c r="Q78" s="59"/>
      <c r="R78" s="59"/>
      <c r="S78" s="59"/>
      <c r="T78" s="59"/>
      <c r="U78" s="59"/>
      <c r="V78" s="59"/>
      <c r="W78" s="59"/>
      <c r="X78" s="59"/>
      <c r="Y78" s="59"/>
      <c r="Z78" s="59"/>
      <c r="AA78" s="59"/>
      <c r="AB78" s="59"/>
      <c r="AC78" s="59"/>
      <c r="AD78" s="59"/>
      <c r="AE78" s="80">
        <f>MAX($B$2-AE15,0)</f>
        <v>126.67782732554281</v>
      </c>
    </row>
    <row r="79" spans="1:31" x14ac:dyDescent="0.3">
      <c r="A79" s="81"/>
      <c r="B79" s="59"/>
      <c r="C79" s="59"/>
      <c r="D79" s="59"/>
      <c r="E79" s="59"/>
      <c r="F79" s="59"/>
      <c r="G79" s="80"/>
      <c r="H79" s="59"/>
      <c r="I79" s="59"/>
      <c r="J79" s="59"/>
      <c r="K79" s="59"/>
      <c r="L79" s="59"/>
      <c r="M79" s="59"/>
      <c r="N79" s="59"/>
      <c r="O79" s="59"/>
      <c r="P79" s="59"/>
      <c r="Q79" s="59"/>
      <c r="R79" s="59"/>
      <c r="S79" s="59"/>
      <c r="T79" s="59"/>
      <c r="U79" s="59"/>
      <c r="V79" s="59"/>
      <c r="W79" s="59"/>
      <c r="X79" s="59"/>
      <c r="Y79" s="59"/>
      <c r="Z79" s="59"/>
      <c r="AA79" s="59"/>
      <c r="AB79" s="59"/>
      <c r="AC79" s="59"/>
      <c r="AD79" s="80"/>
      <c r="AE79" s="59"/>
    </row>
    <row r="80" spans="1:31" x14ac:dyDescent="0.3">
      <c r="A80" s="81"/>
      <c r="B80" s="59"/>
      <c r="C80" s="59"/>
      <c r="D80" s="59"/>
      <c r="E80" s="59"/>
      <c r="F80" s="59"/>
      <c r="G80" s="80"/>
      <c r="H80" s="59"/>
      <c r="I80" s="59"/>
      <c r="J80" s="59"/>
      <c r="K80" s="59"/>
      <c r="L80" s="59"/>
      <c r="M80" s="59"/>
      <c r="N80" s="59"/>
      <c r="O80" s="59"/>
      <c r="P80" s="59"/>
      <c r="Q80" s="59"/>
      <c r="R80" s="59"/>
      <c r="S80" s="59"/>
      <c r="T80" s="59"/>
      <c r="U80" s="59"/>
      <c r="V80" s="59"/>
      <c r="W80" s="59"/>
      <c r="X80" s="59"/>
      <c r="Y80" s="59"/>
      <c r="Z80" s="59"/>
      <c r="AA80" s="59"/>
      <c r="AB80" s="59"/>
      <c r="AC80" s="80"/>
      <c r="AD80" s="59"/>
      <c r="AE80" s="80">
        <f>MAX($B$2-AE17,0)</f>
        <v>126.67782732554281</v>
      </c>
    </row>
    <row r="81" spans="1:31" x14ac:dyDescent="0.3">
      <c r="A81" s="81"/>
      <c r="B81" s="59"/>
      <c r="C81" s="59"/>
      <c r="D81" s="59"/>
      <c r="E81" s="59"/>
      <c r="F81" s="59"/>
      <c r="G81" s="80"/>
      <c r="H81" s="59"/>
      <c r="I81" s="59"/>
      <c r="J81" s="59"/>
      <c r="K81" s="59"/>
      <c r="L81" s="59"/>
      <c r="M81" s="59"/>
      <c r="N81" s="59"/>
      <c r="O81" s="59"/>
      <c r="P81" s="59"/>
      <c r="Q81" s="59"/>
      <c r="R81" s="59"/>
      <c r="S81" s="59"/>
      <c r="T81" s="59"/>
      <c r="U81" s="59"/>
      <c r="V81" s="59"/>
      <c r="W81" s="59"/>
      <c r="X81" s="59"/>
      <c r="Y81" s="59"/>
      <c r="Z81" s="59"/>
      <c r="AA81" s="59"/>
      <c r="AB81" s="80"/>
      <c r="AC81" s="59"/>
      <c r="AD81" s="80"/>
      <c r="AE81" s="59"/>
    </row>
    <row r="82" spans="1:31" x14ac:dyDescent="0.3">
      <c r="A82" s="81"/>
      <c r="B82" s="59"/>
      <c r="C82" s="59"/>
      <c r="D82" s="59"/>
      <c r="E82" s="59"/>
      <c r="F82" s="59"/>
      <c r="G82" s="80"/>
      <c r="H82" s="59"/>
      <c r="I82" s="59"/>
      <c r="J82" s="59"/>
      <c r="K82" s="59"/>
      <c r="L82" s="59"/>
      <c r="M82" s="59"/>
      <c r="N82" s="59"/>
      <c r="O82" s="59"/>
      <c r="P82" s="59"/>
      <c r="Q82" s="59"/>
      <c r="R82" s="59"/>
      <c r="S82" s="59"/>
      <c r="T82" s="59"/>
      <c r="U82" s="59"/>
      <c r="V82" s="59"/>
      <c r="W82" s="59"/>
      <c r="X82" s="59"/>
      <c r="Y82" s="59"/>
      <c r="Z82" s="59"/>
      <c r="AA82" s="80"/>
      <c r="AB82" s="59"/>
      <c r="AC82" s="80"/>
      <c r="AD82" s="59"/>
      <c r="AE82" s="80">
        <f>MAX($B$2-AE19,0)</f>
        <v>126.67782732554281</v>
      </c>
    </row>
    <row r="83" spans="1:31" x14ac:dyDescent="0.3">
      <c r="A83" s="81"/>
      <c r="B83" s="59"/>
      <c r="C83" s="59"/>
      <c r="D83" s="59"/>
      <c r="E83" s="59"/>
      <c r="F83" s="59"/>
      <c r="G83" s="80"/>
      <c r="H83" s="59"/>
      <c r="I83" s="59"/>
      <c r="J83" s="59"/>
      <c r="K83" s="59"/>
      <c r="L83" s="59"/>
      <c r="M83" s="59"/>
      <c r="N83" s="59"/>
      <c r="O83" s="59"/>
      <c r="P83" s="59"/>
      <c r="Q83" s="59"/>
      <c r="R83" s="59"/>
      <c r="S83" s="59"/>
      <c r="T83" s="59"/>
      <c r="U83" s="59"/>
      <c r="V83" s="59"/>
      <c r="W83" s="59"/>
      <c r="X83" s="59"/>
      <c r="Y83" s="59"/>
      <c r="Z83" s="80"/>
      <c r="AA83" s="59"/>
      <c r="AB83" s="80"/>
      <c r="AC83" s="59"/>
      <c r="AD83" s="80"/>
      <c r="AE83" s="59"/>
    </row>
    <row r="84" spans="1:31" x14ac:dyDescent="0.3">
      <c r="A84" s="81"/>
      <c r="B84" s="59"/>
      <c r="C84" s="59"/>
      <c r="D84" s="59"/>
      <c r="E84" s="59"/>
      <c r="F84" s="59"/>
      <c r="G84" s="80"/>
      <c r="H84" s="59"/>
      <c r="I84" s="59"/>
      <c r="J84" s="59"/>
      <c r="K84" s="59"/>
      <c r="L84" s="59"/>
      <c r="M84" s="59"/>
      <c r="N84" s="59"/>
      <c r="O84" s="59"/>
      <c r="P84" s="59"/>
      <c r="Q84" s="59"/>
      <c r="R84" s="59"/>
      <c r="S84" s="59"/>
      <c r="T84" s="59"/>
      <c r="U84" s="59"/>
      <c r="V84" s="59"/>
      <c r="W84" s="59"/>
      <c r="X84" s="59"/>
      <c r="Y84" s="80"/>
      <c r="Z84" s="59"/>
      <c r="AA84" s="80"/>
      <c r="AB84" s="59"/>
      <c r="AC84" s="80"/>
      <c r="AD84" s="59"/>
      <c r="AE84" s="80">
        <f>MAX($B$2-AE21,0)</f>
        <v>126.67782732554281</v>
      </c>
    </row>
    <row r="85" spans="1:31" x14ac:dyDescent="0.3">
      <c r="A85" s="81"/>
      <c r="B85" s="59"/>
      <c r="C85" s="59"/>
      <c r="D85" s="59"/>
      <c r="E85" s="59"/>
      <c r="F85" s="59"/>
      <c r="G85" s="80"/>
      <c r="H85" s="59"/>
      <c r="I85" s="59"/>
      <c r="J85" s="59"/>
      <c r="K85" s="59"/>
      <c r="L85" s="59"/>
      <c r="M85" s="59"/>
      <c r="N85" s="59"/>
      <c r="O85" s="59"/>
      <c r="P85" s="59"/>
      <c r="Q85" s="59"/>
      <c r="R85" s="59"/>
      <c r="S85" s="59"/>
      <c r="T85" s="59"/>
      <c r="U85" s="59"/>
      <c r="V85" s="59"/>
      <c r="W85" s="59"/>
      <c r="X85" s="80"/>
      <c r="Y85" s="59"/>
      <c r="Z85" s="80"/>
      <c r="AA85" s="59"/>
      <c r="AB85" s="80"/>
      <c r="AC85" s="59"/>
      <c r="AD85" s="80"/>
      <c r="AE85" s="59"/>
    </row>
    <row r="86" spans="1:31" x14ac:dyDescent="0.3">
      <c r="A86" s="81"/>
      <c r="B86" s="59"/>
      <c r="C86" s="59"/>
      <c r="D86" s="59"/>
      <c r="E86" s="59"/>
      <c r="F86" s="59"/>
      <c r="G86" s="80"/>
      <c r="H86" s="59"/>
      <c r="I86" s="59"/>
      <c r="J86" s="59"/>
      <c r="K86" s="59"/>
      <c r="L86" s="59"/>
      <c r="M86" s="59"/>
      <c r="N86" s="59"/>
      <c r="O86" s="59"/>
      <c r="P86" s="59"/>
      <c r="Q86" s="59"/>
      <c r="R86" s="59"/>
      <c r="S86" s="59"/>
      <c r="T86" s="59"/>
      <c r="U86" s="59"/>
      <c r="V86" s="59"/>
      <c r="W86" s="80"/>
      <c r="X86" s="59"/>
      <c r="Y86" s="80"/>
      <c r="Z86" s="59"/>
      <c r="AA86" s="80"/>
      <c r="AB86" s="59"/>
      <c r="AC86" s="80"/>
      <c r="AD86" s="59"/>
      <c r="AE86" s="80">
        <f>MAX($B$2-AE23,0)</f>
        <v>126.67782732554281</v>
      </c>
    </row>
    <row r="87" spans="1:31" x14ac:dyDescent="0.3">
      <c r="A87" s="81"/>
      <c r="B87" s="59"/>
      <c r="C87" s="59"/>
      <c r="D87" s="59"/>
      <c r="E87" s="59"/>
      <c r="F87" s="59"/>
      <c r="G87" s="80"/>
      <c r="H87" s="59"/>
      <c r="I87" s="59"/>
      <c r="J87" s="59"/>
      <c r="K87" s="59"/>
      <c r="L87" s="59"/>
      <c r="M87" s="59"/>
      <c r="N87" s="59"/>
      <c r="O87" s="59"/>
      <c r="P87" s="59"/>
      <c r="Q87" s="59"/>
      <c r="R87" s="59"/>
      <c r="S87" s="59"/>
      <c r="T87" s="59"/>
      <c r="U87" s="59"/>
      <c r="V87" s="80"/>
      <c r="W87" s="59"/>
      <c r="X87" s="80"/>
      <c r="Y87" s="59"/>
      <c r="Z87" s="80"/>
      <c r="AA87" s="59"/>
      <c r="AB87" s="80"/>
      <c r="AC87" s="59"/>
      <c r="AD87" s="80"/>
      <c r="AE87" s="59"/>
    </row>
    <row r="88" spans="1:31" x14ac:dyDescent="0.3">
      <c r="A88" s="81"/>
      <c r="B88" s="59"/>
      <c r="C88" s="59"/>
      <c r="D88" s="59"/>
      <c r="E88" s="59"/>
      <c r="F88" s="59"/>
      <c r="G88" s="80"/>
      <c r="H88" s="59"/>
      <c r="I88" s="59"/>
      <c r="J88" s="59"/>
      <c r="K88" s="59"/>
      <c r="L88" s="59"/>
      <c r="M88" s="59"/>
      <c r="N88" s="59"/>
      <c r="O88" s="59"/>
      <c r="P88" s="59"/>
      <c r="Q88" s="59"/>
      <c r="R88" s="59"/>
      <c r="S88" s="59"/>
      <c r="T88" s="59"/>
      <c r="U88" s="80"/>
      <c r="V88" s="59"/>
      <c r="W88" s="80"/>
      <c r="X88" s="59"/>
      <c r="Y88" s="80"/>
      <c r="Z88" s="59"/>
      <c r="AA88" s="80"/>
      <c r="AB88" s="59"/>
      <c r="AC88" s="80"/>
      <c r="AD88" s="59"/>
      <c r="AE88" s="80">
        <f>MAX($B$2-AE25,0)</f>
        <v>126.67782732554281</v>
      </c>
    </row>
    <row r="89" spans="1:31" x14ac:dyDescent="0.3">
      <c r="A89" s="81"/>
      <c r="B89" s="59"/>
      <c r="C89" s="59"/>
      <c r="D89" s="59"/>
      <c r="E89" s="59"/>
      <c r="F89" s="59"/>
      <c r="G89" s="80"/>
      <c r="H89" s="59"/>
      <c r="I89" s="59"/>
      <c r="J89" s="59"/>
      <c r="K89" s="59"/>
      <c r="L89" s="59"/>
      <c r="M89" s="59"/>
      <c r="N89" s="59"/>
      <c r="O89" s="59"/>
      <c r="P89" s="59"/>
      <c r="Q89" s="59"/>
      <c r="R89" s="59"/>
      <c r="S89" s="59"/>
      <c r="T89" s="80"/>
      <c r="U89" s="59"/>
      <c r="V89" s="80"/>
      <c r="W89" s="59"/>
      <c r="X89" s="80"/>
      <c r="Y89" s="59"/>
      <c r="Z89" s="80"/>
      <c r="AA89" s="59"/>
      <c r="AB89" s="80"/>
      <c r="AC89" s="59"/>
      <c r="AD89" s="80"/>
      <c r="AE89" s="59"/>
    </row>
    <row r="90" spans="1:31" x14ac:dyDescent="0.3">
      <c r="A90" s="81"/>
      <c r="B90" s="59"/>
      <c r="C90" s="59"/>
      <c r="D90" s="59"/>
      <c r="E90" s="59"/>
      <c r="F90" s="59"/>
      <c r="G90" s="80"/>
      <c r="H90" s="59"/>
      <c r="I90" s="59"/>
      <c r="J90" s="59"/>
      <c r="K90" s="59"/>
      <c r="L90" s="59"/>
      <c r="M90" s="59"/>
      <c r="N90" s="59"/>
      <c r="O90" s="59"/>
      <c r="P90" s="59"/>
      <c r="Q90" s="59"/>
      <c r="R90" s="59"/>
      <c r="S90" s="80"/>
      <c r="T90" s="59"/>
      <c r="U90" s="80"/>
      <c r="V90" s="59"/>
      <c r="W90" s="80"/>
      <c r="X90" s="59"/>
      <c r="Y90" s="80"/>
      <c r="Z90" s="59"/>
      <c r="AA90" s="80"/>
      <c r="AB90" s="59"/>
      <c r="AC90" s="80"/>
      <c r="AD90" s="59"/>
      <c r="AE90" s="80">
        <f>MAX($B$2-AE27,0)</f>
        <v>126.67782732554281</v>
      </c>
    </row>
    <row r="91" spans="1:31" x14ac:dyDescent="0.3">
      <c r="A91" s="81"/>
      <c r="B91" s="59"/>
      <c r="C91" s="59"/>
      <c r="D91" s="59"/>
      <c r="E91" s="59"/>
      <c r="F91" s="59"/>
      <c r="G91" s="80"/>
      <c r="H91" s="59"/>
      <c r="I91" s="59"/>
      <c r="J91" s="59"/>
      <c r="K91" s="59"/>
      <c r="L91" s="59"/>
      <c r="M91" s="59"/>
      <c r="N91" s="59"/>
      <c r="O91" s="59"/>
      <c r="P91" s="59"/>
      <c r="Q91" s="59"/>
      <c r="R91" s="80"/>
      <c r="S91" s="59"/>
      <c r="T91" s="80"/>
      <c r="U91" s="59"/>
      <c r="V91" s="80"/>
      <c r="W91" s="59"/>
      <c r="X91" s="80"/>
      <c r="Y91" s="59"/>
      <c r="Z91" s="80"/>
      <c r="AA91" s="59"/>
      <c r="AB91" s="80"/>
      <c r="AC91" s="59"/>
      <c r="AD91" s="80"/>
      <c r="AE91" s="59"/>
    </row>
    <row r="92" spans="1:31" x14ac:dyDescent="0.3">
      <c r="A92" s="81"/>
      <c r="B92" s="59"/>
      <c r="C92" s="59"/>
      <c r="D92" s="59"/>
      <c r="E92" s="59"/>
      <c r="F92" s="59"/>
      <c r="G92" s="80"/>
      <c r="H92" s="59"/>
      <c r="I92" s="59"/>
      <c r="J92" s="59"/>
      <c r="K92" s="59"/>
      <c r="L92" s="59"/>
      <c r="M92" s="59"/>
      <c r="N92" s="59"/>
      <c r="O92" s="59"/>
      <c r="P92" s="59"/>
      <c r="Q92" s="80"/>
      <c r="R92" s="59"/>
      <c r="S92" s="80"/>
      <c r="T92" s="59"/>
      <c r="U92" s="80"/>
      <c r="V92" s="59"/>
      <c r="W92" s="80"/>
      <c r="X92" s="59"/>
      <c r="Y92" s="80"/>
      <c r="Z92" s="59"/>
      <c r="AA92" s="80"/>
      <c r="AB92" s="59"/>
      <c r="AC92" s="80"/>
      <c r="AD92" s="59"/>
      <c r="AE92" s="80">
        <f>MAX($B$2-AE29,0)</f>
        <v>126.67782732554281</v>
      </c>
    </row>
    <row r="93" spans="1:31" x14ac:dyDescent="0.3">
      <c r="A93" s="81"/>
      <c r="B93" s="59"/>
      <c r="C93" s="59"/>
      <c r="D93" s="59"/>
      <c r="E93" s="59"/>
      <c r="F93" s="59"/>
      <c r="G93" s="80"/>
      <c r="H93" s="59"/>
      <c r="I93" s="59"/>
      <c r="J93" s="59"/>
      <c r="K93" s="59"/>
      <c r="L93" s="59"/>
      <c r="M93" s="59"/>
      <c r="N93" s="59"/>
      <c r="O93" s="59"/>
      <c r="P93" s="80"/>
      <c r="Q93" s="59"/>
      <c r="R93" s="80"/>
      <c r="S93" s="59"/>
      <c r="T93" s="80"/>
      <c r="U93" s="59"/>
      <c r="V93" s="80"/>
      <c r="W93" s="59"/>
      <c r="X93" s="80"/>
      <c r="Y93" s="59"/>
      <c r="Z93" s="80"/>
      <c r="AA93" s="59"/>
      <c r="AB93" s="80"/>
      <c r="AC93" s="59"/>
      <c r="AD93" s="80"/>
      <c r="AE93" s="59"/>
    </row>
    <row r="94" spans="1:31" x14ac:dyDescent="0.3">
      <c r="A94" s="81"/>
      <c r="B94" s="59"/>
      <c r="C94" s="59"/>
      <c r="D94" s="59"/>
      <c r="E94" s="59"/>
      <c r="F94" s="59"/>
      <c r="G94" s="80"/>
      <c r="H94" s="59"/>
      <c r="I94" s="59"/>
      <c r="J94" s="59"/>
      <c r="K94" s="59"/>
      <c r="L94" s="59"/>
      <c r="M94" s="59"/>
      <c r="N94" s="59"/>
      <c r="O94" s="80"/>
      <c r="P94" s="59"/>
      <c r="Q94" s="80"/>
      <c r="R94" s="59"/>
      <c r="S94" s="80"/>
      <c r="T94" s="59"/>
      <c r="U94" s="80"/>
      <c r="V94" s="59"/>
      <c r="W94" s="80"/>
      <c r="X94" s="59"/>
      <c r="Y94" s="80"/>
      <c r="Z94" s="59"/>
      <c r="AA94" s="80"/>
      <c r="AB94" s="59"/>
      <c r="AC94" s="80"/>
      <c r="AD94" s="59"/>
      <c r="AE94" s="80">
        <f>MAX($B$2-AE31,0)</f>
        <v>126.67782732554281</v>
      </c>
    </row>
    <row r="95" spans="1:31" x14ac:dyDescent="0.3">
      <c r="A95" s="81"/>
      <c r="B95" s="59"/>
      <c r="C95" s="59"/>
      <c r="D95" s="59"/>
      <c r="E95" s="59"/>
      <c r="F95" s="59"/>
      <c r="G95" s="80"/>
      <c r="H95" s="59"/>
      <c r="I95" s="59"/>
      <c r="J95" s="59"/>
      <c r="K95" s="59"/>
      <c r="L95" s="59"/>
      <c r="M95" s="59"/>
      <c r="N95" s="80"/>
      <c r="O95" s="59"/>
      <c r="P95" s="80"/>
      <c r="Q95" s="59"/>
      <c r="R95" s="80"/>
      <c r="S95" s="59"/>
      <c r="T95" s="80"/>
      <c r="U95" s="59"/>
      <c r="V95" s="80"/>
      <c r="W95" s="59"/>
      <c r="X95" s="80"/>
      <c r="Y95" s="59"/>
      <c r="Z95" s="80"/>
      <c r="AA95" s="59"/>
      <c r="AB95" s="80"/>
      <c r="AC95" s="59"/>
      <c r="AD95" s="80"/>
      <c r="AE95" s="59"/>
    </row>
    <row r="96" spans="1:31" x14ac:dyDescent="0.3">
      <c r="A96" s="81"/>
      <c r="B96" s="59"/>
      <c r="C96" s="59"/>
      <c r="D96" s="59"/>
      <c r="E96" s="59"/>
      <c r="F96" s="59"/>
      <c r="G96" s="80"/>
      <c r="H96" s="59"/>
      <c r="I96" s="59"/>
      <c r="J96" s="59"/>
      <c r="K96" s="59"/>
      <c r="L96" s="59"/>
      <c r="M96" s="80"/>
      <c r="N96" s="59"/>
      <c r="O96" s="80"/>
      <c r="P96" s="59"/>
      <c r="Q96" s="80"/>
      <c r="R96" s="59"/>
      <c r="S96" s="80"/>
      <c r="T96" s="59"/>
      <c r="U96" s="80"/>
      <c r="V96" s="59"/>
      <c r="W96" s="80"/>
      <c r="X96" s="59"/>
      <c r="Y96" s="80"/>
      <c r="Z96" s="59"/>
      <c r="AA96" s="80"/>
      <c r="AB96" s="59"/>
      <c r="AC96" s="80"/>
      <c r="AD96" s="59"/>
      <c r="AE96" s="80">
        <f>MAX($B$2-AE33,0)</f>
        <v>126.67782732554281</v>
      </c>
    </row>
    <row r="97" spans="1:31" x14ac:dyDescent="0.3">
      <c r="A97" s="81"/>
      <c r="B97" s="59"/>
      <c r="C97" s="59"/>
      <c r="D97" s="59"/>
      <c r="E97" s="59"/>
      <c r="F97" s="59"/>
      <c r="G97" s="80"/>
      <c r="H97" s="59"/>
      <c r="I97" s="59"/>
      <c r="J97" s="59"/>
      <c r="K97" s="59"/>
      <c r="L97" s="80"/>
      <c r="M97" s="59"/>
      <c r="N97" s="80"/>
      <c r="O97" s="59"/>
      <c r="P97" s="80"/>
      <c r="Q97" s="59"/>
      <c r="R97" s="80"/>
      <c r="S97" s="59"/>
      <c r="T97" s="80"/>
      <c r="U97" s="59"/>
      <c r="V97" s="80"/>
      <c r="W97" s="59"/>
      <c r="X97" s="80"/>
      <c r="Y97" s="59"/>
      <c r="Z97" s="80"/>
      <c r="AA97" s="59"/>
      <c r="AB97" s="80"/>
      <c r="AC97" s="59"/>
      <c r="AD97" s="80"/>
      <c r="AE97" s="59"/>
    </row>
    <row r="98" spans="1:31" x14ac:dyDescent="0.3">
      <c r="A98" s="81"/>
      <c r="B98" s="59"/>
      <c r="C98" s="59"/>
      <c r="D98" s="59"/>
      <c r="E98" s="59"/>
      <c r="F98" s="59"/>
      <c r="G98" s="80"/>
      <c r="H98" s="59"/>
      <c r="I98" s="59"/>
      <c r="J98" s="59"/>
      <c r="K98" s="80"/>
      <c r="L98" s="59"/>
      <c r="M98" s="80"/>
      <c r="N98" s="59"/>
      <c r="O98" s="80"/>
      <c r="P98" s="59"/>
      <c r="Q98" s="80"/>
      <c r="R98" s="59"/>
      <c r="S98" s="80"/>
      <c r="T98" s="59"/>
      <c r="U98" s="80"/>
      <c r="V98" s="59"/>
      <c r="W98" s="80"/>
      <c r="X98" s="59"/>
      <c r="Y98" s="80"/>
      <c r="Z98" s="59"/>
      <c r="AA98" s="80"/>
      <c r="AB98" s="59"/>
      <c r="AC98" s="80"/>
      <c r="AD98" s="59"/>
      <c r="AE98" s="80">
        <f>MAX($B$2-AE35,0)</f>
        <v>126.67782732554281</v>
      </c>
    </row>
    <row r="99" spans="1:31" x14ac:dyDescent="0.3">
      <c r="A99" s="81"/>
      <c r="B99" s="59"/>
      <c r="C99" s="59"/>
      <c r="D99" s="59"/>
      <c r="E99" s="59"/>
      <c r="F99" s="59"/>
      <c r="G99" s="80"/>
      <c r="H99" s="59"/>
      <c r="I99" s="59"/>
      <c r="J99" s="80"/>
      <c r="K99" s="59"/>
      <c r="L99" s="80"/>
      <c r="M99" s="59"/>
      <c r="N99" s="80"/>
      <c r="O99" s="59"/>
      <c r="P99" s="80"/>
      <c r="Q99" s="59"/>
      <c r="R99" s="80"/>
      <c r="S99" s="59"/>
      <c r="T99" s="80"/>
      <c r="U99" s="59"/>
      <c r="V99" s="80"/>
      <c r="W99" s="59"/>
      <c r="X99" s="80"/>
      <c r="Y99" s="59"/>
      <c r="Z99" s="80"/>
      <c r="AA99" s="59"/>
      <c r="AB99" s="80"/>
      <c r="AC99" s="59"/>
      <c r="AD99" s="80"/>
      <c r="AE99" s="59"/>
    </row>
    <row r="100" spans="1:31" x14ac:dyDescent="0.3">
      <c r="A100" s="81"/>
      <c r="B100" s="59"/>
      <c r="C100" s="59"/>
      <c r="D100" s="59"/>
      <c r="E100" s="59"/>
      <c r="F100" s="59"/>
      <c r="G100" s="80"/>
      <c r="H100" s="59"/>
      <c r="I100" s="80"/>
      <c r="J100" s="59"/>
      <c r="K100" s="80"/>
      <c r="L100" s="59"/>
      <c r="M100" s="80"/>
      <c r="N100" s="59"/>
      <c r="O100" s="80"/>
      <c r="P100" s="59"/>
      <c r="Q100" s="80"/>
      <c r="R100" s="59"/>
      <c r="S100" s="80"/>
      <c r="T100" s="59"/>
      <c r="U100" s="80"/>
      <c r="V100" s="59"/>
      <c r="W100" s="80"/>
      <c r="X100" s="59"/>
      <c r="Y100" s="80"/>
      <c r="Z100" s="59"/>
      <c r="AA100" s="80"/>
      <c r="AB100" s="59"/>
      <c r="AC100" s="80"/>
      <c r="AD100" s="59"/>
      <c r="AE100" s="80">
        <f>MAX($B$2-AE37,0)</f>
        <v>126.67782732554281</v>
      </c>
    </row>
    <row r="101" spans="1:31" x14ac:dyDescent="0.3">
      <c r="A101" s="81"/>
      <c r="B101" s="59"/>
      <c r="C101" s="59"/>
      <c r="D101" s="59"/>
      <c r="E101" s="59"/>
      <c r="F101" s="59"/>
      <c r="G101" s="80"/>
      <c r="H101" s="80"/>
      <c r="I101" s="59"/>
      <c r="J101" s="80"/>
      <c r="K101" s="59"/>
      <c r="L101" s="80"/>
      <c r="M101" s="59"/>
      <c r="N101" s="80"/>
      <c r="O101" s="59"/>
      <c r="P101" s="80"/>
      <c r="Q101" s="59"/>
      <c r="R101" s="80"/>
      <c r="S101" s="59"/>
      <c r="T101" s="80"/>
      <c r="U101" s="59"/>
      <c r="V101" s="80"/>
      <c r="W101" s="59"/>
      <c r="X101" s="80"/>
      <c r="Y101" s="59"/>
      <c r="Z101" s="80"/>
      <c r="AA101" s="59"/>
      <c r="AB101" s="80"/>
      <c r="AC101" s="59"/>
      <c r="AD101" s="80"/>
      <c r="AE101" s="59"/>
    </row>
    <row r="102" spans="1:31" x14ac:dyDescent="0.3">
      <c r="A102" s="81"/>
      <c r="B102" s="59"/>
      <c r="C102" s="59"/>
      <c r="D102" s="59"/>
      <c r="E102" s="59"/>
      <c r="F102" s="59"/>
      <c r="G102" s="80"/>
      <c r="H102" s="59"/>
      <c r="I102" s="80"/>
      <c r="J102" s="59"/>
      <c r="K102" s="80"/>
      <c r="L102" s="59"/>
      <c r="M102" s="80"/>
      <c r="N102" s="59"/>
      <c r="O102" s="80"/>
      <c r="P102" s="59"/>
      <c r="Q102" s="80"/>
      <c r="R102" s="59"/>
      <c r="S102" s="80"/>
      <c r="T102" s="59"/>
      <c r="U102" s="80"/>
      <c r="V102" s="59"/>
      <c r="W102" s="80"/>
      <c r="X102" s="59"/>
      <c r="Y102" s="80"/>
      <c r="Z102" s="59"/>
      <c r="AA102" s="80"/>
      <c r="AB102" s="59"/>
      <c r="AC102" s="80"/>
      <c r="AD102" s="59"/>
      <c r="AE102" s="80">
        <f>MAX($B$2-AE39,0)</f>
        <v>126.67782732554281</v>
      </c>
    </row>
    <row r="103" spans="1:31" x14ac:dyDescent="0.3">
      <c r="A103" s="81"/>
      <c r="B103" s="59"/>
      <c r="C103" s="59"/>
      <c r="D103" s="59"/>
      <c r="E103" s="59"/>
      <c r="F103" s="80"/>
      <c r="G103" s="59"/>
      <c r="H103" s="80"/>
      <c r="I103" s="59"/>
      <c r="J103" s="80"/>
      <c r="K103" s="59"/>
      <c r="L103" s="80"/>
      <c r="M103" s="59"/>
      <c r="N103" s="80"/>
      <c r="O103" s="59"/>
      <c r="P103" s="80"/>
      <c r="Q103" s="59"/>
      <c r="R103" s="80"/>
      <c r="S103" s="59"/>
      <c r="T103" s="80"/>
      <c r="U103" s="59"/>
      <c r="V103" s="80"/>
      <c r="W103" s="59"/>
      <c r="X103" s="80"/>
      <c r="Y103" s="59"/>
      <c r="Z103" s="80"/>
      <c r="AA103" s="59"/>
      <c r="AB103" s="80"/>
      <c r="AC103" s="59"/>
      <c r="AD103" s="80"/>
      <c r="AE103" s="59"/>
    </row>
    <row r="104" spans="1:31" x14ac:dyDescent="0.3">
      <c r="A104" s="81"/>
      <c r="B104" s="59"/>
      <c r="C104" s="59"/>
      <c r="D104" s="59"/>
      <c r="E104" s="80">
        <f>MAX($B$2-E41,0)</f>
        <v>0</v>
      </c>
      <c r="F104" s="59"/>
      <c r="G104" s="80"/>
      <c r="H104" s="59"/>
      <c r="I104" s="80"/>
      <c r="J104" s="59"/>
      <c r="K104" s="80"/>
      <c r="L104" s="59"/>
      <c r="M104" s="80"/>
      <c r="N104" s="59"/>
      <c r="O104" s="80"/>
      <c r="P104" s="59"/>
      <c r="Q104" s="80"/>
      <c r="R104" s="59"/>
      <c r="S104" s="80"/>
      <c r="T104" s="59"/>
      <c r="U104" s="80"/>
      <c r="V104" s="59"/>
      <c r="W104" s="80"/>
      <c r="X104" s="59"/>
      <c r="Y104" s="80"/>
      <c r="Z104" s="59"/>
      <c r="AA104" s="80"/>
      <c r="AB104" s="59"/>
      <c r="AC104" s="80"/>
      <c r="AD104" s="59"/>
      <c r="AE104" s="80">
        <f>MAX($B$2-AE41,0)</f>
        <v>126.67782732554281</v>
      </c>
    </row>
    <row r="105" spans="1:31" x14ac:dyDescent="0.3">
      <c r="A105" s="81"/>
      <c r="B105" s="59"/>
      <c r="C105" s="59"/>
      <c r="D105" s="80">
        <f>MAX((($G$4*E104)+((1-$G$4)*E106))*EXP(-$B$4*$G$1),$J$3-D42)</f>
        <v>0</v>
      </c>
      <c r="E105" s="59"/>
      <c r="F105" s="80"/>
      <c r="G105" s="59"/>
      <c r="H105" s="80"/>
      <c r="I105" s="59"/>
      <c r="J105" s="80"/>
      <c r="K105" s="59"/>
      <c r="L105" s="80"/>
      <c r="M105" s="59"/>
      <c r="N105" s="80"/>
      <c r="O105" s="59"/>
      <c r="P105" s="80"/>
      <c r="Q105" s="59"/>
      <c r="R105" s="80"/>
      <c r="S105" s="59"/>
      <c r="T105" s="80"/>
      <c r="U105" s="59"/>
      <c r="V105" s="80"/>
      <c r="W105" s="59"/>
      <c r="X105" s="80"/>
      <c r="Y105" s="59"/>
      <c r="Z105" s="80"/>
      <c r="AA105" s="59"/>
      <c r="AB105" s="80"/>
      <c r="AC105" s="59"/>
      <c r="AD105" s="80"/>
      <c r="AE105" s="59"/>
    </row>
    <row r="106" spans="1:31" x14ac:dyDescent="0.3">
      <c r="A106" s="81"/>
      <c r="B106" s="59"/>
      <c r="C106" s="80">
        <f>MAX((($G$4*D105)+((1-$G$4)*D107))*EXP(-$B$4*$G$1),$J$2-C43)</f>
        <v>0.40974561588898001</v>
      </c>
      <c r="D106" s="59"/>
      <c r="E106" s="80">
        <f>MAX($B$2-E43,0)</f>
        <v>0</v>
      </c>
      <c r="F106" s="59"/>
      <c r="G106" s="80"/>
      <c r="H106" s="59"/>
      <c r="I106" s="80"/>
      <c r="J106" s="59"/>
      <c r="K106" s="80"/>
      <c r="L106" s="59"/>
      <c r="M106" s="80"/>
      <c r="N106" s="59"/>
      <c r="O106" s="80"/>
      <c r="P106" s="59"/>
      <c r="Q106" s="80"/>
      <c r="R106" s="59"/>
      <c r="S106" s="80"/>
      <c r="T106" s="59"/>
      <c r="U106" s="80"/>
      <c r="V106" s="59"/>
      <c r="W106" s="80"/>
      <c r="X106" s="59"/>
      <c r="Y106" s="80"/>
      <c r="Z106" s="59"/>
      <c r="AA106" s="80"/>
      <c r="AB106" s="59"/>
      <c r="AC106" s="80"/>
      <c r="AD106" s="59"/>
      <c r="AE106" s="80">
        <f>MAX($B$2-AE43,0)</f>
        <v>126.67782732554281</v>
      </c>
    </row>
    <row r="107" spans="1:31" x14ac:dyDescent="0.3">
      <c r="A107" s="81"/>
      <c r="B107" s="80">
        <f>MAX((($G$4*C106)+((1-$G$4)*C108))*EXP(-$B$4*$G$1),J1-B44)</f>
        <v>3.2210871871518409</v>
      </c>
      <c r="C107" s="59"/>
      <c r="D107" s="80">
        <f>MAX((($G$4*E106)+((1-$G$4)*E108))*EXP(-$B$4*$G$1),$J$3-D44)</f>
        <v>0.82914557880982898</v>
      </c>
      <c r="E107" s="59"/>
      <c r="F107" s="80"/>
      <c r="G107" s="59"/>
      <c r="H107" s="80"/>
      <c r="I107" s="59"/>
      <c r="J107" s="80"/>
      <c r="K107" s="59"/>
      <c r="L107" s="80"/>
      <c r="M107" s="59"/>
      <c r="N107" s="80"/>
      <c r="O107" s="59"/>
      <c r="P107" s="80"/>
      <c r="Q107" s="59"/>
      <c r="R107" s="80"/>
      <c r="S107" s="59"/>
      <c r="T107" s="80"/>
      <c r="U107" s="59"/>
      <c r="V107" s="80"/>
      <c r="W107" s="59"/>
      <c r="X107" s="80"/>
      <c r="Y107" s="59"/>
      <c r="Z107" s="80"/>
      <c r="AA107" s="59"/>
      <c r="AB107" s="80"/>
      <c r="AC107" s="59"/>
      <c r="AD107" s="80"/>
      <c r="AE107" s="59"/>
    </row>
    <row r="108" spans="1:31" x14ac:dyDescent="0.3">
      <c r="A108" s="80">
        <f>(($G$4*B107)+((1-$G$4)*B109))*EXP(-$B$4*$G$1)</f>
        <v>8.0155060491013561</v>
      </c>
      <c r="B108" s="59"/>
      <c r="C108" s="80">
        <f>MAX((($G$4*D107)+((1-$G$4)*D109))*EXP(-$B$4*$G$1),$J$2-C45)</f>
        <v>6.1082862012452184</v>
      </c>
      <c r="D108" s="59"/>
      <c r="E108" s="80">
        <f>MAX($B$2-E45,0)</f>
        <v>1.6778273255427791</v>
      </c>
      <c r="F108" s="59"/>
      <c r="G108" s="80"/>
      <c r="H108" s="59"/>
      <c r="I108" s="80"/>
      <c r="J108" s="59"/>
      <c r="K108" s="80"/>
      <c r="L108" s="59"/>
      <c r="M108" s="80"/>
      <c r="N108" s="59"/>
      <c r="O108" s="80"/>
      <c r="P108" s="59"/>
      <c r="Q108" s="80"/>
      <c r="R108" s="59"/>
      <c r="S108" s="80"/>
      <c r="T108" s="59"/>
      <c r="U108" s="80"/>
      <c r="V108" s="59"/>
      <c r="W108" s="80"/>
      <c r="X108" s="59"/>
      <c r="Y108" s="80"/>
      <c r="Z108" s="59"/>
      <c r="AA108" s="80"/>
      <c r="AB108" s="59"/>
      <c r="AC108" s="80"/>
      <c r="AD108" s="59"/>
      <c r="AE108" s="80">
        <f>MAX($B$2-AE45,0)</f>
        <v>126.67782732554281</v>
      </c>
    </row>
    <row r="109" spans="1:31" x14ac:dyDescent="0.3">
      <c r="A109" s="59"/>
      <c r="B109" s="80">
        <f>MAX((($G$4*C108)+((1-$G$4)*C110))*EXP(-$B$4*$G$1),J1-B46)</f>
        <v>12.998492349591764</v>
      </c>
      <c r="C109" s="59"/>
      <c r="D109" s="80">
        <f>MAX((($G$4*E108)+((1-$G$4)*E110))*EXP(-$B$4*$G$1),$J$3-D46)</f>
        <v>11.531273824431182</v>
      </c>
      <c r="E109" s="59"/>
      <c r="F109" s="80"/>
      <c r="G109" s="59"/>
      <c r="H109" s="80"/>
      <c r="I109" s="59"/>
      <c r="J109" s="80"/>
      <c r="K109" s="59"/>
      <c r="L109" s="80"/>
      <c r="M109" s="59"/>
      <c r="N109" s="80"/>
      <c r="O109" s="59"/>
      <c r="P109" s="80"/>
      <c r="Q109" s="59"/>
      <c r="R109" s="80"/>
      <c r="S109" s="59"/>
      <c r="T109" s="80"/>
      <c r="U109" s="59"/>
      <c r="V109" s="80"/>
      <c r="W109" s="59"/>
      <c r="X109" s="80"/>
      <c r="Y109" s="59"/>
      <c r="Z109" s="80"/>
      <c r="AA109" s="59"/>
      <c r="AB109" s="80"/>
      <c r="AC109" s="59"/>
      <c r="AD109" s="80"/>
      <c r="AE109" s="59"/>
    </row>
    <row r="110" spans="1:31" x14ac:dyDescent="0.3">
      <c r="A110" s="80"/>
      <c r="B110" s="59"/>
      <c r="C110" s="80">
        <f>MAX((($G$4*D109)+((1-$G$4)*D111))*EXP(-$B$4*$G$1),$J$2-C47)</f>
        <v>20.194412036440511</v>
      </c>
      <c r="D110" s="59"/>
      <c r="E110" s="80">
        <f>MAX($B$2-E47,0)</f>
        <v>20.510711066228069</v>
      </c>
      <c r="F110" s="59"/>
      <c r="G110" s="80"/>
      <c r="H110" s="59"/>
      <c r="I110" s="80"/>
      <c r="J110" s="59"/>
      <c r="K110" s="80"/>
      <c r="L110" s="59"/>
      <c r="M110" s="80"/>
      <c r="N110" s="59"/>
      <c r="O110" s="80"/>
      <c r="P110" s="59"/>
      <c r="Q110" s="80"/>
      <c r="R110" s="59"/>
      <c r="S110" s="80"/>
      <c r="T110" s="59"/>
      <c r="U110" s="80"/>
      <c r="V110" s="59"/>
      <c r="W110" s="80"/>
      <c r="X110" s="59"/>
      <c r="Y110" s="80"/>
      <c r="Z110" s="59"/>
      <c r="AA110" s="80"/>
      <c r="AB110" s="59"/>
      <c r="AC110" s="80"/>
      <c r="AD110" s="59"/>
      <c r="AE110" s="80">
        <f>MAX($B$2-AE47,0)</f>
        <v>126.67782732554281</v>
      </c>
    </row>
    <row r="111" spans="1:31" x14ac:dyDescent="0.3">
      <c r="A111" s="81"/>
      <c r="B111" s="59"/>
      <c r="C111" s="59"/>
      <c r="D111" s="80">
        <f>MAX((($G$4*E110)+((1-$G$4)*E112))*EXP(-$B$4*$G$1),$J$3-D48)</f>
        <v>28.887561085868271</v>
      </c>
      <c r="E111" s="59"/>
      <c r="F111" s="80"/>
      <c r="G111" s="59"/>
      <c r="H111" s="80"/>
      <c r="I111" s="59"/>
      <c r="J111" s="80"/>
      <c r="K111" s="59"/>
      <c r="L111" s="80"/>
      <c r="M111" s="59"/>
      <c r="N111" s="80"/>
      <c r="O111" s="59"/>
      <c r="P111" s="80"/>
      <c r="Q111" s="59"/>
      <c r="R111" s="80"/>
      <c r="S111" s="59"/>
      <c r="T111" s="80"/>
      <c r="U111" s="59"/>
      <c r="V111" s="80"/>
      <c r="W111" s="59"/>
      <c r="X111" s="80"/>
      <c r="Y111" s="59"/>
      <c r="Z111" s="80"/>
      <c r="AA111" s="59"/>
      <c r="AB111" s="80"/>
      <c r="AC111" s="59"/>
      <c r="AD111" s="80"/>
      <c r="AE111" s="59"/>
    </row>
    <row r="112" spans="1:31" x14ac:dyDescent="0.3">
      <c r="A112" s="81"/>
      <c r="B112" s="59"/>
      <c r="C112" s="59"/>
      <c r="D112" s="59"/>
      <c r="E112" s="80">
        <f>MAX($B$2-E49,0)</f>
        <v>36.506174726992001</v>
      </c>
      <c r="F112" s="59"/>
      <c r="G112" s="80"/>
      <c r="H112" s="59"/>
      <c r="I112" s="80"/>
      <c r="J112" s="59"/>
      <c r="K112" s="80"/>
      <c r="L112" s="59"/>
      <c r="M112" s="80"/>
      <c r="N112" s="59"/>
      <c r="O112" s="80"/>
      <c r="P112" s="59"/>
      <c r="Q112" s="80"/>
      <c r="R112" s="59"/>
      <c r="S112" s="80"/>
      <c r="T112" s="59"/>
      <c r="U112" s="80"/>
      <c r="V112" s="59"/>
      <c r="W112" s="80"/>
      <c r="X112" s="59"/>
      <c r="Y112" s="80"/>
      <c r="Z112" s="59"/>
      <c r="AA112" s="80"/>
      <c r="AB112" s="59"/>
      <c r="AC112" s="80"/>
      <c r="AD112" s="59"/>
      <c r="AE112" s="80">
        <f>MAX($B$2-AE49,0)</f>
        <v>126.67782732554281</v>
      </c>
    </row>
    <row r="113" spans="1:31" x14ac:dyDescent="0.3">
      <c r="A113" s="81"/>
      <c r="B113" s="59"/>
      <c r="C113" s="59"/>
      <c r="D113" s="59"/>
      <c r="E113" s="59"/>
      <c r="F113" s="80"/>
      <c r="G113" s="59"/>
      <c r="H113" s="80"/>
      <c r="I113" s="59"/>
      <c r="J113" s="80"/>
      <c r="K113" s="59"/>
      <c r="L113" s="80"/>
      <c r="M113" s="59"/>
      <c r="N113" s="80"/>
      <c r="O113" s="59"/>
      <c r="P113" s="80"/>
      <c r="Q113" s="59"/>
      <c r="R113" s="80"/>
      <c r="S113" s="59"/>
      <c r="T113" s="80"/>
      <c r="U113" s="59"/>
      <c r="V113" s="80"/>
      <c r="W113" s="59"/>
      <c r="X113" s="80"/>
      <c r="Y113" s="59"/>
      <c r="Z113" s="80"/>
      <c r="AA113" s="59"/>
      <c r="AB113" s="80"/>
      <c r="AC113" s="59"/>
      <c r="AD113" s="80"/>
      <c r="AE113" s="59"/>
    </row>
    <row r="114" spans="1:31" x14ac:dyDescent="0.3">
      <c r="A114" s="81"/>
      <c r="B114" s="59"/>
      <c r="C114" s="59"/>
      <c r="D114" s="59"/>
      <c r="E114" s="59"/>
      <c r="F114" s="59"/>
      <c r="G114" s="80"/>
      <c r="H114" s="59"/>
      <c r="I114" s="80"/>
      <c r="J114" s="59"/>
      <c r="K114" s="80"/>
      <c r="L114" s="59"/>
      <c r="M114" s="80"/>
      <c r="N114" s="59"/>
      <c r="O114" s="80"/>
      <c r="P114" s="59"/>
      <c r="Q114" s="80"/>
      <c r="R114" s="59"/>
      <c r="S114" s="80"/>
      <c r="T114" s="59"/>
      <c r="U114" s="80"/>
      <c r="V114" s="59"/>
      <c r="W114" s="80"/>
      <c r="X114" s="59"/>
      <c r="Y114" s="80"/>
      <c r="Z114" s="59"/>
      <c r="AA114" s="80"/>
      <c r="AB114" s="59"/>
      <c r="AC114" s="80"/>
      <c r="AD114" s="59"/>
      <c r="AE114" s="80">
        <f>MAX($B$2-AE51,0)</f>
        <v>126.67782732554281</v>
      </c>
    </row>
    <row r="115" spans="1:31" x14ac:dyDescent="0.3">
      <c r="A115" s="81"/>
      <c r="B115" s="59"/>
      <c r="C115" s="59"/>
      <c r="D115" s="59"/>
      <c r="E115" s="59"/>
      <c r="F115" s="59"/>
      <c r="G115" s="80"/>
      <c r="H115" s="80"/>
      <c r="I115" s="59"/>
      <c r="J115" s="80"/>
      <c r="K115" s="59"/>
      <c r="L115" s="80"/>
      <c r="M115" s="59"/>
      <c r="N115" s="80"/>
      <c r="O115" s="59"/>
      <c r="P115" s="80"/>
      <c r="Q115" s="59"/>
      <c r="R115" s="80"/>
      <c r="S115" s="59"/>
      <c r="T115" s="80"/>
      <c r="U115" s="59"/>
      <c r="V115" s="80"/>
      <c r="W115" s="59"/>
      <c r="X115" s="80"/>
      <c r="Y115" s="59"/>
      <c r="Z115" s="80"/>
      <c r="AA115" s="59"/>
      <c r="AB115" s="80"/>
      <c r="AC115" s="59"/>
      <c r="AD115" s="80"/>
      <c r="AE115" s="59"/>
    </row>
    <row r="116" spans="1:31" x14ac:dyDescent="0.3">
      <c r="A116" s="81"/>
      <c r="B116" s="59"/>
      <c r="C116" s="59"/>
      <c r="D116" s="59"/>
      <c r="E116" s="59"/>
      <c r="F116" s="59"/>
      <c r="G116" s="80"/>
      <c r="H116" s="59"/>
      <c r="I116" s="80"/>
      <c r="J116" s="59"/>
      <c r="K116" s="80"/>
      <c r="L116" s="59"/>
      <c r="M116" s="80"/>
      <c r="N116" s="59"/>
      <c r="O116" s="80"/>
      <c r="P116" s="59"/>
      <c r="Q116" s="80"/>
      <c r="R116" s="59"/>
      <c r="S116" s="80"/>
      <c r="T116" s="59"/>
      <c r="U116" s="80"/>
      <c r="V116" s="59"/>
      <c r="W116" s="80"/>
      <c r="X116" s="59"/>
      <c r="Y116" s="80"/>
      <c r="Z116" s="59"/>
      <c r="AA116" s="80"/>
      <c r="AB116" s="59"/>
      <c r="AC116" s="80"/>
      <c r="AD116" s="59"/>
      <c r="AE116" s="80">
        <f>MAX($B$2-AE53,0)</f>
        <v>126.67782732554281</v>
      </c>
    </row>
    <row r="117" spans="1:31" x14ac:dyDescent="0.3">
      <c r="A117" s="81"/>
      <c r="B117" s="59"/>
      <c r="C117" s="59"/>
      <c r="D117" s="59"/>
      <c r="E117" s="59"/>
      <c r="F117" s="59"/>
      <c r="G117" s="80"/>
      <c r="H117" s="59"/>
      <c r="I117" s="59"/>
      <c r="J117" s="80"/>
      <c r="K117" s="59"/>
      <c r="L117" s="80"/>
      <c r="M117" s="59"/>
      <c r="N117" s="80"/>
      <c r="O117" s="59"/>
      <c r="P117" s="80"/>
      <c r="Q117" s="59"/>
      <c r="R117" s="80"/>
      <c r="S117" s="59"/>
      <c r="T117" s="80"/>
      <c r="U117" s="59"/>
      <c r="V117" s="80"/>
      <c r="W117" s="59"/>
      <c r="X117" s="80"/>
      <c r="Y117" s="59"/>
      <c r="Z117" s="80"/>
      <c r="AA117" s="59"/>
      <c r="AB117" s="80"/>
      <c r="AC117" s="59"/>
      <c r="AD117" s="80"/>
      <c r="AE117" s="59"/>
    </row>
    <row r="118" spans="1:31" x14ac:dyDescent="0.3">
      <c r="A118" s="81"/>
      <c r="B118" s="59"/>
      <c r="C118" s="59"/>
      <c r="D118" s="59"/>
      <c r="E118" s="59"/>
      <c r="F118" s="59"/>
      <c r="G118" s="80"/>
      <c r="H118" s="59"/>
      <c r="I118" s="59"/>
      <c r="J118" s="59"/>
      <c r="K118" s="80"/>
      <c r="L118" s="59"/>
      <c r="M118" s="80"/>
      <c r="N118" s="59"/>
      <c r="O118" s="80"/>
      <c r="P118" s="59"/>
      <c r="Q118" s="80"/>
      <c r="R118" s="59"/>
      <c r="S118" s="80"/>
      <c r="T118" s="59"/>
      <c r="U118" s="80"/>
      <c r="V118" s="59"/>
      <c r="W118" s="80"/>
      <c r="X118" s="59"/>
      <c r="Y118" s="80"/>
      <c r="Z118" s="59"/>
      <c r="AA118" s="80"/>
      <c r="AB118" s="59"/>
      <c r="AC118" s="80"/>
      <c r="AD118" s="59"/>
      <c r="AE118" s="80">
        <f>MAX($B$2-AE55,0)</f>
        <v>126.67782732554281</v>
      </c>
    </row>
    <row r="119" spans="1:31" x14ac:dyDescent="0.3">
      <c r="A119" s="81"/>
      <c r="B119" s="59"/>
      <c r="C119" s="59"/>
      <c r="D119" s="59"/>
      <c r="E119" s="59"/>
      <c r="F119" s="59"/>
      <c r="G119" s="80"/>
      <c r="H119" s="59"/>
      <c r="I119" s="59"/>
      <c r="J119" s="59"/>
      <c r="K119" s="59"/>
      <c r="L119" s="80"/>
      <c r="M119" s="59"/>
      <c r="N119" s="80"/>
      <c r="O119" s="59"/>
      <c r="P119" s="80"/>
      <c r="Q119" s="59"/>
      <c r="R119" s="80"/>
      <c r="S119" s="59"/>
      <c r="T119" s="80"/>
      <c r="U119" s="59"/>
      <c r="V119" s="80"/>
      <c r="W119" s="59"/>
      <c r="X119" s="80"/>
      <c r="Y119" s="59"/>
      <c r="Z119" s="80"/>
      <c r="AA119" s="59"/>
      <c r="AB119" s="80"/>
      <c r="AC119" s="59"/>
      <c r="AD119" s="80"/>
      <c r="AE119" s="59"/>
    </row>
    <row r="120" spans="1:31" x14ac:dyDescent="0.3">
      <c r="A120" s="81"/>
      <c r="B120" s="59"/>
      <c r="C120" s="59"/>
      <c r="D120" s="80"/>
      <c r="E120" s="59"/>
      <c r="F120" s="59"/>
      <c r="G120" s="80"/>
      <c r="H120" s="59"/>
      <c r="I120" s="59"/>
      <c r="J120" s="59"/>
      <c r="K120" s="59"/>
      <c r="L120" s="59"/>
      <c r="M120" s="80"/>
      <c r="N120" s="59"/>
      <c r="O120" s="80"/>
      <c r="P120" s="59"/>
      <c r="Q120" s="80"/>
      <c r="R120" s="59"/>
      <c r="S120" s="80"/>
      <c r="T120" s="59"/>
      <c r="U120" s="80"/>
      <c r="V120" s="59"/>
      <c r="W120" s="80"/>
      <c r="X120" s="59"/>
      <c r="Y120" s="80"/>
      <c r="Z120" s="59"/>
      <c r="AA120" s="80"/>
      <c r="AB120" s="59"/>
      <c r="AC120" s="80"/>
      <c r="AD120" s="59"/>
      <c r="AE120" s="80">
        <f>MAX($B$2-AE57,0)</f>
        <v>126.67782732554281</v>
      </c>
    </row>
    <row r="121" spans="1:31" x14ac:dyDescent="0.3">
      <c r="A121" s="81"/>
      <c r="B121" s="59"/>
      <c r="C121" s="80"/>
      <c r="D121" s="80"/>
      <c r="E121" s="59"/>
      <c r="F121" s="59"/>
      <c r="G121" s="80"/>
      <c r="H121" s="59"/>
      <c r="I121" s="59"/>
      <c r="J121" s="59"/>
      <c r="K121" s="59"/>
      <c r="L121" s="59"/>
      <c r="M121" s="59"/>
      <c r="N121" s="80"/>
      <c r="O121" s="59"/>
      <c r="P121" s="80"/>
      <c r="Q121" s="59"/>
      <c r="R121" s="80"/>
      <c r="S121" s="59"/>
      <c r="T121" s="80"/>
      <c r="U121" s="59"/>
      <c r="V121" s="80"/>
      <c r="W121" s="59"/>
      <c r="X121" s="80"/>
      <c r="Y121" s="59"/>
      <c r="Z121" s="80"/>
      <c r="AA121" s="59"/>
      <c r="AB121" s="80"/>
      <c r="AC121" s="59"/>
      <c r="AD121" s="80"/>
      <c r="AE121" s="59"/>
    </row>
    <row r="122" spans="1:31" x14ac:dyDescent="0.3">
      <c r="A122" s="81"/>
      <c r="B122" s="80"/>
      <c r="C122" s="59"/>
      <c r="D122" s="80"/>
      <c r="E122" s="59"/>
      <c r="F122" s="59"/>
      <c r="G122" s="80"/>
      <c r="H122" s="59"/>
      <c r="I122" s="59"/>
      <c r="J122" s="59"/>
      <c r="K122" s="59"/>
      <c r="L122" s="59"/>
      <c r="M122" s="59"/>
      <c r="N122" s="59"/>
      <c r="O122" s="80"/>
      <c r="P122" s="59"/>
      <c r="Q122" s="80"/>
      <c r="R122" s="59"/>
      <c r="S122" s="80"/>
      <c r="T122" s="59"/>
      <c r="U122" s="80"/>
      <c r="V122" s="59"/>
      <c r="W122" s="80"/>
      <c r="X122" s="59"/>
      <c r="Y122" s="80"/>
      <c r="Z122" s="59"/>
      <c r="AA122" s="80"/>
      <c r="AB122" s="59"/>
      <c r="AC122" s="80"/>
      <c r="AD122" s="59"/>
      <c r="AE122" s="80">
        <f>MAX($B$2-AE59,0)</f>
        <v>126.67782732554281</v>
      </c>
    </row>
    <row r="123" spans="1:31" x14ac:dyDescent="0.3">
      <c r="A123" s="80"/>
      <c r="B123" s="59"/>
      <c r="C123" s="80"/>
      <c r="D123" s="80"/>
      <c r="E123" s="59"/>
      <c r="F123" s="59"/>
      <c r="G123" s="80"/>
      <c r="H123" s="59"/>
      <c r="I123" s="59"/>
      <c r="J123" s="59"/>
      <c r="K123" s="59"/>
      <c r="L123" s="59"/>
      <c r="M123" s="59"/>
      <c r="N123" s="59"/>
      <c r="O123" s="59"/>
      <c r="P123" s="80"/>
      <c r="Q123" s="59"/>
      <c r="R123" s="80"/>
      <c r="S123" s="59"/>
      <c r="T123" s="80"/>
      <c r="U123" s="59"/>
      <c r="V123" s="80"/>
      <c r="W123" s="59"/>
      <c r="X123" s="80"/>
      <c r="Y123" s="59"/>
      <c r="Z123" s="80"/>
      <c r="AA123" s="59"/>
      <c r="AB123" s="80"/>
      <c r="AC123" s="59"/>
      <c r="AD123" s="80"/>
      <c r="AE123" s="59"/>
    </row>
    <row r="124" spans="1:31" x14ac:dyDescent="0.3">
      <c r="A124" s="84"/>
      <c r="B124" s="80"/>
      <c r="C124" s="80"/>
      <c r="D124" s="80"/>
      <c r="E124" s="80"/>
      <c r="F124" s="59"/>
      <c r="G124" s="59"/>
      <c r="H124" s="59"/>
      <c r="I124" s="59"/>
      <c r="J124" s="59"/>
      <c r="K124" s="59"/>
      <c r="L124" s="59"/>
      <c r="M124" s="59"/>
      <c r="N124" s="59"/>
      <c r="O124" s="59"/>
      <c r="P124" s="59"/>
      <c r="Q124" s="80"/>
      <c r="R124" s="59"/>
      <c r="S124" s="80"/>
      <c r="T124" s="59"/>
      <c r="U124" s="80"/>
      <c r="V124" s="59"/>
      <c r="W124" s="80"/>
      <c r="X124" s="59"/>
      <c r="Y124" s="80"/>
      <c r="Z124" s="59"/>
      <c r="AA124" s="80"/>
      <c r="AB124" s="59"/>
      <c r="AC124" s="80"/>
      <c r="AD124" s="59"/>
      <c r="AE124" s="80">
        <f>MAX($B$2-AE61,0)</f>
        <v>126.67782732554281</v>
      </c>
    </row>
    <row r="125" spans="1:31" x14ac:dyDescent="0.3">
      <c r="A125" s="81"/>
      <c r="B125" s="80"/>
      <c r="C125" s="80"/>
      <c r="D125" s="80"/>
      <c r="E125" s="80"/>
      <c r="F125" s="59"/>
      <c r="G125" s="59"/>
      <c r="H125" s="59"/>
      <c r="I125" s="80"/>
      <c r="J125" s="59"/>
      <c r="K125" s="59"/>
      <c r="L125" s="59"/>
      <c r="M125" s="59"/>
      <c r="N125" s="59"/>
      <c r="O125" s="59"/>
      <c r="P125" s="59"/>
      <c r="Q125" s="59"/>
      <c r="R125" s="80"/>
      <c r="S125" s="59"/>
      <c r="T125" s="80"/>
      <c r="U125" s="59"/>
      <c r="V125" s="80"/>
      <c r="W125" s="59"/>
      <c r="X125" s="80"/>
      <c r="Y125" s="59"/>
      <c r="Z125" s="80"/>
      <c r="AA125" s="59"/>
      <c r="AB125" s="80"/>
      <c r="AC125" s="59"/>
      <c r="AD125" s="80"/>
      <c r="AE125" s="59"/>
    </row>
    <row r="126" spans="1:31" x14ac:dyDescent="0.3">
      <c r="A126" s="81"/>
      <c r="B126" s="59"/>
      <c r="C126" s="80"/>
      <c r="D126" s="80"/>
      <c r="E126" s="80"/>
      <c r="F126" s="59"/>
      <c r="G126" s="59"/>
      <c r="H126" s="59"/>
      <c r="I126" s="59"/>
      <c r="J126" s="59"/>
      <c r="K126" s="59"/>
      <c r="L126" s="59"/>
      <c r="M126" s="59"/>
      <c r="N126" s="59"/>
      <c r="O126" s="59"/>
      <c r="P126" s="59"/>
      <c r="Q126" s="59"/>
      <c r="R126" s="59"/>
      <c r="S126" s="80"/>
      <c r="T126" s="59"/>
      <c r="U126" s="80"/>
      <c r="V126" s="59"/>
      <c r="W126" s="80"/>
      <c r="X126" s="59"/>
      <c r="Y126" s="80"/>
      <c r="Z126" s="59"/>
      <c r="AA126" s="80"/>
      <c r="AB126" s="59"/>
      <c r="AC126" s="80"/>
      <c r="AD126" s="59"/>
      <c r="AE126" s="80">
        <f>MAX($B$2-AE63,0)</f>
        <v>126.67782732554281</v>
      </c>
    </row>
    <row r="127" spans="1:31" x14ac:dyDescent="0.3">
      <c r="A127" s="59"/>
      <c r="B127" s="59"/>
      <c r="C127" s="59"/>
      <c r="D127" s="59"/>
      <c r="E127" s="80"/>
      <c r="F127" s="59"/>
      <c r="G127" s="59"/>
      <c r="H127" s="59"/>
      <c r="I127" s="59"/>
      <c r="J127" s="59"/>
      <c r="K127" s="59"/>
      <c r="L127" s="59"/>
      <c r="M127" s="59"/>
      <c r="N127" s="59"/>
      <c r="O127" s="59"/>
      <c r="P127" s="59"/>
      <c r="Q127" s="59"/>
      <c r="R127" s="59"/>
      <c r="S127" s="59"/>
      <c r="T127" s="80"/>
      <c r="U127" s="59"/>
      <c r="V127" s="80"/>
      <c r="W127" s="59"/>
      <c r="X127" s="80"/>
      <c r="Y127" s="59"/>
      <c r="Z127" s="80"/>
      <c r="AA127" s="59"/>
      <c r="AB127" s="80"/>
      <c r="AC127" s="59"/>
      <c r="AD127" s="80"/>
      <c r="AE127" s="59"/>
    </row>
    <row r="128" spans="1:31" x14ac:dyDescent="0.3">
      <c r="A128" s="59"/>
      <c r="B128" s="59"/>
      <c r="C128" s="59"/>
      <c r="D128" s="59"/>
      <c r="E128" s="80"/>
      <c r="F128" s="59"/>
      <c r="G128" s="59"/>
      <c r="H128" s="59"/>
      <c r="I128" s="59"/>
      <c r="J128" s="59"/>
      <c r="K128" s="59"/>
      <c r="L128" s="59"/>
      <c r="M128" s="80"/>
      <c r="N128" s="59"/>
      <c r="O128" s="59"/>
      <c r="P128" s="59"/>
      <c r="Q128" s="59"/>
      <c r="R128" s="59"/>
      <c r="S128" s="59"/>
      <c r="T128" s="59"/>
      <c r="U128" s="80"/>
      <c r="V128" s="59"/>
      <c r="W128" s="80"/>
      <c r="X128" s="59"/>
      <c r="Y128" s="80"/>
      <c r="Z128" s="59"/>
      <c r="AA128" s="80"/>
      <c r="AB128" s="59"/>
      <c r="AC128" s="80"/>
      <c r="AD128" s="59"/>
      <c r="AE128" s="80">
        <f>MAX($B$2-AE65,0)</f>
        <v>126.67782732554281</v>
      </c>
    </row>
    <row r="129" spans="1:31" x14ac:dyDescent="0.3">
      <c r="A129" s="59"/>
      <c r="B129" s="59"/>
      <c r="C129" s="59"/>
      <c r="D129" s="59"/>
      <c r="E129" s="80"/>
      <c r="F129" s="59"/>
      <c r="G129" s="59"/>
      <c r="H129" s="59"/>
      <c r="I129" s="59"/>
      <c r="J129" s="59"/>
      <c r="K129" s="59"/>
      <c r="L129" s="59"/>
      <c r="M129" s="59"/>
      <c r="N129" s="59"/>
      <c r="O129" s="59"/>
      <c r="P129" s="59"/>
      <c r="Q129" s="59"/>
      <c r="R129" s="59"/>
      <c r="S129" s="59"/>
      <c r="T129" s="59"/>
      <c r="U129" s="59"/>
      <c r="V129" s="80"/>
      <c r="W129" s="59"/>
      <c r="X129" s="80"/>
      <c r="Y129" s="59"/>
      <c r="Z129" s="80"/>
      <c r="AA129" s="59"/>
      <c r="AB129" s="80"/>
      <c r="AC129" s="59"/>
      <c r="AD129" s="80"/>
      <c r="AE129" s="59"/>
    </row>
    <row r="130" spans="1:31" x14ac:dyDescent="0.3">
      <c r="A130" s="59"/>
      <c r="B130" s="59"/>
      <c r="C130" s="59"/>
      <c r="D130" s="59"/>
      <c r="E130" s="59"/>
      <c r="F130" s="59"/>
      <c r="G130" s="59"/>
      <c r="H130" s="59"/>
      <c r="I130" s="59"/>
      <c r="J130" s="59"/>
      <c r="K130" s="59"/>
      <c r="L130" s="59"/>
      <c r="M130" s="59"/>
      <c r="N130" s="59"/>
      <c r="O130" s="80"/>
      <c r="P130" s="59"/>
      <c r="Q130" s="59"/>
      <c r="R130" s="59"/>
      <c r="S130" s="59"/>
      <c r="T130" s="59"/>
      <c r="U130" s="59"/>
      <c r="V130" s="59"/>
      <c r="W130" s="80"/>
      <c r="X130" s="59"/>
      <c r="Y130" s="80"/>
      <c r="Z130" s="59"/>
      <c r="AA130" s="80"/>
      <c r="AB130" s="59"/>
      <c r="AC130" s="80"/>
      <c r="AD130" s="59"/>
      <c r="AE130" s="80">
        <f>MAX($B$2-AE67,0)</f>
        <v>126.67782732554281</v>
      </c>
    </row>
    <row r="131" spans="1:31" x14ac:dyDescent="0.3">
      <c r="A131" s="59"/>
      <c r="B131" s="59"/>
      <c r="C131" s="59"/>
      <c r="D131" s="59"/>
      <c r="E131" s="59"/>
      <c r="F131" s="59"/>
      <c r="G131" s="59"/>
      <c r="H131" s="59"/>
      <c r="I131" s="59"/>
      <c r="J131" s="59"/>
      <c r="K131" s="59"/>
      <c r="L131" s="59"/>
      <c r="M131" s="59"/>
      <c r="N131" s="59"/>
      <c r="O131" s="59"/>
      <c r="P131" s="59"/>
      <c r="Q131" s="59"/>
      <c r="R131" s="59"/>
      <c r="S131" s="59"/>
      <c r="T131" s="59"/>
      <c r="U131" s="59"/>
      <c r="V131" s="59"/>
      <c r="W131" s="59"/>
      <c r="X131" s="80"/>
      <c r="Y131" s="59"/>
      <c r="Z131" s="80"/>
      <c r="AA131" s="59"/>
      <c r="AB131" s="80"/>
      <c r="AC131" s="59"/>
      <c r="AD131" s="80"/>
      <c r="AE131" s="59"/>
    </row>
    <row r="132" spans="1:31" x14ac:dyDescent="0.3">
      <c r="A132" s="59"/>
      <c r="B132" s="59"/>
      <c r="C132" s="59"/>
      <c r="D132" s="59"/>
      <c r="E132" s="59"/>
      <c r="F132" s="59"/>
      <c r="G132" s="59"/>
      <c r="H132" s="59"/>
      <c r="I132" s="59"/>
      <c r="J132" s="59"/>
      <c r="K132" s="59"/>
      <c r="L132" s="59"/>
      <c r="M132" s="59"/>
      <c r="N132" s="59"/>
      <c r="O132" s="59"/>
      <c r="P132" s="59"/>
      <c r="Q132" s="80"/>
      <c r="R132" s="59"/>
      <c r="S132" s="59"/>
      <c r="T132" s="59"/>
      <c r="U132" s="59"/>
      <c r="V132" s="59"/>
      <c r="W132" s="59"/>
      <c r="X132" s="59"/>
      <c r="Y132" s="80"/>
      <c r="Z132" s="59"/>
      <c r="AA132" s="80"/>
      <c r="AB132" s="59"/>
      <c r="AC132" s="80"/>
      <c r="AD132" s="59"/>
      <c r="AE132" s="80">
        <f>MAX($B$2-AE69,0)</f>
        <v>126.67782732554281</v>
      </c>
    </row>
    <row r="133" spans="1:31" x14ac:dyDescent="0.3">
      <c r="A133" s="59"/>
      <c r="B133" s="59"/>
      <c r="C133" s="59"/>
      <c r="D133" s="59"/>
      <c r="E133" s="59"/>
      <c r="F133" s="59"/>
      <c r="G133" s="59"/>
      <c r="H133" s="59"/>
      <c r="I133" s="59"/>
      <c r="J133" s="59"/>
      <c r="K133" s="59"/>
      <c r="L133" s="59"/>
      <c r="M133" s="59"/>
      <c r="N133" s="59"/>
      <c r="O133" s="59"/>
      <c r="P133" s="59"/>
      <c r="Q133" s="59"/>
      <c r="R133" s="59"/>
      <c r="S133" s="59"/>
      <c r="T133" s="59"/>
      <c r="U133" s="59"/>
      <c r="V133" s="59"/>
      <c r="W133" s="59"/>
      <c r="X133" s="59"/>
      <c r="Y133" s="59"/>
      <c r="Z133" s="80"/>
      <c r="AA133" s="59"/>
      <c r="AB133" s="80"/>
      <c r="AC133" s="59"/>
      <c r="AD133" s="80"/>
      <c r="AE133" s="59"/>
    </row>
    <row r="134" spans="1:31" x14ac:dyDescent="0.3">
      <c r="A134" s="59"/>
      <c r="B134" s="59"/>
      <c r="C134" s="59"/>
      <c r="D134" s="59"/>
      <c r="E134" s="59"/>
      <c r="F134" s="59"/>
      <c r="G134" s="59"/>
      <c r="H134" s="59"/>
      <c r="I134" s="59"/>
      <c r="J134" s="59"/>
      <c r="K134" s="59"/>
      <c r="L134" s="59"/>
      <c r="M134" s="59"/>
      <c r="N134" s="59"/>
      <c r="O134" s="59"/>
      <c r="P134" s="59"/>
      <c r="Q134" s="59"/>
      <c r="R134" s="59"/>
      <c r="S134" s="80"/>
      <c r="T134" s="59"/>
      <c r="U134" s="59"/>
      <c r="V134" s="59"/>
      <c r="W134" s="59"/>
      <c r="X134" s="59"/>
      <c r="Y134" s="59"/>
      <c r="Z134" s="59"/>
      <c r="AA134" s="80"/>
      <c r="AB134" s="59"/>
      <c r="AC134" s="80"/>
      <c r="AD134" s="59"/>
      <c r="AE134" s="80">
        <f>MAX($B$2-AE71,0)</f>
        <v>126.67782732554281</v>
      </c>
    </row>
    <row r="135" spans="1:31" x14ac:dyDescent="0.3">
      <c r="A135" s="59"/>
      <c r="B135" s="59"/>
      <c r="C135" s="59"/>
      <c r="D135" s="59"/>
      <c r="E135" s="59"/>
      <c r="F135" s="59"/>
      <c r="G135" s="59"/>
      <c r="H135" s="59"/>
      <c r="I135" s="59"/>
      <c r="J135" s="59"/>
      <c r="K135" s="59"/>
      <c r="L135" s="59"/>
      <c r="M135" s="59"/>
      <c r="N135" s="59"/>
      <c r="O135" s="59"/>
      <c r="P135" s="59"/>
      <c r="Q135" s="59"/>
      <c r="R135" s="59"/>
      <c r="S135" s="59"/>
      <c r="T135" s="59"/>
      <c r="U135" s="59"/>
      <c r="V135" s="59"/>
      <c r="W135" s="59"/>
      <c r="X135" s="59"/>
      <c r="Y135" s="59"/>
      <c r="Z135" s="59"/>
      <c r="AA135" s="59"/>
      <c r="AB135" s="80"/>
      <c r="AC135" s="59"/>
      <c r="AD135" s="80"/>
      <c r="AE135" s="59"/>
    </row>
    <row r="136" spans="1:31" x14ac:dyDescent="0.3">
      <c r="A136" s="59"/>
      <c r="B136" s="59"/>
      <c r="C136" s="59"/>
      <c r="D136" s="59"/>
      <c r="E136" s="59"/>
      <c r="F136" s="59"/>
      <c r="G136" s="59"/>
      <c r="H136" s="59"/>
      <c r="I136" s="59"/>
      <c r="J136" s="59"/>
      <c r="K136" s="59"/>
      <c r="L136" s="59"/>
      <c r="M136" s="59"/>
      <c r="N136" s="59"/>
      <c r="O136" s="59"/>
      <c r="P136" s="59"/>
      <c r="Q136" s="59"/>
      <c r="R136" s="59"/>
      <c r="S136" s="59"/>
      <c r="T136" s="59"/>
      <c r="U136" s="80"/>
      <c r="V136" s="59"/>
      <c r="W136" s="59"/>
      <c r="X136" s="59"/>
      <c r="Y136" s="59"/>
      <c r="Z136" s="59"/>
      <c r="AA136" s="59"/>
      <c r="AB136" s="59"/>
      <c r="AC136" s="80"/>
      <c r="AD136" s="59"/>
      <c r="AE136" s="80">
        <f>MAX($B$2-AE73,0)</f>
        <v>126.67782732554281</v>
      </c>
    </row>
    <row r="137" spans="1:31" x14ac:dyDescent="0.3">
      <c r="A137" s="59"/>
      <c r="B137" s="59"/>
      <c r="C137" s="59"/>
      <c r="D137" s="59"/>
      <c r="E137" s="59"/>
      <c r="F137" s="59"/>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80"/>
      <c r="AE137" s="59"/>
    </row>
    <row r="138" spans="1:31" x14ac:dyDescent="0.3">
      <c r="A138" s="59"/>
      <c r="B138" s="59"/>
      <c r="C138" s="59"/>
      <c r="D138" s="59"/>
      <c r="E138" s="59"/>
      <c r="F138" s="59"/>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80">
        <f>MAX($B$2-AE75,0)</f>
        <v>126.67782732554281</v>
      </c>
    </row>
  </sheetData>
  <mergeCells count="1">
    <mergeCell ref="E1:E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A9AC-83FD-4A59-8FB1-797FF8AF4B04}">
  <sheetPr codeName="Feuil5"/>
  <dimension ref="A2:L34"/>
  <sheetViews>
    <sheetView tabSelected="1" topLeftCell="A16" workbookViewId="0">
      <selection activeCell="C34" sqref="C34"/>
    </sheetView>
  </sheetViews>
  <sheetFormatPr baseColWidth="10" defaultColWidth="9.21875" defaultRowHeight="13.2" x14ac:dyDescent="0.25"/>
  <cols>
    <col min="1" max="1" width="14.109375" style="1" bestFit="1" customWidth="1"/>
    <col min="2" max="2" width="9.21875" style="1"/>
    <col min="3" max="3" width="19.5546875" style="1" bestFit="1" customWidth="1"/>
    <col min="4" max="4" width="20" style="1" customWidth="1"/>
    <col min="5" max="5" width="12.77734375" style="1" bestFit="1" customWidth="1"/>
    <col min="6" max="6" width="15.88671875" style="1" bestFit="1" customWidth="1"/>
    <col min="7" max="7" width="26.5546875" style="1" bestFit="1" customWidth="1"/>
    <col min="8" max="8" width="14.33203125" style="1" bestFit="1" customWidth="1"/>
    <col min="9" max="9" width="17.6640625" style="1" bestFit="1" customWidth="1"/>
    <col min="10" max="16384" width="9.21875" style="1"/>
  </cols>
  <sheetData>
    <row r="2" spans="2:9" x14ac:dyDescent="0.25">
      <c r="B2" s="5" t="s">
        <v>0</v>
      </c>
      <c r="C2" s="6" t="s">
        <v>10</v>
      </c>
      <c r="D2" s="6" t="s">
        <v>16</v>
      </c>
      <c r="E2" s="14" t="s">
        <v>15</v>
      </c>
      <c r="F2" s="1" t="s">
        <v>80</v>
      </c>
      <c r="G2" s="6" t="s">
        <v>81</v>
      </c>
      <c r="H2" s="14" t="s">
        <v>82</v>
      </c>
    </row>
    <row r="3" spans="2:9" x14ac:dyDescent="0.25">
      <c r="B3" s="5" t="s">
        <v>1</v>
      </c>
      <c r="C3" s="7">
        <v>0.03</v>
      </c>
      <c r="D3" s="7">
        <v>5.0000000000000001E-3</v>
      </c>
      <c r="E3" s="15">
        <v>0.25</v>
      </c>
    </row>
    <row r="4" spans="2:9" x14ac:dyDescent="0.25">
      <c r="B4" s="44" t="s">
        <v>2</v>
      </c>
      <c r="C4" s="10">
        <v>4.4999999999999998E-2</v>
      </c>
      <c r="D4" s="10">
        <v>7.4999999999999997E-3</v>
      </c>
      <c r="E4" s="91">
        <v>0.3</v>
      </c>
    </row>
    <row r="5" spans="2:9" x14ac:dyDescent="0.25">
      <c r="B5" s="3" t="s">
        <v>3</v>
      </c>
      <c r="C5" s="2">
        <v>0.05</v>
      </c>
      <c r="D5" s="2">
        <v>8.9999999999999993E-3</v>
      </c>
      <c r="E5" s="16">
        <v>0.32</v>
      </c>
    </row>
    <row r="6" spans="2:9" x14ac:dyDescent="0.25">
      <c r="B6" s="3" t="s">
        <v>4</v>
      </c>
      <c r="C6" s="2">
        <v>7.0000000000000007E-2</v>
      </c>
      <c r="D6" s="2">
        <v>0.01</v>
      </c>
      <c r="E6" s="16">
        <v>0.37</v>
      </c>
    </row>
    <row r="7" spans="2:9" x14ac:dyDescent="0.25">
      <c r="B7" s="3" t="s">
        <v>11</v>
      </c>
      <c r="C7" s="2">
        <v>7.4999999999999997E-2</v>
      </c>
      <c r="D7" s="2">
        <v>1.0999999999999999E-2</v>
      </c>
      <c r="E7" s="16">
        <v>0.4</v>
      </c>
    </row>
    <row r="8" spans="2:9" x14ac:dyDescent="0.25">
      <c r="B8" s="45" t="s">
        <v>12</v>
      </c>
      <c r="C8" s="11">
        <v>0.09</v>
      </c>
      <c r="D8" s="11">
        <v>1.2E-2</v>
      </c>
      <c r="E8" s="90">
        <v>0.42</v>
      </c>
      <c r="F8" s="92">
        <f>(C8*1-C4*4/12)/(1-4/12)</f>
        <v>0.11249999999999999</v>
      </c>
      <c r="G8" s="92">
        <f>(D8*1-D4*4/12)/(1-4/12)</f>
        <v>1.4249999999999999E-2</v>
      </c>
      <c r="H8" s="92">
        <f>SQRT((E8*E8*1-E4*E4*4/12)/(1-4/12))</f>
        <v>0.46861498055439921</v>
      </c>
    </row>
    <row r="10" spans="2:9" x14ac:dyDescent="0.25">
      <c r="B10" s="1" t="s">
        <v>13</v>
      </c>
      <c r="C10" s="8">
        <v>100</v>
      </c>
      <c r="D10" s="8"/>
    </row>
    <row r="11" spans="2:9" x14ac:dyDescent="0.25">
      <c r="B11" s="1" t="s">
        <v>33</v>
      </c>
      <c r="C11" s="8">
        <v>100</v>
      </c>
      <c r="D11" s="8"/>
    </row>
    <row r="12" spans="2:9" x14ac:dyDescent="0.25">
      <c r="B12" s="1" t="s">
        <v>58</v>
      </c>
      <c r="C12" s="94">
        <f>(LN(C14/C11)+(F8-G8+H8^2/2)*(8/12))/(H8*SQRT(8/12))</f>
        <v>-0.13456710853606807</v>
      </c>
    </row>
    <row r="13" spans="2:9" x14ac:dyDescent="0.25">
      <c r="B13" s="1" t="s">
        <v>59</v>
      </c>
      <c r="C13" s="94">
        <f>C12 - H8*SQRT(8/12)</f>
        <v>-0.51718963793024786</v>
      </c>
    </row>
    <row r="14" spans="2:9" x14ac:dyDescent="0.25">
      <c r="B14" s="1" t="s">
        <v>84</v>
      </c>
      <c r="C14" s="94">
        <v>82.680334336536333</v>
      </c>
    </row>
    <row r="15" spans="2:9" x14ac:dyDescent="0.25">
      <c r="B15" s="1" t="s">
        <v>83</v>
      </c>
      <c r="C15" s="93">
        <f>C14*EXP(-G8*(8/12))*NORMSDIST(C12)-C11*EXP(-F8*(8/12))*NORMSDIST(C13)</f>
        <v>8.5004992278951903</v>
      </c>
      <c r="I15" s="97"/>
    </row>
    <row r="16" spans="2:9" x14ac:dyDescent="0.25">
      <c r="B16" s="1" t="s">
        <v>85</v>
      </c>
      <c r="C16" s="1">
        <f>(LN(C10/C14)+(C4-D4+E4^2/2)*(4/12))/(E4*SQRT(4/12))</f>
        <v>1.256824606357136</v>
      </c>
    </row>
    <row r="17" spans="2:12" x14ac:dyDescent="0.25">
      <c r="B17" s="1" t="s">
        <v>86</v>
      </c>
      <c r="C17" s="1">
        <f>C16-E4*SQRT(4/12)</f>
        <v>1.0836195256002483</v>
      </c>
    </row>
    <row r="18" spans="2:12" x14ac:dyDescent="0.25">
      <c r="B18" s="1" t="s">
        <v>87</v>
      </c>
      <c r="C18" s="1">
        <f>(LN(C10/C11)+(C8-D8+E8^2/2)*1)/(E8*SQRT(1))</f>
        <v>0.39571428571428569</v>
      </c>
    </row>
    <row r="19" spans="2:12" x14ac:dyDescent="0.25">
      <c r="B19" s="1" t="s">
        <v>88</v>
      </c>
      <c r="C19" s="1">
        <f>C18-E8*SQRT(1)</f>
        <v>-2.4285714285714299E-2</v>
      </c>
    </row>
    <row r="20" spans="2:12" x14ac:dyDescent="0.25">
      <c r="B20" s="1" t="s">
        <v>89</v>
      </c>
      <c r="C20" s="1">
        <f>(E4*SQRT(4/12))/(E8*SQRT(1))</f>
        <v>0.41239304942116123</v>
      </c>
      <c r="G20" s="95" t="s">
        <v>91</v>
      </c>
      <c r="H20" s="95">
        <f>G22</f>
        <v>0.11846345</v>
      </c>
      <c r="I20" s="95"/>
      <c r="J20" s="95">
        <f>G24</f>
        <v>0.28444444000000002</v>
      </c>
      <c r="K20" s="95"/>
      <c r="L20" s="95"/>
    </row>
    <row r="21" spans="2:12" x14ac:dyDescent="0.25">
      <c r="E21" s="1" t="s">
        <v>90</v>
      </c>
      <c r="G21" s="95" t="s">
        <v>92</v>
      </c>
      <c r="H21" s="95">
        <f>F22</f>
        <v>4.691008E-2</v>
      </c>
      <c r="I21" s="95"/>
      <c r="J21" s="95">
        <f>F24</f>
        <v>0.5</v>
      </c>
      <c r="K21" s="95"/>
      <c r="L21" s="95"/>
    </row>
    <row r="22" spans="2:12" x14ac:dyDescent="0.25">
      <c r="F22" s="1">
        <v>4.691008E-2</v>
      </c>
      <c r="G22" s="1">
        <v>0.11846345</v>
      </c>
      <c r="H22" s="95">
        <f>1/(2*PI()*SQRT(1-($C$20*F22)^2))*EXP(-($C$16^2-2*$C$20*F22*$C$16*$C$18+$C$18^2)/(2*(1-($C$20*F22)^2)))</f>
        <v>6.7441889386863504E-2</v>
      </c>
      <c r="I22" s="95"/>
      <c r="J22" s="95">
        <f>1/(2*PI()*SQRT(1-($C$20*F22)^2))*EXP(-($C$17^2-2*$C$20*F22*$C$17*$C$19+$C$19^2)/(2*(1-($C$20*F22)^2)))</f>
        <v>8.8404743105163316E-2</v>
      </c>
      <c r="K22" s="95"/>
      <c r="L22" s="95"/>
    </row>
    <row r="23" spans="2:12" x14ac:dyDescent="0.25">
      <c r="F23" s="1">
        <v>0.23076534000000001</v>
      </c>
      <c r="G23" s="1">
        <v>0.23931433999999999</v>
      </c>
      <c r="H23" s="95">
        <f t="shared" ref="H23:H26" si="0">1/(2*PI()*SQRT(1-($C$20*F23)^2))*EXP(-($C$16^2-2*$C$20*F23*$C$16*$C$18+$C$18^2)/(2*(1-($C$20*F23)^2)))</f>
        <v>6.9836520964025262E-2</v>
      </c>
      <c r="I23" s="95"/>
      <c r="J23" s="95">
        <f t="shared" ref="J23:J26" si="1">1/(2*PI()*SQRT(1-($C$20*F23)^2))*EXP(-($C$17^2-2*$C$20*F23*$C$17*$C$19+$C$19^2)/(2*(1-($C$20*F23)^2)))</f>
        <v>8.8157124058895295E-2</v>
      </c>
      <c r="K23" s="95"/>
      <c r="L23" s="95"/>
    </row>
    <row r="24" spans="2:12" x14ac:dyDescent="0.25">
      <c r="F24" s="1">
        <v>0.5</v>
      </c>
      <c r="G24" s="1">
        <v>0.28444444000000002</v>
      </c>
      <c r="H24" s="95">
        <f t="shared" si="0"/>
        <v>7.3116880358524663E-2</v>
      </c>
      <c r="I24" s="95"/>
      <c r="J24" s="95">
        <f t="shared" si="1"/>
        <v>8.7570139278927039E-2</v>
      </c>
      <c r="K24" s="95"/>
      <c r="L24" s="95"/>
    </row>
    <row r="25" spans="2:12" x14ac:dyDescent="0.25">
      <c r="F25" s="1">
        <v>0.76923465999999996</v>
      </c>
      <c r="G25" s="1">
        <v>0.23931433999999999</v>
      </c>
      <c r="H25" s="95">
        <f t="shared" si="0"/>
        <v>7.6180174836003686E-2</v>
      </c>
      <c r="I25" s="95"/>
      <c r="J25" s="95">
        <f t="shared" si="1"/>
        <v>8.6529907200065106E-2</v>
      </c>
      <c r="K25" s="95"/>
      <c r="L25" s="95"/>
    </row>
    <row r="26" spans="2:12" x14ac:dyDescent="0.25">
      <c r="F26" s="1">
        <v>0.95308992000000003</v>
      </c>
      <c r="G26" s="1">
        <v>0.11846345</v>
      </c>
      <c r="H26" s="95">
        <f t="shared" si="0"/>
        <v>7.8121717957559053E-2</v>
      </c>
      <c r="I26" s="95"/>
      <c r="J26" s="95">
        <f t="shared" si="1"/>
        <v>8.5354403117846395E-2</v>
      </c>
      <c r="K26" s="95"/>
      <c r="L26" s="95"/>
    </row>
    <row r="28" spans="2:12" x14ac:dyDescent="0.25">
      <c r="I28" s="1" t="s">
        <v>163</v>
      </c>
      <c r="J28" s="1" t="s">
        <v>164</v>
      </c>
    </row>
    <row r="29" spans="2:12" x14ac:dyDescent="0.25">
      <c r="I29" s="96">
        <f>NORMSDIST($C$16)*NORMSDIST($C$18)+$C$20*SUMPRODUCT(G22:G26,H22:H26)</f>
        <v>0.61567410190680216</v>
      </c>
      <c r="J29" s="13">
        <f>NORMSDIST($C$17)*NORMSDIST($C$19)+$C$20*SUMPRODUCT(G22:G26,J22:J26)</f>
        <v>0.45802925136609418</v>
      </c>
    </row>
    <row r="33" spans="1:3" x14ac:dyDescent="0.25">
      <c r="A33" s="1" t="s">
        <v>162</v>
      </c>
      <c r="B33" s="13" t="s">
        <v>93</v>
      </c>
      <c r="C33" s="13">
        <f>$C$10*EXP(-$D$8*1)*I29-$C$11*EXP(-$C$8*1)*J29-8.5*EXP(-$C$4*(4/12))*NORMSDIST($C$17)</f>
        <v>11.76498679772731</v>
      </c>
    </row>
    <row r="34" spans="1:3" x14ac:dyDescent="0.25">
      <c r="B34" s="13" t="s">
        <v>94</v>
      </c>
      <c r="C34" s="13">
        <f>InstallmentI1(100,100,9%,D8,42%,C4,D4,30%,1,4/12,8.5)</f>
        <v>11.764986802026474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2AF93-5836-46F0-AF57-C451019A8AB8}">
  <sheetPr codeName="Feuil4"/>
  <dimension ref="A1:P43"/>
  <sheetViews>
    <sheetView zoomScale="90" zoomScaleNormal="90" workbookViewId="0">
      <selection activeCell="C4" sqref="C4 C8"/>
    </sheetView>
  </sheetViews>
  <sheetFormatPr baseColWidth="10" defaultColWidth="9.21875" defaultRowHeight="14.4" x14ac:dyDescent="0.3"/>
  <cols>
    <col min="1" max="1" width="12.21875" style="118" customWidth="1"/>
    <col min="2" max="2" width="11.88671875" style="118" bestFit="1" customWidth="1"/>
    <col min="3" max="3" width="26.33203125" style="118" bestFit="1" customWidth="1"/>
    <col min="4" max="4" width="37.88671875" style="118" bestFit="1" customWidth="1"/>
    <col min="5" max="5" width="43" style="118" bestFit="1" customWidth="1"/>
    <col min="6" max="6" width="16.109375" style="118" bestFit="1" customWidth="1"/>
    <col min="7" max="7" width="19.21875" style="118" bestFit="1" customWidth="1"/>
    <col min="8" max="8" width="16.109375" style="118" bestFit="1" customWidth="1"/>
    <col min="9" max="12" width="13.6640625" style="118" bestFit="1" customWidth="1"/>
    <col min="13" max="16384" width="9.21875" style="118"/>
  </cols>
  <sheetData>
    <row r="1" spans="1:16" s="119" customFormat="1" ht="18" x14ac:dyDescent="0.35">
      <c r="A1" s="116"/>
      <c r="B1" s="117"/>
      <c r="C1" s="117"/>
      <c r="D1" s="117"/>
      <c r="E1" s="117"/>
      <c r="F1" s="117"/>
      <c r="G1" s="117"/>
      <c r="H1" s="118"/>
      <c r="I1" s="118"/>
      <c r="J1" s="118"/>
      <c r="K1" s="118"/>
      <c r="L1" s="118"/>
      <c r="M1" s="118"/>
      <c r="N1" s="118"/>
      <c r="O1" s="118"/>
      <c r="P1" s="118"/>
    </row>
    <row r="2" spans="1:16" s="119" customFormat="1" ht="18" x14ac:dyDescent="0.35">
      <c r="A2" s="118"/>
      <c r="B2" s="120" t="s">
        <v>8</v>
      </c>
      <c r="C2" s="121" t="s">
        <v>124</v>
      </c>
      <c r="D2" s="120" t="s">
        <v>125</v>
      </c>
      <c r="E2" s="118"/>
      <c r="F2" s="122"/>
      <c r="G2" s="147" t="s">
        <v>150</v>
      </c>
      <c r="H2" s="147" t="s">
        <v>155</v>
      </c>
      <c r="I2" s="147" t="s">
        <v>156</v>
      </c>
      <c r="J2" s="147" t="s">
        <v>158</v>
      </c>
      <c r="K2" s="149" t="s">
        <v>157</v>
      </c>
      <c r="L2" s="148" t="s">
        <v>159</v>
      </c>
      <c r="M2" s="118"/>
      <c r="N2" s="118"/>
    </row>
    <row r="3" spans="1:16" s="119" customFormat="1" ht="18" x14ac:dyDescent="0.35">
      <c r="A3" s="118"/>
      <c r="B3" s="123">
        <v>46103</v>
      </c>
      <c r="C3" s="120"/>
      <c r="D3" s="124"/>
      <c r="E3" s="118"/>
      <c r="F3" s="122"/>
      <c r="G3" s="147"/>
      <c r="H3" s="147"/>
      <c r="I3" s="148"/>
      <c r="J3" s="148"/>
      <c r="K3" s="149"/>
      <c r="L3" s="148"/>
      <c r="M3" s="118"/>
      <c r="N3" s="118"/>
    </row>
    <row r="4" spans="1:16" s="119" customFormat="1" ht="18" x14ac:dyDescent="0.35">
      <c r="A4" s="118"/>
      <c r="B4" s="125">
        <f>EDATE(B3,3)</f>
        <v>46195</v>
      </c>
      <c r="C4" s="126">
        <v>300</v>
      </c>
      <c r="D4" s="127">
        <v>2.9267421083978569E-2</v>
      </c>
      <c r="E4" s="118" t="s">
        <v>126</v>
      </c>
      <c r="F4" s="128"/>
      <c r="G4" s="147">
        <f>B4-B3</f>
        <v>92</v>
      </c>
      <c r="H4" s="147">
        <f>G4*D4</f>
        <v>2.6926027397260284</v>
      </c>
      <c r="I4" s="148">
        <f>H4</f>
        <v>2.6926027397260284</v>
      </c>
      <c r="J4" s="148">
        <f>EXP(-I4/360)</f>
        <v>0.99254844944075682</v>
      </c>
      <c r="K4" s="149">
        <f>(B4-B3)/360</f>
        <v>0.25555555555555554</v>
      </c>
      <c r="L4" s="148">
        <f>K4*J4</f>
        <v>0.25365127041263785</v>
      </c>
      <c r="M4" s="118"/>
      <c r="N4" s="118"/>
    </row>
    <row r="5" spans="1:16" s="119" customFormat="1" ht="18" x14ac:dyDescent="0.35">
      <c r="A5" s="118"/>
      <c r="B5" s="125">
        <f t="shared" ref="B5:B12" si="0">EDATE(B4,3)</f>
        <v>46287</v>
      </c>
      <c r="C5" s="126"/>
      <c r="D5" s="127">
        <v>6.8826682549136264E-2</v>
      </c>
      <c r="E5" s="118" t="s">
        <v>127</v>
      </c>
      <c r="F5" s="128"/>
      <c r="G5" s="147">
        <f t="shared" ref="G5:G12" si="1">B5-B4</f>
        <v>92</v>
      </c>
      <c r="H5" s="147">
        <f t="shared" ref="H5:H12" si="2">G5*D5</f>
        <v>6.3320547945205359</v>
      </c>
      <c r="I5" s="148">
        <f>I4+H5</f>
        <v>9.0246575342465647</v>
      </c>
      <c r="J5" s="148">
        <f t="shared" ref="J5:J12" si="3">EXP(-I5/360)</f>
        <v>0.9752431122672528</v>
      </c>
      <c r="K5" s="149">
        <f t="shared" ref="K5:K12" si="4">(B5-B4)/360</f>
        <v>0.25555555555555554</v>
      </c>
      <c r="L5" s="148">
        <f t="shared" ref="L5:L12" si="5">K5*J5</f>
        <v>0.24922879535718681</v>
      </c>
      <c r="M5" s="118">
        <f>SUM(L5:L8)</f>
        <v>0.95609329253904773</v>
      </c>
      <c r="N5" s="118" t="s">
        <v>161</v>
      </c>
    </row>
    <row r="6" spans="1:16" s="119" customFormat="1" ht="18" x14ac:dyDescent="0.35">
      <c r="A6" s="118"/>
      <c r="B6" s="125">
        <f t="shared" si="0"/>
        <v>46378</v>
      </c>
      <c r="C6" s="126"/>
      <c r="D6" s="127">
        <v>6.475989763661015E-2</v>
      </c>
      <c r="E6" s="118" t="s">
        <v>128</v>
      </c>
      <c r="F6" s="128"/>
      <c r="G6" s="147">
        <f t="shared" si="1"/>
        <v>91</v>
      </c>
      <c r="H6" s="147">
        <f t="shared" si="2"/>
        <v>5.8931506849315234</v>
      </c>
      <c r="I6" s="148">
        <f t="shared" ref="I6:I12" si="6">I5+H6</f>
        <v>14.917808219178088</v>
      </c>
      <c r="J6" s="148">
        <f t="shared" si="3"/>
        <v>0.95940847513698202</v>
      </c>
      <c r="K6" s="149">
        <f t="shared" si="4"/>
        <v>0.25277777777777777</v>
      </c>
      <c r="L6" s="148">
        <f t="shared" si="5"/>
        <v>0.24251714232629268</v>
      </c>
      <c r="M6" s="118"/>
      <c r="N6" s="118"/>
    </row>
    <row r="7" spans="1:16" s="119" customFormat="1" ht="18" x14ac:dyDescent="0.35">
      <c r="A7" s="118"/>
      <c r="B7" s="125">
        <f t="shared" si="0"/>
        <v>46468</v>
      </c>
      <c r="C7" s="126"/>
      <c r="D7" s="127">
        <v>0.11424657534246549</v>
      </c>
      <c r="E7" s="118" t="s">
        <v>129</v>
      </c>
      <c r="F7" s="128"/>
      <c r="G7" s="147">
        <f t="shared" si="1"/>
        <v>90</v>
      </c>
      <c r="H7" s="147">
        <f t="shared" si="2"/>
        <v>10.282191780821893</v>
      </c>
      <c r="I7" s="148">
        <f t="shared" si="6"/>
        <v>25.199999999999982</v>
      </c>
      <c r="J7" s="148">
        <f t="shared" si="3"/>
        <v>0.93239381990594827</v>
      </c>
      <c r="K7" s="149">
        <f t="shared" si="4"/>
        <v>0.25</v>
      </c>
      <c r="L7" s="148">
        <f t="shared" si="5"/>
        <v>0.23309845497648707</v>
      </c>
      <c r="M7" s="118"/>
      <c r="N7" s="118"/>
    </row>
    <row r="8" spans="1:16" s="119" customFormat="1" ht="18" x14ac:dyDescent="0.35">
      <c r="A8" s="118"/>
      <c r="B8" s="125">
        <f t="shared" si="0"/>
        <v>46560</v>
      </c>
      <c r="C8" s="126">
        <v>200</v>
      </c>
      <c r="D8" s="127">
        <v>0.11717689100655189</v>
      </c>
      <c r="E8" s="118" t="s">
        <v>130</v>
      </c>
      <c r="F8" s="128"/>
      <c r="G8" s="147">
        <f t="shared" si="1"/>
        <v>92</v>
      </c>
      <c r="H8" s="147">
        <f t="shared" si="2"/>
        <v>10.780273972602775</v>
      </c>
      <c r="I8" s="148">
        <f t="shared" si="6"/>
        <v>35.98027397260276</v>
      </c>
      <c r="J8" s="148">
        <f t="shared" si="3"/>
        <v>0.90488699952683926</v>
      </c>
      <c r="K8" s="149">
        <f t="shared" si="4"/>
        <v>0.25555555555555554</v>
      </c>
      <c r="L8" s="148">
        <f t="shared" si="5"/>
        <v>0.23124889987908112</v>
      </c>
      <c r="M8" s="118"/>
      <c r="N8" s="118"/>
    </row>
    <row r="9" spans="1:16" s="119" customFormat="1" ht="18" x14ac:dyDescent="0.35">
      <c r="A9" s="118"/>
      <c r="B9" s="125">
        <f t="shared" si="0"/>
        <v>46652</v>
      </c>
      <c r="C9" s="126"/>
      <c r="D9" s="127">
        <v>0.10827873734365696</v>
      </c>
      <c r="E9" s="118" t="s">
        <v>131</v>
      </c>
      <c r="F9" s="128"/>
      <c r="G9" s="147">
        <f t="shared" si="1"/>
        <v>92</v>
      </c>
      <c r="H9" s="147">
        <f t="shared" si="2"/>
        <v>9.9616438356164405</v>
      </c>
      <c r="I9" s="148">
        <f t="shared" si="6"/>
        <v>45.941917808219202</v>
      </c>
      <c r="J9" s="148">
        <f t="shared" si="3"/>
        <v>0.88019092188316839</v>
      </c>
      <c r="K9" s="149">
        <f t="shared" si="4"/>
        <v>0.25555555555555554</v>
      </c>
      <c r="L9" s="148">
        <f t="shared" si="5"/>
        <v>0.2249376800368097</v>
      </c>
      <c r="M9" s="118"/>
      <c r="N9" s="118"/>
    </row>
    <row r="10" spans="1:16" s="119" customFormat="1" ht="18" x14ac:dyDescent="0.35">
      <c r="A10" s="118"/>
      <c r="B10" s="125">
        <f t="shared" si="0"/>
        <v>46743</v>
      </c>
      <c r="C10" s="126"/>
      <c r="D10" s="127">
        <v>0.11944001204275158</v>
      </c>
      <c r="E10" s="118" t="s">
        <v>132</v>
      </c>
      <c r="F10" s="128"/>
      <c r="G10" s="147">
        <f t="shared" si="1"/>
        <v>91</v>
      </c>
      <c r="H10" s="147">
        <f t="shared" si="2"/>
        <v>10.869041095890394</v>
      </c>
      <c r="I10" s="148">
        <f t="shared" si="6"/>
        <v>56.810958904109597</v>
      </c>
      <c r="J10" s="148">
        <f t="shared" si="3"/>
        <v>0.85401354968471366</v>
      </c>
      <c r="K10" s="149">
        <f t="shared" si="4"/>
        <v>0.25277777777777777</v>
      </c>
      <c r="L10" s="148">
        <f t="shared" si="5"/>
        <v>0.21587564728141373</v>
      </c>
      <c r="M10" s="118">
        <f>SUM(L9:L12)</f>
        <v>0.84805556378335811</v>
      </c>
      <c r="N10" s="118" t="s">
        <v>161</v>
      </c>
    </row>
    <row r="11" spans="1:16" s="119" customFormat="1" ht="18" x14ac:dyDescent="0.35">
      <c r="A11" s="118"/>
      <c r="B11" s="125">
        <f t="shared" si="0"/>
        <v>46834</v>
      </c>
      <c r="C11" s="126"/>
      <c r="D11" s="127">
        <v>0.24722565106126759</v>
      </c>
      <c r="E11" s="118" t="s">
        <v>133</v>
      </c>
      <c r="F11" s="128"/>
      <c r="G11" s="147">
        <f t="shared" si="1"/>
        <v>91</v>
      </c>
      <c r="H11" s="147">
        <f t="shared" si="2"/>
        <v>22.497534246575352</v>
      </c>
      <c r="I11" s="148">
        <f t="shared" si="6"/>
        <v>79.308493150684953</v>
      </c>
      <c r="J11" s="148">
        <f t="shared" si="3"/>
        <v>0.80227697942251097</v>
      </c>
      <c r="K11" s="149">
        <f t="shared" si="4"/>
        <v>0.25277777777777777</v>
      </c>
      <c r="L11" s="148">
        <f t="shared" si="5"/>
        <v>0.20279779202069026</v>
      </c>
      <c r="M11" s="118"/>
      <c r="N11" s="118"/>
    </row>
    <row r="12" spans="1:16" s="119" customFormat="1" ht="18" x14ac:dyDescent="0.35">
      <c r="A12" s="118"/>
      <c r="B12" s="129">
        <f t="shared" si="0"/>
        <v>46926</v>
      </c>
      <c r="C12" s="130"/>
      <c r="D12" s="131">
        <v>1.1121579591636508E-2</v>
      </c>
      <c r="E12" s="118" t="s">
        <v>134</v>
      </c>
      <c r="F12" s="128"/>
      <c r="G12" s="147">
        <f t="shared" si="1"/>
        <v>92</v>
      </c>
      <c r="H12" s="147">
        <f t="shared" si="2"/>
        <v>1.0231853224305587</v>
      </c>
      <c r="I12" s="148">
        <f t="shared" si="6"/>
        <v>80.331678473115517</v>
      </c>
      <c r="J12" s="148">
        <f t="shared" si="3"/>
        <v>0.8</v>
      </c>
      <c r="K12" s="149">
        <f t="shared" si="4"/>
        <v>0.25555555555555554</v>
      </c>
      <c r="L12" s="148">
        <f t="shared" si="5"/>
        <v>0.20444444444444443</v>
      </c>
      <c r="M12" s="118"/>
      <c r="N12" s="118"/>
    </row>
    <row r="13" spans="1:16" s="119" customFormat="1" ht="18" x14ac:dyDescent="0.35">
      <c r="A13" s="118"/>
      <c r="B13" s="132"/>
      <c r="C13" s="133"/>
      <c r="D13" s="122"/>
      <c r="E13" s="117"/>
      <c r="F13" s="117"/>
      <c r="G13" s="117"/>
      <c r="H13" s="118"/>
      <c r="I13" s="118"/>
      <c r="J13" s="118"/>
      <c r="K13" s="118"/>
      <c r="L13" s="148">
        <f>SUM(L4:L12)</f>
        <v>2.0578001267350436</v>
      </c>
      <c r="M13" s="118"/>
      <c r="N13" s="118"/>
    </row>
    <row r="14" spans="1:16" ht="18" x14ac:dyDescent="0.35">
      <c r="A14" s="116"/>
      <c r="B14" s="117" t="s">
        <v>135</v>
      </c>
      <c r="C14" s="117" t="s">
        <v>136</v>
      </c>
      <c r="D14" s="117"/>
      <c r="E14" s="134">
        <f>H16/H19</f>
        <v>0.10795957312533239</v>
      </c>
      <c r="F14" s="117"/>
      <c r="G14" s="117"/>
    </row>
    <row r="15" spans="1:16" ht="18" x14ac:dyDescent="0.35">
      <c r="B15" s="122"/>
      <c r="C15" s="122"/>
      <c r="D15" s="122"/>
      <c r="E15" s="117"/>
      <c r="F15" s="117"/>
      <c r="G15" s="117"/>
    </row>
    <row r="16" spans="1:16" ht="18" x14ac:dyDescent="0.35">
      <c r="B16" s="117" t="s">
        <v>95</v>
      </c>
      <c r="C16" s="117" t="s">
        <v>137</v>
      </c>
      <c r="D16" s="135"/>
      <c r="E16" s="136">
        <f>E14</f>
        <v>0.10795957312533239</v>
      </c>
      <c r="F16" s="117"/>
      <c r="G16" s="147" t="s">
        <v>151</v>
      </c>
      <c r="H16" s="148">
        <f>C4*(J4-J8) + C8*(J8-J12)</f>
        <v>47.275834879543112</v>
      </c>
    </row>
    <row r="17" spans="1:13" ht="18" x14ac:dyDescent="0.35">
      <c r="B17" s="132"/>
      <c r="C17" s="117" t="s">
        <v>138</v>
      </c>
      <c r="D17" s="135"/>
      <c r="E17" s="137">
        <v>0.11</v>
      </c>
      <c r="F17" s="117"/>
      <c r="G17" s="147" t="s">
        <v>153</v>
      </c>
      <c r="H17" s="148">
        <f>365/360</f>
        <v>1.0138888888888888</v>
      </c>
    </row>
    <row r="18" spans="1:13" ht="18" x14ac:dyDescent="0.35">
      <c r="B18" s="132"/>
      <c r="C18" s="117" t="s">
        <v>139</v>
      </c>
      <c r="D18" s="135"/>
      <c r="E18" s="137">
        <v>0.35</v>
      </c>
      <c r="F18" s="117"/>
      <c r="G18" s="147" t="s">
        <v>154</v>
      </c>
      <c r="H18" s="148">
        <f>366/360</f>
        <v>1.0166666666666666</v>
      </c>
    </row>
    <row r="19" spans="1:13" ht="18" x14ac:dyDescent="0.35">
      <c r="B19" s="132"/>
      <c r="C19" s="117" t="s">
        <v>5</v>
      </c>
      <c r="D19" s="135"/>
      <c r="E19" s="138">
        <f>K4</f>
        <v>0.25555555555555554</v>
      </c>
      <c r="F19" s="117"/>
      <c r="G19" s="147" t="s">
        <v>152</v>
      </c>
      <c r="H19" s="148">
        <f>C4*H17*J8 + C8*H18*J12</f>
        <v>437.90312902274695</v>
      </c>
    </row>
    <row r="20" spans="1:13" ht="18" x14ac:dyDescent="0.35">
      <c r="B20" s="132"/>
      <c r="C20" s="117"/>
      <c r="D20" s="135"/>
      <c r="E20" s="117"/>
      <c r="F20" s="117"/>
      <c r="G20" s="117"/>
    </row>
    <row r="21" spans="1:13" ht="18" x14ac:dyDescent="0.35">
      <c r="B21" s="132"/>
      <c r="C21" s="117"/>
      <c r="D21" s="135"/>
      <c r="E21" s="139"/>
      <c r="F21" s="117"/>
      <c r="G21" s="117"/>
    </row>
    <row r="22" spans="1:13" ht="18" x14ac:dyDescent="0.35">
      <c r="B22" s="132"/>
      <c r="C22" s="140"/>
      <c r="D22" s="135"/>
      <c r="E22" s="117"/>
      <c r="F22" s="117"/>
      <c r="G22" s="117"/>
    </row>
    <row r="23" spans="1:13" ht="18" x14ac:dyDescent="0.35">
      <c r="B23" s="132"/>
      <c r="C23" s="117" t="s">
        <v>58</v>
      </c>
      <c r="D23" s="135"/>
      <c r="E23" s="150">
        <f>(LN(E16/E17)+(0.5*E18*E18*E19))/(E18*SQRT(E19))</f>
        <v>-1.7355386976735235E-2</v>
      </c>
      <c r="F23" s="117"/>
      <c r="G23" s="117"/>
    </row>
    <row r="24" spans="1:13" ht="18" x14ac:dyDescent="0.35">
      <c r="B24" s="132"/>
      <c r="C24" s="117" t="s">
        <v>59</v>
      </c>
      <c r="D24" s="128"/>
      <c r="E24" s="150">
        <f>E23-(E18*SQRT(E19))</f>
        <v>-0.19428914733793806</v>
      </c>
      <c r="F24" s="117"/>
      <c r="G24" s="117"/>
    </row>
    <row r="25" spans="1:13" ht="18" x14ac:dyDescent="0.35">
      <c r="B25" s="132"/>
      <c r="C25" s="117" t="s">
        <v>140</v>
      </c>
      <c r="D25" s="128"/>
      <c r="E25" s="151">
        <f>(C4*(365/360)*J8 + C8*(366/360)*J12)*(E16*NORMSDIST(E23) - E17*NORMSDIST(E24))</f>
        <v>2.9361896510941627</v>
      </c>
      <c r="F25" s="117" t="s">
        <v>160</v>
      </c>
      <c r="G25" s="117"/>
    </row>
    <row r="26" spans="1:13" ht="18" x14ac:dyDescent="0.35">
      <c r="B26" s="132"/>
      <c r="C26" s="117"/>
      <c r="D26" s="128"/>
      <c r="E26" s="117"/>
      <c r="F26" s="117"/>
      <c r="G26" s="117"/>
    </row>
    <row r="27" spans="1:13" ht="18" x14ac:dyDescent="0.35">
      <c r="A27" s="116"/>
      <c r="B27" s="117"/>
      <c r="C27" s="117"/>
      <c r="D27" s="117"/>
      <c r="E27" s="141" t="s">
        <v>141</v>
      </c>
      <c r="F27" s="141" t="s">
        <v>142</v>
      </c>
      <c r="G27" s="128"/>
      <c r="H27" s="128"/>
      <c r="I27" s="117"/>
      <c r="J27" s="117"/>
      <c r="K27" s="117"/>
      <c r="L27" s="117"/>
      <c r="M27" s="117"/>
    </row>
    <row r="28" spans="1:13" ht="18" x14ac:dyDescent="0.35">
      <c r="B28" s="117" t="s">
        <v>143</v>
      </c>
      <c r="C28" s="117" t="s">
        <v>144</v>
      </c>
      <c r="D28" s="135"/>
      <c r="E28" s="153">
        <f>(J4/J8-1)/(365/360)</f>
        <v>9.5548513990680137E-2</v>
      </c>
      <c r="F28" s="155">
        <f>(J8/J12-1)/(366/360)</f>
        <v>0.12895942564775312</v>
      </c>
      <c r="G28" s="117"/>
      <c r="H28" s="117"/>
      <c r="I28" s="117"/>
      <c r="J28" s="117"/>
      <c r="K28" s="117"/>
      <c r="L28" s="117"/>
      <c r="M28" s="117"/>
    </row>
    <row r="29" spans="1:13" ht="18" x14ac:dyDescent="0.35">
      <c r="B29" s="132"/>
      <c r="C29" s="117" t="s">
        <v>145</v>
      </c>
      <c r="D29" s="135"/>
      <c r="E29" s="154">
        <f>E28</f>
        <v>9.5548513990680137E-2</v>
      </c>
      <c r="F29" s="156">
        <f>F28</f>
        <v>0.12895942564775312</v>
      </c>
      <c r="G29" s="117"/>
      <c r="H29" s="117"/>
      <c r="I29" s="117"/>
      <c r="J29" s="117"/>
      <c r="K29" s="117"/>
      <c r="L29" s="117"/>
      <c r="M29" s="117"/>
    </row>
    <row r="30" spans="1:13" ht="18" x14ac:dyDescent="0.35">
      <c r="B30" s="132"/>
      <c r="C30" s="117" t="s">
        <v>146</v>
      </c>
      <c r="D30" s="135"/>
      <c r="E30" s="152">
        <v>0.3</v>
      </c>
      <c r="F30" s="142">
        <v>0.32</v>
      </c>
      <c r="G30" s="117"/>
      <c r="H30" s="117"/>
      <c r="I30" s="117"/>
      <c r="J30" s="117"/>
      <c r="K30" s="117"/>
      <c r="L30" s="117"/>
      <c r="M30" s="117"/>
    </row>
    <row r="31" spans="1:13" ht="18" x14ac:dyDescent="0.35">
      <c r="B31" s="132"/>
      <c r="C31" s="117" t="s">
        <v>0</v>
      </c>
      <c r="D31" s="135"/>
      <c r="E31" s="143">
        <f>K4</f>
        <v>0.25555555555555554</v>
      </c>
      <c r="F31" s="143">
        <f>SUM(K4:K8)</f>
        <v>1.2694444444444444</v>
      </c>
      <c r="G31" s="117"/>
      <c r="H31" s="117"/>
      <c r="I31" s="117"/>
      <c r="J31" s="117"/>
      <c r="K31" s="117"/>
      <c r="L31" s="117"/>
      <c r="M31" s="117"/>
    </row>
    <row r="32" spans="1:13" ht="18" x14ac:dyDescent="0.35">
      <c r="B32" s="132"/>
      <c r="C32" s="117"/>
      <c r="D32" s="135"/>
      <c r="E32" s="135"/>
      <c r="F32" s="135"/>
      <c r="G32" s="117"/>
      <c r="H32" s="117"/>
      <c r="I32" s="117"/>
      <c r="J32" s="117"/>
      <c r="K32" s="117"/>
      <c r="L32" s="117"/>
      <c r="M32" s="117"/>
    </row>
    <row r="33" spans="1:13" ht="18" x14ac:dyDescent="0.35">
      <c r="B33" s="132"/>
      <c r="C33" s="117"/>
      <c r="D33" s="135"/>
      <c r="E33" s="117"/>
      <c r="F33" s="117"/>
      <c r="G33" s="117"/>
      <c r="H33" s="117"/>
      <c r="I33" s="117"/>
      <c r="J33" s="117"/>
      <c r="K33" s="117"/>
      <c r="L33" s="117"/>
      <c r="M33" s="117"/>
    </row>
    <row r="34" spans="1:13" x14ac:dyDescent="0.3">
      <c r="B34" s="132"/>
      <c r="C34" s="140"/>
      <c r="D34" s="135"/>
      <c r="E34" s="132"/>
      <c r="F34" s="132"/>
      <c r="G34" s="132"/>
      <c r="H34" s="132"/>
      <c r="I34" s="132"/>
      <c r="J34" s="132"/>
      <c r="K34" s="132"/>
      <c r="L34" s="132"/>
      <c r="M34" s="132"/>
    </row>
    <row r="35" spans="1:13" ht="18" x14ac:dyDescent="0.35">
      <c r="B35" s="132"/>
      <c r="C35" s="117" t="s">
        <v>58</v>
      </c>
      <c r="D35" s="135"/>
      <c r="E35" s="157">
        <f>(LN(E28/E29)+(0.5*E30*E30*E31))/(E30*SQRT(E31))</f>
        <v>7.5828754440515497E-2</v>
      </c>
      <c r="F35" s="157">
        <f>(LN(F28/F29)+(0.5*F30*F30*F31))/(F30*SQRT(F31))</f>
        <v>0.18027140033232608</v>
      </c>
      <c r="G35" s="117"/>
      <c r="H35" s="117"/>
      <c r="I35" s="117"/>
      <c r="J35" s="117"/>
      <c r="K35" s="117"/>
      <c r="L35" s="117"/>
      <c r="M35" s="117"/>
    </row>
    <row r="36" spans="1:13" ht="18" x14ac:dyDescent="0.35">
      <c r="B36" s="132"/>
      <c r="C36" s="117" t="s">
        <v>59</v>
      </c>
      <c r="D36" s="128"/>
      <c r="E36" s="158">
        <f>E35-(E30*SQRT(E31))</f>
        <v>-7.5828754440515497E-2</v>
      </c>
      <c r="F36" s="158">
        <f>F35-(F30*SQRT(F31))</f>
        <v>-0.18027140033232608</v>
      </c>
      <c r="G36" s="117"/>
      <c r="H36" s="117"/>
      <c r="I36" s="117"/>
      <c r="J36" s="117"/>
      <c r="K36" s="117"/>
      <c r="L36" s="117"/>
      <c r="M36" s="117"/>
    </row>
    <row r="37" spans="1:13" ht="18" x14ac:dyDescent="0.35">
      <c r="B37" s="132"/>
      <c r="C37" s="117" t="s">
        <v>147</v>
      </c>
      <c r="D37" s="128"/>
      <c r="E37" s="159">
        <f>C4*((E28*NORMSDIST(E35))-(E29*NORMSDIST(E36)))*(SUM(L5:L8))*365/360</f>
        <v>1.6795532258988684</v>
      </c>
      <c r="F37" s="159">
        <f>C8*((F28*NORMSDIST(F35))-(F29*NORMSDIST(F36)))*(SUM(L9:L12))*366/360</f>
        <v>3.1813078376567812</v>
      </c>
      <c r="G37" s="117" t="s">
        <v>160</v>
      </c>
      <c r="H37" s="117"/>
      <c r="I37" s="117"/>
      <c r="J37" s="117"/>
      <c r="K37" s="117"/>
      <c r="L37" s="117"/>
      <c r="M37" s="117"/>
    </row>
    <row r="38" spans="1:13" ht="18" x14ac:dyDescent="0.35">
      <c r="C38" s="117" t="s">
        <v>148</v>
      </c>
      <c r="D38" s="117"/>
      <c r="E38" s="143">
        <f>E37+F37</f>
        <v>4.8608610635556495</v>
      </c>
      <c r="F38" s="117" t="s">
        <v>160</v>
      </c>
      <c r="G38" s="117"/>
      <c r="I38" s="117"/>
    </row>
    <row r="41" spans="1:13" ht="18" x14ac:dyDescent="0.35">
      <c r="A41" s="141" t="s">
        <v>7</v>
      </c>
    </row>
    <row r="42" spans="1:13" ht="18" x14ac:dyDescent="0.35">
      <c r="A42" s="144" t="s">
        <v>149</v>
      </c>
      <c r="B42" s="144"/>
      <c r="C42" s="144"/>
      <c r="D42" s="144"/>
    </row>
    <row r="43" spans="1:13" ht="18" x14ac:dyDescent="0.35">
      <c r="A43" s="145" t="s">
        <v>6</v>
      </c>
      <c r="B43" s="146"/>
      <c r="C43" s="146"/>
      <c r="D43" s="146"/>
    </row>
  </sheetData>
  <sheetProtection formatCells="0" selectLockedCells="1"/>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509CB-B323-41DF-8AC8-F6C6A5C28F40}">
  <sheetPr codeName="Feuil6"/>
  <dimension ref="A1:S12915"/>
  <sheetViews>
    <sheetView topLeftCell="A14" zoomScale="85" zoomScaleNormal="85" workbookViewId="0">
      <selection activeCell="I5" sqref="I5"/>
    </sheetView>
  </sheetViews>
  <sheetFormatPr baseColWidth="10" defaultColWidth="8.88671875" defaultRowHeight="13.2" x14ac:dyDescent="0.25"/>
  <cols>
    <col min="1" max="1" width="12.21875" style="13" customWidth="1"/>
    <col min="2" max="2" width="11.109375" style="13" bestFit="1" customWidth="1"/>
    <col min="3" max="3" width="18.6640625" style="13" bestFit="1" customWidth="1"/>
    <col min="4" max="4" width="17.6640625" style="13" bestFit="1" customWidth="1"/>
    <col min="5" max="5" width="15.109375" style="13" bestFit="1" customWidth="1"/>
    <col min="6" max="6" width="17.77734375" style="51" bestFit="1" customWidth="1"/>
    <col min="7" max="7" width="16.77734375" style="13" bestFit="1" customWidth="1"/>
    <col min="8" max="8" width="13.77734375" style="13" bestFit="1" customWidth="1"/>
    <col min="9" max="9" width="12.33203125" style="13" bestFit="1" customWidth="1"/>
    <col min="10" max="10" width="19.33203125" style="13" bestFit="1" customWidth="1"/>
    <col min="11" max="11" width="22.33203125" style="13" bestFit="1" customWidth="1"/>
    <col min="12" max="12" width="17.5546875" style="13" bestFit="1" customWidth="1"/>
    <col min="13" max="13" width="20.88671875" style="13" bestFit="1" customWidth="1"/>
    <col min="14" max="14" width="22.33203125" style="13" bestFit="1" customWidth="1"/>
    <col min="15" max="18" width="8.77734375" style="13"/>
    <col min="19" max="19" width="12.44140625" style="13" bestFit="1" customWidth="1"/>
    <col min="20" max="255" width="8.77734375" style="13"/>
    <col min="256" max="256" width="12.21875" style="13" customWidth="1"/>
    <col min="257" max="257" width="10.21875" style="13" bestFit="1" customWidth="1"/>
    <col min="258" max="258" width="15.5546875" style="13" bestFit="1" customWidth="1"/>
    <col min="259" max="259" width="29" style="13" bestFit="1" customWidth="1"/>
    <col min="260" max="511" width="8.77734375" style="13"/>
    <col min="512" max="512" width="12.21875" style="13" customWidth="1"/>
    <col min="513" max="513" width="10.21875" style="13" bestFit="1" customWidth="1"/>
    <col min="514" max="514" width="15.5546875" style="13" bestFit="1" customWidth="1"/>
    <col min="515" max="515" width="29" style="13" bestFit="1" customWidth="1"/>
    <col min="516" max="767" width="8.77734375" style="13"/>
    <col min="768" max="768" width="12.21875" style="13" customWidth="1"/>
    <col min="769" max="769" width="10.21875" style="13" bestFit="1" customWidth="1"/>
    <col min="770" max="770" width="15.5546875" style="13" bestFit="1" customWidth="1"/>
    <col min="771" max="771" width="29" style="13" bestFit="1" customWidth="1"/>
    <col min="772" max="1023" width="8.77734375" style="13"/>
    <col min="1024" max="1024" width="12.21875" style="13" customWidth="1"/>
    <col min="1025" max="1025" width="10.21875" style="13" bestFit="1" customWidth="1"/>
    <col min="1026" max="1026" width="15.5546875" style="13" bestFit="1" customWidth="1"/>
    <col min="1027" max="1027" width="29" style="13" bestFit="1" customWidth="1"/>
    <col min="1028" max="1279" width="8.77734375" style="13"/>
    <col min="1280" max="1280" width="12.21875" style="13" customWidth="1"/>
    <col min="1281" max="1281" width="10.21875" style="13" bestFit="1" customWidth="1"/>
    <col min="1282" max="1282" width="15.5546875" style="13" bestFit="1" customWidth="1"/>
    <col min="1283" max="1283" width="29" style="13" bestFit="1" customWidth="1"/>
    <col min="1284" max="1535" width="8.77734375" style="13"/>
    <col min="1536" max="1536" width="12.21875" style="13" customWidth="1"/>
    <col min="1537" max="1537" width="10.21875" style="13" bestFit="1" customWidth="1"/>
    <col min="1538" max="1538" width="15.5546875" style="13" bestFit="1" customWidth="1"/>
    <col min="1539" max="1539" width="29" style="13" bestFit="1" customWidth="1"/>
    <col min="1540" max="1791" width="8.77734375" style="13"/>
    <col min="1792" max="1792" width="12.21875" style="13" customWidth="1"/>
    <col min="1793" max="1793" width="10.21875" style="13" bestFit="1" customWidth="1"/>
    <col min="1794" max="1794" width="15.5546875" style="13" bestFit="1" customWidth="1"/>
    <col min="1795" max="1795" width="29" style="13" bestFit="1" customWidth="1"/>
    <col min="1796" max="2047" width="8.77734375" style="13"/>
    <col min="2048" max="2048" width="12.21875" style="13" customWidth="1"/>
    <col min="2049" max="2049" width="10.21875" style="13" bestFit="1" customWidth="1"/>
    <col min="2050" max="2050" width="15.5546875" style="13" bestFit="1" customWidth="1"/>
    <col min="2051" max="2051" width="29" style="13" bestFit="1" customWidth="1"/>
    <col min="2052" max="2303" width="8.77734375" style="13"/>
    <col min="2304" max="2304" width="12.21875" style="13" customWidth="1"/>
    <col min="2305" max="2305" width="10.21875" style="13" bestFit="1" customWidth="1"/>
    <col min="2306" max="2306" width="15.5546875" style="13" bestFit="1" customWidth="1"/>
    <col min="2307" max="2307" width="29" style="13" bestFit="1" customWidth="1"/>
    <col min="2308" max="2559" width="8.77734375" style="13"/>
    <col min="2560" max="2560" width="12.21875" style="13" customWidth="1"/>
    <col min="2561" max="2561" width="10.21875" style="13" bestFit="1" customWidth="1"/>
    <col min="2562" max="2562" width="15.5546875" style="13" bestFit="1" customWidth="1"/>
    <col min="2563" max="2563" width="29" style="13" bestFit="1" customWidth="1"/>
    <col min="2564" max="2815" width="8.77734375" style="13"/>
    <col min="2816" max="2816" width="12.21875" style="13" customWidth="1"/>
    <col min="2817" max="2817" width="10.21875" style="13" bestFit="1" customWidth="1"/>
    <col min="2818" max="2818" width="15.5546875" style="13" bestFit="1" customWidth="1"/>
    <col min="2819" max="2819" width="29" style="13" bestFit="1" customWidth="1"/>
    <col min="2820" max="3071" width="8.77734375" style="13"/>
    <col min="3072" max="3072" width="12.21875" style="13" customWidth="1"/>
    <col min="3073" max="3073" width="10.21875" style="13" bestFit="1" customWidth="1"/>
    <col min="3074" max="3074" width="15.5546875" style="13" bestFit="1" customWidth="1"/>
    <col min="3075" max="3075" width="29" style="13" bestFit="1" customWidth="1"/>
    <col min="3076" max="3327" width="8.77734375" style="13"/>
    <col min="3328" max="3328" width="12.21875" style="13" customWidth="1"/>
    <col min="3329" max="3329" width="10.21875" style="13" bestFit="1" customWidth="1"/>
    <col min="3330" max="3330" width="15.5546875" style="13" bestFit="1" customWidth="1"/>
    <col min="3331" max="3331" width="29" style="13" bestFit="1" customWidth="1"/>
    <col min="3332" max="3583" width="8.77734375" style="13"/>
    <col min="3584" max="3584" width="12.21875" style="13" customWidth="1"/>
    <col min="3585" max="3585" width="10.21875" style="13" bestFit="1" customWidth="1"/>
    <col min="3586" max="3586" width="15.5546875" style="13" bestFit="1" customWidth="1"/>
    <col min="3587" max="3587" width="29" style="13" bestFit="1" customWidth="1"/>
    <col min="3588" max="3839" width="8.77734375" style="13"/>
    <col min="3840" max="3840" width="12.21875" style="13" customWidth="1"/>
    <col min="3841" max="3841" width="10.21875" style="13" bestFit="1" customWidth="1"/>
    <col min="3842" max="3842" width="15.5546875" style="13" bestFit="1" customWidth="1"/>
    <col min="3843" max="3843" width="29" style="13" bestFit="1" customWidth="1"/>
    <col min="3844" max="4095" width="8.77734375" style="13"/>
    <col min="4096" max="4096" width="12.21875" style="13" customWidth="1"/>
    <col min="4097" max="4097" width="10.21875" style="13" bestFit="1" customWidth="1"/>
    <col min="4098" max="4098" width="15.5546875" style="13" bestFit="1" customWidth="1"/>
    <col min="4099" max="4099" width="29" style="13" bestFit="1" customWidth="1"/>
    <col min="4100" max="4351" width="8.77734375" style="13"/>
    <col min="4352" max="4352" width="12.21875" style="13" customWidth="1"/>
    <col min="4353" max="4353" width="10.21875" style="13" bestFit="1" customWidth="1"/>
    <col min="4354" max="4354" width="15.5546875" style="13" bestFit="1" customWidth="1"/>
    <col min="4355" max="4355" width="29" style="13" bestFit="1" customWidth="1"/>
    <col min="4356" max="4607" width="8.77734375" style="13"/>
    <col min="4608" max="4608" width="12.21875" style="13" customWidth="1"/>
    <col min="4609" max="4609" width="10.21875" style="13" bestFit="1" customWidth="1"/>
    <col min="4610" max="4610" width="15.5546875" style="13" bestFit="1" customWidth="1"/>
    <col min="4611" max="4611" width="29" style="13" bestFit="1" customWidth="1"/>
    <col min="4612" max="4863" width="8.77734375" style="13"/>
    <col min="4864" max="4864" width="12.21875" style="13" customWidth="1"/>
    <col min="4865" max="4865" width="10.21875" style="13" bestFit="1" customWidth="1"/>
    <col min="4866" max="4866" width="15.5546875" style="13" bestFit="1" customWidth="1"/>
    <col min="4867" max="4867" width="29" style="13" bestFit="1" customWidth="1"/>
    <col min="4868" max="5119" width="8.77734375" style="13"/>
    <col min="5120" max="5120" width="12.21875" style="13" customWidth="1"/>
    <col min="5121" max="5121" width="10.21875" style="13" bestFit="1" customWidth="1"/>
    <col min="5122" max="5122" width="15.5546875" style="13" bestFit="1" customWidth="1"/>
    <col min="5123" max="5123" width="29" style="13" bestFit="1" customWidth="1"/>
    <col min="5124" max="5375" width="8.77734375" style="13"/>
    <col min="5376" max="5376" width="12.21875" style="13" customWidth="1"/>
    <col min="5377" max="5377" width="10.21875" style="13" bestFit="1" customWidth="1"/>
    <col min="5378" max="5378" width="15.5546875" style="13" bestFit="1" customWidth="1"/>
    <col min="5379" max="5379" width="29" style="13" bestFit="1" customWidth="1"/>
    <col min="5380" max="5631" width="8.77734375" style="13"/>
    <col min="5632" max="5632" width="12.21875" style="13" customWidth="1"/>
    <col min="5633" max="5633" width="10.21875" style="13" bestFit="1" customWidth="1"/>
    <col min="5634" max="5634" width="15.5546875" style="13" bestFit="1" customWidth="1"/>
    <col min="5635" max="5635" width="29" style="13" bestFit="1" customWidth="1"/>
    <col min="5636" max="5887" width="8.77734375" style="13"/>
    <col min="5888" max="5888" width="12.21875" style="13" customWidth="1"/>
    <col min="5889" max="5889" width="10.21875" style="13" bestFit="1" customWidth="1"/>
    <col min="5890" max="5890" width="15.5546875" style="13" bestFit="1" customWidth="1"/>
    <col min="5891" max="5891" width="29" style="13" bestFit="1" customWidth="1"/>
    <col min="5892" max="6143" width="8.77734375" style="13"/>
    <col min="6144" max="6144" width="12.21875" style="13" customWidth="1"/>
    <col min="6145" max="6145" width="10.21875" style="13" bestFit="1" customWidth="1"/>
    <col min="6146" max="6146" width="15.5546875" style="13" bestFit="1" customWidth="1"/>
    <col min="6147" max="6147" width="29" style="13" bestFit="1" customWidth="1"/>
    <col min="6148" max="6399" width="8.77734375" style="13"/>
    <col min="6400" max="6400" width="12.21875" style="13" customWidth="1"/>
    <col min="6401" max="6401" width="10.21875" style="13" bestFit="1" customWidth="1"/>
    <col min="6402" max="6402" width="15.5546875" style="13" bestFit="1" customWidth="1"/>
    <col min="6403" max="6403" width="29" style="13" bestFit="1" customWidth="1"/>
    <col min="6404" max="6655" width="8.77734375" style="13"/>
    <col min="6656" max="6656" width="12.21875" style="13" customWidth="1"/>
    <col min="6657" max="6657" width="10.21875" style="13" bestFit="1" customWidth="1"/>
    <col min="6658" max="6658" width="15.5546875" style="13" bestFit="1" customWidth="1"/>
    <col min="6659" max="6659" width="29" style="13" bestFit="1" customWidth="1"/>
    <col min="6660" max="6911" width="8.77734375" style="13"/>
    <col min="6912" max="6912" width="12.21875" style="13" customWidth="1"/>
    <col min="6913" max="6913" width="10.21875" style="13" bestFit="1" customWidth="1"/>
    <col min="6914" max="6914" width="15.5546875" style="13" bestFit="1" customWidth="1"/>
    <col min="6915" max="6915" width="29" style="13" bestFit="1" customWidth="1"/>
    <col min="6916" max="7167" width="8.77734375" style="13"/>
    <col min="7168" max="7168" width="12.21875" style="13" customWidth="1"/>
    <col min="7169" max="7169" width="10.21875" style="13" bestFit="1" customWidth="1"/>
    <col min="7170" max="7170" width="15.5546875" style="13" bestFit="1" customWidth="1"/>
    <col min="7171" max="7171" width="29" style="13" bestFit="1" customWidth="1"/>
    <col min="7172" max="7423" width="8.77734375" style="13"/>
    <col min="7424" max="7424" width="12.21875" style="13" customWidth="1"/>
    <col min="7425" max="7425" width="10.21875" style="13" bestFit="1" customWidth="1"/>
    <col min="7426" max="7426" width="15.5546875" style="13" bestFit="1" customWidth="1"/>
    <col min="7427" max="7427" width="29" style="13" bestFit="1" customWidth="1"/>
    <col min="7428" max="7679" width="8.77734375" style="13"/>
    <col min="7680" max="7680" width="12.21875" style="13" customWidth="1"/>
    <col min="7681" max="7681" width="10.21875" style="13" bestFit="1" customWidth="1"/>
    <col min="7682" max="7682" width="15.5546875" style="13" bestFit="1" customWidth="1"/>
    <col min="7683" max="7683" width="29" style="13" bestFit="1" customWidth="1"/>
    <col min="7684" max="7935" width="8.77734375" style="13"/>
    <col min="7936" max="7936" width="12.21875" style="13" customWidth="1"/>
    <col min="7937" max="7937" width="10.21875" style="13" bestFit="1" customWidth="1"/>
    <col min="7938" max="7938" width="15.5546875" style="13" bestFit="1" customWidth="1"/>
    <col min="7939" max="7939" width="29" style="13" bestFit="1" customWidth="1"/>
    <col min="7940" max="8191" width="8.77734375" style="13"/>
    <col min="8192" max="8192" width="12.21875" style="13" customWidth="1"/>
    <col min="8193" max="8193" width="10.21875" style="13" bestFit="1" customWidth="1"/>
    <col min="8194" max="8194" width="15.5546875" style="13" bestFit="1" customWidth="1"/>
    <col min="8195" max="8195" width="29" style="13" bestFit="1" customWidth="1"/>
    <col min="8196" max="8447" width="8.77734375" style="13"/>
    <col min="8448" max="8448" width="12.21875" style="13" customWidth="1"/>
    <col min="8449" max="8449" width="10.21875" style="13" bestFit="1" customWidth="1"/>
    <col min="8450" max="8450" width="15.5546875" style="13" bestFit="1" customWidth="1"/>
    <col min="8451" max="8451" width="29" style="13" bestFit="1" customWidth="1"/>
    <col min="8452" max="8703" width="8.77734375" style="13"/>
    <col min="8704" max="8704" width="12.21875" style="13" customWidth="1"/>
    <col min="8705" max="8705" width="10.21875" style="13" bestFit="1" customWidth="1"/>
    <col min="8706" max="8706" width="15.5546875" style="13" bestFit="1" customWidth="1"/>
    <col min="8707" max="8707" width="29" style="13" bestFit="1" customWidth="1"/>
    <col min="8708" max="8959" width="8.77734375" style="13"/>
    <col min="8960" max="8960" width="12.21875" style="13" customWidth="1"/>
    <col min="8961" max="8961" width="10.21875" style="13" bestFit="1" customWidth="1"/>
    <col min="8962" max="8962" width="15.5546875" style="13" bestFit="1" customWidth="1"/>
    <col min="8963" max="8963" width="29" style="13" bestFit="1" customWidth="1"/>
    <col min="8964" max="9215" width="8.77734375" style="13"/>
    <col min="9216" max="9216" width="12.21875" style="13" customWidth="1"/>
    <col min="9217" max="9217" width="10.21875" style="13" bestFit="1" customWidth="1"/>
    <col min="9218" max="9218" width="15.5546875" style="13" bestFit="1" customWidth="1"/>
    <col min="9219" max="9219" width="29" style="13" bestFit="1" customWidth="1"/>
    <col min="9220" max="9471" width="8.77734375" style="13"/>
    <col min="9472" max="9472" width="12.21875" style="13" customWidth="1"/>
    <col min="9473" max="9473" width="10.21875" style="13" bestFit="1" customWidth="1"/>
    <col min="9474" max="9474" width="15.5546875" style="13" bestFit="1" customWidth="1"/>
    <col min="9475" max="9475" width="29" style="13" bestFit="1" customWidth="1"/>
    <col min="9476" max="9727" width="8.77734375" style="13"/>
    <col min="9728" max="9728" width="12.21875" style="13" customWidth="1"/>
    <col min="9729" max="9729" width="10.21875" style="13" bestFit="1" customWidth="1"/>
    <col min="9730" max="9730" width="15.5546875" style="13" bestFit="1" customWidth="1"/>
    <col min="9731" max="9731" width="29" style="13" bestFit="1" customWidth="1"/>
    <col min="9732" max="9983" width="8.77734375" style="13"/>
    <col min="9984" max="9984" width="12.21875" style="13" customWidth="1"/>
    <col min="9985" max="9985" width="10.21875" style="13" bestFit="1" customWidth="1"/>
    <col min="9986" max="9986" width="15.5546875" style="13" bestFit="1" customWidth="1"/>
    <col min="9987" max="9987" width="29" style="13" bestFit="1" customWidth="1"/>
    <col min="9988" max="10239" width="8.77734375" style="13"/>
    <col min="10240" max="10240" width="12.21875" style="13" customWidth="1"/>
    <col min="10241" max="10241" width="10.21875" style="13" bestFit="1" customWidth="1"/>
    <col min="10242" max="10242" width="15.5546875" style="13" bestFit="1" customWidth="1"/>
    <col min="10243" max="10243" width="29" style="13" bestFit="1" customWidth="1"/>
    <col min="10244" max="10495" width="8.77734375" style="13"/>
    <col min="10496" max="10496" width="12.21875" style="13" customWidth="1"/>
    <col min="10497" max="10497" width="10.21875" style="13" bestFit="1" customWidth="1"/>
    <col min="10498" max="10498" width="15.5546875" style="13" bestFit="1" customWidth="1"/>
    <col min="10499" max="10499" width="29" style="13" bestFit="1" customWidth="1"/>
    <col min="10500" max="10751" width="8.77734375" style="13"/>
    <col min="10752" max="10752" width="12.21875" style="13" customWidth="1"/>
    <col min="10753" max="10753" width="10.21875" style="13" bestFit="1" customWidth="1"/>
    <col min="10754" max="10754" width="15.5546875" style="13" bestFit="1" customWidth="1"/>
    <col min="10755" max="10755" width="29" style="13" bestFit="1" customWidth="1"/>
    <col min="10756" max="11007" width="8.77734375" style="13"/>
    <col min="11008" max="11008" width="12.21875" style="13" customWidth="1"/>
    <col min="11009" max="11009" width="10.21875" style="13" bestFit="1" customWidth="1"/>
    <col min="11010" max="11010" width="15.5546875" style="13" bestFit="1" customWidth="1"/>
    <col min="11011" max="11011" width="29" style="13" bestFit="1" customWidth="1"/>
    <col min="11012" max="11263" width="8.77734375" style="13"/>
    <col min="11264" max="11264" width="12.21875" style="13" customWidth="1"/>
    <col min="11265" max="11265" width="10.21875" style="13" bestFit="1" customWidth="1"/>
    <col min="11266" max="11266" width="15.5546875" style="13" bestFit="1" customWidth="1"/>
    <col min="11267" max="11267" width="29" style="13" bestFit="1" customWidth="1"/>
    <col min="11268" max="11519" width="8.77734375" style="13"/>
    <col min="11520" max="11520" width="12.21875" style="13" customWidth="1"/>
    <col min="11521" max="11521" width="10.21875" style="13" bestFit="1" customWidth="1"/>
    <col min="11522" max="11522" width="15.5546875" style="13" bestFit="1" customWidth="1"/>
    <col min="11523" max="11523" width="29" style="13" bestFit="1" customWidth="1"/>
    <col min="11524" max="11775" width="8.77734375" style="13"/>
    <col min="11776" max="11776" width="12.21875" style="13" customWidth="1"/>
    <col min="11777" max="11777" width="10.21875" style="13" bestFit="1" customWidth="1"/>
    <col min="11778" max="11778" width="15.5546875" style="13" bestFit="1" customWidth="1"/>
    <col min="11779" max="11779" width="29" style="13" bestFit="1" customWidth="1"/>
    <col min="11780" max="12031" width="8.77734375" style="13"/>
    <col min="12032" max="12032" width="12.21875" style="13" customWidth="1"/>
    <col min="12033" max="12033" width="10.21875" style="13" bestFit="1" customWidth="1"/>
    <col min="12034" max="12034" width="15.5546875" style="13" bestFit="1" customWidth="1"/>
    <col min="12035" max="12035" width="29" style="13" bestFit="1" customWidth="1"/>
    <col min="12036" max="12287" width="8.77734375" style="13"/>
    <col min="12288" max="12288" width="12.21875" style="13" customWidth="1"/>
    <col min="12289" max="12289" width="10.21875" style="13" bestFit="1" customWidth="1"/>
    <col min="12290" max="12290" width="15.5546875" style="13" bestFit="1" customWidth="1"/>
    <col min="12291" max="12291" width="29" style="13" bestFit="1" customWidth="1"/>
    <col min="12292" max="12543" width="8.77734375" style="13"/>
    <col min="12544" max="12544" width="12.21875" style="13" customWidth="1"/>
    <col min="12545" max="12545" width="10.21875" style="13" bestFit="1" customWidth="1"/>
    <col min="12546" max="12546" width="15.5546875" style="13" bestFit="1" customWidth="1"/>
    <col min="12547" max="12547" width="29" style="13" bestFit="1" customWidth="1"/>
    <col min="12548" max="12799" width="8.77734375" style="13"/>
    <col min="12800" max="12800" width="12.21875" style="13" customWidth="1"/>
    <col min="12801" max="12801" width="10.21875" style="13" bestFit="1" customWidth="1"/>
    <col min="12802" max="12802" width="15.5546875" style="13" bestFit="1" customWidth="1"/>
    <col min="12803" max="12803" width="29" style="13" bestFit="1" customWidth="1"/>
    <col min="12804" max="13055" width="8.77734375" style="13"/>
    <col min="13056" max="13056" width="12.21875" style="13" customWidth="1"/>
    <col min="13057" max="13057" width="10.21875" style="13" bestFit="1" customWidth="1"/>
    <col min="13058" max="13058" width="15.5546875" style="13" bestFit="1" customWidth="1"/>
    <col min="13059" max="13059" width="29" style="13" bestFit="1" customWidth="1"/>
    <col min="13060" max="13311" width="8.77734375" style="13"/>
    <col min="13312" max="13312" width="12.21875" style="13" customWidth="1"/>
    <col min="13313" max="13313" width="10.21875" style="13" bestFit="1" customWidth="1"/>
    <col min="13314" max="13314" width="15.5546875" style="13" bestFit="1" customWidth="1"/>
    <col min="13315" max="13315" width="29" style="13" bestFit="1" customWidth="1"/>
    <col min="13316" max="13567" width="8.77734375" style="13"/>
    <col min="13568" max="13568" width="12.21875" style="13" customWidth="1"/>
    <col min="13569" max="13569" width="10.21875" style="13" bestFit="1" customWidth="1"/>
    <col min="13570" max="13570" width="15.5546875" style="13" bestFit="1" customWidth="1"/>
    <col min="13571" max="13571" width="29" style="13" bestFit="1" customWidth="1"/>
    <col min="13572" max="13823" width="8.77734375" style="13"/>
    <col min="13824" max="13824" width="12.21875" style="13" customWidth="1"/>
    <col min="13825" max="13825" width="10.21875" style="13" bestFit="1" customWidth="1"/>
    <col min="13826" max="13826" width="15.5546875" style="13" bestFit="1" customWidth="1"/>
    <col min="13827" max="13827" width="29" style="13" bestFit="1" customWidth="1"/>
    <col min="13828" max="14079" width="8.77734375" style="13"/>
    <col min="14080" max="14080" width="12.21875" style="13" customWidth="1"/>
    <col min="14081" max="14081" width="10.21875" style="13" bestFit="1" customWidth="1"/>
    <col min="14082" max="14082" width="15.5546875" style="13" bestFit="1" customWidth="1"/>
    <col min="14083" max="14083" width="29" style="13" bestFit="1" customWidth="1"/>
    <col min="14084" max="14335" width="8.77734375" style="13"/>
    <col min="14336" max="14336" width="12.21875" style="13" customWidth="1"/>
    <col min="14337" max="14337" width="10.21875" style="13" bestFit="1" customWidth="1"/>
    <col min="14338" max="14338" width="15.5546875" style="13" bestFit="1" customWidth="1"/>
    <col min="14339" max="14339" width="29" style="13" bestFit="1" customWidth="1"/>
    <col min="14340" max="14591" width="8.77734375" style="13"/>
    <col min="14592" max="14592" width="12.21875" style="13" customWidth="1"/>
    <col min="14593" max="14593" width="10.21875" style="13" bestFit="1" customWidth="1"/>
    <col min="14594" max="14594" width="15.5546875" style="13" bestFit="1" customWidth="1"/>
    <col min="14595" max="14595" width="29" style="13" bestFit="1" customWidth="1"/>
    <col min="14596" max="14847" width="8.77734375" style="13"/>
    <col min="14848" max="14848" width="12.21875" style="13" customWidth="1"/>
    <col min="14849" max="14849" width="10.21875" style="13" bestFit="1" customWidth="1"/>
    <col min="14850" max="14850" width="15.5546875" style="13" bestFit="1" customWidth="1"/>
    <col min="14851" max="14851" width="29" style="13" bestFit="1" customWidth="1"/>
    <col min="14852" max="15103" width="8.77734375" style="13"/>
    <col min="15104" max="15104" width="12.21875" style="13" customWidth="1"/>
    <col min="15105" max="15105" width="10.21875" style="13" bestFit="1" customWidth="1"/>
    <col min="15106" max="15106" width="15.5546875" style="13" bestFit="1" customWidth="1"/>
    <col min="15107" max="15107" width="29" style="13" bestFit="1" customWidth="1"/>
    <col min="15108" max="15359" width="8.77734375" style="13"/>
    <col min="15360" max="15360" width="12.21875" style="13" customWidth="1"/>
    <col min="15361" max="15361" width="10.21875" style="13" bestFit="1" customWidth="1"/>
    <col min="15362" max="15362" width="15.5546875" style="13" bestFit="1" customWidth="1"/>
    <col min="15363" max="15363" width="29" style="13" bestFit="1" customWidth="1"/>
    <col min="15364" max="15615" width="8.77734375" style="13"/>
    <col min="15616" max="15616" width="12.21875" style="13" customWidth="1"/>
    <col min="15617" max="15617" width="10.21875" style="13" bestFit="1" customWidth="1"/>
    <col min="15618" max="15618" width="15.5546875" style="13" bestFit="1" customWidth="1"/>
    <col min="15619" max="15619" width="29" style="13" bestFit="1" customWidth="1"/>
    <col min="15620" max="15871" width="8.77734375" style="13"/>
    <col min="15872" max="15872" width="12.21875" style="13" customWidth="1"/>
    <col min="15873" max="15873" width="10.21875" style="13" bestFit="1" customWidth="1"/>
    <col min="15874" max="15874" width="15.5546875" style="13" bestFit="1" customWidth="1"/>
    <col min="15875" max="15875" width="29" style="13" bestFit="1" customWidth="1"/>
    <col min="15876" max="16127" width="8.77734375" style="13"/>
    <col min="16128" max="16128" width="12.21875" style="13" customWidth="1"/>
    <col min="16129" max="16129" width="10.21875" style="13" bestFit="1" customWidth="1"/>
    <col min="16130" max="16130" width="15.5546875" style="13" bestFit="1" customWidth="1"/>
    <col min="16131" max="16131" width="29" style="13" bestFit="1" customWidth="1"/>
    <col min="16132" max="16383" width="8.77734375" style="13"/>
    <col min="16384" max="16384" width="9.21875" style="13" customWidth="1"/>
  </cols>
  <sheetData>
    <row r="1" spans="1:12" ht="18" x14ac:dyDescent="0.35">
      <c r="A1" s="17"/>
      <c r="B1" s="18"/>
      <c r="C1" s="18"/>
      <c r="D1" s="18"/>
      <c r="E1" s="18"/>
      <c r="F1" s="100"/>
      <c r="G1" s="19" t="s">
        <v>23</v>
      </c>
      <c r="H1" s="20">
        <f>B4</f>
        <v>46103</v>
      </c>
      <c r="I1" s="21"/>
      <c r="J1" s="21"/>
      <c r="K1" s="21"/>
      <c r="L1" s="21"/>
    </row>
    <row r="2" spans="1:12" ht="18" x14ac:dyDescent="0.35">
      <c r="F2" s="100"/>
      <c r="G2" s="101" t="s">
        <v>27</v>
      </c>
      <c r="H2" s="101">
        <v>125</v>
      </c>
      <c r="I2" s="21" t="s">
        <v>105</v>
      </c>
      <c r="J2" s="21"/>
      <c r="K2" s="21"/>
      <c r="L2" s="21"/>
    </row>
    <row r="3" spans="1:12" ht="18" x14ac:dyDescent="0.35">
      <c r="B3" s="19" t="s">
        <v>8</v>
      </c>
      <c r="C3" s="19" t="s">
        <v>24</v>
      </c>
      <c r="D3" s="19" t="s">
        <v>25</v>
      </c>
      <c r="E3" s="19" t="s">
        <v>26</v>
      </c>
      <c r="F3" s="102" t="s">
        <v>106</v>
      </c>
      <c r="G3" s="48" t="s">
        <v>102</v>
      </c>
      <c r="H3" s="48" t="s">
        <v>103</v>
      </c>
      <c r="I3" s="22" t="s">
        <v>104</v>
      </c>
      <c r="J3" s="22" t="s">
        <v>107</v>
      </c>
      <c r="K3" s="22" t="s">
        <v>108</v>
      </c>
      <c r="L3" s="21"/>
    </row>
    <row r="4" spans="1:12" ht="18" x14ac:dyDescent="0.35">
      <c r="A4" s="13">
        <v>0</v>
      </c>
      <c r="B4" s="20">
        <v>46103</v>
      </c>
      <c r="C4" s="103">
        <v>1</v>
      </c>
      <c r="D4" s="103">
        <v>1</v>
      </c>
      <c r="E4" s="104"/>
      <c r="F4" s="102"/>
      <c r="G4" s="22"/>
      <c r="H4" s="22"/>
      <c r="I4" s="22"/>
      <c r="J4" s="22"/>
      <c r="K4" s="22"/>
      <c r="L4" s="21"/>
    </row>
    <row r="5" spans="1:12" ht="18" x14ac:dyDescent="0.35">
      <c r="A5" s="105">
        <f>1/12</f>
        <v>8.3333333333333329E-2</v>
      </c>
      <c r="B5" s="20">
        <f>EDATE(B4,1)</f>
        <v>46134</v>
      </c>
      <c r="C5" s="103">
        <v>0.99830281171867608</v>
      </c>
      <c r="D5" s="103">
        <v>0.99660850388541455</v>
      </c>
      <c r="E5" s="104">
        <v>0.05</v>
      </c>
      <c r="F5" s="102">
        <v>10000000</v>
      </c>
      <c r="G5" s="106">
        <f>LN(C5)/(-$A5)</f>
        <v>2.038356164383625E-2</v>
      </c>
      <c r="H5" s="106">
        <f>LN(D5)/(-$A5)</f>
        <v>4.0767123287670813E-2</v>
      </c>
      <c r="I5" s="22">
        <f>$H$2*EXP((H5-G5)*A5)</f>
        <v>125.21250920329499</v>
      </c>
      <c r="J5" s="107">
        <f>F5*I5</f>
        <v>1252125092.0329499</v>
      </c>
      <c r="K5" s="108">
        <f>J5*D5</f>
        <v>1247878514.6483452</v>
      </c>
      <c r="L5" s="21"/>
    </row>
    <row r="6" spans="1:12" ht="18" x14ac:dyDescent="0.35">
      <c r="A6" s="13">
        <f>A5+1/12</f>
        <v>0.16666666666666666</v>
      </c>
      <c r="B6" s="20">
        <f t="shared" ref="B6:B16" si="0">EDATE(B5,1)</f>
        <v>46164</v>
      </c>
      <c r="C6" s="103">
        <v>0.99628909427310219</v>
      </c>
      <c r="D6" s="103">
        <v>0.99275241870731468</v>
      </c>
      <c r="E6" s="104">
        <v>5.5E-2</v>
      </c>
      <c r="F6" s="102">
        <v>10000000</v>
      </c>
      <c r="G6" s="106">
        <f t="shared" ref="G6:G16" si="1">LN(C6)/(-$A6)</f>
        <v>2.2306849315068326E-2</v>
      </c>
      <c r="H6" s="106">
        <f t="shared" ref="H6:H16" si="2">LN(D6)/(-$A6)</f>
        <v>4.364383561643817E-2</v>
      </c>
      <c r="I6" s="22">
        <f t="shared" ref="I6:I16" si="3">$H$2*EXP((H6-G6)*A6)</f>
        <v>125.4453118797727</v>
      </c>
      <c r="J6" s="107">
        <f t="shared" ref="J6:J16" si="4">F6*I6</f>
        <v>1254453118.7977271</v>
      </c>
      <c r="K6" s="108">
        <f t="shared" ref="K6:K16" si="5">J6*D6</f>
        <v>1245361367.841378</v>
      </c>
      <c r="L6" s="21"/>
    </row>
    <row r="7" spans="1:12" ht="18" x14ac:dyDescent="0.35">
      <c r="A7" s="13">
        <f t="shared" ref="A7:A16" si="6">A6+1/12</f>
        <v>0.25</v>
      </c>
      <c r="B7" s="20">
        <f t="shared" si="0"/>
        <v>46195</v>
      </c>
      <c r="C7" s="103">
        <v>0.98046725767918297</v>
      </c>
      <c r="D7" s="103">
        <v>0.98823414895979667</v>
      </c>
      <c r="E7" s="104">
        <v>0.06</v>
      </c>
      <c r="F7" s="102">
        <v>10000000</v>
      </c>
      <c r="G7" s="106">
        <f t="shared" si="1"/>
        <v>7.890410958904101E-2</v>
      </c>
      <c r="H7" s="106">
        <f t="shared" si="2"/>
        <v>4.7342465753424733E-2</v>
      </c>
      <c r="I7" s="22">
        <f t="shared" si="3"/>
        <v>124.01757957757417</v>
      </c>
      <c r="J7" s="107">
        <f t="shared" si="4"/>
        <v>1240175795.7757416</v>
      </c>
      <c r="K7" s="108">
        <f t="shared" si="5"/>
        <v>1225584072.0989785</v>
      </c>
      <c r="L7" s="21"/>
    </row>
    <row r="8" spans="1:12" ht="18" x14ac:dyDescent="0.35">
      <c r="A8" s="13">
        <f t="shared" si="6"/>
        <v>0.33333333333333331</v>
      </c>
      <c r="B8" s="20">
        <f t="shared" si="0"/>
        <v>46225</v>
      </c>
      <c r="C8" s="103">
        <v>0.98985997938410708</v>
      </c>
      <c r="D8" s="103">
        <v>0.98369601631723325</v>
      </c>
      <c r="E8" s="104">
        <v>6.3500000000000001E-2</v>
      </c>
      <c r="F8" s="102">
        <v>10000000</v>
      </c>
      <c r="G8" s="106">
        <f t="shared" si="1"/>
        <v>3.0575342465753299E-2</v>
      </c>
      <c r="H8" s="106">
        <f t="shared" si="2"/>
        <v>4.9315068493150628E-2</v>
      </c>
      <c r="I8" s="22">
        <f t="shared" si="3"/>
        <v>125.78326573512396</v>
      </c>
      <c r="J8" s="107">
        <f t="shared" si="4"/>
        <v>1257832657.3512397</v>
      </c>
      <c r="K8" s="108">
        <f t="shared" si="5"/>
        <v>1237324974.230134</v>
      </c>
      <c r="L8" s="21"/>
    </row>
    <row r="9" spans="1:12" ht="18" x14ac:dyDescent="0.35">
      <c r="A9" s="13">
        <f t="shared" si="6"/>
        <v>0.41666666666666663</v>
      </c>
      <c r="B9" s="20">
        <f t="shared" si="0"/>
        <v>46256</v>
      </c>
      <c r="C9" s="103">
        <v>0.9860327071039362</v>
      </c>
      <c r="D9" s="103">
        <v>0.97871741101572562</v>
      </c>
      <c r="E9" s="104">
        <v>6.7000000000000004E-2</v>
      </c>
      <c r="F9" s="102">
        <v>10000000</v>
      </c>
      <c r="G9" s="106">
        <f t="shared" si="1"/>
        <v>3.3757808219178127E-2</v>
      </c>
      <c r="H9" s="106">
        <f t="shared" si="2"/>
        <v>5.1629589041095762E-2</v>
      </c>
      <c r="I9" s="22">
        <f t="shared" si="3"/>
        <v>125.9342962541939</v>
      </c>
      <c r="J9" s="107">
        <f t="shared" si="4"/>
        <v>1259342962.541939</v>
      </c>
      <c r="K9" s="108">
        <f t="shared" si="5"/>
        <v>1232540883.8799205</v>
      </c>
      <c r="L9" s="21"/>
    </row>
    <row r="10" spans="1:12" ht="18" x14ac:dyDescent="0.35">
      <c r="A10" s="13">
        <f t="shared" si="6"/>
        <v>0.49999999999999994</v>
      </c>
      <c r="B10" s="20">
        <f t="shared" si="0"/>
        <v>46287</v>
      </c>
      <c r="C10" s="103">
        <v>0.98035981509996006</v>
      </c>
      <c r="D10" s="103">
        <v>0.97164803516614962</v>
      </c>
      <c r="E10" s="104">
        <v>7.0000000000000007E-2</v>
      </c>
      <c r="F10" s="102">
        <v>10000000</v>
      </c>
      <c r="G10" s="106">
        <f t="shared" si="1"/>
        <v>3.9671232876712439E-2</v>
      </c>
      <c r="H10" s="106">
        <f t="shared" si="2"/>
        <v>5.7523287671232902E-2</v>
      </c>
      <c r="I10" s="22">
        <f t="shared" si="3"/>
        <v>126.1207478966806</v>
      </c>
      <c r="J10" s="107">
        <f t="shared" si="4"/>
        <v>1261207478.9668059</v>
      </c>
      <c r="K10" s="108">
        <f t="shared" si="5"/>
        <v>1225449768.8749499</v>
      </c>
      <c r="L10" s="21"/>
    </row>
    <row r="11" spans="1:12" ht="18" x14ac:dyDescent="0.35">
      <c r="A11" s="13">
        <f t="shared" si="6"/>
        <v>0.58333333333333326</v>
      </c>
      <c r="B11" s="20">
        <f t="shared" si="0"/>
        <v>46317</v>
      </c>
      <c r="C11" s="103">
        <v>0.97420162818993072</v>
      </c>
      <c r="D11" s="103">
        <v>0.97137654406232565</v>
      </c>
      <c r="E11" s="104">
        <v>7.8E-2</v>
      </c>
      <c r="F11" s="102">
        <v>10000000</v>
      </c>
      <c r="G11" s="106">
        <f t="shared" si="1"/>
        <v>4.4806262230919776E-2</v>
      </c>
      <c r="H11" s="106">
        <f t="shared" si="2"/>
        <v>4.9784735812132989E-2</v>
      </c>
      <c r="I11" s="22">
        <f t="shared" si="3"/>
        <v>125.36354132504971</v>
      </c>
      <c r="J11" s="107">
        <f t="shared" si="4"/>
        <v>1253635413.2504971</v>
      </c>
      <c r="K11" s="108">
        <f t="shared" si="5"/>
        <v>1217752035.2374134</v>
      </c>
      <c r="L11" s="21"/>
    </row>
    <row r="12" spans="1:12" ht="18" x14ac:dyDescent="0.35">
      <c r="A12" s="13">
        <f t="shared" si="6"/>
        <v>0.66666666666666663</v>
      </c>
      <c r="B12" s="20">
        <f t="shared" si="0"/>
        <v>46348</v>
      </c>
      <c r="C12" s="103">
        <v>0.96854903809278359</v>
      </c>
      <c r="D12" s="103">
        <v>0.95956357013756377</v>
      </c>
      <c r="E12" s="104">
        <v>0.08</v>
      </c>
      <c r="F12" s="102">
        <v>10000000</v>
      </c>
      <c r="G12" s="106">
        <f t="shared" si="1"/>
        <v>4.7934246575342475E-2</v>
      </c>
      <c r="H12" s="106">
        <f t="shared" si="2"/>
        <v>6.1915068493150711E-2</v>
      </c>
      <c r="I12" s="22">
        <f t="shared" si="3"/>
        <v>126.17051493966311</v>
      </c>
      <c r="J12" s="107">
        <f t="shared" si="4"/>
        <v>1261705149.396631</v>
      </c>
      <c r="K12" s="108">
        <f t="shared" si="5"/>
        <v>1210686297.6159794</v>
      </c>
      <c r="L12" s="21"/>
    </row>
    <row r="13" spans="1:12" ht="18" x14ac:dyDescent="0.35">
      <c r="A13" s="13">
        <f t="shared" si="6"/>
        <v>0.75</v>
      </c>
      <c r="B13" s="20">
        <f t="shared" si="0"/>
        <v>46378</v>
      </c>
      <c r="C13" s="103">
        <v>0.96185347704114743</v>
      </c>
      <c r="D13" s="103">
        <v>0.95183423375256371</v>
      </c>
      <c r="E13" s="104">
        <v>8.2000000000000003E-2</v>
      </c>
      <c r="F13" s="102">
        <v>10000000</v>
      </c>
      <c r="G13" s="106">
        <f t="shared" si="1"/>
        <v>5.1857534246575382E-2</v>
      </c>
      <c r="H13" s="106">
        <f t="shared" si="2"/>
        <v>6.5819178082191745E-2</v>
      </c>
      <c r="I13" s="22">
        <f t="shared" si="3"/>
        <v>126.31578101171608</v>
      </c>
      <c r="J13" s="107">
        <f t="shared" si="4"/>
        <v>1263157810.1171608</v>
      </c>
      <c r="K13" s="108">
        <f t="shared" si="5"/>
        <v>1202316846.301434</v>
      </c>
      <c r="L13" s="21"/>
    </row>
    <row r="14" spans="1:12" ht="18" x14ac:dyDescent="0.35">
      <c r="A14" s="13">
        <f t="shared" si="6"/>
        <v>0.83333333333333337</v>
      </c>
      <c r="B14" s="20">
        <f t="shared" si="0"/>
        <v>46409</v>
      </c>
      <c r="C14" s="103">
        <v>0.95522513848747848</v>
      </c>
      <c r="D14" s="103">
        <v>0.94336560263003644</v>
      </c>
      <c r="E14" s="104">
        <v>8.7999999999999995E-2</v>
      </c>
      <c r="F14" s="102">
        <v>10000000</v>
      </c>
      <c r="G14" s="106">
        <f t="shared" si="1"/>
        <v>5.4969863013698668E-2</v>
      </c>
      <c r="H14" s="106">
        <f t="shared" si="2"/>
        <v>6.9961643835616441E-2</v>
      </c>
      <c r="I14" s="22">
        <f t="shared" si="3"/>
        <v>126.57143951194247</v>
      </c>
      <c r="J14" s="107">
        <f t="shared" si="4"/>
        <v>1265714395.1194248</v>
      </c>
      <c r="K14" s="108">
        <f t="shared" si="5"/>
        <v>1194031423.1093483</v>
      </c>
    </row>
    <row r="15" spans="1:12" ht="18" x14ac:dyDescent="0.35">
      <c r="A15" s="13">
        <f t="shared" si="6"/>
        <v>0.91666666666666674</v>
      </c>
      <c r="B15" s="20">
        <f t="shared" si="0"/>
        <v>46440</v>
      </c>
      <c r="C15" s="103">
        <v>0.94657591115487838</v>
      </c>
      <c r="D15" s="103">
        <v>0.93367194694364675</v>
      </c>
      <c r="E15" s="104">
        <v>9.2999999999999999E-2</v>
      </c>
      <c r="F15" s="102">
        <v>10000000</v>
      </c>
      <c r="G15" s="106">
        <f t="shared" si="1"/>
        <v>5.989539227895397E-2</v>
      </c>
      <c r="H15" s="106">
        <f t="shared" si="2"/>
        <v>7.4869240348692356E-2</v>
      </c>
      <c r="I15" s="22">
        <f t="shared" si="3"/>
        <v>126.72758272505033</v>
      </c>
      <c r="J15" s="107">
        <f t="shared" si="4"/>
        <v>1267275827.2505033</v>
      </c>
      <c r="K15" s="108">
        <f t="shared" si="5"/>
        <v>1183219888.943598</v>
      </c>
    </row>
    <row r="16" spans="1:12" ht="18" x14ac:dyDescent="0.35">
      <c r="A16" s="13">
        <f t="shared" si="6"/>
        <v>1</v>
      </c>
      <c r="B16" s="20">
        <f t="shared" si="0"/>
        <v>46468</v>
      </c>
      <c r="C16" s="103">
        <v>0.93706746337740343</v>
      </c>
      <c r="D16" s="103">
        <v>0.92311634638663576</v>
      </c>
      <c r="E16" s="104">
        <v>0.1</v>
      </c>
      <c r="F16" s="102">
        <v>10000000</v>
      </c>
      <c r="G16" s="106">
        <f t="shared" si="1"/>
        <v>6.5000000000000002E-2</v>
      </c>
      <c r="H16" s="106">
        <f t="shared" si="2"/>
        <v>8.0000000000000029E-2</v>
      </c>
      <c r="I16" s="22">
        <f t="shared" si="3"/>
        <v>126.88913307696487</v>
      </c>
      <c r="J16" s="107">
        <f t="shared" si="4"/>
        <v>1268891330.7696488</v>
      </c>
      <c r="K16" s="108">
        <f t="shared" si="5"/>
        <v>1171334329.2217543</v>
      </c>
    </row>
    <row r="17" spans="1:13" x14ac:dyDescent="0.25">
      <c r="K17" s="112">
        <f>SUM(K5:K16)</f>
        <v>14593480402.003235</v>
      </c>
    </row>
    <row r="20" spans="1:13" x14ac:dyDescent="0.25">
      <c r="A20" s="13" t="s">
        <v>109</v>
      </c>
    </row>
    <row r="27" spans="1:13" x14ac:dyDescent="0.25">
      <c r="A27" s="13" t="s">
        <v>110</v>
      </c>
    </row>
    <row r="30" spans="1:13" ht="18" x14ac:dyDescent="0.35">
      <c r="A30" s="17"/>
      <c r="B30" s="18"/>
      <c r="C30" s="18"/>
      <c r="D30" s="18"/>
      <c r="E30" s="18"/>
      <c r="F30" s="100"/>
      <c r="G30" s="19" t="s">
        <v>23</v>
      </c>
      <c r="H30" s="20">
        <f>B33</f>
        <v>46103</v>
      </c>
      <c r="I30" s="21"/>
    </row>
    <row r="31" spans="1:13" ht="18" x14ac:dyDescent="0.35">
      <c r="F31" s="100"/>
      <c r="G31" s="101" t="s">
        <v>27</v>
      </c>
      <c r="H31" s="101">
        <v>125</v>
      </c>
      <c r="I31" s="21" t="s">
        <v>105</v>
      </c>
    </row>
    <row r="32" spans="1:13" ht="18" x14ac:dyDescent="0.35">
      <c r="B32" s="19" t="s">
        <v>8</v>
      </c>
      <c r="C32" s="19" t="s">
        <v>24</v>
      </c>
      <c r="D32" s="19" t="s">
        <v>25</v>
      </c>
      <c r="E32" s="19" t="s">
        <v>26</v>
      </c>
      <c r="F32" s="102" t="s">
        <v>106</v>
      </c>
      <c r="G32" s="48" t="s">
        <v>102</v>
      </c>
      <c r="H32" s="48" t="s">
        <v>103</v>
      </c>
      <c r="I32" s="22" t="s">
        <v>111</v>
      </c>
      <c r="J32" s="43" t="s">
        <v>58</v>
      </c>
      <c r="K32" s="43" t="s">
        <v>59</v>
      </c>
      <c r="L32" s="87" t="s">
        <v>112</v>
      </c>
      <c r="M32" s="43" t="s">
        <v>113</v>
      </c>
    </row>
    <row r="33" spans="1:13" ht="18" x14ac:dyDescent="0.35">
      <c r="A33" s="13">
        <v>0</v>
      </c>
      <c r="B33" s="20">
        <v>46103</v>
      </c>
      <c r="C33" s="103">
        <v>1</v>
      </c>
      <c r="D33" s="103">
        <v>1</v>
      </c>
      <c r="E33" s="104"/>
      <c r="F33" s="102"/>
      <c r="G33" s="22"/>
      <c r="H33" s="22"/>
      <c r="I33" s="22"/>
      <c r="J33" s="43"/>
      <c r="K33" s="43"/>
      <c r="L33" s="43"/>
      <c r="M33" s="43"/>
    </row>
    <row r="34" spans="1:13" ht="18" x14ac:dyDescent="0.35">
      <c r="A34" s="105">
        <f>1/12</f>
        <v>8.3333333333333329E-2</v>
      </c>
      <c r="B34" s="20">
        <f>EDATE(B33,1)</f>
        <v>46134</v>
      </c>
      <c r="C34" s="103">
        <v>0.99830281171867608</v>
      </c>
      <c r="D34" s="103">
        <v>0.99660850388541455</v>
      </c>
      <c r="E34" s="104">
        <v>0.05</v>
      </c>
      <c r="F34" s="102">
        <v>10000000</v>
      </c>
      <c r="G34" s="106">
        <f>LN(C34)/(-$A34)</f>
        <v>2.038356164383625E-2</v>
      </c>
      <c r="H34" s="106">
        <f>LN(D34)/(-$A34)</f>
        <v>4.0767123287670813E-2</v>
      </c>
      <c r="I34" s="22">
        <f>$H$2*EXP((H34-G34)*A34)</f>
        <v>125.21250920329499</v>
      </c>
      <c r="J34" s="43">
        <f>(LN($H$31/I34)+((H34-G34+(0.5*E34*E34))*A34))/(E34*SQRT(A34))</f>
        <v>7.2168783648682957E-3</v>
      </c>
      <c r="K34" s="43">
        <f>J34-E34*SQRT(A34)</f>
        <v>-7.216878364872348E-3</v>
      </c>
      <c r="L34" s="43">
        <f>-($H$31*EXP(-C34*A34)*NORMSDIST(-J34))+(I34*EXP(-D34*A34)*NORMSDIST(-K34))</f>
        <v>0.76883409790556101</v>
      </c>
      <c r="M34" s="110">
        <f>L34*F34</f>
        <v>7688340.9790556105</v>
      </c>
    </row>
    <row r="35" spans="1:13" ht="18" x14ac:dyDescent="0.35">
      <c r="A35" s="13">
        <f>A34+1/12</f>
        <v>0.16666666666666666</v>
      </c>
      <c r="B35" s="20">
        <f t="shared" ref="B35:B45" si="7">EDATE(B34,1)</f>
        <v>46164</v>
      </c>
      <c r="C35" s="103">
        <v>0.99628909427310219</v>
      </c>
      <c r="D35" s="103">
        <v>0.99275241870731468</v>
      </c>
      <c r="E35" s="104">
        <v>5.5E-2</v>
      </c>
      <c r="F35" s="102">
        <v>10000000</v>
      </c>
      <c r="G35" s="106">
        <f t="shared" ref="G35:G45" si="8">LN(C35)/(-$A35)</f>
        <v>2.2306849315068326E-2</v>
      </c>
      <c r="H35" s="106">
        <f t="shared" ref="H35:H45" si="9">LN(D35)/(-$A35)</f>
        <v>4.364383561643817E-2</v>
      </c>
      <c r="I35" s="22">
        <f t="shared" ref="I35:I45" si="10">$H$2*EXP((H35-G35)*A35)</f>
        <v>125.4453118797727</v>
      </c>
      <c r="J35" s="43">
        <f>(LN($H$31/I35)+((H35-G35+(0.5*E35*E35))*A35))/(E35*SQRT(A35))</f>
        <v>1.1226827987751384E-2</v>
      </c>
      <c r="K35" s="43">
        <f t="shared" ref="K35:K45" si="11">J35-E35*SQRT(A35)</f>
        <v>-1.1226827987761081E-2</v>
      </c>
      <c r="L35" s="43">
        <f t="shared" ref="L35:L45" si="12">-($H$31*EXP(-C35*A35)*NORMSDIST(-J35))+(I35*EXP(-D35*A35)*NORMSDIST(-K35))</f>
        <v>1.1702690557347282</v>
      </c>
      <c r="M35" s="110">
        <f t="shared" ref="M35:M45" si="13">L35*F35</f>
        <v>11702690.557347281</v>
      </c>
    </row>
    <row r="36" spans="1:13" ht="18" x14ac:dyDescent="0.35">
      <c r="A36" s="13">
        <f t="shared" ref="A36:A45" si="14">A35+1/12</f>
        <v>0.25</v>
      </c>
      <c r="B36" s="20">
        <f t="shared" si="7"/>
        <v>46195</v>
      </c>
      <c r="C36" s="103">
        <v>0.98046725767918297</v>
      </c>
      <c r="D36" s="103">
        <v>0.98823414895979667</v>
      </c>
      <c r="E36" s="104">
        <v>0.06</v>
      </c>
      <c r="F36" s="102">
        <v>10000000</v>
      </c>
      <c r="G36" s="106">
        <f t="shared" si="8"/>
        <v>7.890410958904101E-2</v>
      </c>
      <c r="H36" s="106">
        <f t="shared" si="9"/>
        <v>4.7342465753424733E-2</v>
      </c>
      <c r="I36" s="22">
        <f t="shared" si="10"/>
        <v>124.01757957757417</v>
      </c>
      <c r="J36" s="43">
        <f t="shared" ref="J36:J45" si="15">(LN($H$31/I36)+((H36-G36+(0.5*E36*E36))*A36))/(E36*SQRT(A36))</f>
        <v>1.5000000000001731E-2</v>
      </c>
      <c r="K36" s="43">
        <f t="shared" si="11"/>
        <v>-1.4999999999998268E-2</v>
      </c>
      <c r="L36" s="43">
        <f t="shared" si="12"/>
        <v>0.68647839645522879</v>
      </c>
      <c r="M36" s="110">
        <f t="shared" si="13"/>
        <v>6864783.9645522879</v>
      </c>
    </row>
    <row r="37" spans="1:13" ht="18" x14ac:dyDescent="0.35">
      <c r="A37" s="13">
        <f t="shared" si="14"/>
        <v>0.33333333333333331</v>
      </c>
      <c r="B37" s="20">
        <f t="shared" si="7"/>
        <v>46225</v>
      </c>
      <c r="C37" s="103">
        <v>0.98985997938410708</v>
      </c>
      <c r="D37" s="103">
        <v>0.98369601631723325</v>
      </c>
      <c r="E37" s="104">
        <v>6.3500000000000001E-2</v>
      </c>
      <c r="F37" s="102">
        <v>10000000</v>
      </c>
      <c r="G37" s="106">
        <f t="shared" si="8"/>
        <v>3.0575342465753299E-2</v>
      </c>
      <c r="H37" s="106">
        <f t="shared" si="9"/>
        <v>4.9315068493150628E-2</v>
      </c>
      <c r="I37" s="22">
        <f t="shared" si="10"/>
        <v>125.78326573512396</v>
      </c>
      <c r="J37" s="43">
        <f t="shared" si="15"/>
        <v>1.8330871046771554E-2</v>
      </c>
      <c r="K37" s="43">
        <f t="shared" si="11"/>
        <v>-1.833087104676968E-2</v>
      </c>
      <c r="L37" s="43">
        <f t="shared" si="12"/>
        <v>1.6943977346848413</v>
      </c>
      <c r="M37" s="110">
        <f t="shared" si="13"/>
        <v>16943977.346848413</v>
      </c>
    </row>
    <row r="38" spans="1:13" ht="18" x14ac:dyDescent="0.35">
      <c r="A38" s="13">
        <f t="shared" si="14"/>
        <v>0.41666666666666663</v>
      </c>
      <c r="B38" s="20">
        <f t="shared" si="7"/>
        <v>46256</v>
      </c>
      <c r="C38" s="103">
        <v>0.9860327071039362</v>
      </c>
      <c r="D38" s="103">
        <v>0.97871741101572562</v>
      </c>
      <c r="E38" s="104">
        <v>6.7000000000000004E-2</v>
      </c>
      <c r="F38" s="102">
        <v>10000000</v>
      </c>
      <c r="G38" s="106">
        <f t="shared" si="8"/>
        <v>3.3757808219178127E-2</v>
      </c>
      <c r="H38" s="106">
        <f t="shared" si="9"/>
        <v>5.1629589041095762E-2</v>
      </c>
      <c r="I38" s="22">
        <f t="shared" si="10"/>
        <v>125.9342962541939</v>
      </c>
      <c r="J38" s="43">
        <f t="shared" si="15"/>
        <v>2.1624157016320082E-2</v>
      </c>
      <c r="K38" s="43">
        <f t="shared" si="11"/>
        <v>-2.1624157016329408E-2</v>
      </c>
      <c r="L38" s="43">
        <f t="shared" si="12"/>
        <v>1.8747315597465928</v>
      </c>
      <c r="M38" s="110">
        <f t="shared" si="13"/>
        <v>18747315.597465929</v>
      </c>
    </row>
    <row r="39" spans="1:13" ht="18" x14ac:dyDescent="0.35">
      <c r="A39" s="13">
        <f t="shared" si="14"/>
        <v>0.49999999999999994</v>
      </c>
      <c r="B39" s="20">
        <f t="shared" si="7"/>
        <v>46287</v>
      </c>
      <c r="C39" s="103">
        <v>0.98035981509996006</v>
      </c>
      <c r="D39" s="103">
        <v>0.97164803516614962</v>
      </c>
      <c r="E39" s="104">
        <v>7.0000000000000007E-2</v>
      </c>
      <c r="F39" s="102">
        <v>10000000</v>
      </c>
      <c r="G39" s="106">
        <f t="shared" si="8"/>
        <v>3.9671232876712439E-2</v>
      </c>
      <c r="H39" s="106">
        <f t="shared" si="9"/>
        <v>5.7523287671232902E-2</v>
      </c>
      <c r="I39" s="22">
        <f t="shared" si="10"/>
        <v>126.1207478966806</v>
      </c>
      <c r="J39" s="43">
        <f t="shared" si="15"/>
        <v>2.4748737341530155E-2</v>
      </c>
      <c r="K39" s="43">
        <f t="shared" si="11"/>
        <v>-2.474873734152817E-2</v>
      </c>
      <c r="L39" s="43">
        <f t="shared" si="12"/>
        <v>2.0336972705896486</v>
      </c>
      <c r="M39" s="110">
        <f t="shared" si="13"/>
        <v>20336972.705896486</v>
      </c>
    </row>
    <row r="40" spans="1:13" ht="18" x14ac:dyDescent="0.35">
      <c r="A40" s="13">
        <f t="shared" si="14"/>
        <v>0.58333333333333326</v>
      </c>
      <c r="B40" s="20">
        <f t="shared" si="7"/>
        <v>46317</v>
      </c>
      <c r="C40" s="103">
        <v>0.97420162818993072</v>
      </c>
      <c r="D40" s="103">
        <v>0.97137654406232565</v>
      </c>
      <c r="E40" s="104">
        <v>7.8E-2</v>
      </c>
      <c r="F40" s="102">
        <v>10000000</v>
      </c>
      <c r="G40" s="106">
        <f t="shared" si="8"/>
        <v>4.4806262230919776E-2</v>
      </c>
      <c r="H40" s="106">
        <f t="shared" si="9"/>
        <v>4.9784735812132989E-2</v>
      </c>
      <c r="I40" s="22">
        <f t="shared" si="10"/>
        <v>125.36354132504971</v>
      </c>
      <c r="J40" s="43">
        <f t="shared" si="15"/>
        <v>2.978674201721446E-2</v>
      </c>
      <c r="K40" s="43">
        <f t="shared" si="11"/>
        <v>-2.9786742017211456E-2</v>
      </c>
      <c r="L40" s="43">
        <f t="shared" si="12"/>
        <v>1.8480747610649217</v>
      </c>
      <c r="M40" s="110">
        <f t="shared" si="13"/>
        <v>18480747.610649217</v>
      </c>
    </row>
    <row r="41" spans="1:13" ht="18" x14ac:dyDescent="0.35">
      <c r="A41" s="13">
        <f t="shared" si="14"/>
        <v>0.66666666666666663</v>
      </c>
      <c r="B41" s="20">
        <f t="shared" si="7"/>
        <v>46348</v>
      </c>
      <c r="C41" s="103">
        <v>0.96854903809278359</v>
      </c>
      <c r="D41" s="103">
        <v>0.95956357013756377</v>
      </c>
      <c r="E41" s="104">
        <v>0.08</v>
      </c>
      <c r="F41" s="102">
        <v>10000000</v>
      </c>
      <c r="G41" s="106">
        <f t="shared" si="8"/>
        <v>4.7934246575342475E-2</v>
      </c>
      <c r="H41" s="106">
        <f t="shared" si="9"/>
        <v>6.1915068493150711E-2</v>
      </c>
      <c r="I41" s="22">
        <f t="shared" si="10"/>
        <v>126.17051493966311</v>
      </c>
      <c r="J41" s="43">
        <f t="shared" si="15"/>
        <v>3.2659863237108837E-2</v>
      </c>
      <c r="K41" s="43">
        <f t="shared" si="11"/>
        <v>-3.2659863237109253E-2</v>
      </c>
      <c r="L41" s="43">
        <f t="shared" si="12"/>
        <v>2.2262577107530852</v>
      </c>
      <c r="M41" s="110">
        <f t="shared" si="13"/>
        <v>22262577.107530851</v>
      </c>
    </row>
    <row r="42" spans="1:13" ht="18" x14ac:dyDescent="0.35">
      <c r="A42" s="13">
        <f t="shared" si="14"/>
        <v>0.75</v>
      </c>
      <c r="B42" s="20">
        <f t="shared" si="7"/>
        <v>46378</v>
      </c>
      <c r="C42" s="103">
        <v>0.96185347704114743</v>
      </c>
      <c r="D42" s="103">
        <v>0.95183423375256371</v>
      </c>
      <c r="E42" s="104">
        <v>8.2000000000000003E-2</v>
      </c>
      <c r="F42" s="102">
        <v>10000000</v>
      </c>
      <c r="G42" s="106">
        <f t="shared" si="8"/>
        <v>5.1857534246575382E-2</v>
      </c>
      <c r="H42" s="106">
        <f t="shared" si="9"/>
        <v>6.5819178082191745E-2</v>
      </c>
      <c r="I42" s="22">
        <f t="shared" si="10"/>
        <v>126.31578101171608</v>
      </c>
      <c r="J42" s="43">
        <f t="shared" si="15"/>
        <v>3.5507041555163273E-2</v>
      </c>
      <c r="K42" s="43">
        <f t="shared" si="11"/>
        <v>-3.5507041555160691E-2</v>
      </c>
      <c r="L42" s="43">
        <f t="shared" si="12"/>
        <v>2.2879468825744524</v>
      </c>
      <c r="M42" s="110">
        <f t="shared" si="13"/>
        <v>22879468.825744525</v>
      </c>
    </row>
    <row r="43" spans="1:13" ht="18" x14ac:dyDescent="0.35">
      <c r="A43" s="13">
        <f t="shared" si="14"/>
        <v>0.83333333333333337</v>
      </c>
      <c r="B43" s="20">
        <f t="shared" si="7"/>
        <v>46409</v>
      </c>
      <c r="C43" s="103">
        <v>0.95522513848747848</v>
      </c>
      <c r="D43" s="103">
        <v>0.94336560263003644</v>
      </c>
      <c r="E43" s="104">
        <v>8.7999999999999995E-2</v>
      </c>
      <c r="F43" s="102">
        <v>10000000</v>
      </c>
      <c r="G43" s="106">
        <f t="shared" si="8"/>
        <v>5.4969863013698668E-2</v>
      </c>
      <c r="H43" s="106">
        <f t="shared" si="9"/>
        <v>6.9961643835616441E-2</v>
      </c>
      <c r="I43" s="22">
        <f t="shared" si="10"/>
        <v>126.57143951194247</v>
      </c>
      <c r="J43" s="43">
        <f t="shared" si="15"/>
        <v>4.0166320883711054E-2</v>
      </c>
      <c r="K43" s="43">
        <f t="shared" si="11"/>
        <v>-4.0166320883713302E-2</v>
      </c>
      <c r="L43" s="43">
        <f t="shared" si="12"/>
        <v>2.4651550066657251</v>
      </c>
      <c r="M43" s="110">
        <f t="shared" si="13"/>
        <v>24651550.066657249</v>
      </c>
    </row>
    <row r="44" spans="1:13" ht="18" x14ac:dyDescent="0.35">
      <c r="A44" s="13">
        <f t="shared" si="14"/>
        <v>0.91666666666666674</v>
      </c>
      <c r="B44" s="20">
        <f t="shared" si="7"/>
        <v>46440</v>
      </c>
      <c r="C44" s="103">
        <v>0.94657591115487838</v>
      </c>
      <c r="D44" s="103">
        <v>0.93367194694364675</v>
      </c>
      <c r="E44" s="104">
        <v>9.2999999999999999E-2</v>
      </c>
      <c r="F44" s="102">
        <v>10000000</v>
      </c>
      <c r="G44" s="106">
        <f t="shared" si="8"/>
        <v>5.989539227895397E-2</v>
      </c>
      <c r="H44" s="106">
        <f t="shared" si="9"/>
        <v>7.4869240348692356E-2</v>
      </c>
      <c r="I44" s="22">
        <f t="shared" si="10"/>
        <v>126.72758272505033</v>
      </c>
      <c r="J44" s="43">
        <f t="shared" si="15"/>
        <v>4.4520360510670723E-2</v>
      </c>
      <c r="K44" s="43">
        <f t="shared" si="11"/>
        <v>-4.4520360510668724E-2</v>
      </c>
      <c r="L44" s="43">
        <f t="shared" si="12"/>
        <v>2.5673788248581388</v>
      </c>
      <c r="M44" s="110">
        <f t="shared" si="13"/>
        <v>25673788.248581387</v>
      </c>
    </row>
    <row r="45" spans="1:13" ht="18" x14ac:dyDescent="0.35">
      <c r="A45" s="13">
        <f t="shared" si="14"/>
        <v>1</v>
      </c>
      <c r="B45" s="20">
        <f t="shared" si="7"/>
        <v>46468</v>
      </c>
      <c r="C45" s="103">
        <v>0.93706746337740343</v>
      </c>
      <c r="D45" s="103">
        <v>0.92311634638663576</v>
      </c>
      <c r="E45" s="104">
        <v>0.1</v>
      </c>
      <c r="F45" s="102">
        <v>10000000</v>
      </c>
      <c r="G45" s="106">
        <f t="shared" si="8"/>
        <v>6.5000000000000002E-2</v>
      </c>
      <c r="H45" s="106">
        <f t="shared" si="9"/>
        <v>8.0000000000000029E-2</v>
      </c>
      <c r="I45" s="22">
        <f t="shared" si="10"/>
        <v>126.88913307696487</v>
      </c>
      <c r="J45" s="43">
        <f t="shared" si="15"/>
        <v>5.0000000000000128E-2</v>
      </c>
      <c r="K45" s="43">
        <f t="shared" si="11"/>
        <v>-4.9999999999999878E-2</v>
      </c>
      <c r="L45" s="43">
        <f t="shared" si="12"/>
        <v>2.7008206215884982</v>
      </c>
      <c r="M45" s="110">
        <f t="shared" si="13"/>
        <v>27008206.215884984</v>
      </c>
    </row>
    <row r="46" spans="1:13" x14ac:dyDescent="0.25">
      <c r="M46" s="111">
        <f>SUM(M34:M45)</f>
        <v>223240419.2262142</v>
      </c>
    </row>
    <row r="53" spans="1:14" x14ac:dyDescent="0.25">
      <c r="A53" s="13" t="s">
        <v>30</v>
      </c>
    </row>
    <row r="54" spans="1:14" ht="18" x14ac:dyDescent="0.35">
      <c r="A54" s="17"/>
      <c r="B54" s="18"/>
      <c r="C54" s="18"/>
      <c r="D54" s="18"/>
      <c r="E54" s="18"/>
      <c r="F54" s="100"/>
      <c r="G54" s="19" t="s">
        <v>23</v>
      </c>
      <c r="H54" s="20">
        <f>B57</f>
        <v>46103</v>
      </c>
    </row>
    <row r="55" spans="1:14" ht="18" x14ac:dyDescent="0.35">
      <c r="F55" s="100"/>
      <c r="G55" s="101" t="s">
        <v>27</v>
      </c>
      <c r="H55" s="101">
        <v>125</v>
      </c>
    </row>
    <row r="56" spans="1:14" ht="18" x14ac:dyDescent="0.35">
      <c r="B56" s="19" t="s">
        <v>8</v>
      </c>
      <c r="C56" s="19" t="s">
        <v>24</v>
      </c>
      <c r="D56" s="19" t="s">
        <v>25</v>
      </c>
      <c r="E56" s="19" t="s">
        <v>26</v>
      </c>
      <c r="F56" s="102" t="s">
        <v>106</v>
      </c>
      <c r="G56" s="48" t="s">
        <v>102</v>
      </c>
      <c r="H56" s="48" t="s">
        <v>103</v>
      </c>
      <c r="I56" s="87" t="s">
        <v>114</v>
      </c>
      <c r="J56" s="87" t="s">
        <v>115</v>
      </c>
      <c r="K56" s="87" t="s">
        <v>116</v>
      </c>
      <c r="L56" s="87" t="s">
        <v>117</v>
      </c>
      <c r="M56" s="87" t="s">
        <v>118</v>
      </c>
      <c r="N56" s="87" t="s">
        <v>119</v>
      </c>
    </row>
    <row r="57" spans="1:14" ht="18" x14ac:dyDescent="0.35">
      <c r="A57" s="13">
        <v>0</v>
      </c>
      <c r="B57" s="20">
        <v>46103</v>
      </c>
      <c r="C57" s="103">
        <v>1</v>
      </c>
      <c r="D57" s="103">
        <v>1</v>
      </c>
      <c r="E57" s="104"/>
      <c r="F57" s="102"/>
      <c r="G57" s="22"/>
      <c r="H57" s="22"/>
      <c r="I57" s="43"/>
      <c r="J57" s="43"/>
      <c r="K57" s="43"/>
      <c r="L57" s="43"/>
      <c r="M57" s="43"/>
      <c r="N57" s="43">
        <f>H55</f>
        <v>125</v>
      </c>
    </row>
    <row r="58" spans="1:14" ht="18" x14ac:dyDescent="0.35">
      <c r="A58" s="105">
        <f>1/12</f>
        <v>8.3333333333333329E-2</v>
      </c>
      <c r="B58" s="20">
        <f>EDATE(B57,1)</f>
        <v>46134</v>
      </c>
      <c r="C58" s="103">
        <v>0.99830281171867608</v>
      </c>
      <c r="D58" s="103">
        <v>0.99660850388541455</v>
      </c>
      <c r="E58" s="104">
        <v>0.05</v>
      </c>
      <c r="F58" s="102">
        <v>10000000</v>
      </c>
      <c r="G58" s="106">
        <f>LN(C58)/(-$A58)</f>
        <v>2.038356164383625E-2</v>
      </c>
      <c r="H58" s="106">
        <f>LN(D58)/(-$A58)</f>
        <v>4.0767123287670813E-2</v>
      </c>
      <c r="I58" s="113">
        <f>G58</f>
        <v>2.038356164383625E-2</v>
      </c>
      <c r="J58" s="114">
        <f>H58</f>
        <v>4.0767123287670813E-2</v>
      </c>
      <c r="K58" s="113">
        <f>E58</f>
        <v>0.05</v>
      </c>
      <c r="L58" s="43">
        <f ca="1">RAND()</f>
        <v>0.36551711108676588</v>
      </c>
      <c r="M58" s="43">
        <f ca="1">NORMSINV(L58)</f>
        <v>-0.3437501106309091</v>
      </c>
      <c r="N58" s="87">
        <f ca="1">N57*EXP((J58-I58-(0.5*K58*K58))*1/12)*EXP(K58*M58*SQRT(1/12))</f>
        <v>124.57981505788237</v>
      </c>
    </row>
    <row r="59" spans="1:14" ht="18" x14ac:dyDescent="0.35">
      <c r="A59" s="13">
        <f>A58+1/12</f>
        <v>0.16666666666666666</v>
      </c>
      <c r="B59" s="20">
        <f t="shared" ref="B59:B69" si="16">EDATE(B58,1)</f>
        <v>46164</v>
      </c>
      <c r="C59" s="103">
        <v>0.99628909427310219</v>
      </c>
      <c r="D59" s="103">
        <v>0.99275241870731468</v>
      </c>
      <c r="E59" s="104">
        <v>5.5E-2</v>
      </c>
      <c r="F59" s="102">
        <v>10000000</v>
      </c>
      <c r="G59" s="106">
        <f t="shared" ref="G59:G69" si="17">LN(C59)/(-$A59)</f>
        <v>2.2306849315068326E-2</v>
      </c>
      <c r="H59" s="106">
        <f t="shared" ref="H59:H69" si="18">LN(D59)/(-$A59)</f>
        <v>4.364383561643817E-2</v>
      </c>
      <c r="I59" s="114">
        <f>(G59*A59-G58*A58)/(A59-A58)</f>
        <v>2.4230136986300402E-2</v>
      </c>
      <c r="J59" s="114">
        <f>(H59*A59-H58*A58)/(A59-A58)</f>
        <v>4.6520547945205527E-2</v>
      </c>
      <c r="K59" s="114">
        <f>SQRT((E59*E59*A59-E58*E58*A58)/(A59-A58))</f>
        <v>5.9581876439064922E-2</v>
      </c>
      <c r="L59" s="43">
        <f t="shared" ref="L59:L69" ca="1" si="19">RAND()</f>
        <v>0.68918718443179261</v>
      </c>
      <c r="M59" s="43">
        <f t="shared" ref="M59:M69" ca="1" si="20">NORMSINV(L59)</f>
        <v>0.49354771902765221</v>
      </c>
      <c r="N59" s="87">
        <f t="shared" ref="N59:N69" ca="1" si="21">N58*EXP((J59-I59-(0.5*K59*K59))*1/12)*EXP(K59*M59*SQRT(1/12))</f>
        <v>125.85684849234886</v>
      </c>
    </row>
    <row r="60" spans="1:14" ht="18" x14ac:dyDescent="0.35">
      <c r="A60" s="13">
        <f t="shared" ref="A60:A69" si="22">A59+1/12</f>
        <v>0.25</v>
      </c>
      <c r="B60" s="20">
        <f t="shared" si="16"/>
        <v>46195</v>
      </c>
      <c r="C60" s="103">
        <v>0.98046725767918297</v>
      </c>
      <c r="D60" s="103">
        <v>0.98823414895979667</v>
      </c>
      <c r="E60" s="104">
        <v>0.06</v>
      </c>
      <c r="F60" s="102">
        <v>10000000</v>
      </c>
      <c r="G60" s="106">
        <f>LN(C60)/(-$A60)</f>
        <v>7.890410958904101E-2</v>
      </c>
      <c r="H60" s="106">
        <f t="shared" si="18"/>
        <v>4.7342465753424733E-2</v>
      </c>
      <c r="I60" s="114">
        <f t="shared" ref="I60:I69" si="23">(G60*A60-G59*A59)/(A60-A59)</f>
        <v>0.19209863013698636</v>
      </c>
      <c r="J60" s="114">
        <f t="shared" ref="J60:J69" si="24">(H60*A60-H59*A59)/(A60-A59)</f>
        <v>5.473972602739785E-2</v>
      </c>
      <c r="K60" s="114">
        <f t="shared" ref="K60:K69" si="25">SQRT((E60*E60*A60-E59*E59*A59)/(A60-A59))</f>
        <v>6.8920243760451097E-2</v>
      </c>
      <c r="L60" s="43">
        <f t="shared" ca="1" si="19"/>
        <v>0.19890756913883656</v>
      </c>
      <c r="M60" s="43">
        <f t="shared" ca="1" si="20"/>
        <v>-0.8455297343846272</v>
      </c>
      <c r="N60" s="87">
        <f t="shared" ca="1" si="21"/>
        <v>122.324623326047</v>
      </c>
    </row>
    <row r="61" spans="1:14" ht="18" x14ac:dyDescent="0.35">
      <c r="A61" s="13">
        <f t="shared" si="22"/>
        <v>0.33333333333333331</v>
      </c>
      <c r="B61" s="20">
        <f t="shared" si="16"/>
        <v>46225</v>
      </c>
      <c r="C61" s="103">
        <v>0.98985997938410708</v>
      </c>
      <c r="D61" s="103">
        <v>0.98369601631723325</v>
      </c>
      <c r="E61" s="104">
        <v>6.3500000000000001E-2</v>
      </c>
      <c r="F61" s="102">
        <v>10000000</v>
      </c>
      <c r="G61" s="106">
        <f t="shared" si="17"/>
        <v>3.0575342465753299E-2</v>
      </c>
      <c r="H61" s="106">
        <f t="shared" si="18"/>
        <v>4.9315068493150628E-2</v>
      </c>
      <c r="I61" s="114">
        <f t="shared" si="23"/>
        <v>-0.11441095890410986</v>
      </c>
      <c r="J61" s="114">
        <f t="shared" si="24"/>
        <v>5.5232876712328328E-2</v>
      </c>
      <c r="K61" s="114">
        <f t="shared" si="25"/>
        <v>7.3000000000000009E-2</v>
      </c>
      <c r="L61" s="43">
        <f t="shared" ca="1" si="19"/>
        <v>0.86067180777054975</v>
      </c>
      <c r="M61" s="43">
        <f t="shared" ca="1" si="20"/>
        <v>1.0833425972978312</v>
      </c>
      <c r="N61" s="87">
        <f t="shared" ca="1" si="21"/>
        <v>126.9029840775169</v>
      </c>
    </row>
    <row r="62" spans="1:14" ht="18" x14ac:dyDescent="0.35">
      <c r="A62" s="13">
        <f t="shared" si="22"/>
        <v>0.41666666666666663</v>
      </c>
      <c r="B62" s="20">
        <f t="shared" si="16"/>
        <v>46256</v>
      </c>
      <c r="C62" s="103">
        <v>0.9860327071039362</v>
      </c>
      <c r="D62" s="103">
        <v>0.97871741101572562</v>
      </c>
      <c r="E62" s="104">
        <v>6.7000000000000004E-2</v>
      </c>
      <c r="F62" s="102">
        <v>10000000</v>
      </c>
      <c r="G62" s="106">
        <f t="shared" si="17"/>
        <v>3.3757808219178127E-2</v>
      </c>
      <c r="H62" s="106">
        <f t="shared" si="18"/>
        <v>5.1629589041095762E-2</v>
      </c>
      <c r="I62" s="114">
        <f t="shared" si="23"/>
        <v>4.6487671232877448E-2</v>
      </c>
      <c r="J62" s="114">
        <f t="shared" si="24"/>
        <v>6.0887671232876306E-2</v>
      </c>
      <c r="K62" s="114">
        <f t="shared" si="25"/>
        <v>7.9473265945222138E-2</v>
      </c>
      <c r="L62" s="43">
        <f t="shared" ca="1" si="19"/>
        <v>0.72537026884764444</v>
      </c>
      <c r="M62" s="43">
        <f t="shared" ca="1" si="20"/>
        <v>0.59887017392696651</v>
      </c>
      <c r="N62" s="87">
        <f t="shared" ca="1" si="21"/>
        <v>128.77915699377448</v>
      </c>
    </row>
    <row r="63" spans="1:14" ht="18" x14ac:dyDescent="0.35">
      <c r="A63" s="13">
        <f t="shared" si="22"/>
        <v>0.49999999999999994</v>
      </c>
      <c r="B63" s="20">
        <f t="shared" si="16"/>
        <v>46287</v>
      </c>
      <c r="C63" s="103">
        <v>0.98035981509996006</v>
      </c>
      <c r="D63" s="103">
        <v>0.97164803516614962</v>
      </c>
      <c r="E63" s="104">
        <v>7.0000000000000007E-2</v>
      </c>
      <c r="F63" s="102">
        <v>10000000</v>
      </c>
      <c r="G63" s="106">
        <f t="shared" si="17"/>
        <v>3.9671232876712439E-2</v>
      </c>
      <c r="H63" s="106">
        <f t="shared" si="18"/>
        <v>5.7523287671232902E-2</v>
      </c>
      <c r="I63" s="114">
        <f t="shared" si="23"/>
        <v>6.923835616438398E-2</v>
      </c>
      <c r="J63" s="114">
        <f t="shared" si="24"/>
        <v>8.699178082191858E-2</v>
      </c>
      <c r="K63" s="114">
        <f t="shared" si="25"/>
        <v>8.3396642618273301E-2</v>
      </c>
      <c r="L63" s="43">
        <f t="shared" ca="1" si="19"/>
        <v>0.30002834729124772</v>
      </c>
      <c r="M63" s="43">
        <f t="shared" ca="1" si="20"/>
        <v>-0.52431898470268445</v>
      </c>
      <c r="N63" s="87">
        <f t="shared" ca="1" si="21"/>
        <v>127.31519976399522</v>
      </c>
    </row>
    <row r="64" spans="1:14" ht="18" x14ac:dyDescent="0.35">
      <c r="A64" s="13">
        <f t="shared" si="22"/>
        <v>0.58333333333333326</v>
      </c>
      <c r="B64" s="20">
        <f t="shared" si="16"/>
        <v>46317</v>
      </c>
      <c r="C64" s="103">
        <v>0.97420162818993072</v>
      </c>
      <c r="D64" s="103">
        <v>0.97137654406232565</v>
      </c>
      <c r="E64" s="104">
        <v>7.8E-2</v>
      </c>
      <c r="F64" s="102">
        <v>10000000</v>
      </c>
      <c r="G64" s="106">
        <f t="shared" si="17"/>
        <v>4.4806262230919776E-2</v>
      </c>
      <c r="H64" s="106">
        <f t="shared" si="18"/>
        <v>4.9784735812132989E-2</v>
      </c>
      <c r="I64" s="114">
        <f t="shared" si="23"/>
        <v>7.5616438356163829E-2</v>
      </c>
      <c r="J64" s="114">
        <f t="shared" si="24"/>
        <v>3.3534246575335222E-3</v>
      </c>
      <c r="K64" s="114">
        <f t="shared" si="25"/>
        <v>0.11483901775964474</v>
      </c>
      <c r="L64" s="43">
        <f t="shared" ca="1" si="19"/>
        <v>0.91324037858536511</v>
      </c>
      <c r="M64" s="43">
        <f t="shared" ca="1" si="20"/>
        <v>1.360982427314479</v>
      </c>
      <c r="N64" s="87">
        <f t="shared" ca="1" si="21"/>
        <v>132.31859858150011</v>
      </c>
    </row>
    <row r="65" spans="1:19" ht="18" x14ac:dyDescent="0.35">
      <c r="A65" s="13">
        <f t="shared" si="22"/>
        <v>0.66666666666666663</v>
      </c>
      <c r="B65" s="20">
        <f t="shared" si="16"/>
        <v>46348</v>
      </c>
      <c r="C65" s="103">
        <v>0.96854903809278359</v>
      </c>
      <c r="D65" s="103">
        <v>0.95956357013756377</v>
      </c>
      <c r="E65" s="104">
        <v>0.08</v>
      </c>
      <c r="F65" s="102">
        <v>10000000</v>
      </c>
      <c r="G65" s="106">
        <f t="shared" si="17"/>
        <v>4.7934246575342475E-2</v>
      </c>
      <c r="H65" s="106">
        <f t="shared" si="18"/>
        <v>6.1915068493150711E-2</v>
      </c>
      <c r="I65" s="114">
        <f t="shared" si="23"/>
        <v>6.9830136986301361E-2</v>
      </c>
      <c r="J65" s="114">
        <f t="shared" si="24"/>
        <v>0.14682739726027472</v>
      </c>
      <c r="K65" s="114">
        <f t="shared" si="25"/>
        <v>9.2800862064961465E-2</v>
      </c>
      <c r="L65" s="43">
        <f t="shared" ca="1" si="19"/>
        <v>0.40083868510359544</v>
      </c>
      <c r="M65" s="43">
        <f t="shared" ca="1" si="20"/>
        <v>-0.25117686520984173</v>
      </c>
      <c r="N65" s="87">
        <f t="shared" ca="1" si="21"/>
        <v>132.22980982807684</v>
      </c>
    </row>
    <row r="66" spans="1:19" ht="18" x14ac:dyDescent="0.35">
      <c r="A66" s="13">
        <f t="shared" si="22"/>
        <v>0.75</v>
      </c>
      <c r="B66" s="20">
        <f t="shared" si="16"/>
        <v>46378</v>
      </c>
      <c r="C66" s="103">
        <v>0.96185347704114743</v>
      </c>
      <c r="D66" s="103">
        <v>0.95183423375256371</v>
      </c>
      <c r="E66" s="104">
        <v>8.2000000000000003E-2</v>
      </c>
      <c r="F66" s="102">
        <v>10000000</v>
      </c>
      <c r="G66" s="106">
        <f t="shared" si="17"/>
        <v>5.1857534246575382E-2</v>
      </c>
      <c r="H66" s="106">
        <f t="shared" si="18"/>
        <v>6.5819178082191745E-2</v>
      </c>
      <c r="I66" s="114">
        <f t="shared" si="23"/>
        <v>8.3243835616438597E-2</v>
      </c>
      <c r="J66" s="114">
        <f t="shared" si="24"/>
        <v>9.7052054794520046E-2</v>
      </c>
      <c r="K66" s="114">
        <f t="shared" si="25"/>
        <v>9.6519428096109236E-2</v>
      </c>
      <c r="L66" s="43">
        <f t="shared" ca="1" si="19"/>
        <v>0.23722806353323889</v>
      </c>
      <c r="M66" s="43">
        <f t="shared" ca="1" si="20"/>
        <v>-0.71524749304625379</v>
      </c>
      <c r="N66" s="87">
        <f t="shared" ca="1" si="21"/>
        <v>129.71959277749025</v>
      </c>
    </row>
    <row r="67" spans="1:19" ht="18" x14ac:dyDescent="0.35">
      <c r="A67" s="13">
        <f t="shared" si="22"/>
        <v>0.83333333333333337</v>
      </c>
      <c r="B67" s="20">
        <f t="shared" si="16"/>
        <v>46409</v>
      </c>
      <c r="C67" s="103">
        <v>0.95522513848747848</v>
      </c>
      <c r="D67" s="103">
        <v>0.94336560263003644</v>
      </c>
      <c r="E67" s="104">
        <v>8.7999999999999995E-2</v>
      </c>
      <c r="F67" s="102">
        <v>10000000</v>
      </c>
      <c r="G67" s="106">
        <f t="shared" si="17"/>
        <v>5.4969863013698668E-2</v>
      </c>
      <c r="H67" s="106">
        <f t="shared" si="18"/>
        <v>6.9961643835616441E-2</v>
      </c>
      <c r="I67" s="114">
        <f t="shared" si="23"/>
        <v>8.2980821917808242E-2</v>
      </c>
      <c r="J67" s="114">
        <f t="shared" si="24"/>
        <v>0.10724383561643862</v>
      </c>
      <c r="K67" s="114">
        <f t="shared" si="25"/>
        <v>0.13009227494359524</v>
      </c>
      <c r="L67" s="43">
        <f t="shared" ca="1" si="19"/>
        <v>0.98529377124035877</v>
      </c>
      <c r="M67" s="43">
        <f t="shared" ca="1" si="20"/>
        <v>2.1779137649270575</v>
      </c>
      <c r="N67" s="87">
        <f t="shared" ca="1" si="21"/>
        <v>140.96084388538765</v>
      </c>
    </row>
    <row r="68" spans="1:19" ht="18" x14ac:dyDescent="0.35">
      <c r="A68" s="13">
        <f t="shared" si="22"/>
        <v>0.91666666666666674</v>
      </c>
      <c r="B68" s="20">
        <f t="shared" si="16"/>
        <v>46440</v>
      </c>
      <c r="C68" s="103">
        <v>0.94657591115487838</v>
      </c>
      <c r="D68" s="103">
        <v>0.93367194694364675</v>
      </c>
      <c r="E68" s="104">
        <v>9.2999999999999999E-2</v>
      </c>
      <c r="F68" s="102">
        <v>10000000</v>
      </c>
      <c r="G68" s="106">
        <f t="shared" si="17"/>
        <v>5.989539227895397E-2</v>
      </c>
      <c r="H68" s="106">
        <f t="shared" si="18"/>
        <v>7.4869240348692356E-2</v>
      </c>
      <c r="I68" s="114">
        <f t="shared" si="23"/>
        <v>0.10915068493150694</v>
      </c>
      <c r="J68" s="114">
        <f t="shared" si="24"/>
        <v>0.12394520547945145</v>
      </c>
      <c r="K68" s="114">
        <f t="shared" si="25"/>
        <v>0.13303758867327692</v>
      </c>
      <c r="L68" s="43">
        <f t="shared" ca="1" si="19"/>
        <v>0.59320709695209262</v>
      </c>
      <c r="M68" s="43">
        <f t="shared" ca="1" si="20"/>
        <v>0.23580265726789632</v>
      </c>
      <c r="N68" s="87">
        <f t="shared" ca="1" si="21"/>
        <v>142.31365849811752</v>
      </c>
    </row>
    <row r="69" spans="1:19" ht="18" x14ac:dyDescent="0.35">
      <c r="A69" s="13">
        <f t="shared" si="22"/>
        <v>1</v>
      </c>
      <c r="B69" s="20">
        <f t="shared" si="16"/>
        <v>46468</v>
      </c>
      <c r="C69" s="103">
        <v>0.93706746337740343</v>
      </c>
      <c r="D69" s="103">
        <v>0.92311634638663576</v>
      </c>
      <c r="E69" s="104">
        <v>0.1</v>
      </c>
      <c r="F69" s="102">
        <v>10000000</v>
      </c>
      <c r="G69" s="106">
        <f t="shared" si="17"/>
        <v>6.5000000000000002E-2</v>
      </c>
      <c r="H69" s="106">
        <f t="shared" si="18"/>
        <v>8.0000000000000029E-2</v>
      </c>
      <c r="I69" s="114">
        <f t="shared" si="23"/>
        <v>0.12115068493150644</v>
      </c>
      <c r="J69" s="114">
        <f t="shared" si="24"/>
        <v>0.13643835616438454</v>
      </c>
      <c r="K69" s="114">
        <f t="shared" si="25"/>
        <v>0.15767371372552885</v>
      </c>
      <c r="L69" s="43">
        <f t="shared" ca="1" si="19"/>
        <v>0.65605251331530756</v>
      </c>
      <c r="M69" s="43">
        <f t="shared" ca="1" si="20"/>
        <v>0.40171338406276536</v>
      </c>
      <c r="N69" s="87">
        <f t="shared" ca="1" si="21"/>
        <v>144.9742530296426</v>
      </c>
    </row>
    <row r="70" spans="1:19" x14ac:dyDescent="0.25">
      <c r="M70" s="43" t="s">
        <v>120</v>
      </c>
      <c r="N70" s="115">
        <f ca="1">SUMPRODUCT(F5:F16,N58:N69)</f>
        <v>15782753843.117798</v>
      </c>
    </row>
    <row r="71" spans="1:19" x14ac:dyDescent="0.25">
      <c r="M71" s="48" t="s">
        <v>121</v>
      </c>
      <c r="N71" s="109">
        <f>K17</f>
        <v>14593480402.003235</v>
      </c>
    </row>
    <row r="72" spans="1:19" x14ac:dyDescent="0.25">
      <c r="M72" s="48" t="s">
        <v>122</v>
      </c>
      <c r="N72" s="109">
        <f ca="1">MAX(N71-N70,0)</f>
        <v>0</v>
      </c>
    </row>
    <row r="73" spans="1:19" x14ac:dyDescent="0.25">
      <c r="M73" s="48" t="s">
        <v>123</v>
      </c>
      <c r="N73" s="55">
        <f>AVERAGE(S74:S12915)</f>
        <v>82506611.707127601</v>
      </c>
      <c r="S73" s="163">
        <f ca="1">N72</f>
        <v>0</v>
      </c>
    </row>
    <row r="74" spans="1:19" x14ac:dyDescent="0.25">
      <c r="R74" s="13">
        <v>1</v>
      </c>
      <c r="S74" s="13">
        <f t="dataTable" ref="S74:S12915" dt2D="0" dtr="0" r1="P77" ca="1"/>
        <v>0</v>
      </c>
    </row>
    <row r="75" spans="1:19" x14ac:dyDescent="0.25">
      <c r="R75" s="13">
        <v>2</v>
      </c>
      <c r="S75" s="13">
        <v>0</v>
      </c>
    </row>
    <row r="76" spans="1:19" x14ac:dyDescent="0.25">
      <c r="R76" s="13">
        <v>3</v>
      </c>
      <c r="S76" s="13">
        <v>0</v>
      </c>
    </row>
    <row r="77" spans="1:19" x14ac:dyDescent="0.25">
      <c r="R77" s="13">
        <v>4</v>
      </c>
      <c r="S77" s="13">
        <v>0</v>
      </c>
    </row>
    <row r="78" spans="1:19" x14ac:dyDescent="0.25">
      <c r="R78" s="13">
        <v>5</v>
      </c>
      <c r="S78" s="13">
        <v>0</v>
      </c>
    </row>
    <row r="79" spans="1:19" x14ac:dyDescent="0.25">
      <c r="A79" s="13" t="s">
        <v>32</v>
      </c>
      <c r="R79" s="13">
        <v>6</v>
      </c>
      <c r="S79" s="13">
        <v>1061721740.1432762</v>
      </c>
    </row>
    <row r="80" spans="1:19" x14ac:dyDescent="0.25">
      <c r="R80" s="13">
        <v>7</v>
      </c>
      <c r="S80" s="13">
        <v>0</v>
      </c>
    </row>
    <row r="81" spans="18:19" x14ac:dyDescent="0.25">
      <c r="R81" s="13">
        <v>8</v>
      </c>
      <c r="S81" s="13">
        <v>0</v>
      </c>
    </row>
    <row r="82" spans="18:19" x14ac:dyDescent="0.25">
      <c r="R82" s="13">
        <v>9</v>
      </c>
      <c r="S82" s="13">
        <v>0</v>
      </c>
    </row>
    <row r="83" spans="18:19" x14ac:dyDescent="0.25">
      <c r="R83" s="13">
        <v>10</v>
      </c>
      <c r="S83" s="13">
        <v>0</v>
      </c>
    </row>
    <row r="84" spans="18:19" x14ac:dyDescent="0.25">
      <c r="R84" s="13">
        <v>11</v>
      </c>
      <c r="S84" s="13">
        <v>0</v>
      </c>
    </row>
    <row r="85" spans="18:19" x14ac:dyDescent="0.25">
      <c r="R85" s="13">
        <v>12</v>
      </c>
      <c r="S85" s="13">
        <v>0</v>
      </c>
    </row>
    <row r="86" spans="18:19" x14ac:dyDescent="0.25">
      <c r="R86" s="13">
        <v>13</v>
      </c>
      <c r="S86" s="13">
        <v>9424398.395980835</v>
      </c>
    </row>
    <row r="87" spans="18:19" x14ac:dyDescent="0.25">
      <c r="R87" s="13">
        <v>14</v>
      </c>
      <c r="S87" s="13">
        <v>0</v>
      </c>
    </row>
    <row r="88" spans="18:19" x14ac:dyDescent="0.25">
      <c r="R88" s="13">
        <v>15</v>
      </c>
      <c r="S88" s="13">
        <v>682752938.75620461</v>
      </c>
    </row>
    <row r="89" spans="18:19" x14ac:dyDescent="0.25">
      <c r="R89" s="13">
        <v>16</v>
      </c>
      <c r="S89" s="13">
        <v>0</v>
      </c>
    </row>
    <row r="90" spans="18:19" x14ac:dyDescent="0.25">
      <c r="R90" s="13">
        <v>17</v>
      </c>
      <c r="S90" s="13">
        <v>902651676.74356079</v>
      </c>
    </row>
    <row r="91" spans="18:19" x14ac:dyDescent="0.25">
      <c r="R91" s="13">
        <v>18</v>
      </c>
      <c r="S91" s="13">
        <v>0</v>
      </c>
    </row>
    <row r="92" spans="18:19" x14ac:dyDescent="0.25">
      <c r="R92" s="13">
        <v>19</v>
      </c>
      <c r="S92" s="13">
        <v>551489789.54109955</v>
      </c>
    </row>
    <row r="93" spans="18:19" x14ac:dyDescent="0.25">
      <c r="R93" s="13">
        <v>20</v>
      </c>
      <c r="S93" s="13">
        <v>469424040.6689682</v>
      </c>
    </row>
    <row r="94" spans="18:19" x14ac:dyDescent="0.25">
      <c r="R94" s="13">
        <v>21</v>
      </c>
      <c r="S94" s="13">
        <v>0</v>
      </c>
    </row>
    <row r="95" spans="18:19" x14ac:dyDescent="0.25">
      <c r="R95" s="13">
        <v>22</v>
      </c>
      <c r="S95" s="13">
        <v>57259644.182455063</v>
      </c>
    </row>
    <row r="96" spans="18:19" x14ac:dyDescent="0.25">
      <c r="R96" s="13">
        <v>23</v>
      </c>
      <c r="S96" s="13">
        <v>628005888.86790276</v>
      </c>
    </row>
    <row r="97" spans="18:19" x14ac:dyDescent="0.25">
      <c r="R97" s="13">
        <v>24</v>
      </c>
      <c r="S97" s="13">
        <v>0</v>
      </c>
    </row>
    <row r="98" spans="18:19" x14ac:dyDescent="0.25">
      <c r="R98" s="13">
        <v>25</v>
      </c>
      <c r="S98" s="13">
        <v>0</v>
      </c>
    </row>
    <row r="99" spans="18:19" x14ac:dyDescent="0.25">
      <c r="R99" s="13">
        <v>26</v>
      </c>
      <c r="S99" s="13">
        <v>337086429.26656723</v>
      </c>
    </row>
    <row r="100" spans="18:19" x14ac:dyDescent="0.25">
      <c r="R100" s="13">
        <v>27</v>
      </c>
      <c r="S100" s="13">
        <v>0</v>
      </c>
    </row>
    <row r="101" spans="18:19" x14ac:dyDescent="0.25">
      <c r="R101" s="13">
        <v>28</v>
      </c>
      <c r="S101" s="13">
        <v>0</v>
      </c>
    </row>
    <row r="102" spans="18:19" x14ac:dyDescent="0.25">
      <c r="R102" s="13">
        <v>29</v>
      </c>
      <c r="S102" s="13">
        <v>174014357.68489265</v>
      </c>
    </row>
    <row r="103" spans="18:19" x14ac:dyDescent="0.25">
      <c r="R103" s="13">
        <v>30</v>
      </c>
      <c r="S103" s="13">
        <v>0</v>
      </c>
    </row>
    <row r="104" spans="18:19" x14ac:dyDescent="0.25">
      <c r="R104" s="13">
        <v>31</v>
      </c>
      <c r="S104" s="13">
        <v>644831919.48958588</v>
      </c>
    </row>
    <row r="105" spans="18:19" x14ac:dyDescent="0.25">
      <c r="R105" s="13">
        <v>32</v>
      </c>
      <c r="S105" s="13">
        <v>0</v>
      </c>
    </row>
    <row r="106" spans="18:19" x14ac:dyDescent="0.25">
      <c r="R106" s="13">
        <v>33</v>
      </c>
      <c r="S106" s="13">
        <v>0</v>
      </c>
    </row>
    <row r="107" spans="18:19" x14ac:dyDescent="0.25">
      <c r="R107" s="13">
        <v>34</v>
      </c>
      <c r="S107" s="13">
        <v>0</v>
      </c>
    </row>
    <row r="108" spans="18:19" x14ac:dyDescent="0.25">
      <c r="R108" s="13">
        <v>35</v>
      </c>
      <c r="S108" s="13">
        <v>0</v>
      </c>
    </row>
    <row r="109" spans="18:19" x14ac:dyDescent="0.25">
      <c r="R109" s="13">
        <v>36</v>
      </c>
      <c r="S109" s="13">
        <v>0</v>
      </c>
    </row>
    <row r="110" spans="18:19" x14ac:dyDescent="0.25">
      <c r="R110" s="13">
        <v>37</v>
      </c>
      <c r="S110" s="13">
        <v>264580484.89609146</v>
      </c>
    </row>
    <row r="111" spans="18:19" x14ac:dyDescent="0.25">
      <c r="R111" s="13">
        <v>38</v>
      </c>
      <c r="S111" s="13">
        <v>0</v>
      </c>
    </row>
    <row r="112" spans="18:19" x14ac:dyDescent="0.25">
      <c r="R112" s="13">
        <v>39</v>
      </c>
      <c r="S112" s="13">
        <v>956488946.16915512</v>
      </c>
    </row>
    <row r="113" spans="18:19" x14ac:dyDescent="0.25">
      <c r="R113" s="13">
        <v>40</v>
      </c>
      <c r="S113" s="13">
        <v>0</v>
      </c>
    </row>
    <row r="114" spans="18:19" x14ac:dyDescent="0.25">
      <c r="R114" s="13">
        <v>41</v>
      </c>
      <c r="S114" s="13">
        <v>0</v>
      </c>
    </row>
    <row r="115" spans="18:19" x14ac:dyDescent="0.25">
      <c r="R115" s="13">
        <v>42</v>
      </c>
      <c r="S115" s="13">
        <v>0</v>
      </c>
    </row>
    <row r="116" spans="18:19" x14ac:dyDescent="0.25">
      <c r="R116" s="13">
        <v>43</v>
      </c>
      <c r="S116" s="13">
        <v>0</v>
      </c>
    </row>
    <row r="117" spans="18:19" x14ac:dyDescent="0.25">
      <c r="R117" s="13">
        <v>44</v>
      </c>
      <c r="S117" s="13">
        <v>0</v>
      </c>
    </row>
    <row r="118" spans="18:19" x14ac:dyDescent="0.25">
      <c r="R118" s="13">
        <v>45</v>
      </c>
      <c r="S118" s="13">
        <v>0</v>
      </c>
    </row>
    <row r="119" spans="18:19" x14ac:dyDescent="0.25">
      <c r="R119" s="13">
        <v>46</v>
      </c>
      <c r="S119" s="13">
        <v>0</v>
      </c>
    </row>
    <row r="120" spans="18:19" x14ac:dyDescent="0.25">
      <c r="R120" s="13">
        <v>47</v>
      </c>
      <c r="S120" s="13">
        <v>0</v>
      </c>
    </row>
    <row r="121" spans="18:19" x14ac:dyDescent="0.25">
      <c r="R121" s="13">
        <v>48</v>
      </c>
      <c r="S121" s="13">
        <v>263625767.66936684</v>
      </c>
    </row>
    <row r="122" spans="18:19" x14ac:dyDescent="0.25">
      <c r="R122" s="13">
        <v>49</v>
      </c>
      <c r="S122" s="13">
        <v>164845594.24422836</v>
      </c>
    </row>
    <row r="123" spans="18:19" x14ac:dyDescent="0.25">
      <c r="R123" s="13">
        <v>50</v>
      </c>
      <c r="S123" s="13">
        <v>83608555.369720459</v>
      </c>
    </row>
    <row r="124" spans="18:19" x14ac:dyDescent="0.25">
      <c r="R124" s="13">
        <v>51</v>
      </c>
      <c r="S124" s="13">
        <v>0</v>
      </c>
    </row>
    <row r="125" spans="18:19" x14ac:dyDescent="0.25">
      <c r="R125" s="13">
        <v>52</v>
      </c>
      <c r="S125" s="13">
        <v>0</v>
      </c>
    </row>
    <row r="126" spans="18:19" x14ac:dyDescent="0.25">
      <c r="R126" s="13">
        <v>53</v>
      </c>
      <c r="S126" s="13">
        <v>0</v>
      </c>
    </row>
    <row r="127" spans="18:19" x14ac:dyDescent="0.25">
      <c r="R127" s="13">
        <v>54</v>
      </c>
      <c r="S127" s="13">
        <v>0</v>
      </c>
    </row>
    <row r="128" spans="18:19" x14ac:dyDescent="0.25">
      <c r="R128" s="13">
        <v>55</v>
      </c>
      <c r="S128" s="13">
        <v>0</v>
      </c>
    </row>
    <row r="129" spans="18:19" x14ac:dyDescent="0.25">
      <c r="R129" s="13">
        <v>56</v>
      </c>
      <c r="S129" s="13">
        <v>0</v>
      </c>
    </row>
    <row r="130" spans="18:19" x14ac:dyDescent="0.25">
      <c r="R130" s="13">
        <v>57</v>
      </c>
      <c r="S130" s="13">
        <v>0</v>
      </c>
    </row>
    <row r="131" spans="18:19" x14ac:dyDescent="0.25">
      <c r="R131" s="13">
        <v>58</v>
      </c>
      <c r="S131" s="13">
        <v>0</v>
      </c>
    </row>
    <row r="132" spans="18:19" x14ac:dyDescent="0.25">
      <c r="R132" s="13">
        <v>59</v>
      </c>
      <c r="S132" s="13">
        <v>0</v>
      </c>
    </row>
    <row r="133" spans="18:19" x14ac:dyDescent="0.25">
      <c r="R133" s="13">
        <v>60</v>
      </c>
      <c r="S133" s="13">
        <v>0</v>
      </c>
    </row>
    <row r="134" spans="18:19" x14ac:dyDescent="0.25">
      <c r="R134" s="13">
        <v>61</v>
      </c>
      <c r="S134" s="13">
        <v>0</v>
      </c>
    </row>
    <row r="135" spans="18:19" x14ac:dyDescent="0.25">
      <c r="R135" s="13">
        <v>62</v>
      </c>
      <c r="S135" s="13">
        <v>0</v>
      </c>
    </row>
    <row r="136" spans="18:19" x14ac:dyDescent="0.25">
      <c r="R136" s="13">
        <v>63</v>
      </c>
      <c r="S136" s="13">
        <v>279636100.03526306</v>
      </c>
    </row>
    <row r="137" spans="18:19" x14ac:dyDescent="0.25">
      <c r="R137" s="13">
        <v>64</v>
      </c>
      <c r="S137" s="13">
        <v>0</v>
      </c>
    </row>
    <row r="138" spans="18:19" x14ac:dyDescent="0.25">
      <c r="R138" s="13">
        <v>65</v>
      </c>
      <c r="S138" s="13">
        <v>0</v>
      </c>
    </row>
    <row r="139" spans="18:19" x14ac:dyDescent="0.25">
      <c r="R139" s="13">
        <v>66</v>
      </c>
      <c r="S139" s="13">
        <v>0</v>
      </c>
    </row>
    <row r="140" spans="18:19" x14ac:dyDescent="0.25">
      <c r="R140" s="13">
        <v>67</v>
      </c>
      <c r="S140" s="13">
        <v>0</v>
      </c>
    </row>
    <row r="141" spans="18:19" x14ac:dyDescent="0.25">
      <c r="R141" s="13">
        <v>68</v>
      </c>
      <c r="S141" s="13">
        <v>92945514.666130066</v>
      </c>
    </row>
    <row r="142" spans="18:19" x14ac:dyDescent="0.25">
      <c r="R142" s="13">
        <v>69</v>
      </c>
      <c r="S142" s="13">
        <v>233647950.90690041</v>
      </c>
    </row>
    <row r="143" spans="18:19" x14ac:dyDescent="0.25">
      <c r="R143" s="13">
        <v>70</v>
      </c>
      <c r="S143" s="13">
        <v>0</v>
      </c>
    </row>
    <row r="144" spans="18:19" x14ac:dyDescent="0.25">
      <c r="R144" s="13">
        <v>71</v>
      </c>
      <c r="S144" s="13">
        <v>0</v>
      </c>
    </row>
    <row r="145" spans="18:19" x14ac:dyDescent="0.25">
      <c r="R145" s="13">
        <v>72</v>
      </c>
      <c r="S145" s="13">
        <v>142820877.35583878</v>
      </c>
    </row>
    <row r="146" spans="18:19" x14ac:dyDescent="0.25">
      <c r="R146" s="13">
        <v>73</v>
      </c>
      <c r="S146" s="13">
        <v>146552274.1565609</v>
      </c>
    </row>
    <row r="147" spans="18:19" x14ac:dyDescent="0.25">
      <c r="R147" s="13">
        <v>74</v>
      </c>
      <c r="S147" s="13">
        <v>0</v>
      </c>
    </row>
    <row r="148" spans="18:19" x14ac:dyDescent="0.25">
      <c r="R148" s="13">
        <v>75</v>
      </c>
      <c r="S148" s="13">
        <v>0</v>
      </c>
    </row>
    <row r="149" spans="18:19" x14ac:dyDescent="0.25">
      <c r="R149" s="13">
        <v>76</v>
      </c>
      <c r="S149" s="13">
        <v>0</v>
      </c>
    </row>
    <row r="150" spans="18:19" x14ac:dyDescent="0.25">
      <c r="R150" s="13">
        <v>77</v>
      </c>
      <c r="S150" s="13">
        <v>0</v>
      </c>
    </row>
    <row r="151" spans="18:19" x14ac:dyDescent="0.25">
      <c r="R151" s="13">
        <v>78</v>
      </c>
      <c r="S151" s="13">
        <v>0</v>
      </c>
    </row>
    <row r="152" spans="18:19" x14ac:dyDescent="0.25">
      <c r="R152" s="13">
        <v>79</v>
      </c>
      <c r="S152" s="13">
        <v>1309111617.1703739</v>
      </c>
    </row>
    <row r="153" spans="18:19" x14ac:dyDescent="0.25">
      <c r="R153" s="13">
        <v>80</v>
      </c>
      <c r="S153" s="13">
        <v>0</v>
      </c>
    </row>
    <row r="154" spans="18:19" x14ac:dyDescent="0.25">
      <c r="R154" s="13">
        <v>81</v>
      </c>
      <c r="S154" s="13">
        <v>0</v>
      </c>
    </row>
    <row r="155" spans="18:19" x14ac:dyDescent="0.25">
      <c r="R155" s="13">
        <v>82</v>
      </c>
      <c r="S155" s="13">
        <v>25748100.873916626</v>
      </c>
    </row>
    <row r="156" spans="18:19" x14ac:dyDescent="0.25">
      <c r="R156" s="13">
        <v>83</v>
      </c>
      <c r="S156" s="13">
        <v>260488896.98018646</v>
      </c>
    </row>
    <row r="157" spans="18:19" x14ac:dyDescent="0.25">
      <c r="R157" s="13">
        <v>84</v>
      </c>
      <c r="S157" s="13">
        <v>0</v>
      </c>
    </row>
    <row r="158" spans="18:19" x14ac:dyDescent="0.25">
      <c r="R158" s="13">
        <v>85</v>
      </c>
      <c r="S158" s="13">
        <v>0</v>
      </c>
    </row>
    <row r="159" spans="18:19" x14ac:dyDescent="0.25">
      <c r="R159" s="13">
        <v>86</v>
      </c>
      <c r="S159" s="13">
        <v>247245798.49116516</v>
      </c>
    </row>
    <row r="160" spans="18:19" x14ac:dyDescent="0.25">
      <c r="R160" s="13">
        <v>87</v>
      </c>
      <c r="S160" s="13">
        <v>0</v>
      </c>
    </row>
    <row r="161" spans="18:19" x14ac:dyDescent="0.25">
      <c r="R161" s="13">
        <v>88</v>
      </c>
      <c r="S161" s="13">
        <v>0</v>
      </c>
    </row>
    <row r="162" spans="18:19" x14ac:dyDescent="0.25">
      <c r="R162" s="13">
        <v>89</v>
      </c>
      <c r="S162" s="13">
        <v>0</v>
      </c>
    </row>
    <row r="163" spans="18:19" x14ac:dyDescent="0.25">
      <c r="R163" s="13">
        <v>90</v>
      </c>
      <c r="S163" s="13">
        <v>0</v>
      </c>
    </row>
    <row r="164" spans="18:19" x14ac:dyDescent="0.25">
      <c r="R164" s="13">
        <v>91</v>
      </c>
      <c r="S164" s="13">
        <v>0</v>
      </c>
    </row>
    <row r="165" spans="18:19" x14ac:dyDescent="0.25">
      <c r="R165" s="13">
        <v>92</v>
      </c>
      <c r="S165" s="13">
        <v>143510227.77015495</v>
      </c>
    </row>
    <row r="166" spans="18:19" x14ac:dyDescent="0.25">
      <c r="R166" s="13">
        <v>93</v>
      </c>
      <c r="S166" s="13">
        <v>0</v>
      </c>
    </row>
    <row r="167" spans="18:19" x14ac:dyDescent="0.25">
      <c r="R167" s="13">
        <v>94</v>
      </c>
      <c r="S167" s="13">
        <v>0</v>
      </c>
    </row>
    <row r="168" spans="18:19" x14ac:dyDescent="0.25">
      <c r="R168" s="13">
        <v>95</v>
      </c>
      <c r="S168" s="13">
        <v>0</v>
      </c>
    </row>
    <row r="169" spans="18:19" x14ac:dyDescent="0.25">
      <c r="R169" s="13">
        <v>96</v>
      </c>
      <c r="S169" s="13">
        <v>0</v>
      </c>
    </row>
    <row r="170" spans="18:19" x14ac:dyDescent="0.25">
      <c r="R170" s="13">
        <v>97</v>
      </c>
      <c r="S170" s="13">
        <v>0</v>
      </c>
    </row>
    <row r="171" spans="18:19" x14ac:dyDescent="0.25">
      <c r="R171" s="13">
        <v>98</v>
      </c>
      <c r="S171" s="13">
        <v>0</v>
      </c>
    </row>
    <row r="172" spans="18:19" x14ac:dyDescent="0.25">
      <c r="R172" s="13">
        <v>99</v>
      </c>
      <c r="S172" s="13">
        <v>0</v>
      </c>
    </row>
    <row r="173" spans="18:19" x14ac:dyDescent="0.25">
      <c r="R173" s="13">
        <v>100</v>
      </c>
      <c r="S173" s="13">
        <v>0</v>
      </c>
    </row>
    <row r="174" spans="18:19" x14ac:dyDescent="0.25">
      <c r="R174" s="13">
        <v>101</v>
      </c>
      <c r="S174" s="13">
        <v>0</v>
      </c>
    </row>
    <row r="175" spans="18:19" x14ac:dyDescent="0.25">
      <c r="R175" s="13">
        <v>102</v>
      </c>
      <c r="S175" s="13">
        <v>0</v>
      </c>
    </row>
    <row r="176" spans="18:19" x14ac:dyDescent="0.25">
      <c r="R176" s="13">
        <v>103</v>
      </c>
      <c r="S176" s="13">
        <v>0</v>
      </c>
    </row>
    <row r="177" spans="18:19" x14ac:dyDescent="0.25">
      <c r="R177" s="13">
        <v>104</v>
      </c>
      <c r="S177" s="13">
        <v>0</v>
      </c>
    </row>
    <row r="178" spans="18:19" x14ac:dyDescent="0.25">
      <c r="R178" s="13">
        <v>105</v>
      </c>
      <c r="S178" s="13">
        <v>0</v>
      </c>
    </row>
    <row r="179" spans="18:19" x14ac:dyDescent="0.25">
      <c r="R179" s="13">
        <v>106</v>
      </c>
      <c r="S179" s="13">
        <v>0</v>
      </c>
    </row>
    <row r="180" spans="18:19" x14ac:dyDescent="0.25">
      <c r="R180" s="13">
        <v>107</v>
      </c>
      <c r="S180" s="13">
        <v>0</v>
      </c>
    </row>
    <row r="181" spans="18:19" x14ac:dyDescent="0.25">
      <c r="R181" s="13">
        <v>108</v>
      </c>
      <c r="S181" s="13">
        <v>0</v>
      </c>
    </row>
    <row r="182" spans="18:19" x14ac:dyDescent="0.25">
      <c r="R182" s="13">
        <v>109</v>
      </c>
      <c r="S182" s="13">
        <v>0</v>
      </c>
    </row>
    <row r="183" spans="18:19" x14ac:dyDescent="0.25">
      <c r="R183" s="13">
        <v>110</v>
      </c>
      <c r="S183" s="13">
        <v>0</v>
      </c>
    </row>
    <row r="184" spans="18:19" x14ac:dyDescent="0.25">
      <c r="R184" s="13">
        <v>111</v>
      </c>
      <c r="S184" s="13">
        <v>0</v>
      </c>
    </row>
    <row r="185" spans="18:19" x14ac:dyDescent="0.25">
      <c r="R185" s="13">
        <v>112</v>
      </c>
      <c r="S185" s="13">
        <v>326851352.87788773</v>
      </c>
    </row>
    <row r="186" spans="18:19" x14ac:dyDescent="0.25">
      <c r="R186" s="13">
        <v>113</v>
      </c>
      <c r="S186" s="13">
        <v>0</v>
      </c>
    </row>
    <row r="187" spans="18:19" x14ac:dyDescent="0.25">
      <c r="R187" s="13">
        <v>114</v>
      </c>
      <c r="S187" s="13">
        <v>561683792.60195541</v>
      </c>
    </row>
    <row r="188" spans="18:19" x14ac:dyDescent="0.25">
      <c r="R188" s="13">
        <v>115</v>
      </c>
      <c r="S188" s="13">
        <v>0</v>
      </c>
    </row>
    <row r="189" spans="18:19" x14ac:dyDescent="0.25">
      <c r="R189" s="13">
        <v>116</v>
      </c>
      <c r="S189" s="13">
        <v>0</v>
      </c>
    </row>
    <row r="190" spans="18:19" x14ac:dyDescent="0.25">
      <c r="R190" s="13">
        <v>117</v>
      </c>
      <c r="S190" s="13">
        <v>0</v>
      </c>
    </row>
    <row r="191" spans="18:19" x14ac:dyDescent="0.25">
      <c r="R191" s="13">
        <v>118</v>
      </c>
      <c r="S191" s="13">
        <v>266621215.69591713</v>
      </c>
    </row>
    <row r="192" spans="18:19" x14ac:dyDescent="0.25">
      <c r="R192" s="13">
        <v>119</v>
      </c>
      <c r="S192" s="13">
        <v>0</v>
      </c>
    </row>
    <row r="193" spans="18:19" x14ac:dyDescent="0.25">
      <c r="R193" s="13">
        <v>120</v>
      </c>
      <c r="S193" s="13">
        <v>0</v>
      </c>
    </row>
    <row r="194" spans="18:19" x14ac:dyDescent="0.25">
      <c r="R194" s="13">
        <v>121</v>
      </c>
      <c r="S194" s="13">
        <v>0</v>
      </c>
    </row>
    <row r="195" spans="18:19" x14ac:dyDescent="0.25">
      <c r="R195" s="13">
        <v>122</v>
      </c>
      <c r="S195" s="13">
        <v>312010025.03053474</v>
      </c>
    </row>
    <row r="196" spans="18:19" x14ac:dyDescent="0.25">
      <c r="R196" s="13">
        <v>123</v>
      </c>
      <c r="S196" s="13">
        <v>0</v>
      </c>
    </row>
    <row r="197" spans="18:19" x14ac:dyDescent="0.25">
      <c r="R197" s="13">
        <v>124</v>
      </c>
      <c r="S197" s="13">
        <v>0</v>
      </c>
    </row>
    <row r="198" spans="18:19" x14ac:dyDescent="0.25">
      <c r="R198" s="13">
        <v>125</v>
      </c>
      <c r="S198" s="13">
        <v>0</v>
      </c>
    </row>
    <row r="199" spans="18:19" x14ac:dyDescent="0.25">
      <c r="R199" s="13">
        <v>126</v>
      </c>
      <c r="S199" s="13">
        <v>0</v>
      </c>
    </row>
    <row r="200" spans="18:19" x14ac:dyDescent="0.25">
      <c r="R200" s="13">
        <v>127</v>
      </c>
      <c r="S200" s="13">
        <v>49795826.44433403</v>
      </c>
    </row>
    <row r="201" spans="18:19" x14ac:dyDescent="0.25">
      <c r="R201" s="13">
        <v>128</v>
      </c>
      <c r="S201" s="13">
        <v>0</v>
      </c>
    </row>
    <row r="202" spans="18:19" x14ac:dyDescent="0.25">
      <c r="R202" s="13">
        <v>129</v>
      </c>
      <c r="S202" s="13">
        <v>0</v>
      </c>
    </row>
    <row r="203" spans="18:19" x14ac:dyDescent="0.25">
      <c r="R203" s="13">
        <v>130</v>
      </c>
      <c r="S203" s="13">
        <v>0</v>
      </c>
    </row>
    <row r="204" spans="18:19" x14ac:dyDescent="0.25">
      <c r="R204" s="13">
        <v>131</v>
      </c>
      <c r="S204" s="13">
        <v>0</v>
      </c>
    </row>
    <row r="205" spans="18:19" x14ac:dyDescent="0.25">
      <c r="R205" s="13">
        <v>132</v>
      </c>
      <c r="S205" s="13">
        <v>0</v>
      </c>
    </row>
    <row r="206" spans="18:19" x14ac:dyDescent="0.25">
      <c r="R206" s="13">
        <v>133</v>
      </c>
      <c r="S206" s="13">
        <v>205384162.39243507</v>
      </c>
    </row>
    <row r="207" spans="18:19" x14ac:dyDescent="0.25">
      <c r="R207" s="13">
        <v>134</v>
      </c>
      <c r="S207" s="13">
        <v>129631948.82794571</v>
      </c>
    </row>
    <row r="208" spans="18:19" x14ac:dyDescent="0.25">
      <c r="R208" s="13">
        <v>135</v>
      </c>
      <c r="S208" s="13">
        <v>0</v>
      </c>
    </row>
    <row r="209" spans="18:19" x14ac:dyDescent="0.25">
      <c r="R209" s="13">
        <v>136</v>
      </c>
      <c r="S209" s="13">
        <v>0</v>
      </c>
    </row>
    <row r="210" spans="18:19" x14ac:dyDescent="0.25">
      <c r="R210" s="13">
        <v>137</v>
      </c>
      <c r="S210" s="13">
        <v>199806617.19231796</v>
      </c>
    </row>
    <row r="211" spans="18:19" x14ac:dyDescent="0.25">
      <c r="R211" s="13">
        <v>138</v>
      </c>
      <c r="S211" s="13">
        <v>0</v>
      </c>
    </row>
    <row r="212" spans="18:19" x14ac:dyDescent="0.25">
      <c r="R212" s="13">
        <v>139</v>
      </c>
      <c r="S212" s="13">
        <v>0</v>
      </c>
    </row>
    <row r="213" spans="18:19" x14ac:dyDescent="0.25">
      <c r="R213" s="13">
        <v>140</v>
      </c>
      <c r="S213" s="13">
        <v>0</v>
      </c>
    </row>
    <row r="214" spans="18:19" x14ac:dyDescent="0.25">
      <c r="R214" s="13">
        <v>141</v>
      </c>
      <c r="S214" s="13">
        <v>203621974.93899918</v>
      </c>
    </row>
    <row r="215" spans="18:19" x14ac:dyDescent="0.25">
      <c r="R215" s="13">
        <v>142</v>
      </c>
      <c r="S215" s="13">
        <v>670050803.03646851</v>
      </c>
    </row>
    <row r="216" spans="18:19" x14ac:dyDescent="0.25">
      <c r="R216" s="13">
        <v>143</v>
      </c>
      <c r="S216" s="13">
        <v>0</v>
      </c>
    </row>
    <row r="217" spans="18:19" x14ac:dyDescent="0.25">
      <c r="R217" s="13">
        <v>144</v>
      </c>
      <c r="S217" s="13">
        <v>0</v>
      </c>
    </row>
    <row r="218" spans="18:19" x14ac:dyDescent="0.25">
      <c r="R218" s="13">
        <v>145</v>
      </c>
      <c r="S218" s="13">
        <v>0</v>
      </c>
    </row>
    <row r="219" spans="18:19" x14ac:dyDescent="0.25">
      <c r="R219" s="13">
        <v>146</v>
      </c>
      <c r="S219" s="13">
        <v>0</v>
      </c>
    </row>
    <row r="220" spans="18:19" x14ac:dyDescent="0.25">
      <c r="R220" s="13">
        <v>147</v>
      </c>
      <c r="S220" s="13">
        <v>0</v>
      </c>
    </row>
    <row r="221" spans="18:19" x14ac:dyDescent="0.25">
      <c r="R221" s="13">
        <v>148</v>
      </c>
      <c r="S221" s="13">
        <v>0</v>
      </c>
    </row>
    <row r="222" spans="18:19" x14ac:dyDescent="0.25">
      <c r="R222" s="13">
        <v>149</v>
      </c>
      <c r="S222" s="13">
        <v>0</v>
      </c>
    </row>
    <row r="223" spans="18:19" x14ac:dyDescent="0.25">
      <c r="R223" s="13">
        <v>150</v>
      </c>
      <c r="S223" s="13">
        <v>0</v>
      </c>
    </row>
    <row r="224" spans="18:19" x14ac:dyDescent="0.25">
      <c r="R224" s="13">
        <v>151</v>
      </c>
      <c r="S224" s="13">
        <v>895400124.53513527</v>
      </c>
    </row>
    <row r="225" spans="18:19" x14ac:dyDescent="0.25">
      <c r="R225" s="13">
        <v>152</v>
      </c>
      <c r="S225" s="13">
        <v>0</v>
      </c>
    </row>
    <row r="226" spans="18:19" x14ac:dyDescent="0.25">
      <c r="R226" s="13">
        <v>153</v>
      </c>
      <c r="S226" s="13">
        <v>0</v>
      </c>
    </row>
    <row r="227" spans="18:19" x14ac:dyDescent="0.25">
      <c r="R227" s="13">
        <v>154</v>
      </c>
      <c r="S227" s="13">
        <v>0</v>
      </c>
    </row>
    <row r="228" spans="18:19" x14ac:dyDescent="0.25">
      <c r="R228" s="13">
        <v>155</v>
      </c>
      <c r="S228" s="13">
        <v>0</v>
      </c>
    </row>
    <row r="229" spans="18:19" x14ac:dyDescent="0.25">
      <c r="R229" s="13">
        <v>156</v>
      </c>
      <c r="S229" s="13">
        <v>0</v>
      </c>
    </row>
    <row r="230" spans="18:19" x14ac:dyDescent="0.25">
      <c r="R230" s="13">
        <v>157</v>
      </c>
      <c r="S230" s="13">
        <v>354192332.28244019</v>
      </c>
    </row>
    <row r="231" spans="18:19" x14ac:dyDescent="0.25">
      <c r="R231" s="13">
        <v>158</v>
      </c>
      <c r="S231" s="13">
        <v>0</v>
      </c>
    </row>
    <row r="232" spans="18:19" x14ac:dyDescent="0.25">
      <c r="R232" s="13">
        <v>159</v>
      </c>
      <c r="S232" s="13">
        <v>0</v>
      </c>
    </row>
    <row r="233" spans="18:19" x14ac:dyDescent="0.25">
      <c r="R233" s="13">
        <v>160</v>
      </c>
      <c r="S233" s="13">
        <v>0</v>
      </c>
    </row>
    <row r="234" spans="18:19" x14ac:dyDescent="0.25">
      <c r="R234" s="13">
        <v>161</v>
      </c>
      <c r="S234" s="13">
        <v>135071128.86797714</v>
      </c>
    </row>
    <row r="235" spans="18:19" x14ac:dyDescent="0.25">
      <c r="R235" s="13">
        <v>162</v>
      </c>
      <c r="S235" s="13">
        <v>0</v>
      </c>
    </row>
    <row r="236" spans="18:19" x14ac:dyDescent="0.25">
      <c r="R236" s="13">
        <v>163</v>
      </c>
      <c r="S236" s="13">
        <v>0</v>
      </c>
    </row>
    <row r="237" spans="18:19" x14ac:dyDescent="0.25">
      <c r="R237" s="13">
        <v>164</v>
      </c>
      <c r="S237" s="13">
        <v>0</v>
      </c>
    </row>
    <row r="238" spans="18:19" x14ac:dyDescent="0.25">
      <c r="R238" s="13">
        <v>165</v>
      </c>
      <c r="S238" s="13">
        <v>0</v>
      </c>
    </row>
    <row r="239" spans="18:19" x14ac:dyDescent="0.25">
      <c r="R239" s="13">
        <v>166</v>
      </c>
      <c r="S239" s="13">
        <v>0</v>
      </c>
    </row>
    <row r="240" spans="18:19" x14ac:dyDescent="0.25">
      <c r="R240" s="13">
        <v>167</v>
      </c>
      <c r="S240" s="13">
        <v>0</v>
      </c>
    </row>
    <row r="241" spans="18:19" x14ac:dyDescent="0.25">
      <c r="R241" s="13">
        <v>168</v>
      </c>
      <c r="S241" s="13">
        <v>0</v>
      </c>
    </row>
    <row r="242" spans="18:19" x14ac:dyDescent="0.25">
      <c r="R242" s="13">
        <v>169</v>
      </c>
      <c r="S242" s="13">
        <v>0</v>
      </c>
    </row>
    <row r="243" spans="18:19" x14ac:dyDescent="0.25">
      <c r="R243" s="13">
        <v>170</v>
      </c>
      <c r="S243" s="13">
        <v>273877351.4288578</v>
      </c>
    </row>
    <row r="244" spans="18:19" x14ac:dyDescent="0.25">
      <c r="R244" s="13">
        <v>171</v>
      </c>
      <c r="S244" s="13">
        <v>0</v>
      </c>
    </row>
    <row r="245" spans="18:19" x14ac:dyDescent="0.25">
      <c r="R245" s="13">
        <v>172</v>
      </c>
      <c r="S245" s="13">
        <v>0</v>
      </c>
    </row>
    <row r="246" spans="18:19" x14ac:dyDescent="0.25">
      <c r="R246" s="13">
        <v>173</v>
      </c>
      <c r="S246" s="13">
        <v>0</v>
      </c>
    </row>
    <row r="247" spans="18:19" x14ac:dyDescent="0.25">
      <c r="R247" s="13">
        <v>174</v>
      </c>
      <c r="S247" s="13">
        <v>0</v>
      </c>
    </row>
    <row r="248" spans="18:19" x14ac:dyDescent="0.25">
      <c r="R248" s="13">
        <v>175</v>
      </c>
      <c r="S248" s="13">
        <v>830937962.25121689</v>
      </c>
    </row>
    <row r="249" spans="18:19" x14ac:dyDescent="0.25">
      <c r="R249" s="13">
        <v>176</v>
      </c>
      <c r="S249" s="13">
        <v>0</v>
      </c>
    </row>
    <row r="250" spans="18:19" x14ac:dyDescent="0.25">
      <c r="R250" s="13">
        <v>177</v>
      </c>
      <c r="S250" s="13">
        <v>0</v>
      </c>
    </row>
    <row r="251" spans="18:19" x14ac:dyDescent="0.25">
      <c r="R251" s="13">
        <v>178</v>
      </c>
      <c r="S251" s="13">
        <v>990912007.0532074</v>
      </c>
    </row>
    <row r="252" spans="18:19" x14ac:dyDescent="0.25">
      <c r="R252" s="13">
        <v>179</v>
      </c>
      <c r="S252" s="13">
        <v>570917582.43108177</v>
      </c>
    </row>
    <row r="253" spans="18:19" x14ac:dyDescent="0.25">
      <c r="R253" s="13">
        <v>180</v>
      </c>
      <c r="S253" s="13">
        <v>0</v>
      </c>
    </row>
    <row r="254" spans="18:19" x14ac:dyDescent="0.25">
      <c r="R254" s="13">
        <v>181</v>
      </c>
      <c r="S254" s="13">
        <v>0</v>
      </c>
    </row>
    <row r="255" spans="18:19" x14ac:dyDescent="0.25">
      <c r="R255" s="13">
        <v>182</v>
      </c>
      <c r="S255" s="13">
        <v>0</v>
      </c>
    </row>
    <row r="256" spans="18:19" x14ac:dyDescent="0.25">
      <c r="R256" s="13">
        <v>183</v>
      </c>
      <c r="S256" s="13">
        <v>0</v>
      </c>
    </row>
    <row r="257" spans="18:19" x14ac:dyDescent="0.25">
      <c r="R257" s="13">
        <v>184</v>
      </c>
      <c r="S257" s="13">
        <v>0</v>
      </c>
    </row>
    <row r="258" spans="18:19" x14ac:dyDescent="0.25">
      <c r="R258" s="13">
        <v>185</v>
      </c>
      <c r="S258" s="13">
        <v>261195380.98810577</v>
      </c>
    </row>
    <row r="259" spans="18:19" x14ac:dyDescent="0.25">
      <c r="R259" s="13">
        <v>186</v>
      </c>
      <c r="S259" s="13">
        <v>0</v>
      </c>
    </row>
    <row r="260" spans="18:19" x14ac:dyDescent="0.25">
      <c r="R260" s="13">
        <v>187</v>
      </c>
      <c r="S260" s="13">
        <v>0</v>
      </c>
    </row>
    <row r="261" spans="18:19" x14ac:dyDescent="0.25">
      <c r="R261" s="13">
        <v>188</v>
      </c>
      <c r="S261" s="13">
        <v>0</v>
      </c>
    </row>
    <row r="262" spans="18:19" x14ac:dyDescent="0.25">
      <c r="R262" s="13">
        <v>189</v>
      </c>
      <c r="S262" s="13">
        <v>0</v>
      </c>
    </row>
    <row r="263" spans="18:19" x14ac:dyDescent="0.25">
      <c r="R263" s="13">
        <v>190</v>
      </c>
      <c r="S263" s="13">
        <v>2389097.1135177612</v>
      </c>
    </row>
    <row r="264" spans="18:19" x14ac:dyDescent="0.25">
      <c r="R264" s="13">
        <v>191</v>
      </c>
      <c r="S264" s="13">
        <v>84326171.820230484</v>
      </c>
    </row>
    <row r="265" spans="18:19" x14ac:dyDescent="0.25">
      <c r="R265" s="13">
        <v>192</v>
      </c>
      <c r="S265" s="13">
        <v>0</v>
      </c>
    </row>
    <row r="266" spans="18:19" x14ac:dyDescent="0.25">
      <c r="R266" s="13">
        <v>193</v>
      </c>
      <c r="S266" s="13">
        <v>0</v>
      </c>
    </row>
    <row r="267" spans="18:19" x14ac:dyDescent="0.25">
      <c r="R267" s="13">
        <v>194</v>
      </c>
      <c r="S267" s="13">
        <v>0</v>
      </c>
    </row>
    <row r="268" spans="18:19" x14ac:dyDescent="0.25">
      <c r="R268" s="13">
        <v>195</v>
      </c>
      <c r="S268" s="13">
        <v>0</v>
      </c>
    </row>
    <row r="269" spans="18:19" x14ac:dyDescent="0.25">
      <c r="R269" s="13">
        <v>196</v>
      </c>
      <c r="S269" s="13">
        <v>571785255.9310112</v>
      </c>
    </row>
    <row r="270" spans="18:19" x14ac:dyDescent="0.25">
      <c r="R270" s="13">
        <v>197</v>
      </c>
      <c r="S270" s="13">
        <v>77446109.049236298</v>
      </c>
    </row>
    <row r="271" spans="18:19" x14ac:dyDescent="0.25">
      <c r="R271" s="13">
        <v>198</v>
      </c>
      <c r="S271" s="13">
        <v>0</v>
      </c>
    </row>
    <row r="272" spans="18:19" x14ac:dyDescent="0.25">
      <c r="R272" s="13">
        <v>199</v>
      </c>
      <c r="S272" s="13">
        <v>0</v>
      </c>
    </row>
    <row r="273" spans="18:19" x14ac:dyDescent="0.25">
      <c r="R273" s="13">
        <v>200</v>
      </c>
      <c r="S273" s="13">
        <v>0</v>
      </c>
    </row>
    <row r="274" spans="18:19" x14ac:dyDescent="0.25">
      <c r="R274" s="13">
        <v>201</v>
      </c>
      <c r="S274" s="13">
        <v>943287504.96507072</v>
      </c>
    </row>
    <row r="275" spans="18:19" x14ac:dyDescent="0.25">
      <c r="R275" s="13">
        <v>202</v>
      </c>
      <c r="S275" s="13">
        <v>0</v>
      </c>
    </row>
    <row r="276" spans="18:19" x14ac:dyDescent="0.25">
      <c r="R276" s="13">
        <v>203</v>
      </c>
      <c r="S276" s="13">
        <v>0</v>
      </c>
    </row>
    <row r="277" spans="18:19" x14ac:dyDescent="0.25">
      <c r="R277" s="13">
        <v>204</v>
      </c>
      <c r="S277" s="13">
        <v>0</v>
      </c>
    </row>
    <row r="278" spans="18:19" x14ac:dyDescent="0.25">
      <c r="R278" s="13">
        <v>205</v>
      </c>
      <c r="S278" s="13">
        <v>0</v>
      </c>
    </row>
    <row r="279" spans="18:19" x14ac:dyDescent="0.25">
      <c r="R279" s="13">
        <v>206</v>
      </c>
      <c r="S279" s="13">
        <v>0</v>
      </c>
    </row>
    <row r="280" spans="18:19" x14ac:dyDescent="0.25">
      <c r="R280" s="13">
        <v>207</v>
      </c>
      <c r="S280" s="13">
        <v>545935932.3126812</v>
      </c>
    </row>
    <row r="281" spans="18:19" x14ac:dyDescent="0.25">
      <c r="R281" s="13">
        <v>208</v>
      </c>
      <c r="S281" s="13">
        <v>460992224.49937057</v>
      </c>
    </row>
    <row r="282" spans="18:19" x14ac:dyDescent="0.25">
      <c r="R282" s="13">
        <v>209</v>
      </c>
      <c r="S282" s="13">
        <v>431235942.6948204</v>
      </c>
    </row>
    <row r="283" spans="18:19" x14ac:dyDescent="0.25">
      <c r="R283" s="13">
        <v>210</v>
      </c>
      <c r="S283" s="13">
        <v>260041532.0909996</v>
      </c>
    </row>
    <row r="284" spans="18:19" x14ac:dyDescent="0.25">
      <c r="R284" s="13">
        <v>211</v>
      </c>
      <c r="S284" s="13">
        <v>385305374.8682251</v>
      </c>
    </row>
    <row r="285" spans="18:19" x14ac:dyDescent="0.25">
      <c r="R285" s="13">
        <v>212</v>
      </c>
      <c r="S285" s="13">
        <v>0</v>
      </c>
    </row>
    <row r="286" spans="18:19" x14ac:dyDescent="0.25">
      <c r="R286" s="13">
        <v>213</v>
      </c>
      <c r="S286" s="13">
        <v>0</v>
      </c>
    </row>
    <row r="287" spans="18:19" x14ac:dyDescent="0.25">
      <c r="R287" s="13">
        <v>214</v>
      </c>
      <c r="S287" s="13">
        <v>0</v>
      </c>
    </row>
    <row r="288" spans="18:19" x14ac:dyDescent="0.25">
      <c r="R288" s="13">
        <v>215</v>
      </c>
      <c r="S288" s="13">
        <v>0</v>
      </c>
    </row>
    <row r="289" spans="18:19" x14ac:dyDescent="0.25">
      <c r="R289" s="13">
        <v>216</v>
      </c>
      <c r="S289" s="13">
        <v>0</v>
      </c>
    </row>
    <row r="290" spans="18:19" x14ac:dyDescent="0.25">
      <c r="R290" s="13">
        <v>217</v>
      </c>
      <c r="S290" s="13">
        <v>0</v>
      </c>
    </row>
    <row r="291" spans="18:19" x14ac:dyDescent="0.25">
      <c r="R291" s="13">
        <v>218</v>
      </c>
      <c r="S291" s="13">
        <v>0</v>
      </c>
    </row>
    <row r="292" spans="18:19" x14ac:dyDescent="0.25">
      <c r="R292" s="13">
        <v>219</v>
      </c>
      <c r="S292" s="13">
        <v>0</v>
      </c>
    </row>
    <row r="293" spans="18:19" x14ac:dyDescent="0.25">
      <c r="R293" s="13">
        <v>220</v>
      </c>
      <c r="S293" s="13">
        <v>865914344.44807625</v>
      </c>
    </row>
    <row r="294" spans="18:19" x14ac:dyDescent="0.25">
      <c r="R294" s="13">
        <v>221</v>
      </c>
      <c r="S294" s="13">
        <v>0</v>
      </c>
    </row>
    <row r="295" spans="18:19" x14ac:dyDescent="0.25">
      <c r="R295" s="13">
        <v>222</v>
      </c>
      <c r="S295" s="13">
        <v>0</v>
      </c>
    </row>
    <row r="296" spans="18:19" x14ac:dyDescent="0.25">
      <c r="R296" s="13">
        <v>223</v>
      </c>
      <c r="S296" s="13">
        <v>0</v>
      </c>
    </row>
    <row r="297" spans="18:19" x14ac:dyDescent="0.25">
      <c r="R297" s="13">
        <v>224</v>
      </c>
      <c r="S297" s="13">
        <v>279810117.10424614</v>
      </c>
    </row>
    <row r="298" spans="18:19" x14ac:dyDescent="0.25">
      <c r="R298" s="13">
        <v>225</v>
      </c>
      <c r="S298" s="13">
        <v>318232690.24217033</v>
      </c>
    </row>
    <row r="299" spans="18:19" x14ac:dyDescent="0.25">
      <c r="R299" s="13">
        <v>226</v>
      </c>
      <c r="S299" s="13">
        <v>0</v>
      </c>
    </row>
    <row r="300" spans="18:19" x14ac:dyDescent="0.25">
      <c r="R300" s="13">
        <v>227</v>
      </c>
      <c r="S300" s="13">
        <v>0</v>
      </c>
    </row>
    <row r="301" spans="18:19" x14ac:dyDescent="0.25">
      <c r="R301" s="13">
        <v>228</v>
      </c>
      <c r="S301" s="13">
        <v>222372420.78935623</v>
      </c>
    </row>
    <row r="302" spans="18:19" x14ac:dyDescent="0.25">
      <c r="R302" s="13">
        <v>229</v>
      </c>
      <c r="S302" s="13">
        <v>0</v>
      </c>
    </row>
    <row r="303" spans="18:19" x14ac:dyDescent="0.25">
      <c r="R303" s="13">
        <v>230</v>
      </c>
      <c r="S303" s="13">
        <v>0</v>
      </c>
    </row>
    <row r="304" spans="18:19" x14ac:dyDescent="0.25">
      <c r="R304" s="13">
        <v>231</v>
      </c>
      <c r="S304" s="13">
        <v>0</v>
      </c>
    </row>
    <row r="305" spans="18:19" x14ac:dyDescent="0.25">
      <c r="R305" s="13">
        <v>232</v>
      </c>
      <c r="S305" s="13">
        <v>0</v>
      </c>
    </row>
    <row r="306" spans="18:19" x14ac:dyDescent="0.25">
      <c r="R306" s="13">
        <v>233</v>
      </c>
      <c r="S306" s="13">
        <v>0</v>
      </c>
    </row>
    <row r="307" spans="18:19" x14ac:dyDescent="0.25">
      <c r="R307" s="13">
        <v>234</v>
      </c>
      <c r="S307" s="13">
        <v>0</v>
      </c>
    </row>
    <row r="308" spans="18:19" x14ac:dyDescent="0.25">
      <c r="R308" s="13">
        <v>235</v>
      </c>
      <c r="S308" s="13">
        <v>291344391.31695366</v>
      </c>
    </row>
    <row r="309" spans="18:19" x14ac:dyDescent="0.25">
      <c r="R309" s="13">
        <v>236</v>
      </c>
      <c r="S309" s="13">
        <v>266140883.75765991</v>
      </c>
    </row>
    <row r="310" spans="18:19" x14ac:dyDescent="0.25">
      <c r="R310" s="13">
        <v>237</v>
      </c>
      <c r="S310" s="13">
        <v>0</v>
      </c>
    </row>
    <row r="311" spans="18:19" x14ac:dyDescent="0.25">
      <c r="R311" s="13">
        <v>238</v>
      </c>
      <c r="S311" s="13">
        <v>98905961.961471558</v>
      </c>
    </row>
    <row r="312" spans="18:19" x14ac:dyDescent="0.25">
      <c r="R312" s="13">
        <v>239</v>
      </c>
      <c r="S312" s="13">
        <v>0</v>
      </c>
    </row>
    <row r="313" spans="18:19" x14ac:dyDescent="0.25">
      <c r="R313" s="13">
        <v>240</v>
      </c>
      <c r="S313" s="13">
        <v>0</v>
      </c>
    </row>
    <row r="314" spans="18:19" x14ac:dyDescent="0.25">
      <c r="R314" s="13">
        <v>241</v>
      </c>
      <c r="S314" s="13">
        <v>0</v>
      </c>
    </row>
    <row r="315" spans="18:19" x14ac:dyDescent="0.25">
      <c r="R315" s="13">
        <v>242</v>
      </c>
      <c r="S315" s="13">
        <v>0</v>
      </c>
    </row>
    <row r="316" spans="18:19" x14ac:dyDescent="0.25">
      <c r="R316" s="13">
        <v>243</v>
      </c>
      <c r="S316" s="13">
        <v>0</v>
      </c>
    </row>
    <row r="317" spans="18:19" x14ac:dyDescent="0.25">
      <c r="R317" s="13">
        <v>244</v>
      </c>
      <c r="S317" s="13">
        <v>705421046.93486023</v>
      </c>
    </row>
    <row r="318" spans="18:19" x14ac:dyDescent="0.25">
      <c r="R318" s="13">
        <v>245</v>
      </c>
      <c r="S318" s="13">
        <v>0</v>
      </c>
    </row>
    <row r="319" spans="18:19" x14ac:dyDescent="0.25">
      <c r="R319" s="13">
        <v>246</v>
      </c>
      <c r="S319" s="13">
        <v>0</v>
      </c>
    </row>
    <row r="320" spans="18:19" x14ac:dyDescent="0.25">
      <c r="R320" s="13">
        <v>247</v>
      </c>
      <c r="S320" s="13">
        <v>0</v>
      </c>
    </row>
    <row r="321" spans="18:19" x14ac:dyDescent="0.25">
      <c r="R321" s="13">
        <v>248</v>
      </c>
      <c r="S321" s="13">
        <v>51402740.014827728</v>
      </c>
    </row>
    <row r="322" spans="18:19" x14ac:dyDescent="0.25">
      <c r="R322" s="13">
        <v>249</v>
      </c>
      <c r="S322" s="13">
        <v>628513478.5504303</v>
      </c>
    </row>
    <row r="323" spans="18:19" x14ac:dyDescent="0.25">
      <c r="R323" s="13">
        <v>250</v>
      </c>
      <c r="S323" s="13">
        <v>0</v>
      </c>
    </row>
    <row r="324" spans="18:19" x14ac:dyDescent="0.25">
      <c r="R324" s="13">
        <v>251</v>
      </c>
      <c r="S324" s="13">
        <v>0</v>
      </c>
    </row>
    <row r="325" spans="18:19" x14ac:dyDescent="0.25">
      <c r="R325" s="13">
        <v>252</v>
      </c>
      <c r="S325" s="13">
        <v>209857553.35899544</v>
      </c>
    </row>
    <row r="326" spans="18:19" x14ac:dyDescent="0.25">
      <c r="R326" s="13">
        <v>253</v>
      </c>
      <c r="S326" s="13">
        <v>0</v>
      </c>
    </row>
    <row r="327" spans="18:19" x14ac:dyDescent="0.25">
      <c r="R327" s="13">
        <v>254</v>
      </c>
      <c r="S327" s="13">
        <v>0</v>
      </c>
    </row>
    <row r="328" spans="18:19" x14ac:dyDescent="0.25">
      <c r="R328" s="13">
        <v>255</v>
      </c>
      <c r="S328" s="13">
        <v>0</v>
      </c>
    </row>
    <row r="329" spans="18:19" x14ac:dyDescent="0.25">
      <c r="R329" s="13">
        <v>256</v>
      </c>
      <c r="S329" s="13">
        <v>0</v>
      </c>
    </row>
    <row r="330" spans="18:19" x14ac:dyDescent="0.25">
      <c r="R330" s="13">
        <v>257</v>
      </c>
      <c r="S330" s="13">
        <v>0</v>
      </c>
    </row>
    <row r="331" spans="18:19" x14ac:dyDescent="0.25">
      <c r="R331" s="13">
        <v>258</v>
      </c>
      <c r="S331" s="13">
        <v>0</v>
      </c>
    </row>
    <row r="332" spans="18:19" x14ac:dyDescent="0.25">
      <c r="R332" s="13">
        <v>259</v>
      </c>
      <c r="S332" s="13">
        <v>0</v>
      </c>
    </row>
    <row r="333" spans="18:19" x14ac:dyDescent="0.25">
      <c r="R333" s="13">
        <v>260</v>
      </c>
      <c r="S333" s="13">
        <v>0</v>
      </c>
    </row>
    <row r="334" spans="18:19" x14ac:dyDescent="0.25">
      <c r="R334" s="13">
        <v>261</v>
      </c>
      <c r="S334" s="13">
        <v>790291164.81848335</v>
      </c>
    </row>
    <row r="335" spans="18:19" x14ac:dyDescent="0.25">
      <c r="R335" s="13">
        <v>262</v>
      </c>
      <c r="S335" s="13">
        <v>0</v>
      </c>
    </row>
    <row r="336" spans="18:19" x14ac:dyDescent="0.25">
      <c r="R336" s="13">
        <v>263</v>
      </c>
      <c r="S336" s="13">
        <v>0</v>
      </c>
    </row>
    <row r="337" spans="18:19" x14ac:dyDescent="0.25">
      <c r="R337" s="13">
        <v>264</v>
      </c>
      <c r="S337" s="13">
        <v>0</v>
      </c>
    </row>
    <row r="338" spans="18:19" x14ac:dyDescent="0.25">
      <c r="R338" s="13">
        <v>265</v>
      </c>
      <c r="S338" s="13">
        <v>245021615.2541256</v>
      </c>
    </row>
    <row r="339" spans="18:19" x14ac:dyDescent="0.25">
      <c r="R339" s="13">
        <v>266</v>
      </c>
      <c r="S339" s="13">
        <v>0</v>
      </c>
    </row>
    <row r="340" spans="18:19" x14ac:dyDescent="0.25">
      <c r="R340" s="13">
        <v>267</v>
      </c>
      <c r="S340" s="13">
        <v>0</v>
      </c>
    </row>
    <row r="341" spans="18:19" x14ac:dyDescent="0.25">
      <c r="R341" s="13">
        <v>268</v>
      </c>
      <c r="S341" s="13">
        <v>0</v>
      </c>
    </row>
    <row r="342" spans="18:19" x14ac:dyDescent="0.25">
      <c r="R342" s="13">
        <v>269</v>
      </c>
      <c r="S342" s="13">
        <v>4664377.9842453003</v>
      </c>
    </row>
    <row r="343" spans="18:19" x14ac:dyDescent="0.25">
      <c r="R343" s="13">
        <v>270</v>
      </c>
      <c r="S343" s="13">
        <v>0</v>
      </c>
    </row>
    <row r="344" spans="18:19" x14ac:dyDescent="0.25">
      <c r="R344" s="13">
        <v>271</v>
      </c>
      <c r="S344" s="13">
        <v>387088995.53760719</v>
      </c>
    </row>
    <row r="345" spans="18:19" x14ac:dyDescent="0.25">
      <c r="R345" s="13">
        <v>272</v>
      </c>
      <c r="S345" s="13">
        <v>0</v>
      </c>
    </row>
    <row r="346" spans="18:19" x14ac:dyDescent="0.25">
      <c r="R346" s="13">
        <v>273</v>
      </c>
      <c r="S346" s="13">
        <v>0</v>
      </c>
    </row>
    <row r="347" spans="18:19" x14ac:dyDescent="0.25">
      <c r="R347" s="13">
        <v>274</v>
      </c>
      <c r="S347" s="13">
        <v>0</v>
      </c>
    </row>
    <row r="348" spans="18:19" x14ac:dyDescent="0.25">
      <c r="R348" s="13">
        <v>275</v>
      </c>
      <c r="S348" s="13">
        <v>832990630.88858032</v>
      </c>
    </row>
    <row r="349" spans="18:19" x14ac:dyDescent="0.25">
      <c r="R349" s="13">
        <v>276</v>
      </c>
      <c r="S349" s="13">
        <v>0</v>
      </c>
    </row>
    <row r="350" spans="18:19" x14ac:dyDescent="0.25">
      <c r="R350" s="13">
        <v>277</v>
      </c>
      <c r="S350" s="13">
        <v>0</v>
      </c>
    </row>
    <row r="351" spans="18:19" x14ac:dyDescent="0.25">
      <c r="R351" s="13">
        <v>278</v>
      </c>
      <c r="S351" s="13">
        <v>301661566.8883667</v>
      </c>
    </row>
    <row r="352" spans="18:19" x14ac:dyDescent="0.25">
      <c r="R352" s="13">
        <v>279</v>
      </c>
      <c r="S352" s="13">
        <v>0</v>
      </c>
    </row>
    <row r="353" spans="18:19" x14ac:dyDescent="0.25">
      <c r="R353" s="13">
        <v>280</v>
      </c>
      <c r="S353" s="13">
        <v>0</v>
      </c>
    </row>
    <row r="354" spans="18:19" x14ac:dyDescent="0.25">
      <c r="R354" s="13">
        <v>281</v>
      </c>
      <c r="S354" s="13">
        <v>0</v>
      </c>
    </row>
    <row r="355" spans="18:19" x14ac:dyDescent="0.25">
      <c r="R355" s="13">
        <v>282</v>
      </c>
      <c r="S355" s="13">
        <v>0</v>
      </c>
    </row>
    <row r="356" spans="18:19" x14ac:dyDescent="0.25">
      <c r="R356" s="13">
        <v>283</v>
      </c>
      <c r="S356" s="13">
        <v>92214549.543357849</v>
      </c>
    </row>
    <row r="357" spans="18:19" x14ac:dyDescent="0.25">
      <c r="R357" s="13">
        <v>284</v>
      </c>
      <c r="S357" s="13">
        <v>0</v>
      </c>
    </row>
    <row r="358" spans="18:19" x14ac:dyDescent="0.25">
      <c r="R358" s="13">
        <v>285</v>
      </c>
      <c r="S358" s="13">
        <v>0</v>
      </c>
    </row>
    <row r="359" spans="18:19" x14ac:dyDescent="0.25">
      <c r="R359" s="13">
        <v>286</v>
      </c>
      <c r="S359" s="13">
        <v>0</v>
      </c>
    </row>
    <row r="360" spans="18:19" x14ac:dyDescent="0.25">
      <c r="R360" s="13">
        <v>287</v>
      </c>
      <c r="S360" s="13">
        <v>624254174.29042816</v>
      </c>
    </row>
    <row r="361" spans="18:19" x14ac:dyDescent="0.25">
      <c r="R361" s="13">
        <v>288</v>
      </c>
      <c r="S361" s="13">
        <v>0</v>
      </c>
    </row>
    <row r="362" spans="18:19" x14ac:dyDescent="0.25">
      <c r="R362" s="13">
        <v>289</v>
      </c>
      <c r="S362" s="13">
        <v>0</v>
      </c>
    </row>
    <row r="363" spans="18:19" x14ac:dyDescent="0.25">
      <c r="R363" s="13">
        <v>290</v>
      </c>
      <c r="S363" s="13">
        <v>0</v>
      </c>
    </row>
    <row r="364" spans="18:19" x14ac:dyDescent="0.25">
      <c r="R364" s="13">
        <v>291</v>
      </c>
      <c r="S364" s="13">
        <v>0</v>
      </c>
    </row>
    <row r="365" spans="18:19" x14ac:dyDescent="0.25">
      <c r="R365" s="13">
        <v>292</v>
      </c>
      <c r="S365" s="13">
        <v>0</v>
      </c>
    </row>
    <row r="366" spans="18:19" x14ac:dyDescent="0.25">
      <c r="R366" s="13">
        <v>293</v>
      </c>
      <c r="S366" s="13">
        <v>0</v>
      </c>
    </row>
    <row r="367" spans="18:19" x14ac:dyDescent="0.25">
      <c r="R367" s="13">
        <v>294</v>
      </c>
      <c r="S367" s="13">
        <v>234506208.12926483</v>
      </c>
    </row>
    <row r="368" spans="18:19" x14ac:dyDescent="0.25">
      <c r="R368" s="13">
        <v>295</v>
      </c>
      <c r="S368" s="13">
        <v>0</v>
      </c>
    </row>
    <row r="369" spans="18:19" x14ac:dyDescent="0.25">
      <c r="R369" s="13">
        <v>296</v>
      </c>
      <c r="S369" s="13">
        <v>0</v>
      </c>
    </row>
    <row r="370" spans="18:19" x14ac:dyDescent="0.25">
      <c r="R370" s="13">
        <v>297</v>
      </c>
      <c r="S370" s="13">
        <v>0</v>
      </c>
    </row>
    <row r="371" spans="18:19" x14ac:dyDescent="0.25">
      <c r="R371" s="13">
        <v>298</v>
      </c>
      <c r="S371" s="13">
        <v>609116338.04554749</v>
      </c>
    </row>
    <row r="372" spans="18:19" x14ac:dyDescent="0.25">
      <c r="R372" s="13">
        <v>299</v>
      </c>
      <c r="S372" s="13">
        <v>878341927.99401474</v>
      </c>
    </row>
    <row r="373" spans="18:19" x14ac:dyDescent="0.25">
      <c r="R373" s="13">
        <v>300</v>
      </c>
      <c r="S373" s="13">
        <v>0</v>
      </c>
    </row>
    <row r="374" spans="18:19" x14ac:dyDescent="0.25">
      <c r="R374" s="13">
        <v>301</v>
      </c>
      <c r="S374" s="13">
        <v>79883289.896368027</v>
      </c>
    </row>
    <row r="375" spans="18:19" x14ac:dyDescent="0.25">
      <c r="R375" s="13">
        <v>302</v>
      </c>
      <c r="S375" s="13">
        <v>0</v>
      </c>
    </row>
    <row r="376" spans="18:19" x14ac:dyDescent="0.25">
      <c r="R376" s="13">
        <v>303</v>
      </c>
      <c r="S376" s="13">
        <v>0</v>
      </c>
    </row>
    <row r="377" spans="18:19" x14ac:dyDescent="0.25">
      <c r="R377" s="13">
        <v>304</v>
      </c>
      <c r="S377" s="13">
        <v>0</v>
      </c>
    </row>
    <row r="378" spans="18:19" x14ac:dyDescent="0.25">
      <c r="R378" s="13">
        <v>305</v>
      </c>
      <c r="S378" s="13">
        <v>0</v>
      </c>
    </row>
    <row r="379" spans="18:19" x14ac:dyDescent="0.25">
      <c r="R379" s="13">
        <v>306</v>
      </c>
      <c r="S379" s="13">
        <v>0</v>
      </c>
    </row>
    <row r="380" spans="18:19" x14ac:dyDescent="0.25">
      <c r="R380" s="13">
        <v>307</v>
      </c>
      <c r="S380" s="13">
        <v>0</v>
      </c>
    </row>
    <row r="381" spans="18:19" x14ac:dyDescent="0.25">
      <c r="R381" s="13">
        <v>308</v>
      </c>
      <c r="S381" s="13">
        <v>0</v>
      </c>
    </row>
    <row r="382" spans="18:19" x14ac:dyDescent="0.25">
      <c r="R382" s="13">
        <v>309</v>
      </c>
      <c r="S382" s="13">
        <v>0</v>
      </c>
    </row>
    <row r="383" spans="18:19" x14ac:dyDescent="0.25">
      <c r="R383" s="13">
        <v>310</v>
      </c>
      <c r="S383" s="13">
        <v>493414787.1572113</v>
      </c>
    </row>
    <row r="384" spans="18:19" x14ac:dyDescent="0.25">
      <c r="R384" s="13">
        <v>311</v>
      </c>
      <c r="S384" s="13">
        <v>423559838.81683922</v>
      </c>
    </row>
    <row r="385" spans="18:19" x14ac:dyDescent="0.25">
      <c r="R385" s="13">
        <v>312</v>
      </c>
      <c r="S385" s="13">
        <v>0</v>
      </c>
    </row>
    <row r="386" spans="18:19" x14ac:dyDescent="0.25">
      <c r="R386" s="13">
        <v>313</v>
      </c>
      <c r="S386" s="13">
        <v>0</v>
      </c>
    </row>
    <row r="387" spans="18:19" x14ac:dyDescent="0.25">
      <c r="R387" s="13">
        <v>314</v>
      </c>
      <c r="S387" s="13">
        <v>0</v>
      </c>
    </row>
    <row r="388" spans="18:19" x14ac:dyDescent="0.25">
      <c r="R388" s="13">
        <v>315</v>
      </c>
      <c r="S388" s="13">
        <v>0</v>
      </c>
    </row>
    <row r="389" spans="18:19" x14ac:dyDescent="0.25">
      <c r="R389" s="13">
        <v>316</v>
      </c>
      <c r="S389" s="13">
        <v>119990194.60885429</v>
      </c>
    </row>
    <row r="390" spans="18:19" x14ac:dyDescent="0.25">
      <c r="R390" s="13">
        <v>317</v>
      </c>
      <c r="S390" s="13">
        <v>0</v>
      </c>
    </row>
    <row r="391" spans="18:19" x14ac:dyDescent="0.25">
      <c r="R391" s="13">
        <v>318</v>
      </c>
      <c r="S391" s="13">
        <v>0</v>
      </c>
    </row>
    <row r="392" spans="18:19" x14ac:dyDescent="0.25">
      <c r="R392" s="13">
        <v>319</v>
      </c>
      <c r="S392" s="13">
        <v>0</v>
      </c>
    </row>
    <row r="393" spans="18:19" x14ac:dyDescent="0.25">
      <c r="R393" s="13">
        <v>320</v>
      </c>
      <c r="S393" s="13">
        <v>0</v>
      </c>
    </row>
    <row r="394" spans="18:19" x14ac:dyDescent="0.25">
      <c r="R394" s="13">
        <v>321</v>
      </c>
      <c r="S394" s="13">
        <v>0</v>
      </c>
    </row>
    <row r="395" spans="18:19" x14ac:dyDescent="0.25">
      <c r="R395" s="13">
        <v>322</v>
      </c>
      <c r="S395" s="13">
        <v>0</v>
      </c>
    </row>
    <row r="396" spans="18:19" x14ac:dyDescent="0.25">
      <c r="R396" s="13">
        <v>323</v>
      </c>
      <c r="S396" s="13">
        <v>0</v>
      </c>
    </row>
    <row r="397" spans="18:19" x14ac:dyDescent="0.25">
      <c r="R397" s="13">
        <v>324</v>
      </c>
      <c r="S397" s="13">
        <v>0</v>
      </c>
    </row>
    <row r="398" spans="18:19" x14ac:dyDescent="0.25">
      <c r="R398" s="13">
        <v>325</v>
      </c>
      <c r="S398" s="13">
        <v>126587653.32884026</v>
      </c>
    </row>
    <row r="399" spans="18:19" x14ac:dyDescent="0.25">
      <c r="R399" s="13">
        <v>326</v>
      </c>
      <c r="S399" s="13">
        <v>184662281.1122818</v>
      </c>
    </row>
    <row r="400" spans="18:19" x14ac:dyDescent="0.25">
      <c r="R400" s="13">
        <v>327</v>
      </c>
      <c r="S400" s="13">
        <v>728363.21420860291</v>
      </c>
    </row>
    <row r="401" spans="18:19" x14ac:dyDescent="0.25">
      <c r="R401" s="13">
        <v>328</v>
      </c>
      <c r="S401" s="13">
        <v>475351456.90856552</v>
      </c>
    </row>
    <row r="402" spans="18:19" x14ac:dyDescent="0.25">
      <c r="R402" s="13">
        <v>329</v>
      </c>
      <c r="S402" s="13">
        <v>0</v>
      </c>
    </row>
    <row r="403" spans="18:19" x14ac:dyDescent="0.25">
      <c r="R403" s="13">
        <v>330</v>
      </c>
      <c r="S403" s="13">
        <v>0</v>
      </c>
    </row>
    <row r="404" spans="18:19" x14ac:dyDescent="0.25">
      <c r="R404" s="13">
        <v>331</v>
      </c>
      <c r="S404" s="13">
        <v>0</v>
      </c>
    </row>
    <row r="405" spans="18:19" x14ac:dyDescent="0.25">
      <c r="R405" s="13">
        <v>332</v>
      </c>
      <c r="S405" s="13">
        <v>0</v>
      </c>
    </row>
    <row r="406" spans="18:19" x14ac:dyDescent="0.25">
      <c r="R406" s="13">
        <v>333</v>
      </c>
      <c r="S406" s="13">
        <v>286940906.23683929</v>
      </c>
    </row>
    <row r="407" spans="18:19" x14ac:dyDescent="0.25">
      <c r="R407" s="13">
        <v>334</v>
      </c>
      <c r="S407" s="13">
        <v>613670683.49987411</v>
      </c>
    </row>
    <row r="408" spans="18:19" x14ac:dyDescent="0.25">
      <c r="R408" s="13">
        <v>335</v>
      </c>
      <c r="S408" s="13">
        <v>662643893.68777275</v>
      </c>
    </row>
    <row r="409" spans="18:19" x14ac:dyDescent="0.25">
      <c r="R409" s="13">
        <v>336</v>
      </c>
      <c r="S409" s="13">
        <v>0</v>
      </c>
    </row>
    <row r="410" spans="18:19" x14ac:dyDescent="0.25">
      <c r="R410" s="13">
        <v>337</v>
      </c>
      <c r="S410" s="13">
        <v>0</v>
      </c>
    </row>
    <row r="411" spans="18:19" x14ac:dyDescent="0.25">
      <c r="R411" s="13">
        <v>338</v>
      </c>
      <c r="S411" s="13">
        <v>0</v>
      </c>
    </row>
    <row r="412" spans="18:19" x14ac:dyDescent="0.25">
      <c r="R412" s="13">
        <v>339</v>
      </c>
      <c r="S412" s="13">
        <v>500314925.3549881</v>
      </c>
    </row>
    <row r="413" spans="18:19" x14ac:dyDescent="0.25">
      <c r="R413" s="13">
        <v>340</v>
      </c>
      <c r="S413" s="13">
        <v>0</v>
      </c>
    </row>
    <row r="414" spans="18:19" x14ac:dyDescent="0.25">
      <c r="R414" s="13">
        <v>341</v>
      </c>
      <c r="S414" s="13">
        <v>0</v>
      </c>
    </row>
    <row r="415" spans="18:19" x14ac:dyDescent="0.25">
      <c r="R415" s="13">
        <v>342</v>
      </c>
      <c r="S415" s="13">
        <v>51873069.922706604</v>
      </c>
    </row>
    <row r="416" spans="18:19" x14ac:dyDescent="0.25">
      <c r="R416" s="13">
        <v>343</v>
      </c>
      <c r="S416" s="13">
        <v>0</v>
      </c>
    </row>
    <row r="417" spans="18:19" x14ac:dyDescent="0.25">
      <c r="R417" s="13">
        <v>344</v>
      </c>
      <c r="S417" s="13">
        <v>0</v>
      </c>
    </row>
    <row r="418" spans="18:19" x14ac:dyDescent="0.25">
      <c r="R418" s="13">
        <v>345</v>
      </c>
      <c r="S418" s="13">
        <v>0</v>
      </c>
    </row>
    <row r="419" spans="18:19" x14ac:dyDescent="0.25">
      <c r="R419" s="13">
        <v>346</v>
      </c>
      <c r="S419" s="13">
        <v>0</v>
      </c>
    </row>
    <row r="420" spans="18:19" x14ac:dyDescent="0.25">
      <c r="R420" s="13">
        <v>347</v>
      </c>
      <c r="S420" s="13">
        <v>755761070.48642159</v>
      </c>
    </row>
    <row r="421" spans="18:19" x14ac:dyDescent="0.25">
      <c r="R421" s="13">
        <v>348</v>
      </c>
      <c r="S421" s="13">
        <v>260392447.51631355</v>
      </c>
    </row>
    <row r="422" spans="18:19" x14ac:dyDescent="0.25">
      <c r="R422" s="13">
        <v>349</v>
      </c>
      <c r="S422" s="13">
        <v>0</v>
      </c>
    </row>
    <row r="423" spans="18:19" x14ac:dyDescent="0.25">
      <c r="R423" s="13">
        <v>350</v>
      </c>
      <c r="S423" s="13">
        <v>0</v>
      </c>
    </row>
    <row r="424" spans="18:19" x14ac:dyDescent="0.25">
      <c r="R424" s="13">
        <v>351</v>
      </c>
      <c r="S424" s="13">
        <v>303351086.80726051</v>
      </c>
    </row>
    <row r="425" spans="18:19" x14ac:dyDescent="0.25">
      <c r="R425" s="13">
        <v>352</v>
      </c>
      <c r="S425" s="13">
        <v>526039123.99055481</v>
      </c>
    </row>
    <row r="426" spans="18:19" x14ac:dyDescent="0.25">
      <c r="R426" s="13">
        <v>353</v>
      </c>
      <c r="S426" s="13">
        <v>0</v>
      </c>
    </row>
    <row r="427" spans="18:19" x14ac:dyDescent="0.25">
      <c r="R427" s="13">
        <v>354</v>
      </c>
      <c r="S427" s="13">
        <v>0</v>
      </c>
    </row>
    <row r="428" spans="18:19" x14ac:dyDescent="0.25">
      <c r="R428" s="13">
        <v>355</v>
      </c>
      <c r="S428" s="13">
        <v>0</v>
      </c>
    </row>
    <row r="429" spans="18:19" x14ac:dyDescent="0.25">
      <c r="R429" s="13">
        <v>356</v>
      </c>
      <c r="S429" s="13">
        <v>0</v>
      </c>
    </row>
    <row r="430" spans="18:19" x14ac:dyDescent="0.25">
      <c r="R430" s="13">
        <v>357</v>
      </c>
      <c r="S430" s="13">
        <v>162421748.89043617</v>
      </c>
    </row>
    <row r="431" spans="18:19" x14ac:dyDescent="0.25">
      <c r="R431" s="13">
        <v>358</v>
      </c>
      <c r="S431" s="13">
        <v>0</v>
      </c>
    </row>
    <row r="432" spans="18:19" x14ac:dyDescent="0.25">
      <c r="R432" s="13">
        <v>359</v>
      </c>
      <c r="S432" s="13">
        <v>0</v>
      </c>
    </row>
    <row r="433" spans="18:19" x14ac:dyDescent="0.25">
      <c r="R433" s="13">
        <v>360</v>
      </c>
      <c r="S433" s="13">
        <v>0</v>
      </c>
    </row>
    <row r="434" spans="18:19" x14ac:dyDescent="0.25">
      <c r="R434" s="13">
        <v>361</v>
      </c>
      <c r="S434" s="13">
        <v>0</v>
      </c>
    </row>
    <row r="435" spans="18:19" x14ac:dyDescent="0.25">
      <c r="R435" s="13">
        <v>362</v>
      </c>
      <c r="S435" s="13">
        <v>0</v>
      </c>
    </row>
    <row r="436" spans="18:19" x14ac:dyDescent="0.25">
      <c r="R436" s="13">
        <v>363</v>
      </c>
      <c r="S436" s="13">
        <v>0</v>
      </c>
    </row>
    <row r="437" spans="18:19" x14ac:dyDescent="0.25">
      <c r="R437" s="13">
        <v>364</v>
      </c>
      <c r="S437" s="13">
        <v>236091119.56406021</v>
      </c>
    </row>
    <row r="438" spans="18:19" x14ac:dyDescent="0.25">
      <c r="R438" s="13">
        <v>365</v>
      </c>
      <c r="S438" s="13">
        <v>0</v>
      </c>
    </row>
    <row r="439" spans="18:19" x14ac:dyDescent="0.25">
      <c r="R439" s="13">
        <v>366</v>
      </c>
      <c r="S439" s="13">
        <v>0</v>
      </c>
    </row>
    <row r="440" spans="18:19" x14ac:dyDescent="0.25">
      <c r="R440" s="13">
        <v>367</v>
      </c>
      <c r="S440" s="13">
        <v>0</v>
      </c>
    </row>
    <row r="441" spans="18:19" x14ac:dyDescent="0.25">
      <c r="R441" s="13">
        <v>368</v>
      </c>
      <c r="S441" s="13">
        <v>0</v>
      </c>
    </row>
    <row r="442" spans="18:19" x14ac:dyDescent="0.25">
      <c r="R442" s="13">
        <v>369</v>
      </c>
      <c r="S442" s="13">
        <v>243035810.30271912</v>
      </c>
    </row>
    <row r="443" spans="18:19" x14ac:dyDescent="0.25">
      <c r="R443" s="13">
        <v>370</v>
      </c>
      <c r="S443" s="13">
        <v>0</v>
      </c>
    </row>
    <row r="444" spans="18:19" x14ac:dyDescent="0.25">
      <c r="R444" s="13">
        <v>371</v>
      </c>
      <c r="S444" s="13">
        <v>0</v>
      </c>
    </row>
    <row r="445" spans="18:19" x14ac:dyDescent="0.25">
      <c r="R445" s="13">
        <v>372</v>
      </c>
      <c r="S445" s="13">
        <v>0</v>
      </c>
    </row>
    <row r="446" spans="18:19" x14ac:dyDescent="0.25">
      <c r="R446" s="13">
        <v>373</v>
      </c>
      <c r="S446" s="13">
        <v>0</v>
      </c>
    </row>
    <row r="447" spans="18:19" x14ac:dyDescent="0.25">
      <c r="R447" s="13">
        <v>374</v>
      </c>
      <c r="S447" s="13">
        <v>0</v>
      </c>
    </row>
    <row r="448" spans="18:19" x14ac:dyDescent="0.25">
      <c r="R448" s="13">
        <v>375</v>
      </c>
      <c r="S448" s="13">
        <v>0</v>
      </c>
    </row>
    <row r="449" spans="18:19" x14ac:dyDescent="0.25">
      <c r="R449" s="13">
        <v>376</v>
      </c>
      <c r="S449" s="13">
        <v>0</v>
      </c>
    </row>
    <row r="450" spans="18:19" x14ac:dyDescent="0.25">
      <c r="R450" s="13">
        <v>377</v>
      </c>
      <c r="S450" s="13">
        <v>45186178.907781601</v>
      </c>
    </row>
    <row r="451" spans="18:19" x14ac:dyDescent="0.25">
      <c r="R451" s="13">
        <v>378</v>
      </c>
      <c r="S451" s="13">
        <v>0</v>
      </c>
    </row>
    <row r="452" spans="18:19" x14ac:dyDescent="0.25">
      <c r="R452" s="13">
        <v>379</v>
      </c>
      <c r="S452" s="13">
        <v>0</v>
      </c>
    </row>
    <row r="453" spans="18:19" x14ac:dyDescent="0.25">
      <c r="R453" s="13">
        <v>380</v>
      </c>
      <c r="S453" s="13">
        <v>0</v>
      </c>
    </row>
    <row r="454" spans="18:19" x14ac:dyDescent="0.25">
      <c r="R454" s="13">
        <v>381</v>
      </c>
      <c r="S454" s="13">
        <v>68700008.306238174</v>
      </c>
    </row>
    <row r="455" spans="18:19" x14ac:dyDescent="0.25">
      <c r="R455" s="13">
        <v>382</v>
      </c>
      <c r="S455" s="13">
        <v>0</v>
      </c>
    </row>
    <row r="456" spans="18:19" x14ac:dyDescent="0.25">
      <c r="R456" s="13">
        <v>383</v>
      </c>
      <c r="S456" s="13">
        <v>0</v>
      </c>
    </row>
    <row r="457" spans="18:19" x14ac:dyDescent="0.25">
      <c r="R457" s="13">
        <v>384</v>
      </c>
      <c r="S457" s="13">
        <v>451684309.17711067</v>
      </c>
    </row>
    <row r="458" spans="18:19" x14ac:dyDescent="0.25">
      <c r="R458" s="13">
        <v>385</v>
      </c>
      <c r="S458" s="13">
        <v>18896946.246326447</v>
      </c>
    </row>
    <row r="459" spans="18:19" x14ac:dyDescent="0.25">
      <c r="R459" s="13">
        <v>386</v>
      </c>
      <c r="S459" s="13">
        <v>0</v>
      </c>
    </row>
    <row r="460" spans="18:19" x14ac:dyDescent="0.25">
      <c r="R460" s="13">
        <v>387</v>
      </c>
      <c r="S460" s="13">
        <v>0</v>
      </c>
    </row>
    <row r="461" spans="18:19" x14ac:dyDescent="0.25">
      <c r="R461" s="13">
        <v>388</v>
      </c>
      <c r="S461" s="13">
        <v>0</v>
      </c>
    </row>
    <row r="462" spans="18:19" x14ac:dyDescent="0.25">
      <c r="R462" s="13">
        <v>389</v>
      </c>
      <c r="S462" s="13">
        <v>0</v>
      </c>
    </row>
    <row r="463" spans="18:19" x14ac:dyDescent="0.25">
      <c r="R463" s="13">
        <v>390</v>
      </c>
      <c r="S463" s="13">
        <v>0</v>
      </c>
    </row>
    <row r="464" spans="18:19" x14ac:dyDescent="0.25">
      <c r="R464" s="13">
        <v>391</v>
      </c>
      <c r="S464" s="13">
        <v>0</v>
      </c>
    </row>
    <row r="465" spans="18:19" x14ac:dyDescent="0.25">
      <c r="R465" s="13">
        <v>392</v>
      </c>
      <c r="S465" s="13">
        <v>0</v>
      </c>
    </row>
    <row r="466" spans="18:19" x14ac:dyDescent="0.25">
      <c r="R466" s="13">
        <v>393</v>
      </c>
      <c r="S466" s="13">
        <v>0</v>
      </c>
    </row>
    <row r="467" spans="18:19" x14ac:dyDescent="0.25">
      <c r="R467" s="13">
        <v>394</v>
      </c>
      <c r="S467" s="13">
        <v>0</v>
      </c>
    </row>
    <row r="468" spans="18:19" x14ac:dyDescent="0.25">
      <c r="R468" s="13">
        <v>395</v>
      </c>
      <c r="S468" s="13">
        <v>0</v>
      </c>
    </row>
    <row r="469" spans="18:19" x14ac:dyDescent="0.25">
      <c r="R469" s="13">
        <v>396</v>
      </c>
      <c r="S469" s="13">
        <v>0</v>
      </c>
    </row>
    <row r="470" spans="18:19" x14ac:dyDescent="0.25">
      <c r="R470" s="13">
        <v>397</v>
      </c>
      <c r="S470" s="13">
        <v>0</v>
      </c>
    </row>
    <row r="471" spans="18:19" x14ac:dyDescent="0.25">
      <c r="R471" s="13">
        <v>398</v>
      </c>
      <c r="S471" s="13">
        <v>0</v>
      </c>
    </row>
    <row r="472" spans="18:19" x14ac:dyDescent="0.25">
      <c r="R472" s="13">
        <v>399</v>
      </c>
      <c r="S472" s="13">
        <v>0</v>
      </c>
    </row>
    <row r="473" spans="18:19" x14ac:dyDescent="0.25">
      <c r="R473" s="13">
        <v>400</v>
      </c>
      <c r="S473" s="13">
        <v>0</v>
      </c>
    </row>
    <row r="474" spans="18:19" x14ac:dyDescent="0.25">
      <c r="R474" s="13">
        <v>401</v>
      </c>
      <c r="S474" s="13">
        <v>0</v>
      </c>
    </row>
    <row r="475" spans="18:19" x14ac:dyDescent="0.25">
      <c r="R475" s="13">
        <v>402</v>
      </c>
      <c r="S475" s="13">
        <v>0</v>
      </c>
    </row>
    <row r="476" spans="18:19" x14ac:dyDescent="0.25">
      <c r="R476" s="13">
        <v>403</v>
      </c>
      <c r="S476" s="13">
        <v>0</v>
      </c>
    </row>
    <row r="477" spans="18:19" x14ac:dyDescent="0.25">
      <c r="R477" s="13">
        <v>404</v>
      </c>
      <c r="S477" s="13">
        <v>0</v>
      </c>
    </row>
    <row r="478" spans="18:19" x14ac:dyDescent="0.25">
      <c r="R478" s="13">
        <v>405</v>
      </c>
      <c r="S478" s="13">
        <v>0</v>
      </c>
    </row>
    <row r="479" spans="18:19" x14ac:dyDescent="0.25">
      <c r="R479" s="13">
        <v>406</v>
      </c>
      <c r="S479" s="13">
        <v>581424386.85084534</v>
      </c>
    </row>
    <row r="480" spans="18:19" x14ac:dyDescent="0.25">
      <c r="R480" s="13">
        <v>407</v>
      </c>
      <c r="S480" s="13">
        <v>0</v>
      </c>
    </row>
    <row r="481" spans="18:19" x14ac:dyDescent="0.25">
      <c r="R481" s="13">
        <v>408</v>
      </c>
      <c r="S481" s="13">
        <v>0</v>
      </c>
    </row>
    <row r="482" spans="18:19" x14ac:dyDescent="0.25">
      <c r="R482" s="13">
        <v>409</v>
      </c>
      <c r="S482" s="13">
        <v>291647089.53426933</v>
      </c>
    </row>
    <row r="483" spans="18:19" x14ac:dyDescent="0.25">
      <c r="R483" s="13">
        <v>410</v>
      </c>
      <c r="S483" s="13">
        <v>0</v>
      </c>
    </row>
    <row r="484" spans="18:19" x14ac:dyDescent="0.25">
      <c r="R484" s="13">
        <v>411</v>
      </c>
      <c r="S484" s="13">
        <v>0</v>
      </c>
    </row>
    <row r="485" spans="18:19" x14ac:dyDescent="0.25">
      <c r="R485" s="13">
        <v>412</v>
      </c>
      <c r="S485" s="13">
        <v>0</v>
      </c>
    </row>
    <row r="486" spans="18:19" x14ac:dyDescent="0.25">
      <c r="R486" s="13">
        <v>413</v>
      </c>
      <c r="S486" s="13">
        <v>0</v>
      </c>
    </row>
    <row r="487" spans="18:19" x14ac:dyDescent="0.25">
      <c r="R487" s="13">
        <v>414</v>
      </c>
      <c r="S487" s="13">
        <v>9373225.8797664642</v>
      </c>
    </row>
    <row r="488" spans="18:19" x14ac:dyDescent="0.25">
      <c r="R488" s="13">
        <v>415</v>
      </c>
      <c r="S488" s="13">
        <v>0</v>
      </c>
    </row>
    <row r="489" spans="18:19" x14ac:dyDescent="0.25">
      <c r="R489" s="13">
        <v>416</v>
      </c>
      <c r="S489" s="13">
        <v>0</v>
      </c>
    </row>
    <row r="490" spans="18:19" x14ac:dyDescent="0.25">
      <c r="R490" s="13">
        <v>417</v>
      </c>
      <c r="S490" s="13">
        <v>0</v>
      </c>
    </row>
    <row r="491" spans="18:19" x14ac:dyDescent="0.25">
      <c r="R491" s="13">
        <v>418</v>
      </c>
      <c r="S491" s="13">
        <v>0</v>
      </c>
    </row>
    <row r="492" spans="18:19" x14ac:dyDescent="0.25">
      <c r="R492" s="13">
        <v>419</v>
      </c>
      <c r="S492" s="13">
        <v>0</v>
      </c>
    </row>
    <row r="493" spans="18:19" x14ac:dyDescent="0.25">
      <c r="R493" s="13">
        <v>420</v>
      </c>
      <c r="S493" s="13">
        <v>0</v>
      </c>
    </row>
    <row r="494" spans="18:19" x14ac:dyDescent="0.25">
      <c r="R494" s="13">
        <v>421</v>
      </c>
      <c r="S494" s="13">
        <v>0</v>
      </c>
    </row>
    <row r="495" spans="18:19" x14ac:dyDescent="0.25">
      <c r="R495" s="13">
        <v>422</v>
      </c>
      <c r="S495" s="13">
        <v>0</v>
      </c>
    </row>
    <row r="496" spans="18:19" x14ac:dyDescent="0.25">
      <c r="R496" s="13">
        <v>423</v>
      </c>
      <c r="S496" s="13">
        <v>0</v>
      </c>
    </row>
    <row r="497" spans="18:19" x14ac:dyDescent="0.25">
      <c r="R497" s="13">
        <v>424</v>
      </c>
      <c r="S497" s="13">
        <v>249530291.78886604</v>
      </c>
    </row>
    <row r="498" spans="18:19" x14ac:dyDescent="0.25">
      <c r="R498" s="13">
        <v>425</v>
      </c>
      <c r="S498" s="13">
        <v>0</v>
      </c>
    </row>
    <row r="499" spans="18:19" x14ac:dyDescent="0.25">
      <c r="R499" s="13">
        <v>426</v>
      </c>
      <c r="S499" s="13">
        <v>0</v>
      </c>
    </row>
    <row r="500" spans="18:19" x14ac:dyDescent="0.25">
      <c r="R500" s="13">
        <v>427</v>
      </c>
      <c r="S500" s="13">
        <v>0</v>
      </c>
    </row>
    <row r="501" spans="18:19" x14ac:dyDescent="0.25">
      <c r="R501" s="13">
        <v>428</v>
      </c>
      <c r="S501" s="13">
        <v>0</v>
      </c>
    </row>
    <row r="502" spans="18:19" x14ac:dyDescent="0.25">
      <c r="R502" s="13">
        <v>429</v>
      </c>
      <c r="S502" s="13">
        <v>0</v>
      </c>
    </row>
    <row r="503" spans="18:19" x14ac:dyDescent="0.25">
      <c r="R503" s="13">
        <v>430</v>
      </c>
      <c r="S503" s="13">
        <v>0</v>
      </c>
    </row>
    <row r="504" spans="18:19" x14ac:dyDescent="0.25">
      <c r="R504" s="13">
        <v>431</v>
      </c>
      <c r="S504" s="13">
        <v>0</v>
      </c>
    </row>
    <row r="505" spans="18:19" x14ac:dyDescent="0.25">
      <c r="R505" s="13">
        <v>432</v>
      </c>
      <c r="S505" s="13">
        <v>0</v>
      </c>
    </row>
    <row r="506" spans="18:19" x14ac:dyDescent="0.25">
      <c r="R506" s="13">
        <v>433</v>
      </c>
      <c r="S506" s="13">
        <v>0</v>
      </c>
    </row>
    <row r="507" spans="18:19" x14ac:dyDescent="0.25">
      <c r="R507" s="13">
        <v>434</v>
      </c>
      <c r="S507" s="13">
        <v>0</v>
      </c>
    </row>
    <row r="508" spans="18:19" x14ac:dyDescent="0.25">
      <c r="R508" s="13">
        <v>435</v>
      </c>
      <c r="S508" s="13">
        <v>571676812.49716759</v>
      </c>
    </row>
    <row r="509" spans="18:19" x14ac:dyDescent="0.25">
      <c r="R509" s="13">
        <v>436</v>
      </c>
      <c r="S509" s="13">
        <v>0</v>
      </c>
    </row>
    <row r="510" spans="18:19" x14ac:dyDescent="0.25">
      <c r="R510" s="13">
        <v>437</v>
      </c>
      <c r="S510" s="13">
        <v>98423846.499519348</v>
      </c>
    </row>
    <row r="511" spans="18:19" x14ac:dyDescent="0.25">
      <c r="R511" s="13">
        <v>438</v>
      </c>
      <c r="S511" s="13">
        <v>0</v>
      </c>
    </row>
    <row r="512" spans="18:19" x14ac:dyDescent="0.25">
      <c r="R512" s="13">
        <v>439</v>
      </c>
      <c r="S512" s="13">
        <v>31886519.027414322</v>
      </c>
    </row>
    <row r="513" spans="18:19" x14ac:dyDescent="0.25">
      <c r="R513" s="13">
        <v>440</v>
      </c>
      <c r="S513" s="13">
        <v>0</v>
      </c>
    </row>
    <row r="514" spans="18:19" x14ac:dyDescent="0.25">
      <c r="R514" s="13">
        <v>441</v>
      </c>
      <c r="S514" s="13">
        <v>0</v>
      </c>
    </row>
    <row r="515" spans="18:19" x14ac:dyDescent="0.25">
      <c r="R515" s="13">
        <v>442</v>
      </c>
      <c r="S515" s="13">
        <v>0</v>
      </c>
    </row>
    <row r="516" spans="18:19" x14ac:dyDescent="0.25">
      <c r="R516" s="13">
        <v>443</v>
      </c>
      <c r="S516" s="13">
        <v>428167725.67906952</v>
      </c>
    </row>
    <row r="517" spans="18:19" x14ac:dyDescent="0.25">
      <c r="R517" s="13">
        <v>444</v>
      </c>
      <c r="S517" s="13">
        <v>0</v>
      </c>
    </row>
    <row r="518" spans="18:19" x14ac:dyDescent="0.25">
      <c r="R518" s="13">
        <v>445</v>
      </c>
      <c r="S518" s="13">
        <v>0</v>
      </c>
    </row>
    <row r="519" spans="18:19" x14ac:dyDescent="0.25">
      <c r="R519" s="13">
        <v>446</v>
      </c>
      <c r="S519" s="13">
        <v>481369670.45725822</v>
      </c>
    </row>
    <row r="520" spans="18:19" x14ac:dyDescent="0.25">
      <c r="R520" s="13">
        <v>447</v>
      </c>
      <c r="S520" s="13">
        <v>0</v>
      </c>
    </row>
    <row r="521" spans="18:19" x14ac:dyDescent="0.25">
      <c r="R521" s="13">
        <v>448</v>
      </c>
      <c r="S521" s="13">
        <v>0</v>
      </c>
    </row>
    <row r="522" spans="18:19" x14ac:dyDescent="0.25">
      <c r="R522" s="13">
        <v>449</v>
      </c>
      <c r="S522" s="13">
        <v>0</v>
      </c>
    </row>
    <row r="523" spans="18:19" x14ac:dyDescent="0.25">
      <c r="R523" s="13">
        <v>450</v>
      </c>
      <c r="S523" s="13">
        <v>0</v>
      </c>
    </row>
    <row r="524" spans="18:19" x14ac:dyDescent="0.25">
      <c r="R524" s="13">
        <v>451</v>
      </c>
      <c r="S524" s="13">
        <v>0</v>
      </c>
    </row>
    <row r="525" spans="18:19" x14ac:dyDescent="0.25">
      <c r="R525" s="13">
        <v>452</v>
      </c>
      <c r="S525" s="13">
        <v>0</v>
      </c>
    </row>
    <row r="526" spans="18:19" x14ac:dyDescent="0.25">
      <c r="R526" s="13">
        <v>453</v>
      </c>
      <c r="S526" s="13">
        <v>0</v>
      </c>
    </row>
    <row r="527" spans="18:19" x14ac:dyDescent="0.25">
      <c r="R527" s="13">
        <v>454</v>
      </c>
      <c r="S527" s="13">
        <v>0</v>
      </c>
    </row>
    <row r="528" spans="18:19" x14ac:dyDescent="0.25">
      <c r="R528" s="13">
        <v>455</v>
      </c>
      <c r="S528" s="13">
        <v>585894780.20472527</v>
      </c>
    </row>
    <row r="529" spans="18:19" x14ac:dyDescent="0.25">
      <c r="R529" s="13">
        <v>456</v>
      </c>
      <c r="S529" s="13">
        <v>0</v>
      </c>
    </row>
    <row r="530" spans="18:19" x14ac:dyDescent="0.25">
      <c r="R530" s="13">
        <v>457</v>
      </c>
      <c r="S530" s="13">
        <v>990429890.98324585</v>
      </c>
    </row>
    <row r="531" spans="18:19" x14ac:dyDescent="0.25">
      <c r="R531" s="13">
        <v>458</v>
      </c>
      <c r="S531" s="13">
        <v>213350022.25041962</v>
      </c>
    </row>
    <row r="532" spans="18:19" x14ac:dyDescent="0.25">
      <c r="R532" s="13">
        <v>459</v>
      </c>
      <c r="S532" s="13">
        <v>0</v>
      </c>
    </row>
    <row r="533" spans="18:19" x14ac:dyDescent="0.25">
      <c r="R533" s="13">
        <v>460</v>
      </c>
      <c r="S533" s="13">
        <v>396905307.25678062</v>
      </c>
    </row>
    <row r="534" spans="18:19" x14ac:dyDescent="0.25">
      <c r="R534" s="13">
        <v>461</v>
      </c>
      <c r="S534" s="13">
        <v>0</v>
      </c>
    </row>
    <row r="535" spans="18:19" x14ac:dyDescent="0.25">
      <c r="R535" s="13">
        <v>462</v>
      </c>
      <c r="S535" s="13">
        <v>0</v>
      </c>
    </row>
    <row r="536" spans="18:19" x14ac:dyDescent="0.25">
      <c r="R536" s="13">
        <v>463</v>
      </c>
      <c r="S536" s="13">
        <v>335090439.53915787</v>
      </c>
    </row>
    <row r="537" spans="18:19" x14ac:dyDescent="0.25">
      <c r="R537" s="13">
        <v>464</v>
      </c>
      <c r="S537" s="13">
        <v>0</v>
      </c>
    </row>
    <row r="538" spans="18:19" x14ac:dyDescent="0.25">
      <c r="R538" s="13">
        <v>465</v>
      </c>
      <c r="S538" s="13">
        <v>0</v>
      </c>
    </row>
    <row r="539" spans="18:19" x14ac:dyDescent="0.25">
      <c r="R539" s="13">
        <v>466</v>
      </c>
      <c r="S539" s="13">
        <v>0</v>
      </c>
    </row>
    <row r="540" spans="18:19" x14ac:dyDescent="0.25">
      <c r="R540" s="13">
        <v>467</v>
      </c>
      <c r="S540" s="13">
        <v>0</v>
      </c>
    </row>
    <row r="541" spans="18:19" x14ac:dyDescent="0.25">
      <c r="R541" s="13">
        <v>468</v>
      </c>
      <c r="S541" s="13">
        <v>0</v>
      </c>
    </row>
    <row r="542" spans="18:19" x14ac:dyDescent="0.25">
      <c r="R542" s="13">
        <v>469</v>
      </c>
      <c r="S542" s="13">
        <v>0</v>
      </c>
    </row>
    <row r="543" spans="18:19" x14ac:dyDescent="0.25">
      <c r="R543" s="13">
        <v>470</v>
      </c>
      <c r="S543" s="13">
        <v>0</v>
      </c>
    </row>
    <row r="544" spans="18:19" x14ac:dyDescent="0.25">
      <c r="R544" s="13">
        <v>471</v>
      </c>
      <c r="S544" s="13">
        <v>388713580.10979462</v>
      </c>
    </row>
    <row r="545" spans="18:19" x14ac:dyDescent="0.25">
      <c r="R545" s="13">
        <v>472</v>
      </c>
      <c r="S545" s="13">
        <v>0</v>
      </c>
    </row>
    <row r="546" spans="18:19" x14ac:dyDescent="0.25">
      <c r="R546" s="13">
        <v>473</v>
      </c>
      <c r="S546" s="13">
        <v>0</v>
      </c>
    </row>
    <row r="547" spans="18:19" x14ac:dyDescent="0.25">
      <c r="R547" s="13">
        <v>474</v>
      </c>
      <c r="S547" s="13">
        <v>0</v>
      </c>
    </row>
    <row r="548" spans="18:19" x14ac:dyDescent="0.25">
      <c r="R548" s="13">
        <v>475</v>
      </c>
      <c r="S548" s="13">
        <v>0</v>
      </c>
    </row>
    <row r="549" spans="18:19" x14ac:dyDescent="0.25">
      <c r="R549" s="13">
        <v>476</v>
      </c>
      <c r="S549" s="13">
        <v>0</v>
      </c>
    </row>
    <row r="550" spans="18:19" x14ac:dyDescent="0.25">
      <c r="R550" s="13">
        <v>477</v>
      </c>
      <c r="S550" s="13">
        <v>0</v>
      </c>
    </row>
    <row r="551" spans="18:19" x14ac:dyDescent="0.25">
      <c r="R551" s="13">
        <v>478</v>
      </c>
      <c r="S551" s="13">
        <v>0</v>
      </c>
    </row>
    <row r="552" spans="18:19" x14ac:dyDescent="0.25">
      <c r="R552" s="13">
        <v>479</v>
      </c>
      <c r="S552" s="13">
        <v>0</v>
      </c>
    </row>
    <row r="553" spans="18:19" x14ac:dyDescent="0.25">
      <c r="R553" s="13">
        <v>480</v>
      </c>
      <c r="S553" s="13">
        <v>0</v>
      </c>
    </row>
    <row r="554" spans="18:19" x14ac:dyDescent="0.25">
      <c r="R554" s="13">
        <v>481</v>
      </c>
      <c r="S554" s="13">
        <v>0</v>
      </c>
    </row>
    <row r="555" spans="18:19" x14ac:dyDescent="0.25">
      <c r="R555" s="13">
        <v>482</v>
      </c>
      <c r="S555" s="13">
        <v>0</v>
      </c>
    </row>
    <row r="556" spans="18:19" x14ac:dyDescent="0.25">
      <c r="R556" s="13">
        <v>483</v>
      </c>
      <c r="S556" s="13">
        <v>0</v>
      </c>
    </row>
    <row r="557" spans="18:19" x14ac:dyDescent="0.25">
      <c r="R557" s="13">
        <v>484</v>
      </c>
      <c r="S557" s="13">
        <v>0</v>
      </c>
    </row>
    <row r="558" spans="18:19" x14ac:dyDescent="0.25">
      <c r="R558" s="13">
        <v>485</v>
      </c>
      <c r="S558" s="13">
        <v>874681048.83140755</v>
      </c>
    </row>
    <row r="559" spans="18:19" x14ac:dyDescent="0.25">
      <c r="R559" s="13">
        <v>486</v>
      </c>
      <c r="S559" s="13">
        <v>0</v>
      </c>
    </row>
    <row r="560" spans="18:19" x14ac:dyDescent="0.25">
      <c r="R560" s="13">
        <v>487</v>
      </c>
      <c r="S560" s="13">
        <v>0</v>
      </c>
    </row>
    <row r="561" spans="18:19" x14ac:dyDescent="0.25">
      <c r="R561" s="13">
        <v>488</v>
      </c>
      <c r="S561" s="13">
        <v>826463246.63747787</v>
      </c>
    </row>
    <row r="562" spans="18:19" x14ac:dyDescent="0.25">
      <c r="R562" s="13">
        <v>489</v>
      </c>
      <c r="S562" s="13">
        <v>0</v>
      </c>
    </row>
    <row r="563" spans="18:19" x14ac:dyDescent="0.25">
      <c r="R563" s="13">
        <v>490</v>
      </c>
      <c r="S563" s="13">
        <v>43076937.417779922</v>
      </c>
    </row>
    <row r="564" spans="18:19" x14ac:dyDescent="0.25">
      <c r="R564" s="13">
        <v>491</v>
      </c>
      <c r="S564" s="13">
        <v>0</v>
      </c>
    </row>
    <row r="565" spans="18:19" x14ac:dyDescent="0.25">
      <c r="R565" s="13">
        <v>492</v>
      </c>
      <c r="S565" s="13">
        <v>0</v>
      </c>
    </row>
    <row r="566" spans="18:19" x14ac:dyDescent="0.25">
      <c r="R566" s="13">
        <v>493</v>
      </c>
      <c r="S566" s="13">
        <v>741515735.67333603</v>
      </c>
    </row>
    <row r="567" spans="18:19" x14ac:dyDescent="0.25">
      <c r="R567" s="13">
        <v>494</v>
      </c>
      <c r="S567" s="13">
        <v>0</v>
      </c>
    </row>
    <row r="568" spans="18:19" x14ac:dyDescent="0.25">
      <c r="R568" s="13">
        <v>495</v>
      </c>
      <c r="S568" s="13">
        <v>0</v>
      </c>
    </row>
    <row r="569" spans="18:19" x14ac:dyDescent="0.25">
      <c r="R569" s="13">
        <v>496</v>
      </c>
      <c r="S569" s="13">
        <v>0</v>
      </c>
    </row>
    <row r="570" spans="18:19" x14ac:dyDescent="0.25">
      <c r="R570" s="13">
        <v>497</v>
      </c>
      <c r="S570" s="13">
        <v>0</v>
      </c>
    </row>
    <row r="571" spans="18:19" x14ac:dyDescent="0.25">
      <c r="R571" s="13">
        <v>498</v>
      </c>
      <c r="S571" s="13">
        <v>609231406.58977509</v>
      </c>
    </row>
    <row r="572" spans="18:19" x14ac:dyDescent="0.25">
      <c r="R572" s="13">
        <v>499</v>
      </c>
      <c r="S572" s="13">
        <v>0</v>
      </c>
    </row>
    <row r="573" spans="18:19" x14ac:dyDescent="0.25">
      <c r="R573" s="13">
        <v>500</v>
      </c>
      <c r="S573" s="13">
        <v>0</v>
      </c>
    </row>
    <row r="574" spans="18:19" x14ac:dyDescent="0.25">
      <c r="R574" s="13">
        <v>501</v>
      </c>
      <c r="S574" s="13">
        <v>0</v>
      </c>
    </row>
    <row r="575" spans="18:19" x14ac:dyDescent="0.25">
      <c r="R575" s="13">
        <v>502</v>
      </c>
      <c r="S575" s="13">
        <v>573821052.32637787</v>
      </c>
    </row>
    <row r="576" spans="18:19" x14ac:dyDescent="0.25">
      <c r="R576" s="13">
        <v>503</v>
      </c>
      <c r="S576" s="13">
        <v>0</v>
      </c>
    </row>
    <row r="577" spans="18:19" x14ac:dyDescent="0.25">
      <c r="R577" s="13">
        <v>504</v>
      </c>
      <c r="S577" s="13">
        <v>0</v>
      </c>
    </row>
    <row r="578" spans="18:19" x14ac:dyDescent="0.25">
      <c r="R578" s="13">
        <v>505</v>
      </c>
      <c r="S578" s="13">
        <v>0</v>
      </c>
    </row>
    <row r="579" spans="18:19" x14ac:dyDescent="0.25">
      <c r="R579" s="13">
        <v>506</v>
      </c>
      <c r="S579" s="13">
        <v>0</v>
      </c>
    </row>
    <row r="580" spans="18:19" x14ac:dyDescent="0.25">
      <c r="R580" s="13">
        <v>507</v>
      </c>
      <c r="S580" s="13">
        <v>21456120.446659088</v>
      </c>
    </row>
    <row r="581" spans="18:19" x14ac:dyDescent="0.25">
      <c r="R581" s="13">
        <v>508</v>
      </c>
      <c r="S581" s="13">
        <v>0</v>
      </c>
    </row>
    <row r="582" spans="18:19" x14ac:dyDescent="0.25">
      <c r="R582" s="13">
        <v>509</v>
      </c>
      <c r="S582" s="13">
        <v>273789044.72574615</v>
      </c>
    </row>
    <row r="583" spans="18:19" x14ac:dyDescent="0.25">
      <c r="R583" s="13">
        <v>510</v>
      </c>
      <c r="S583" s="13">
        <v>0</v>
      </c>
    </row>
    <row r="584" spans="18:19" x14ac:dyDescent="0.25">
      <c r="R584" s="13">
        <v>511</v>
      </c>
      <c r="S584" s="13">
        <v>0</v>
      </c>
    </row>
    <row r="585" spans="18:19" x14ac:dyDescent="0.25">
      <c r="R585" s="13">
        <v>512</v>
      </c>
      <c r="S585" s="13">
        <v>0</v>
      </c>
    </row>
    <row r="586" spans="18:19" x14ac:dyDescent="0.25">
      <c r="R586" s="13">
        <v>513</v>
      </c>
      <c r="S586" s="13">
        <v>374447637.04514122</v>
      </c>
    </row>
    <row r="587" spans="18:19" x14ac:dyDescent="0.25">
      <c r="R587" s="13">
        <v>514</v>
      </c>
      <c r="S587" s="13">
        <v>0</v>
      </c>
    </row>
    <row r="588" spans="18:19" x14ac:dyDescent="0.25">
      <c r="R588" s="13">
        <v>515</v>
      </c>
      <c r="S588" s="13">
        <v>0</v>
      </c>
    </row>
    <row r="589" spans="18:19" x14ac:dyDescent="0.25">
      <c r="R589" s="13">
        <v>516</v>
      </c>
      <c r="S589" s="13">
        <v>0</v>
      </c>
    </row>
    <row r="590" spans="18:19" x14ac:dyDescent="0.25">
      <c r="R590" s="13">
        <v>517</v>
      </c>
      <c r="S590" s="13">
        <v>0</v>
      </c>
    </row>
    <row r="591" spans="18:19" x14ac:dyDescent="0.25">
      <c r="R591" s="13">
        <v>518</v>
      </c>
      <c r="S591" s="13">
        <v>0</v>
      </c>
    </row>
    <row r="592" spans="18:19" x14ac:dyDescent="0.25">
      <c r="R592" s="13">
        <v>519</v>
      </c>
      <c r="S592" s="13">
        <v>470016206.038517</v>
      </c>
    </row>
    <row r="593" spans="18:19" x14ac:dyDescent="0.25">
      <c r="R593" s="13">
        <v>520</v>
      </c>
      <c r="S593" s="13">
        <v>0</v>
      </c>
    </row>
    <row r="594" spans="18:19" x14ac:dyDescent="0.25">
      <c r="R594" s="13">
        <v>521</v>
      </c>
      <c r="S594" s="13">
        <v>0</v>
      </c>
    </row>
    <row r="595" spans="18:19" x14ac:dyDescent="0.25">
      <c r="R595" s="13">
        <v>522</v>
      </c>
      <c r="S595" s="13">
        <v>0</v>
      </c>
    </row>
    <row r="596" spans="18:19" x14ac:dyDescent="0.25">
      <c r="R596" s="13">
        <v>523</v>
      </c>
      <c r="S596" s="13">
        <v>332736966.74582481</v>
      </c>
    </row>
    <row r="597" spans="18:19" x14ac:dyDescent="0.25">
      <c r="R597" s="13">
        <v>524</v>
      </c>
      <c r="S597" s="13">
        <v>0</v>
      </c>
    </row>
    <row r="598" spans="18:19" x14ac:dyDescent="0.25">
      <c r="R598" s="13">
        <v>525</v>
      </c>
      <c r="S598" s="13">
        <v>0</v>
      </c>
    </row>
    <row r="599" spans="18:19" x14ac:dyDescent="0.25">
      <c r="R599" s="13">
        <v>526</v>
      </c>
      <c r="S599" s="13">
        <v>0</v>
      </c>
    </row>
    <row r="600" spans="18:19" x14ac:dyDescent="0.25">
      <c r="R600" s="13">
        <v>527</v>
      </c>
      <c r="S600" s="13">
        <v>0</v>
      </c>
    </row>
    <row r="601" spans="18:19" x14ac:dyDescent="0.25">
      <c r="R601" s="13">
        <v>528</v>
      </c>
      <c r="S601" s="13">
        <v>0</v>
      </c>
    </row>
    <row r="602" spans="18:19" x14ac:dyDescent="0.25">
      <c r="R602" s="13">
        <v>529</v>
      </c>
      <c r="S602" s="13">
        <v>57303302.561388016</v>
      </c>
    </row>
    <row r="603" spans="18:19" x14ac:dyDescent="0.25">
      <c r="R603" s="13">
        <v>530</v>
      </c>
      <c r="S603" s="13">
        <v>481067539.9358139</v>
      </c>
    </row>
    <row r="604" spans="18:19" x14ac:dyDescent="0.25">
      <c r="R604" s="13">
        <v>531</v>
      </c>
      <c r="S604" s="13">
        <v>0</v>
      </c>
    </row>
    <row r="605" spans="18:19" x14ac:dyDescent="0.25">
      <c r="R605" s="13">
        <v>532</v>
      </c>
      <c r="S605" s="13">
        <v>0</v>
      </c>
    </row>
    <row r="606" spans="18:19" x14ac:dyDescent="0.25">
      <c r="R606" s="13">
        <v>533</v>
      </c>
      <c r="S606" s="13">
        <v>476077142.53096962</v>
      </c>
    </row>
    <row r="607" spans="18:19" x14ac:dyDescent="0.25">
      <c r="R607" s="13">
        <v>534</v>
      </c>
      <c r="S607" s="13">
        <v>0</v>
      </c>
    </row>
    <row r="608" spans="18:19" x14ac:dyDescent="0.25">
      <c r="R608" s="13">
        <v>535</v>
      </c>
      <c r="S608" s="13">
        <v>0</v>
      </c>
    </row>
    <row r="609" spans="18:19" x14ac:dyDescent="0.25">
      <c r="R609" s="13">
        <v>536</v>
      </c>
      <c r="S609" s="13">
        <v>0</v>
      </c>
    </row>
    <row r="610" spans="18:19" x14ac:dyDescent="0.25">
      <c r="R610" s="13">
        <v>537</v>
      </c>
      <c r="S610" s="13">
        <v>0</v>
      </c>
    </row>
    <row r="611" spans="18:19" x14ac:dyDescent="0.25">
      <c r="R611" s="13">
        <v>538</v>
      </c>
      <c r="S611" s="13">
        <v>720456025.70200157</v>
      </c>
    </row>
    <row r="612" spans="18:19" x14ac:dyDescent="0.25">
      <c r="R612" s="13">
        <v>539</v>
      </c>
      <c r="S612" s="13">
        <v>0</v>
      </c>
    </row>
    <row r="613" spans="18:19" x14ac:dyDescent="0.25">
      <c r="R613" s="13">
        <v>540</v>
      </c>
      <c r="S613" s="13">
        <v>0</v>
      </c>
    </row>
    <row r="614" spans="18:19" x14ac:dyDescent="0.25">
      <c r="R614" s="13">
        <v>541</v>
      </c>
      <c r="S614" s="13">
        <v>0</v>
      </c>
    </row>
    <row r="615" spans="18:19" x14ac:dyDescent="0.25">
      <c r="R615" s="13">
        <v>542</v>
      </c>
      <c r="S615" s="13">
        <v>0</v>
      </c>
    </row>
    <row r="616" spans="18:19" x14ac:dyDescent="0.25">
      <c r="R616" s="13">
        <v>543</v>
      </c>
      <c r="S616" s="13">
        <v>485352952.01825714</v>
      </c>
    </row>
    <row r="617" spans="18:19" x14ac:dyDescent="0.25">
      <c r="R617" s="13">
        <v>544</v>
      </c>
      <c r="S617" s="13">
        <v>0</v>
      </c>
    </row>
    <row r="618" spans="18:19" x14ac:dyDescent="0.25">
      <c r="R618" s="13">
        <v>545</v>
      </c>
      <c r="S618" s="13">
        <v>0</v>
      </c>
    </row>
    <row r="619" spans="18:19" x14ac:dyDescent="0.25">
      <c r="R619" s="13">
        <v>546</v>
      </c>
      <c r="S619" s="13">
        <v>0</v>
      </c>
    </row>
    <row r="620" spans="18:19" x14ac:dyDescent="0.25">
      <c r="R620" s="13">
        <v>547</v>
      </c>
      <c r="S620" s="13">
        <v>1001192853.1705818</v>
      </c>
    </row>
    <row r="621" spans="18:19" x14ac:dyDescent="0.25">
      <c r="R621" s="13">
        <v>548</v>
      </c>
      <c r="S621" s="13">
        <v>534072093.82453918</v>
      </c>
    </row>
    <row r="622" spans="18:19" x14ac:dyDescent="0.25">
      <c r="R622" s="13">
        <v>549</v>
      </c>
      <c r="S622" s="13">
        <v>0</v>
      </c>
    </row>
    <row r="623" spans="18:19" x14ac:dyDescent="0.25">
      <c r="R623" s="13">
        <v>550</v>
      </c>
      <c r="S623" s="13">
        <v>500284118.78295898</v>
      </c>
    </row>
    <row r="624" spans="18:19" x14ac:dyDescent="0.25">
      <c r="R624" s="13">
        <v>551</v>
      </c>
      <c r="S624" s="13">
        <v>0</v>
      </c>
    </row>
    <row r="625" spans="18:19" x14ac:dyDescent="0.25">
      <c r="R625" s="13">
        <v>552</v>
      </c>
      <c r="S625" s="13">
        <v>0</v>
      </c>
    </row>
    <row r="626" spans="18:19" x14ac:dyDescent="0.25">
      <c r="R626" s="13">
        <v>553</v>
      </c>
      <c r="S626" s="13">
        <v>0</v>
      </c>
    </row>
    <row r="627" spans="18:19" x14ac:dyDescent="0.25">
      <c r="R627" s="13">
        <v>554</v>
      </c>
      <c r="S627" s="13">
        <v>0</v>
      </c>
    </row>
    <row r="628" spans="18:19" x14ac:dyDescent="0.25">
      <c r="R628" s="13">
        <v>555</v>
      </c>
      <c r="S628" s="13">
        <v>0</v>
      </c>
    </row>
    <row r="629" spans="18:19" x14ac:dyDescent="0.25">
      <c r="R629" s="13">
        <v>556</v>
      </c>
      <c r="S629" s="13">
        <v>0</v>
      </c>
    </row>
    <row r="630" spans="18:19" x14ac:dyDescent="0.25">
      <c r="R630" s="13">
        <v>557</v>
      </c>
      <c r="S630" s="13">
        <v>0</v>
      </c>
    </row>
    <row r="631" spans="18:19" x14ac:dyDescent="0.25">
      <c r="R631" s="13">
        <v>558</v>
      </c>
      <c r="S631" s="13">
        <v>0</v>
      </c>
    </row>
    <row r="632" spans="18:19" x14ac:dyDescent="0.25">
      <c r="R632" s="13">
        <v>559</v>
      </c>
      <c r="S632" s="13">
        <v>0</v>
      </c>
    </row>
    <row r="633" spans="18:19" x14ac:dyDescent="0.25">
      <c r="R633" s="13">
        <v>560</v>
      </c>
      <c r="S633" s="13">
        <v>413987793.74692535</v>
      </c>
    </row>
    <row r="634" spans="18:19" x14ac:dyDescent="0.25">
      <c r="R634" s="13">
        <v>561</v>
      </c>
      <c r="S634" s="13">
        <v>0</v>
      </c>
    </row>
    <row r="635" spans="18:19" x14ac:dyDescent="0.25">
      <c r="R635" s="13">
        <v>562</v>
      </c>
      <c r="S635" s="13">
        <v>0</v>
      </c>
    </row>
    <row r="636" spans="18:19" x14ac:dyDescent="0.25">
      <c r="R636" s="13">
        <v>563</v>
      </c>
      <c r="S636" s="13">
        <v>364302045.12537956</v>
      </c>
    </row>
    <row r="637" spans="18:19" x14ac:dyDescent="0.25">
      <c r="R637" s="13">
        <v>564</v>
      </c>
      <c r="S637" s="13">
        <v>0</v>
      </c>
    </row>
    <row r="638" spans="18:19" x14ac:dyDescent="0.25">
      <c r="R638" s="13">
        <v>565</v>
      </c>
      <c r="S638" s="13">
        <v>0</v>
      </c>
    </row>
    <row r="639" spans="18:19" x14ac:dyDescent="0.25">
      <c r="R639" s="13">
        <v>566</v>
      </c>
      <c r="S639" s="13">
        <v>0</v>
      </c>
    </row>
    <row r="640" spans="18:19" x14ac:dyDescent="0.25">
      <c r="R640" s="13">
        <v>567</v>
      </c>
      <c r="S640" s="13">
        <v>0</v>
      </c>
    </row>
    <row r="641" spans="18:19" x14ac:dyDescent="0.25">
      <c r="R641" s="13">
        <v>568</v>
      </c>
      <c r="S641" s="13">
        <v>391816466.09075928</v>
      </c>
    </row>
    <row r="642" spans="18:19" x14ac:dyDescent="0.25">
      <c r="R642" s="13">
        <v>569</v>
      </c>
      <c r="S642" s="13">
        <v>0</v>
      </c>
    </row>
    <row r="643" spans="18:19" x14ac:dyDescent="0.25">
      <c r="R643" s="13">
        <v>570</v>
      </c>
      <c r="S643" s="13">
        <v>318879541.08662033</v>
      </c>
    </row>
    <row r="644" spans="18:19" x14ac:dyDescent="0.25">
      <c r="R644" s="13">
        <v>571</v>
      </c>
      <c r="S644" s="13">
        <v>26107610.788030624</v>
      </c>
    </row>
    <row r="645" spans="18:19" x14ac:dyDescent="0.25">
      <c r="R645" s="13">
        <v>572</v>
      </c>
      <c r="S645" s="13">
        <v>0</v>
      </c>
    </row>
    <row r="646" spans="18:19" x14ac:dyDescent="0.25">
      <c r="R646" s="13">
        <v>573</v>
      </c>
      <c r="S646" s="13">
        <v>0</v>
      </c>
    </row>
    <row r="647" spans="18:19" x14ac:dyDescent="0.25">
      <c r="R647" s="13">
        <v>574</v>
      </c>
      <c r="S647" s="13">
        <v>0</v>
      </c>
    </row>
    <row r="648" spans="18:19" x14ac:dyDescent="0.25">
      <c r="R648" s="13">
        <v>575</v>
      </c>
      <c r="S648" s="13">
        <v>0</v>
      </c>
    </row>
    <row r="649" spans="18:19" x14ac:dyDescent="0.25">
      <c r="R649" s="13">
        <v>576</v>
      </c>
      <c r="S649" s="13">
        <v>0</v>
      </c>
    </row>
    <row r="650" spans="18:19" x14ac:dyDescent="0.25">
      <c r="R650" s="13">
        <v>577</v>
      </c>
      <c r="S650" s="13">
        <v>0</v>
      </c>
    </row>
    <row r="651" spans="18:19" x14ac:dyDescent="0.25">
      <c r="R651" s="13">
        <v>578</v>
      </c>
      <c r="S651" s="13">
        <v>701867443.3638134</v>
      </c>
    </row>
    <row r="652" spans="18:19" x14ac:dyDescent="0.25">
      <c r="R652" s="13">
        <v>579</v>
      </c>
      <c r="S652" s="13">
        <v>282712598.96271324</v>
      </c>
    </row>
    <row r="653" spans="18:19" x14ac:dyDescent="0.25">
      <c r="R653" s="13">
        <v>580</v>
      </c>
      <c r="S653" s="13">
        <v>690716478.53525543</v>
      </c>
    </row>
    <row r="654" spans="18:19" x14ac:dyDescent="0.25">
      <c r="R654" s="13">
        <v>581</v>
      </c>
      <c r="S654" s="13">
        <v>0</v>
      </c>
    </row>
    <row r="655" spans="18:19" x14ac:dyDescent="0.25">
      <c r="R655" s="13">
        <v>582</v>
      </c>
      <c r="S655" s="13">
        <v>0</v>
      </c>
    </row>
    <row r="656" spans="18:19" x14ac:dyDescent="0.25">
      <c r="R656" s="13">
        <v>583</v>
      </c>
      <c r="S656" s="13">
        <v>0</v>
      </c>
    </row>
    <row r="657" spans="18:19" x14ac:dyDescent="0.25">
      <c r="R657" s="13">
        <v>584</v>
      </c>
      <c r="S657" s="13">
        <v>0</v>
      </c>
    </row>
    <row r="658" spans="18:19" x14ac:dyDescent="0.25">
      <c r="R658" s="13">
        <v>585</v>
      </c>
      <c r="S658" s="13">
        <v>0</v>
      </c>
    </row>
    <row r="659" spans="18:19" x14ac:dyDescent="0.25">
      <c r="R659" s="13">
        <v>586</v>
      </c>
      <c r="S659" s="13">
        <v>0</v>
      </c>
    </row>
    <row r="660" spans="18:19" x14ac:dyDescent="0.25">
      <c r="R660" s="13">
        <v>587</v>
      </c>
      <c r="S660" s="13">
        <v>0</v>
      </c>
    </row>
    <row r="661" spans="18:19" x14ac:dyDescent="0.25">
      <c r="R661" s="13">
        <v>588</v>
      </c>
      <c r="S661" s="13">
        <v>0</v>
      </c>
    </row>
    <row r="662" spans="18:19" x14ac:dyDescent="0.25">
      <c r="R662" s="13">
        <v>589</v>
      </c>
      <c r="S662" s="13">
        <v>0</v>
      </c>
    </row>
    <row r="663" spans="18:19" x14ac:dyDescent="0.25">
      <c r="R663" s="13">
        <v>590</v>
      </c>
      <c r="S663" s="13">
        <v>0</v>
      </c>
    </row>
    <row r="664" spans="18:19" x14ac:dyDescent="0.25">
      <c r="R664" s="13">
        <v>591</v>
      </c>
      <c r="S664" s="13">
        <v>0</v>
      </c>
    </row>
    <row r="665" spans="18:19" x14ac:dyDescent="0.25">
      <c r="R665" s="13">
        <v>592</v>
      </c>
      <c r="S665" s="13">
        <v>152712684.29259491</v>
      </c>
    </row>
    <row r="666" spans="18:19" x14ac:dyDescent="0.25">
      <c r="R666" s="13">
        <v>593</v>
      </c>
      <c r="S666" s="13">
        <v>1020998079.6913643</v>
      </c>
    </row>
    <row r="667" spans="18:19" x14ac:dyDescent="0.25">
      <c r="R667" s="13">
        <v>594</v>
      </c>
      <c r="S667" s="13">
        <v>0</v>
      </c>
    </row>
    <row r="668" spans="18:19" x14ac:dyDescent="0.25">
      <c r="R668" s="13">
        <v>595</v>
      </c>
      <c r="S668" s="13">
        <v>342168772.80744934</v>
      </c>
    </row>
    <row r="669" spans="18:19" x14ac:dyDescent="0.25">
      <c r="R669" s="13">
        <v>596</v>
      </c>
      <c r="S669" s="13">
        <v>0</v>
      </c>
    </row>
    <row r="670" spans="18:19" x14ac:dyDescent="0.25">
      <c r="R670" s="13">
        <v>597</v>
      </c>
      <c r="S670" s="13">
        <v>431514943.7578125</v>
      </c>
    </row>
    <row r="671" spans="18:19" x14ac:dyDescent="0.25">
      <c r="R671" s="13">
        <v>598</v>
      </c>
      <c r="S671" s="13">
        <v>259185202.87564659</v>
      </c>
    </row>
    <row r="672" spans="18:19" x14ac:dyDescent="0.25">
      <c r="R672" s="13">
        <v>599</v>
      </c>
      <c r="S672" s="13">
        <v>0</v>
      </c>
    </row>
    <row r="673" spans="18:19" x14ac:dyDescent="0.25">
      <c r="R673" s="13">
        <v>600</v>
      </c>
      <c r="S673" s="13">
        <v>0</v>
      </c>
    </row>
    <row r="674" spans="18:19" x14ac:dyDescent="0.25">
      <c r="R674" s="13">
        <v>601</v>
      </c>
      <c r="S674" s="13">
        <v>0</v>
      </c>
    </row>
    <row r="675" spans="18:19" x14ac:dyDescent="0.25">
      <c r="R675" s="13">
        <v>602</v>
      </c>
      <c r="S675" s="13">
        <v>0</v>
      </c>
    </row>
    <row r="676" spans="18:19" x14ac:dyDescent="0.25">
      <c r="R676" s="13">
        <v>603</v>
      </c>
      <c r="S676" s="13">
        <v>704961658.87633514</v>
      </c>
    </row>
    <row r="677" spans="18:19" x14ac:dyDescent="0.25">
      <c r="R677" s="13">
        <v>604</v>
      </c>
      <c r="S677" s="13">
        <v>0</v>
      </c>
    </row>
    <row r="678" spans="18:19" x14ac:dyDescent="0.25">
      <c r="R678" s="13">
        <v>605</v>
      </c>
      <c r="S678" s="13">
        <v>0</v>
      </c>
    </row>
    <row r="679" spans="18:19" x14ac:dyDescent="0.25">
      <c r="R679" s="13">
        <v>606</v>
      </c>
      <c r="S679" s="13">
        <v>0</v>
      </c>
    </row>
    <row r="680" spans="18:19" x14ac:dyDescent="0.25">
      <c r="R680" s="13">
        <v>607</v>
      </c>
      <c r="S680" s="13">
        <v>569991707.18923187</v>
      </c>
    </row>
    <row r="681" spans="18:19" x14ac:dyDescent="0.25">
      <c r="R681" s="13">
        <v>608</v>
      </c>
      <c r="S681" s="13">
        <v>0</v>
      </c>
    </row>
    <row r="682" spans="18:19" x14ac:dyDescent="0.25">
      <c r="R682" s="13">
        <v>609</v>
      </c>
      <c r="S682" s="13">
        <v>0</v>
      </c>
    </row>
    <row r="683" spans="18:19" x14ac:dyDescent="0.25">
      <c r="R683" s="13">
        <v>610</v>
      </c>
      <c r="S683" s="13">
        <v>0</v>
      </c>
    </row>
    <row r="684" spans="18:19" x14ac:dyDescent="0.25">
      <c r="R684" s="13">
        <v>611</v>
      </c>
      <c r="S684" s="13">
        <v>378087314.06177902</v>
      </c>
    </row>
    <row r="685" spans="18:19" x14ac:dyDescent="0.25">
      <c r="R685" s="13">
        <v>612</v>
      </c>
      <c r="S685" s="13">
        <v>0</v>
      </c>
    </row>
    <row r="686" spans="18:19" x14ac:dyDescent="0.25">
      <c r="R686" s="13">
        <v>613</v>
      </c>
      <c r="S686" s="13">
        <v>0</v>
      </c>
    </row>
    <row r="687" spans="18:19" x14ac:dyDescent="0.25">
      <c r="R687" s="13">
        <v>614</v>
      </c>
      <c r="S687" s="13">
        <v>0</v>
      </c>
    </row>
    <row r="688" spans="18:19" x14ac:dyDescent="0.25">
      <c r="R688" s="13">
        <v>615</v>
      </c>
      <c r="S688" s="13">
        <v>0</v>
      </c>
    </row>
    <row r="689" spans="18:19" x14ac:dyDescent="0.25">
      <c r="R689" s="13">
        <v>616</v>
      </c>
      <c r="S689" s="13">
        <v>0</v>
      </c>
    </row>
    <row r="690" spans="18:19" x14ac:dyDescent="0.25">
      <c r="R690" s="13">
        <v>617</v>
      </c>
      <c r="S690" s="13">
        <v>0</v>
      </c>
    </row>
    <row r="691" spans="18:19" x14ac:dyDescent="0.25">
      <c r="R691" s="13">
        <v>618</v>
      </c>
      <c r="S691" s="13">
        <v>0</v>
      </c>
    </row>
    <row r="692" spans="18:19" x14ac:dyDescent="0.25">
      <c r="R692" s="13">
        <v>619</v>
      </c>
      <c r="S692" s="13">
        <v>0</v>
      </c>
    </row>
    <row r="693" spans="18:19" x14ac:dyDescent="0.25">
      <c r="R693" s="13">
        <v>620</v>
      </c>
      <c r="S693" s="13">
        <v>362815957.52217865</v>
      </c>
    </row>
    <row r="694" spans="18:19" x14ac:dyDescent="0.25">
      <c r="R694" s="13">
        <v>621</v>
      </c>
      <c r="S694" s="13">
        <v>345810785.18842888</v>
      </c>
    </row>
    <row r="695" spans="18:19" x14ac:dyDescent="0.25">
      <c r="R695" s="13">
        <v>622</v>
      </c>
      <c r="S695" s="13">
        <v>0</v>
      </c>
    </row>
    <row r="696" spans="18:19" x14ac:dyDescent="0.25">
      <c r="R696" s="13">
        <v>623</v>
      </c>
      <c r="S696" s="13">
        <v>91664000.048048019</v>
      </c>
    </row>
    <row r="697" spans="18:19" x14ac:dyDescent="0.25">
      <c r="R697" s="13">
        <v>624</v>
      </c>
      <c r="S697" s="13">
        <v>0</v>
      </c>
    </row>
    <row r="698" spans="18:19" x14ac:dyDescent="0.25">
      <c r="R698" s="13">
        <v>625</v>
      </c>
      <c r="S698" s="13">
        <v>193228271.94707108</v>
      </c>
    </row>
    <row r="699" spans="18:19" x14ac:dyDescent="0.25">
      <c r="R699" s="13">
        <v>626</v>
      </c>
      <c r="S699" s="13">
        <v>0</v>
      </c>
    </row>
    <row r="700" spans="18:19" x14ac:dyDescent="0.25">
      <c r="R700" s="13">
        <v>627</v>
      </c>
      <c r="S700" s="13">
        <v>253689014.69386292</v>
      </c>
    </row>
    <row r="701" spans="18:19" x14ac:dyDescent="0.25">
      <c r="R701" s="13">
        <v>628</v>
      </c>
      <c r="S701" s="13">
        <v>0</v>
      </c>
    </row>
    <row r="702" spans="18:19" x14ac:dyDescent="0.25">
      <c r="R702" s="13">
        <v>629</v>
      </c>
      <c r="S702" s="13">
        <v>0</v>
      </c>
    </row>
    <row r="703" spans="18:19" x14ac:dyDescent="0.25">
      <c r="R703" s="13">
        <v>630</v>
      </c>
      <c r="S703" s="13">
        <v>0</v>
      </c>
    </row>
    <row r="704" spans="18:19" x14ac:dyDescent="0.25">
      <c r="R704" s="13">
        <v>631</v>
      </c>
      <c r="S704" s="13">
        <v>0</v>
      </c>
    </row>
    <row r="705" spans="18:19" x14ac:dyDescent="0.25">
      <c r="R705" s="13">
        <v>632</v>
      </c>
      <c r="S705" s="13">
        <v>0</v>
      </c>
    </row>
    <row r="706" spans="18:19" x14ac:dyDescent="0.25">
      <c r="R706" s="13">
        <v>633</v>
      </c>
      <c r="S706" s="13">
        <v>0</v>
      </c>
    </row>
    <row r="707" spans="18:19" x14ac:dyDescent="0.25">
      <c r="R707" s="13">
        <v>634</v>
      </c>
      <c r="S707" s="13">
        <v>1177327455.451643</v>
      </c>
    </row>
    <row r="708" spans="18:19" x14ac:dyDescent="0.25">
      <c r="R708" s="13">
        <v>635</v>
      </c>
      <c r="S708" s="13">
        <v>0</v>
      </c>
    </row>
    <row r="709" spans="18:19" x14ac:dyDescent="0.25">
      <c r="R709" s="13">
        <v>636</v>
      </c>
      <c r="S709" s="13">
        <v>0</v>
      </c>
    </row>
    <row r="710" spans="18:19" x14ac:dyDescent="0.25">
      <c r="R710" s="13">
        <v>637</v>
      </c>
      <c r="S710" s="13">
        <v>0</v>
      </c>
    </row>
    <row r="711" spans="18:19" x14ac:dyDescent="0.25">
      <c r="R711" s="13">
        <v>638</v>
      </c>
      <c r="S711" s="13">
        <v>0</v>
      </c>
    </row>
    <row r="712" spans="18:19" x14ac:dyDescent="0.25">
      <c r="R712" s="13">
        <v>639</v>
      </c>
      <c r="S712" s="13">
        <v>0</v>
      </c>
    </row>
    <row r="713" spans="18:19" x14ac:dyDescent="0.25">
      <c r="R713" s="13">
        <v>640</v>
      </c>
      <c r="S713" s="13">
        <v>676791532.50855827</v>
      </c>
    </row>
    <row r="714" spans="18:19" x14ac:dyDescent="0.25">
      <c r="R714" s="13">
        <v>641</v>
      </c>
      <c r="S714" s="13">
        <v>0</v>
      </c>
    </row>
    <row r="715" spans="18:19" x14ac:dyDescent="0.25">
      <c r="R715" s="13">
        <v>642</v>
      </c>
      <c r="S715" s="13">
        <v>264746782.81146622</v>
      </c>
    </row>
    <row r="716" spans="18:19" x14ac:dyDescent="0.25">
      <c r="R716" s="13">
        <v>643</v>
      </c>
      <c r="S716" s="13">
        <v>0</v>
      </c>
    </row>
    <row r="717" spans="18:19" x14ac:dyDescent="0.25">
      <c r="R717" s="13">
        <v>644</v>
      </c>
      <c r="S717" s="13">
        <v>44708988.209875107</v>
      </c>
    </row>
    <row r="718" spans="18:19" x14ac:dyDescent="0.25">
      <c r="R718" s="13">
        <v>645</v>
      </c>
      <c r="S718" s="13">
        <v>0</v>
      </c>
    </row>
    <row r="719" spans="18:19" x14ac:dyDescent="0.25">
      <c r="R719" s="13">
        <v>646</v>
      </c>
      <c r="S719" s="13">
        <v>0</v>
      </c>
    </row>
    <row r="720" spans="18:19" x14ac:dyDescent="0.25">
      <c r="R720" s="13">
        <v>647</v>
      </c>
      <c r="S720" s="13">
        <v>0</v>
      </c>
    </row>
    <row r="721" spans="18:19" x14ac:dyDescent="0.25">
      <c r="R721" s="13">
        <v>648</v>
      </c>
      <c r="S721" s="13">
        <v>0</v>
      </c>
    </row>
    <row r="722" spans="18:19" x14ac:dyDescent="0.25">
      <c r="R722" s="13">
        <v>649</v>
      </c>
      <c r="S722" s="13">
        <v>0</v>
      </c>
    </row>
    <row r="723" spans="18:19" x14ac:dyDescent="0.25">
      <c r="R723" s="13">
        <v>650</v>
      </c>
      <c r="S723" s="13">
        <v>0</v>
      </c>
    </row>
    <row r="724" spans="18:19" x14ac:dyDescent="0.25">
      <c r="R724" s="13">
        <v>651</v>
      </c>
      <c r="S724" s="13">
        <v>0</v>
      </c>
    </row>
    <row r="725" spans="18:19" x14ac:dyDescent="0.25">
      <c r="R725" s="13">
        <v>652</v>
      </c>
      <c r="S725" s="13">
        <v>256353360.00206375</v>
      </c>
    </row>
    <row r="726" spans="18:19" x14ac:dyDescent="0.25">
      <c r="R726" s="13">
        <v>653</v>
      </c>
      <c r="S726" s="13">
        <v>0</v>
      </c>
    </row>
    <row r="727" spans="18:19" x14ac:dyDescent="0.25">
      <c r="R727" s="13">
        <v>654</v>
      </c>
      <c r="S727" s="13">
        <v>0</v>
      </c>
    </row>
    <row r="728" spans="18:19" x14ac:dyDescent="0.25">
      <c r="R728" s="13">
        <v>655</v>
      </c>
      <c r="S728" s="13">
        <v>254846275.89829826</v>
      </c>
    </row>
    <row r="729" spans="18:19" x14ac:dyDescent="0.25">
      <c r="R729" s="13">
        <v>656</v>
      </c>
      <c r="S729" s="13">
        <v>0</v>
      </c>
    </row>
    <row r="730" spans="18:19" x14ac:dyDescent="0.25">
      <c r="R730" s="13">
        <v>657</v>
      </c>
      <c r="S730" s="13">
        <v>0</v>
      </c>
    </row>
    <row r="731" spans="18:19" x14ac:dyDescent="0.25">
      <c r="R731" s="13">
        <v>658</v>
      </c>
      <c r="S731" s="13">
        <v>0</v>
      </c>
    </row>
    <row r="732" spans="18:19" x14ac:dyDescent="0.25">
      <c r="R732" s="13">
        <v>659</v>
      </c>
      <c r="S732" s="13">
        <v>0</v>
      </c>
    </row>
    <row r="733" spans="18:19" x14ac:dyDescent="0.25">
      <c r="R733" s="13">
        <v>660</v>
      </c>
      <c r="S733" s="13">
        <v>86459459.219184875</v>
      </c>
    </row>
    <row r="734" spans="18:19" x14ac:dyDescent="0.25">
      <c r="R734" s="13">
        <v>661</v>
      </c>
      <c r="S734" s="13">
        <v>0</v>
      </c>
    </row>
    <row r="735" spans="18:19" x14ac:dyDescent="0.25">
      <c r="R735" s="13">
        <v>662</v>
      </c>
      <c r="S735" s="13">
        <v>381734341.20529175</v>
      </c>
    </row>
    <row r="736" spans="18:19" x14ac:dyDescent="0.25">
      <c r="R736" s="13">
        <v>663</v>
      </c>
      <c r="S736" s="13">
        <v>0</v>
      </c>
    </row>
    <row r="737" spans="18:19" x14ac:dyDescent="0.25">
      <c r="R737" s="13">
        <v>664</v>
      </c>
      <c r="S737" s="13">
        <v>0</v>
      </c>
    </row>
    <row r="738" spans="18:19" x14ac:dyDescent="0.25">
      <c r="R738" s="13">
        <v>665</v>
      </c>
      <c r="S738" s="13">
        <v>0</v>
      </c>
    </row>
    <row r="739" spans="18:19" x14ac:dyDescent="0.25">
      <c r="R739" s="13">
        <v>666</v>
      </c>
      <c r="S739" s="13">
        <v>264016081.29549026</v>
      </c>
    </row>
    <row r="740" spans="18:19" x14ac:dyDescent="0.25">
      <c r="R740" s="13">
        <v>667</v>
      </c>
      <c r="S740" s="13">
        <v>0</v>
      </c>
    </row>
    <row r="741" spans="18:19" x14ac:dyDescent="0.25">
      <c r="R741" s="13">
        <v>668</v>
      </c>
      <c r="S741" s="13">
        <v>0</v>
      </c>
    </row>
    <row r="742" spans="18:19" x14ac:dyDescent="0.25">
      <c r="R742" s="13">
        <v>669</v>
      </c>
      <c r="S742" s="13">
        <v>171615113.96270943</v>
      </c>
    </row>
    <row r="743" spans="18:19" x14ac:dyDescent="0.25">
      <c r="R743" s="13">
        <v>670</v>
      </c>
      <c r="S743" s="13">
        <v>607566928.6056633</v>
      </c>
    </row>
    <row r="744" spans="18:19" x14ac:dyDescent="0.25">
      <c r="R744" s="13">
        <v>671</v>
      </c>
      <c r="S744" s="13">
        <v>0</v>
      </c>
    </row>
    <row r="745" spans="18:19" x14ac:dyDescent="0.25">
      <c r="R745" s="13">
        <v>672</v>
      </c>
      <c r="S745" s="13">
        <v>0</v>
      </c>
    </row>
    <row r="746" spans="18:19" x14ac:dyDescent="0.25">
      <c r="R746" s="13">
        <v>673</v>
      </c>
      <c r="S746" s="13">
        <v>0</v>
      </c>
    </row>
    <row r="747" spans="18:19" x14ac:dyDescent="0.25">
      <c r="R747" s="13">
        <v>674</v>
      </c>
      <c r="S747" s="13">
        <v>0</v>
      </c>
    </row>
    <row r="748" spans="18:19" x14ac:dyDescent="0.25">
      <c r="R748" s="13">
        <v>675</v>
      </c>
      <c r="S748" s="13">
        <v>0</v>
      </c>
    </row>
    <row r="749" spans="18:19" x14ac:dyDescent="0.25">
      <c r="R749" s="13">
        <v>676</v>
      </c>
      <c r="S749" s="13">
        <v>0</v>
      </c>
    </row>
    <row r="750" spans="18:19" x14ac:dyDescent="0.25">
      <c r="R750" s="13">
        <v>677</v>
      </c>
      <c r="S750" s="13">
        <v>0</v>
      </c>
    </row>
    <row r="751" spans="18:19" x14ac:dyDescent="0.25">
      <c r="R751" s="13">
        <v>678</v>
      </c>
      <c r="S751" s="13">
        <v>0</v>
      </c>
    </row>
    <row r="752" spans="18:19" x14ac:dyDescent="0.25">
      <c r="R752" s="13">
        <v>679</v>
      </c>
      <c r="S752" s="13">
        <v>0</v>
      </c>
    </row>
    <row r="753" spans="18:19" x14ac:dyDescent="0.25">
      <c r="R753" s="13">
        <v>680</v>
      </c>
      <c r="S753" s="13">
        <v>0</v>
      </c>
    </row>
    <row r="754" spans="18:19" x14ac:dyDescent="0.25">
      <c r="R754" s="13">
        <v>681</v>
      </c>
      <c r="S754" s="13">
        <v>441049780.88316154</v>
      </c>
    </row>
    <row r="755" spans="18:19" x14ac:dyDescent="0.25">
      <c r="R755" s="13">
        <v>682</v>
      </c>
      <c r="S755" s="13">
        <v>0</v>
      </c>
    </row>
    <row r="756" spans="18:19" x14ac:dyDescent="0.25">
      <c r="R756" s="13">
        <v>683</v>
      </c>
      <c r="S756" s="13">
        <v>313456557.12014008</v>
      </c>
    </row>
    <row r="757" spans="18:19" x14ac:dyDescent="0.25">
      <c r="R757" s="13">
        <v>684</v>
      </c>
      <c r="S757" s="13">
        <v>0</v>
      </c>
    </row>
    <row r="758" spans="18:19" x14ac:dyDescent="0.25">
      <c r="R758" s="13">
        <v>685</v>
      </c>
      <c r="S758" s="13">
        <v>0</v>
      </c>
    </row>
    <row r="759" spans="18:19" x14ac:dyDescent="0.25">
      <c r="R759" s="13">
        <v>686</v>
      </c>
      <c r="S759" s="13">
        <v>137080707.85009766</v>
      </c>
    </row>
    <row r="760" spans="18:19" x14ac:dyDescent="0.25">
      <c r="R760" s="13">
        <v>687</v>
      </c>
      <c r="S760" s="13">
        <v>0</v>
      </c>
    </row>
    <row r="761" spans="18:19" x14ac:dyDescent="0.25">
      <c r="R761" s="13">
        <v>688</v>
      </c>
      <c r="S761" s="13">
        <v>0</v>
      </c>
    </row>
    <row r="762" spans="18:19" x14ac:dyDescent="0.25">
      <c r="R762" s="13">
        <v>689</v>
      </c>
      <c r="S762" s="13">
        <v>0</v>
      </c>
    </row>
    <row r="763" spans="18:19" x14ac:dyDescent="0.25">
      <c r="R763" s="13">
        <v>690</v>
      </c>
      <c r="S763" s="13">
        <v>0</v>
      </c>
    </row>
    <row r="764" spans="18:19" x14ac:dyDescent="0.25">
      <c r="R764" s="13">
        <v>691</v>
      </c>
      <c r="S764" s="13">
        <v>0</v>
      </c>
    </row>
    <row r="765" spans="18:19" x14ac:dyDescent="0.25">
      <c r="R765" s="13">
        <v>692</v>
      </c>
      <c r="S765" s="13">
        <v>0</v>
      </c>
    </row>
    <row r="766" spans="18:19" x14ac:dyDescent="0.25">
      <c r="R766" s="13">
        <v>693</v>
      </c>
      <c r="S766" s="13">
        <v>253715992.13646698</v>
      </c>
    </row>
    <row r="767" spans="18:19" x14ac:dyDescent="0.25">
      <c r="R767" s="13">
        <v>694</v>
      </c>
      <c r="S767" s="13">
        <v>533518099.81842422</v>
      </c>
    </row>
    <row r="768" spans="18:19" x14ac:dyDescent="0.25">
      <c r="R768" s="13">
        <v>695</v>
      </c>
      <c r="S768" s="13">
        <v>190182978.37955475</v>
      </c>
    </row>
    <row r="769" spans="18:19" x14ac:dyDescent="0.25">
      <c r="R769" s="13">
        <v>696</v>
      </c>
      <c r="S769" s="13">
        <v>0</v>
      </c>
    </row>
    <row r="770" spans="18:19" x14ac:dyDescent="0.25">
      <c r="R770" s="13">
        <v>697</v>
      </c>
      <c r="S770" s="13">
        <v>0</v>
      </c>
    </row>
    <row r="771" spans="18:19" x14ac:dyDescent="0.25">
      <c r="R771" s="13">
        <v>698</v>
      </c>
      <c r="S771" s="13">
        <v>0</v>
      </c>
    </row>
    <row r="772" spans="18:19" x14ac:dyDescent="0.25">
      <c r="R772" s="13">
        <v>699</v>
      </c>
      <c r="S772" s="13">
        <v>0</v>
      </c>
    </row>
    <row r="773" spans="18:19" x14ac:dyDescent="0.25">
      <c r="R773" s="13">
        <v>700</v>
      </c>
      <c r="S773" s="13">
        <v>0</v>
      </c>
    </row>
    <row r="774" spans="18:19" x14ac:dyDescent="0.25">
      <c r="R774" s="13">
        <v>701</v>
      </c>
      <c r="S774" s="13">
        <v>502325412.41848373</v>
      </c>
    </row>
    <row r="775" spans="18:19" x14ac:dyDescent="0.25">
      <c r="R775" s="13">
        <v>702</v>
      </c>
      <c r="S775" s="13">
        <v>0</v>
      </c>
    </row>
    <row r="776" spans="18:19" x14ac:dyDescent="0.25">
      <c r="R776" s="13">
        <v>703</v>
      </c>
      <c r="S776" s="13">
        <v>316438684.04255104</v>
      </c>
    </row>
    <row r="777" spans="18:19" x14ac:dyDescent="0.25">
      <c r="R777" s="13">
        <v>704</v>
      </c>
      <c r="S777" s="13">
        <v>0</v>
      </c>
    </row>
    <row r="778" spans="18:19" x14ac:dyDescent="0.25">
      <c r="R778" s="13">
        <v>705</v>
      </c>
      <c r="S778" s="13">
        <v>0</v>
      </c>
    </row>
    <row r="779" spans="18:19" x14ac:dyDescent="0.25">
      <c r="R779" s="13">
        <v>706</v>
      </c>
      <c r="S779" s="13">
        <v>0</v>
      </c>
    </row>
    <row r="780" spans="18:19" x14ac:dyDescent="0.25">
      <c r="R780" s="13">
        <v>707</v>
      </c>
      <c r="S780" s="13">
        <v>674655075.12716293</v>
      </c>
    </row>
    <row r="781" spans="18:19" x14ac:dyDescent="0.25">
      <c r="R781" s="13">
        <v>708</v>
      </c>
      <c r="S781" s="13">
        <v>0</v>
      </c>
    </row>
    <row r="782" spans="18:19" x14ac:dyDescent="0.25">
      <c r="R782" s="13">
        <v>709</v>
      </c>
      <c r="S782" s="13">
        <v>0</v>
      </c>
    </row>
    <row r="783" spans="18:19" x14ac:dyDescent="0.25">
      <c r="R783" s="13">
        <v>710</v>
      </c>
      <c r="S783" s="13">
        <v>309853074.40214157</v>
      </c>
    </row>
    <row r="784" spans="18:19" x14ac:dyDescent="0.25">
      <c r="R784" s="13">
        <v>711</v>
      </c>
      <c r="S784" s="13">
        <v>0</v>
      </c>
    </row>
    <row r="785" spans="18:19" x14ac:dyDescent="0.25">
      <c r="R785" s="13">
        <v>712</v>
      </c>
      <c r="S785" s="13">
        <v>0</v>
      </c>
    </row>
    <row r="786" spans="18:19" x14ac:dyDescent="0.25">
      <c r="R786" s="13">
        <v>713</v>
      </c>
      <c r="S786" s="13">
        <v>0</v>
      </c>
    </row>
    <row r="787" spans="18:19" x14ac:dyDescent="0.25">
      <c r="R787" s="13">
        <v>714</v>
      </c>
      <c r="S787" s="13">
        <v>172898275.50282478</v>
      </c>
    </row>
    <row r="788" spans="18:19" x14ac:dyDescent="0.25">
      <c r="R788" s="13">
        <v>715</v>
      </c>
      <c r="S788" s="13">
        <v>0</v>
      </c>
    </row>
    <row r="789" spans="18:19" x14ac:dyDescent="0.25">
      <c r="R789" s="13">
        <v>716</v>
      </c>
      <c r="S789" s="13">
        <v>0</v>
      </c>
    </row>
    <row r="790" spans="18:19" x14ac:dyDescent="0.25">
      <c r="R790" s="13">
        <v>717</v>
      </c>
      <c r="S790" s="13">
        <v>0</v>
      </c>
    </row>
    <row r="791" spans="18:19" x14ac:dyDescent="0.25">
      <c r="R791" s="13">
        <v>718</v>
      </c>
      <c r="S791" s="13">
        <v>0</v>
      </c>
    </row>
    <row r="792" spans="18:19" x14ac:dyDescent="0.25">
      <c r="R792" s="13">
        <v>719</v>
      </c>
      <c r="S792" s="13">
        <v>0</v>
      </c>
    </row>
    <row r="793" spans="18:19" x14ac:dyDescent="0.25">
      <c r="R793" s="13">
        <v>720</v>
      </c>
      <c r="S793" s="13">
        <v>0</v>
      </c>
    </row>
    <row r="794" spans="18:19" x14ac:dyDescent="0.25">
      <c r="R794" s="13">
        <v>721</v>
      </c>
      <c r="S794" s="13">
        <v>58332646.901844025</v>
      </c>
    </row>
    <row r="795" spans="18:19" x14ac:dyDescent="0.25">
      <c r="R795" s="13">
        <v>722</v>
      </c>
      <c r="S795" s="13">
        <v>340626019.87724495</v>
      </c>
    </row>
    <row r="796" spans="18:19" x14ac:dyDescent="0.25">
      <c r="R796" s="13">
        <v>723</v>
      </c>
      <c r="S796" s="13">
        <v>0</v>
      </c>
    </row>
    <row r="797" spans="18:19" x14ac:dyDescent="0.25">
      <c r="R797" s="13">
        <v>724</v>
      </c>
      <c r="S797" s="13">
        <v>0</v>
      </c>
    </row>
    <row r="798" spans="18:19" x14ac:dyDescent="0.25">
      <c r="R798" s="13">
        <v>725</v>
      </c>
      <c r="S798" s="13">
        <v>0</v>
      </c>
    </row>
    <row r="799" spans="18:19" x14ac:dyDescent="0.25">
      <c r="R799" s="13">
        <v>726</v>
      </c>
      <c r="S799" s="13">
        <v>0</v>
      </c>
    </row>
    <row r="800" spans="18:19" x14ac:dyDescent="0.25">
      <c r="R800" s="13">
        <v>727</v>
      </c>
      <c r="S800" s="13">
        <v>0</v>
      </c>
    </row>
    <row r="801" spans="18:19" x14ac:dyDescent="0.25">
      <c r="R801" s="13">
        <v>728</v>
      </c>
      <c r="S801" s="13">
        <v>1091538823.1346416</v>
      </c>
    </row>
    <row r="802" spans="18:19" x14ac:dyDescent="0.25">
      <c r="R802" s="13">
        <v>729</v>
      </c>
      <c r="S802" s="13">
        <v>0</v>
      </c>
    </row>
    <row r="803" spans="18:19" x14ac:dyDescent="0.25">
      <c r="R803" s="13">
        <v>730</v>
      </c>
      <c r="S803" s="13">
        <v>183324961.61304665</v>
      </c>
    </row>
    <row r="804" spans="18:19" x14ac:dyDescent="0.25">
      <c r="R804" s="13">
        <v>731</v>
      </c>
      <c r="S804" s="13">
        <v>0</v>
      </c>
    </row>
    <row r="805" spans="18:19" x14ac:dyDescent="0.25">
      <c r="R805" s="13">
        <v>732</v>
      </c>
      <c r="S805" s="13">
        <v>19737500.110963821</v>
      </c>
    </row>
    <row r="806" spans="18:19" x14ac:dyDescent="0.25">
      <c r="R806" s="13">
        <v>733</v>
      </c>
      <c r="S806" s="13">
        <v>298427147.48857307</v>
      </c>
    </row>
    <row r="807" spans="18:19" x14ac:dyDescent="0.25">
      <c r="R807" s="13">
        <v>734</v>
      </c>
      <c r="S807" s="13">
        <v>0</v>
      </c>
    </row>
    <row r="808" spans="18:19" x14ac:dyDescent="0.25">
      <c r="R808" s="13">
        <v>735</v>
      </c>
      <c r="S808" s="13">
        <v>338392685.78842545</v>
      </c>
    </row>
    <row r="809" spans="18:19" x14ac:dyDescent="0.25">
      <c r="R809" s="13">
        <v>736</v>
      </c>
      <c r="S809" s="13">
        <v>0</v>
      </c>
    </row>
    <row r="810" spans="18:19" x14ac:dyDescent="0.25">
      <c r="R810" s="13">
        <v>737</v>
      </c>
      <c r="S810" s="13">
        <v>0</v>
      </c>
    </row>
    <row r="811" spans="18:19" x14ac:dyDescent="0.25">
      <c r="R811" s="13">
        <v>738</v>
      </c>
      <c r="S811" s="13">
        <v>0</v>
      </c>
    </row>
    <row r="812" spans="18:19" x14ac:dyDescent="0.25">
      <c r="R812" s="13">
        <v>739</v>
      </c>
      <c r="S812" s="13">
        <v>0</v>
      </c>
    </row>
    <row r="813" spans="18:19" x14ac:dyDescent="0.25">
      <c r="R813" s="13">
        <v>740</v>
      </c>
      <c r="S813" s="13">
        <v>0</v>
      </c>
    </row>
    <row r="814" spans="18:19" x14ac:dyDescent="0.25">
      <c r="R814" s="13">
        <v>741</v>
      </c>
      <c r="S814" s="13">
        <v>0</v>
      </c>
    </row>
    <row r="815" spans="18:19" x14ac:dyDescent="0.25">
      <c r="R815" s="13">
        <v>742</v>
      </c>
      <c r="S815" s="13">
        <v>0</v>
      </c>
    </row>
    <row r="816" spans="18:19" x14ac:dyDescent="0.25">
      <c r="R816" s="13">
        <v>743</v>
      </c>
      <c r="S816" s="13">
        <v>0</v>
      </c>
    </row>
    <row r="817" spans="18:19" x14ac:dyDescent="0.25">
      <c r="R817" s="13">
        <v>744</v>
      </c>
      <c r="S817" s="13">
        <v>0</v>
      </c>
    </row>
    <row r="818" spans="18:19" x14ac:dyDescent="0.25">
      <c r="R818" s="13">
        <v>745</v>
      </c>
      <c r="S818" s="13">
        <v>0</v>
      </c>
    </row>
    <row r="819" spans="18:19" x14ac:dyDescent="0.25">
      <c r="R819" s="13">
        <v>746</v>
      </c>
      <c r="S819" s="13">
        <v>0</v>
      </c>
    </row>
    <row r="820" spans="18:19" x14ac:dyDescent="0.25">
      <c r="R820" s="13">
        <v>747</v>
      </c>
      <c r="S820" s="13">
        <v>301814256.97338295</v>
      </c>
    </row>
    <row r="821" spans="18:19" x14ac:dyDescent="0.25">
      <c r="R821" s="13">
        <v>748</v>
      </c>
      <c r="S821" s="13">
        <v>0</v>
      </c>
    </row>
    <row r="822" spans="18:19" x14ac:dyDescent="0.25">
      <c r="R822" s="13">
        <v>749</v>
      </c>
      <c r="S822" s="13">
        <v>65917847.23566246</v>
      </c>
    </row>
    <row r="823" spans="18:19" x14ac:dyDescent="0.25">
      <c r="R823" s="13">
        <v>750</v>
      </c>
      <c r="S823" s="13">
        <v>438163272.75514412</v>
      </c>
    </row>
    <row r="824" spans="18:19" x14ac:dyDescent="0.25">
      <c r="R824" s="13">
        <v>751</v>
      </c>
      <c r="S824" s="13">
        <v>0</v>
      </c>
    </row>
    <row r="825" spans="18:19" x14ac:dyDescent="0.25">
      <c r="R825" s="13">
        <v>752</v>
      </c>
      <c r="S825" s="13">
        <v>0</v>
      </c>
    </row>
    <row r="826" spans="18:19" x14ac:dyDescent="0.25">
      <c r="R826" s="13">
        <v>753</v>
      </c>
      <c r="S826" s="13">
        <v>659282756.60067558</v>
      </c>
    </row>
    <row r="827" spans="18:19" x14ac:dyDescent="0.25">
      <c r="R827" s="13">
        <v>754</v>
      </c>
      <c r="S827" s="13">
        <v>574780705.72198868</v>
      </c>
    </row>
    <row r="828" spans="18:19" x14ac:dyDescent="0.25">
      <c r="R828" s="13">
        <v>755</v>
      </c>
      <c r="S828" s="13">
        <v>0</v>
      </c>
    </row>
    <row r="829" spans="18:19" x14ac:dyDescent="0.25">
      <c r="R829" s="13">
        <v>756</v>
      </c>
      <c r="S829" s="13">
        <v>48730282.583217621</v>
      </c>
    </row>
    <row r="830" spans="18:19" x14ac:dyDescent="0.25">
      <c r="R830" s="13">
        <v>757</v>
      </c>
      <c r="S830" s="13">
        <v>0</v>
      </c>
    </row>
    <row r="831" spans="18:19" x14ac:dyDescent="0.25">
      <c r="R831" s="13">
        <v>758</v>
      </c>
      <c r="S831" s="13">
        <v>0</v>
      </c>
    </row>
    <row r="832" spans="18:19" x14ac:dyDescent="0.25">
      <c r="R832" s="13">
        <v>759</v>
      </c>
      <c r="S832" s="13">
        <v>0</v>
      </c>
    </row>
    <row r="833" spans="18:19" x14ac:dyDescent="0.25">
      <c r="R833" s="13">
        <v>760</v>
      </c>
      <c r="S833" s="13">
        <v>0</v>
      </c>
    </row>
    <row r="834" spans="18:19" x14ac:dyDescent="0.25">
      <c r="R834" s="13">
        <v>761</v>
      </c>
      <c r="S834" s="13">
        <v>0</v>
      </c>
    </row>
    <row r="835" spans="18:19" x14ac:dyDescent="0.25">
      <c r="R835" s="13">
        <v>762</v>
      </c>
      <c r="S835" s="13">
        <v>0</v>
      </c>
    </row>
    <row r="836" spans="18:19" x14ac:dyDescent="0.25">
      <c r="R836" s="13">
        <v>763</v>
      </c>
      <c r="S836" s="13">
        <v>0</v>
      </c>
    </row>
    <row r="837" spans="18:19" x14ac:dyDescent="0.25">
      <c r="R837" s="13">
        <v>764</v>
      </c>
      <c r="S837" s="13">
        <v>0</v>
      </c>
    </row>
    <row r="838" spans="18:19" x14ac:dyDescent="0.25">
      <c r="R838" s="13">
        <v>765</v>
      </c>
      <c r="S838" s="13">
        <v>0</v>
      </c>
    </row>
    <row r="839" spans="18:19" x14ac:dyDescent="0.25">
      <c r="R839" s="13">
        <v>766</v>
      </c>
      <c r="S839" s="13">
        <v>0</v>
      </c>
    </row>
    <row r="840" spans="18:19" x14ac:dyDescent="0.25">
      <c r="R840" s="13">
        <v>767</v>
      </c>
      <c r="S840" s="13">
        <v>0</v>
      </c>
    </row>
    <row r="841" spans="18:19" x14ac:dyDescent="0.25">
      <c r="R841" s="13">
        <v>768</v>
      </c>
      <c r="S841" s="13">
        <v>66350128.848630905</v>
      </c>
    </row>
    <row r="842" spans="18:19" x14ac:dyDescent="0.25">
      <c r="R842" s="13">
        <v>769</v>
      </c>
      <c r="S842" s="13">
        <v>0</v>
      </c>
    </row>
    <row r="843" spans="18:19" x14ac:dyDescent="0.25">
      <c r="R843" s="13">
        <v>770</v>
      </c>
      <c r="S843" s="13">
        <v>806266284.85514069</v>
      </c>
    </row>
    <row r="844" spans="18:19" x14ac:dyDescent="0.25">
      <c r="R844" s="13">
        <v>771</v>
      </c>
      <c r="S844" s="13">
        <v>0</v>
      </c>
    </row>
    <row r="845" spans="18:19" x14ac:dyDescent="0.25">
      <c r="R845" s="13">
        <v>772</v>
      </c>
      <c r="S845" s="13">
        <v>0</v>
      </c>
    </row>
    <row r="846" spans="18:19" x14ac:dyDescent="0.25">
      <c r="R846" s="13">
        <v>773</v>
      </c>
      <c r="S846" s="13">
        <v>1452374118.6175671</v>
      </c>
    </row>
    <row r="847" spans="18:19" x14ac:dyDescent="0.25">
      <c r="R847" s="13">
        <v>774</v>
      </c>
      <c r="S847" s="13">
        <v>0</v>
      </c>
    </row>
    <row r="848" spans="18:19" x14ac:dyDescent="0.25">
      <c r="R848" s="13">
        <v>775</v>
      </c>
      <c r="S848" s="13">
        <v>0</v>
      </c>
    </row>
    <row r="849" spans="18:19" x14ac:dyDescent="0.25">
      <c r="R849" s="13">
        <v>776</v>
      </c>
      <c r="S849" s="13">
        <v>0</v>
      </c>
    </row>
    <row r="850" spans="18:19" x14ac:dyDescent="0.25">
      <c r="R850" s="13">
        <v>777</v>
      </c>
      <c r="S850" s="13">
        <v>0</v>
      </c>
    </row>
    <row r="851" spans="18:19" x14ac:dyDescent="0.25">
      <c r="R851" s="13">
        <v>778</v>
      </c>
      <c r="S851" s="13">
        <v>0</v>
      </c>
    </row>
    <row r="852" spans="18:19" x14ac:dyDescent="0.25">
      <c r="R852" s="13">
        <v>779</v>
      </c>
      <c r="S852" s="13">
        <v>0</v>
      </c>
    </row>
    <row r="853" spans="18:19" x14ac:dyDescent="0.25">
      <c r="R853" s="13">
        <v>780</v>
      </c>
      <c r="S853" s="13">
        <v>0</v>
      </c>
    </row>
    <row r="854" spans="18:19" x14ac:dyDescent="0.25">
      <c r="R854" s="13">
        <v>781</v>
      </c>
      <c r="S854" s="13">
        <v>0</v>
      </c>
    </row>
    <row r="855" spans="18:19" x14ac:dyDescent="0.25">
      <c r="R855" s="13">
        <v>782</v>
      </c>
      <c r="S855" s="13">
        <v>0</v>
      </c>
    </row>
    <row r="856" spans="18:19" x14ac:dyDescent="0.25">
      <c r="R856" s="13">
        <v>783</v>
      </c>
      <c r="S856" s="13">
        <v>161203161.60839272</v>
      </c>
    </row>
    <row r="857" spans="18:19" x14ac:dyDescent="0.25">
      <c r="R857" s="13">
        <v>784</v>
      </c>
      <c r="S857" s="13">
        <v>0</v>
      </c>
    </row>
    <row r="858" spans="18:19" x14ac:dyDescent="0.25">
      <c r="R858" s="13">
        <v>785</v>
      </c>
      <c r="S858" s="13">
        <v>0</v>
      </c>
    </row>
    <row r="859" spans="18:19" x14ac:dyDescent="0.25">
      <c r="R859" s="13">
        <v>786</v>
      </c>
      <c r="S859" s="13">
        <v>0</v>
      </c>
    </row>
    <row r="860" spans="18:19" x14ac:dyDescent="0.25">
      <c r="R860" s="13">
        <v>787</v>
      </c>
      <c r="S860" s="13">
        <v>640574357.50538826</v>
      </c>
    </row>
    <row r="861" spans="18:19" x14ac:dyDescent="0.25">
      <c r="R861" s="13">
        <v>788</v>
      </c>
      <c r="S861" s="13">
        <v>175688059.80027199</v>
      </c>
    </row>
    <row r="862" spans="18:19" x14ac:dyDescent="0.25">
      <c r="R862" s="13">
        <v>789</v>
      </c>
      <c r="S862" s="13">
        <v>0</v>
      </c>
    </row>
    <row r="863" spans="18:19" x14ac:dyDescent="0.25">
      <c r="R863" s="13">
        <v>790</v>
      </c>
      <c r="S863" s="13">
        <v>0</v>
      </c>
    </row>
    <row r="864" spans="18:19" x14ac:dyDescent="0.25">
      <c r="R864" s="13">
        <v>791</v>
      </c>
      <c r="S864" s="13">
        <v>564123646.39401054</v>
      </c>
    </row>
    <row r="865" spans="18:19" x14ac:dyDescent="0.25">
      <c r="R865" s="13">
        <v>792</v>
      </c>
      <c r="S865" s="13">
        <v>0</v>
      </c>
    </row>
    <row r="866" spans="18:19" x14ac:dyDescent="0.25">
      <c r="R866" s="13">
        <v>793</v>
      </c>
      <c r="S866" s="13">
        <v>0</v>
      </c>
    </row>
    <row r="867" spans="18:19" x14ac:dyDescent="0.25">
      <c r="R867" s="13">
        <v>794</v>
      </c>
      <c r="S867" s="13">
        <v>0</v>
      </c>
    </row>
    <row r="868" spans="18:19" x14ac:dyDescent="0.25">
      <c r="R868" s="13">
        <v>795</v>
      </c>
      <c r="S868" s="13">
        <v>0</v>
      </c>
    </row>
    <row r="869" spans="18:19" x14ac:dyDescent="0.25">
      <c r="R869" s="13">
        <v>796</v>
      </c>
      <c r="S869" s="13">
        <v>0</v>
      </c>
    </row>
    <row r="870" spans="18:19" x14ac:dyDescent="0.25">
      <c r="R870" s="13">
        <v>797</v>
      </c>
      <c r="S870" s="13">
        <v>0</v>
      </c>
    </row>
    <row r="871" spans="18:19" x14ac:dyDescent="0.25">
      <c r="R871" s="13">
        <v>798</v>
      </c>
      <c r="S871" s="13">
        <v>0</v>
      </c>
    </row>
    <row r="872" spans="18:19" x14ac:dyDescent="0.25">
      <c r="R872" s="13">
        <v>799</v>
      </c>
      <c r="S872" s="13">
        <v>0</v>
      </c>
    </row>
    <row r="873" spans="18:19" x14ac:dyDescent="0.25">
      <c r="R873" s="13">
        <v>800</v>
      </c>
      <c r="S873" s="13">
        <v>0</v>
      </c>
    </row>
    <row r="874" spans="18:19" x14ac:dyDescent="0.25">
      <c r="R874" s="13">
        <v>801</v>
      </c>
      <c r="S874" s="13">
        <v>0</v>
      </c>
    </row>
    <row r="875" spans="18:19" x14ac:dyDescent="0.25">
      <c r="R875" s="13">
        <v>802</v>
      </c>
      <c r="S875" s="13">
        <v>0</v>
      </c>
    </row>
    <row r="876" spans="18:19" x14ac:dyDescent="0.25">
      <c r="R876" s="13">
        <v>803</v>
      </c>
      <c r="S876" s="13">
        <v>0</v>
      </c>
    </row>
    <row r="877" spans="18:19" x14ac:dyDescent="0.25">
      <c r="R877" s="13">
        <v>804</v>
      </c>
      <c r="S877" s="13">
        <v>0</v>
      </c>
    </row>
    <row r="878" spans="18:19" x14ac:dyDescent="0.25">
      <c r="R878" s="13">
        <v>805</v>
      </c>
      <c r="S878" s="13">
        <v>0</v>
      </c>
    </row>
    <row r="879" spans="18:19" x14ac:dyDescent="0.25">
      <c r="R879" s="13">
        <v>806</v>
      </c>
      <c r="S879" s="13">
        <v>0</v>
      </c>
    </row>
    <row r="880" spans="18:19" x14ac:dyDescent="0.25">
      <c r="R880" s="13">
        <v>807</v>
      </c>
      <c r="S880" s="13">
        <v>138888033.57090378</v>
      </c>
    </row>
    <row r="881" spans="18:19" x14ac:dyDescent="0.25">
      <c r="R881" s="13">
        <v>808</v>
      </c>
      <c r="S881" s="13">
        <v>41130289.287149429</v>
      </c>
    </row>
    <row r="882" spans="18:19" x14ac:dyDescent="0.25">
      <c r="R882" s="13">
        <v>809</v>
      </c>
      <c r="S882" s="13">
        <v>0</v>
      </c>
    </row>
    <row r="883" spans="18:19" x14ac:dyDescent="0.25">
      <c r="R883" s="13">
        <v>810</v>
      </c>
      <c r="S883" s="13">
        <v>314766250.71118736</v>
      </c>
    </row>
    <row r="884" spans="18:19" x14ac:dyDescent="0.25">
      <c r="R884" s="13">
        <v>811</v>
      </c>
      <c r="S884" s="13">
        <v>129008187.64414024</v>
      </c>
    </row>
    <row r="885" spans="18:19" x14ac:dyDescent="0.25">
      <c r="R885" s="13">
        <v>812</v>
      </c>
      <c r="S885" s="13">
        <v>0</v>
      </c>
    </row>
    <row r="886" spans="18:19" x14ac:dyDescent="0.25">
      <c r="R886" s="13">
        <v>813</v>
      </c>
      <c r="S886" s="13">
        <v>0</v>
      </c>
    </row>
    <row r="887" spans="18:19" x14ac:dyDescent="0.25">
      <c r="R887" s="13">
        <v>814</v>
      </c>
      <c r="S887" s="13">
        <v>0</v>
      </c>
    </row>
    <row r="888" spans="18:19" x14ac:dyDescent="0.25">
      <c r="R888" s="13">
        <v>815</v>
      </c>
      <c r="S888" s="13">
        <v>0</v>
      </c>
    </row>
    <row r="889" spans="18:19" x14ac:dyDescent="0.25">
      <c r="R889" s="13">
        <v>816</v>
      </c>
      <c r="S889" s="13">
        <v>0</v>
      </c>
    </row>
    <row r="890" spans="18:19" x14ac:dyDescent="0.25">
      <c r="R890" s="13">
        <v>817</v>
      </c>
      <c r="S890" s="13">
        <v>22006214.473953247</v>
      </c>
    </row>
    <row r="891" spans="18:19" x14ac:dyDescent="0.25">
      <c r="R891" s="13">
        <v>818</v>
      </c>
      <c r="S891" s="13">
        <v>756697963.5852356</v>
      </c>
    </row>
    <row r="892" spans="18:19" x14ac:dyDescent="0.25">
      <c r="R892" s="13">
        <v>819</v>
      </c>
      <c r="S892" s="13">
        <v>0</v>
      </c>
    </row>
    <row r="893" spans="18:19" x14ac:dyDescent="0.25">
      <c r="R893" s="13">
        <v>820</v>
      </c>
      <c r="S893" s="13">
        <v>0</v>
      </c>
    </row>
    <row r="894" spans="18:19" x14ac:dyDescent="0.25">
      <c r="R894" s="13">
        <v>821</v>
      </c>
      <c r="S894" s="13">
        <v>0</v>
      </c>
    </row>
    <row r="895" spans="18:19" x14ac:dyDescent="0.25">
      <c r="R895" s="13">
        <v>822</v>
      </c>
      <c r="S895" s="13">
        <v>0</v>
      </c>
    </row>
    <row r="896" spans="18:19" x14ac:dyDescent="0.25">
      <c r="R896" s="13">
        <v>823</v>
      </c>
      <c r="S896" s="13">
        <v>638395436.31083679</v>
      </c>
    </row>
    <row r="897" spans="18:19" x14ac:dyDescent="0.25">
      <c r="R897" s="13">
        <v>824</v>
      </c>
      <c r="S897" s="13">
        <v>345486107.10801125</v>
      </c>
    </row>
    <row r="898" spans="18:19" x14ac:dyDescent="0.25">
      <c r="R898" s="13">
        <v>825</v>
      </c>
      <c r="S898" s="13">
        <v>0</v>
      </c>
    </row>
    <row r="899" spans="18:19" x14ac:dyDescent="0.25">
      <c r="R899" s="13">
        <v>826</v>
      </c>
      <c r="S899" s="13">
        <v>0</v>
      </c>
    </row>
    <row r="900" spans="18:19" x14ac:dyDescent="0.25">
      <c r="R900" s="13">
        <v>827</v>
      </c>
      <c r="S900" s="13">
        <v>0</v>
      </c>
    </row>
    <row r="901" spans="18:19" x14ac:dyDescent="0.25">
      <c r="R901" s="13">
        <v>828</v>
      </c>
      <c r="S901" s="13">
        <v>0</v>
      </c>
    </row>
    <row r="902" spans="18:19" x14ac:dyDescent="0.25">
      <c r="R902" s="13">
        <v>829</v>
      </c>
      <c r="S902" s="13">
        <v>757222594.13710976</v>
      </c>
    </row>
    <row r="903" spans="18:19" x14ac:dyDescent="0.25">
      <c r="R903" s="13">
        <v>830</v>
      </c>
      <c r="S903" s="13">
        <v>0</v>
      </c>
    </row>
    <row r="904" spans="18:19" x14ac:dyDescent="0.25">
      <c r="R904" s="13">
        <v>831</v>
      </c>
      <c r="S904" s="13">
        <v>0</v>
      </c>
    </row>
    <row r="905" spans="18:19" x14ac:dyDescent="0.25">
      <c r="R905" s="13">
        <v>832</v>
      </c>
      <c r="S905" s="13">
        <v>0</v>
      </c>
    </row>
    <row r="906" spans="18:19" x14ac:dyDescent="0.25">
      <c r="R906" s="13">
        <v>833</v>
      </c>
      <c r="S906" s="13">
        <v>939675077.14525223</v>
      </c>
    </row>
    <row r="907" spans="18:19" x14ac:dyDescent="0.25">
      <c r="R907" s="13">
        <v>834</v>
      </c>
      <c r="S907" s="13">
        <v>0</v>
      </c>
    </row>
    <row r="908" spans="18:19" x14ac:dyDescent="0.25">
      <c r="R908" s="13">
        <v>835</v>
      </c>
      <c r="S908" s="13">
        <v>0</v>
      </c>
    </row>
    <row r="909" spans="18:19" x14ac:dyDescent="0.25">
      <c r="R909" s="13">
        <v>836</v>
      </c>
      <c r="S909" s="13">
        <v>0</v>
      </c>
    </row>
    <row r="910" spans="18:19" x14ac:dyDescent="0.25">
      <c r="R910" s="13">
        <v>837</v>
      </c>
      <c r="S910" s="13">
        <v>0</v>
      </c>
    </row>
    <row r="911" spans="18:19" x14ac:dyDescent="0.25">
      <c r="R911" s="13">
        <v>838</v>
      </c>
      <c r="S911" s="13">
        <v>237138251.22240448</v>
      </c>
    </row>
    <row r="912" spans="18:19" x14ac:dyDescent="0.25">
      <c r="R912" s="13">
        <v>839</v>
      </c>
      <c r="S912" s="13">
        <v>0</v>
      </c>
    </row>
    <row r="913" spans="18:19" x14ac:dyDescent="0.25">
      <c r="R913" s="13">
        <v>840</v>
      </c>
      <c r="S913" s="13">
        <v>0</v>
      </c>
    </row>
    <row r="914" spans="18:19" x14ac:dyDescent="0.25">
      <c r="R914" s="13">
        <v>841</v>
      </c>
      <c r="S914" s="13">
        <v>0</v>
      </c>
    </row>
    <row r="915" spans="18:19" x14ac:dyDescent="0.25">
      <c r="R915" s="13">
        <v>842</v>
      </c>
      <c r="S915" s="13">
        <v>635702141.18234634</v>
      </c>
    </row>
    <row r="916" spans="18:19" x14ac:dyDescent="0.25">
      <c r="R916" s="13">
        <v>843</v>
      </c>
      <c r="S916" s="13">
        <v>0</v>
      </c>
    </row>
    <row r="917" spans="18:19" x14ac:dyDescent="0.25">
      <c r="R917" s="13">
        <v>844</v>
      </c>
      <c r="S917" s="13">
        <v>0</v>
      </c>
    </row>
    <row r="918" spans="18:19" x14ac:dyDescent="0.25">
      <c r="R918" s="13">
        <v>845</v>
      </c>
      <c r="S918" s="13">
        <v>0</v>
      </c>
    </row>
    <row r="919" spans="18:19" x14ac:dyDescent="0.25">
      <c r="R919" s="13">
        <v>846</v>
      </c>
      <c r="S919" s="13">
        <v>0</v>
      </c>
    </row>
    <row r="920" spans="18:19" x14ac:dyDescent="0.25">
      <c r="R920" s="13">
        <v>847</v>
      </c>
      <c r="S920" s="13">
        <v>0</v>
      </c>
    </row>
    <row r="921" spans="18:19" x14ac:dyDescent="0.25">
      <c r="R921" s="13">
        <v>848</v>
      </c>
      <c r="S921" s="13">
        <v>0</v>
      </c>
    </row>
    <row r="922" spans="18:19" x14ac:dyDescent="0.25">
      <c r="R922" s="13">
        <v>849</v>
      </c>
      <c r="S922" s="13">
        <v>0</v>
      </c>
    </row>
    <row r="923" spans="18:19" x14ac:dyDescent="0.25">
      <c r="R923" s="13">
        <v>850</v>
      </c>
      <c r="S923" s="13">
        <v>0</v>
      </c>
    </row>
    <row r="924" spans="18:19" x14ac:dyDescent="0.25">
      <c r="R924" s="13">
        <v>851</v>
      </c>
      <c r="S924" s="13">
        <v>192865373.62400818</v>
      </c>
    </row>
    <row r="925" spans="18:19" x14ac:dyDescent="0.25">
      <c r="R925" s="13">
        <v>852</v>
      </c>
      <c r="S925" s="13">
        <v>223150220.82518578</v>
      </c>
    </row>
    <row r="926" spans="18:19" x14ac:dyDescent="0.25">
      <c r="R926" s="13">
        <v>853</v>
      </c>
      <c r="S926" s="13">
        <v>0</v>
      </c>
    </row>
    <row r="927" spans="18:19" x14ac:dyDescent="0.25">
      <c r="R927" s="13">
        <v>854</v>
      </c>
      <c r="S927" s="13">
        <v>155460806.41318893</v>
      </c>
    </row>
    <row r="928" spans="18:19" x14ac:dyDescent="0.25">
      <c r="R928" s="13">
        <v>855</v>
      </c>
      <c r="S928" s="13">
        <v>0</v>
      </c>
    </row>
    <row r="929" spans="18:19" x14ac:dyDescent="0.25">
      <c r="R929" s="13">
        <v>856</v>
      </c>
      <c r="S929" s="13">
        <v>0</v>
      </c>
    </row>
    <row r="930" spans="18:19" x14ac:dyDescent="0.25">
      <c r="R930" s="13">
        <v>857</v>
      </c>
      <c r="S930" s="13">
        <v>0</v>
      </c>
    </row>
    <row r="931" spans="18:19" x14ac:dyDescent="0.25">
      <c r="R931" s="13">
        <v>858</v>
      </c>
      <c r="S931" s="13">
        <v>0</v>
      </c>
    </row>
    <row r="932" spans="18:19" x14ac:dyDescent="0.25">
      <c r="R932" s="13">
        <v>859</v>
      </c>
      <c r="S932" s="13">
        <v>0</v>
      </c>
    </row>
    <row r="933" spans="18:19" x14ac:dyDescent="0.25">
      <c r="R933" s="13">
        <v>860</v>
      </c>
      <c r="S933" s="13">
        <v>418925820.54966545</v>
      </c>
    </row>
    <row r="934" spans="18:19" x14ac:dyDescent="0.25">
      <c r="R934" s="13">
        <v>861</v>
      </c>
      <c r="S934" s="13">
        <v>0</v>
      </c>
    </row>
    <row r="935" spans="18:19" x14ac:dyDescent="0.25">
      <c r="R935" s="13">
        <v>862</v>
      </c>
      <c r="S935" s="13">
        <v>0</v>
      </c>
    </row>
    <row r="936" spans="18:19" x14ac:dyDescent="0.25">
      <c r="R936" s="13">
        <v>863</v>
      </c>
      <c r="S936" s="13">
        <v>279352283.53336906</v>
      </c>
    </row>
    <row r="937" spans="18:19" x14ac:dyDescent="0.25">
      <c r="R937" s="13">
        <v>864</v>
      </c>
      <c r="S937" s="13">
        <v>0</v>
      </c>
    </row>
    <row r="938" spans="18:19" x14ac:dyDescent="0.25">
      <c r="R938" s="13">
        <v>865</v>
      </c>
      <c r="S938" s="13">
        <v>430350485.10469055</v>
      </c>
    </row>
    <row r="939" spans="18:19" x14ac:dyDescent="0.25">
      <c r="R939" s="13">
        <v>866</v>
      </c>
      <c r="S939" s="13">
        <v>0</v>
      </c>
    </row>
    <row r="940" spans="18:19" x14ac:dyDescent="0.25">
      <c r="R940" s="13">
        <v>867</v>
      </c>
      <c r="S940" s="13">
        <v>0</v>
      </c>
    </row>
    <row r="941" spans="18:19" x14ac:dyDescent="0.25">
      <c r="R941" s="13">
        <v>868</v>
      </c>
      <c r="S941" s="13">
        <v>0</v>
      </c>
    </row>
    <row r="942" spans="18:19" x14ac:dyDescent="0.25">
      <c r="R942" s="13">
        <v>869</v>
      </c>
      <c r="S942" s="13">
        <v>0</v>
      </c>
    </row>
    <row r="943" spans="18:19" x14ac:dyDescent="0.25">
      <c r="R943" s="13">
        <v>870</v>
      </c>
      <c r="S943" s="13">
        <v>180862154.87125969</v>
      </c>
    </row>
    <row r="944" spans="18:19" x14ac:dyDescent="0.25">
      <c r="R944" s="13">
        <v>871</v>
      </c>
      <c r="S944" s="13">
        <v>0</v>
      </c>
    </row>
    <row r="945" spans="18:19" x14ac:dyDescent="0.25">
      <c r="R945" s="13">
        <v>872</v>
      </c>
      <c r="S945" s="13">
        <v>0</v>
      </c>
    </row>
    <row r="946" spans="18:19" x14ac:dyDescent="0.25">
      <c r="R946" s="13">
        <v>873</v>
      </c>
      <c r="S946" s="13">
        <v>219876491.00236511</v>
      </c>
    </row>
    <row r="947" spans="18:19" x14ac:dyDescent="0.25">
      <c r="R947" s="13">
        <v>874</v>
      </c>
      <c r="S947" s="13">
        <v>224879649.58325958</v>
      </c>
    </row>
    <row r="948" spans="18:19" x14ac:dyDescent="0.25">
      <c r="R948" s="13">
        <v>875</v>
      </c>
      <c r="S948" s="13">
        <v>0</v>
      </c>
    </row>
    <row r="949" spans="18:19" x14ac:dyDescent="0.25">
      <c r="R949" s="13">
        <v>876</v>
      </c>
      <c r="S949" s="13">
        <v>238306480.88773346</v>
      </c>
    </row>
    <row r="950" spans="18:19" x14ac:dyDescent="0.25">
      <c r="R950" s="13">
        <v>877</v>
      </c>
      <c r="S950" s="13">
        <v>0</v>
      </c>
    </row>
    <row r="951" spans="18:19" x14ac:dyDescent="0.25">
      <c r="R951" s="13">
        <v>878</v>
      </c>
      <c r="S951" s="13">
        <v>0</v>
      </c>
    </row>
    <row r="952" spans="18:19" x14ac:dyDescent="0.25">
      <c r="R952" s="13">
        <v>879</v>
      </c>
      <c r="S952" s="13">
        <v>0</v>
      </c>
    </row>
    <row r="953" spans="18:19" x14ac:dyDescent="0.25">
      <c r="R953" s="13">
        <v>880</v>
      </c>
      <c r="S953" s="13">
        <v>303083135.46043587</v>
      </c>
    </row>
    <row r="954" spans="18:19" x14ac:dyDescent="0.25">
      <c r="R954" s="13">
        <v>881</v>
      </c>
      <c r="S954" s="13">
        <v>18784590.354276657</v>
      </c>
    </row>
    <row r="955" spans="18:19" x14ac:dyDescent="0.25">
      <c r="R955" s="13">
        <v>882</v>
      </c>
      <c r="S955" s="13">
        <v>281873320.0430603</v>
      </c>
    </row>
    <row r="956" spans="18:19" x14ac:dyDescent="0.25">
      <c r="R956" s="13">
        <v>883</v>
      </c>
      <c r="S956" s="13">
        <v>0</v>
      </c>
    </row>
    <row r="957" spans="18:19" x14ac:dyDescent="0.25">
      <c r="R957" s="13">
        <v>884</v>
      </c>
      <c r="S957" s="13">
        <v>0</v>
      </c>
    </row>
    <row r="958" spans="18:19" x14ac:dyDescent="0.25">
      <c r="R958" s="13">
        <v>885</v>
      </c>
      <c r="S958" s="13">
        <v>0</v>
      </c>
    </row>
    <row r="959" spans="18:19" x14ac:dyDescent="0.25">
      <c r="R959" s="13">
        <v>886</v>
      </c>
      <c r="S959" s="13">
        <v>563269280.80147552</v>
      </c>
    </row>
    <row r="960" spans="18:19" x14ac:dyDescent="0.25">
      <c r="R960" s="13">
        <v>887</v>
      </c>
      <c r="S960" s="13">
        <v>0</v>
      </c>
    </row>
    <row r="961" spans="18:19" x14ac:dyDescent="0.25">
      <c r="R961" s="13">
        <v>888</v>
      </c>
      <c r="S961" s="13">
        <v>0</v>
      </c>
    </row>
    <row r="962" spans="18:19" x14ac:dyDescent="0.25">
      <c r="R962" s="13">
        <v>889</v>
      </c>
      <c r="S962" s="13">
        <v>118571352.54845428</v>
      </c>
    </row>
    <row r="963" spans="18:19" x14ac:dyDescent="0.25">
      <c r="R963" s="13">
        <v>890</v>
      </c>
      <c r="S963" s="13">
        <v>0</v>
      </c>
    </row>
    <row r="964" spans="18:19" x14ac:dyDescent="0.25">
      <c r="R964" s="13">
        <v>891</v>
      </c>
      <c r="S964" s="13">
        <v>0</v>
      </c>
    </row>
    <row r="965" spans="18:19" x14ac:dyDescent="0.25">
      <c r="R965" s="13">
        <v>892</v>
      </c>
      <c r="S965" s="13">
        <v>0</v>
      </c>
    </row>
    <row r="966" spans="18:19" x14ac:dyDescent="0.25">
      <c r="R966" s="13">
        <v>893</v>
      </c>
      <c r="S966" s="13">
        <v>40511188.51631546</v>
      </c>
    </row>
    <row r="967" spans="18:19" x14ac:dyDescent="0.25">
      <c r="R967" s="13">
        <v>894</v>
      </c>
      <c r="S967" s="13">
        <v>396788137.15211868</v>
      </c>
    </row>
    <row r="968" spans="18:19" x14ac:dyDescent="0.25">
      <c r="R968" s="13">
        <v>895</v>
      </c>
      <c r="S968" s="13">
        <v>0</v>
      </c>
    </row>
    <row r="969" spans="18:19" x14ac:dyDescent="0.25">
      <c r="R969" s="13">
        <v>896</v>
      </c>
      <c r="S969" s="13">
        <v>47154910.430086136</v>
      </c>
    </row>
    <row r="970" spans="18:19" x14ac:dyDescent="0.25">
      <c r="R970" s="13">
        <v>897</v>
      </c>
      <c r="S970" s="13">
        <v>0</v>
      </c>
    </row>
    <row r="971" spans="18:19" x14ac:dyDescent="0.25">
      <c r="R971" s="13">
        <v>898</v>
      </c>
      <c r="S971" s="13">
        <v>0</v>
      </c>
    </row>
    <row r="972" spans="18:19" x14ac:dyDescent="0.25">
      <c r="R972" s="13">
        <v>899</v>
      </c>
      <c r="S972" s="13">
        <v>104027673.34397316</v>
      </c>
    </row>
    <row r="973" spans="18:19" x14ac:dyDescent="0.25">
      <c r="R973" s="13">
        <v>900</v>
      </c>
      <c r="S973" s="13">
        <v>0</v>
      </c>
    </row>
    <row r="974" spans="18:19" x14ac:dyDescent="0.25">
      <c r="R974" s="13">
        <v>901</v>
      </c>
      <c r="S974" s="13">
        <v>526382348.44305801</v>
      </c>
    </row>
    <row r="975" spans="18:19" x14ac:dyDescent="0.25">
      <c r="R975" s="13">
        <v>902</v>
      </c>
      <c r="S975" s="13">
        <v>0</v>
      </c>
    </row>
    <row r="976" spans="18:19" x14ac:dyDescent="0.25">
      <c r="R976" s="13">
        <v>903</v>
      </c>
      <c r="S976" s="13">
        <v>0</v>
      </c>
    </row>
    <row r="977" spans="18:19" x14ac:dyDescent="0.25">
      <c r="R977" s="13">
        <v>904</v>
      </c>
      <c r="S977" s="13">
        <v>0</v>
      </c>
    </row>
    <row r="978" spans="18:19" x14ac:dyDescent="0.25">
      <c r="R978" s="13">
        <v>905</v>
      </c>
      <c r="S978" s="13">
        <v>305039228.59114456</v>
      </c>
    </row>
    <row r="979" spans="18:19" x14ac:dyDescent="0.25">
      <c r="R979" s="13">
        <v>906</v>
      </c>
      <c r="S979" s="13">
        <v>0</v>
      </c>
    </row>
    <row r="980" spans="18:19" x14ac:dyDescent="0.25">
      <c r="R980" s="13">
        <v>907</v>
      </c>
      <c r="S980" s="13">
        <v>0</v>
      </c>
    </row>
    <row r="981" spans="18:19" x14ac:dyDescent="0.25">
      <c r="R981" s="13">
        <v>908</v>
      </c>
      <c r="S981" s="13">
        <v>0</v>
      </c>
    </row>
    <row r="982" spans="18:19" x14ac:dyDescent="0.25">
      <c r="R982" s="13">
        <v>909</v>
      </c>
      <c r="S982" s="13">
        <v>0</v>
      </c>
    </row>
    <row r="983" spans="18:19" x14ac:dyDescent="0.25">
      <c r="R983" s="13">
        <v>910</v>
      </c>
      <c r="S983" s="13">
        <v>0</v>
      </c>
    </row>
    <row r="984" spans="18:19" x14ac:dyDescent="0.25">
      <c r="R984" s="13">
        <v>911</v>
      </c>
      <c r="S984" s="13">
        <v>0</v>
      </c>
    </row>
    <row r="985" spans="18:19" x14ac:dyDescent="0.25">
      <c r="R985" s="13">
        <v>912</v>
      </c>
      <c r="S985" s="13">
        <v>0</v>
      </c>
    </row>
    <row r="986" spans="18:19" x14ac:dyDescent="0.25">
      <c r="R986" s="13">
        <v>913</v>
      </c>
      <c r="S986" s="13">
        <v>0</v>
      </c>
    </row>
    <row r="987" spans="18:19" x14ac:dyDescent="0.25">
      <c r="R987" s="13">
        <v>914</v>
      </c>
      <c r="S987" s="13">
        <v>37322042.009670258</v>
      </c>
    </row>
    <row r="988" spans="18:19" x14ac:dyDescent="0.25">
      <c r="R988" s="13">
        <v>915</v>
      </c>
      <c r="S988" s="13">
        <v>791907700.23733139</v>
      </c>
    </row>
    <row r="989" spans="18:19" x14ac:dyDescent="0.25">
      <c r="R989" s="13">
        <v>916</v>
      </c>
      <c r="S989" s="13">
        <v>0</v>
      </c>
    </row>
    <row r="990" spans="18:19" x14ac:dyDescent="0.25">
      <c r="R990" s="13">
        <v>917</v>
      </c>
      <c r="S990" s="13">
        <v>0</v>
      </c>
    </row>
    <row r="991" spans="18:19" x14ac:dyDescent="0.25">
      <c r="R991" s="13">
        <v>918</v>
      </c>
      <c r="S991" s="13">
        <v>0</v>
      </c>
    </row>
    <row r="992" spans="18:19" x14ac:dyDescent="0.25">
      <c r="R992" s="13">
        <v>919</v>
      </c>
      <c r="S992" s="13">
        <v>175684413.80253983</v>
      </c>
    </row>
    <row r="993" spans="18:19" x14ac:dyDescent="0.25">
      <c r="R993" s="13">
        <v>920</v>
      </c>
      <c r="S993" s="13">
        <v>0</v>
      </c>
    </row>
    <row r="994" spans="18:19" x14ac:dyDescent="0.25">
      <c r="R994" s="13">
        <v>921</v>
      </c>
      <c r="S994" s="13">
        <v>0</v>
      </c>
    </row>
    <row r="995" spans="18:19" x14ac:dyDescent="0.25">
      <c r="R995" s="13">
        <v>922</v>
      </c>
      <c r="S995" s="13">
        <v>0</v>
      </c>
    </row>
    <row r="996" spans="18:19" x14ac:dyDescent="0.25">
      <c r="R996" s="13">
        <v>923</v>
      </c>
      <c r="S996" s="13">
        <v>0</v>
      </c>
    </row>
    <row r="997" spans="18:19" x14ac:dyDescent="0.25">
      <c r="R997" s="13">
        <v>924</v>
      </c>
      <c r="S997" s="13">
        <v>0</v>
      </c>
    </row>
    <row r="998" spans="18:19" x14ac:dyDescent="0.25">
      <c r="R998" s="13">
        <v>925</v>
      </c>
      <c r="S998" s="13">
        <v>0</v>
      </c>
    </row>
    <row r="999" spans="18:19" x14ac:dyDescent="0.25">
      <c r="R999" s="13">
        <v>926</v>
      </c>
      <c r="S999" s="13">
        <v>0</v>
      </c>
    </row>
    <row r="1000" spans="18:19" x14ac:dyDescent="0.25">
      <c r="R1000" s="13">
        <v>927</v>
      </c>
      <c r="S1000" s="13">
        <v>0</v>
      </c>
    </row>
    <row r="1001" spans="18:19" x14ac:dyDescent="0.25">
      <c r="R1001" s="13">
        <v>928</v>
      </c>
      <c r="S1001" s="13">
        <v>0</v>
      </c>
    </row>
    <row r="1002" spans="18:19" x14ac:dyDescent="0.25">
      <c r="R1002" s="13">
        <v>929</v>
      </c>
      <c r="S1002" s="13">
        <v>0</v>
      </c>
    </row>
    <row r="1003" spans="18:19" x14ac:dyDescent="0.25">
      <c r="R1003" s="13">
        <v>930</v>
      </c>
      <c r="S1003" s="13">
        <v>0</v>
      </c>
    </row>
    <row r="1004" spans="18:19" x14ac:dyDescent="0.25">
      <c r="R1004" s="13">
        <v>931</v>
      </c>
      <c r="S1004" s="13">
        <v>0</v>
      </c>
    </row>
    <row r="1005" spans="18:19" x14ac:dyDescent="0.25">
      <c r="R1005" s="13">
        <v>932</v>
      </c>
      <c r="S1005" s="13">
        <v>0</v>
      </c>
    </row>
    <row r="1006" spans="18:19" x14ac:dyDescent="0.25">
      <c r="R1006" s="13">
        <v>933</v>
      </c>
      <c r="S1006" s="13">
        <v>565732390.1076622</v>
      </c>
    </row>
    <row r="1007" spans="18:19" x14ac:dyDescent="0.25">
      <c r="R1007" s="13">
        <v>934</v>
      </c>
      <c r="S1007" s="13">
        <v>0</v>
      </c>
    </row>
    <row r="1008" spans="18:19" x14ac:dyDescent="0.25">
      <c r="R1008" s="13">
        <v>935</v>
      </c>
      <c r="S1008" s="13">
        <v>0</v>
      </c>
    </row>
    <row r="1009" spans="18:19" x14ac:dyDescent="0.25">
      <c r="R1009" s="13">
        <v>936</v>
      </c>
      <c r="S1009" s="13">
        <v>0</v>
      </c>
    </row>
    <row r="1010" spans="18:19" x14ac:dyDescent="0.25">
      <c r="R1010" s="13">
        <v>937</v>
      </c>
      <c r="S1010" s="13">
        <v>0</v>
      </c>
    </row>
    <row r="1011" spans="18:19" x14ac:dyDescent="0.25">
      <c r="R1011" s="13">
        <v>938</v>
      </c>
      <c r="S1011" s="13">
        <v>0</v>
      </c>
    </row>
    <row r="1012" spans="18:19" x14ac:dyDescent="0.25">
      <c r="R1012" s="13">
        <v>939</v>
      </c>
      <c r="S1012" s="13">
        <v>0</v>
      </c>
    </row>
    <row r="1013" spans="18:19" x14ac:dyDescent="0.25">
      <c r="R1013" s="13">
        <v>940</v>
      </c>
      <c r="S1013" s="13">
        <v>0</v>
      </c>
    </row>
    <row r="1014" spans="18:19" x14ac:dyDescent="0.25">
      <c r="R1014" s="13">
        <v>941</v>
      </c>
      <c r="S1014" s="13">
        <v>0</v>
      </c>
    </row>
    <row r="1015" spans="18:19" x14ac:dyDescent="0.25">
      <c r="R1015" s="13">
        <v>942</v>
      </c>
      <c r="S1015" s="13">
        <v>706770066.41417313</v>
      </c>
    </row>
    <row r="1016" spans="18:19" x14ac:dyDescent="0.25">
      <c r="R1016" s="13">
        <v>943</v>
      </c>
      <c r="S1016" s="13">
        <v>69368883.441690445</v>
      </c>
    </row>
    <row r="1017" spans="18:19" x14ac:dyDescent="0.25">
      <c r="R1017" s="13">
        <v>944</v>
      </c>
      <c r="S1017" s="13">
        <v>1804840.9063472748</v>
      </c>
    </row>
    <row r="1018" spans="18:19" x14ac:dyDescent="0.25">
      <c r="R1018" s="13">
        <v>945</v>
      </c>
      <c r="S1018" s="13">
        <v>0</v>
      </c>
    </row>
    <row r="1019" spans="18:19" x14ac:dyDescent="0.25">
      <c r="R1019" s="13">
        <v>946</v>
      </c>
      <c r="S1019" s="13">
        <v>0</v>
      </c>
    </row>
    <row r="1020" spans="18:19" x14ac:dyDescent="0.25">
      <c r="R1020" s="13">
        <v>947</v>
      </c>
      <c r="S1020" s="13">
        <v>0</v>
      </c>
    </row>
    <row r="1021" spans="18:19" x14ac:dyDescent="0.25">
      <c r="R1021" s="13">
        <v>948</v>
      </c>
      <c r="S1021" s="13">
        <v>2878326.9174060822</v>
      </c>
    </row>
    <row r="1022" spans="18:19" x14ac:dyDescent="0.25">
      <c r="R1022" s="13">
        <v>949</v>
      </c>
      <c r="S1022" s="13">
        <v>0</v>
      </c>
    </row>
    <row r="1023" spans="18:19" x14ac:dyDescent="0.25">
      <c r="R1023" s="13">
        <v>950</v>
      </c>
      <c r="S1023" s="13">
        <v>0</v>
      </c>
    </row>
    <row r="1024" spans="18:19" x14ac:dyDescent="0.25">
      <c r="R1024" s="13">
        <v>951</v>
      </c>
      <c r="S1024" s="13">
        <v>0</v>
      </c>
    </row>
    <row r="1025" spans="18:19" x14ac:dyDescent="0.25">
      <c r="R1025" s="13">
        <v>952</v>
      </c>
      <c r="S1025" s="13">
        <v>0</v>
      </c>
    </row>
    <row r="1026" spans="18:19" x14ac:dyDescent="0.25">
      <c r="R1026" s="13">
        <v>953</v>
      </c>
      <c r="S1026" s="13">
        <v>0</v>
      </c>
    </row>
    <row r="1027" spans="18:19" x14ac:dyDescent="0.25">
      <c r="R1027" s="13">
        <v>954</v>
      </c>
      <c r="S1027" s="13">
        <v>0</v>
      </c>
    </row>
    <row r="1028" spans="18:19" x14ac:dyDescent="0.25">
      <c r="R1028" s="13">
        <v>955</v>
      </c>
      <c r="S1028" s="13">
        <v>0</v>
      </c>
    </row>
    <row r="1029" spans="18:19" x14ac:dyDescent="0.25">
      <c r="R1029" s="13">
        <v>956</v>
      </c>
      <c r="S1029" s="13">
        <v>0</v>
      </c>
    </row>
    <row r="1030" spans="18:19" x14ac:dyDescent="0.25">
      <c r="R1030" s="13">
        <v>957</v>
      </c>
      <c r="S1030" s="13">
        <v>0</v>
      </c>
    </row>
    <row r="1031" spans="18:19" x14ac:dyDescent="0.25">
      <c r="R1031" s="13">
        <v>958</v>
      </c>
      <c r="S1031" s="13">
        <v>0</v>
      </c>
    </row>
    <row r="1032" spans="18:19" x14ac:dyDescent="0.25">
      <c r="R1032" s="13">
        <v>959</v>
      </c>
      <c r="S1032" s="13">
        <v>0</v>
      </c>
    </row>
    <row r="1033" spans="18:19" x14ac:dyDescent="0.25">
      <c r="R1033" s="13">
        <v>960</v>
      </c>
      <c r="S1033" s="13">
        <v>0</v>
      </c>
    </row>
    <row r="1034" spans="18:19" x14ac:dyDescent="0.25">
      <c r="R1034" s="13">
        <v>961</v>
      </c>
      <c r="S1034" s="13">
        <v>0</v>
      </c>
    </row>
    <row r="1035" spans="18:19" x14ac:dyDescent="0.25">
      <c r="R1035" s="13">
        <v>962</v>
      </c>
      <c r="S1035" s="13">
        <v>0</v>
      </c>
    </row>
    <row r="1036" spans="18:19" x14ac:dyDescent="0.25">
      <c r="R1036" s="13">
        <v>963</v>
      </c>
      <c r="S1036" s="13">
        <v>0</v>
      </c>
    </row>
    <row r="1037" spans="18:19" x14ac:dyDescent="0.25">
      <c r="R1037" s="13">
        <v>964</v>
      </c>
      <c r="S1037" s="13">
        <v>9978840.2623405457</v>
      </c>
    </row>
    <row r="1038" spans="18:19" x14ac:dyDescent="0.25">
      <c r="R1038" s="13">
        <v>965</v>
      </c>
      <c r="S1038" s="13">
        <v>0</v>
      </c>
    </row>
    <row r="1039" spans="18:19" x14ac:dyDescent="0.25">
      <c r="R1039" s="13">
        <v>966</v>
      </c>
      <c r="S1039" s="13">
        <v>304189158.17241859</v>
      </c>
    </row>
    <row r="1040" spans="18:19" x14ac:dyDescent="0.25">
      <c r="R1040" s="13">
        <v>967</v>
      </c>
      <c r="S1040" s="13">
        <v>0</v>
      </c>
    </row>
    <row r="1041" spans="18:19" x14ac:dyDescent="0.25">
      <c r="R1041" s="13">
        <v>968</v>
      </c>
      <c r="S1041" s="13">
        <v>0</v>
      </c>
    </row>
    <row r="1042" spans="18:19" x14ac:dyDescent="0.25">
      <c r="R1042" s="13">
        <v>969</v>
      </c>
      <c r="S1042" s="13">
        <v>0</v>
      </c>
    </row>
    <row r="1043" spans="18:19" x14ac:dyDescent="0.25">
      <c r="R1043" s="13">
        <v>970</v>
      </c>
      <c r="S1043" s="13">
        <v>573370334.03455353</v>
      </c>
    </row>
    <row r="1044" spans="18:19" x14ac:dyDescent="0.25">
      <c r="R1044" s="13">
        <v>971</v>
      </c>
      <c r="S1044" s="13">
        <v>0</v>
      </c>
    </row>
    <row r="1045" spans="18:19" x14ac:dyDescent="0.25">
      <c r="R1045" s="13">
        <v>972</v>
      </c>
      <c r="S1045" s="13">
        <v>0</v>
      </c>
    </row>
    <row r="1046" spans="18:19" x14ac:dyDescent="0.25">
      <c r="R1046" s="13">
        <v>973</v>
      </c>
      <c r="S1046" s="13">
        <v>151046609.00990295</v>
      </c>
    </row>
    <row r="1047" spans="18:19" x14ac:dyDescent="0.25">
      <c r="R1047" s="13">
        <v>974</v>
      </c>
      <c r="S1047" s="13">
        <v>0</v>
      </c>
    </row>
    <row r="1048" spans="18:19" x14ac:dyDescent="0.25">
      <c r="R1048" s="13">
        <v>975</v>
      </c>
      <c r="S1048" s="13">
        <v>0</v>
      </c>
    </row>
    <row r="1049" spans="18:19" x14ac:dyDescent="0.25">
      <c r="R1049" s="13">
        <v>976</v>
      </c>
      <c r="S1049" s="13">
        <v>0</v>
      </c>
    </row>
    <row r="1050" spans="18:19" x14ac:dyDescent="0.25">
      <c r="R1050" s="13">
        <v>977</v>
      </c>
      <c r="S1050" s="13">
        <v>0</v>
      </c>
    </row>
    <row r="1051" spans="18:19" x14ac:dyDescent="0.25">
      <c r="R1051" s="13">
        <v>978</v>
      </c>
      <c r="S1051" s="13">
        <v>0</v>
      </c>
    </row>
    <row r="1052" spans="18:19" x14ac:dyDescent="0.25">
      <c r="R1052" s="13">
        <v>979</v>
      </c>
      <c r="S1052" s="13">
        <v>0</v>
      </c>
    </row>
    <row r="1053" spans="18:19" x14ac:dyDescent="0.25">
      <c r="R1053" s="13">
        <v>980</v>
      </c>
      <c r="S1053" s="13">
        <v>0</v>
      </c>
    </row>
    <row r="1054" spans="18:19" x14ac:dyDescent="0.25">
      <c r="R1054" s="13">
        <v>981</v>
      </c>
      <c r="S1054" s="13">
        <v>0</v>
      </c>
    </row>
    <row r="1055" spans="18:19" x14ac:dyDescent="0.25">
      <c r="R1055" s="13">
        <v>982</v>
      </c>
      <c r="S1055" s="13">
        <v>0</v>
      </c>
    </row>
    <row r="1056" spans="18:19" x14ac:dyDescent="0.25">
      <c r="R1056" s="13">
        <v>983</v>
      </c>
      <c r="S1056" s="13">
        <v>0</v>
      </c>
    </row>
    <row r="1057" spans="18:19" x14ac:dyDescent="0.25">
      <c r="R1057" s="13">
        <v>984</v>
      </c>
      <c r="S1057" s="13">
        <v>530014530.04328537</v>
      </c>
    </row>
    <row r="1058" spans="18:19" x14ac:dyDescent="0.25">
      <c r="R1058" s="13">
        <v>985</v>
      </c>
      <c r="S1058" s="13">
        <v>0</v>
      </c>
    </row>
    <row r="1059" spans="18:19" x14ac:dyDescent="0.25">
      <c r="R1059" s="13">
        <v>986</v>
      </c>
      <c r="S1059" s="13">
        <v>0</v>
      </c>
    </row>
    <row r="1060" spans="18:19" x14ac:dyDescent="0.25">
      <c r="R1060" s="13">
        <v>987</v>
      </c>
      <c r="S1060" s="13">
        <v>0</v>
      </c>
    </row>
    <row r="1061" spans="18:19" x14ac:dyDescent="0.25">
      <c r="R1061" s="13">
        <v>988</v>
      </c>
      <c r="S1061" s="13">
        <v>0</v>
      </c>
    </row>
    <row r="1062" spans="18:19" x14ac:dyDescent="0.25">
      <c r="R1062" s="13">
        <v>989</v>
      </c>
      <c r="S1062" s="13">
        <v>0</v>
      </c>
    </row>
    <row r="1063" spans="18:19" x14ac:dyDescent="0.25">
      <c r="R1063" s="13">
        <v>990</v>
      </c>
      <c r="S1063" s="13">
        <v>425566302.01528931</v>
      </c>
    </row>
    <row r="1064" spans="18:19" x14ac:dyDescent="0.25">
      <c r="R1064" s="13">
        <v>991</v>
      </c>
      <c r="S1064" s="13">
        <v>19594241.114135742</v>
      </c>
    </row>
    <row r="1065" spans="18:19" x14ac:dyDescent="0.25">
      <c r="R1065" s="13">
        <v>992</v>
      </c>
      <c r="S1065" s="13">
        <v>706187004.26062965</v>
      </c>
    </row>
    <row r="1066" spans="18:19" x14ac:dyDescent="0.25">
      <c r="R1066" s="13">
        <v>993</v>
      </c>
      <c r="S1066" s="13">
        <v>0</v>
      </c>
    </row>
    <row r="1067" spans="18:19" x14ac:dyDescent="0.25">
      <c r="R1067" s="13">
        <v>994</v>
      </c>
      <c r="S1067" s="13">
        <v>0</v>
      </c>
    </row>
    <row r="1068" spans="18:19" x14ac:dyDescent="0.25">
      <c r="R1068" s="13">
        <v>995</v>
      </c>
      <c r="S1068" s="13">
        <v>0</v>
      </c>
    </row>
    <row r="1069" spans="18:19" x14ac:dyDescent="0.25">
      <c r="R1069" s="13">
        <v>996</v>
      </c>
      <c r="S1069" s="13">
        <v>0</v>
      </c>
    </row>
    <row r="1070" spans="18:19" x14ac:dyDescent="0.25">
      <c r="R1070" s="13">
        <v>997</v>
      </c>
      <c r="S1070" s="13">
        <v>0</v>
      </c>
    </row>
    <row r="1071" spans="18:19" x14ac:dyDescent="0.25">
      <c r="R1071" s="13">
        <v>998</v>
      </c>
      <c r="S1071" s="13">
        <v>0</v>
      </c>
    </row>
    <row r="1072" spans="18:19" x14ac:dyDescent="0.25">
      <c r="R1072" s="13">
        <v>999</v>
      </c>
      <c r="S1072" s="13">
        <v>0</v>
      </c>
    </row>
    <row r="1073" spans="18:19" x14ac:dyDescent="0.25">
      <c r="R1073" s="13">
        <v>1000</v>
      </c>
      <c r="S1073" s="13">
        <v>0</v>
      </c>
    </row>
    <row r="1074" spans="18:19" x14ac:dyDescent="0.25">
      <c r="R1074" s="13">
        <v>1001</v>
      </c>
      <c r="S1074" s="13">
        <v>0</v>
      </c>
    </row>
    <row r="1075" spans="18:19" x14ac:dyDescent="0.25">
      <c r="R1075" s="13">
        <v>1002</v>
      </c>
      <c r="S1075" s="13">
        <v>0</v>
      </c>
    </row>
    <row r="1076" spans="18:19" x14ac:dyDescent="0.25">
      <c r="R1076" s="13">
        <v>1003</v>
      </c>
      <c r="S1076" s="13">
        <v>237342608.23960495</v>
      </c>
    </row>
    <row r="1077" spans="18:19" x14ac:dyDescent="0.25">
      <c r="R1077" s="13">
        <v>1004</v>
      </c>
      <c r="S1077" s="13">
        <v>0</v>
      </c>
    </row>
    <row r="1078" spans="18:19" x14ac:dyDescent="0.25">
      <c r="R1078" s="13">
        <v>1005</v>
      </c>
      <c r="S1078" s="13">
        <v>0</v>
      </c>
    </row>
    <row r="1079" spans="18:19" x14ac:dyDescent="0.25">
      <c r="R1079" s="13">
        <v>1006</v>
      </c>
      <c r="S1079" s="13">
        <v>0</v>
      </c>
    </row>
    <row r="1080" spans="18:19" x14ac:dyDescent="0.25">
      <c r="R1080" s="13">
        <v>1007</v>
      </c>
      <c r="S1080" s="13">
        <v>0</v>
      </c>
    </row>
    <row r="1081" spans="18:19" x14ac:dyDescent="0.25">
      <c r="R1081" s="13">
        <v>1008</v>
      </c>
      <c r="S1081" s="13">
        <v>0</v>
      </c>
    </row>
    <row r="1082" spans="18:19" x14ac:dyDescent="0.25">
      <c r="R1082" s="13">
        <v>1009</v>
      </c>
      <c r="S1082" s="13">
        <v>0</v>
      </c>
    </row>
    <row r="1083" spans="18:19" x14ac:dyDescent="0.25">
      <c r="R1083" s="13">
        <v>1010</v>
      </c>
      <c r="S1083" s="13">
        <v>0</v>
      </c>
    </row>
    <row r="1084" spans="18:19" x14ac:dyDescent="0.25">
      <c r="R1084" s="13">
        <v>1011</v>
      </c>
      <c r="S1084" s="13">
        <v>0</v>
      </c>
    </row>
    <row r="1085" spans="18:19" x14ac:dyDescent="0.25">
      <c r="R1085" s="13">
        <v>1012</v>
      </c>
      <c r="S1085" s="13">
        <v>0</v>
      </c>
    </row>
    <row r="1086" spans="18:19" x14ac:dyDescent="0.25">
      <c r="R1086" s="13">
        <v>1013</v>
      </c>
      <c r="S1086" s="13">
        <v>0</v>
      </c>
    </row>
    <row r="1087" spans="18:19" x14ac:dyDescent="0.25">
      <c r="R1087" s="13">
        <v>1014</v>
      </c>
      <c r="S1087" s="13">
        <v>771718329.08102798</v>
      </c>
    </row>
    <row r="1088" spans="18:19" x14ac:dyDescent="0.25">
      <c r="R1088" s="13">
        <v>1015</v>
      </c>
      <c r="S1088" s="13">
        <v>0</v>
      </c>
    </row>
    <row r="1089" spans="18:19" x14ac:dyDescent="0.25">
      <c r="R1089" s="13">
        <v>1016</v>
      </c>
      <c r="S1089" s="13">
        <v>0</v>
      </c>
    </row>
    <row r="1090" spans="18:19" x14ac:dyDescent="0.25">
      <c r="R1090" s="13">
        <v>1017</v>
      </c>
      <c r="S1090" s="13">
        <v>0</v>
      </c>
    </row>
    <row r="1091" spans="18:19" x14ac:dyDescent="0.25">
      <c r="R1091" s="13">
        <v>1018</v>
      </c>
      <c r="S1091" s="13">
        <v>367498339.78242302</v>
      </c>
    </row>
    <row r="1092" spans="18:19" x14ac:dyDescent="0.25">
      <c r="R1092" s="13">
        <v>1019</v>
      </c>
      <c r="S1092" s="13">
        <v>0</v>
      </c>
    </row>
    <row r="1093" spans="18:19" x14ac:dyDescent="0.25">
      <c r="R1093" s="13">
        <v>1020</v>
      </c>
      <c r="S1093" s="13">
        <v>0</v>
      </c>
    </row>
    <row r="1094" spans="18:19" x14ac:dyDescent="0.25">
      <c r="R1094" s="13">
        <v>1021</v>
      </c>
      <c r="S1094" s="13">
        <v>0</v>
      </c>
    </row>
    <row r="1095" spans="18:19" x14ac:dyDescent="0.25">
      <c r="R1095" s="13">
        <v>1022</v>
      </c>
      <c r="S1095" s="13">
        <v>0</v>
      </c>
    </row>
    <row r="1096" spans="18:19" x14ac:dyDescent="0.25">
      <c r="R1096" s="13">
        <v>1023</v>
      </c>
      <c r="S1096" s="13">
        <v>154071918.40443039</v>
      </c>
    </row>
    <row r="1097" spans="18:19" x14ac:dyDescent="0.25">
      <c r="R1097" s="13">
        <v>1024</v>
      </c>
      <c r="S1097" s="13">
        <v>0</v>
      </c>
    </row>
    <row r="1098" spans="18:19" x14ac:dyDescent="0.25">
      <c r="R1098" s="13">
        <v>1025</v>
      </c>
      <c r="S1098" s="13">
        <v>52819840.091220856</v>
      </c>
    </row>
    <row r="1099" spans="18:19" x14ac:dyDescent="0.25">
      <c r="R1099" s="13">
        <v>1026</v>
      </c>
      <c r="S1099" s="13">
        <v>0</v>
      </c>
    </row>
    <row r="1100" spans="18:19" x14ac:dyDescent="0.25">
      <c r="R1100" s="13">
        <v>1027</v>
      </c>
      <c r="S1100" s="13">
        <v>0</v>
      </c>
    </row>
    <row r="1101" spans="18:19" x14ac:dyDescent="0.25">
      <c r="R1101" s="13">
        <v>1028</v>
      </c>
      <c r="S1101" s="13">
        <v>501259296.16324997</v>
      </c>
    </row>
    <row r="1102" spans="18:19" x14ac:dyDescent="0.25">
      <c r="R1102" s="13">
        <v>1029</v>
      </c>
      <c r="S1102" s="13">
        <v>0</v>
      </c>
    </row>
    <row r="1103" spans="18:19" x14ac:dyDescent="0.25">
      <c r="R1103" s="13">
        <v>1030</v>
      </c>
      <c r="S1103" s="13">
        <v>626326288.51548195</v>
      </c>
    </row>
    <row r="1104" spans="18:19" x14ac:dyDescent="0.25">
      <c r="R1104" s="13">
        <v>1031</v>
      </c>
      <c r="S1104" s="13">
        <v>0</v>
      </c>
    </row>
    <row r="1105" spans="18:19" x14ac:dyDescent="0.25">
      <c r="R1105" s="13">
        <v>1032</v>
      </c>
      <c r="S1105" s="13">
        <v>0</v>
      </c>
    </row>
    <row r="1106" spans="18:19" x14ac:dyDescent="0.25">
      <c r="R1106" s="13">
        <v>1033</v>
      </c>
      <c r="S1106" s="13">
        <v>0</v>
      </c>
    </row>
    <row r="1107" spans="18:19" x14ac:dyDescent="0.25">
      <c r="R1107" s="13">
        <v>1034</v>
      </c>
      <c r="S1107" s="13">
        <v>345913663.12692642</v>
      </c>
    </row>
    <row r="1108" spans="18:19" x14ac:dyDescent="0.25">
      <c r="R1108" s="13">
        <v>1035</v>
      </c>
      <c r="S1108" s="13">
        <v>0</v>
      </c>
    </row>
    <row r="1109" spans="18:19" x14ac:dyDescent="0.25">
      <c r="R1109" s="13">
        <v>1036</v>
      </c>
      <c r="S1109" s="13">
        <v>0</v>
      </c>
    </row>
    <row r="1110" spans="18:19" x14ac:dyDescent="0.25">
      <c r="R1110" s="13">
        <v>1037</v>
      </c>
      <c r="S1110" s="13">
        <v>20634844.478757858</v>
      </c>
    </row>
    <row r="1111" spans="18:19" x14ac:dyDescent="0.25">
      <c r="R1111" s="13">
        <v>1038</v>
      </c>
      <c r="S1111" s="13">
        <v>0</v>
      </c>
    </row>
    <row r="1112" spans="18:19" x14ac:dyDescent="0.25">
      <c r="R1112" s="13">
        <v>1039</v>
      </c>
      <c r="S1112" s="13">
        <v>0</v>
      </c>
    </row>
    <row r="1113" spans="18:19" x14ac:dyDescent="0.25">
      <c r="R1113" s="13">
        <v>1040</v>
      </c>
      <c r="S1113" s="13">
        <v>0</v>
      </c>
    </row>
    <row r="1114" spans="18:19" x14ac:dyDescent="0.25">
      <c r="R1114" s="13">
        <v>1041</v>
      </c>
      <c r="S1114" s="13">
        <v>0</v>
      </c>
    </row>
    <row r="1115" spans="18:19" x14ac:dyDescent="0.25">
      <c r="R1115" s="13">
        <v>1042</v>
      </c>
      <c r="S1115" s="13">
        <v>389889059.38009262</v>
      </c>
    </row>
    <row r="1116" spans="18:19" x14ac:dyDescent="0.25">
      <c r="R1116" s="13">
        <v>1043</v>
      </c>
      <c r="S1116" s="13">
        <v>66845944.241033554</v>
      </c>
    </row>
    <row r="1117" spans="18:19" x14ac:dyDescent="0.25">
      <c r="R1117" s="13">
        <v>1044</v>
      </c>
      <c r="S1117" s="13">
        <v>0</v>
      </c>
    </row>
    <row r="1118" spans="18:19" x14ac:dyDescent="0.25">
      <c r="R1118" s="13">
        <v>1045</v>
      </c>
      <c r="S1118" s="13">
        <v>0</v>
      </c>
    </row>
    <row r="1119" spans="18:19" x14ac:dyDescent="0.25">
      <c r="R1119" s="13">
        <v>1046</v>
      </c>
      <c r="S1119" s="13">
        <v>0</v>
      </c>
    </row>
    <row r="1120" spans="18:19" x14ac:dyDescent="0.25">
      <c r="R1120" s="13">
        <v>1047</v>
      </c>
      <c r="S1120" s="13">
        <v>0</v>
      </c>
    </row>
    <row r="1121" spans="18:19" x14ac:dyDescent="0.25">
      <c r="R1121" s="13">
        <v>1048</v>
      </c>
      <c r="S1121" s="13">
        <v>0</v>
      </c>
    </row>
    <row r="1122" spans="18:19" x14ac:dyDescent="0.25">
      <c r="R1122" s="13">
        <v>1049</v>
      </c>
      <c r="S1122" s="13">
        <v>0</v>
      </c>
    </row>
    <row r="1123" spans="18:19" x14ac:dyDescent="0.25">
      <c r="R1123" s="13">
        <v>1050</v>
      </c>
      <c r="S1123" s="13">
        <v>0</v>
      </c>
    </row>
    <row r="1124" spans="18:19" x14ac:dyDescent="0.25">
      <c r="R1124" s="13">
        <v>1051</v>
      </c>
      <c r="S1124" s="13">
        <v>0</v>
      </c>
    </row>
    <row r="1125" spans="18:19" x14ac:dyDescent="0.25">
      <c r="R1125" s="13">
        <v>1052</v>
      </c>
      <c r="S1125" s="13">
        <v>0</v>
      </c>
    </row>
    <row r="1126" spans="18:19" x14ac:dyDescent="0.25">
      <c r="R1126" s="13">
        <v>1053</v>
      </c>
      <c r="S1126" s="13">
        <v>0</v>
      </c>
    </row>
    <row r="1127" spans="18:19" x14ac:dyDescent="0.25">
      <c r="R1127" s="13">
        <v>1054</v>
      </c>
      <c r="S1127" s="13">
        <v>0</v>
      </c>
    </row>
    <row r="1128" spans="18:19" x14ac:dyDescent="0.25">
      <c r="R1128" s="13">
        <v>1055</v>
      </c>
      <c r="S1128" s="13">
        <v>487037818.79932022</v>
      </c>
    </row>
    <row r="1129" spans="18:19" x14ac:dyDescent="0.25">
      <c r="R1129" s="13">
        <v>1056</v>
      </c>
      <c r="S1129" s="13">
        <v>206158733.75580406</v>
      </c>
    </row>
    <row r="1130" spans="18:19" x14ac:dyDescent="0.25">
      <c r="R1130" s="13">
        <v>1057</v>
      </c>
      <c r="S1130" s="13">
        <v>0</v>
      </c>
    </row>
    <row r="1131" spans="18:19" x14ac:dyDescent="0.25">
      <c r="R1131" s="13">
        <v>1058</v>
      </c>
      <c r="S1131" s="13">
        <v>809652841.09449768</v>
      </c>
    </row>
    <row r="1132" spans="18:19" x14ac:dyDescent="0.25">
      <c r="R1132" s="13">
        <v>1059</v>
      </c>
      <c r="S1132" s="13">
        <v>0</v>
      </c>
    </row>
    <row r="1133" spans="18:19" x14ac:dyDescent="0.25">
      <c r="R1133" s="13">
        <v>1060</v>
      </c>
      <c r="S1133" s="13">
        <v>30405012.250326157</v>
      </c>
    </row>
    <row r="1134" spans="18:19" x14ac:dyDescent="0.25">
      <c r="R1134" s="13">
        <v>1061</v>
      </c>
      <c r="S1134" s="13">
        <v>0</v>
      </c>
    </row>
    <row r="1135" spans="18:19" x14ac:dyDescent="0.25">
      <c r="R1135" s="13">
        <v>1062</v>
      </c>
      <c r="S1135" s="13">
        <v>778562341.92862701</v>
      </c>
    </row>
    <row r="1136" spans="18:19" x14ac:dyDescent="0.25">
      <c r="R1136" s="13">
        <v>1063</v>
      </c>
      <c r="S1136" s="13">
        <v>0</v>
      </c>
    </row>
    <row r="1137" spans="18:19" x14ac:dyDescent="0.25">
      <c r="R1137" s="13">
        <v>1064</v>
      </c>
      <c r="S1137" s="13">
        <v>556244200.97254944</v>
      </c>
    </row>
    <row r="1138" spans="18:19" x14ac:dyDescent="0.25">
      <c r="R1138" s="13">
        <v>1065</v>
      </c>
      <c r="S1138" s="13">
        <v>0</v>
      </c>
    </row>
    <row r="1139" spans="18:19" x14ac:dyDescent="0.25">
      <c r="R1139" s="13">
        <v>1066</v>
      </c>
      <c r="S1139" s="13">
        <v>302458480.32792854</v>
      </c>
    </row>
    <row r="1140" spans="18:19" x14ac:dyDescent="0.25">
      <c r="R1140" s="13">
        <v>1067</v>
      </c>
      <c r="S1140" s="13">
        <v>0</v>
      </c>
    </row>
    <row r="1141" spans="18:19" x14ac:dyDescent="0.25">
      <c r="R1141" s="13">
        <v>1068</v>
      </c>
      <c r="S1141" s="13">
        <v>0</v>
      </c>
    </row>
    <row r="1142" spans="18:19" x14ac:dyDescent="0.25">
      <c r="R1142" s="13">
        <v>1069</v>
      </c>
      <c r="S1142" s="13">
        <v>456444248.33921432</v>
      </c>
    </row>
    <row r="1143" spans="18:19" x14ac:dyDescent="0.25">
      <c r="R1143" s="13">
        <v>1070</v>
      </c>
      <c r="S1143" s="13">
        <v>0</v>
      </c>
    </row>
    <row r="1144" spans="18:19" x14ac:dyDescent="0.25">
      <c r="R1144" s="13">
        <v>1071</v>
      </c>
      <c r="S1144" s="13">
        <v>0</v>
      </c>
    </row>
    <row r="1145" spans="18:19" x14ac:dyDescent="0.25">
      <c r="R1145" s="13">
        <v>1072</v>
      </c>
      <c r="S1145" s="13">
        <v>572124908.21051216</v>
      </c>
    </row>
    <row r="1146" spans="18:19" x14ac:dyDescent="0.25">
      <c r="R1146" s="13">
        <v>1073</v>
      </c>
      <c r="S1146" s="13">
        <v>0</v>
      </c>
    </row>
    <row r="1147" spans="18:19" x14ac:dyDescent="0.25">
      <c r="R1147" s="13">
        <v>1074</v>
      </c>
      <c r="S1147" s="13">
        <v>0</v>
      </c>
    </row>
    <row r="1148" spans="18:19" x14ac:dyDescent="0.25">
      <c r="R1148" s="13">
        <v>1075</v>
      </c>
      <c r="S1148" s="13">
        <v>0</v>
      </c>
    </row>
    <row r="1149" spans="18:19" x14ac:dyDescent="0.25">
      <c r="R1149" s="13">
        <v>1076</v>
      </c>
      <c r="S1149" s="13">
        <v>0</v>
      </c>
    </row>
    <row r="1150" spans="18:19" x14ac:dyDescent="0.25">
      <c r="R1150" s="13">
        <v>1077</v>
      </c>
      <c r="S1150" s="13">
        <v>96208897.02050972</v>
      </c>
    </row>
    <row r="1151" spans="18:19" x14ac:dyDescent="0.25">
      <c r="R1151" s="13">
        <v>1078</v>
      </c>
      <c r="S1151" s="13">
        <v>0</v>
      </c>
    </row>
    <row r="1152" spans="18:19" x14ac:dyDescent="0.25">
      <c r="R1152" s="13">
        <v>1079</v>
      </c>
      <c r="S1152" s="13">
        <v>0</v>
      </c>
    </row>
    <row r="1153" spans="18:19" x14ac:dyDescent="0.25">
      <c r="R1153" s="13">
        <v>1080</v>
      </c>
      <c r="S1153" s="13">
        <v>0</v>
      </c>
    </row>
    <row r="1154" spans="18:19" x14ac:dyDescent="0.25">
      <c r="R1154" s="13">
        <v>1081</v>
      </c>
      <c r="S1154" s="13">
        <v>903830228.71953201</v>
      </c>
    </row>
    <row r="1155" spans="18:19" x14ac:dyDescent="0.25">
      <c r="R1155" s="13">
        <v>1082</v>
      </c>
      <c r="S1155" s="13">
        <v>0</v>
      </c>
    </row>
    <row r="1156" spans="18:19" x14ac:dyDescent="0.25">
      <c r="R1156" s="13">
        <v>1083</v>
      </c>
      <c r="S1156" s="13">
        <v>0</v>
      </c>
    </row>
    <row r="1157" spans="18:19" x14ac:dyDescent="0.25">
      <c r="R1157" s="13">
        <v>1084</v>
      </c>
      <c r="S1157" s="13">
        <v>1132930151.1362705</v>
      </c>
    </row>
    <row r="1158" spans="18:19" x14ac:dyDescent="0.25">
      <c r="R1158" s="13">
        <v>1085</v>
      </c>
      <c r="S1158" s="13">
        <v>0</v>
      </c>
    </row>
    <row r="1159" spans="18:19" x14ac:dyDescent="0.25">
      <c r="R1159" s="13">
        <v>1086</v>
      </c>
      <c r="S1159" s="13">
        <v>124155176.26546669</v>
      </c>
    </row>
    <row r="1160" spans="18:19" x14ac:dyDescent="0.25">
      <c r="R1160" s="13">
        <v>1087</v>
      </c>
      <c r="S1160" s="13">
        <v>0</v>
      </c>
    </row>
    <row r="1161" spans="18:19" x14ac:dyDescent="0.25">
      <c r="R1161" s="13">
        <v>1088</v>
      </c>
      <c r="S1161" s="13">
        <v>0</v>
      </c>
    </row>
    <row r="1162" spans="18:19" x14ac:dyDescent="0.25">
      <c r="R1162" s="13">
        <v>1089</v>
      </c>
      <c r="S1162" s="13">
        <v>0</v>
      </c>
    </row>
    <row r="1163" spans="18:19" x14ac:dyDescent="0.25">
      <c r="R1163" s="13">
        <v>1090</v>
      </c>
      <c r="S1163" s="13">
        <v>0</v>
      </c>
    </row>
    <row r="1164" spans="18:19" x14ac:dyDescent="0.25">
      <c r="R1164" s="13">
        <v>1091</v>
      </c>
      <c r="S1164" s="13">
        <v>0</v>
      </c>
    </row>
    <row r="1165" spans="18:19" x14ac:dyDescent="0.25">
      <c r="R1165" s="13">
        <v>1092</v>
      </c>
      <c r="S1165" s="13">
        <v>0</v>
      </c>
    </row>
    <row r="1166" spans="18:19" x14ac:dyDescent="0.25">
      <c r="R1166" s="13">
        <v>1093</v>
      </c>
      <c r="S1166" s="13">
        <v>0</v>
      </c>
    </row>
    <row r="1167" spans="18:19" x14ac:dyDescent="0.25">
      <c r="R1167" s="13">
        <v>1094</v>
      </c>
      <c r="S1167" s="13">
        <v>0</v>
      </c>
    </row>
    <row r="1168" spans="18:19" x14ac:dyDescent="0.25">
      <c r="R1168" s="13">
        <v>1095</v>
      </c>
      <c r="S1168" s="13">
        <v>0</v>
      </c>
    </row>
    <row r="1169" spans="18:19" x14ac:dyDescent="0.25">
      <c r="R1169" s="13">
        <v>1096</v>
      </c>
      <c r="S1169" s="13">
        <v>0</v>
      </c>
    </row>
    <row r="1170" spans="18:19" x14ac:dyDescent="0.25">
      <c r="R1170" s="13">
        <v>1097</v>
      </c>
      <c r="S1170" s="13">
        <v>0</v>
      </c>
    </row>
    <row r="1171" spans="18:19" x14ac:dyDescent="0.25">
      <c r="R1171" s="13">
        <v>1098</v>
      </c>
      <c r="S1171" s="13">
        <v>0</v>
      </c>
    </row>
    <row r="1172" spans="18:19" x14ac:dyDescent="0.25">
      <c r="R1172" s="13">
        <v>1099</v>
      </c>
      <c r="S1172" s="13">
        <v>349662228.77832413</v>
      </c>
    </row>
    <row r="1173" spans="18:19" x14ac:dyDescent="0.25">
      <c r="R1173" s="13">
        <v>1100</v>
      </c>
      <c r="S1173" s="13">
        <v>0</v>
      </c>
    </row>
    <row r="1174" spans="18:19" x14ac:dyDescent="0.25">
      <c r="R1174" s="13">
        <v>1101</v>
      </c>
      <c r="S1174" s="13">
        <v>691138828.26316261</v>
      </c>
    </row>
    <row r="1175" spans="18:19" x14ac:dyDescent="0.25">
      <c r="R1175" s="13">
        <v>1102</v>
      </c>
      <c r="S1175" s="13">
        <v>0</v>
      </c>
    </row>
    <row r="1176" spans="18:19" x14ac:dyDescent="0.25">
      <c r="R1176" s="13">
        <v>1103</v>
      </c>
      <c r="S1176" s="13">
        <v>0</v>
      </c>
    </row>
    <row r="1177" spans="18:19" x14ac:dyDescent="0.25">
      <c r="R1177" s="13">
        <v>1104</v>
      </c>
      <c r="S1177" s="13">
        <v>79390596.410938263</v>
      </c>
    </row>
    <row r="1178" spans="18:19" x14ac:dyDescent="0.25">
      <c r="R1178" s="13">
        <v>1105</v>
      </c>
      <c r="S1178" s="13">
        <v>0</v>
      </c>
    </row>
    <row r="1179" spans="18:19" x14ac:dyDescent="0.25">
      <c r="R1179" s="13">
        <v>1106</v>
      </c>
      <c r="S1179" s="13">
        <v>0</v>
      </c>
    </row>
    <row r="1180" spans="18:19" x14ac:dyDescent="0.25">
      <c r="R1180" s="13">
        <v>1107</v>
      </c>
      <c r="S1180" s="13">
        <v>0</v>
      </c>
    </row>
    <row r="1181" spans="18:19" x14ac:dyDescent="0.25">
      <c r="R1181" s="13">
        <v>1108</v>
      </c>
      <c r="S1181" s="13">
        <v>0</v>
      </c>
    </row>
    <row r="1182" spans="18:19" x14ac:dyDescent="0.25">
      <c r="R1182" s="13">
        <v>1109</v>
      </c>
      <c r="S1182" s="13">
        <v>0</v>
      </c>
    </row>
    <row r="1183" spans="18:19" x14ac:dyDescent="0.25">
      <c r="R1183" s="13">
        <v>1110</v>
      </c>
      <c r="S1183" s="13">
        <v>0</v>
      </c>
    </row>
    <row r="1184" spans="18:19" x14ac:dyDescent="0.25">
      <c r="R1184" s="13">
        <v>1111</v>
      </c>
      <c r="S1184" s="13">
        <v>0</v>
      </c>
    </row>
    <row r="1185" spans="18:19" x14ac:dyDescent="0.25">
      <c r="R1185" s="13">
        <v>1112</v>
      </c>
      <c r="S1185" s="13">
        <v>241422209.81496239</v>
      </c>
    </row>
    <row r="1186" spans="18:19" x14ac:dyDescent="0.25">
      <c r="R1186" s="13">
        <v>1113</v>
      </c>
      <c r="S1186" s="13">
        <v>0</v>
      </c>
    </row>
    <row r="1187" spans="18:19" x14ac:dyDescent="0.25">
      <c r="R1187" s="13">
        <v>1114</v>
      </c>
      <c r="S1187" s="13">
        <v>0</v>
      </c>
    </row>
    <row r="1188" spans="18:19" x14ac:dyDescent="0.25">
      <c r="R1188" s="13">
        <v>1115</v>
      </c>
      <c r="S1188" s="13">
        <v>427166117.60533142</v>
      </c>
    </row>
    <row r="1189" spans="18:19" x14ac:dyDescent="0.25">
      <c r="R1189" s="13">
        <v>1116</v>
      </c>
      <c r="S1189" s="13">
        <v>0</v>
      </c>
    </row>
    <row r="1190" spans="18:19" x14ac:dyDescent="0.25">
      <c r="R1190" s="13">
        <v>1117</v>
      </c>
      <c r="S1190" s="13">
        <v>0</v>
      </c>
    </row>
    <row r="1191" spans="18:19" x14ac:dyDescent="0.25">
      <c r="R1191" s="13">
        <v>1118</v>
      </c>
      <c r="S1191" s="13">
        <v>0</v>
      </c>
    </row>
    <row r="1192" spans="18:19" x14ac:dyDescent="0.25">
      <c r="R1192" s="13">
        <v>1119</v>
      </c>
      <c r="S1192" s="13">
        <v>898573615.61854553</v>
      </c>
    </row>
    <row r="1193" spans="18:19" x14ac:dyDescent="0.25">
      <c r="R1193" s="13">
        <v>1120</v>
      </c>
      <c r="S1193" s="13">
        <v>0</v>
      </c>
    </row>
    <row r="1194" spans="18:19" x14ac:dyDescent="0.25">
      <c r="R1194" s="13">
        <v>1121</v>
      </c>
      <c r="S1194" s="13">
        <v>0</v>
      </c>
    </row>
    <row r="1195" spans="18:19" x14ac:dyDescent="0.25">
      <c r="R1195" s="13">
        <v>1122</v>
      </c>
      <c r="S1195" s="13">
        <v>667533722.70168495</v>
      </c>
    </row>
    <row r="1196" spans="18:19" x14ac:dyDescent="0.25">
      <c r="R1196" s="13">
        <v>1123</v>
      </c>
      <c r="S1196" s="13">
        <v>0</v>
      </c>
    </row>
    <row r="1197" spans="18:19" x14ac:dyDescent="0.25">
      <c r="R1197" s="13">
        <v>1124</v>
      </c>
      <c r="S1197" s="13">
        <v>0</v>
      </c>
    </row>
    <row r="1198" spans="18:19" x14ac:dyDescent="0.25">
      <c r="R1198" s="13">
        <v>1125</v>
      </c>
      <c r="S1198" s="13">
        <v>0</v>
      </c>
    </row>
    <row r="1199" spans="18:19" x14ac:dyDescent="0.25">
      <c r="R1199" s="13">
        <v>1126</v>
      </c>
      <c r="S1199" s="13">
        <v>0</v>
      </c>
    </row>
    <row r="1200" spans="18:19" x14ac:dyDescent="0.25">
      <c r="R1200" s="13">
        <v>1127</v>
      </c>
      <c r="S1200" s="13">
        <v>0</v>
      </c>
    </row>
    <row r="1201" spans="18:19" x14ac:dyDescent="0.25">
      <c r="R1201" s="13">
        <v>1128</v>
      </c>
      <c r="S1201" s="13">
        <v>0</v>
      </c>
    </row>
    <row r="1202" spans="18:19" x14ac:dyDescent="0.25">
      <c r="R1202" s="13">
        <v>1129</v>
      </c>
      <c r="S1202" s="13">
        <v>480016391.45558929</v>
      </c>
    </row>
    <row r="1203" spans="18:19" x14ac:dyDescent="0.25">
      <c r="R1203" s="13">
        <v>1130</v>
      </c>
      <c r="S1203" s="13">
        <v>287727890.60907173</v>
      </c>
    </row>
    <row r="1204" spans="18:19" x14ac:dyDescent="0.25">
      <c r="R1204" s="13">
        <v>1131</v>
      </c>
      <c r="S1204" s="13">
        <v>0</v>
      </c>
    </row>
    <row r="1205" spans="18:19" x14ac:dyDescent="0.25">
      <c r="R1205" s="13">
        <v>1132</v>
      </c>
      <c r="S1205" s="13">
        <v>0</v>
      </c>
    </row>
    <row r="1206" spans="18:19" x14ac:dyDescent="0.25">
      <c r="R1206" s="13">
        <v>1133</v>
      </c>
      <c r="S1206" s="13">
        <v>0</v>
      </c>
    </row>
    <row r="1207" spans="18:19" x14ac:dyDescent="0.25">
      <c r="R1207" s="13">
        <v>1134</v>
      </c>
      <c r="S1207" s="13">
        <v>330781600.1260643</v>
      </c>
    </row>
    <row r="1208" spans="18:19" x14ac:dyDescent="0.25">
      <c r="R1208" s="13">
        <v>1135</v>
      </c>
      <c r="S1208" s="13">
        <v>0</v>
      </c>
    </row>
    <row r="1209" spans="18:19" x14ac:dyDescent="0.25">
      <c r="R1209" s="13">
        <v>1136</v>
      </c>
      <c r="S1209" s="13">
        <v>0</v>
      </c>
    </row>
    <row r="1210" spans="18:19" x14ac:dyDescent="0.25">
      <c r="R1210" s="13">
        <v>1137</v>
      </c>
      <c r="S1210" s="13">
        <v>0</v>
      </c>
    </row>
    <row r="1211" spans="18:19" x14ac:dyDescent="0.25">
      <c r="R1211" s="13">
        <v>1138</v>
      </c>
      <c r="S1211" s="13">
        <v>0</v>
      </c>
    </row>
    <row r="1212" spans="18:19" x14ac:dyDescent="0.25">
      <c r="R1212" s="13">
        <v>1139</v>
      </c>
      <c r="S1212" s="13">
        <v>0</v>
      </c>
    </row>
    <row r="1213" spans="18:19" x14ac:dyDescent="0.25">
      <c r="R1213" s="13">
        <v>1140</v>
      </c>
      <c r="S1213" s="13">
        <v>0</v>
      </c>
    </row>
    <row r="1214" spans="18:19" x14ac:dyDescent="0.25">
      <c r="R1214" s="13">
        <v>1141</v>
      </c>
      <c r="S1214" s="13">
        <v>656463555.98316383</v>
      </c>
    </row>
    <row r="1215" spans="18:19" x14ac:dyDescent="0.25">
      <c r="R1215" s="13">
        <v>1142</v>
      </c>
      <c r="S1215" s="13">
        <v>0</v>
      </c>
    </row>
    <row r="1216" spans="18:19" x14ac:dyDescent="0.25">
      <c r="R1216" s="13">
        <v>1143</v>
      </c>
      <c r="S1216" s="13">
        <v>0</v>
      </c>
    </row>
    <row r="1217" spans="18:19" x14ac:dyDescent="0.25">
      <c r="R1217" s="13">
        <v>1144</v>
      </c>
      <c r="S1217" s="13">
        <v>964511226.16896629</v>
      </c>
    </row>
    <row r="1218" spans="18:19" x14ac:dyDescent="0.25">
      <c r="R1218" s="13">
        <v>1145</v>
      </c>
      <c r="S1218" s="13">
        <v>145693096.31811714</v>
      </c>
    </row>
    <row r="1219" spans="18:19" x14ac:dyDescent="0.25">
      <c r="R1219" s="13">
        <v>1146</v>
      </c>
      <c r="S1219" s="13">
        <v>7405545.6754379272</v>
      </c>
    </row>
    <row r="1220" spans="18:19" x14ac:dyDescent="0.25">
      <c r="R1220" s="13">
        <v>1147</v>
      </c>
      <c r="S1220" s="13">
        <v>0</v>
      </c>
    </row>
    <row r="1221" spans="18:19" x14ac:dyDescent="0.25">
      <c r="R1221" s="13">
        <v>1148</v>
      </c>
      <c r="S1221" s="13">
        <v>34688363.187303543</v>
      </c>
    </row>
    <row r="1222" spans="18:19" x14ac:dyDescent="0.25">
      <c r="R1222" s="13">
        <v>1149</v>
      </c>
      <c r="S1222" s="13">
        <v>0</v>
      </c>
    </row>
    <row r="1223" spans="18:19" x14ac:dyDescent="0.25">
      <c r="R1223" s="13">
        <v>1150</v>
      </c>
      <c r="S1223" s="13">
        <v>0</v>
      </c>
    </row>
    <row r="1224" spans="18:19" x14ac:dyDescent="0.25">
      <c r="R1224" s="13">
        <v>1151</v>
      </c>
      <c r="S1224" s="13">
        <v>0</v>
      </c>
    </row>
    <row r="1225" spans="18:19" x14ac:dyDescent="0.25">
      <c r="R1225" s="13">
        <v>1152</v>
      </c>
      <c r="S1225" s="13">
        <v>575257347.48500824</v>
      </c>
    </row>
    <row r="1226" spans="18:19" x14ac:dyDescent="0.25">
      <c r="R1226" s="13">
        <v>1153</v>
      </c>
      <c r="S1226" s="13">
        <v>204170852.02672195</v>
      </c>
    </row>
    <row r="1227" spans="18:19" x14ac:dyDescent="0.25">
      <c r="R1227" s="13">
        <v>1154</v>
      </c>
      <c r="S1227" s="13">
        <v>0</v>
      </c>
    </row>
    <row r="1228" spans="18:19" x14ac:dyDescent="0.25">
      <c r="R1228" s="13">
        <v>1155</v>
      </c>
      <c r="S1228" s="13">
        <v>0</v>
      </c>
    </row>
    <row r="1229" spans="18:19" x14ac:dyDescent="0.25">
      <c r="R1229" s="13">
        <v>1156</v>
      </c>
      <c r="S1229" s="13">
        <v>0</v>
      </c>
    </row>
    <row r="1230" spans="18:19" x14ac:dyDescent="0.25">
      <c r="R1230" s="13">
        <v>1157</v>
      </c>
      <c r="S1230" s="13">
        <v>0</v>
      </c>
    </row>
    <row r="1231" spans="18:19" x14ac:dyDescent="0.25">
      <c r="R1231" s="13">
        <v>1158</v>
      </c>
      <c r="S1231" s="13">
        <v>0</v>
      </c>
    </row>
    <row r="1232" spans="18:19" x14ac:dyDescent="0.25">
      <c r="R1232" s="13">
        <v>1159</v>
      </c>
      <c r="S1232" s="13">
        <v>0</v>
      </c>
    </row>
    <row r="1233" spans="18:19" x14ac:dyDescent="0.25">
      <c r="R1233" s="13">
        <v>1160</v>
      </c>
      <c r="S1233" s="13">
        <v>129815705.42417145</v>
      </c>
    </row>
    <row r="1234" spans="18:19" x14ac:dyDescent="0.25">
      <c r="R1234" s="13">
        <v>1161</v>
      </c>
      <c r="S1234" s="13">
        <v>711817586.22489357</v>
      </c>
    </row>
    <row r="1235" spans="18:19" x14ac:dyDescent="0.25">
      <c r="R1235" s="13">
        <v>1162</v>
      </c>
      <c r="S1235" s="13">
        <v>0</v>
      </c>
    </row>
    <row r="1236" spans="18:19" x14ac:dyDescent="0.25">
      <c r="R1236" s="13">
        <v>1163</v>
      </c>
      <c r="S1236" s="13">
        <v>0</v>
      </c>
    </row>
    <row r="1237" spans="18:19" x14ac:dyDescent="0.25">
      <c r="R1237" s="13">
        <v>1164</v>
      </c>
      <c r="S1237" s="13">
        <v>0</v>
      </c>
    </row>
    <row r="1238" spans="18:19" x14ac:dyDescent="0.25">
      <c r="R1238" s="13">
        <v>1165</v>
      </c>
      <c r="S1238" s="13">
        <v>0</v>
      </c>
    </row>
    <row r="1239" spans="18:19" x14ac:dyDescent="0.25">
      <c r="R1239" s="13">
        <v>1166</v>
      </c>
      <c r="S1239" s="13">
        <v>0</v>
      </c>
    </row>
    <row r="1240" spans="18:19" x14ac:dyDescent="0.25">
      <c r="R1240" s="13">
        <v>1167</v>
      </c>
      <c r="S1240" s="13">
        <v>246409723.70468521</v>
      </c>
    </row>
    <row r="1241" spans="18:19" x14ac:dyDescent="0.25">
      <c r="R1241" s="13">
        <v>1168</v>
      </c>
      <c r="S1241" s="13">
        <v>163506256.91345978</v>
      </c>
    </row>
    <row r="1242" spans="18:19" x14ac:dyDescent="0.25">
      <c r="R1242" s="13">
        <v>1169</v>
      </c>
      <c r="S1242" s="13">
        <v>0</v>
      </c>
    </row>
    <row r="1243" spans="18:19" x14ac:dyDescent="0.25">
      <c r="R1243" s="13">
        <v>1170</v>
      </c>
      <c r="S1243" s="13">
        <v>0</v>
      </c>
    </row>
    <row r="1244" spans="18:19" x14ac:dyDescent="0.25">
      <c r="R1244" s="13">
        <v>1171</v>
      </c>
      <c r="S1244" s="13">
        <v>0</v>
      </c>
    </row>
    <row r="1245" spans="18:19" x14ac:dyDescent="0.25">
      <c r="R1245" s="13">
        <v>1172</v>
      </c>
      <c r="S1245" s="13">
        <v>0</v>
      </c>
    </row>
    <row r="1246" spans="18:19" x14ac:dyDescent="0.25">
      <c r="R1246" s="13">
        <v>1173</v>
      </c>
      <c r="S1246" s="13">
        <v>0</v>
      </c>
    </row>
    <row r="1247" spans="18:19" x14ac:dyDescent="0.25">
      <c r="R1247" s="13">
        <v>1174</v>
      </c>
      <c r="S1247" s="13">
        <v>0</v>
      </c>
    </row>
    <row r="1248" spans="18:19" x14ac:dyDescent="0.25">
      <c r="R1248" s="13">
        <v>1175</v>
      </c>
      <c r="S1248" s="13">
        <v>0</v>
      </c>
    </row>
    <row r="1249" spans="18:19" x14ac:dyDescent="0.25">
      <c r="R1249" s="13">
        <v>1176</v>
      </c>
      <c r="S1249" s="13">
        <v>0</v>
      </c>
    </row>
    <row r="1250" spans="18:19" x14ac:dyDescent="0.25">
      <c r="R1250" s="13">
        <v>1177</v>
      </c>
      <c r="S1250" s="13">
        <v>0</v>
      </c>
    </row>
    <row r="1251" spans="18:19" x14ac:dyDescent="0.25">
      <c r="R1251" s="13">
        <v>1178</v>
      </c>
      <c r="S1251" s="13">
        <v>0</v>
      </c>
    </row>
    <row r="1252" spans="18:19" x14ac:dyDescent="0.25">
      <c r="R1252" s="13">
        <v>1179</v>
      </c>
      <c r="S1252" s="13">
        <v>0</v>
      </c>
    </row>
    <row r="1253" spans="18:19" x14ac:dyDescent="0.25">
      <c r="R1253" s="13">
        <v>1180</v>
      </c>
      <c r="S1253" s="13">
        <v>0</v>
      </c>
    </row>
    <row r="1254" spans="18:19" x14ac:dyDescent="0.25">
      <c r="R1254" s="13">
        <v>1181</v>
      </c>
      <c r="S1254" s="13">
        <v>0</v>
      </c>
    </row>
    <row r="1255" spans="18:19" x14ac:dyDescent="0.25">
      <c r="R1255" s="13">
        <v>1182</v>
      </c>
      <c r="S1255" s="13">
        <v>0</v>
      </c>
    </row>
    <row r="1256" spans="18:19" x14ac:dyDescent="0.25">
      <c r="R1256" s="13">
        <v>1183</v>
      </c>
      <c r="S1256" s="13">
        <v>0</v>
      </c>
    </row>
    <row r="1257" spans="18:19" x14ac:dyDescent="0.25">
      <c r="R1257" s="13">
        <v>1184</v>
      </c>
      <c r="S1257" s="13">
        <v>12651641.766088486</v>
      </c>
    </row>
    <row r="1258" spans="18:19" x14ac:dyDescent="0.25">
      <c r="R1258" s="13">
        <v>1185</v>
      </c>
      <c r="S1258" s="13">
        <v>0</v>
      </c>
    </row>
    <row r="1259" spans="18:19" x14ac:dyDescent="0.25">
      <c r="R1259" s="13">
        <v>1186</v>
      </c>
      <c r="S1259" s="13">
        <v>0</v>
      </c>
    </row>
    <row r="1260" spans="18:19" x14ac:dyDescent="0.25">
      <c r="R1260" s="13">
        <v>1187</v>
      </c>
      <c r="S1260" s="13">
        <v>0</v>
      </c>
    </row>
    <row r="1261" spans="18:19" x14ac:dyDescent="0.25">
      <c r="R1261" s="13">
        <v>1188</v>
      </c>
      <c r="S1261" s="13">
        <v>0</v>
      </c>
    </row>
    <row r="1262" spans="18:19" x14ac:dyDescent="0.25">
      <c r="R1262" s="13">
        <v>1189</v>
      </c>
      <c r="S1262" s="13">
        <v>0</v>
      </c>
    </row>
    <row r="1263" spans="18:19" x14ac:dyDescent="0.25">
      <c r="R1263" s="13">
        <v>1190</v>
      </c>
      <c r="S1263" s="13">
        <v>289626273.22799873</v>
      </c>
    </row>
    <row r="1264" spans="18:19" x14ac:dyDescent="0.25">
      <c r="R1264" s="13">
        <v>1191</v>
      </c>
      <c r="S1264" s="13">
        <v>879897857.93214417</v>
      </c>
    </row>
    <row r="1265" spans="18:19" x14ac:dyDescent="0.25">
      <c r="R1265" s="13">
        <v>1192</v>
      </c>
      <c r="S1265" s="13">
        <v>114907706.3364563</v>
      </c>
    </row>
    <row r="1266" spans="18:19" x14ac:dyDescent="0.25">
      <c r="R1266" s="13">
        <v>1193</v>
      </c>
      <c r="S1266" s="13">
        <v>19300507.892856598</v>
      </c>
    </row>
    <row r="1267" spans="18:19" x14ac:dyDescent="0.25">
      <c r="R1267" s="13">
        <v>1194</v>
      </c>
      <c r="S1267" s="13">
        <v>0</v>
      </c>
    </row>
    <row r="1268" spans="18:19" x14ac:dyDescent="0.25">
      <c r="R1268" s="13">
        <v>1195</v>
      </c>
      <c r="S1268" s="13">
        <v>0</v>
      </c>
    </row>
    <row r="1269" spans="18:19" x14ac:dyDescent="0.25">
      <c r="R1269" s="13">
        <v>1196</v>
      </c>
      <c r="S1269" s="13">
        <v>0</v>
      </c>
    </row>
    <row r="1270" spans="18:19" x14ac:dyDescent="0.25">
      <c r="R1270" s="13">
        <v>1197</v>
      </c>
      <c r="S1270" s="13">
        <v>0</v>
      </c>
    </row>
    <row r="1271" spans="18:19" x14ac:dyDescent="0.25">
      <c r="R1271" s="13">
        <v>1198</v>
      </c>
      <c r="S1271" s="13">
        <v>0</v>
      </c>
    </row>
    <row r="1272" spans="18:19" x14ac:dyDescent="0.25">
      <c r="R1272" s="13">
        <v>1199</v>
      </c>
      <c r="S1272" s="13">
        <v>0</v>
      </c>
    </row>
    <row r="1273" spans="18:19" x14ac:dyDescent="0.25">
      <c r="R1273" s="13">
        <v>1200</v>
      </c>
      <c r="S1273" s="13">
        <v>0</v>
      </c>
    </row>
    <row r="1274" spans="18:19" x14ac:dyDescent="0.25">
      <c r="R1274" s="13">
        <v>1201</v>
      </c>
      <c r="S1274" s="13">
        <v>0</v>
      </c>
    </row>
    <row r="1275" spans="18:19" x14ac:dyDescent="0.25">
      <c r="R1275" s="13">
        <v>1202</v>
      </c>
      <c r="S1275" s="13">
        <v>0</v>
      </c>
    </row>
    <row r="1276" spans="18:19" x14ac:dyDescent="0.25">
      <c r="R1276" s="13">
        <v>1203</v>
      </c>
      <c r="S1276" s="13">
        <v>0</v>
      </c>
    </row>
    <row r="1277" spans="18:19" x14ac:dyDescent="0.25">
      <c r="R1277" s="13">
        <v>1204</v>
      </c>
      <c r="S1277" s="13">
        <v>0</v>
      </c>
    </row>
    <row r="1278" spans="18:19" x14ac:dyDescent="0.25">
      <c r="R1278" s="13">
        <v>1205</v>
      </c>
      <c r="S1278" s="13">
        <v>0</v>
      </c>
    </row>
    <row r="1279" spans="18:19" x14ac:dyDescent="0.25">
      <c r="R1279" s="13">
        <v>1206</v>
      </c>
      <c r="S1279" s="13">
        <v>0</v>
      </c>
    </row>
    <row r="1280" spans="18:19" x14ac:dyDescent="0.25">
      <c r="R1280" s="13">
        <v>1207</v>
      </c>
      <c r="S1280" s="13">
        <v>0</v>
      </c>
    </row>
    <row r="1281" spans="18:19" x14ac:dyDescent="0.25">
      <c r="R1281" s="13">
        <v>1208</v>
      </c>
      <c r="S1281" s="13">
        <v>0</v>
      </c>
    </row>
    <row r="1282" spans="18:19" x14ac:dyDescent="0.25">
      <c r="R1282" s="13">
        <v>1209</v>
      </c>
      <c r="S1282" s="13">
        <v>0</v>
      </c>
    </row>
    <row r="1283" spans="18:19" x14ac:dyDescent="0.25">
      <c r="R1283" s="13">
        <v>1210</v>
      </c>
      <c r="S1283" s="13">
        <v>0</v>
      </c>
    </row>
    <row r="1284" spans="18:19" x14ac:dyDescent="0.25">
      <c r="R1284" s="13">
        <v>1211</v>
      </c>
      <c r="S1284" s="13">
        <v>0</v>
      </c>
    </row>
    <row r="1285" spans="18:19" x14ac:dyDescent="0.25">
      <c r="R1285" s="13">
        <v>1212</v>
      </c>
      <c r="S1285" s="13">
        <v>0</v>
      </c>
    </row>
    <row r="1286" spans="18:19" x14ac:dyDescent="0.25">
      <c r="R1286" s="13">
        <v>1213</v>
      </c>
      <c r="S1286" s="13">
        <v>0</v>
      </c>
    </row>
    <row r="1287" spans="18:19" x14ac:dyDescent="0.25">
      <c r="R1287" s="13">
        <v>1214</v>
      </c>
      <c r="S1287" s="13">
        <v>324899881.41657448</v>
      </c>
    </row>
    <row r="1288" spans="18:19" x14ac:dyDescent="0.25">
      <c r="R1288" s="13">
        <v>1215</v>
      </c>
      <c r="S1288" s="13">
        <v>548388451.40895081</v>
      </c>
    </row>
    <row r="1289" spans="18:19" x14ac:dyDescent="0.25">
      <c r="R1289" s="13">
        <v>1216</v>
      </c>
      <c r="S1289" s="13">
        <v>0</v>
      </c>
    </row>
    <row r="1290" spans="18:19" x14ac:dyDescent="0.25">
      <c r="R1290" s="13">
        <v>1217</v>
      </c>
      <c r="S1290" s="13">
        <v>0</v>
      </c>
    </row>
    <row r="1291" spans="18:19" x14ac:dyDescent="0.25">
      <c r="R1291" s="13">
        <v>1218</v>
      </c>
      <c r="S1291" s="13">
        <v>0</v>
      </c>
    </row>
    <row r="1292" spans="18:19" x14ac:dyDescent="0.25">
      <c r="R1292" s="13">
        <v>1219</v>
      </c>
      <c r="S1292" s="13">
        <v>0</v>
      </c>
    </row>
    <row r="1293" spans="18:19" x14ac:dyDescent="0.25">
      <c r="R1293" s="13">
        <v>1220</v>
      </c>
      <c r="S1293" s="13">
        <v>0</v>
      </c>
    </row>
    <row r="1294" spans="18:19" x14ac:dyDescent="0.25">
      <c r="R1294" s="13">
        <v>1221</v>
      </c>
      <c r="S1294" s="13">
        <v>0</v>
      </c>
    </row>
    <row r="1295" spans="18:19" x14ac:dyDescent="0.25">
      <c r="R1295" s="13">
        <v>1222</v>
      </c>
      <c r="S1295" s="13">
        <v>0</v>
      </c>
    </row>
    <row r="1296" spans="18:19" x14ac:dyDescent="0.25">
      <c r="R1296" s="13">
        <v>1223</v>
      </c>
      <c r="S1296" s="13">
        <v>72341688.134990692</v>
      </c>
    </row>
    <row r="1297" spans="18:19" x14ac:dyDescent="0.25">
      <c r="R1297" s="13">
        <v>1224</v>
      </c>
      <c r="S1297" s="13">
        <v>0</v>
      </c>
    </row>
    <row r="1298" spans="18:19" x14ac:dyDescent="0.25">
      <c r="R1298" s="13">
        <v>1225</v>
      </c>
      <c r="S1298" s="13">
        <v>486093049.11615562</v>
      </c>
    </row>
    <row r="1299" spans="18:19" x14ac:dyDescent="0.25">
      <c r="R1299" s="13">
        <v>1226</v>
      </c>
      <c r="S1299" s="13">
        <v>0</v>
      </c>
    </row>
    <row r="1300" spans="18:19" x14ac:dyDescent="0.25">
      <c r="R1300" s="13">
        <v>1227</v>
      </c>
      <c r="S1300" s="13">
        <v>0</v>
      </c>
    </row>
    <row r="1301" spans="18:19" x14ac:dyDescent="0.25">
      <c r="R1301" s="13">
        <v>1228</v>
      </c>
      <c r="S1301" s="13">
        <v>160035512.78101349</v>
      </c>
    </row>
    <row r="1302" spans="18:19" x14ac:dyDescent="0.25">
      <c r="R1302" s="13">
        <v>1229</v>
      </c>
      <c r="S1302" s="13">
        <v>207233464.70210075</v>
      </c>
    </row>
    <row r="1303" spans="18:19" x14ac:dyDescent="0.25">
      <c r="R1303" s="13">
        <v>1230</v>
      </c>
      <c r="S1303" s="13">
        <v>0</v>
      </c>
    </row>
    <row r="1304" spans="18:19" x14ac:dyDescent="0.25">
      <c r="R1304" s="13">
        <v>1231</v>
      </c>
      <c r="S1304" s="13">
        <v>0</v>
      </c>
    </row>
    <row r="1305" spans="18:19" x14ac:dyDescent="0.25">
      <c r="R1305" s="13">
        <v>1232</v>
      </c>
      <c r="S1305" s="13">
        <v>0</v>
      </c>
    </row>
    <row r="1306" spans="18:19" x14ac:dyDescent="0.25">
      <c r="R1306" s="13">
        <v>1233</v>
      </c>
      <c r="S1306" s="13">
        <v>0</v>
      </c>
    </row>
    <row r="1307" spans="18:19" x14ac:dyDescent="0.25">
      <c r="R1307" s="13">
        <v>1234</v>
      </c>
      <c r="S1307" s="13">
        <v>0</v>
      </c>
    </row>
    <row r="1308" spans="18:19" x14ac:dyDescent="0.25">
      <c r="R1308" s="13">
        <v>1235</v>
      </c>
      <c r="S1308" s="13">
        <v>0</v>
      </c>
    </row>
    <row r="1309" spans="18:19" x14ac:dyDescent="0.25">
      <c r="R1309" s="13">
        <v>1236</v>
      </c>
      <c r="S1309" s="13">
        <v>0</v>
      </c>
    </row>
    <row r="1310" spans="18:19" x14ac:dyDescent="0.25">
      <c r="R1310" s="13">
        <v>1237</v>
      </c>
      <c r="S1310" s="13">
        <v>0</v>
      </c>
    </row>
    <row r="1311" spans="18:19" x14ac:dyDescent="0.25">
      <c r="R1311" s="13">
        <v>1238</v>
      </c>
      <c r="S1311" s="13">
        <v>0</v>
      </c>
    </row>
    <row r="1312" spans="18:19" x14ac:dyDescent="0.25">
      <c r="R1312" s="13">
        <v>1239</v>
      </c>
      <c r="S1312" s="13">
        <v>0</v>
      </c>
    </row>
    <row r="1313" spans="18:19" x14ac:dyDescent="0.25">
      <c r="R1313" s="13">
        <v>1240</v>
      </c>
      <c r="S1313" s="13">
        <v>0</v>
      </c>
    </row>
    <row r="1314" spans="18:19" x14ac:dyDescent="0.25">
      <c r="R1314" s="13">
        <v>1241</v>
      </c>
      <c r="S1314" s="13">
        <v>0</v>
      </c>
    </row>
    <row r="1315" spans="18:19" x14ac:dyDescent="0.25">
      <c r="R1315" s="13">
        <v>1242</v>
      </c>
      <c r="S1315" s="13">
        <v>0</v>
      </c>
    </row>
    <row r="1316" spans="18:19" x14ac:dyDescent="0.25">
      <c r="R1316" s="13">
        <v>1243</v>
      </c>
      <c r="S1316" s="13">
        <v>0</v>
      </c>
    </row>
    <row r="1317" spans="18:19" x14ac:dyDescent="0.25">
      <c r="R1317" s="13">
        <v>1244</v>
      </c>
      <c r="S1317" s="13">
        <v>0</v>
      </c>
    </row>
    <row r="1318" spans="18:19" x14ac:dyDescent="0.25">
      <c r="R1318" s="13">
        <v>1245</v>
      </c>
      <c r="S1318" s="13">
        <v>0</v>
      </c>
    </row>
    <row r="1319" spans="18:19" x14ac:dyDescent="0.25">
      <c r="R1319" s="13">
        <v>1246</v>
      </c>
      <c r="S1319" s="13">
        <v>0</v>
      </c>
    </row>
    <row r="1320" spans="18:19" x14ac:dyDescent="0.25">
      <c r="R1320" s="13">
        <v>1247</v>
      </c>
      <c r="S1320" s="13">
        <v>0</v>
      </c>
    </row>
    <row r="1321" spans="18:19" x14ac:dyDescent="0.25">
      <c r="R1321" s="13">
        <v>1248</v>
      </c>
      <c r="S1321" s="13">
        <v>0</v>
      </c>
    </row>
    <row r="1322" spans="18:19" x14ac:dyDescent="0.25">
      <c r="R1322" s="13">
        <v>1249</v>
      </c>
      <c r="S1322" s="13">
        <v>316623169.15460587</v>
      </c>
    </row>
    <row r="1323" spans="18:19" x14ac:dyDescent="0.25">
      <c r="R1323" s="13">
        <v>1250</v>
      </c>
      <c r="S1323" s="13">
        <v>0</v>
      </c>
    </row>
    <row r="1324" spans="18:19" x14ac:dyDescent="0.25">
      <c r="R1324" s="13">
        <v>1251</v>
      </c>
      <c r="S1324" s="13">
        <v>0</v>
      </c>
    </row>
    <row r="1325" spans="18:19" x14ac:dyDescent="0.25">
      <c r="R1325" s="13">
        <v>1252</v>
      </c>
      <c r="S1325" s="13">
        <v>0</v>
      </c>
    </row>
    <row r="1326" spans="18:19" x14ac:dyDescent="0.25">
      <c r="R1326" s="13">
        <v>1253</v>
      </c>
      <c r="S1326" s="13">
        <v>288956311.33744812</v>
      </c>
    </row>
    <row r="1327" spans="18:19" x14ac:dyDescent="0.25">
      <c r="R1327" s="13">
        <v>1254</v>
      </c>
      <c r="S1327" s="13">
        <v>0</v>
      </c>
    </row>
    <row r="1328" spans="18:19" x14ac:dyDescent="0.25">
      <c r="R1328" s="13">
        <v>1255</v>
      </c>
      <c r="S1328" s="13">
        <v>370338791.91261482</v>
      </c>
    </row>
    <row r="1329" spans="18:19" x14ac:dyDescent="0.25">
      <c r="R1329" s="13">
        <v>1256</v>
      </c>
      <c r="S1329" s="13">
        <v>0</v>
      </c>
    </row>
    <row r="1330" spans="18:19" x14ac:dyDescent="0.25">
      <c r="R1330" s="13">
        <v>1257</v>
      </c>
      <c r="S1330" s="13">
        <v>0</v>
      </c>
    </row>
    <row r="1331" spans="18:19" x14ac:dyDescent="0.25">
      <c r="R1331" s="13">
        <v>1258</v>
      </c>
      <c r="S1331" s="13">
        <v>0</v>
      </c>
    </row>
    <row r="1332" spans="18:19" x14ac:dyDescent="0.25">
      <c r="R1332" s="13">
        <v>1259</v>
      </c>
      <c r="S1332" s="13">
        <v>799808572.00901794</v>
      </c>
    </row>
    <row r="1333" spans="18:19" x14ac:dyDescent="0.25">
      <c r="R1333" s="13">
        <v>1260</v>
      </c>
      <c r="S1333" s="13">
        <v>0</v>
      </c>
    </row>
    <row r="1334" spans="18:19" x14ac:dyDescent="0.25">
      <c r="R1334" s="13">
        <v>1261</v>
      </c>
      <c r="S1334" s="13">
        <v>0</v>
      </c>
    </row>
    <row r="1335" spans="18:19" x14ac:dyDescent="0.25">
      <c r="R1335" s="13">
        <v>1262</v>
      </c>
      <c r="S1335" s="13">
        <v>0</v>
      </c>
    </row>
    <row r="1336" spans="18:19" x14ac:dyDescent="0.25">
      <c r="R1336" s="13">
        <v>1263</v>
      </c>
      <c r="S1336" s="13">
        <v>303336767.99180984</v>
      </c>
    </row>
    <row r="1337" spans="18:19" x14ac:dyDescent="0.25">
      <c r="R1337" s="13">
        <v>1264</v>
      </c>
      <c r="S1337" s="13">
        <v>102262049.38427544</v>
      </c>
    </row>
    <row r="1338" spans="18:19" x14ac:dyDescent="0.25">
      <c r="R1338" s="13">
        <v>1265</v>
      </c>
      <c r="S1338" s="13">
        <v>104662074.10361671</v>
      </c>
    </row>
    <row r="1339" spans="18:19" x14ac:dyDescent="0.25">
      <c r="R1339" s="13">
        <v>1266</v>
      </c>
      <c r="S1339" s="13">
        <v>105144165.42233658</v>
      </c>
    </row>
    <row r="1340" spans="18:19" x14ac:dyDescent="0.25">
      <c r="R1340" s="13">
        <v>1267</v>
      </c>
      <c r="S1340" s="13">
        <v>0</v>
      </c>
    </row>
    <row r="1341" spans="18:19" x14ac:dyDescent="0.25">
      <c r="R1341" s="13">
        <v>1268</v>
      </c>
      <c r="S1341" s="13">
        <v>0</v>
      </c>
    </row>
    <row r="1342" spans="18:19" x14ac:dyDescent="0.25">
      <c r="R1342" s="13">
        <v>1269</v>
      </c>
      <c r="S1342" s="13">
        <v>0</v>
      </c>
    </row>
    <row r="1343" spans="18:19" x14ac:dyDescent="0.25">
      <c r="R1343" s="13">
        <v>1270</v>
      </c>
      <c r="S1343" s="13">
        <v>814516630.37024498</v>
      </c>
    </row>
    <row r="1344" spans="18:19" x14ac:dyDescent="0.25">
      <c r="R1344" s="13">
        <v>1271</v>
      </c>
      <c r="S1344" s="13">
        <v>615752740.08012772</v>
      </c>
    </row>
    <row r="1345" spans="18:19" x14ac:dyDescent="0.25">
      <c r="R1345" s="13">
        <v>1272</v>
      </c>
      <c r="S1345" s="13">
        <v>0</v>
      </c>
    </row>
    <row r="1346" spans="18:19" x14ac:dyDescent="0.25">
      <c r="R1346" s="13">
        <v>1273</v>
      </c>
      <c r="S1346" s="13">
        <v>385551395.97014046</v>
      </c>
    </row>
    <row r="1347" spans="18:19" x14ac:dyDescent="0.25">
      <c r="R1347" s="13">
        <v>1274</v>
      </c>
      <c r="S1347" s="13">
        <v>0</v>
      </c>
    </row>
    <row r="1348" spans="18:19" x14ac:dyDescent="0.25">
      <c r="R1348" s="13">
        <v>1275</v>
      </c>
      <c r="S1348" s="13">
        <v>0</v>
      </c>
    </row>
    <row r="1349" spans="18:19" x14ac:dyDescent="0.25">
      <c r="R1349" s="13">
        <v>1276</v>
      </c>
      <c r="S1349" s="13">
        <v>0</v>
      </c>
    </row>
    <row r="1350" spans="18:19" x14ac:dyDescent="0.25">
      <c r="R1350" s="13">
        <v>1277</v>
      </c>
      <c r="S1350" s="13">
        <v>0</v>
      </c>
    </row>
    <row r="1351" spans="18:19" x14ac:dyDescent="0.25">
      <c r="R1351" s="13">
        <v>1278</v>
      </c>
      <c r="S1351" s="13">
        <v>0</v>
      </c>
    </row>
    <row r="1352" spans="18:19" x14ac:dyDescent="0.25">
      <c r="R1352" s="13">
        <v>1279</v>
      </c>
      <c r="S1352" s="13">
        <v>0</v>
      </c>
    </row>
    <row r="1353" spans="18:19" x14ac:dyDescent="0.25">
      <c r="R1353" s="13">
        <v>1280</v>
      </c>
      <c r="S1353" s="13">
        <v>0</v>
      </c>
    </row>
    <row r="1354" spans="18:19" x14ac:dyDescent="0.25">
      <c r="R1354" s="13">
        <v>1281</v>
      </c>
      <c r="S1354" s="13">
        <v>0</v>
      </c>
    </row>
    <row r="1355" spans="18:19" x14ac:dyDescent="0.25">
      <c r="R1355" s="13">
        <v>1282</v>
      </c>
      <c r="S1355" s="13">
        <v>0</v>
      </c>
    </row>
    <row r="1356" spans="18:19" x14ac:dyDescent="0.25">
      <c r="R1356" s="13">
        <v>1283</v>
      </c>
      <c r="S1356" s="13">
        <v>0</v>
      </c>
    </row>
    <row r="1357" spans="18:19" x14ac:dyDescent="0.25">
      <c r="R1357" s="13">
        <v>1284</v>
      </c>
      <c r="S1357" s="13">
        <v>0</v>
      </c>
    </row>
    <row r="1358" spans="18:19" x14ac:dyDescent="0.25">
      <c r="R1358" s="13">
        <v>1285</v>
      </c>
      <c r="S1358" s="13">
        <v>1023993964.0119476</v>
      </c>
    </row>
    <row r="1359" spans="18:19" x14ac:dyDescent="0.25">
      <c r="R1359" s="13">
        <v>1286</v>
      </c>
      <c r="S1359" s="13">
        <v>0</v>
      </c>
    </row>
    <row r="1360" spans="18:19" x14ac:dyDescent="0.25">
      <c r="R1360" s="13">
        <v>1287</v>
      </c>
      <c r="S1360" s="13">
        <v>0</v>
      </c>
    </row>
    <row r="1361" spans="18:19" x14ac:dyDescent="0.25">
      <c r="R1361" s="13">
        <v>1288</v>
      </c>
      <c r="S1361" s="13">
        <v>477836329.0459404</v>
      </c>
    </row>
    <row r="1362" spans="18:19" x14ac:dyDescent="0.25">
      <c r="R1362" s="13">
        <v>1289</v>
      </c>
      <c r="S1362" s="13">
        <v>0</v>
      </c>
    </row>
    <row r="1363" spans="18:19" x14ac:dyDescent="0.25">
      <c r="R1363" s="13">
        <v>1290</v>
      </c>
      <c r="S1363" s="13">
        <v>0</v>
      </c>
    </row>
    <row r="1364" spans="18:19" x14ac:dyDescent="0.25">
      <c r="R1364" s="13">
        <v>1291</v>
      </c>
      <c r="S1364" s="13">
        <v>0</v>
      </c>
    </row>
    <row r="1365" spans="18:19" x14ac:dyDescent="0.25">
      <c r="R1365" s="13">
        <v>1292</v>
      </c>
      <c r="S1365" s="13">
        <v>0</v>
      </c>
    </row>
    <row r="1366" spans="18:19" x14ac:dyDescent="0.25">
      <c r="R1366" s="13">
        <v>1293</v>
      </c>
      <c r="S1366" s="13">
        <v>0</v>
      </c>
    </row>
    <row r="1367" spans="18:19" x14ac:dyDescent="0.25">
      <c r="R1367" s="13">
        <v>1294</v>
      </c>
      <c r="S1367" s="13">
        <v>0</v>
      </c>
    </row>
    <row r="1368" spans="18:19" x14ac:dyDescent="0.25">
      <c r="R1368" s="13">
        <v>1295</v>
      </c>
      <c r="S1368" s="13">
        <v>0</v>
      </c>
    </row>
    <row r="1369" spans="18:19" x14ac:dyDescent="0.25">
      <c r="R1369" s="13">
        <v>1296</v>
      </c>
      <c r="S1369" s="13">
        <v>0</v>
      </c>
    </row>
    <row r="1370" spans="18:19" x14ac:dyDescent="0.25">
      <c r="R1370" s="13">
        <v>1297</v>
      </c>
      <c r="S1370" s="13">
        <v>630546395.74764061</v>
      </c>
    </row>
    <row r="1371" spans="18:19" x14ac:dyDescent="0.25">
      <c r="R1371" s="13">
        <v>1298</v>
      </c>
      <c r="S1371" s="13">
        <v>0</v>
      </c>
    </row>
    <row r="1372" spans="18:19" x14ac:dyDescent="0.25">
      <c r="R1372" s="13">
        <v>1299</v>
      </c>
      <c r="S1372" s="13">
        <v>0</v>
      </c>
    </row>
    <row r="1373" spans="18:19" x14ac:dyDescent="0.25">
      <c r="R1373" s="13">
        <v>1300</v>
      </c>
      <c r="S1373" s="13">
        <v>0</v>
      </c>
    </row>
    <row r="1374" spans="18:19" x14ac:dyDescent="0.25">
      <c r="R1374" s="13">
        <v>1301</v>
      </c>
      <c r="S1374" s="13">
        <v>0</v>
      </c>
    </row>
    <row r="1375" spans="18:19" x14ac:dyDescent="0.25">
      <c r="R1375" s="13">
        <v>1302</v>
      </c>
      <c r="S1375" s="13">
        <v>0</v>
      </c>
    </row>
    <row r="1376" spans="18:19" x14ac:dyDescent="0.25">
      <c r="R1376" s="13">
        <v>1303</v>
      </c>
      <c r="S1376" s="13">
        <v>0</v>
      </c>
    </row>
    <row r="1377" spans="18:19" x14ac:dyDescent="0.25">
      <c r="R1377" s="13">
        <v>1304</v>
      </c>
      <c r="S1377" s="13">
        <v>0</v>
      </c>
    </row>
    <row r="1378" spans="18:19" x14ac:dyDescent="0.25">
      <c r="R1378" s="13">
        <v>1305</v>
      </c>
      <c r="S1378" s="13">
        <v>0</v>
      </c>
    </row>
    <row r="1379" spans="18:19" x14ac:dyDescent="0.25">
      <c r="R1379" s="13">
        <v>1306</v>
      </c>
      <c r="S1379" s="13">
        <v>0</v>
      </c>
    </row>
    <row r="1380" spans="18:19" x14ac:dyDescent="0.25">
      <c r="R1380" s="13">
        <v>1307</v>
      </c>
      <c r="S1380" s="13">
        <v>0</v>
      </c>
    </row>
    <row r="1381" spans="18:19" x14ac:dyDescent="0.25">
      <c r="R1381" s="13">
        <v>1308</v>
      </c>
      <c r="S1381" s="13">
        <v>210374919.59944534</v>
      </c>
    </row>
    <row r="1382" spans="18:19" x14ac:dyDescent="0.25">
      <c r="R1382" s="13">
        <v>1309</v>
      </c>
      <c r="S1382" s="13">
        <v>0</v>
      </c>
    </row>
    <row r="1383" spans="18:19" x14ac:dyDescent="0.25">
      <c r="R1383" s="13">
        <v>1310</v>
      </c>
      <c r="S1383" s="13">
        <v>0</v>
      </c>
    </row>
    <row r="1384" spans="18:19" x14ac:dyDescent="0.25">
      <c r="R1384" s="13">
        <v>1311</v>
      </c>
      <c r="S1384" s="13">
        <v>0</v>
      </c>
    </row>
    <row r="1385" spans="18:19" x14ac:dyDescent="0.25">
      <c r="R1385" s="13">
        <v>1312</v>
      </c>
      <c r="S1385" s="13">
        <v>0</v>
      </c>
    </row>
    <row r="1386" spans="18:19" x14ac:dyDescent="0.25">
      <c r="R1386" s="13">
        <v>1313</v>
      </c>
      <c r="S1386" s="13">
        <v>0</v>
      </c>
    </row>
    <row r="1387" spans="18:19" x14ac:dyDescent="0.25">
      <c r="R1387" s="13">
        <v>1314</v>
      </c>
      <c r="S1387" s="13">
        <v>710793774.60710716</v>
      </c>
    </row>
    <row r="1388" spans="18:19" x14ac:dyDescent="0.25">
      <c r="R1388" s="13">
        <v>1315</v>
      </c>
      <c r="S1388" s="13">
        <v>0</v>
      </c>
    </row>
    <row r="1389" spans="18:19" x14ac:dyDescent="0.25">
      <c r="R1389" s="13">
        <v>1316</v>
      </c>
      <c r="S1389" s="13">
        <v>1145714959.1624603</v>
      </c>
    </row>
    <row r="1390" spans="18:19" x14ac:dyDescent="0.25">
      <c r="R1390" s="13">
        <v>1317</v>
      </c>
      <c r="S1390" s="13">
        <v>0</v>
      </c>
    </row>
    <row r="1391" spans="18:19" x14ac:dyDescent="0.25">
      <c r="R1391" s="13">
        <v>1318</v>
      </c>
      <c r="S1391" s="13">
        <v>0</v>
      </c>
    </row>
    <row r="1392" spans="18:19" x14ac:dyDescent="0.25">
      <c r="R1392" s="13">
        <v>1319</v>
      </c>
      <c r="S1392" s="13">
        <v>0</v>
      </c>
    </row>
    <row r="1393" spans="18:19" x14ac:dyDescent="0.25">
      <c r="R1393" s="13">
        <v>1320</v>
      </c>
      <c r="S1393" s="13">
        <v>0</v>
      </c>
    </row>
    <row r="1394" spans="18:19" x14ac:dyDescent="0.25">
      <c r="R1394" s="13">
        <v>1321</v>
      </c>
      <c r="S1394" s="13">
        <v>0</v>
      </c>
    </row>
    <row r="1395" spans="18:19" x14ac:dyDescent="0.25">
      <c r="R1395" s="13">
        <v>1322</v>
      </c>
      <c r="S1395" s="13">
        <v>172657933.14347076</v>
      </c>
    </row>
    <row r="1396" spans="18:19" x14ac:dyDescent="0.25">
      <c r="R1396" s="13">
        <v>1323</v>
      </c>
      <c r="S1396" s="13">
        <v>0</v>
      </c>
    </row>
    <row r="1397" spans="18:19" x14ac:dyDescent="0.25">
      <c r="R1397" s="13">
        <v>1324</v>
      </c>
      <c r="S1397" s="13">
        <v>328787393.27930069</v>
      </c>
    </row>
    <row r="1398" spans="18:19" x14ac:dyDescent="0.25">
      <c r="R1398" s="13">
        <v>1325</v>
      </c>
      <c r="S1398" s="13">
        <v>0</v>
      </c>
    </row>
    <row r="1399" spans="18:19" x14ac:dyDescent="0.25">
      <c r="R1399" s="13">
        <v>1326</v>
      </c>
      <c r="S1399" s="13">
        <v>0</v>
      </c>
    </row>
    <row r="1400" spans="18:19" x14ac:dyDescent="0.25">
      <c r="R1400" s="13">
        <v>1327</v>
      </c>
      <c r="S1400" s="13">
        <v>625164847.43593788</v>
      </c>
    </row>
    <row r="1401" spans="18:19" x14ac:dyDescent="0.25">
      <c r="R1401" s="13">
        <v>1328</v>
      </c>
      <c r="S1401" s="13">
        <v>0</v>
      </c>
    </row>
    <row r="1402" spans="18:19" x14ac:dyDescent="0.25">
      <c r="R1402" s="13">
        <v>1329</v>
      </c>
      <c r="S1402" s="13">
        <v>0</v>
      </c>
    </row>
    <row r="1403" spans="18:19" x14ac:dyDescent="0.25">
      <c r="R1403" s="13">
        <v>1330</v>
      </c>
      <c r="S1403" s="13">
        <v>0</v>
      </c>
    </row>
    <row r="1404" spans="18:19" x14ac:dyDescent="0.25">
      <c r="R1404" s="13">
        <v>1331</v>
      </c>
      <c r="S1404" s="13">
        <v>511604375.28563499</v>
      </c>
    </row>
    <row r="1405" spans="18:19" x14ac:dyDescent="0.25">
      <c r="R1405" s="13">
        <v>1332</v>
      </c>
      <c r="S1405" s="13">
        <v>0</v>
      </c>
    </row>
    <row r="1406" spans="18:19" x14ac:dyDescent="0.25">
      <c r="R1406" s="13">
        <v>1333</v>
      </c>
      <c r="S1406" s="13">
        <v>280815538.88325119</v>
      </c>
    </row>
    <row r="1407" spans="18:19" x14ac:dyDescent="0.25">
      <c r="R1407" s="13">
        <v>1334</v>
      </c>
      <c r="S1407" s="13">
        <v>0</v>
      </c>
    </row>
    <row r="1408" spans="18:19" x14ac:dyDescent="0.25">
      <c r="R1408" s="13">
        <v>1335</v>
      </c>
      <c r="S1408" s="13">
        <v>0</v>
      </c>
    </row>
    <row r="1409" spans="18:19" x14ac:dyDescent="0.25">
      <c r="R1409" s="13">
        <v>1336</v>
      </c>
      <c r="S1409" s="13">
        <v>0</v>
      </c>
    </row>
    <row r="1410" spans="18:19" x14ac:dyDescent="0.25">
      <c r="R1410" s="13">
        <v>1337</v>
      </c>
      <c r="S1410" s="13">
        <v>0</v>
      </c>
    </row>
    <row r="1411" spans="18:19" x14ac:dyDescent="0.25">
      <c r="R1411" s="13">
        <v>1338</v>
      </c>
      <c r="S1411" s="13">
        <v>0</v>
      </c>
    </row>
    <row r="1412" spans="18:19" x14ac:dyDescent="0.25">
      <c r="R1412" s="13">
        <v>1339</v>
      </c>
      <c r="S1412" s="13">
        <v>0</v>
      </c>
    </row>
    <row r="1413" spans="18:19" x14ac:dyDescent="0.25">
      <c r="R1413" s="13">
        <v>1340</v>
      </c>
      <c r="S1413" s="13">
        <v>0</v>
      </c>
    </row>
    <row r="1414" spans="18:19" x14ac:dyDescent="0.25">
      <c r="R1414" s="13">
        <v>1341</v>
      </c>
      <c r="S1414" s="13">
        <v>0</v>
      </c>
    </row>
    <row r="1415" spans="18:19" x14ac:dyDescent="0.25">
      <c r="R1415" s="13">
        <v>1342</v>
      </c>
      <c r="S1415" s="13">
        <v>0</v>
      </c>
    </row>
    <row r="1416" spans="18:19" x14ac:dyDescent="0.25">
      <c r="R1416" s="13">
        <v>1343</v>
      </c>
      <c r="S1416" s="13">
        <v>0</v>
      </c>
    </row>
    <row r="1417" spans="18:19" x14ac:dyDescent="0.25">
      <c r="R1417" s="13">
        <v>1344</v>
      </c>
      <c r="S1417" s="13">
        <v>189140884.85075569</v>
      </c>
    </row>
    <row r="1418" spans="18:19" x14ac:dyDescent="0.25">
      <c r="R1418" s="13">
        <v>1345</v>
      </c>
      <c r="S1418" s="13">
        <v>0</v>
      </c>
    </row>
    <row r="1419" spans="18:19" x14ac:dyDescent="0.25">
      <c r="R1419" s="13">
        <v>1346</v>
      </c>
      <c r="S1419" s="13">
        <v>0</v>
      </c>
    </row>
    <row r="1420" spans="18:19" x14ac:dyDescent="0.25">
      <c r="R1420" s="13">
        <v>1347</v>
      </c>
      <c r="S1420" s="13">
        <v>0</v>
      </c>
    </row>
    <row r="1421" spans="18:19" x14ac:dyDescent="0.25">
      <c r="R1421" s="13">
        <v>1348</v>
      </c>
      <c r="S1421" s="13">
        <v>0</v>
      </c>
    </row>
    <row r="1422" spans="18:19" x14ac:dyDescent="0.25">
      <c r="R1422" s="13">
        <v>1349</v>
      </c>
      <c r="S1422" s="13">
        <v>0</v>
      </c>
    </row>
    <row r="1423" spans="18:19" x14ac:dyDescent="0.25">
      <c r="R1423" s="13">
        <v>1350</v>
      </c>
      <c r="S1423" s="13">
        <v>0</v>
      </c>
    </row>
    <row r="1424" spans="18:19" x14ac:dyDescent="0.25">
      <c r="R1424" s="13">
        <v>1351</v>
      </c>
      <c r="S1424" s="13">
        <v>16343410.619674683</v>
      </c>
    </row>
    <row r="1425" spans="18:19" x14ac:dyDescent="0.25">
      <c r="R1425" s="13">
        <v>1352</v>
      </c>
      <c r="S1425" s="13">
        <v>0</v>
      </c>
    </row>
    <row r="1426" spans="18:19" x14ac:dyDescent="0.25">
      <c r="R1426" s="13">
        <v>1353</v>
      </c>
      <c r="S1426" s="13">
        <v>0</v>
      </c>
    </row>
    <row r="1427" spans="18:19" x14ac:dyDescent="0.25">
      <c r="R1427" s="13">
        <v>1354</v>
      </c>
      <c r="S1427" s="13">
        <v>0</v>
      </c>
    </row>
    <row r="1428" spans="18:19" x14ac:dyDescent="0.25">
      <c r="R1428" s="13">
        <v>1355</v>
      </c>
      <c r="S1428" s="13">
        <v>0</v>
      </c>
    </row>
    <row r="1429" spans="18:19" x14ac:dyDescent="0.25">
      <c r="R1429" s="13">
        <v>1356</v>
      </c>
      <c r="S1429" s="13">
        <v>0</v>
      </c>
    </row>
    <row r="1430" spans="18:19" x14ac:dyDescent="0.25">
      <c r="R1430" s="13">
        <v>1357</v>
      </c>
      <c r="S1430" s="13">
        <v>0</v>
      </c>
    </row>
    <row r="1431" spans="18:19" x14ac:dyDescent="0.25">
      <c r="R1431" s="13">
        <v>1358</v>
      </c>
      <c r="S1431" s="13">
        <v>0</v>
      </c>
    </row>
    <row r="1432" spans="18:19" x14ac:dyDescent="0.25">
      <c r="R1432" s="13">
        <v>1359</v>
      </c>
      <c r="S1432" s="13">
        <v>0</v>
      </c>
    </row>
    <row r="1433" spans="18:19" x14ac:dyDescent="0.25">
      <c r="R1433" s="13">
        <v>1360</v>
      </c>
      <c r="S1433" s="13">
        <v>422047909.84718323</v>
      </c>
    </row>
    <row r="1434" spans="18:19" x14ac:dyDescent="0.25">
      <c r="R1434" s="13">
        <v>1361</v>
      </c>
      <c r="S1434" s="13">
        <v>0</v>
      </c>
    </row>
    <row r="1435" spans="18:19" x14ac:dyDescent="0.25">
      <c r="R1435" s="13">
        <v>1362</v>
      </c>
      <c r="S1435" s="13">
        <v>0</v>
      </c>
    </row>
    <row r="1436" spans="18:19" x14ac:dyDescent="0.25">
      <c r="R1436" s="13">
        <v>1363</v>
      </c>
      <c r="S1436" s="13">
        <v>0</v>
      </c>
    </row>
    <row r="1437" spans="18:19" x14ac:dyDescent="0.25">
      <c r="R1437" s="13">
        <v>1364</v>
      </c>
      <c r="S1437" s="13">
        <v>254462029.47558212</v>
      </c>
    </row>
    <row r="1438" spans="18:19" x14ac:dyDescent="0.25">
      <c r="R1438" s="13">
        <v>1365</v>
      </c>
      <c r="S1438" s="13">
        <v>0</v>
      </c>
    </row>
    <row r="1439" spans="18:19" x14ac:dyDescent="0.25">
      <c r="R1439" s="13">
        <v>1366</v>
      </c>
      <c r="S1439" s="13">
        <v>0</v>
      </c>
    </row>
    <row r="1440" spans="18:19" x14ac:dyDescent="0.25">
      <c r="R1440" s="13">
        <v>1367</v>
      </c>
      <c r="S1440" s="13">
        <v>30364072.246112823</v>
      </c>
    </row>
    <row r="1441" spans="18:19" x14ac:dyDescent="0.25">
      <c r="R1441" s="13">
        <v>1368</v>
      </c>
      <c r="S1441" s="13">
        <v>0</v>
      </c>
    </row>
    <row r="1442" spans="18:19" x14ac:dyDescent="0.25">
      <c r="R1442" s="13">
        <v>1369</v>
      </c>
      <c r="S1442" s="13">
        <v>0</v>
      </c>
    </row>
    <row r="1443" spans="18:19" x14ac:dyDescent="0.25">
      <c r="R1443" s="13">
        <v>1370</v>
      </c>
      <c r="S1443" s="13">
        <v>0</v>
      </c>
    </row>
    <row r="1444" spans="18:19" x14ac:dyDescent="0.25">
      <c r="R1444" s="13">
        <v>1371</v>
      </c>
      <c r="S1444" s="13">
        <v>0</v>
      </c>
    </row>
    <row r="1445" spans="18:19" x14ac:dyDescent="0.25">
      <c r="R1445" s="13">
        <v>1372</v>
      </c>
      <c r="S1445" s="13">
        <v>0</v>
      </c>
    </row>
    <row r="1446" spans="18:19" x14ac:dyDescent="0.25">
      <c r="R1446" s="13">
        <v>1373</v>
      </c>
      <c r="S1446" s="13">
        <v>0</v>
      </c>
    </row>
    <row r="1447" spans="18:19" x14ac:dyDescent="0.25">
      <c r="R1447" s="13">
        <v>1374</v>
      </c>
      <c r="S1447" s="13">
        <v>0</v>
      </c>
    </row>
    <row r="1448" spans="18:19" x14ac:dyDescent="0.25">
      <c r="R1448" s="13">
        <v>1375</v>
      </c>
      <c r="S1448" s="13">
        <v>0</v>
      </c>
    </row>
    <row r="1449" spans="18:19" x14ac:dyDescent="0.25">
      <c r="R1449" s="13">
        <v>1376</v>
      </c>
      <c r="S1449" s="13">
        <v>0</v>
      </c>
    </row>
    <row r="1450" spans="18:19" x14ac:dyDescent="0.25">
      <c r="R1450" s="13">
        <v>1377</v>
      </c>
      <c r="S1450" s="13">
        <v>0</v>
      </c>
    </row>
    <row r="1451" spans="18:19" x14ac:dyDescent="0.25">
      <c r="R1451" s="13">
        <v>1378</v>
      </c>
      <c r="S1451" s="13">
        <v>0</v>
      </c>
    </row>
    <row r="1452" spans="18:19" x14ac:dyDescent="0.25">
      <c r="R1452" s="13">
        <v>1379</v>
      </c>
      <c r="S1452" s="13">
        <v>100725730.90864372</v>
      </c>
    </row>
    <row r="1453" spans="18:19" x14ac:dyDescent="0.25">
      <c r="R1453" s="13">
        <v>1380</v>
      </c>
      <c r="S1453" s="13">
        <v>0</v>
      </c>
    </row>
    <row r="1454" spans="18:19" x14ac:dyDescent="0.25">
      <c r="R1454" s="13">
        <v>1381</v>
      </c>
      <c r="S1454" s="13">
        <v>0</v>
      </c>
    </row>
    <row r="1455" spans="18:19" x14ac:dyDescent="0.25">
      <c r="R1455" s="13">
        <v>1382</v>
      </c>
      <c r="S1455" s="13">
        <v>0</v>
      </c>
    </row>
    <row r="1456" spans="18:19" x14ac:dyDescent="0.25">
      <c r="R1456" s="13">
        <v>1383</v>
      </c>
      <c r="S1456" s="13">
        <v>0</v>
      </c>
    </row>
    <row r="1457" spans="18:19" x14ac:dyDescent="0.25">
      <c r="R1457" s="13">
        <v>1384</v>
      </c>
      <c r="S1457" s="13">
        <v>0</v>
      </c>
    </row>
    <row r="1458" spans="18:19" x14ac:dyDescent="0.25">
      <c r="R1458" s="13">
        <v>1385</v>
      </c>
      <c r="S1458" s="13">
        <v>0</v>
      </c>
    </row>
    <row r="1459" spans="18:19" x14ac:dyDescent="0.25">
      <c r="R1459" s="13">
        <v>1386</v>
      </c>
      <c r="S1459" s="13">
        <v>0</v>
      </c>
    </row>
    <row r="1460" spans="18:19" x14ac:dyDescent="0.25">
      <c r="R1460" s="13">
        <v>1387</v>
      </c>
      <c r="S1460" s="13">
        <v>0</v>
      </c>
    </row>
    <row r="1461" spans="18:19" x14ac:dyDescent="0.25">
      <c r="R1461" s="13">
        <v>1388</v>
      </c>
      <c r="S1461" s="13">
        <v>0</v>
      </c>
    </row>
    <row r="1462" spans="18:19" x14ac:dyDescent="0.25">
      <c r="R1462" s="13">
        <v>1389</v>
      </c>
      <c r="S1462" s="13">
        <v>0</v>
      </c>
    </row>
    <row r="1463" spans="18:19" x14ac:dyDescent="0.25">
      <c r="R1463" s="13">
        <v>1390</v>
      </c>
      <c r="S1463" s="13">
        <v>211308493.79239655</v>
      </c>
    </row>
    <row r="1464" spans="18:19" x14ac:dyDescent="0.25">
      <c r="R1464" s="13">
        <v>1391</v>
      </c>
      <c r="S1464" s="13">
        <v>0</v>
      </c>
    </row>
    <row r="1465" spans="18:19" x14ac:dyDescent="0.25">
      <c r="R1465" s="13">
        <v>1392</v>
      </c>
      <c r="S1465" s="13">
        <v>69575204.685834885</v>
      </c>
    </row>
    <row r="1466" spans="18:19" x14ac:dyDescent="0.25">
      <c r="R1466" s="13">
        <v>1393</v>
      </c>
      <c r="S1466" s="13">
        <v>0</v>
      </c>
    </row>
    <row r="1467" spans="18:19" x14ac:dyDescent="0.25">
      <c r="R1467" s="13">
        <v>1394</v>
      </c>
      <c r="S1467" s="13">
        <v>0</v>
      </c>
    </row>
    <row r="1468" spans="18:19" x14ac:dyDescent="0.25">
      <c r="R1468" s="13">
        <v>1395</v>
      </c>
      <c r="S1468" s="13">
        <v>0</v>
      </c>
    </row>
    <row r="1469" spans="18:19" x14ac:dyDescent="0.25">
      <c r="R1469" s="13">
        <v>1396</v>
      </c>
      <c r="S1469" s="13">
        <v>0</v>
      </c>
    </row>
    <row r="1470" spans="18:19" x14ac:dyDescent="0.25">
      <c r="R1470" s="13">
        <v>1397</v>
      </c>
      <c r="S1470" s="13">
        <v>0</v>
      </c>
    </row>
    <row r="1471" spans="18:19" x14ac:dyDescent="0.25">
      <c r="R1471" s="13">
        <v>1398</v>
      </c>
      <c r="S1471" s="13">
        <v>0</v>
      </c>
    </row>
    <row r="1472" spans="18:19" x14ac:dyDescent="0.25">
      <c r="R1472" s="13">
        <v>1399</v>
      </c>
      <c r="S1472" s="13">
        <v>0</v>
      </c>
    </row>
    <row r="1473" spans="18:19" x14ac:dyDescent="0.25">
      <c r="R1473" s="13">
        <v>1400</v>
      </c>
      <c r="S1473" s="13">
        <v>0</v>
      </c>
    </row>
    <row r="1474" spans="18:19" x14ac:dyDescent="0.25">
      <c r="R1474" s="13">
        <v>1401</v>
      </c>
      <c r="S1474" s="13">
        <v>175064762.40877342</v>
      </c>
    </row>
    <row r="1475" spans="18:19" x14ac:dyDescent="0.25">
      <c r="R1475" s="13">
        <v>1402</v>
      </c>
      <c r="S1475" s="13">
        <v>218651175.55122375</v>
      </c>
    </row>
    <row r="1476" spans="18:19" x14ac:dyDescent="0.25">
      <c r="R1476" s="13">
        <v>1403</v>
      </c>
      <c r="S1476" s="13">
        <v>0</v>
      </c>
    </row>
    <row r="1477" spans="18:19" x14ac:dyDescent="0.25">
      <c r="R1477" s="13">
        <v>1404</v>
      </c>
      <c r="S1477" s="13">
        <v>0</v>
      </c>
    </row>
    <row r="1478" spans="18:19" x14ac:dyDescent="0.25">
      <c r="R1478" s="13">
        <v>1405</v>
      </c>
      <c r="S1478" s="13">
        <v>0</v>
      </c>
    </row>
    <row r="1479" spans="18:19" x14ac:dyDescent="0.25">
      <c r="R1479" s="13">
        <v>1406</v>
      </c>
      <c r="S1479" s="13">
        <v>52505166.099466324</v>
      </c>
    </row>
    <row r="1480" spans="18:19" x14ac:dyDescent="0.25">
      <c r="R1480" s="13">
        <v>1407</v>
      </c>
      <c r="S1480" s="13">
        <v>384298129.767519</v>
      </c>
    </row>
    <row r="1481" spans="18:19" x14ac:dyDescent="0.25">
      <c r="R1481" s="13">
        <v>1408</v>
      </c>
      <c r="S1481" s="13">
        <v>192434533.23526001</v>
      </c>
    </row>
    <row r="1482" spans="18:19" x14ac:dyDescent="0.25">
      <c r="R1482" s="13">
        <v>1409</v>
      </c>
      <c r="S1482" s="13">
        <v>0</v>
      </c>
    </row>
    <row r="1483" spans="18:19" x14ac:dyDescent="0.25">
      <c r="R1483" s="13">
        <v>1410</v>
      </c>
      <c r="S1483" s="13">
        <v>0</v>
      </c>
    </row>
    <row r="1484" spans="18:19" x14ac:dyDescent="0.25">
      <c r="R1484" s="13">
        <v>1411</v>
      </c>
      <c r="S1484" s="13">
        <v>1056921698.7332077</v>
      </c>
    </row>
    <row r="1485" spans="18:19" x14ac:dyDescent="0.25">
      <c r="R1485" s="13">
        <v>1412</v>
      </c>
      <c r="S1485" s="13">
        <v>0</v>
      </c>
    </row>
    <row r="1486" spans="18:19" x14ac:dyDescent="0.25">
      <c r="R1486" s="13">
        <v>1413</v>
      </c>
      <c r="S1486" s="13">
        <v>104520043.41470337</v>
      </c>
    </row>
    <row r="1487" spans="18:19" x14ac:dyDescent="0.25">
      <c r="R1487" s="13">
        <v>1414</v>
      </c>
      <c r="S1487" s="13">
        <v>0</v>
      </c>
    </row>
    <row r="1488" spans="18:19" x14ac:dyDescent="0.25">
      <c r="R1488" s="13">
        <v>1415</v>
      </c>
      <c r="S1488" s="13">
        <v>553457413.99183846</v>
      </c>
    </row>
    <row r="1489" spans="18:19" x14ac:dyDescent="0.25">
      <c r="R1489" s="13">
        <v>1416</v>
      </c>
      <c r="S1489" s="13">
        <v>16839870.727352142</v>
      </c>
    </row>
    <row r="1490" spans="18:19" x14ac:dyDescent="0.25">
      <c r="R1490" s="13">
        <v>1417</v>
      </c>
      <c r="S1490" s="13">
        <v>0</v>
      </c>
    </row>
    <row r="1491" spans="18:19" x14ac:dyDescent="0.25">
      <c r="R1491" s="13">
        <v>1418</v>
      </c>
      <c r="S1491" s="13">
        <v>0</v>
      </c>
    </row>
    <row r="1492" spans="18:19" x14ac:dyDescent="0.25">
      <c r="R1492" s="13">
        <v>1419</v>
      </c>
      <c r="S1492" s="13">
        <v>0</v>
      </c>
    </row>
    <row r="1493" spans="18:19" x14ac:dyDescent="0.25">
      <c r="R1493" s="13">
        <v>1420</v>
      </c>
      <c r="S1493" s="13">
        <v>0</v>
      </c>
    </row>
    <row r="1494" spans="18:19" x14ac:dyDescent="0.25">
      <c r="R1494" s="13">
        <v>1421</v>
      </c>
      <c r="S1494" s="13">
        <v>0</v>
      </c>
    </row>
    <row r="1495" spans="18:19" x14ac:dyDescent="0.25">
      <c r="R1495" s="13">
        <v>1422</v>
      </c>
      <c r="S1495" s="13">
        <v>0</v>
      </c>
    </row>
    <row r="1496" spans="18:19" x14ac:dyDescent="0.25">
      <c r="R1496" s="13">
        <v>1423</v>
      </c>
      <c r="S1496" s="13">
        <v>0</v>
      </c>
    </row>
    <row r="1497" spans="18:19" x14ac:dyDescent="0.25">
      <c r="R1497" s="13">
        <v>1424</v>
      </c>
      <c r="S1497" s="13">
        <v>0</v>
      </c>
    </row>
    <row r="1498" spans="18:19" x14ac:dyDescent="0.25">
      <c r="R1498" s="13">
        <v>1425</v>
      </c>
      <c r="S1498" s="13">
        <v>240512144.12728691</v>
      </c>
    </row>
    <row r="1499" spans="18:19" x14ac:dyDescent="0.25">
      <c r="R1499" s="13">
        <v>1426</v>
      </c>
      <c r="S1499" s="13">
        <v>30343577.473134995</v>
      </c>
    </row>
    <row r="1500" spans="18:19" x14ac:dyDescent="0.25">
      <c r="R1500" s="13">
        <v>1427</v>
      </c>
      <c r="S1500" s="13">
        <v>0</v>
      </c>
    </row>
    <row r="1501" spans="18:19" x14ac:dyDescent="0.25">
      <c r="R1501" s="13">
        <v>1428</v>
      </c>
      <c r="S1501" s="13">
        <v>70656511.000835419</v>
      </c>
    </row>
    <row r="1502" spans="18:19" x14ac:dyDescent="0.25">
      <c r="R1502" s="13">
        <v>1429</v>
      </c>
      <c r="S1502" s="13">
        <v>554468241.50694466</v>
      </c>
    </row>
    <row r="1503" spans="18:19" x14ac:dyDescent="0.25">
      <c r="R1503" s="13">
        <v>1430</v>
      </c>
      <c r="S1503" s="13">
        <v>0</v>
      </c>
    </row>
    <row r="1504" spans="18:19" x14ac:dyDescent="0.25">
      <c r="R1504" s="13">
        <v>1431</v>
      </c>
      <c r="S1504" s="13">
        <v>0</v>
      </c>
    </row>
    <row r="1505" spans="18:19" x14ac:dyDescent="0.25">
      <c r="R1505" s="13">
        <v>1432</v>
      </c>
      <c r="S1505" s="13">
        <v>316808505.91054153</v>
      </c>
    </row>
    <row r="1506" spans="18:19" x14ac:dyDescent="0.25">
      <c r="R1506" s="13">
        <v>1433</v>
      </c>
      <c r="S1506" s="13">
        <v>0</v>
      </c>
    </row>
    <row r="1507" spans="18:19" x14ac:dyDescent="0.25">
      <c r="R1507" s="13">
        <v>1434</v>
      </c>
      <c r="S1507" s="13">
        <v>0</v>
      </c>
    </row>
    <row r="1508" spans="18:19" x14ac:dyDescent="0.25">
      <c r="R1508" s="13">
        <v>1435</v>
      </c>
      <c r="S1508" s="13">
        <v>220028707.56057739</v>
      </c>
    </row>
    <row r="1509" spans="18:19" x14ac:dyDescent="0.25">
      <c r="R1509" s="13">
        <v>1436</v>
      </c>
      <c r="S1509" s="13">
        <v>0</v>
      </c>
    </row>
    <row r="1510" spans="18:19" x14ac:dyDescent="0.25">
      <c r="R1510" s="13">
        <v>1437</v>
      </c>
      <c r="S1510" s="13">
        <v>0</v>
      </c>
    </row>
    <row r="1511" spans="18:19" x14ac:dyDescent="0.25">
      <c r="R1511" s="13">
        <v>1438</v>
      </c>
      <c r="S1511" s="13">
        <v>0</v>
      </c>
    </row>
    <row r="1512" spans="18:19" x14ac:dyDescent="0.25">
      <c r="R1512" s="13">
        <v>1439</v>
      </c>
      <c r="S1512" s="13">
        <v>39143595.937522888</v>
      </c>
    </row>
    <row r="1513" spans="18:19" x14ac:dyDescent="0.25">
      <c r="R1513" s="13">
        <v>1440</v>
      </c>
      <c r="S1513" s="13">
        <v>0</v>
      </c>
    </row>
    <row r="1514" spans="18:19" x14ac:dyDescent="0.25">
      <c r="R1514" s="13">
        <v>1441</v>
      </c>
      <c r="S1514" s="13">
        <v>0</v>
      </c>
    </row>
    <row r="1515" spans="18:19" x14ac:dyDescent="0.25">
      <c r="R1515" s="13">
        <v>1442</v>
      </c>
      <c r="S1515" s="13">
        <v>0</v>
      </c>
    </row>
    <row r="1516" spans="18:19" x14ac:dyDescent="0.25">
      <c r="R1516" s="13">
        <v>1443</v>
      </c>
      <c r="S1516" s="13">
        <v>0</v>
      </c>
    </row>
    <row r="1517" spans="18:19" x14ac:dyDescent="0.25">
      <c r="R1517" s="13">
        <v>1444</v>
      </c>
      <c r="S1517" s="13">
        <v>0</v>
      </c>
    </row>
    <row r="1518" spans="18:19" x14ac:dyDescent="0.25">
      <c r="R1518" s="13">
        <v>1445</v>
      </c>
      <c r="S1518" s="13">
        <v>0</v>
      </c>
    </row>
    <row r="1519" spans="18:19" x14ac:dyDescent="0.25">
      <c r="R1519" s="13">
        <v>1446</v>
      </c>
      <c r="S1519" s="13">
        <v>0</v>
      </c>
    </row>
    <row r="1520" spans="18:19" x14ac:dyDescent="0.25">
      <c r="R1520" s="13">
        <v>1447</v>
      </c>
      <c r="S1520" s="13">
        <v>700736135.13364792</v>
      </c>
    </row>
    <row r="1521" spans="18:19" x14ac:dyDescent="0.25">
      <c r="R1521" s="13">
        <v>1448</v>
      </c>
      <c r="S1521" s="13">
        <v>0</v>
      </c>
    </row>
    <row r="1522" spans="18:19" x14ac:dyDescent="0.25">
      <c r="R1522" s="13">
        <v>1449</v>
      </c>
      <c r="S1522" s="13">
        <v>0</v>
      </c>
    </row>
    <row r="1523" spans="18:19" x14ac:dyDescent="0.25">
      <c r="R1523" s="13">
        <v>1450</v>
      </c>
      <c r="S1523" s="13">
        <v>50160428.754777908</v>
      </c>
    </row>
    <row r="1524" spans="18:19" x14ac:dyDescent="0.25">
      <c r="R1524" s="13">
        <v>1451</v>
      </c>
      <c r="S1524" s="13">
        <v>502279086.19740868</v>
      </c>
    </row>
    <row r="1525" spans="18:19" x14ac:dyDescent="0.25">
      <c r="R1525" s="13">
        <v>1452</v>
      </c>
      <c r="S1525" s="13">
        <v>10845073.837125778</v>
      </c>
    </row>
    <row r="1526" spans="18:19" x14ac:dyDescent="0.25">
      <c r="R1526" s="13">
        <v>1453</v>
      </c>
      <c r="S1526" s="13">
        <v>0</v>
      </c>
    </row>
    <row r="1527" spans="18:19" x14ac:dyDescent="0.25">
      <c r="R1527" s="13">
        <v>1454</v>
      </c>
      <c r="S1527" s="13">
        <v>0</v>
      </c>
    </row>
    <row r="1528" spans="18:19" x14ac:dyDescent="0.25">
      <c r="R1528" s="13">
        <v>1455</v>
      </c>
      <c r="S1528" s="13">
        <v>0</v>
      </c>
    </row>
    <row r="1529" spans="18:19" x14ac:dyDescent="0.25">
      <c r="R1529" s="13">
        <v>1456</v>
      </c>
      <c r="S1529" s="13">
        <v>0</v>
      </c>
    </row>
    <row r="1530" spans="18:19" x14ac:dyDescent="0.25">
      <c r="R1530" s="13">
        <v>1457</v>
      </c>
      <c r="S1530" s="13">
        <v>0</v>
      </c>
    </row>
    <row r="1531" spans="18:19" x14ac:dyDescent="0.25">
      <c r="R1531" s="13">
        <v>1458</v>
      </c>
      <c r="S1531" s="13">
        <v>0</v>
      </c>
    </row>
    <row r="1532" spans="18:19" x14ac:dyDescent="0.25">
      <c r="R1532" s="13">
        <v>1459</v>
      </c>
      <c r="S1532" s="13">
        <v>0</v>
      </c>
    </row>
    <row r="1533" spans="18:19" x14ac:dyDescent="0.25">
      <c r="R1533" s="13">
        <v>1460</v>
      </c>
      <c r="S1533" s="13">
        <v>0</v>
      </c>
    </row>
    <row r="1534" spans="18:19" x14ac:dyDescent="0.25">
      <c r="R1534" s="13">
        <v>1461</v>
      </c>
      <c r="S1534" s="13">
        <v>0</v>
      </c>
    </row>
    <row r="1535" spans="18:19" x14ac:dyDescent="0.25">
      <c r="R1535" s="13">
        <v>1462</v>
      </c>
      <c r="S1535" s="13">
        <v>0</v>
      </c>
    </row>
    <row r="1536" spans="18:19" x14ac:dyDescent="0.25">
      <c r="R1536" s="13">
        <v>1463</v>
      </c>
      <c r="S1536" s="13">
        <v>219017991.62492943</v>
      </c>
    </row>
    <row r="1537" spans="18:19" x14ac:dyDescent="0.25">
      <c r="R1537" s="13">
        <v>1464</v>
      </c>
      <c r="S1537" s="13">
        <v>390098765.19898033</v>
      </c>
    </row>
    <row r="1538" spans="18:19" x14ac:dyDescent="0.25">
      <c r="R1538" s="13">
        <v>1465</v>
      </c>
      <c r="S1538" s="13">
        <v>0</v>
      </c>
    </row>
    <row r="1539" spans="18:19" x14ac:dyDescent="0.25">
      <c r="R1539" s="13">
        <v>1466</v>
      </c>
      <c r="S1539" s="13">
        <v>0</v>
      </c>
    </row>
    <row r="1540" spans="18:19" x14ac:dyDescent="0.25">
      <c r="R1540" s="13">
        <v>1467</v>
      </c>
      <c r="S1540" s="13">
        <v>0</v>
      </c>
    </row>
    <row r="1541" spans="18:19" x14ac:dyDescent="0.25">
      <c r="R1541" s="13">
        <v>1468</v>
      </c>
      <c r="S1541" s="13">
        <v>0</v>
      </c>
    </row>
    <row r="1542" spans="18:19" x14ac:dyDescent="0.25">
      <c r="R1542" s="13">
        <v>1469</v>
      </c>
      <c r="S1542" s="13">
        <v>0</v>
      </c>
    </row>
    <row r="1543" spans="18:19" x14ac:dyDescent="0.25">
      <c r="R1543" s="13">
        <v>1470</v>
      </c>
      <c r="S1543" s="13">
        <v>0</v>
      </c>
    </row>
    <row r="1544" spans="18:19" x14ac:dyDescent="0.25">
      <c r="R1544" s="13">
        <v>1471</v>
      </c>
      <c r="S1544" s="13">
        <v>0</v>
      </c>
    </row>
    <row r="1545" spans="18:19" x14ac:dyDescent="0.25">
      <c r="R1545" s="13">
        <v>1472</v>
      </c>
      <c r="S1545" s="13">
        <v>0</v>
      </c>
    </row>
    <row r="1546" spans="18:19" x14ac:dyDescent="0.25">
      <c r="R1546" s="13">
        <v>1473</v>
      </c>
      <c r="S1546" s="13">
        <v>0</v>
      </c>
    </row>
    <row r="1547" spans="18:19" x14ac:dyDescent="0.25">
      <c r="R1547" s="13">
        <v>1474</v>
      </c>
      <c r="S1547" s="13">
        <v>0</v>
      </c>
    </row>
    <row r="1548" spans="18:19" x14ac:dyDescent="0.25">
      <c r="R1548" s="13">
        <v>1475</v>
      </c>
      <c r="S1548" s="13">
        <v>0</v>
      </c>
    </row>
    <row r="1549" spans="18:19" x14ac:dyDescent="0.25">
      <c r="R1549" s="13">
        <v>1476</v>
      </c>
      <c r="S1549" s="13">
        <v>0</v>
      </c>
    </row>
    <row r="1550" spans="18:19" x14ac:dyDescent="0.25">
      <c r="R1550" s="13">
        <v>1477</v>
      </c>
      <c r="S1550" s="13">
        <v>0</v>
      </c>
    </row>
    <row r="1551" spans="18:19" x14ac:dyDescent="0.25">
      <c r="R1551" s="13">
        <v>1478</v>
      </c>
      <c r="S1551" s="13">
        <v>0</v>
      </c>
    </row>
    <row r="1552" spans="18:19" x14ac:dyDescent="0.25">
      <c r="R1552" s="13">
        <v>1479</v>
      </c>
      <c r="S1552" s="13">
        <v>30424870.987934113</v>
      </c>
    </row>
    <row r="1553" spans="18:19" x14ac:dyDescent="0.25">
      <c r="R1553" s="13">
        <v>1480</v>
      </c>
      <c r="S1553" s="13">
        <v>0</v>
      </c>
    </row>
    <row r="1554" spans="18:19" x14ac:dyDescent="0.25">
      <c r="R1554" s="13">
        <v>1481</v>
      </c>
      <c r="S1554" s="13">
        <v>0</v>
      </c>
    </row>
    <row r="1555" spans="18:19" x14ac:dyDescent="0.25">
      <c r="R1555" s="13">
        <v>1482</v>
      </c>
      <c r="S1555" s="13">
        <v>0</v>
      </c>
    </row>
    <row r="1556" spans="18:19" x14ac:dyDescent="0.25">
      <c r="R1556" s="13">
        <v>1483</v>
      </c>
      <c r="S1556" s="13">
        <v>225695450.12171364</v>
      </c>
    </row>
    <row r="1557" spans="18:19" x14ac:dyDescent="0.25">
      <c r="R1557" s="13">
        <v>1484</v>
      </c>
      <c r="S1557" s="13">
        <v>218406828.94446945</v>
      </c>
    </row>
    <row r="1558" spans="18:19" x14ac:dyDescent="0.25">
      <c r="R1558" s="13">
        <v>1485</v>
      </c>
      <c r="S1558" s="13">
        <v>0</v>
      </c>
    </row>
    <row r="1559" spans="18:19" x14ac:dyDescent="0.25">
      <c r="R1559" s="13">
        <v>1486</v>
      </c>
      <c r="S1559" s="13">
        <v>0</v>
      </c>
    </row>
    <row r="1560" spans="18:19" x14ac:dyDescent="0.25">
      <c r="R1560" s="13">
        <v>1487</v>
      </c>
      <c r="S1560" s="13">
        <v>0</v>
      </c>
    </row>
    <row r="1561" spans="18:19" x14ac:dyDescent="0.25">
      <c r="R1561" s="13">
        <v>1488</v>
      </c>
      <c r="S1561" s="13">
        <v>733717090.51383209</v>
      </c>
    </row>
    <row r="1562" spans="18:19" x14ac:dyDescent="0.25">
      <c r="R1562" s="13">
        <v>1489</v>
      </c>
      <c r="S1562" s="13">
        <v>0</v>
      </c>
    </row>
    <row r="1563" spans="18:19" x14ac:dyDescent="0.25">
      <c r="R1563" s="13">
        <v>1490</v>
      </c>
      <c r="S1563" s="13">
        <v>0</v>
      </c>
    </row>
    <row r="1564" spans="18:19" x14ac:dyDescent="0.25">
      <c r="R1564" s="13">
        <v>1491</v>
      </c>
      <c r="S1564" s="13">
        <v>0</v>
      </c>
    </row>
    <row r="1565" spans="18:19" x14ac:dyDescent="0.25">
      <c r="R1565" s="13">
        <v>1492</v>
      </c>
      <c r="S1565" s="13">
        <v>0</v>
      </c>
    </row>
    <row r="1566" spans="18:19" x14ac:dyDescent="0.25">
      <c r="R1566" s="13">
        <v>1493</v>
      </c>
      <c r="S1566" s="13">
        <v>0</v>
      </c>
    </row>
    <row r="1567" spans="18:19" x14ac:dyDescent="0.25">
      <c r="R1567" s="13">
        <v>1494</v>
      </c>
      <c r="S1567" s="13">
        <v>185662897.37862778</v>
      </c>
    </row>
    <row r="1568" spans="18:19" x14ac:dyDescent="0.25">
      <c r="R1568" s="13">
        <v>1495</v>
      </c>
      <c r="S1568" s="13">
        <v>229819109.11012268</v>
      </c>
    </row>
    <row r="1569" spans="18:19" x14ac:dyDescent="0.25">
      <c r="R1569" s="13">
        <v>1496</v>
      </c>
      <c r="S1569" s="13">
        <v>0</v>
      </c>
    </row>
    <row r="1570" spans="18:19" x14ac:dyDescent="0.25">
      <c r="R1570" s="13">
        <v>1497</v>
      </c>
      <c r="S1570" s="13">
        <v>0</v>
      </c>
    </row>
    <row r="1571" spans="18:19" x14ac:dyDescent="0.25">
      <c r="R1571" s="13">
        <v>1498</v>
      </c>
      <c r="S1571" s="13">
        <v>0</v>
      </c>
    </row>
    <row r="1572" spans="18:19" x14ac:dyDescent="0.25">
      <c r="R1572" s="13">
        <v>1499</v>
      </c>
      <c r="S1572" s="13">
        <v>0</v>
      </c>
    </row>
    <row r="1573" spans="18:19" x14ac:dyDescent="0.25">
      <c r="R1573" s="13">
        <v>1500</v>
      </c>
      <c r="S1573" s="13">
        <v>0</v>
      </c>
    </row>
    <row r="1574" spans="18:19" x14ac:dyDescent="0.25">
      <c r="R1574" s="13">
        <v>1501</v>
      </c>
      <c r="S1574" s="13">
        <v>0</v>
      </c>
    </row>
    <row r="1575" spans="18:19" x14ac:dyDescent="0.25">
      <c r="R1575" s="13">
        <v>1502</v>
      </c>
      <c r="S1575" s="13">
        <v>0</v>
      </c>
    </row>
    <row r="1576" spans="18:19" x14ac:dyDescent="0.25">
      <c r="R1576" s="13">
        <v>1503</v>
      </c>
      <c r="S1576" s="13">
        <v>0</v>
      </c>
    </row>
    <row r="1577" spans="18:19" x14ac:dyDescent="0.25">
      <c r="R1577" s="13">
        <v>1504</v>
      </c>
      <c r="S1577" s="13">
        <v>372701979.70905495</v>
      </c>
    </row>
    <row r="1578" spans="18:19" x14ac:dyDescent="0.25">
      <c r="R1578" s="13">
        <v>1505</v>
      </c>
      <c r="S1578" s="13">
        <v>0</v>
      </c>
    </row>
    <row r="1579" spans="18:19" x14ac:dyDescent="0.25">
      <c r="R1579" s="13">
        <v>1506</v>
      </c>
      <c r="S1579" s="13">
        <v>120846829.14348221</v>
      </c>
    </row>
    <row r="1580" spans="18:19" x14ac:dyDescent="0.25">
      <c r="R1580" s="13">
        <v>1507</v>
      </c>
      <c r="S1580" s="13">
        <v>0</v>
      </c>
    </row>
    <row r="1581" spans="18:19" x14ac:dyDescent="0.25">
      <c r="R1581" s="13">
        <v>1508</v>
      </c>
      <c r="S1581" s="13">
        <v>0</v>
      </c>
    </row>
    <row r="1582" spans="18:19" x14ac:dyDescent="0.25">
      <c r="R1582" s="13">
        <v>1509</v>
      </c>
      <c r="S1582" s="13">
        <v>0</v>
      </c>
    </row>
    <row r="1583" spans="18:19" x14ac:dyDescent="0.25">
      <c r="R1583" s="13">
        <v>1510</v>
      </c>
      <c r="S1583" s="13">
        <v>0</v>
      </c>
    </row>
    <row r="1584" spans="18:19" x14ac:dyDescent="0.25">
      <c r="R1584" s="13">
        <v>1511</v>
      </c>
      <c r="S1584" s="13">
        <v>0</v>
      </c>
    </row>
    <row r="1585" spans="18:19" x14ac:dyDescent="0.25">
      <c r="R1585" s="13">
        <v>1512</v>
      </c>
      <c r="S1585" s="13">
        <v>0</v>
      </c>
    </row>
    <row r="1586" spans="18:19" x14ac:dyDescent="0.25">
      <c r="R1586" s="13">
        <v>1513</v>
      </c>
      <c r="S1586" s="13">
        <v>0</v>
      </c>
    </row>
    <row r="1587" spans="18:19" x14ac:dyDescent="0.25">
      <c r="R1587" s="13">
        <v>1514</v>
      </c>
      <c r="S1587" s="13">
        <v>0</v>
      </c>
    </row>
    <row r="1588" spans="18:19" x14ac:dyDescent="0.25">
      <c r="R1588" s="13">
        <v>1515</v>
      </c>
      <c r="S1588" s="13">
        <v>859379881.80036545</v>
      </c>
    </row>
    <row r="1589" spans="18:19" x14ac:dyDescent="0.25">
      <c r="R1589" s="13">
        <v>1516</v>
      </c>
      <c r="S1589" s="13">
        <v>0</v>
      </c>
    </row>
    <row r="1590" spans="18:19" x14ac:dyDescent="0.25">
      <c r="R1590" s="13">
        <v>1517</v>
      </c>
      <c r="S1590" s="13">
        <v>0</v>
      </c>
    </row>
    <row r="1591" spans="18:19" x14ac:dyDescent="0.25">
      <c r="R1591" s="13">
        <v>1518</v>
      </c>
      <c r="S1591" s="13">
        <v>272809713.19993401</v>
      </c>
    </row>
    <row r="1592" spans="18:19" x14ac:dyDescent="0.25">
      <c r="R1592" s="13">
        <v>1519</v>
      </c>
      <c r="S1592" s="13">
        <v>413071505.69704056</v>
      </c>
    </row>
    <row r="1593" spans="18:19" x14ac:dyDescent="0.25">
      <c r="R1593" s="13">
        <v>1520</v>
      </c>
      <c r="S1593" s="13">
        <v>0</v>
      </c>
    </row>
    <row r="1594" spans="18:19" x14ac:dyDescent="0.25">
      <c r="R1594" s="13">
        <v>1521</v>
      </c>
      <c r="S1594" s="13">
        <v>321301397.64372253</v>
      </c>
    </row>
    <row r="1595" spans="18:19" x14ac:dyDescent="0.25">
      <c r="R1595" s="13">
        <v>1522</v>
      </c>
      <c r="S1595" s="13">
        <v>0</v>
      </c>
    </row>
    <row r="1596" spans="18:19" x14ac:dyDescent="0.25">
      <c r="R1596" s="13">
        <v>1523</v>
      </c>
      <c r="S1596" s="13">
        <v>403478936.83431625</v>
      </c>
    </row>
    <row r="1597" spans="18:19" x14ac:dyDescent="0.25">
      <c r="R1597" s="13">
        <v>1524</v>
      </c>
      <c r="S1597" s="13">
        <v>0</v>
      </c>
    </row>
    <row r="1598" spans="18:19" x14ac:dyDescent="0.25">
      <c r="R1598" s="13">
        <v>1525</v>
      </c>
      <c r="S1598" s="13">
        <v>0</v>
      </c>
    </row>
    <row r="1599" spans="18:19" x14ac:dyDescent="0.25">
      <c r="R1599" s="13">
        <v>1526</v>
      </c>
      <c r="S1599" s="13">
        <v>0</v>
      </c>
    </row>
    <row r="1600" spans="18:19" x14ac:dyDescent="0.25">
      <c r="R1600" s="13">
        <v>1527</v>
      </c>
      <c r="S1600" s="13">
        <v>0</v>
      </c>
    </row>
    <row r="1601" spans="18:19" x14ac:dyDescent="0.25">
      <c r="R1601" s="13">
        <v>1528</v>
      </c>
      <c r="S1601" s="13">
        <v>132060485.14914513</v>
      </c>
    </row>
    <row r="1602" spans="18:19" x14ac:dyDescent="0.25">
      <c r="R1602" s="13">
        <v>1529</v>
      </c>
      <c r="S1602" s="13">
        <v>0</v>
      </c>
    </row>
    <row r="1603" spans="18:19" x14ac:dyDescent="0.25">
      <c r="R1603" s="13">
        <v>1530</v>
      </c>
      <c r="S1603" s="13">
        <v>0</v>
      </c>
    </row>
    <row r="1604" spans="18:19" x14ac:dyDescent="0.25">
      <c r="R1604" s="13">
        <v>1531</v>
      </c>
      <c r="S1604" s="13">
        <v>0</v>
      </c>
    </row>
    <row r="1605" spans="18:19" x14ac:dyDescent="0.25">
      <c r="R1605" s="13">
        <v>1532</v>
      </c>
      <c r="S1605" s="13">
        <v>0</v>
      </c>
    </row>
    <row r="1606" spans="18:19" x14ac:dyDescent="0.25">
      <c r="R1606" s="13">
        <v>1533</v>
      </c>
      <c r="S1606" s="13">
        <v>0</v>
      </c>
    </row>
    <row r="1607" spans="18:19" x14ac:dyDescent="0.25">
      <c r="R1607" s="13">
        <v>1534</v>
      </c>
      <c r="S1607" s="13">
        <v>222034736.79037476</v>
      </c>
    </row>
    <row r="1608" spans="18:19" x14ac:dyDescent="0.25">
      <c r="R1608" s="13">
        <v>1535</v>
      </c>
      <c r="S1608" s="13">
        <v>325919161.26335144</v>
      </c>
    </row>
    <row r="1609" spans="18:19" x14ac:dyDescent="0.25">
      <c r="R1609" s="13">
        <v>1536</v>
      </c>
      <c r="S1609" s="13">
        <v>0</v>
      </c>
    </row>
    <row r="1610" spans="18:19" x14ac:dyDescent="0.25">
      <c r="R1610" s="13">
        <v>1537</v>
      </c>
      <c r="S1610" s="13">
        <v>0</v>
      </c>
    </row>
    <row r="1611" spans="18:19" x14ac:dyDescent="0.25">
      <c r="R1611" s="13">
        <v>1538</v>
      </c>
      <c r="S1611" s="13">
        <v>0</v>
      </c>
    </row>
    <row r="1612" spans="18:19" x14ac:dyDescent="0.25">
      <c r="R1612" s="13">
        <v>1539</v>
      </c>
      <c r="S1612" s="13">
        <v>316255057.72777176</v>
      </c>
    </row>
    <row r="1613" spans="18:19" x14ac:dyDescent="0.25">
      <c r="R1613" s="13">
        <v>1540</v>
      </c>
      <c r="S1613" s="13">
        <v>0</v>
      </c>
    </row>
    <row r="1614" spans="18:19" x14ac:dyDescent="0.25">
      <c r="R1614" s="13">
        <v>1541</v>
      </c>
      <c r="S1614" s="13">
        <v>635526368.2302227</v>
      </c>
    </row>
    <row r="1615" spans="18:19" x14ac:dyDescent="0.25">
      <c r="R1615" s="13">
        <v>1542</v>
      </c>
      <c r="S1615" s="13">
        <v>1323880336.8516293</v>
      </c>
    </row>
    <row r="1616" spans="18:19" x14ac:dyDescent="0.25">
      <c r="R1616" s="13">
        <v>1543</v>
      </c>
      <c r="S1616" s="13">
        <v>0</v>
      </c>
    </row>
    <row r="1617" spans="18:19" x14ac:dyDescent="0.25">
      <c r="R1617" s="13">
        <v>1544</v>
      </c>
      <c r="S1617" s="13">
        <v>0</v>
      </c>
    </row>
    <row r="1618" spans="18:19" x14ac:dyDescent="0.25">
      <c r="R1618" s="13">
        <v>1545</v>
      </c>
      <c r="S1618" s="13">
        <v>0</v>
      </c>
    </row>
    <row r="1619" spans="18:19" x14ac:dyDescent="0.25">
      <c r="R1619" s="13">
        <v>1546</v>
      </c>
      <c r="S1619" s="13">
        <v>0</v>
      </c>
    </row>
    <row r="1620" spans="18:19" x14ac:dyDescent="0.25">
      <c r="R1620" s="13">
        <v>1547</v>
      </c>
      <c r="S1620" s="13">
        <v>0</v>
      </c>
    </row>
    <row r="1621" spans="18:19" x14ac:dyDescent="0.25">
      <c r="R1621" s="13">
        <v>1548</v>
      </c>
      <c r="S1621" s="13">
        <v>0</v>
      </c>
    </row>
    <row r="1622" spans="18:19" x14ac:dyDescent="0.25">
      <c r="R1622" s="13">
        <v>1549</v>
      </c>
      <c r="S1622" s="13">
        <v>0</v>
      </c>
    </row>
    <row r="1623" spans="18:19" x14ac:dyDescent="0.25">
      <c r="R1623" s="13">
        <v>1550</v>
      </c>
      <c r="S1623" s="13">
        <v>0</v>
      </c>
    </row>
    <row r="1624" spans="18:19" x14ac:dyDescent="0.25">
      <c r="R1624" s="13">
        <v>1551</v>
      </c>
      <c r="S1624" s="13">
        <v>0</v>
      </c>
    </row>
    <row r="1625" spans="18:19" x14ac:dyDescent="0.25">
      <c r="R1625" s="13">
        <v>1552</v>
      </c>
      <c r="S1625" s="13">
        <v>0</v>
      </c>
    </row>
    <row r="1626" spans="18:19" x14ac:dyDescent="0.25">
      <c r="R1626" s="13">
        <v>1553</v>
      </c>
      <c r="S1626" s="13">
        <v>0</v>
      </c>
    </row>
    <row r="1627" spans="18:19" x14ac:dyDescent="0.25">
      <c r="R1627" s="13">
        <v>1554</v>
      </c>
      <c r="S1627" s="13">
        <v>159196941.17314529</v>
      </c>
    </row>
    <row r="1628" spans="18:19" x14ac:dyDescent="0.25">
      <c r="R1628" s="13">
        <v>1555</v>
      </c>
      <c r="S1628" s="13">
        <v>0</v>
      </c>
    </row>
    <row r="1629" spans="18:19" x14ac:dyDescent="0.25">
      <c r="R1629" s="13">
        <v>1556</v>
      </c>
      <c r="S1629" s="13">
        <v>0</v>
      </c>
    </row>
    <row r="1630" spans="18:19" x14ac:dyDescent="0.25">
      <c r="R1630" s="13">
        <v>1557</v>
      </c>
      <c r="S1630" s="13">
        <v>0</v>
      </c>
    </row>
    <row r="1631" spans="18:19" x14ac:dyDescent="0.25">
      <c r="R1631" s="13">
        <v>1558</v>
      </c>
      <c r="S1631" s="13">
        <v>92061096.082414627</v>
      </c>
    </row>
    <row r="1632" spans="18:19" x14ac:dyDescent="0.25">
      <c r="R1632" s="13">
        <v>1559</v>
      </c>
      <c r="S1632" s="13">
        <v>73322532.465126038</v>
      </c>
    </row>
    <row r="1633" spans="18:19" x14ac:dyDescent="0.25">
      <c r="R1633" s="13">
        <v>1560</v>
      </c>
      <c r="S1633" s="13">
        <v>0</v>
      </c>
    </row>
    <row r="1634" spans="18:19" x14ac:dyDescent="0.25">
      <c r="R1634" s="13">
        <v>1561</v>
      </c>
      <c r="S1634" s="13">
        <v>0</v>
      </c>
    </row>
    <row r="1635" spans="18:19" x14ac:dyDescent="0.25">
      <c r="R1635" s="13">
        <v>1562</v>
      </c>
      <c r="S1635" s="13">
        <v>0</v>
      </c>
    </row>
    <row r="1636" spans="18:19" x14ac:dyDescent="0.25">
      <c r="R1636" s="13">
        <v>1563</v>
      </c>
      <c r="S1636" s="13">
        <v>45504138.955532074</v>
      </c>
    </row>
    <row r="1637" spans="18:19" x14ac:dyDescent="0.25">
      <c r="R1637" s="13">
        <v>1564</v>
      </c>
      <c r="S1637" s="13">
        <v>0</v>
      </c>
    </row>
    <row r="1638" spans="18:19" x14ac:dyDescent="0.25">
      <c r="R1638" s="13">
        <v>1565</v>
      </c>
      <c r="S1638" s="13">
        <v>0</v>
      </c>
    </row>
    <row r="1639" spans="18:19" x14ac:dyDescent="0.25">
      <c r="R1639" s="13">
        <v>1566</v>
      </c>
      <c r="S1639" s="13">
        <v>0</v>
      </c>
    </row>
    <row r="1640" spans="18:19" x14ac:dyDescent="0.25">
      <c r="R1640" s="13">
        <v>1567</v>
      </c>
      <c r="S1640" s="13">
        <v>0</v>
      </c>
    </row>
    <row r="1641" spans="18:19" x14ac:dyDescent="0.25">
      <c r="R1641" s="13">
        <v>1568</v>
      </c>
      <c r="S1641" s="13">
        <v>0</v>
      </c>
    </row>
    <row r="1642" spans="18:19" x14ac:dyDescent="0.25">
      <c r="R1642" s="13">
        <v>1569</v>
      </c>
      <c r="S1642" s="13">
        <v>107242047.04463577</v>
      </c>
    </row>
    <row r="1643" spans="18:19" x14ac:dyDescent="0.25">
      <c r="R1643" s="13">
        <v>1570</v>
      </c>
      <c r="S1643" s="13">
        <v>0</v>
      </c>
    </row>
    <row r="1644" spans="18:19" x14ac:dyDescent="0.25">
      <c r="R1644" s="13">
        <v>1571</v>
      </c>
      <c r="S1644" s="13">
        <v>0</v>
      </c>
    </row>
    <row r="1645" spans="18:19" x14ac:dyDescent="0.25">
      <c r="R1645" s="13">
        <v>1572</v>
      </c>
      <c r="S1645" s="13">
        <v>0</v>
      </c>
    </row>
    <row r="1646" spans="18:19" x14ac:dyDescent="0.25">
      <c r="R1646" s="13">
        <v>1573</v>
      </c>
      <c r="S1646" s="13">
        <v>0</v>
      </c>
    </row>
    <row r="1647" spans="18:19" x14ac:dyDescent="0.25">
      <c r="R1647" s="13">
        <v>1574</v>
      </c>
      <c r="S1647" s="13">
        <v>0</v>
      </c>
    </row>
    <row r="1648" spans="18:19" x14ac:dyDescent="0.25">
      <c r="R1648" s="13">
        <v>1575</v>
      </c>
      <c r="S1648" s="13">
        <v>0</v>
      </c>
    </row>
    <row r="1649" spans="18:19" x14ac:dyDescent="0.25">
      <c r="R1649" s="13">
        <v>1576</v>
      </c>
      <c r="S1649" s="13">
        <v>0</v>
      </c>
    </row>
    <row r="1650" spans="18:19" x14ac:dyDescent="0.25">
      <c r="R1650" s="13">
        <v>1577</v>
      </c>
      <c r="S1650" s="13">
        <v>0</v>
      </c>
    </row>
    <row r="1651" spans="18:19" x14ac:dyDescent="0.25">
      <c r="R1651" s="13">
        <v>1578</v>
      </c>
      <c r="S1651" s="13">
        <v>0</v>
      </c>
    </row>
    <row r="1652" spans="18:19" x14ac:dyDescent="0.25">
      <c r="R1652" s="13">
        <v>1579</v>
      </c>
      <c r="S1652" s="13">
        <v>0</v>
      </c>
    </row>
    <row r="1653" spans="18:19" x14ac:dyDescent="0.25">
      <c r="R1653" s="13">
        <v>1580</v>
      </c>
      <c r="S1653" s="13">
        <v>0</v>
      </c>
    </row>
    <row r="1654" spans="18:19" x14ac:dyDescent="0.25">
      <c r="R1654" s="13">
        <v>1581</v>
      </c>
      <c r="S1654" s="13">
        <v>0</v>
      </c>
    </row>
    <row r="1655" spans="18:19" x14ac:dyDescent="0.25">
      <c r="R1655" s="13">
        <v>1582</v>
      </c>
      <c r="S1655" s="13">
        <v>565858784.0778923</v>
      </c>
    </row>
    <row r="1656" spans="18:19" x14ac:dyDescent="0.25">
      <c r="R1656" s="13">
        <v>1583</v>
      </c>
      <c r="S1656" s="13">
        <v>456568073.64485741</v>
      </c>
    </row>
    <row r="1657" spans="18:19" x14ac:dyDescent="0.25">
      <c r="R1657" s="13">
        <v>1584</v>
      </c>
      <c r="S1657" s="13">
        <v>450824983.25038528</v>
      </c>
    </row>
    <row r="1658" spans="18:19" x14ac:dyDescent="0.25">
      <c r="R1658" s="13">
        <v>1585</v>
      </c>
      <c r="S1658" s="13">
        <v>0</v>
      </c>
    </row>
    <row r="1659" spans="18:19" x14ac:dyDescent="0.25">
      <c r="R1659" s="13">
        <v>1586</v>
      </c>
      <c r="S1659" s="13">
        <v>0</v>
      </c>
    </row>
    <row r="1660" spans="18:19" x14ac:dyDescent="0.25">
      <c r="R1660" s="13">
        <v>1587</v>
      </c>
      <c r="S1660" s="13">
        <v>94799145.762105942</v>
      </c>
    </row>
    <row r="1661" spans="18:19" x14ac:dyDescent="0.25">
      <c r="R1661" s="13">
        <v>1588</v>
      </c>
      <c r="S1661" s="13">
        <v>0</v>
      </c>
    </row>
    <row r="1662" spans="18:19" x14ac:dyDescent="0.25">
      <c r="R1662" s="13">
        <v>1589</v>
      </c>
      <c r="S1662" s="13">
        <v>217374162.2648983</v>
      </c>
    </row>
    <row r="1663" spans="18:19" x14ac:dyDescent="0.25">
      <c r="R1663" s="13">
        <v>1590</v>
      </c>
      <c r="S1663" s="13">
        <v>0</v>
      </c>
    </row>
    <row r="1664" spans="18:19" x14ac:dyDescent="0.25">
      <c r="R1664" s="13">
        <v>1591</v>
      </c>
      <c r="S1664" s="13">
        <v>0</v>
      </c>
    </row>
    <row r="1665" spans="18:19" x14ac:dyDescent="0.25">
      <c r="R1665" s="13">
        <v>1592</v>
      </c>
      <c r="S1665" s="13">
        <v>0</v>
      </c>
    </row>
    <row r="1666" spans="18:19" x14ac:dyDescent="0.25">
      <c r="R1666" s="13">
        <v>1593</v>
      </c>
      <c r="S1666" s="13">
        <v>0</v>
      </c>
    </row>
    <row r="1667" spans="18:19" x14ac:dyDescent="0.25">
      <c r="R1667" s="13">
        <v>1594</v>
      </c>
      <c r="S1667" s="13">
        <v>0</v>
      </c>
    </row>
    <row r="1668" spans="18:19" x14ac:dyDescent="0.25">
      <c r="R1668" s="13">
        <v>1595</v>
      </c>
      <c r="S1668" s="13">
        <v>0</v>
      </c>
    </row>
    <row r="1669" spans="18:19" x14ac:dyDescent="0.25">
      <c r="R1669" s="13">
        <v>1596</v>
      </c>
      <c r="S1669" s="13">
        <v>0</v>
      </c>
    </row>
    <row r="1670" spans="18:19" x14ac:dyDescent="0.25">
      <c r="R1670" s="13">
        <v>1597</v>
      </c>
      <c r="S1670" s="13">
        <v>0</v>
      </c>
    </row>
    <row r="1671" spans="18:19" x14ac:dyDescent="0.25">
      <c r="R1671" s="13">
        <v>1598</v>
      </c>
      <c r="S1671" s="13">
        <v>66048181.558849335</v>
      </c>
    </row>
    <row r="1672" spans="18:19" x14ac:dyDescent="0.25">
      <c r="R1672" s="13">
        <v>1599</v>
      </c>
      <c r="S1672" s="13">
        <v>515980661.74525642</v>
      </c>
    </row>
    <row r="1673" spans="18:19" x14ac:dyDescent="0.25">
      <c r="R1673" s="13">
        <v>1600</v>
      </c>
      <c r="S1673" s="13">
        <v>0</v>
      </c>
    </row>
    <row r="1674" spans="18:19" x14ac:dyDescent="0.25">
      <c r="R1674" s="13">
        <v>1601</v>
      </c>
      <c r="S1674" s="13">
        <v>0</v>
      </c>
    </row>
    <row r="1675" spans="18:19" x14ac:dyDescent="0.25">
      <c r="R1675" s="13">
        <v>1602</v>
      </c>
      <c r="S1675" s="13">
        <v>0</v>
      </c>
    </row>
    <row r="1676" spans="18:19" x14ac:dyDescent="0.25">
      <c r="R1676" s="13">
        <v>1603</v>
      </c>
      <c r="S1676" s="13">
        <v>874037064.65530205</v>
      </c>
    </row>
    <row r="1677" spans="18:19" x14ac:dyDescent="0.25">
      <c r="R1677" s="13">
        <v>1604</v>
      </c>
      <c r="S1677" s="13">
        <v>0</v>
      </c>
    </row>
    <row r="1678" spans="18:19" x14ac:dyDescent="0.25">
      <c r="R1678" s="13">
        <v>1605</v>
      </c>
      <c r="S1678" s="13">
        <v>44609048.612108231</v>
      </c>
    </row>
    <row r="1679" spans="18:19" x14ac:dyDescent="0.25">
      <c r="R1679" s="13">
        <v>1606</v>
      </c>
      <c r="S1679" s="13">
        <v>983330739.95378304</v>
      </c>
    </row>
    <row r="1680" spans="18:19" x14ac:dyDescent="0.25">
      <c r="R1680" s="13">
        <v>1607</v>
      </c>
      <c r="S1680" s="13">
        <v>659750114.75439453</v>
      </c>
    </row>
    <row r="1681" spans="18:19" x14ac:dyDescent="0.25">
      <c r="R1681" s="13">
        <v>1608</v>
      </c>
      <c r="S1681" s="13">
        <v>0</v>
      </c>
    </row>
    <row r="1682" spans="18:19" x14ac:dyDescent="0.25">
      <c r="R1682" s="13">
        <v>1609</v>
      </c>
      <c r="S1682" s="13">
        <v>0</v>
      </c>
    </row>
    <row r="1683" spans="18:19" x14ac:dyDescent="0.25">
      <c r="R1683" s="13">
        <v>1610</v>
      </c>
      <c r="S1683" s="13">
        <v>210117646.76311111</v>
      </c>
    </row>
    <row r="1684" spans="18:19" x14ac:dyDescent="0.25">
      <c r="R1684" s="13">
        <v>1611</v>
      </c>
      <c r="S1684" s="13">
        <v>0</v>
      </c>
    </row>
    <row r="1685" spans="18:19" x14ac:dyDescent="0.25">
      <c r="R1685" s="13">
        <v>1612</v>
      </c>
      <c r="S1685" s="13">
        <v>0</v>
      </c>
    </row>
    <row r="1686" spans="18:19" x14ac:dyDescent="0.25">
      <c r="R1686" s="13">
        <v>1613</v>
      </c>
      <c r="S1686" s="13">
        <v>0</v>
      </c>
    </row>
    <row r="1687" spans="18:19" x14ac:dyDescent="0.25">
      <c r="R1687" s="13">
        <v>1614</v>
      </c>
      <c r="S1687" s="13">
        <v>0</v>
      </c>
    </row>
    <row r="1688" spans="18:19" x14ac:dyDescent="0.25">
      <c r="R1688" s="13">
        <v>1615</v>
      </c>
      <c r="S1688" s="13">
        <v>0</v>
      </c>
    </row>
    <row r="1689" spans="18:19" x14ac:dyDescent="0.25">
      <c r="R1689" s="13">
        <v>1616</v>
      </c>
      <c r="S1689" s="13">
        <v>0</v>
      </c>
    </row>
    <row r="1690" spans="18:19" x14ac:dyDescent="0.25">
      <c r="R1690" s="13">
        <v>1617</v>
      </c>
      <c r="S1690" s="13">
        <v>0</v>
      </c>
    </row>
    <row r="1691" spans="18:19" x14ac:dyDescent="0.25">
      <c r="R1691" s="13">
        <v>1618</v>
      </c>
      <c r="S1691" s="13">
        <v>0</v>
      </c>
    </row>
    <row r="1692" spans="18:19" x14ac:dyDescent="0.25">
      <c r="R1692" s="13">
        <v>1619</v>
      </c>
      <c r="S1692" s="13">
        <v>0</v>
      </c>
    </row>
    <row r="1693" spans="18:19" x14ac:dyDescent="0.25">
      <c r="R1693" s="13">
        <v>1620</v>
      </c>
      <c r="S1693" s="13">
        <v>243127640.09796906</v>
      </c>
    </row>
    <row r="1694" spans="18:19" x14ac:dyDescent="0.25">
      <c r="R1694" s="13">
        <v>1621</v>
      </c>
      <c r="S1694" s="13">
        <v>0</v>
      </c>
    </row>
    <row r="1695" spans="18:19" x14ac:dyDescent="0.25">
      <c r="R1695" s="13">
        <v>1622</v>
      </c>
      <c r="S1695" s="13">
        <v>0</v>
      </c>
    </row>
    <row r="1696" spans="18:19" x14ac:dyDescent="0.25">
      <c r="R1696" s="13">
        <v>1623</v>
      </c>
      <c r="S1696" s="13">
        <v>0</v>
      </c>
    </row>
    <row r="1697" spans="18:19" x14ac:dyDescent="0.25">
      <c r="R1697" s="13">
        <v>1624</v>
      </c>
      <c r="S1697" s="13">
        <v>511354668.32518387</v>
      </c>
    </row>
    <row r="1698" spans="18:19" x14ac:dyDescent="0.25">
      <c r="R1698" s="13">
        <v>1625</v>
      </c>
      <c r="S1698" s="13">
        <v>0</v>
      </c>
    </row>
    <row r="1699" spans="18:19" x14ac:dyDescent="0.25">
      <c r="R1699" s="13">
        <v>1626</v>
      </c>
      <c r="S1699" s="13">
        <v>0</v>
      </c>
    </row>
    <row r="1700" spans="18:19" x14ac:dyDescent="0.25">
      <c r="R1700" s="13">
        <v>1627</v>
      </c>
      <c r="S1700" s="13">
        <v>0</v>
      </c>
    </row>
    <row r="1701" spans="18:19" x14ac:dyDescent="0.25">
      <c r="R1701" s="13">
        <v>1628</v>
      </c>
      <c r="S1701" s="13">
        <v>0</v>
      </c>
    </row>
    <row r="1702" spans="18:19" x14ac:dyDescent="0.25">
      <c r="R1702" s="13">
        <v>1629</v>
      </c>
      <c r="S1702" s="13">
        <v>0</v>
      </c>
    </row>
    <row r="1703" spans="18:19" x14ac:dyDescent="0.25">
      <c r="R1703" s="13">
        <v>1630</v>
      </c>
      <c r="S1703" s="13">
        <v>0</v>
      </c>
    </row>
    <row r="1704" spans="18:19" x14ac:dyDescent="0.25">
      <c r="R1704" s="13">
        <v>1631</v>
      </c>
      <c r="S1704" s="13">
        <v>0</v>
      </c>
    </row>
    <row r="1705" spans="18:19" x14ac:dyDescent="0.25">
      <c r="R1705" s="13">
        <v>1632</v>
      </c>
      <c r="S1705" s="13">
        <v>578811330.9986515</v>
      </c>
    </row>
    <row r="1706" spans="18:19" x14ac:dyDescent="0.25">
      <c r="R1706" s="13">
        <v>1633</v>
      </c>
      <c r="S1706" s="13">
        <v>0</v>
      </c>
    </row>
    <row r="1707" spans="18:19" x14ac:dyDescent="0.25">
      <c r="R1707" s="13">
        <v>1634</v>
      </c>
      <c r="S1707" s="13">
        <v>0</v>
      </c>
    </row>
    <row r="1708" spans="18:19" x14ac:dyDescent="0.25">
      <c r="R1708" s="13">
        <v>1635</v>
      </c>
      <c r="S1708" s="13">
        <v>775644741.04258919</v>
      </c>
    </row>
    <row r="1709" spans="18:19" x14ac:dyDescent="0.25">
      <c r="R1709" s="13">
        <v>1636</v>
      </c>
      <c r="S1709" s="13">
        <v>0</v>
      </c>
    </row>
    <row r="1710" spans="18:19" x14ac:dyDescent="0.25">
      <c r="R1710" s="13">
        <v>1637</v>
      </c>
      <c r="S1710" s="13">
        <v>0</v>
      </c>
    </row>
    <row r="1711" spans="18:19" x14ac:dyDescent="0.25">
      <c r="R1711" s="13">
        <v>1638</v>
      </c>
      <c r="S1711" s="13">
        <v>0</v>
      </c>
    </row>
    <row r="1712" spans="18:19" x14ac:dyDescent="0.25">
      <c r="R1712" s="13">
        <v>1639</v>
      </c>
      <c r="S1712" s="13">
        <v>0</v>
      </c>
    </row>
    <row r="1713" spans="18:19" x14ac:dyDescent="0.25">
      <c r="R1713" s="13">
        <v>1640</v>
      </c>
      <c r="S1713" s="13">
        <v>0</v>
      </c>
    </row>
    <row r="1714" spans="18:19" x14ac:dyDescent="0.25">
      <c r="R1714" s="13">
        <v>1641</v>
      </c>
      <c r="S1714" s="13">
        <v>0</v>
      </c>
    </row>
    <row r="1715" spans="18:19" x14ac:dyDescent="0.25">
      <c r="R1715" s="13">
        <v>1642</v>
      </c>
      <c r="S1715" s="13">
        <v>0</v>
      </c>
    </row>
    <row r="1716" spans="18:19" x14ac:dyDescent="0.25">
      <c r="R1716" s="13">
        <v>1643</v>
      </c>
      <c r="S1716" s="13">
        <v>0</v>
      </c>
    </row>
    <row r="1717" spans="18:19" x14ac:dyDescent="0.25">
      <c r="R1717" s="13">
        <v>1644</v>
      </c>
      <c r="S1717" s="13">
        <v>0</v>
      </c>
    </row>
    <row r="1718" spans="18:19" x14ac:dyDescent="0.25">
      <c r="R1718" s="13">
        <v>1645</v>
      </c>
      <c r="S1718" s="13">
        <v>0</v>
      </c>
    </row>
    <row r="1719" spans="18:19" x14ac:dyDescent="0.25">
      <c r="R1719" s="13">
        <v>1646</v>
      </c>
      <c r="S1719" s="13">
        <v>235283634.89799118</v>
      </c>
    </row>
    <row r="1720" spans="18:19" x14ac:dyDescent="0.25">
      <c r="R1720" s="13">
        <v>1647</v>
      </c>
      <c r="S1720" s="13">
        <v>0</v>
      </c>
    </row>
    <row r="1721" spans="18:19" x14ac:dyDescent="0.25">
      <c r="R1721" s="13">
        <v>1648</v>
      </c>
      <c r="S1721" s="13">
        <v>0</v>
      </c>
    </row>
    <row r="1722" spans="18:19" x14ac:dyDescent="0.25">
      <c r="R1722" s="13">
        <v>1649</v>
      </c>
      <c r="S1722" s="13">
        <v>0</v>
      </c>
    </row>
    <row r="1723" spans="18:19" x14ac:dyDescent="0.25">
      <c r="R1723" s="13">
        <v>1650</v>
      </c>
      <c r="S1723" s="13">
        <v>0</v>
      </c>
    </row>
    <row r="1724" spans="18:19" x14ac:dyDescent="0.25">
      <c r="R1724" s="13">
        <v>1651</v>
      </c>
      <c r="S1724" s="13">
        <v>0</v>
      </c>
    </row>
    <row r="1725" spans="18:19" x14ac:dyDescent="0.25">
      <c r="R1725" s="13">
        <v>1652</v>
      </c>
      <c r="S1725" s="13">
        <v>0</v>
      </c>
    </row>
    <row r="1726" spans="18:19" x14ac:dyDescent="0.25">
      <c r="R1726" s="13">
        <v>1653</v>
      </c>
      <c r="S1726" s="13">
        <v>560046442.11006927</v>
      </c>
    </row>
    <row r="1727" spans="18:19" x14ac:dyDescent="0.25">
      <c r="R1727" s="13">
        <v>1654</v>
      </c>
      <c r="S1727" s="13">
        <v>491650851.85976028</v>
      </c>
    </row>
    <row r="1728" spans="18:19" x14ac:dyDescent="0.25">
      <c r="R1728" s="13">
        <v>1655</v>
      </c>
      <c r="S1728" s="13">
        <v>0</v>
      </c>
    </row>
    <row r="1729" spans="18:19" x14ac:dyDescent="0.25">
      <c r="R1729" s="13">
        <v>1656</v>
      </c>
      <c r="S1729" s="13">
        <v>0</v>
      </c>
    </row>
    <row r="1730" spans="18:19" x14ac:dyDescent="0.25">
      <c r="R1730" s="13">
        <v>1657</v>
      </c>
      <c r="S1730" s="13">
        <v>502410119.72976494</v>
      </c>
    </row>
    <row r="1731" spans="18:19" x14ac:dyDescent="0.25">
      <c r="R1731" s="13">
        <v>1658</v>
      </c>
      <c r="S1731" s="13">
        <v>0</v>
      </c>
    </row>
    <row r="1732" spans="18:19" x14ac:dyDescent="0.25">
      <c r="R1732" s="13">
        <v>1659</v>
      </c>
      <c r="S1732" s="13">
        <v>0</v>
      </c>
    </row>
    <row r="1733" spans="18:19" x14ac:dyDescent="0.25">
      <c r="R1733" s="13">
        <v>1660</v>
      </c>
      <c r="S1733" s="13">
        <v>0</v>
      </c>
    </row>
    <row r="1734" spans="18:19" x14ac:dyDescent="0.25">
      <c r="R1734" s="13">
        <v>1661</v>
      </c>
      <c r="S1734" s="13">
        <v>140849099.77804565</v>
      </c>
    </row>
    <row r="1735" spans="18:19" x14ac:dyDescent="0.25">
      <c r="R1735" s="13">
        <v>1662</v>
      </c>
      <c r="S1735" s="13">
        <v>0</v>
      </c>
    </row>
    <row r="1736" spans="18:19" x14ac:dyDescent="0.25">
      <c r="R1736" s="13">
        <v>1663</v>
      </c>
      <c r="S1736" s="13">
        <v>0</v>
      </c>
    </row>
    <row r="1737" spans="18:19" x14ac:dyDescent="0.25">
      <c r="R1737" s="13">
        <v>1664</v>
      </c>
      <c r="S1737" s="13">
        <v>886887191.30373192</v>
      </c>
    </row>
    <row r="1738" spans="18:19" x14ac:dyDescent="0.25">
      <c r="R1738" s="13">
        <v>1665</v>
      </c>
      <c r="S1738" s="13">
        <v>0</v>
      </c>
    </row>
    <row r="1739" spans="18:19" x14ac:dyDescent="0.25">
      <c r="R1739" s="13">
        <v>1666</v>
      </c>
      <c r="S1739" s="13">
        <v>626309242.85246086</v>
      </c>
    </row>
    <row r="1740" spans="18:19" x14ac:dyDescent="0.25">
      <c r="R1740" s="13">
        <v>1667</v>
      </c>
      <c r="S1740" s="13">
        <v>0</v>
      </c>
    </row>
    <row r="1741" spans="18:19" x14ac:dyDescent="0.25">
      <c r="R1741" s="13">
        <v>1668</v>
      </c>
      <c r="S1741" s="13">
        <v>172950487.67857552</v>
      </c>
    </row>
    <row r="1742" spans="18:19" x14ac:dyDescent="0.25">
      <c r="R1742" s="13">
        <v>1669</v>
      </c>
      <c r="S1742" s="13">
        <v>0</v>
      </c>
    </row>
    <row r="1743" spans="18:19" x14ac:dyDescent="0.25">
      <c r="R1743" s="13">
        <v>1670</v>
      </c>
      <c r="S1743" s="13">
        <v>0</v>
      </c>
    </row>
    <row r="1744" spans="18:19" x14ac:dyDescent="0.25">
      <c r="R1744" s="13">
        <v>1671</v>
      </c>
      <c r="S1744" s="13">
        <v>0</v>
      </c>
    </row>
    <row r="1745" spans="18:19" x14ac:dyDescent="0.25">
      <c r="R1745" s="13">
        <v>1672</v>
      </c>
      <c r="S1745" s="13">
        <v>0</v>
      </c>
    </row>
    <row r="1746" spans="18:19" x14ac:dyDescent="0.25">
      <c r="R1746" s="13">
        <v>1673</v>
      </c>
      <c r="S1746" s="13">
        <v>0</v>
      </c>
    </row>
    <row r="1747" spans="18:19" x14ac:dyDescent="0.25">
      <c r="R1747" s="13">
        <v>1674</v>
      </c>
      <c r="S1747" s="13">
        <v>0</v>
      </c>
    </row>
    <row r="1748" spans="18:19" x14ac:dyDescent="0.25">
      <c r="R1748" s="13">
        <v>1675</v>
      </c>
      <c r="S1748" s="13">
        <v>0</v>
      </c>
    </row>
    <row r="1749" spans="18:19" x14ac:dyDescent="0.25">
      <c r="R1749" s="13">
        <v>1676</v>
      </c>
      <c r="S1749" s="13">
        <v>0</v>
      </c>
    </row>
    <row r="1750" spans="18:19" x14ac:dyDescent="0.25">
      <c r="R1750" s="13">
        <v>1677</v>
      </c>
      <c r="S1750" s="13">
        <v>0</v>
      </c>
    </row>
    <row r="1751" spans="18:19" x14ac:dyDescent="0.25">
      <c r="R1751" s="13">
        <v>1678</v>
      </c>
      <c r="S1751" s="13">
        <v>0</v>
      </c>
    </row>
    <row r="1752" spans="18:19" x14ac:dyDescent="0.25">
      <c r="R1752" s="13">
        <v>1679</v>
      </c>
      <c r="S1752" s="13">
        <v>0</v>
      </c>
    </row>
    <row r="1753" spans="18:19" x14ac:dyDescent="0.25">
      <c r="R1753" s="13">
        <v>1680</v>
      </c>
      <c r="S1753" s="13">
        <v>1135613848.7122078</v>
      </c>
    </row>
    <row r="1754" spans="18:19" x14ac:dyDescent="0.25">
      <c r="R1754" s="13">
        <v>1681</v>
      </c>
      <c r="S1754" s="13">
        <v>0</v>
      </c>
    </row>
    <row r="1755" spans="18:19" x14ac:dyDescent="0.25">
      <c r="R1755" s="13">
        <v>1682</v>
      </c>
      <c r="S1755" s="13">
        <v>0</v>
      </c>
    </row>
    <row r="1756" spans="18:19" x14ac:dyDescent="0.25">
      <c r="R1756" s="13">
        <v>1683</v>
      </c>
      <c r="S1756" s="13">
        <v>0</v>
      </c>
    </row>
    <row r="1757" spans="18:19" x14ac:dyDescent="0.25">
      <c r="R1757" s="13">
        <v>1684</v>
      </c>
      <c r="S1757" s="13">
        <v>0</v>
      </c>
    </row>
    <row r="1758" spans="18:19" x14ac:dyDescent="0.25">
      <c r="R1758" s="13">
        <v>1685</v>
      </c>
      <c r="S1758" s="13">
        <v>246222755.84157753</v>
      </c>
    </row>
    <row r="1759" spans="18:19" x14ac:dyDescent="0.25">
      <c r="R1759" s="13">
        <v>1686</v>
      </c>
      <c r="S1759" s="13">
        <v>0</v>
      </c>
    </row>
    <row r="1760" spans="18:19" x14ac:dyDescent="0.25">
      <c r="R1760" s="13">
        <v>1687</v>
      </c>
      <c r="S1760" s="13">
        <v>0</v>
      </c>
    </row>
    <row r="1761" spans="18:19" x14ac:dyDescent="0.25">
      <c r="R1761" s="13">
        <v>1688</v>
      </c>
      <c r="S1761" s="13">
        <v>0</v>
      </c>
    </row>
    <row r="1762" spans="18:19" x14ac:dyDescent="0.25">
      <c r="R1762" s="13">
        <v>1689</v>
      </c>
      <c r="S1762" s="13">
        <v>0</v>
      </c>
    </row>
    <row r="1763" spans="18:19" x14ac:dyDescent="0.25">
      <c r="R1763" s="13">
        <v>1690</v>
      </c>
      <c r="S1763" s="13">
        <v>0</v>
      </c>
    </row>
    <row r="1764" spans="18:19" x14ac:dyDescent="0.25">
      <c r="R1764" s="13">
        <v>1691</v>
      </c>
      <c r="S1764" s="13">
        <v>0</v>
      </c>
    </row>
    <row r="1765" spans="18:19" x14ac:dyDescent="0.25">
      <c r="R1765" s="13">
        <v>1692</v>
      </c>
      <c r="S1765" s="13">
        <v>0</v>
      </c>
    </row>
    <row r="1766" spans="18:19" x14ac:dyDescent="0.25">
      <c r="R1766" s="13">
        <v>1693</v>
      </c>
      <c r="S1766" s="13">
        <v>0</v>
      </c>
    </row>
    <row r="1767" spans="18:19" x14ac:dyDescent="0.25">
      <c r="R1767" s="13">
        <v>1694</v>
      </c>
      <c r="S1767" s="13">
        <v>0</v>
      </c>
    </row>
    <row r="1768" spans="18:19" x14ac:dyDescent="0.25">
      <c r="R1768" s="13">
        <v>1695</v>
      </c>
      <c r="S1768" s="13">
        <v>0</v>
      </c>
    </row>
    <row r="1769" spans="18:19" x14ac:dyDescent="0.25">
      <c r="R1769" s="13">
        <v>1696</v>
      </c>
      <c r="S1769" s="13">
        <v>0</v>
      </c>
    </row>
    <row r="1770" spans="18:19" x14ac:dyDescent="0.25">
      <c r="R1770" s="13">
        <v>1697</v>
      </c>
      <c r="S1770" s="13">
        <v>607571189.44647789</v>
      </c>
    </row>
    <row r="1771" spans="18:19" x14ac:dyDescent="0.25">
      <c r="R1771" s="13">
        <v>1698</v>
      </c>
      <c r="S1771" s="13">
        <v>388052587.93193245</v>
      </c>
    </row>
    <row r="1772" spans="18:19" x14ac:dyDescent="0.25">
      <c r="R1772" s="13">
        <v>1699</v>
      </c>
      <c r="S1772" s="13">
        <v>0</v>
      </c>
    </row>
    <row r="1773" spans="18:19" x14ac:dyDescent="0.25">
      <c r="R1773" s="13">
        <v>1700</v>
      </c>
      <c r="S1773" s="13">
        <v>0</v>
      </c>
    </row>
    <row r="1774" spans="18:19" x14ac:dyDescent="0.25">
      <c r="R1774" s="13">
        <v>1701</v>
      </c>
      <c r="S1774" s="13">
        <v>0</v>
      </c>
    </row>
    <row r="1775" spans="18:19" x14ac:dyDescent="0.25">
      <c r="R1775" s="13">
        <v>1702</v>
      </c>
      <c r="S1775" s="13">
        <v>0</v>
      </c>
    </row>
    <row r="1776" spans="18:19" x14ac:dyDescent="0.25">
      <c r="R1776" s="13">
        <v>1703</v>
      </c>
      <c r="S1776" s="13">
        <v>377797534.82851219</v>
      </c>
    </row>
    <row r="1777" spans="18:19" x14ac:dyDescent="0.25">
      <c r="R1777" s="13">
        <v>1704</v>
      </c>
      <c r="S1777" s="13">
        <v>0</v>
      </c>
    </row>
    <row r="1778" spans="18:19" x14ac:dyDescent="0.25">
      <c r="R1778" s="13">
        <v>1705</v>
      </c>
      <c r="S1778" s="13">
        <v>544519118.96494102</v>
      </c>
    </row>
    <row r="1779" spans="18:19" x14ac:dyDescent="0.25">
      <c r="R1779" s="13">
        <v>1706</v>
      </c>
      <c r="S1779" s="13">
        <v>175268086.27032852</v>
      </c>
    </row>
    <row r="1780" spans="18:19" x14ac:dyDescent="0.25">
      <c r="R1780" s="13">
        <v>1707</v>
      </c>
      <c r="S1780" s="13">
        <v>0</v>
      </c>
    </row>
    <row r="1781" spans="18:19" x14ac:dyDescent="0.25">
      <c r="R1781" s="13">
        <v>1708</v>
      </c>
      <c r="S1781" s="13">
        <v>0</v>
      </c>
    </row>
    <row r="1782" spans="18:19" x14ac:dyDescent="0.25">
      <c r="R1782" s="13">
        <v>1709</v>
      </c>
      <c r="S1782" s="13">
        <v>0</v>
      </c>
    </row>
    <row r="1783" spans="18:19" x14ac:dyDescent="0.25">
      <c r="R1783" s="13">
        <v>1710</v>
      </c>
      <c r="S1783" s="13">
        <v>754916644.7902813</v>
      </c>
    </row>
    <row r="1784" spans="18:19" x14ac:dyDescent="0.25">
      <c r="R1784" s="13">
        <v>1711</v>
      </c>
      <c r="S1784" s="13">
        <v>0</v>
      </c>
    </row>
    <row r="1785" spans="18:19" x14ac:dyDescent="0.25">
      <c r="R1785" s="13">
        <v>1712</v>
      </c>
      <c r="S1785" s="13">
        <v>0</v>
      </c>
    </row>
    <row r="1786" spans="18:19" x14ac:dyDescent="0.25">
      <c r="R1786" s="13">
        <v>1713</v>
      </c>
      <c r="S1786" s="13">
        <v>0</v>
      </c>
    </row>
    <row r="1787" spans="18:19" x14ac:dyDescent="0.25">
      <c r="R1787" s="13">
        <v>1714</v>
      </c>
      <c r="S1787" s="13">
        <v>0</v>
      </c>
    </row>
    <row r="1788" spans="18:19" x14ac:dyDescent="0.25">
      <c r="R1788" s="13">
        <v>1715</v>
      </c>
      <c r="S1788" s="13">
        <v>0</v>
      </c>
    </row>
    <row r="1789" spans="18:19" x14ac:dyDescent="0.25">
      <c r="R1789" s="13">
        <v>1716</v>
      </c>
      <c r="S1789" s="13">
        <v>0</v>
      </c>
    </row>
    <row r="1790" spans="18:19" x14ac:dyDescent="0.25">
      <c r="R1790" s="13">
        <v>1717</v>
      </c>
      <c r="S1790" s="13">
        <v>0</v>
      </c>
    </row>
    <row r="1791" spans="18:19" x14ac:dyDescent="0.25">
      <c r="R1791" s="13">
        <v>1718</v>
      </c>
      <c r="S1791" s="13">
        <v>0</v>
      </c>
    </row>
    <row r="1792" spans="18:19" x14ac:dyDescent="0.25">
      <c r="R1792" s="13">
        <v>1719</v>
      </c>
      <c r="S1792" s="13">
        <v>0</v>
      </c>
    </row>
    <row r="1793" spans="18:19" x14ac:dyDescent="0.25">
      <c r="R1793" s="13">
        <v>1720</v>
      </c>
      <c r="S1793" s="13">
        <v>0</v>
      </c>
    </row>
    <row r="1794" spans="18:19" x14ac:dyDescent="0.25">
      <c r="R1794" s="13">
        <v>1721</v>
      </c>
      <c r="S1794" s="13">
        <v>0</v>
      </c>
    </row>
    <row r="1795" spans="18:19" x14ac:dyDescent="0.25">
      <c r="R1795" s="13">
        <v>1722</v>
      </c>
      <c r="S1795" s="13">
        <v>0</v>
      </c>
    </row>
    <row r="1796" spans="18:19" x14ac:dyDescent="0.25">
      <c r="R1796" s="13">
        <v>1723</v>
      </c>
      <c r="S1796" s="13">
        <v>0</v>
      </c>
    </row>
    <row r="1797" spans="18:19" x14ac:dyDescent="0.25">
      <c r="R1797" s="13">
        <v>1724</v>
      </c>
      <c r="S1797" s="13">
        <v>0</v>
      </c>
    </row>
    <row r="1798" spans="18:19" x14ac:dyDescent="0.25">
      <c r="R1798" s="13">
        <v>1725</v>
      </c>
      <c r="S1798" s="13">
        <v>167445988.79610634</v>
      </c>
    </row>
    <row r="1799" spans="18:19" x14ac:dyDescent="0.25">
      <c r="R1799" s="13">
        <v>1726</v>
      </c>
      <c r="S1799" s="13">
        <v>91231700.566059113</v>
      </c>
    </row>
    <row r="1800" spans="18:19" x14ac:dyDescent="0.25">
      <c r="R1800" s="13">
        <v>1727</v>
      </c>
      <c r="S1800" s="13">
        <v>0</v>
      </c>
    </row>
    <row r="1801" spans="18:19" x14ac:dyDescent="0.25">
      <c r="R1801" s="13">
        <v>1728</v>
      </c>
      <c r="S1801" s="13">
        <v>0</v>
      </c>
    </row>
    <row r="1802" spans="18:19" x14ac:dyDescent="0.25">
      <c r="R1802" s="13">
        <v>1729</v>
      </c>
      <c r="S1802" s="13">
        <v>0</v>
      </c>
    </row>
    <row r="1803" spans="18:19" x14ac:dyDescent="0.25">
      <c r="R1803" s="13">
        <v>1730</v>
      </c>
      <c r="S1803" s="13">
        <v>0</v>
      </c>
    </row>
    <row r="1804" spans="18:19" x14ac:dyDescent="0.25">
      <c r="R1804" s="13">
        <v>1731</v>
      </c>
      <c r="S1804" s="13">
        <v>0</v>
      </c>
    </row>
    <row r="1805" spans="18:19" x14ac:dyDescent="0.25">
      <c r="R1805" s="13">
        <v>1732</v>
      </c>
      <c r="S1805" s="13">
        <v>0</v>
      </c>
    </row>
    <row r="1806" spans="18:19" x14ac:dyDescent="0.25">
      <c r="R1806" s="13">
        <v>1733</v>
      </c>
      <c r="S1806" s="13">
        <v>0</v>
      </c>
    </row>
    <row r="1807" spans="18:19" x14ac:dyDescent="0.25">
      <c r="R1807" s="13">
        <v>1734</v>
      </c>
      <c r="S1807" s="13">
        <v>0</v>
      </c>
    </row>
    <row r="1808" spans="18:19" x14ac:dyDescent="0.25">
      <c r="R1808" s="13">
        <v>1735</v>
      </c>
      <c r="S1808" s="13">
        <v>0</v>
      </c>
    </row>
    <row r="1809" spans="18:19" x14ac:dyDescent="0.25">
      <c r="R1809" s="13">
        <v>1736</v>
      </c>
      <c r="S1809" s="13">
        <v>0</v>
      </c>
    </row>
    <row r="1810" spans="18:19" x14ac:dyDescent="0.25">
      <c r="R1810" s="13">
        <v>1737</v>
      </c>
      <c r="S1810" s="13">
        <v>0</v>
      </c>
    </row>
    <row r="1811" spans="18:19" x14ac:dyDescent="0.25">
      <c r="R1811" s="13">
        <v>1738</v>
      </c>
      <c r="S1811" s="13">
        <v>0</v>
      </c>
    </row>
    <row r="1812" spans="18:19" x14ac:dyDescent="0.25">
      <c r="R1812" s="13">
        <v>1739</v>
      </c>
      <c r="S1812" s="13">
        <v>0</v>
      </c>
    </row>
    <row r="1813" spans="18:19" x14ac:dyDescent="0.25">
      <c r="R1813" s="13">
        <v>1740</v>
      </c>
      <c r="S1813" s="13">
        <v>0</v>
      </c>
    </row>
    <row r="1814" spans="18:19" x14ac:dyDescent="0.25">
      <c r="R1814" s="13">
        <v>1741</v>
      </c>
      <c r="S1814" s="13">
        <v>0</v>
      </c>
    </row>
    <row r="1815" spans="18:19" x14ac:dyDescent="0.25">
      <c r="R1815" s="13">
        <v>1742</v>
      </c>
      <c r="S1815" s="13">
        <v>0</v>
      </c>
    </row>
    <row r="1816" spans="18:19" x14ac:dyDescent="0.25">
      <c r="R1816" s="13">
        <v>1743</v>
      </c>
      <c r="S1816" s="13">
        <v>0</v>
      </c>
    </row>
    <row r="1817" spans="18:19" x14ac:dyDescent="0.25">
      <c r="R1817" s="13">
        <v>1744</v>
      </c>
      <c r="S1817" s="13">
        <v>0</v>
      </c>
    </row>
    <row r="1818" spans="18:19" x14ac:dyDescent="0.25">
      <c r="R1818" s="13">
        <v>1745</v>
      </c>
      <c r="S1818" s="13">
        <v>415277613.29402351</v>
      </c>
    </row>
    <row r="1819" spans="18:19" x14ac:dyDescent="0.25">
      <c r="R1819" s="13">
        <v>1746</v>
      </c>
      <c r="S1819" s="13">
        <v>901279734.0766449</v>
      </c>
    </row>
    <row r="1820" spans="18:19" x14ac:dyDescent="0.25">
      <c r="R1820" s="13">
        <v>1747</v>
      </c>
      <c r="S1820" s="13">
        <v>0</v>
      </c>
    </row>
    <row r="1821" spans="18:19" x14ac:dyDescent="0.25">
      <c r="R1821" s="13">
        <v>1748</v>
      </c>
      <c r="S1821" s="13">
        <v>0</v>
      </c>
    </row>
    <row r="1822" spans="18:19" x14ac:dyDescent="0.25">
      <c r="R1822" s="13">
        <v>1749</v>
      </c>
      <c r="S1822" s="13">
        <v>514455326.49988174</v>
      </c>
    </row>
    <row r="1823" spans="18:19" x14ac:dyDescent="0.25">
      <c r="R1823" s="13">
        <v>1750</v>
      </c>
      <c r="S1823" s="13">
        <v>0</v>
      </c>
    </row>
    <row r="1824" spans="18:19" x14ac:dyDescent="0.25">
      <c r="R1824" s="13">
        <v>1751</v>
      </c>
      <c r="S1824" s="13">
        <v>0</v>
      </c>
    </row>
    <row r="1825" spans="18:19" x14ac:dyDescent="0.25">
      <c r="R1825" s="13">
        <v>1752</v>
      </c>
      <c r="S1825" s="13">
        <v>0</v>
      </c>
    </row>
    <row r="1826" spans="18:19" x14ac:dyDescent="0.25">
      <c r="R1826" s="13">
        <v>1753</v>
      </c>
      <c r="S1826" s="13">
        <v>275739544.84661484</v>
      </c>
    </row>
    <row r="1827" spans="18:19" x14ac:dyDescent="0.25">
      <c r="R1827" s="13">
        <v>1754</v>
      </c>
      <c r="S1827" s="13">
        <v>0</v>
      </c>
    </row>
    <row r="1828" spans="18:19" x14ac:dyDescent="0.25">
      <c r="R1828" s="13">
        <v>1755</v>
      </c>
      <c r="S1828" s="13">
        <v>371176677.23511505</v>
      </c>
    </row>
    <row r="1829" spans="18:19" x14ac:dyDescent="0.25">
      <c r="R1829" s="13">
        <v>1756</v>
      </c>
      <c r="S1829" s="13">
        <v>0</v>
      </c>
    </row>
    <row r="1830" spans="18:19" x14ac:dyDescent="0.25">
      <c r="R1830" s="13">
        <v>1757</v>
      </c>
      <c r="S1830" s="13">
        <v>424547824.33185387</v>
      </c>
    </row>
    <row r="1831" spans="18:19" x14ac:dyDescent="0.25">
      <c r="R1831" s="13">
        <v>1758</v>
      </c>
      <c r="S1831" s="13">
        <v>332917029.99911118</v>
      </c>
    </row>
    <row r="1832" spans="18:19" x14ac:dyDescent="0.25">
      <c r="R1832" s="13">
        <v>1759</v>
      </c>
      <c r="S1832" s="13">
        <v>0</v>
      </c>
    </row>
    <row r="1833" spans="18:19" x14ac:dyDescent="0.25">
      <c r="R1833" s="13">
        <v>1760</v>
      </c>
      <c r="S1833" s="13">
        <v>0</v>
      </c>
    </row>
    <row r="1834" spans="18:19" x14ac:dyDescent="0.25">
      <c r="R1834" s="13">
        <v>1761</v>
      </c>
      <c r="S1834" s="13">
        <v>0</v>
      </c>
    </row>
    <row r="1835" spans="18:19" x14ac:dyDescent="0.25">
      <c r="R1835" s="13">
        <v>1762</v>
      </c>
      <c r="S1835" s="13">
        <v>0</v>
      </c>
    </row>
    <row r="1836" spans="18:19" x14ac:dyDescent="0.25">
      <c r="R1836" s="13">
        <v>1763</v>
      </c>
      <c r="S1836" s="13">
        <v>0</v>
      </c>
    </row>
    <row r="1837" spans="18:19" x14ac:dyDescent="0.25">
      <c r="R1837" s="13">
        <v>1764</v>
      </c>
      <c r="S1837" s="13">
        <v>0</v>
      </c>
    </row>
    <row r="1838" spans="18:19" x14ac:dyDescent="0.25">
      <c r="R1838" s="13">
        <v>1765</v>
      </c>
      <c r="S1838" s="13">
        <v>140247909.69357109</v>
      </c>
    </row>
    <row r="1839" spans="18:19" x14ac:dyDescent="0.25">
      <c r="R1839" s="13">
        <v>1766</v>
      </c>
      <c r="S1839" s="13">
        <v>531272220.09828568</v>
      </c>
    </row>
    <row r="1840" spans="18:19" x14ac:dyDescent="0.25">
      <c r="R1840" s="13">
        <v>1767</v>
      </c>
      <c r="S1840" s="13">
        <v>0</v>
      </c>
    </row>
    <row r="1841" spans="18:19" x14ac:dyDescent="0.25">
      <c r="R1841" s="13">
        <v>1768</v>
      </c>
      <c r="S1841" s="13">
        <v>0</v>
      </c>
    </row>
    <row r="1842" spans="18:19" x14ac:dyDescent="0.25">
      <c r="R1842" s="13">
        <v>1769</v>
      </c>
      <c r="S1842" s="13">
        <v>0</v>
      </c>
    </row>
    <row r="1843" spans="18:19" x14ac:dyDescent="0.25">
      <c r="R1843" s="13">
        <v>1770</v>
      </c>
      <c r="S1843" s="13">
        <v>0</v>
      </c>
    </row>
    <row r="1844" spans="18:19" x14ac:dyDescent="0.25">
      <c r="R1844" s="13">
        <v>1771</v>
      </c>
      <c r="S1844" s="13">
        <v>0</v>
      </c>
    </row>
    <row r="1845" spans="18:19" x14ac:dyDescent="0.25">
      <c r="R1845" s="13">
        <v>1772</v>
      </c>
      <c r="S1845" s="13">
        <v>0</v>
      </c>
    </row>
    <row r="1846" spans="18:19" x14ac:dyDescent="0.25">
      <c r="R1846" s="13">
        <v>1773</v>
      </c>
      <c r="S1846" s="13">
        <v>191216728.39284325</v>
      </c>
    </row>
    <row r="1847" spans="18:19" x14ac:dyDescent="0.25">
      <c r="R1847" s="13">
        <v>1774</v>
      </c>
      <c r="S1847" s="13">
        <v>24469344.935466766</v>
      </c>
    </row>
    <row r="1848" spans="18:19" x14ac:dyDescent="0.25">
      <c r="R1848" s="13">
        <v>1775</v>
      </c>
      <c r="S1848" s="13">
        <v>0</v>
      </c>
    </row>
    <row r="1849" spans="18:19" x14ac:dyDescent="0.25">
      <c r="R1849" s="13">
        <v>1776</v>
      </c>
      <c r="S1849" s="13">
        <v>0</v>
      </c>
    </row>
    <row r="1850" spans="18:19" x14ac:dyDescent="0.25">
      <c r="R1850" s="13">
        <v>1777</v>
      </c>
      <c r="S1850" s="13">
        <v>0</v>
      </c>
    </row>
    <row r="1851" spans="18:19" x14ac:dyDescent="0.25">
      <c r="R1851" s="13">
        <v>1778</v>
      </c>
      <c r="S1851" s="13">
        <v>224187568.204216</v>
      </c>
    </row>
    <row r="1852" spans="18:19" x14ac:dyDescent="0.25">
      <c r="R1852" s="13">
        <v>1779</v>
      </c>
      <c r="S1852" s="13">
        <v>0</v>
      </c>
    </row>
    <row r="1853" spans="18:19" x14ac:dyDescent="0.25">
      <c r="R1853" s="13">
        <v>1780</v>
      </c>
      <c r="S1853" s="13">
        <v>487650105.34037781</v>
      </c>
    </row>
    <row r="1854" spans="18:19" x14ac:dyDescent="0.25">
      <c r="R1854" s="13">
        <v>1781</v>
      </c>
      <c r="S1854" s="13">
        <v>167684170.30363464</v>
      </c>
    </row>
    <row r="1855" spans="18:19" x14ac:dyDescent="0.25">
      <c r="R1855" s="13">
        <v>1782</v>
      </c>
      <c r="S1855" s="13">
        <v>0</v>
      </c>
    </row>
    <row r="1856" spans="18:19" x14ac:dyDescent="0.25">
      <c r="R1856" s="13">
        <v>1783</v>
      </c>
      <c r="S1856" s="13">
        <v>0</v>
      </c>
    </row>
    <row r="1857" spans="18:19" x14ac:dyDescent="0.25">
      <c r="R1857" s="13">
        <v>1784</v>
      </c>
      <c r="S1857" s="13">
        <v>0</v>
      </c>
    </row>
    <row r="1858" spans="18:19" x14ac:dyDescent="0.25">
      <c r="R1858" s="13">
        <v>1785</v>
      </c>
      <c r="S1858" s="13">
        <v>332171553.80190468</v>
      </c>
    </row>
    <row r="1859" spans="18:19" x14ac:dyDescent="0.25">
      <c r="R1859" s="13">
        <v>1786</v>
      </c>
      <c r="S1859" s="13">
        <v>0</v>
      </c>
    </row>
    <row r="1860" spans="18:19" x14ac:dyDescent="0.25">
      <c r="R1860" s="13">
        <v>1787</v>
      </c>
      <c r="S1860" s="13">
        <v>0</v>
      </c>
    </row>
    <row r="1861" spans="18:19" x14ac:dyDescent="0.25">
      <c r="R1861" s="13">
        <v>1788</v>
      </c>
      <c r="S1861" s="13">
        <v>0</v>
      </c>
    </row>
    <row r="1862" spans="18:19" x14ac:dyDescent="0.25">
      <c r="R1862" s="13">
        <v>1789</v>
      </c>
      <c r="S1862" s="13">
        <v>0</v>
      </c>
    </row>
    <row r="1863" spans="18:19" x14ac:dyDescent="0.25">
      <c r="R1863" s="13">
        <v>1790</v>
      </c>
      <c r="S1863" s="13">
        <v>0</v>
      </c>
    </row>
    <row r="1864" spans="18:19" x14ac:dyDescent="0.25">
      <c r="R1864" s="13">
        <v>1791</v>
      </c>
      <c r="S1864" s="13">
        <v>0</v>
      </c>
    </row>
    <row r="1865" spans="18:19" x14ac:dyDescent="0.25">
      <c r="R1865" s="13">
        <v>1792</v>
      </c>
      <c r="S1865" s="13">
        <v>0</v>
      </c>
    </row>
    <row r="1866" spans="18:19" x14ac:dyDescent="0.25">
      <c r="R1866" s="13">
        <v>1793</v>
      </c>
      <c r="S1866" s="13">
        <v>0</v>
      </c>
    </row>
    <row r="1867" spans="18:19" x14ac:dyDescent="0.25">
      <c r="R1867" s="13">
        <v>1794</v>
      </c>
      <c r="S1867" s="13">
        <v>95177507.817808151</v>
      </c>
    </row>
    <row r="1868" spans="18:19" x14ac:dyDescent="0.25">
      <c r="R1868" s="13">
        <v>1795</v>
      </c>
      <c r="S1868" s="13">
        <v>0</v>
      </c>
    </row>
    <row r="1869" spans="18:19" x14ac:dyDescent="0.25">
      <c r="R1869" s="13">
        <v>1796</v>
      </c>
      <c r="S1869" s="13">
        <v>0</v>
      </c>
    </row>
    <row r="1870" spans="18:19" x14ac:dyDescent="0.25">
      <c r="R1870" s="13">
        <v>1797</v>
      </c>
      <c r="S1870" s="13">
        <v>0</v>
      </c>
    </row>
    <row r="1871" spans="18:19" x14ac:dyDescent="0.25">
      <c r="R1871" s="13">
        <v>1798</v>
      </c>
      <c r="S1871" s="13">
        <v>0</v>
      </c>
    </row>
    <row r="1872" spans="18:19" x14ac:dyDescent="0.25">
      <c r="R1872" s="13">
        <v>1799</v>
      </c>
      <c r="S1872" s="13">
        <v>0</v>
      </c>
    </row>
    <row r="1873" spans="18:19" x14ac:dyDescent="0.25">
      <c r="R1873" s="13">
        <v>1800</v>
      </c>
      <c r="S1873" s="13">
        <v>0</v>
      </c>
    </row>
    <row r="1874" spans="18:19" x14ac:dyDescent="0.25">
      <c r="R1874" s="13">
        <v>1801</v>
      </c>
      <c r="S1874" s="13">
        <v>0</v>
      </c>
    </row>
    <row r="1875" spans="18:19" x14ac:dyDescent="0.25">
      <c r="R1875" s="13">
        <v>1802</v>
      </c>
      <c r="S1875" s="13">
        <v>0</v>
      </c>
    </row>
    <row r="1876" spans="18:19" x14ac:dyDescent="0.25">
      <c r="R1876" s="13">
        <v>1803</v>
      </c>
      <c r="S1876" s="13">
        <v>0</v>
      </c>
    </row>
    <row r="1877" spans="18:19" x14ac:dyDescent="0.25">
      <c r="R1877" s="13">
        <v>1804</v>
      </c>
      <c r="S1877" s="13">
        <v>0</v>
      </c>
    </row>
    <row r="1878" spans="18:19" x14ac:dyDescent="0.25">
      <c r="R1878" s="13">
        <v>1805</v>
      </c>
      <c r="S1878" s="13">
        <v>0</v>
      </c>
    </row>
    <row r="1879" spans="18:19" x14ac:dyDescent="0.25">
      <c r="R1879" s="13">
        <v>1806</v>
      </c>
      <c r="S1879" s="13">
        <v>0</v>
      </c>
    </row>
    <row r="1880" spans="18:19" x14ac:dyDescent="0.25">
      <c r="R1880" s="13">
        <v>1807</v>
      </c>
      <c r="S1880" s="13">
        <v>0</v>
      </c>
    </row>
    <row r="1881" spans="18:19" x14ac:dyDescent="0.25">
      <c r="R1881" s="13">
        <v>1808</v>
      </c>
      <c r="S1881" s="13">
        <v>210018027.9637413</v>
      </c>
    </row>
    <row r="1882" spans="18:19" x14ac:dyDescent="0.25">
      <c r="R1882" s="13">
        <v>1809</v>
      </c>
      <c r="S1882" s="13">
        <v>72320132.949241638</v>
      </c>
    </row>
    <row r="1883" spans="18:19" x14ac:dyDescent="0.25">
      <c r="R1883" s="13">
        <v>1810</v>
      </c>
      <c r="S1883" s="13">
        <v>0</v>
      </c>
    </row>
    <row r="1884" spans="18:19" x14ac:dyDescent="0.25">
      <c r="R1884" s="13">
        <v>1811</v>
      </c>
      <c r="S1884" s="13">
        <v>0</v>
      </c>
    </row>
    <row r="1885" spans="18:19" x14ac:dyDescent="0.25">
      <c r="R1885" s="13">
        <v>1812</v>
      </c>
      <c r="S1885" s="13">
        <v>0</v>
      </c>
    </row>
    <row r="1886" spans="18:19" x14ac:dyDescent="0.25">
      <c r="R1886" s="13">
        <v>1813</v>
      </c>
      <c r="S1886" s="13">
        <v>68502305.114612579</v>
      </c>
    </row>
    <row r="1887" spans="18:19" x14ac:dyDescent="0.25">
      <c r="R1887" s="13">
        <v>1814</v>
      </c>
      <c r="S1887" s="13">
        <v>0</v>
      </c>
    </row>
    <row r="1888" spans="18:19" x14ac:dyDescent="0.25">
      <c r="R1888" s="13">
        <v>1815</v>
      </c>
      <c r="S1888" s="13">
        <v>0</v>
      </c>
    </row>
    <row r="1889" spans="18:19" x14ac:dyDescent="0.25">
      <c r="R1889" s="13">
        <v>1816</v>
      </c>
      <c r="S1889" s="13">
        <v>0</v>
      </c>
    </row>
    <row r="1890" spans="18:19" x14ac:dyDescent="0.25">
      <c r="R1890" s="13">
        <v>1817</v>
      </c>
      <c r="S1890" s="13">
        <v>744291180.86804008</v>
      </c>
    </row>
    <row r="1891" spans="18:19" x14ac:dyDescent="0.25">
      <c r="R1891" s="13">
        <v>1818</v>
      </c>
      <c r="S1891" s="13">
        <v>0</v>
      </c>
    </row>
    <row r="1892" spans="18:19" x14ac:dyDescent="0.25">
      <c r="R1892" s="13">
        <v>1819</v>
      </c>
      <c r="S1892" s="13">
        <v>0</v>
      </c>
    </row>
    <row r="1893" spans="18:19" x14ac:dyDescent="0.25">
      <c r="R1893" s="13">
        <v>1820</v>
      </c>
      <c r="S1893" s="13">
        <v>0</v>
      </c>
    </row>
    <row r="1894" spans="18:19" x14ac:dyDescent="0.25">
      <c r="R1894" s="13">
        <v>1821</v>
      </c>
      <c r="S1894" s="13">
        <v>0</v>
      </c>
    </row>
    <row r="1895" spans="18:19" x14ac:dyDescent="0.25">
      <c r="R1895" s="13">
        <v>1822</v>
      </c>
      <c r="S1895" s="13">
        <v>0</v>
      </c>
    </row>
    <row r="1896" spans="18:19" x14ac:dyDescent="0.25">
      <c r="R1896" s="13">
        <v>1823</v>
      </c>
      <c r="S1896" s="13">
        <v>642375423.13211823</v>
      </c>
    </row>
    <row r="1897" spans="18:19" x14ac:dyDescent="0.25">
      <c r="R1897" s="13">
        <v>1824</v>
      </c>
      <c r="S1897" s="13">
        <v>0</v>
      </c>
    </row>
    <row r="1898" spans="18:19" x14ac:dyDescent="0.25">
      <c r="R1898" s="13">
        <v>1825</v>
      </c>
      <c r="S1898" s="13">
        <v>485558294.47246552</v>
      </c>
    </row>
    <row r="1899" spans="18:19" x14ac:dyDescent="0.25">
      <c r="R1899" s="13">
        <v>1826</v>
      </c>
      <c r="S1899" s="13">
        <v>0</v>
      </c>
    </row>
    <row r="1900" spans="18:19" x14ac:dyDescent="0.25">
      <c r="R1900" s="13">
        <v>1827</v>
      </c>
      <c r="S1900" s="13">
        <v>0</v>
      </c>
    </row>
    <row r="1901" spans="18:19" x14ac:dyDescent="0.25">
      <c r="R1901" s="13">
        <v>1828</v>
      </c>
      <c r="S1901" s="13">
        <v>49948868.424209595</v>
      </c>
    </row>
    <row r="1902" spans="18:19" x14ac:dyDescent="0.25">
      <c r="R1902" s="13">
        <v>1829</v>
      </c>
      <c r="S1902" s="13">
        <v>0</v>
      </c>
    </row>
    <row r="1903" spans="18:19" x14ac:dyDescent="0.25">
      <c r="R1903" s="13">
        <v>1830</v>
      </c>
      <c r="S1903" s="13">
        <v>0</v>
      </c>
    </row>
    <row r="1904" spans="18:19" x14ac:dyDescent="0.25">
      <c r="R1904" s="13">
        <v>1831</v>
      </c>
      <c r="S1904" s="13">
        <v>0</v>
      </c>
    </row>
    <row r="1905" spans="18:19" x14ac:dyDescent="0.25">
      <c r="R1905" s="13">
        <v>1832</v>
      </c>
      <c r="S1905" s="13">
        <v>181987152.62522888</v>
      </c>
    </row>
    <row r="1906" spans="18:19" x14ac:dyDescent="0.25">
      <c r="R1906" s="13">
        <v>1833</v>
      </c>
      <c r="S1906" s="13">
        <v>0</v>
      </c>
    </row>
    <row r="1907" spans="18:19" x14ac:dyDescent="0.25">
      <c r="R1907" s="13">
        <v>1834</v>
      </c>
      <c r="S1907" s="13">
        <v>72259240.35789299</v>
      </c>
    </row>
    <row r="1908" spans="18:19" x14ac:dyDescent="0.25">
      <c r="R1908" s="13">
        <v>1835</v>
      </c>
      <c r="S1908" s="13">
        <v>0</v>
      </c>
    </row>
    <row r="1909" spans="18:19" x14ac:dyDescent="0.25">
      <c r="R1909" s="13">
        <v>1836</v>
      </c>
      <c r="S1909" s="13">
        <v>0</v>
      </c>
    </row>
    <row r="1910" spans="18:19" x14ac:dyDescent="0.25">
      <c r="R1910" s="13">
        <v>1837</v>
      </c>
      <c r="S1910" s="13">
        <v>287631596.44172668</v>
      </c>
    </row>
    <row r="1911" spans="18:19" x14ac:dyDescent="0.25">
      <c r="R1911" s="13">
        <v>1838</v>
      </c>
      <c r="S1911" s="13">
        <v>0</v>
      </c>
    </row>
    <row r="1912" spans="18:19" x14ac:dyDescent="0.25">
      <c r="R1912" s="13">
        <v>1839</v>
      </c>
      <c r="S1912" s="13">
        <v>0</v>
      </c>
    </row>
    <row r="1913" spans="18:19" x14ac:dyDescent="0.25">
      <c r="R1913" s="13">
        <v>1840</v>
      </c>
      <c r="S1913" s="13">
        <v>0</v>
      </c>
    </row>
    <row r="1914" spans="18:19" x14ac:dyDescent="0.25">
      <c r="R1914" s="13">
        <v>1841</v>
      </c>
      <c r="S1914" s="13">
        <v>0</v>
      </c>
    </row>
    <row r="1915" spans="18:19" x14ac:dyDescent="0.25">
      <c r="R1915" s="13">
        <v>1842</v>
      </c>
      <c r="S1915" s="13">
        <v>319667661.16114616</v>
      </c>
    </row>
    <row r="1916" spans="18:19" x14ac:dyDescent="0.25">
      <c r="R1916" s="13">
        <v>1843</v>
      </c>
      <c r="S1916" s="13">
        <v>0</v>
      </c>
    </row>
    <row r="1917" spans="18:19" x14ac:dyDescent="0.25">
      <c r="R1917" s="13">
        <v>1844</v>
      </c>
      <c r="S1917" s="13">
        <v>154165497.88792038</v>
      </c>
    </row>
    <row r="1918" spans="18:19" x14ac:dyDescent="0.25">
      <c r="R1918" s="13">
        <v>1845</v>
      </c>
      <c r="S1918" s="13">
        <v>0</v>
      </c>
    </row>
    <row r="1919" spans="18:19" x14ac:dyDescent="0.25">
      <c r="R1919" s="13">
        <v>1846</v>
      </c>
      <c r="S1919" s="13">
        <v>0</v>
      </c>
    </row>
    <row r="1920" spans="18:19" x14ac:dyDescent="0.25">
      <c r="R1920" s="13">
        <v>1847</v>
      </c>
      <c r="S1920" s="13">
        <v>585856552.99916458</v>
      </c>
    </row>
    <row r="1921" spans="18:19" x14ac:dyDescent="0.25">
      <c r="R1921" s="13">
        <v>1848</v>
      </c>
      <c r="S1921" s="13">
        <v>0</v>
      </c>
    </row>
    <row r="1922" spans="18:19" x14ac:dyDescent="0.25">
      <c r="R1922" s="13">
        <v>1849</v>
      </c>
      <c r="S1922" s="13">
        <v>0</v>
      </c>
    </row>
    <row r="1923" spans="18:19" x14ac:dyDescent="0.25">
      <c r="R1923" s="13">
        <v>1850</v>
      </c>
      <c r="S1923" s="13">
        <v>0</v>
      </c>
    </row>
    <row r="1924" spans="18:19" x14ac:dyDescent="0.25">
      <c r="R1924" s="13">
        <v>1851</v>
      </c>
      <c r="S1924" s="13">
        <v>0</v>
      </c>
    </row>
    <row r="1925" spans="18:19" x14ac:dyDescent="0.25">
      <c r="R1925" s="13">
        <v>1852</v>
      </c>
      <c r="S1925" s="13">
        <v>0</v>
      </c>
    </row>
    <row r="1926" spans="18:19" x14ac:dyDescent="0.25">
      <c r="R1926" s="13">
        <v>1853</v>
      </c>
      <c r="S1926" s="13">
        <v>0</v>
      </c>
    </row>
    <row r="1927" spans="18:19" x14ac:dyDescent="0.25">
      <c r="R1927" s="13">
        <v>1854</v>
      </c>
      <c r="S1927" s="13">
        <v>0</v>
      </c>
    </row>
    <row r="1928" spans="18:19" x14ac:dyDescent="0.25">
      <c r="R1928" s="13">
        <v>1855</v>
      </c>
      <c r="S1928" s="13">
        <v>0</v>
      </c>
    </row>
    <row r="1929" spans="18:19" x14ac:dyDescent="0.25">
      <c r="R1929" s="13">
        <v>1856</v>
      </c>
      <c r="S1929" s="13">
        <v>0</v>
      </c>
    </row>
    <row r="1930" spans="18:19" x14ac:dyDescent="0.25">
      <c r="R1930" s="13">
        <v>1857</v>
      </c>
      <c r="S1930" s="13">
        <v>0</v>
      </c>
    </row>
    <row r="1931" spans="18:19" x14ac:dyDescent="0.25">
      <c r="R1931" s="13">
        <v>1858</v>
      </c>
      <c r="S1931" s="13">
        <v>0</v>
      </c>
    </row>
    <row r="1932" spans="18:19" x14ac:dyDescent="0.25">
      <c r="R1932" s="13">
        <v>1859</v>
      </c>
      <c r="S1932" s="13">
        <v>0</v>
      </c>
    </row>
    <row r="1933" spans="18:19" x14ac:dyDescent="0.25">
      <c r="R1933" s="13">
        <v>1860</v>
      </c>
      <c r="S1933" s="13">
        <v>0</v>
      </c>
    </row>
    <row r="1934" spans="18:19" x14ac:dyDescent="0.25">
      <c r="R1934" s="13">
        <v>1861</v>
      </c>
      <c r="S1934" s="13">
        <v>0</v>
      </c>
    </row>
    <row r="1935" spans="18:19" x14ac:dyDescent="0.25">
      <c r="R1935" s="13">
        <v>1862</v>
      </c>
      <c r="S1935" s="13">
        <v>0</v>
      </c>
    </row>
    <row r="1936" spans="18:19" x14ac:dyDescent="0.25">
      <c r="R1936" s="13">
        <v>1863</v>
      </c>
      <c r="S1936" s="13">
        <v>0</v>
      </c>
    </row>
    <row r="1937" spans="18:19" x14ac:dyDescent="0.25">
      <c r="R1937" s="13">
        <v>1864</v>
      </c>
      <c r="S1937" s="13">
        <v>0</v>
      </c>
    </row>
    <row r="1938" spans="18:19" x14ac:dyDescent="0.25">
      <c r="R1938" s="13">
        <v>1865</v>
      </c>
      <c r="S1938" s="13">
        <v>12615449.715307236</v>
      </c>
    </row>
    <row r="1939" spans="18:19" x14ac:dyDescent="0.25">
      <c r="R1939" s="13">
        <v>1866</v>
      </c>
      <c r="S1939" s="13">
        <v>0</v>
      </c>
    </row>
    <row r="1940" spans="18:19" x14ac:dyDescent="0.25">
      <c r="R1940" s="13">
        <v>1867</v>
      </c>
      <c r="S1940" s="13">
        <v>0</v>
      </c>
    </row>
    <row r="1941" spans="18:19" x14ac:dyDescent="0.25">
      <c r="R1941" s="13">
        <v>1868</v>
      </c>
      <c r="S1941" s="13">
        <v>0</v>
      </c>
    </row>
    <row r="1942" spans="18:19" x14ac:dyDescent="0.25">
      <c r="R1942" s="13">
        <v>1869</v>
      </c>
      <c r="S1942" s="13">
        <v>0</v>
      </c>
    </row>
    <row r="1943" spans="18:19" x14ac:dyDescent="0.25">
      <c r="R1943" s="13">
        <v>1870</v>
      </c>
      <c r="S1943" s="13">
        <v>0</v>
      </c>
    </row>
    <row r="1944" spans="18:19" x14ac:dyDescent="0.25">
      <c r="R1944" s="13">
        <v>1871</v>
      </c>
      <c r="S1944" s="13">
        <v>0</v>
      </c>
    </row>
    <row r="1945" spans="18:19" x14ac:dyDescent="0.25">
      <c r="R1945" s="13">
        <v>1872</v>
      </c>
      <c r="S1945" s="13">
        <v>0</v>
      </c>
    </row>
    <row r="1946" spans="18:19" x14ac:dyDescent="0.25">
      <c r="R1946" s="13">
        <v>1873</v>
      </c>
      <c r="S1946" s="13">
        <v>0</v>
      </c>
    </row>
    <row r="1947" spans="18:19" x14ac:dyDescent="0.25">
      <c r="R1947" s="13">
        <v>1874</v>
      </c>
      <c r="S1947" s="13">
        <v>0</v>
      </c>
    </row>
    <row r="1948" spans="18:19" x14ac:dyDescent="0.25">
      <c r="R1948" s="13">
        <v>1875</v>
      </c>
      <c r="S1948" s="13">
        <v>0</v>
      </c>
    </row>
    <row r="1949" spans="18:19" x14ac:dyDescent="0.25">
      <c r="R1949" s="13">
        <v>1876</v>
      </c>
      <c r="S1949" s="13">
        <v>190386393.5874958</v>
      </c>
    </row>
    <row r="1950" spans="18:19" x14ac:dyDescent="0.25">
      <c r="R1950" s="13">
        <v>1877</v>
      </c>
      <c r="S1950" s="13">
        <v>0</v>
      </c>
    </row>
    <row r="1951" spans="18:19" x14ac:dyDescent="0.25">
      <c r="R1951" s="13">
        <v>1878</v>
      </c>
      <c r="S1951" s="13">
        <v>0</v>
      </c>
    </row>
    <row r="1952" spans="18:19" x14ac:dyDescent="0.25">
      <c r="R1952" s="13">
        <v>1879</v>
      </c>
      <c r="S1952" s="13">
        <v>0</v>
      </c>
    </row>
    <row r="1953" spans="18:19" x14ac:dyDescent="0.25">
      <c r="R1953" s="13">
        <v>1880</v>
      </c>
      <c r="S1953" s="13">
        <v>100927716.52988243</v>
      </c>
    </row>
    <row r="1954" spans="18:19" x14ac:dyDescent="0.25">
      <c r="R1954" s="13">
        <v>1881</v>
      </c>
      <c r="S1954" s="13">
        <v>225810761.98570251</v>
      </c>
    </row>
    <row r="1955" spans="18:19" x14ac:dyDescent="0.25">
      <c r="R1955" s="13">
        <v>1882</v>
      </c>
      <c r="S1955" s="13">
        <v>0</v>
      </c>
    </row>
    <row r="1956" spans="18:19" x14ac:dyDescent="0.25">
      <c r="R1956" s="13">
        <v>1883</v>
      </c>
      <c r="S1956" s="13">
        <v>0</v>
      </c>
    </row>
    <row r="1957" spans="18:19" x14ac:dyDescent="0.25">
      <c r="R1957" s="13">
        <v>1884</v>
      </c>
      <c r="S1957" s="13">
        <v>449798613.27232933</v>
      </c>
    </row>
    <row r="1958" spans="18:19" x14ac:dyDescent="0.25">
      <c r="R1958" s="13">
        <v>1885</v>
      </c>
      <c r="S1958" s="13">
        <v>0</v>
      </c>
    </row>
    <row r="1959" spans="18:19" x14ac:dyDescent="0.25">
      <c r="R1959" s="13">
        <v>1886</v>
      </c>
      <c r="S1959" s="13">
        <v>0</v>
      </c>
    </row>
    <row r="1960" spans="18:19" x14ac:dyDescent="0.25">
      <c r="R1960" s="13">
        <v>1887</v>
      </c>
      <c r="S1960" s="13">
        <v>0</v>
      </c>
    </row>
    <row r="1961" spans="18:19" x14ac:dyDescent="0.25">
      <c r="R1961" s="13">
        <v>1888</v>
      </c>
      <c r="S1961" s="13">
        <v>352511489.45112038</v>
      </c>
    </row>
    <row r="1962" spans="18:19" x14ac:dyDescent="0.25">
      <c r="R1962" s="13">
        <v>1889</v>
      </c>
      <c r="S1962" s="13">
        <v>0</v>
      </c>
    </row>
    <row r="1963" spans="18:19" x14ac:dyDescent="0.25">
      <c r="R1963" s="13">
        <v>1890</v>
      </c>
      <c r="S1963" s="13">
        <v>0</v>
      </c>
    </row>
    <row r="1964" spans="18:19" x14ac:dyDescent="0.25">
      <c r="R1964" s="13">
        <v>1891</v>
      </c>
      <c r="S1964" s="13">
        <v>0</v>
      </c>
    </row>
    <row r="1965" spans="18:19" x14ac:dyDescent="0.25">
      <c r="R1965" s="13">
        <v>1892</v>
      </c>
      <c r="S1965" s="13">
        <v>0</v>
      </c>
    </row>
    <row r="1966" spans="18:19" x14ac:dyDescent="0.25">
      <c r="R1966" s="13">
        <v>1893</v>
      </c>
      <c r="S1966" s="13">
        <v>255578469.89993668</v>
      </c>
    </row>
    <row r="1967" spans="18:19" x14ac:dyDescent="0.25">
      <c r="R1967" s="13">
        <v>1894</v>
      </c>
      <c r="S1967" s="13">
        <v>0</v>
      </c>
    </row>
    <row r="1968" spans="18:19" x14ac:dyDescent="0.25">
      <c r="R1968" s="13">
        <v>1895</v>
      </c>
      <c r="S1968" s="13">
        <v>0</v>
      </c>
    </row>
    <row r="1969" spans="18:19" x14ac:dyDescent="0.25">
      <c r="R1969" s="13">
        <v>1896</v>
      </c>
      <c r="S1969" s="13">
        <v>285542385.13891983</v>
      </c>
    </row>
    <row r="1970" spans="18:19" x14ac:dyDescent="0.25">
      <c r="R1970" s="13">
        <v>1897</v>
      </c>
      <c r="S1970" s="13">
        <v>0</v>
      </c>
    </row>
    <row r="1971" spans="18:19" x14ac:dyDescent="0.25">
      <c r="R1971" s="13">
        <v>1898</v>
      </c>
      <c r="S1971" s="13">
        <v>0</v>
      </c>
    </row>
    <row r="1972" spans="18:19" x14ac:dyDescent="0.25">
      <c r="R1972" s="13">
        <v>1899</v>
      </c>
      <c r="S1972" s="13">
        <v>0</v>
      </c>
    </row>
    <row r="1973" spans="18:19" x14ac:dyDescent="0.25">
      <c r="R1973" s="13">
        <v>1900</v>
      </c>
      <c r="S1973" s="13">
        <v>0</v>
      </c>
    </row>
    <row r="1974" spans="18:19" x14ac:dyDescent="0.25">
      <c r="R1974" s="13">
        <v>1901</v>
      </c>
      <c r="S1974" s="13">
        <v>0</v>
      </c>
    </row>
    <row r="1975" spans="18:19" x14ac:dyDescent="0.25">
      <c r="R1975" s="13">
        <v>1902</v>
      </c>
      <c r="S1975" s="13">
        <v>0</v>
      </c>
    </row>
    <row r="1976" spans="18:19" x14ac:dyDescent="0.25">
      <c r="R1976" s="13">
        <v>1903</v>
      </c>
      <c r="S1976" s="13">
        <v>0</v>
      </c>
    </row>
    <row r="1977" spans="18:19" x14ac:dyDescent="0.25">
      <c r="R1977" s="13">
        <v>1904</v>
      </c>
      <c r="S1977" s="13">
        <v>502204604.80343056</v>
      </c>
    </row>
    <row r="1978" spans="18:19" x14ac:dyDescent="0.25">
      <c r="R1978" s="13">
        <v>1905</v>
      </c>
      <c r="S1978" s="13">
        <v>0</v>
      </c>
    </row>
    <row r="1979" spans="18:19" x14ac:dyDescent="0.25">
      <c r="R1979" s="13">
        <v>1906</v>
      </c>
      <c r="S1979" s="13">
        <v>110291775.75918961</v>
      </c>
    </row>
    <row r="1980" spans="18:19" x14ac:dyDescent="0.25">
      <c r="R1980" s="13">
        <v>1907</v>
      </c>
      <c r="S1980" s="13">
        <v>0</v>
      </c>
    </row>
    <row r="1981" spans="18:19" x14ac:dyDescent="0.25">
      <c r="R1981" s="13">
        <v>1908</v>
      </c>
      <c r="S1981" s="13">
        <v>0</v>
      </c>
    </row>
    <row r="1982" spans="18:19" x14ac:dyDescent="0.25">
      <c r="R1982" s="13">
        <v>1909</v>
      </c>
      <c r="S1982" s="13">
        <v>0</v>
      </c>
    </row>
    <row r="1983" spans="18:19" x14ac:dyDescent="0.25">
      <c r="R1983" s="13">
        <v>1910</v>
      </c>
      <c r="S1983" s="13">
        <v>115304700.12419128</v>
      </c>
    </row>
    <row r="1984" spans="18:19" x14ac:dyDescent="0.25">
      <c r="R1984" s="13">
        <v>1911</v>
      </c>
      <c r="S1984" s="13">
        <v>725340310.30612946</v>
      </c>
    </row>
    <row r="1985" spans="18:19" x14ac:dyDescent="0.25">
      <c r="R1985" s="13">
        <v>1912</v>
      </c>
      <c r="S1985" s="13">
        <v>0</v>
      </c>
    </row>
    <row r="1986" spans="18:19" x14ac:dyDescent="0.25">
      <c r="R1986" s="13">
        <v>1913</v>
      </c>
      <c r="S1986" s="13">
        <v>0</v>
      </c>
    </row>
    <row r="1987" spans="18:19" x14ac:dyDescent="0.25">
      <c r="R1987" s="13">
        <v>1914</v>
      </c>
      <c r="S1987" s="13">
        <v>557521205.53204346</v>
      </c>
    </row>
    <row r="1988" spans="18:19" x14ac:dyDescent="0.25">
      <c r="R1988" s="13">
        <v>1915</v>
      </c>
      <c r="S1988" s="13">
        <v>0</v>
      </c>
    </row>
    <row r="1989" spans="18:19" x14ac:dyDescent="0.25">
      <c r="R1989" s="13">
        <v>1916</v>
      </c>
      <c r="S1989" s="13">
        <v>0</v>
      </c>
    </row>
    <row r="1990" spans="18:19" x14ac:dyDescent="0.25">
      <c r="R1990" s="13">
        <v>1917</v>
      </c>
      <c r="S1990" s="13">
        <v>0</v>
      </c>
    </row>
    <row r="1991" spans="18:19" x14ac:dyDescent="0.25">
      <c r="R1991" s="13">
        <v>1918</v>
      </c>
      <c r="S1991" s="13">
        <v>20607054.103097916</v>
      </c>
    </row>
    <row r="1992" spans="18:19" x14ac:dyDescent="0.25">
      <c r="R1992" s="13">
        <v>1919</v>
      </c>
      <c r="S1992" s="13">
        <v>0</v>
      </c>
    </row>
    <row r="1993" spans="18:19" x14ac:dyDescent="0.25">
      <c r="R1993" s="13">
        <v>1920</v>
      </c>
      <c r="S1993" s="13">
        <v>0</v>
      </c>
    </row>
    <row r="1994" spans="18:19" x14ac:dyDescent="0.25">
      <c r="R1994" s="13">
        <v>1921</v>
      </c>
      <c r="S1994" s="13">
        <v>0</v>
      </c>
    </row>
    <row r="1995" spans="18:19" x14ac:dyDescent="0.25">
      <c r="R1995" s="13">
        <v>1922</v>
      </c>
      <c r="S1995" s="13">
        <v>0</v>
      </c>
    </row>
    <row r="1996" spans="18:19" x14ac:dyDescent="0.25">
      <c r="R1996" s="13">
        <v>1923</v>
      </c>
      <c r="S1996" s="13">
        <v>0</v>
      </c>
    </row>
    <row r="1997" spans="18:19" x14ac:dyDescent="0.25">
      <c r="R1997" s="13">
        <v>1924</v>
      </c>
      <c r="S1997" s="13">
        <v>0</v>
      </c>
    </row>
    <row r="1998" spans="18:19" x14ac:dyDescent="0.25">
      <c r="R1998" s="13">
        <v>1925</v>
      </c>
      <c r="S1998" s="13">
        <v>0</v>
      </c>
    </row>
    <row r="1999" spans="18:19" x14ac:dyDescent="0.25">
      <c r="R1999" s="13">
        <v>1926</v>
      </c>
      <c r="S1999" s="13">
        <v>0</v>
      </c>
    </row>
    <row r="2000" spans="18:19" x14ac:dyDescent="0.25">
      <c r="R2000" s="13">
        <v>1927</v>
      </c>
      <c r="S2000" s="13">
        <v>0</v>
      </c>
    </row>
    <row r="2001" spans="18:19" x14ac:dyDescent="0.25">
      <c r="R2001" s="13">
        <v>1928</v>
      </c>
      <c r="S2001" s="13">
        <v>0</v>
      </c>
    </row>
    <row r="2002" spans="18:19" x14ac:dyDescent="0.25">
      <c r="R2002" s="13">
        <v>1929</v>
      </c>
      <c r="S2002" s="13">
        <v>0</v>
      </c>
    </row>
    <row r="2003" spans="18:19" x14ac:dyDescent="0.25">
      <c r="R2003" s="13">
        <v>1930</v>
      </c>
      <c r="S2003" s="13">
        <v>0</v>
      </c>
    </row>
    <row r="2004" spans="18:19" x14ac:dyDescent="0.25">
      <c r="R2004" s="13">
        <v>1931</v>
      </c>
      <c r="S2004" s="13">
        <v>0</v>
      </c>
    </row>
    <row r="2005" spans="18:19" x14ac:dyDescent="0.25">
      <c r="R2005" s="13">
        <v>1932</v>
      </c>
      <c r="S2005" s="13">
        <v>0</v>
      </c>
    </row>
    <row r="2006" spans="18:19" x14ac:dyDescent="0.25">
      <c r="R2006" s="13">
        <v>1933</v>
      </c>
      <c r="S2006" s="13">
        <v>0</v>
      </c>
    </row>
    <row r="2007" spans="18:19" x14ac:dyDescent="0.25">
      <c r="R2007" s="13">
        <v>1934</v>
      </c>
      <c r="S2007" s="13">
        <v>0</v>
      </c>
    </row>
    <row r="2008" spans="18:19" x14ac:dyDescent="0.25">
      <c r="R2008" s="13">
        <v>1935</v>
      </c>
      <c r="S2008" s="13">
        <v>0</v>
      </c>
    </row>
    <row r="2009" spans="18:19" x14ac:dyDescent="0.25">
      <c r="R2009" s="13">
        <v>1936</v>
      </c>
      <c r="S2009" s="13">
        <v>0</v>
      </c>
    </row>
    <row r="2010" spans="18:19" x14ac:dyDescent="0.25">
      <c r="R2010" s="13">
        <v>1937</v>
      </c>
      <c r="S2010" s="13">
        <v>273488886.50802422</v>
      </c>
    </row>
    <row r="2011" spans="18:19" x14ac:dyDescent="0.25">
      <c r="R2011" s="13">
        <v>1938</v>
      </c>
      <c r="S2011" s="13">
        <v>12447857.051420212</v>
      </c>
    </row>
    <row r="2012" spans="18:19" x14ac:dyDescent="0.25">
      <c r="R2012" s="13">
        <v>1939</v>
      </c>
      <c r="S2012" s="13">
        <v>0</v>
      </c>
    </row>
    <row r="2013" spans="18:19" x14ac:dyDescent="0.25">
      <c r="R2013" s="13">
        <v>1940</v>
      </c>
      <c r="S2013" s="13">
        <v>0</v>
      </c>
    </row>
    <row r="2014" spans="18:19" x14ac:dyDescent="0.25">
      <c r="R2014" s="13">
        <v>1941</v>
      </c>
      <c r="S2014" s="13">
        <v>0</v>
      </c>
    </row>
    <row r="2015" spans="18:19" x14ac:dyDescent="0.25">
      <c r="R2015" s="13">
        <v>1942</v>
      </c>
      <c r="S2015" s="13">
        <v>0</v>
      </c>
    </row>
    <row r="2016" spans="18:19" x14ac:dyDescent="0.25">
      <c r="R2016" s="13">
        <v>1943</v>
      </c>
      <c r="S2016" s="13">
        <v>0</v>
      </c>
    </row>
    <row r="2017" spans="18:19" x14ac:dyDescent="0.25">
      <c r="R2017" s="13">
        <v>1944</v>
      </c>
      <c r="S2017" s="13">
        <v>0</v>
      </c>
    </row>
    <row r="2018" spans="18:19" x14ac:dyDescent="0.25">
      <c r="R2018" s="13">
        <v>1945</v>
      </c>
      <c r="S2018" s="13">
        <v>720050537.28916931</v>
      </c>
    </row>
    <row r="2019" spans="18:19" x14ac:dyDescent="0.25">
      <c r="R2019" s="13">
        <v>1946</v>
      </c>
      <c r="S2019" s="13">
        <v>0</v>
      </c>
    </row>
    <row r="2020" spans="18:19" x14ac:dyDescent="0.25">
      <c r="R2020" s="13">
        <v>1947</v>
      </c>
      <c r="S2020" s="13">
        <v>451766125.56801605</v>
      </c>
    </row>
    <row r="2021" spans="18:19" x14ac:dyDescent="0.25">
      <c r="R2021" s="13">
        <v>1948</v>
      </c>
      <c r="S2021" s="13">
        <v>0</v>
      </c>
    </row>
    <row r="2022" spans="18:19" x14ac:dyDescent="0.25">
      <c r="R2022" s="13">
        <v>1949</v>
      </c>
      <c r="S2022" s="13">
        <v>0</v>
      </c>
    </row>
    <row r="2023" spans="18:19" x14ac:dyDescent="0.25">
      <c r="R2023" s="13">
        <v>1950</v>
      </c>
      <c r="S2023" s="13">
        <v>133719828.12114334</v>
      </c>
    </row>
    <row r="2024" spans="18:19" x14ac:dyDescent="0.25">
      <c r="R2024" s="13">
        <v>1951</v>
      </c>
      <c r="S2024" s="13">
        <v>201695174.77944756</v>
      </c>
    </row>
    <row r="2025" spans="18:19" x14ac:dyDescent="0.25">
      <c r="R2025" s="13">
        <v>1952</v>
      </c>
      <c r="S2025" s="13">
        <v>0</v>
      </c>
    </row>
    <row r="2026" spans="18:19" x14ac:dyDescent="0.25">
      <c r="R2026" s="13">
        <v>1953</v>
      </c>
      <c r="S2026" s="13">
        <v>0</v>
      </c>
    </row>
    <row r="2027" spans="18:19" x14ac:dyDescent="0.25">
      <c r="R2027" s="13">
        <v>1954</v>
      </c>
      <c r="S2027" s="13">
        <v>0</v>
      </c>
    </row>
    <row r="2028" spans="18:19" x14ac:dyDescent="0.25">
      <c r="R2028" s="13">
        <v>1955</v>
      </c>
      <c r="S2028" s="13">
        <v>0</v>
      </c>
    </row>
    <row r="2029" spans="18:19" x14ac:dyDescent="0.25">
      <c r="R2029" s="13">
        <v>1956</v>
      </c>
      <c r="S2029" s="13">
        <v>0</v>
      </c>
    </row>
    <row r="2030" spans="18:19" x14ac:dyDescent="0.25">
      <c r="R2030" s="13">
        <v>1957</v>
      </c>
      <c r="S2030" s="13">
        <v>0</v>
      </c>
    </row>
    <row r="2031" spans="18:19" x14ac:dyDescent="0.25">
      <c r="R2031" s="13">
        <v>1958</v>
      </c>
      <c r="S2031" s="13">
        <v>0</v>
      </c>
    </row>
    <row r="2032" spans="18:19" x14ac:dyDescent="0.25">
      <c r="R2032" s="13">
        <v>1959</v>
      </c>
      <c r="S2032" s="13">
        <v>1128678705.486763</v>
      </c>
    </row>
    <row r="2033" spans="18:19" x14ac:dyDescent="0.25">
      <c r="R2033" s="13">
        <v>1960</v>
      </c>
      <c r="S2033" s="13">
        <v>0</v>
      </c>
    </row>
    <row r="2034" spans="18:19" x14ac:dyDescent="0.25">
      <c r="R2034" s="13">
        <v>1961</v>
      </c>
      <c r="S2034" s="13">
        <v>538922001.84824562</v>
      </c>
    </row>
    <row r="2035" spans="18:19" x14ac:dyDescent="0.25">
      <c r="R2035" s="13">
        <v>1962</v>
      </c>
      <c r="S2035" s="13">
        <v>0</v>
      </c>
    </row>
    <row r="2036" spans="18:19" x14ac:dyDescent="0.25">
      <c r="R2036" s="13">
        <v>1963</v>
      </c>
      <c r="S2036" s="13">
        <v>0</v>
      </c>
    </row>
    <row r="2037" spans="18:19" x14ac:dyDescent="0.25">
      <c r="R2037" s="13">
        <v>1964</v>
      </c>
      <c r="S2037" s="13">
        <v>0</v>
      </c>
    </row>
    <row r="2038" spans="18:19" x14ac:dyDescent="0.25">
      <c r="R2038" s="13">
        <v>1965</v>
      </c>
      <c r="S2038" s="13">
        <v>0</v>
      </c>
    </row>
    <row r="2039" spans="18:19" x14ac:dyDescent="0.25">
      <c r="R2039" s="13">
        <v>1966</v>
      </c>
      <c r="S2039" s="13">
        <v>304384363.63384247</v>
      </c>
    </row>
    <row r="2040" spans="18:19" x14ac:dyDescent="0.25">
      <c r="R2040" s="13">
        <v>1967</v>
      </c>
      <c r="S2040" s="13">
        <v>0</v>
      </c>
    </row>
    <row r="2041" spans="18:19" x14ac:dyDescent="0.25">
      <c r="R2041" s="13">
        <v>1968</v>
      </c>
      <c r="S2041" s="13">
        <v>0</v>
      </c>
    </row>
    <row r="2042" spans="18:19" x14ac:dyDescent="0.25">
      <c r="R2042" s="13">
        <v>1969</v>
      </c>
      <c r="S2042" s="13">
        <v>0</v>
      </c>
    </row>
    <row r="2043" spans="18:19" x14ac:dyDescent="0.25">
      <c r="R2043" s="13">
        <v>1970</v>
      </c>
      <c r="S2043" s="13">
        <v>0</v>
      </c>
    </row>
    <row r="2044" spans="18:19" x14ac:dyDescent="0.25">
      <c r="R2044" s="13">
        <v>1971</v>
      </c>
      <c r="S2044" s="13">
        <v>0</v>
      </c>
    </row>
    <row r="2045" spans="18:19" x14ac:dyDescent="0.25">
      <c r="R2045" s="13">
        <v>1972</v>
      </c>
      <c r="S2045" s="13">
        <v>0</v>
      </c>
    </row>
    <row r="2046" spans="18:19" x14ac:dyDescent="0.25">
      <c r="R2046" s="13">
        <v>1973</v>
      </c>
      <c r="S2046" s="13">
        <v>0</v>
      </c>
    </row>
    <row r="2047" spans="18:19" x14ac:dyDescent="0.25">
      <c r="R2047" s="13">
        <v>1974</v>
      </c>
      <c r="S2047" s="13">
        <v>0</v>
      </c>
    </row>
    <row r="2048" spans="18:19" x14ac:dyDescent="0.25">
      <c r="R2048" s="13">
        <v>1975</v>
      </c>
      <c r="S2048" s="13">
        <v>0</v>
      </c>
    </row>
    <row r="2049" spans="18:19" x14ac:dyDescent="0.25">
      <c r="R2049" s="13">
        <v>1976</v>
      </c>
      <c r="S2049" s="13">
        <v>0</v>
      </c>
    </row>
    <row r="2050" spans="18:19" x14ac:dyDescent="0.25">
      <c r="R2050" s="13">
        <v>1977</v>
      </c>
      <c r="S2050" s="13">
        <v>546039656.93541527</v>
      </c>
    </row>
    <row r="2051" spans="18:19" x14ac:dyDescent="0.25">
      <c r="R2051" s="13">
        <v>1978</v>
      </c>
      <c r="S2051" s="13">
        <v>0</v>
      </c>
    </row>
    <row r="2052" spans="18:19" x14ac:dyDescent="0.25">
      <c r="R2052" s="13">
        <v>1979</v>
      </c>
      <c r="S2052" s="13">
        <v>0</v>
      </c>
    </row>
    <row r="2053" spans="18:19" x14ac:dyDescent="0.25">
      <c r="R2053" s="13">
        <v>1980</v>
      </c>
      <c r="S2053" s="13">
        <v>0</v>
      </c>
    </row>
    <row r="2054" spans="18:19" x14ac:dyDescent="0.25">
      <c r="R2054" s="13">
        <v>1981</v>
      </c>
      <c r="S2054" s="13">
        <v>0</v>
      </c>
    </row>
    <row r="2055" spans="18:19" x14ac:dyDescent="0.25">
      <c r="R2055" s="13">
        <v>1982</v>
      </c>
      <c r="S2055" s="13">
        <v>0</v>
      </c>
    </row>
    <row r="2056" spans="18:19" x14ac:dyDescent="0.25">
      <c r="R2056" s="13">
        <v>1983</v>
      </c>
      <c r="S2056" s="13">
        <v>0</v>
      </c>
    </row>
    <row r="2057" spans="18:19" x14ac:dyDescent="0.25">
      <c r="R2057" s="13">
        <v>1984</v>
      </c>
      <c r="S2057" s="13">
        <v>0</v>
      </c>
    </row>
    <row r="2058" spans="18:19" x14ac:dyDescent="0.25">
      <c r="R2058" s="13">
        <v>1985</v>
      </c>
      <c r="S2058" s="13">
        <v>0</v>
      </c>
    </row>
    <row r="2059" spans="18:19" x14ac:dyDescent="0.25">
      <c r="R2059" s="13">
        <v>1986</v>
      </c>
      <c r="S2059" s="13">
        <v>0</v>
      </c>
    </row>
    <row r="2060" spans="18:19" x14ac:dyDescent="0.25">
      <c r="R2060" s="13">
        <v>1987</v>
      </c>
      <c r="S2060" s="13">
        <v>380775187.20009613</v>
      </c>
    </row>
    <row r="2061" spans="18:19" x14ac:dyDescent="0.25">
      <c r="R2061" s="13">
        <v>1988</v>
      </c>
      <c r="S2061" s="13">
        <v>0</v>
      </c>
    </row>
    <row r="2062" spans="18:19" x14ac:dyDescent="0.25">
      <c r="R2062" s="13">
        <v>1989</v>
      </c>
      <c r="S2062" s="13">
        <v>0</v>
      </c>
    </row>
    <row r="2063" spans="18:19" x14ac:dyDescent="0.25">
      <c r="R2063" s="13">
        <v>1990</v>
      </c>
      <c r="S2063" s="13">
        <v>0</v>
      </c>
    </row>
    <row r="2064" spans="18:19" x14ac:dyDescent="0.25">
      <c r="R2064" s="13">
        <v>1991</v>
      </c>
      <c r="S2064" s="13">
        <v>0</v>
      </c>
    </row>
    <row r="2065" spans="18:19" x14ac:dyDescent="0.25">
      <c r="R2065" s="13">
        <v>1992</v>
      </c>
      <c r="S2065" s="13">
        <v>195085960.28242302</v>
      </c>
    </row>
    <row r="2066" spans="18:19" x14ac:dyDescent="0.25">
      <c r="R2066" s="13">
        <v>1993</v>
      </c>
      <c r="S2066" s="13">
        <v>0</v>
      </c>
    </row>
    <row r="2067" spans="18:19" x14ac:dyDescent="0.25">
      <c r="R2067" s="13">
        <v>1994</v>
      </c>
      <c r="S2067" s="13">
        <v>13618714.47372818</v>
      </c>
    </row>
    <row r="2068" spans="18:19" x14ac:dyDescent="0.25">
      <c r="R2068" s="13">
        <v>1995</v>
      </c>
      <c r="S2068" s="13">
        <v>884212843.38760567</v>
      </c>
    </row>
    <row r="2069" spans="18:19" x14ac:dyDescent="0.25">
      <c r="R2069" s="13">
        <v>1996</v>
      </c>
      <c r="S2069" s="13">
        <v>0</v>
      </c>
    </row>
    <row r="2070" spans="18:19" x14ac:dyDescent="0.25">
      <c r="R2070" s="13">
        <v>1997</v>
      </c>
      <c r="S2070" s="13">
        <v>0</v>
      </c>
    </row>
    <row r="2071" spans="18:19" x14ac:dyDescent="0.25">
      <c r="R2071" s="13">
        <v>1998</v>
      </c>
      <c r="S2071" s="13">
        <v>0</v>
      </c>
    </row>
    <row r="2072" spans="18:19" x14ac:dyDescent="0.25">
      <c r="R2072" s="13">
        <v>1999</v>
      </c>
      <c r="S2072" s="13">
        <v>0</v>
      </c>
    </row>
    <row r="2073" spans="18:19" x14ac:dyDescent="0.25">
      <c r="R2073" s="13">
        <v>2000</v>
      </c>
      <c r="S2073" s="13">
        <v>0</v>
      </c>
    </row>
    <row r="2074" spans="18:19" x14ac:dyDescent="0.25">
      <c r="R2074" s="13">
        <v>2001</v>
      </c>
      <c r="S2074" s="13">
        <v>0</v>
      </c>
    </row>
    <row r="2075" spans="18:19" x14ac:dyDescent="0.25">
      <c r="R2075" s="13">
        <v>2002</v>
      </c>
      <c r="S2075" s="13">
        <v>0</v>
      </c>
    </row>
    <row r="2076" spans="18:19" x14ac:dyDescent="0.25">
      <c r="R2076" s="13">
        <v>2003</v>
      </c>
      <c r="S2076" s="13">
        <v>23837659.027669907</v>
      </c>
    </row>
    <row r="2077" spans="18:19" x14ac:dyDescent="0.25">
      <c r="R2077" s="13">
        <v>2004</v>
      </c>
      <c r="S2077" s="13">
        <v>0</v>
      </c>
    </row>
    <row r="2078" spans="18:19" x14ac:dyDescent="0.25">
      <c r="R2078" s="13">
        <v>2005</v>
      </c>
      <c r="S2078" s="13">
        <v>23783357.140882492</v>
      </c>
    </row>
    <row r="2079" spans="18:19" x14ac:dyDescent="0.25">
      <c r="R2079" s="13">
        <v>2006</v>
      </c>
      <c r="S2079" s="13">
        <v>0</v>
      </c>
    </row>
    <row r="2080" spans="18:19" x14ac:dyDescent="0.25">
      <c r="R2080" s="13">
        <v>2007</v>
      </c>
      <c r="S2080" s="13">
        <v>293692321.92775154</v>
      </c>
    </row>
    <row r="2081" spans="18:19" x14ac:dyDescent="0.25">
      <c r="R2081" s="13">
        <v>2008</v>
      </c>
      <c r="S2081" s="13">
        <v>0</v>
      </c>
    </row>
    <row r="2082" spans="18:19" x14ac:dyDescent="0.25">
      <c r="R2082" s="13">
        <v>2009</v>
      </c>
      <c r="S2082" s="13">
        <v>0</v>
      </c>
    </row>
    <row r="2083" spans="18:19" x14ac:dyDescent="0.25">
      <c r="R2083" s="13">
        <v>2010</v>
      </c>
      <c r="S2083" s="13">
        <v>44179336.925849915</v>
      </c>
    </row>
    <row r="2084" spans="18:19" x14ac:dyDescent="0.25">
      <c r="R2084" s="13">
        <v>2011</v>
      </c>
      <c r="S2084" s="13">
        <v>0</v>
      </c>
    </row>
    <row r="2085" spans="18:19" x14ac:dyDescent="0.25">
      <c r="R2085" s="13">
        <v>2012</v>
      </c>
      <c r="S2085" s="13">
        <v>0</v>
      </c>
    </row>
    <row r="2086" spans="18:19" x14ac:dyDescent="0.25">
      <c r="R2086" s="13">
        <v>2013</v>
      </c>
      <c r="S2086" s="13">
        <v>0</v>
      </c>
    </row>
    <row r="2087" spans="18:19" x14ac:dyDescent="0.25">
      <c r="R2087" s="13">
        <v>2014</v>
      </c>
      <c r="S2087" s="13">
        <v>0</v>
      </c>
    </row>
    <row r="2088" spans="18:19" x14ac:dyDescent="0.25">
      <c r="R2088" s="13">
        <v>2015</v>
      </c>
      <c r="S2088" s="13">
        <v>0</v>
      </c>
    </row>
    <row r="2089" spans="18:19" x14ac:dyDescent="0.25">
      <c r="R2089" s="13">
        <v>2016</v>
      </c>
      <c r="S2089" s="13">
        <v>601848263.69524956</v>
      </c>
    </row>
    <row r="2090" spans="18:19" x14ac:dyDescent="0.25">
      <c r="R2090" s="13">
        <v>2017</v>
      </c>
      <c r="S2090" s="13">
        <v>0</v>
      </c>
    </row>
    <row r="2091" spans="18:19" x14ac:dyDescent="0.25">
      <c r="R2091" s="13">
        <v>2018</v>
      </c>
      <c r="S2091" s="13">
        <v>0</v>
      </c>
    </row>
    <row r="2092" spans="18:19" x14ac:dyDescent="0.25">
      <c r="R2092" s="13">
        <v>2019</v>
      </c>
      <c r="S2092" s="13">
        <v>0</v>
      </c>
    </row>
    <row r="2093" spans="18:19" x14ac:dyDescent="0.25">
      <c r="R2093" s="13">
        <v>2020</v>
      </c>
      <c r="S2093" s="13">
        <v>0</v>
      </c>
    </row>
    <row r="2094" spans="18:19" x14ac:dyDescent="0.25">
      <c r="R2094" s="13">
        <v>2021</v>
      </c>
      <c r="S2094" s="13">
        <v>0</v>
      </c>
    </row>
    <row r="2095" spans="18:19" x14ac:dyDescent="0.25">
      <c r="R2095" s="13">
        <v>2022</v>
      </c>
      <c r="S2095" s="13">
        <v>0</v>
      </c>
    </row>
    <row r="2096" spans="18:19" x14ac:dyDescent="0.25">
      <c r="R2096" s="13">
        <v>2023</v>
      </c>
      <c r="S2096" s="13">
        <v>0</v>
      </c>
    </row>
    <row r="2097" spans="18:19" x14ac:dyDescent="0.25">
      <c r="R2097" s="13">
        <v>2024</v>
      </c>
      <c r="S2097" s="13">
        <v>0</v>
      </c>
    </row>
    <row r="2098" spans="18:19" x14ac:dyDescent="0.25">
      <c r="R2098" s="13">
        <v>2025</v>
      </c>
      <c r="S2098" s="13">
        <v>0</v>
      </c>
    </row>
    <row r="2099" spans="18:19" x14ac:dyDescent="0.25">
      <c r="R2099" s="13">
        <v>2026</v>
      </c>
      <c r="S2099" s="13">
        <v>0</v>
      </c>
    </row>
    <row r="2100" spans="18:19" x14ac:dyDescent="0.25">
      <c r="R2100" s="13">
        <v>2027</v>
      </c>
      <c r="S2100" s="13">
        <v>0</v>
      </c>
    </row>
    <row r="2101" spans="18:19" x14ac:dyDescent="0.25">
      <c r="R2101" s="13">
        <v>2028</v>
      </c>
      <c r="S2101" s="13">
        <v>0</v>
      </c>
    </row>
    <row r="2102" spans="18:19" x14ac:dyDescent="0.25">
      <c r="R2102" s="13">
        <v>2029</v>
      </c>
      <c r="S2102" s="13">
        <v>0</v>
      </c>
    </row>
    <row r="2103" spans="18:19" x14ac:dyDescent="0.25">
      <c r="R2103" s="13">
        <v>2030</v>
      </c>
      <c r="S2103" s="13">
        <v>0</v>
      </c>
    </row>
    <row r="2104" spans="18:19" x14ac:dyDescent="0.25">
      <c r="R2104" s="13">
        <v>2031</v>
      </c>
      <c r="S2104" s="13">
        <v>500898194.20631981</v>
      </c>
    </row>
    <row r="2105" spans="18:19" x14ac:dyDescent="0.25">
      <c r="R2105" s="13">
        <v>2032</v>
      </c>
      <c r="S2105" s="13">
        <v>532730333.78602028</v>
      </c>
    </row>
    <row r="2106" spans="18:19" x14ac:dyDescent="0.25">
      <c r="R2106" s="13">
        <v>2033</v>
      </c>
      <c r="S2106" s="13">
        <v>0</v>
      </c>
    </row>
    <row r="2107" spans="18:19" x14ac:dyDescent="0.25">
      <c r="R2107" s="13">
        <v>2034</v>
      </c>
      <c r="S2107" s="13">
        <v>0</v>
      </c>
    </row>
    <row r="2108" spans="18:19" x14ac:dyDescent="0.25">
      <c r="R2108" s="13">
        <v>2035</v>
      </c>
      <c r="S2108" s="13">
        <v>0</v>
      </c>
    </row>
    <row r="2109" spans="18:19" x14ac:dyDescent="0.25">
      <c r="R2109" s="13">
        <v>2036</v>
      </c>
      <c r="S2109" s="13">
        <v>0</v>
      </c>
    </row>
    <row r="2110" spans="18:19" x14ac:dyDescent="0.25">
      <c r="R2110" s="13">
        <v>2037</v>
      </c>
      <c r="S2110" s="13">
        <v>0</v>
      </c>
    </row>
    <row r="2111" spans="18:19" x14ac:dyDescent="0.25">
      <c r="R2111" s="13">
        <v>2038</v>
      </c>
      <c r="S2111" s="13">
        <v>535557523.19939041</v>
      </c>
    </row>
    <row r="2112" spans="18:19" x14ac:dyDescent="0.25">
      <c r="R2112" s="13">
        <v>2039</v>
      </c>
      <c r="S2112" s="13">
        <v>436268986.91158104</v>
      </c>
    </row>
    <row r="2113" spans="18:19" x14ac:dyDescent="0.25">
      <c r="R2113" s="13">
        <v>2040</v>
      </c>
      <c r="S2113" s="13">
        <v>151580927.73046684</v>
      </c>
    </row>
    <row r="2114" spans="18:19" x14ac:dyDescent="0.25">
      <c r="R2114" s="13">
        <v>2041</v>
      </c>
      <c r="S2114" s="13">
        <v>0</v>
      </c>
    </row>
    <row r="2115" spans="18:19" x14ac:dyDescent="0.25">
      <c r="R2115" s="13">
        <v>2042</v>
      </c>
      <c r="S2115" s="13">
        <v>0</v>
      </c>
    </row>
    <row r="2116" spans="18:19" x14ac:dyDescent="0.25">
      <c r="R2116" s="13">
        <v>2043</v>
      </c>
      <c r="S2116" s="13">
        <v>0</v>
      </c>
    </row>
    <row r="2117" spans="18:19" x14ac:dyDescent="0.25">
      <c r="R2117" s="13">
        <v>2044</v>
      </c>
      <c r="S2117" s="13">
        <v>200861773.16955757</v>
      </c>
    </row>
    <row r="2118" spans="18:19" x14ac:dyDescent="0.25">
      <c r="R2118" s="13">
        <v>2045</v>
      </c>
      <c r="S2118" s="13">
        <v>0</v>
      </c>
    </row>
    <row r="2119" spans="18:19" x14ac:dyDescent="0.25">
      <c r="R2119" s="13">
        <v>2046</v>
      </c>
      <c r="S2119" s="13">
        <v>0</v>
      </c>
    </row>
    <row r="2120" spans="18:19" x14ac:dyDescent="0.25">
      <c r="R2120" s="13">
        <v>2047</v>
      </c>
      <c r="S2120" s="13">
        <v>140450678.92679977</v>
      </c>
    </row>
    <row r="2121" spans="18:19" x14ac:dyDescent="0.25">
      <c r="R2121" s="13">
        <v>2048</v>
      </c>
      <c r="S2121" s="13">
        <v>0</v>
      </c>
    </row>
    <row r="2122" spans="18:19" x14ac:dyDescent="0.25">
      <c r="R2122" s="13">
        <v>2049</v>
      </c>
      <c r="S2122" s="13">
        <v>0</v>
      </c>
    </row>
    <row r="2123" spans="18:19" x14ac:dyDescent="0.25">
      <c r="R2123" s="13">
        <v>2050</v>
      </c>
      <c r="S2123" s="13">
        <v>0</v>
      </c>
    </row>
    <row r="2124" spans="18:19" x14ac:dyDescent="0.25">
      <c r="R2124" s="13">
        <v>2051</v>
      </c>
      <c r="S2124" s="13">
        <v>0</v>
      </c>
    </row>
    <row r="2125" spans="18:19" x14ac:dyDescent="0.25">
      <c r="R2125" s="13">
        <v>2052</v>
      </c>
      <c r="S2125" s="13">
        <v>0</v>
      </c>
    </row>
    <row r="2126" spans="18:19" x14ac:dyDescent="0.25">
      <c r="R2126" s="13">
        <v>2053</v>
      </c>
      <c r="S2126" s="13">
        <v>0</v>
      </c>
    </row>
    <row r="2127" spans="18:19" x14ac:dyDescent="0.25">
      <c r="R2127" s="13">
        <v>2054</v>
      </c>
      <c r="S2127" s="13">
        <v>0</v>
      </c>
    </row>
    <row r="2128" spans="18:19" x14ac:dyDescent="0.25">
      <c r="R2128" s="13">
        <v>2055</v>
      </c>
      <c r="S2128" s="13">
        <v>244403859.31207657</v>
      </c>
    </row>
    <row r="2129" spans="18:19" x14ac:dyDescent="0.25">
      <c r="R2129" s="13">
        <v>2056</v>
      </c>
      <c r="S2129" s="13">
        <v>0</v>
      </c>
    </row>
    <row r="2130" spans="18:19" x14ac:dyDescent="0.25">
      <c r="R2130" s="13">
        <v>2057</v>
      </c>
      <c r="S2130" s="13">
        <v>0</v>
      </c>
    </row>
    <row r="2131" spans="18:19" x14ac:dyDescent="0.25">
      <c r="R2131" s="13">
        <v>2058</v>
      </c>
      <c r="S2131" s="13">
        <v>0</v>
      </c>
    </row>
    <row r="2132" spans="18:19" x14ac:dyDescent="0.25">
      <c r="R2132" s="13">
        <v>2059</v>
      </c>
      <c r="S2132" s="13">
        <v>0</v>
      </c>
    </row>
    <row r="2133" spans="18:19" x14ac:dyDescent="0.25">
      <c r="R2133" s="13">
        <v>2060</v>
      </c>
      <c r="S2133" s="13">
        <v>0</v>
      </c>
    </row>
    <row r="2134" spans="18:19" x14ac:dyDescent="0.25">
      <c r="R2134" s="13">
        <v>2061</v>
      </c>
      <c r="S2134" s="13">
        <v>0</v>
      </c>
    </row>
    <row r="2135" spans="18:19" x14ac:dyDescent="0.25">
      <c r="R2135" s="13">
        <v>2062</v>
      </c>
      <c r="S2135" s="13">
        <v>0</v>
      </c>
    </row>
    <row r="2136" spans="18:19" x14ac:dyDescent="0.25">
      <c r="R2136" s="13">
        <v>2063</v>
      </c>
      <c r="S2136" s="13">
        <v>0</v>
      </c>
    </row>
    <row r="2137" spans="18:19" x14ac:dyDescent="0.25">
      <c r="R2137" s="13">
        <v>2064</v>
      </c>
      <c r="S2137" s="13">
        <v>0</v>
      </c>
    </row>
    <row r="2138" spans="18:19" x14ac:dyDescent="0.25">
      <c r="R2138" s="13">
        <v>2065</v>
      </c>
      <c r="S2138" s="13">
        <v>0</v>
      </c>
    </row>
    <row r="2139" spans="18:19" x14ac:dyDescent="0.25">
      <c r="R2139" s="13">
        <v>2066</v>
      </c>
      <c r="S2139" s="13">
        <v>0</v>
      </c>
    </row>
    <row r="2140" spans="18:19" x14ac:dyDescent="0.25">
      <c r="R2140" s="13">
        <v>2067</v>
      </c>
      <c r="S2140" s="13">
        <v>177207697.28740311</v>
      </c>
    </row>
    <row r="2141" spans="18:19" x14ac:dyDescent="0.25">
      <c r="R2141" s="13">
        <v>2068</v>
      </c>
      <c r="S2141" s="13">
        <v>0</v>
      </c>
    </row>
    <row r="2142" spans="18:19" x14ac:dyDescent="0.25">
      <c r="R2142" s="13">
        <v>2069</v>
      </c>
      <c r="S2142" s="13">
        <v>0</v>
      </c>
    </row>
    <row r="2143" spans="18:19" x14ac:dyDescent="0.25">
      <c r="R2143" s="13">
        <v>2070</v>
      </c>
      <c r="S2143" s="13">
        <v>0</v>
      </c>
    </row>
    <row r="2144" spans="18:19" x14ac:dyDescent="0.25">
      <c r="R2144" s="13">
        <v>2071</v>
      </c>
      <c r="S2144" s="13">
        <v>0</v>
      </c>
    </row>
    <row r="2145" spans="18:19" x14ac:dyDescent="0.25">
      <c r="R2145" s="13">
        <v>2072</v>
      </c>
      <c r="S2145" s="13">
        <v>0</v>
      </c>
    </row>
    <row r="2146" spans="18:19" x14ac:dyDescent="0.25">
      <c r="R2146" s="13">
        <v>2073</v>
      </c>
      <c r="S2146" s="13">
        <v>0</v>
      </c>
    </row>
    <row r="2147" spans="18:19" x14ac:dyDescent="0.25">
      <c r="R2147" s="13">
        <v>2074</v>
      </c>
      <c r="S2147" s="13">
        <v>0</v>
      </c>
    </row>
    <row r="2148" spans="18:19" x14ac:dyDescent="0.25">
      <c r="R2148" s="13">
        <v>2075</v>
      </c>
      <c r="S2148" s="13">
        <v>0</v>
      </c>
    </row>
    <row r="2149" spans="18:19" x14ac:dyDescent="0.25">
      <c r="R2149" s="13">
        <v>2076</v>
      </c>
      <c r="S2149" s="13">
        <v>0</v>
      </c>
    </row>
    <row r="2150" spans="18:19" x14ac:dyDescent="0.25">
      <c r="R2150" s="13">
        <v>2077</v>
      </c>
      <c r="S2150" s="13">
        <v>0</v>
      </c>
    </row>
    <row r="2151" spans="18:19" x14ac:dyDescent="0.25">
      <c r="R2151" s="13">
        <v>2078</v>
      </c>
      <c r="S2151" s="13">
        <v>0</v>
      </c>
    </row>
    <row r="2152" spans="18:19" x14ac:dyDescent="0.25">
      <c r="R2152" s="13">
        <v>2079</v>
      </c>
      <c r="S2152" s="13">
        <v>820209458.20179367</v>
      </c>
    </row>
    <row r="2153" spans="18:19" x14ac:dyDescent="0.25">
      <c r="R2153" s="13">
        <v>2080</v>
      </c>
      <c r="S2153" s="13">
        <v>213185277.69731712</v>
      </c>
    </row>
    <row r="2154" spans="18:19" x14ac:dyDescent="0.25">
      <c r="R2154" s="13">
        <v>2081</v>
      </c>
      <c r="S2154" s="13">
        <v>1095736484.6946716</v>
      </c>
    </row>
    <row r="2155" spans="18:19" x14ac:dyDescent="0.25">
      <c r="R2155" s="13">
        <v>2082</v>
      </c>
      <c r="S2155" s="13">
        <v>0</v>
      </c>
    </row>
    <row r="2156" spans="18:19" x14ac:dyDescent="0.25">
      <c r="R2156" s="13">
        <v>2083</v>
      </c>
      <c r="S2156" s="13">
        <v>0</v>
      </c>
    </row>
    <row r="2157" spans="18:19" x14ac:dyDescent="0.25">
      <c r="R2157" s="13">
        <v>2084</v>
      </c>
      <c r="S2157" s="13">
        <v>0</v>
      </c>
    </row>
    <row r="2158" spans="18:19" x14ac:dyDescent="0.25">
      <c r="R2158" s="13">
        <v>2085</v>
      </c>
      <c r="S2158" s="13">
        <v>0</v>
      </c>
    </row>
    <row r="2159" spans="18:19" x14ac:dyDescent="0.25">
      <c r="R2159" s="13">
        <v>2086</v>
      </c>
      <c r="S2159" s="13">
        <v>0</v>
      </c>
    </row>
    <row r="2160" spans="18:19" x14ac:dyDescent="0.25">
      <c r="R2160" s="13">
        <v>2087</v>
      </c>
      <c r="S2160" s="13">
        <v>936679287.46589279</v>
      </c>
    </row>
    <row r="2161" spans="18:19" x14ac:dyDescent="0.25">
      <c r="R2161" s="13">
        <v>2088</v>
      </c>
      <c r="S2161" s="13">
        <v>0</v>
      </c>
    </row>
    <row r="2162" spans="18:19" x14ac:dyDescent="0.25">
      <c r="R2162" s="13">
        <v>2089</v>
      </c>
      <c r="S2162" s="13">
        <v>0</v>
      </c>
    </row>
    <row r="2163" spans="18:19" x14ac:dyDescent="0.25">
      <c r="R2163" s="13">
        <v>2090</v>
      </c>
      <c r="S2163" s="13">
        <v>181264119.28647995</v>
      </c>
    </row>
    <row r="2164" spans="18:19" x14ac:dyDescent="0.25">
      <c r="R2164" s="13">
        <v>2091</v>
      </c>
      <c r="S2164" s="13">
        <v>51237921.555740356</v>
      </c>
    </row>
    <row r="2165" spans="18:19" x14ac:dyDescent="0.25">
      <c r="R2165" s="13">
        <v>2092</v>
      </c>
      <c r="S2165" s="13">
        <v>0</v>
      </c>
    </row>
    <row r="2166" spans="18:19" x14ac:dyDescent="0.25">
      <c r="R2166" s="13">
        <v>2093</v>
      </c>
      <c r="S2166" s="13">
        <v>0</v>
      </c>
    </row>
    <row r="2167" spans="18:19" x14ac:dyDescent="0.25">
      <c r="R2167" s="13">
        <v>2094</v>
      </c>
      <c r="S2167" s="13">
        <v>0</v>
      </c>
    </row>
    <row r="2168" spans="18:19" x14ac:dyDescent="0.25">
      <c r="R2168" s="13">
        <v>2095</v>
      </c>
      <c r="S2168" s="13">
        <v>0</v>
      </c>
    </row>
    <row r="2169" spans="18:19" x14ac:dyDescent="0.25">
      <c r="R2169" s="13">
        <v>2096</v>
      </c>
      <c r="S2169" s="13">
        <v>0</v>
      </c>
    </row>
    <row r="2170" spans="18:19" x14ac:dyDescent="0.25">
      <c r="R2170" s="13">
        <v>2097</v>
      </c>
      <c r="S2170" s="13">
        <v>0</v>
      </c>
    </row>
    <row r="2171" spans="18:19" x14ac:dyDescent="0.25">
      <c r="R2171" s="13">
        <v>2098</v>
      </c>
      <c r="S2171" s="13">
        <v>5784234.3821754456</v>
      </c>
    </row>
    <row r="2172" spans="18:19" x14ac:dyDescent="0.25">
      <c r="R2172" s="13">
        <v>2099</v>
      </c>
      <c r="S2172" s="13">
        <v>289240476.92744446</v>
      </c>
    </row>
    <row r="2173" spans="18:19" x14ac:dyDescent="0.25">
      <c r="R2173" s="13">
        <v>2100</v>
      </c>
      <c r="S2173" s="13">
        <v>0</v>
      </c>
    </row>
    <row r="2174" spans="18:19" x14ac:dyDescent="0.25">
      <c r="R2174" s="13">
        <v>2101</v>
      </c>
      <c r="S2174" s="13">
        <v>0</v>
      </c>
    </row>
    <row r="2175" spans="18:19" x14ac:dyDescent="0.25">
      <c r="R2175" s="13">
        <v>2102</v>
      </c>
      <c r="S2175" s="13">
        <v>1062496133.4245453</v>
      </c>
    </row>
    <row r="2176" spans="18:19" x14ac:dyDescent="0.25">
      <c r="R2176" s="13">
        <v>2103</v>
      </c>
      <c r="S2176" s="13">
        <v>0</v>
      </c>
    </row>
    <row r="2177" spans="18:19" x14ac:dyDescent="0.25">
      <c r="R2177" s="13">
        <v>2104</v>
      </c>
      <c r="S2177" s="13">
        <v>0</v>
      </c>
    </row>
    <row r="2178" spans="18:19" x14ac:dyDescent="0.25">
      <c r="R2178" s="13">
        <v>2105</v>
      </c>
      <c r="S2178" s="13">
        <v>62119341.653888702</v>
      </c>
    </row>
    <row r="2179" spans="18:19" x14ac:dyDescent="0.25">
      <c r="R2179" s="13">
        <v>2106</v>
      </c>
      <c r="S2179" s="13">
        <v>0</v>
      </c>
    </row>
    <row r="2180" spans="18:19" x14ac:dyDescent="0.25">
      <c r="R2180" s="13">
        <v>2107</v>
      </c>
      <c r="S2180" s="13">
        <v>0</v>
      </c>
    </row>
    <row r="2181" spans="18:19" x14ac:dyDescent="0.25">
      <c r="R2181" s="13">
        <v>2108</v>
      </c>
      <c r="S2181" s="13">
        <v>0</v>
      </c>
    </row>
    <row r="2182" spans="18:19" x14ac:dyDescent="0.25">
      <c r="R2182" s="13">
        <v>2109</v>
      </c>
      <c r="S2182" s="13">
        <v>0</v>
      </c>
    </row>
    <row r="2183" spans="18:19" x14ac:dyDescent="0.25">
      <c r="R2183" s="13">
        <v>2110</v>
      </c>
      <c r="S2183" s="13">
        <v>0</v>
      </c>
    </row>
    <row r="2184" spans="18:19" x14ac:dyDescent="0.25">
      <c r="R2184" s="13">
        <v>2111</v>
      </c>
      <c r="S2184" s="13">
        <v>12486654.245130539</v>
      </c>
    </row>
    <row r="2185" spans="18:19" x14ac:dyDescent="0.25">
      <c r="R2185" s="13">
        <v>2112</v>
      </c>
      <c r="S2185" s="13">
        <v>789909330.25959015</v>
      </c>
    </row>
    <row r="2186" spans="18:19" x14ac:dyDescent="0.25">
      <c r="R2186" s="13">
        <v>2113</v>
      </c>
      <c r="S2186" s="13">
        <v>0</v>
      </c>
    </row>
    <row r="2187" spans="18:19" x14ac:dyDescent="0.25">
      <c r="R2187" s="13">
        <v>2114</v>
      </c>
      <c r="S2187" s="13">
        <v>661703204.54697418</v>
      </c>
    </row>
    <row r="2188" spans="18:19" x14ac:dyDescent="0.25">
      <c r="R2188" s="13">
        <v>2115</v>
      </c>
      <c r="S2188" s="13">
        <v>0</v>
      </c>
    </row>
    <row r="2189" spans="18:19" x14ac:dyDescent="0.25">
      <c r="R2189" s="13">
        <v>2116</v>
      </c>
      <c r="S2189" s="13">
        <v>350155153.78928566</v>
      </c>
    </row>
    <row r="2190" spans="18:19" x14ac:dyDescent="0.25">
      <c r="R2190" s="13">
        <v>2117</v>
      </c>
      <c r="S2190" s="13">
        <v>343314074.22022057</v>
      </c>
    </row>
    <row r="2191" spans="18:19" x14ac:dyDescent="0.25">
      <c r="R2191" s="13">
        <v>2118</v>
      </c>
      <c r="S2191" s="13">
        <v>573229711.4865036</v>
      </c>
    </row>
    <row r="2192" spans="18:19" x14ac:dyDescent="0.25">
      <c r="R2192" s="13">
        <v>2119</v>
      </c>
      <c r="S2192" s="13">
        <v>0</v>
      </c>
    </row>
    <row r="2193" spans="18:19" x14ac:dyDescent="0.25">
      <c r="R2193" s="13">
        <v>2120</v>
      </c>
      <c r="S2193" s="13">
        <v>0</v>
      </c>
    </row>
    <row r="2194" spans="18:19" x14ac:dyDescent="0.25">
      <c r="R2194" s="13">
        <v>2121</v>
      </c>
      <c r="S2194" s="13">
        <v>0</v>
      </c>
    </row>
    <row r="2195" spans="18:19" x14ac:dyDescent="0.25">
      <c r="R2195" s="13">
        <v>2122</v>
      </c>
      <c r="S2195" s="13">
        <v>0</v>
      </c>
    </row>
    <row r="2196" spans="18:19" x14ac:dyDescent="0.25">
      <c r="R2196" s="13">
        <v>2123</v>
      </c>
      <c r="S2196" s="13">
        <v>0</v>
      </c>
    </row>
    <row r="2197" spans="18:19" x14ac:dyDescent="0.25">
      <c r="R2197" s="13">
        <v>2124</v>
      </c>
      <c r="S2197" s="13">
        <v>0</v>
      </c>
    </row>
    <row r="2198" spans="18:19" x14ac:dyDescent="0.25">
      <c r="R2198" s="13">
        <v>2125</v>
      </c>
      <c r="S2198" s="13">
        <v>0</v>
      </c>
    </row>
    <row r="2199" spans="18:19" x14ac:dyDescent="0.25">
      <c r="R2199" s="13">
        <v>2126</v>
      </c>
      <c r="S2199" s="13">
        <v>0</v>
      </c>
    </row>
    <row r="2200" spans="18:19" x14ac:dyDescent="0.25">
      <c r="R2200" s="13">
        <v>2127</v>
      </c>
      <c r="S2200" s="13">
        <v>0</v>
      </c>
    </row>
    <row r="2201" spans="18:19" x14ac:dyDescent="0.25">
      <c r="R2201" s="13">
        <v>2128</v>
      </c>
      <c r="S2201" s="13">
        <v>0</v>
      </c>
    </row>
    <row r="2202" spans="18:19" x14ac:dyDescent="0.25">
      <c r="R2202" s="13">
        <v>2129</v>
      </c>
      <c r="S2202" s="13">
        <v>84968314.728662491</v>
      </c>
    </row>
    <row r="2203" spans="18:19" x14ac:dyDescent="0.25">
      <c r="R2203" s="13">
        <v>2130</v>
      </c>
      <c r="S2203" s="13">
        <v>668633002.83327293</v>
      </c>
    </row>
    <row r="2204" spans="18:19" x14ac:dyDescent="0.25">
      <c r="R2204" s="13">
        <v>2131</v>
      </c>
      <c r="S2204" s="13">
        <v>88164203.551231384</v>
      </c>
    </row>
    <row r="2205" spans="18:19" x14ac:dyDescent="0.25">
      <c r="R2205" s="13">
        <v>2132</v>
      </c>
      <c r="S2205" s="13">
        <v>0</v>
      </c>
    </row>
    <row r="2206" spans="18:19" x14ac:dyDescent="0.25">
      <c r="R2206" s="13">
        <v>2133</v>
      </c>
      <c r="S2206" s="13">
        <v>0</v>
      </c>
    </row>
    <row r="2207" spans="18:19" x14ac:dyDescent="0.25">
      <c r="R2207" s="13">
        <v>2134</v>
      </c>
      <c r="S2207" s="13">
        <v>0</v>
      </c>
    </row>
    <row r="2208" spans="18:19" x14ac:dyDescent="0.25">
      <c r="R2208" s="13">
        <v>2135</v>
      </c>
      <c r="S2208" s="13">
        <v>0</v>
      </c>
    </row>
    <row r="2209" spans="18:19" x14ac:dyDescent="0.25">
      <c r="R2209" s="13">
        <v>2136</v>
      </c>
      <c r="S2209" s="13">
        <v>0</v>
      </c>
    </row>
    <row r="2210" spans="18:19" x14ac:dyDescent="0.25">
      <c r="R2210" s="13">
        <v>2137</v>
      </c>
      <c r="S2210" s="13">
        <v>0</v>
      </c>
    </row>
    <row r="2211" spans="18:19" x14ac:dyDescent="0.25">
      <c r="R2211" s="13">
        <v>2138</v>
      </c>
      <c r="S2211" s="13">
        <v>0</v>
      </c>
    </row>
    <row r="2212" spans="18:19" x14ac:dyDescent="0.25">
      <c r="R2212" s="13">
        <v>2139</v>
      </c>
      <c r="S2212" s="13">
        <v>0</v>
      </c>
    </row>
    <row r="2213" spans="18:19" x14ac:dyDescent="0.25">
      <c r="R2213" s="13">
        <v>2140</v>
      </c>
      <c r="S2213" s="13">
        <v>0</v>
      </c>
    </row>
    <row r="2214" spans="18:19" x14ac:dyDescent="0.25">
      <c r="R2214" s="13">
        <v>2141</v>
      </c>
      <c r="S2214" s="13">
        <v>0</v>
      </c>
    </row>
    <row r="2215" spans="18:19" x14ac:dyDescent="0.25">
      <c r="R2215" s="13">
        <v>2142</v>
      </c>
      <c r="S2215" s="13">
        <v>0</v>
      </c>
    </row>
    <row r="2216" spans="18:19" x14ac:dyDescent="0.25">
      <c r="R2216" s="13">
        <v>2143</v>
      </c>
      <c r="S2216" s="13">
        <v>0</v>
      </c>
    </row>
    <row r="2217" spans="18:19" x14ac:dyDescent="0.25">
      <c r="R2217" s="13">
        <v>2144</v>
      </c>
      <c r="S2217" s="13">
        <v>0</v>
      </c>
    </row>
    <row r="2218" spans="18:19" x14ac:dyDescent="0.25">
      <c r="R2218" s="13">
        <v>2145</v>
      </c>
      <c r="S2218" s="13">
        <v>0</v>
      </c>
    </row>
    <row r="2219" spans="18:19" x14ac:dyDescent="0.25">
      <c r="R2219" s="13">
        <v>2146</v>
      </c>
      <c r="S2219" s="13">
        <v>1061553834.6551228</v>
      </c>
    </row>
    <row r="2220" spans="18:19" x14ac:dyDescent="0.25">
      <c r="R2220" s="13">
        <v>2147</v>
      </c>
      <c r="S2220" s="13">
        <v>0</v>
      </c>
    </row>
    <row r="2221" spans="18:19" x14ac:dyDescent="0.25">
      <c r="R2221" s="13">
        <v>2148</v>
      </c>
      <c r="S2221" s="13">
        <v>0</v>
      </c>
    </row>
    <row r="2222" spans="18:19" x14ac:dyDescent="0.25">
      <c r="R2222" s="13">
        <v>2149</v>
      </c>
      <c r="S2222" s="13">
        <v>0</v>
      </c>
    </row>
    <row r="2223" spans="18:19" x14ac:dyDescent="0.25">
      <c r="R2223" s="13">
        <v>2150</v>
      </c>
      <c r="S2223" s="13">
        <v>200191286.86952019</v>
      </c>
    </row>
    <row r="2224" spans="18:19" x14ac:dyDescent="0.25">
      <c r="R2224" s="13">
        <v>2151</v>
      </c>
      <c r="S2224" s="13">
        <v>0</v>
      </c>
    </row>
    <row r="2225" spans="18:19" x14ac:dyDescent="0.25">
      <c r="R2225" s="13">
        <v>2152</v>
      </c>
      <c r="S2225" s="13">
        <v>0</v>
      </c>
    </row>
    <row r="2226" spans="18:19" x14ac:dyDescent="0.25">
      <c r="R2226" s="13">
        <v>2153</v>
      </c>
      <c r="S2226" s="13">
        <v>0</v>
      </c>
    </row>
    <row r="2227" spans="18:19" x14ac:dyDescent="0.25">
      <c r="R2227" s="13">
        <v>2154</v>
      </c>
      <c r="S2227" s="13">
        <v>0</v>
      </c>
    </row>
    <row r="2228" spans="18:19" x14ac:dyDescent="0.25">
      <c r="R2228" s="13">
        <v>2155</v>
      </c>
      <c r="S2228" s="13">
        <v>0</v>
      </c>
    </row>
    <row r="2229" spans="18:19" x14ac:dyDescent="0.25">
      <c r="R2229" s="13">
        <v>2156</v>
      </c>
      <c r="S2229" s="13">
        <v>0</v>
      </c>
    </row>
    <row r="2230" spans="18:19" x14ac:dyDescent="0.25">
      <c r="R2230" s="13">
        <v>2157</v>
      </c>
      <c r="S2230" s="13">
        <v>704501010.00943565</v>
      </c>
    </row>
    <row r="2231" spans="18:19" x14ac:dyDescent="0.25">
      <c r="R2231" s="13">
        <v>2158</v>
      </c>
      <c r="S2231" s="13">
        <v>163110813.8336792</v>
      </c>
    </row>
    <row r="2232" spans="18:19" x14ac:dyDescent="0.25">
      <c r="R2232" s="13">
        <v>2159</v>
      </c>
      <c r="S2232" s="13">
        <v>0</v>
      </c>
    </row>
    <row r="2233" spans="18:19" x14ac:dyDescent="0.25">
      <c r="R2233" s="13">
        <v>2160</v>
      </c>
      <c r="S2233" s="13">
        <v>0</v>
      </c>
    </row>
    <row r="2234" spans="18:19" x14ac:dyDescent="0.25">
      <c r="R2234" s="13">
        <v>2161</v>
      </c>
      <c r="S2234" s="13">
        <v>0</v>
      </c>
    </row>
    <row r="2235" spans="18:19" x14ac:dyDescent="0.25">
      <c r="R2235" s="13">
        <v>2162</v>
      </c>
      <c r="S2235" s="13">
        <v>0</v>
      </c>
    </row>
    <row r="2236" spans="18:19" x14ac:dyDescent="0.25">
      <c r="R2236" s="13">
        <v>2163</v>
      </c>
      <c r="S2236" s="13">
        <v>464141001.73548508</v>
      </c>
    </row>
    <row r="2237" spans="18:19" x14ac:dyDescent="0.25">
      <c r="R2237" s="13">
        <v>2164</v>
      </c>
      <c r="S2237" s="13">
        <v>0</v>
      </c>
    </row>
    <row r="2238" spans="18:19" x14ac:dyDescent="0.25">
      <c r="R2238" s="13">
        <v>2165</v>
      </c>
      <c r="S2238" s="13">
        <v>0</v>
      </c>
    </row>
    <row r="2239" spans="18:19" x14ac:dyDescent="0.25">
      <c r="R2239" s="13">
        <v>2166</v>
      </c>
      <c r="S2239" s="13">
        <v>851879250.84836197</v>
      </c>
    </row>
    <row r="2240" spans="18:19" x14ac:dyDescent="0.25">
      <c r="R2240" s="13">
        <v>2167</v>
      </c>
      <c r="S2240" s="13">
        <v>0</v>
      </c>
    </row>
    <row r="2241" spans="18:19" x14ac:dyDescent="0.25">
      <c r="R2241" s="13">
        <v>2168</v>
      </c>
      <c r="S2241" s="13">
        <v>852274776.82186127</v>
      </c>
    </row>
    <row r="2242" spans="18:19" x14ac:dyDescent="0.25">
      <c r="R2242" s="13">
        <v>2169</v>
      </c>
      <c r="S2242" s="13">
        <v>0</v>
      </c>
    </row>
    <row r="2243" spans="18:19" x14ac:dyDescent="0.25">
      <c r="R2243" s="13">
        <v>2170</v>
      </c>
      <c r="S2243" s="13">
        <v>0</v>
      </c>
    </row>
    <row r="2244" spans="18:19" x14ac:dyDescent="0.25">
      <c r="R2244" s="13">
        <v>2171</v>
      </c>
      <c r="S2244" s="13">
        <v>0</v>
      </c>
    </row>
    <row r="2245" spans="18:19" x14ac:dyDescent="0.25">
      <c r="R2245" s="13">
        <v>2172</v>
      </c>
      <c r="S2245" s="13">
        <v>0</v>
      </c>
    </row>
    <row r="2246" spans="18:19" x14ac:dyDescent="0.25">
      <c r="R2246" s="13">
        <v>2173</v>
      </c>
      <c r="S2246" s="13">
        <v>0</v>
      </c>
    </row>
    <row r="2247" spans="18:19" x14ac:dyDescent="0.25">
      <c r="R2247" s="13">
        <v>2174</v>
      </c>
      <c r="S2247" s="13">
        <v>0</v>
      </c>
    </row>
    <row r="2248" spans="18:19" x14ac:dyDescent="0.25">
      <c r="R2248" s="13">
        <v>2175</v>
      </c>
      <c r="S2248" s="13">
        <v>7886.2588958740234</v>
      </c>
    </row>
    <row r="2249" spans="18:19" x14ac:dyDescent="0.25">
      <c r="R2249" s="13">
        <v>2176</v>
      </c>
      <c r="S2249" s="13">
        <v>0</v>
      </c>
    </row>
    <row r="2250" spans="18:19" x14ac:dyDescent="0.25">
      <c r="R2250" s="13">
        <v>2177</v>
      </c>
      <c r="S2250" s="13">
        <v>0</v>
      </c>
    </row>
    <row r="2251" spans="18:19" x14ac:dyDescent="0.25">
      <c r="R2251" s="13">
        <v>2178</v>
      </c>
      <c r="S2251" s="13">
        <v>0</v>
      </c>
    </row>
    <row r="2252" spans="18:19" x14ac:dyDescent="0.25">
      <c r="R2252" s="13">
        <v>2179</v>
      </c>
      <c r="S2252" s="13">
        <v>0</v>
      </c>
    </row>
    <row r="2253" spans="18:19" x14ac:dyDescent="0.25">
      <c r="R2253" s="13">
        <v>2180</v>
      </c>
      <c r="S2253" s="13">
        <v>0</v>
      </c>
    </row>
    <row r="2254" spans="18:19" x14ac:dyDescent="0.25">
      <c r="R2254" s="13">
        <v>2181</v>
      </c>
      <c r="S2254" s="13">
        <v>0</v>
      </c>
    </row>
    <row r="2255" spans="18:19" x14ac:dyDescent="0.25">
      <c r="R2255" s="13">
        <v>2182</v>
      </c>
      <c r="S2255" s="13">
        <v>0</v>
      </c>
    </row>
    <row r="2256" spans="18:19" x14ac:dyDescent="0.25">
      <c r="R2256" s="13">
        <v>2183</v>
      </c>
      <c r="S2256" s="13">
        <v>713264656.93397903</v>
      </c>
    </row>
    <row r="2257" spans="18:19" x14ac:dyDescent="0.25">
      <c r="R2257" s="13">
        <v>2184</v>
      </c>
      <c r="S2257" s="13">
        <v>0</v>
      </c>
    </row>
    <row r="2258" spans="18:19" x14ac:dyDescent="0.25">
      <c r="R2258" s="13">
        <v>2185</v>
      </c>
      <c r="S2258" s="13">
        <v>0</v>
      </c>
    </row>
    <row r="2259" spans="18:19" x14ac:dyDescent="0.25">
      <c r="R2259" s="13">
        <v>2186</v>
      </c>
      <c r="S2259" s="13">
        <v>462560215.89962006</v>
      </c>
    </row>
    <row r="2260" spans="18:19" x14ac:dyDescent="0.25">
      <c r="R2260" s="13">
        <v>2187</v>
      </c>
      <c r="S2260" s="13">
        <v>0</v>
      </c>
    </row>
    <row r="2261" spans="18:19" x14ac:dyDescent="0.25">
      <c r="R2261" s="13">
        <v>2188</v>
      </c>
      <c r="S2261" s="13">
        <v>373724131.29508781</v>
      </c>
    </row>
    <row r="2262" spans="18:19" x14ac:dyDescent="0.25">
      <c r="R2262" s="13">
        <v>2189</v>
      </c>
      <c r="S2262" s="13">
        <v>0</v>
      </c>
    </row>
    <row r="2263" spans="18:19" x14ac:dyDescent="0.25">
      <c r="R2263" s="13">
        <v>2190</v>
      </c>
      <c r="S2263" s="13">
        <v>0</v>
      </c>
    </row>
    <row r="2264" spans="18:19" x14ac:dyDescent="0.25">
      <c r="R2264" s="13">
        <v>2191</v>
      </c>
      <c r="S2264" s="13">
        <v>0</v>
      </c>
    </row>
    <row r="2265" spans="18:19" x14ac:dyDescent="0.25">
      <c r="R2265" s="13">
        <v>2192</v>
      </c>
      <c r="S2265" s="13">
        <v>0</v>
      </c>
    </row>
    <row r="2266" spans="18:19" x14ac:dyDescent="0.25">
      <c r="R2266" s="13">
        <v>2193</v>
      </c>
      <c r="S2266" s="13">
        <v>0</v>
      </c>
    </row>
    <row r="2267" spans="18:19" x14ac:dyDescent="0.25">
      <c r="R2267" s="13">
        <v>2194</v>
      </c>
      <c r="S2267" s="13">
        <v>363733660.19010353</v>
      </c>
    </row>
    <row r="2268" spans="18:19" x14ac:dyDescent="0.25">
      <c r="R2268" s="13">
        <v>2195</v>
      </c>
      <c r="S2268" s="13">
        <v>225943671.97088242</v>
      </c>
    </row>
    <row r="2269" spans="18:19" x14ac:dyDescent="0.25">
      <c r="R2269" s="13">
        <v>2196</v>
      </c>
      <c r="S2269" s="13">
        <v>0</v>
      </c>
    </row>
    <row r="2270" spans="18:19" x14ac:dyDescent="0.25">
      <c r="R2270" s="13">
        <v>2197</v>
      </c>
      <c r="S2270" s="13">
        <v>283334687.93244743</v>
      </c>
    </row>
    <row r="2271" spans="18:19" x14ac:dyDescent="0.25">
      <c r="R2271" s="13">
        <v>2198</v>
      </c>
      <c r="S2271" s="13">
        <v>0</v>
      </c>
    </row>
    <row r="2272" spans="18:19" x14ac:dyDescent="0.25">
      <c r="R2272" s="13">
        <v>2199</v>
      </c>
      <c r="S2272" s="13">
        <v>0</v>
      </c>
    </row>
    <row r="2273" spans="18:19" x14ac:dyDescent="0.25">
      <c r="R2273" s="13">
        <v>2200</v>
      </c>
      <c r="S2273" s="13">
        <v>0</v>
      </c>
    </row>
    <row r="2274" spans="18:19" x14ac:dyDescent="0.25">
      <c r="R2274" s="13">
        <v>2201</v>
      </c>
      <c r="S2274" s="13">
        <v>0</v>
      </c>
    </row>
    <row r="2275" spans="18:19" x14ac:dyDescent="0.25">
      <c r="R2275" s="13">
        <v>2202</v>
      </c>
      <c r="S2275" s="13">
        <v>248473230.4894352</v>
      </c>
    </row>
    <row r="2276" spans="18:19" x14ac:dyDescent="0.25">
      <c r="R2276" s="13">
        <v>2203</v>
      </c>
      <c r="S2276" s="13">
        <v>0</v>
      </c>
    </row>
    <row r="2277" spans="18:19" x14ac:dyDescent="0.25">
      <c r="R2277" s="13">
        <v>2204</v>
      </c>
      <c r="S2277" s="13">
        <v>43074273.287969589</v>
      </c>
    </row>
    <row r="2278" spans="18:19" x14ac:dyDescent="0.25">
      <c r="R2278" s="13">
        <v>2205</v>
      </c>
      <c r="S2278" s="13">
        <v>91084410.506103516</v>
      </c>
    </row>
    <row r="2279" spans="18:19" x14ac:dyDescent="0.25">
      <c r="R2279" s="13">
        <v>2206</v>
      </c>
      <c r="S2279" s="13">
        <v>0</v>
      </c>
    </row>
    <row r="2280" spans="18:19" x14ac:dyDescent="0.25">
      <c r="R2280" s="13">
        <v>2207</v>
      </c>
      <c r="S2280" s="13">
        <v>0</v>
      </c>
    </row>
    <row r="2281" spans="18:19" x14ac:dyDescent="0.25">
      <c r="R2281" s="13">
        <v>2208</v>
      </c>
      <c r="S2281" s="13">
        <v>0</v>
      </c>
    </row>
    <row r="2282" spans="18:19" x14ac:dyDescent="0.25">
      <c r="R2282" s="13">
        <v>2209</v>
      </c>
      <c r="S2282" s="13">
        <v>0</v>
      </c>
    </row>
    <row r="2283" spans="18:19" x14ac:dyDescent="0.25">
      <c r="R2283" s="13">
        <v>2210</v>
      </c>
      <c r="S2283" s="13">
        <v>0</v>
      </c>
    </row>
    <row r="2284" spans="18:19" x14ac:dyDescent="0.25">
      <c r="R2284" s="13">
        <v>2211</v>
      </c>
      <c r="S2284" s="13">
        <v>0</v>
      </c>
    </row>
    <row r="2285" spans="18:19" x14ac:dyDescent="0.25">
      <c r="R2285" s="13">
        <v>2212</v>
      </c>
      <c r="S2285" s="13">
        <v>0</v>
      </c>
    </row>
    <row r="2286" spans="18:19" x14ac:dyDescent="0.25">
      <c r="R2286" s="13">
        <v>2213</v>
      </c>
      <c r="S2286" s="13">
        <v>0</v>
      </c>
    </row>
    <row r="2287" spans="18:19" x14ac:dyDescent="0.25">
      <c r="R2287" s="13">
        <v>2214</v>
      </c>
      <c r="S2287" s="13">
        <v>70442690.292137146</v>
      </c>
    </row>
    <row r="2288" spans="18:19" x14ac:dyDescent="0.25">
      <c r="R2288" s="13">
        <v>2215</v>
      </c>
      <c r="S2288" s="13">
        <v>0</v>
      </c>
    </row>
    <row r="2289" spans="18:19" x14ac:dyDescent="0.25">
      <c r="R2289" s="13">
        <v>2216</v>
      </c>
      <c r="S2289" s="13">
        <v>0</v>
      </c>
    </row>
    <row r="2290" spans="18:19" x14ac:dyDescent="0.25">
      <c r="R2290" s="13">
        <v>2217</v>
      </c>
      <c r="S2290" s="13">
        <v>680834205.16599083</v>
      </c>
    </row>
    <row r="2291" spans="18:19" x14ac:dyDescent="0.25">
      <c r="R2291" s="13">
        <v>2218</v>
      </c>
      <c r="S2291" s="13">
        <v>70832862.335338593</v>
      </c>
    </row>
    <row r="2292" spans="18:19" x14ac:dyDescent="0.25">
      <c r="R2292" s="13">
        <v>2219</v>
      </c>
      <c r="S2292" s="13">
        <v>0</v>
      </c>
    </row>
    <row r="2293" spans="18:19" x14ac:dyDescent="0.25">
      <c r="R2293" s="13">
        <v>2220</v>
      </c>
      <c r="S2293" s="13">
        <v>0</v>
      </c>
    </row>
    <row r="2294" spans="18:19" x14ac:dyDescent="0.25">
      <c r="R2294" s="13">
        <v>2221</v>
      </c>
      <c r="S2294" s="13">
        <v>0</v>
      </c>
    </row>
    <row r="2295" spans="18:19" x14ac:dyDescent="0.25">
      <c r="R2295" s="13">
        <v>2222</v>
      </c>
      <c r="S2295" s="13">
        <v>0</v>
      </c>
    </row>
    <row r="2296" spans="18:19" x14ac:dyDescent="0.25">
      <c r="R2296" s="13">
        <v>2223</v>
      </c>
      <c r="S2296" s="13">
        <v>0</v>
      </c>
    </row>
    <row r="2297" spans="18:19" x14ac:dyDescent="0.25">
      <c r="R2297" s="13">
        <v>2224</v>
      </c>
      <c r="S2297" s="13">
        <v>503342646.93304443</v>
      </c>
    </row>
    <row r="2298" spans="18:19" x14ac:dyDescent="0.25">
      <c r="R2298" s="13">
        <v>2225</v>
      </c>
      <c r="S2298" s="13">
        <v>396583398.10082817</v>
      </c>
    </row>
    <row r="2299" spans="18:19" x14ac:dyDescent="0.25">
      <c r="R2299" s="13">
        <v>2226</v>
      </c>
      <c r="S2299" s="13">
        <v>0</v>
      </c>
    </row>
    <row r="2300" spans="18:19" x14ac:dyDescent="0.25">
      <c r="R2300" s="13">
        <v>2227</v>
      </c>
      <c r="S2300" s="13">
        <v>285402883.14624405</v>
      </c>
    </row>
    <row r="2301" spans="18:19" x14ac:dyDescent="0.25">
      <c r="R2301" s="13">
        <v>2228</v>
      </c>
      <c r="S2301" s="13">
        <v>0</v>
      </c>
    </row>
    <row r="2302" spans="18:19" x14ac:dyDescent="0.25">
      <c r="R2302" s="13">
        <v>2229</v>
      </c>
      <c r="S2302" s="13">
        <v>0</v>
      </c>
    </row>
    <row r="2303" spans="18:19" x14ac:dyDescent="0.25">
      <c r="R2303" s="13">
        <v>2230</v>
      </c>
      <c r="S2303" s="13">
        <v>0</v>
      </c>
    </row>
    <row r="2304" spans="18:19" x14ac:dyDescent="0.25">
      <c r="R2304" s="13">
        <v>2231</v>
      </c>
      <c r="S2304" s="13">
        <v>82535654.671562195</v>
      </c>
    </row>
    <row r="2305" spans="18:19" x14ac:dyDescent="0.25">
      <c r="R2305" s="13">
        <v>2232</v>
      </c>
      <c r="S2305" s="13">
        <v>0</v>
      </c>
    </row>
    <row r="2306" spans="18:19" x14ac:dyDescent="0.25">
      <c r="R2306" s="13">
        <v>2233</v>
      </c>
      <c r="S2306" s="13">
        <v>0</v>
      </c>
    </row>
    <row r="2307" spans="18:19" x14ac:dyDescent="0.25">
      <c r="R2307" s="13">
        <v>2234</v>
      </c>
      <c r="S2307" s="13">
        <v>0</v>
      </c>
    </row>
    <row r="2308" spans="18:19" x14ac:dyDescent="0.25">
      <c r="R2308" s="13">
        <v>2235</v>
      </c>
      <c r="S2308" s="13">
        <v>0</v>
      </c>
    </row>
    <row r="2309" spans="18:19" x14ac:dyDescent="0.25">
      <c r="R2309" s="13">
        <v>2236</v>
      </c>
      <c r="S2309" s="13">
        <v>0</v>
      </c>
    </row>
    <row r="2310" spans="18:19" x14ac:dyDescent="0.25">
      <c r="R2310" s="13">
        <v>2237</v>
      </c>
      <c r="S2310" s="13">
        <v>0</v>
      </c>
    </row>
    <row r="2311" spans="18:19" x14ac:dyDescent="0.25">
      <c r="R2311" s="13">
        <v>2238</v>
      </c>
      <c r="S2311" s="13">
        <v>0</v>
      </c>
    </row>
    <row r="2312" spans="18:19" x14ac:dyDescent="0.25">
      <c r="R2312" s="13">
        <v>2239</v>
      </c>
      <c r="S2312" s="13">
        <v>0</v>
      </c>
    </row>
    <row r="2313" spans="18:19" x14ac:dyDescent="0.25">
      <c r="R2313" s="13">
        <v>2240</v>
      </c>
      <c r="S2313" s="13">
        <v>154672336.33608246</v>
      </c>
    </row>
    <row r="2314" spans="18:19" x14ac:dyDescent="0.25">
      <c r="R2314" s="13">
        <v>2241</v>
      </c>
      <c r="S2314" s="13">
        <v>0</v>
      </c>
    </row>
    <row r="2315" spans="18:19" x14ac:dyDescent="0.25">
      <c r="R2315" s="13">
        <v>2242</v>
      </c>
      <c r="S2315" s="13">
        <v>284839332.80033875</v>
      </c>
    </row>
    <row r="2316" spans="18:19" x14ac:dyDescent="0.25">
      <c r="R2316" s="13">
        <v>2243</v>
      </c>
      <c r="S2316" s="13">
        <v>0</v>
      </c>
    </row>
    <row r="2317" spans="18:19" x14ac:dyDescent="0.25">
      <c r="R2317" s="13">
        <v>2244</v>
      </c>
      <c r="S2317" s="13">
        <v>0</v>
      </c>
    </row>
    <row r="2318" spans="18:19" x14ac:dyDescent="0.25">
      <c r="R2318" s="13">
        <v>2245</v>
      </c>
      <c r="S2318" s="13">
        <v>0</v>
      </c>
    </row>
    <row r="2319" spans="18:19" x14ac:dyDescent="0.25">
      <c r="R2319" s="13">
        <v>2246</v>
      </c>
      <c r="S2319" s="13">
        <v>0</v>
      </c>
    </row>
    <row r="2320" spans="18:19" x14ac:dyDescent="0.25">
      <c r="R2320" s="13">
        <v>2247</v>
      </c>
      <c r="S2320" s="13">
        <v>0</v>
      </c>
    </row>
    <row r="2321" spans="18:19" x14ac:dyDescent="0.25">
      <c r="R2321" s="13">
        <v>2248</v>
      </c>
      <c r="S2321" s="13">
        <v>0</v>
      </c>
    </row>
    <row r="2322" spans="18:19" x14ac:dyDescent="0.25">
      <c r="R2322" s="13">
        <v>2249</v>
      </c>
      <c r="S2322" s="13">
        <v>0</v>
      </c>
    </row>
    <row r="2323" spans="18:19" x14ac:dyDescent="0.25">
      <c r="R2323" s="13">
        <v>2250</v>
      </c>
      <c r="S2323" s="13">
        <v>171401877.8795948</v>
      </c>
    </row>
    <row r="2324" spans="18:19" x14ac:dyDescent="0.25">
      <c r="R2324" s="13">
        <v>2251</v>
      </c>
      <c r="S2324" s="13">
        <v>0</v>
      </c>
    </row>
    <row r="2325" spans="18:19" x14ac:dyDescent="0.25">
      <c r="R2325" s="13">
        <v>2252</v>
      </c>
      <c r="S2325" s="13">
        <v>0</v>
      </c>
    </row>
    <row r="2326" spans="18:19" x14ac:dyDescent="0.25">
      <c r="R2326" s="13">
        <v>2253</v>
      </c>
      <c r="S2326" s="13">
        <v>0</v>
      </c>
    </row>
    <row r="2327" spans="18:19" x14ac:dyDescent="0.25">
      <c r="R2327" s="13">
        <v>2254</v>
      </c>
      <c r="S2327" s="13">
        <v>100378733.03414917</v>
      </c>
    </row>
    <row r="2328" spans="18:19" x14ac:dyDescent="0.25">
      <c r="R2328" s="13">
        <v>2255</v>
      </c>
      <c r="S2328" s="13">
        <v>745850934.6548233</v>
      </c>
    </row>
    <row r="2329" spans="18:19" x14ac:dyDescent="0.25">
      <c r="R2329" s="13">
        <v>2256</v>
      </c>
      <c r="S2329" s="13">
        <v>370030395.47264862</v>
      </c>
    </row>
    <row r="2330" spans="18:19" x14ac:dyDescent="0.25">
      <c r="R2330" s="13">
        <v>2257</v>
      </c>
      <c r="S2330" s="13">
        <v>778579311.31243515</v>
      </c>
    </row>
    <row r="2331" spans="18:19" x14ac:dyDescent="0.25">
      <c r="R2331" s="13">
        <v>2258</v>
      </c>
      <c r="S2331" s="13">
        <v>0</v>
      </c>
    </row>
    <row r="2332" spans="18:19" x14ac:dyDescent="0.25">
      <c r="R2332" s="13">
        <v>2259</v>
      </c>
      <c r="S2332" s="13">
        <v>1441833801.6857853</v>
      </c>
    </row>
    <row r="2333" spans="18:19" x14ac:dyDescent="0.25">
      <c r="R2333" s="13">
        <v>2260</v>
      </c>
      <c r="S2333" s="13">
        <v>0</v>
      </c>
    </row>
    <row r="2334" spans="18:19" x14ac:dyDescent="0.25">
      <c r="R2334" s="13">
        <v>2261</v>
      </c>
      <c r="S2334" s="13">
        <v>0</v>
      </c>
    </row>
    <row r="2335" spans="18:19" x14ac:dyDescent="0.25">
      <c r="R2335" s="13">
        <v>2262</v>
      </c>
      <c r="S2335" s="13">
        <v>0</v>
      </c>
    </row>
    <row r="2336" spans="18:19" x14ac:dyDescent="0.25">
      <c r="R2336" s="13">
        <v>2263</v>
      </c>
      <c r="S2336" s="13">
        <v>0</v>
      </c>
    </row>
    <row r="2337" spans="18:19" x14ac:dyDescent="0.25">
      <c r="R2337" s="13">
        <v>2264</v>
      </c>
      <c r="S2337" s="13">
        <v>0</v>
      </c>
    </row>
    <row r="2338" spans="18:19" x14ac:dyDescent="0.25">
      <c r="R2338" s="13">
        <v>2265</v>
      </c>
      <c r="S2338" s="13">
        <v>263769595.40338326</v>
      </c>
    </row>
    <row r="2339" spans="18:19" x14ac:dyDescent="0.25">
      <c r="R2339" s="13">
        <v>2266</v>
      </c>
      <c r="S2339" s="13">
        <v>0</v>
      </c>
    </row>
    <row r="2340" spans="18:19" x14ac:dyDescent="0.25">
      <c r="R2340" s="13">
        <v>2267</v>
      </c>
      <c r="S2340" s="13">
        <v>0</v>
      </c>
    </row>
    <row r="2341" spans="18:19" x14ac:dyDescent="0.25">
      <c r="R2341" s="13">
        <v>2268</v>
      </c>
      <c r="S2341" s="13">
        <v>0</v>
      </c>
    </row>
    <row r="2342" spans="18:19" x14ac:dyDescent="0.25">
      <c r="R2342" s="13">
        <v>2269</v>
      </c>
      <c r="S2342" s="13">
        <v>0</v>
      </c>
    </row>
    <row r="2343" spans="18:19" x14ac:dyDescent="0.25">
      <c r="R2343" s="13">
        <v>2270</v>
      </c>
      <c r="S2343" s="13">
        <v>349762449.27390862</v>
      </c>
    </row>
    <row r="2344" spans="18:19" x14ac:dyDescent="0.25">
      <c r="R2344" s="13">
        <v>2271</v>
      </c>
      <c r="S2344" s="13">
        <v>0</v>
      </c>
    </row>
    <row r="2345" spans="18:19" x14ac:dyDescent="0.25">
      <c r="R2345" s="13">
        <v>2272</v>
      </c>
      <c r="S2345" s="13">
        <v>0</v>
      </c>
    </row>
    <row r="2346" spans="18:19" x14ac:dyDescent="0.25">
      <c r="R2346" s="13">
        <v>2273</v>
      </c>
      <c r="S2346" s="13">
        <v>0</v>
      </c>
    </row>
    <row r="2347" spans="18:19" x14ac:dyDescent="0.25">
      <c r="R2347" s="13">
        <v>2274</v>
      </c>
      <c r="S2347" s="13">
        <v>19859123.310476303</v>
      </c>
    </row>
    <row r="2348" spans="18:19" x14ac:dyDescent="0.25">
      <c r="R2348" s="13">
        <v>2275</v>
      </c>
      <c r="S2348" s="13">
        <v>0</v>
      </c>
    </row>
    <row r="2349" spans="18:19" x14ac:dyDescent="0.25">
      <c r="R2349" s="13">
        <v>2276</v>
      </c>
      <c r="S2349" s="13">
        <v>0</v>
      </c>
    </row>
    <row r="2350" spans="18:19" x14ac:dyDescent="0.25">
      <c r="R2350" s="13">
        <v>2277</v>
      </c>
      <c r="S2350" s="13">
        <v>0</v>
      </c>
    </row>
    <row r="2351" spans="18:19" x14ac:dyDescent="0.25">
      <c r="R2351" s="13">
        <v>2278</v>
      </c>
      <c r="S2351" s="13">
        <v>0</v>
      </c>
    </row>
    <row r="2352" spans="18:19" x14ac:dyDescent="0.25">
      <c r="R2352" s="13">
        <v>2279</v>
      </c>
      <c r="S2352" s="13">
        <v>95037939.474283218</v>
      </c>
    </row>
    <row r="2353" spans="18:19" x14ac:dyDescent="0.25">
      <c r="R2353" s="13">
        <v>2280</v>
      </c>
      <c r="S2353" s="13">
        <v>0</v>
      </c>
    </row>
    <row r="2354" spans="18:19" x14ac:dyDescent="0.25">
      <c r="R2354" s="13">
        <v>2281</v>
      </c>
      <c r="S2354" s="13">
        <v>0</v>
      </c>
    </row>
    <row r="2355" spans="18:19" x14ac:dyDescent="0.25">
      <c r="R2355" s="13">
        <v>2282</v>
      </c>
      <c r="S2355" s="13">
        <v>0</v>
      </c>
    </row>
    <row r="2356" spans="18:19" x14ac:dyDescent="0.25">
      <c r="R2356" s="13">
        <v>2283</v>
      </c>
      <c r="S2356" s="13">
        <v>0</v>
      </c>
    </row>
    <row r="2357" spans="18:19" x14ac:dyDescent="0.25">
      <c r="R2357" s="13">
        <v>2284</v>
      </c>
      <c r="S2357" s="13">
        <v>688280996.50821686</v>
      </c>
    </row>
    <row r="2358" spans="18:19" x14ac:dyDescent="0.25">
      <c r="R2358" s="13">
        <v>2285</v>
      </c>
      <c r="S2358" s="13">
        <v>0</v>
      </c>
    </row>
    <row r="2359" spans="18:19" x14ac:dyDescent="0.25">
      <c r="R2359" s="13">
        <v>2286</v>
      </c>
      <c r="S2359" s="13">
        <v>0</v>
      </c>
    </row>
    <row r="2360" spans="18:19" x14ac:dyDescent="0.25">
      <c r="R2360" s="13">
        <v>2287</v>
      </c>
      <c r="S2360" s="13">
        <v>0</v>
      </c>
    </row>
    <row r="2361" spans="18:19" x14ac:dyDescent="0.25">
      <c r="R2361" s="13">
        <v>2288</v>
      </c>
      <c r="S2361" s="13">
        <v>0</v>
      </c>
    </row>
    <row r="2362" spans="18:19" x14ac:dyDescent="0.25">
      <c r="R2362" s="13">
        <v>2289</v>
      </c>
      <c r="S2362" s="13">
        <v>0</v>
      </c>
    </row>
    <row r="2363" spans="18:19" x14ac:dyDescent="0.25">
      <c r="R2363" s="13">
        <v>2290</v>
      </c>
      <c r="S2363" s="13">
        <v>215611752.4557724</v>
      </c>
    </row>
    <row r="2364" spans="18:19" x14ac:dyDescent="0.25">
      <c r="R2364" s="13">
        <v>2291</v>
      </c>
      <c r="S2364" s="13">
        <v>0</v>
      </c>
    </row>
    <row r="2365" spans="18:19" x14ac:dyDescent="0.25">
      <c r="R2365" s="13">
        <v>2292</v>
      </c>
      <c r="S2365" s="13">
        <v>0</v>
      </c>
    </row>
    <row r="2366" spans="18:19" x14ac:dyDescent="0.25">
      <c r="R2366" s="13">
        <v>2293</v>
      </c>
      <c r="S2366" s="13">
        <v>0</v>
      </c>
    </row>
    <row r="2367" spans="18:19" x14ac:dyDescent="0.25">
      <c r="R2367" s="13">
        <v>2294</v>
      </c>
      <c r="S2367" s="13">
        <v>0</v>
      </c>
    </row>
    <row r="2368" spans="18:19" x14ac:dyDescent="0.25">
      <c r="R2368" s="13">
        <v>2295</v>
      </c>
      <c r="S2368" s="13">
        <v>0</v>
      </c>
    </row>
    <row r="2369" spans="18:19" x14ac:dyDescent="0.25">
      <c r="R2369" s="13">
        <v>2296</v>
      </c>
      <c r="S2369" s="13">
        <v>0</v>
      </c>
    </row>
    <row r="2370" spans="18:19" x14ac:dyDescent="0.25">
      <c r="R2370" s="13">
        <v>2297</v>
      </c>
      <c r="S2370" s="13">
        <v>0</v>
      </c>
    </row>
    <row r="2371" spans="18:19" x14ac:dyDescent="0.25">
      <c r="R2371" s="13">
        <v>2298</v>
      </c>
      <c r="S2371" s="13">
        <v>0</v>
      </c>
    </row>
    <row r="2372" spans="18:19" x14ac:dyDescent="0.25">
      <c r="R2372" s="13">
        <v>2299</v>
      </c>
      <c r="S2372" s="13">
        <v>0</v>
      </c>
    </row>
    <row r="2373" spans="18:19" x14ac:dyDescent="0.25">
      <c r="R2373" s="13">
        <v>2300</v>
      </c>
      <c r="S2373" s="13">
        <v>917612789.45128059</v>
      </c>
    </row>
    <row r="2374" spans="18:19" x14ac:dyDescent="0.25">
      <c r="R2374" s="13">
        <v>2301</v>
      </c>
      <c r="S2374" s="13">
        <v>0</v>
      </c>
    </row>
    <row r="2375" spans="18:19" x14ac:dyDescent="0.25">
      <c r="R2375" s="13">
        <v>2302</v>
      </c>
      <c r="S2375" s="13">
        <v>0</v>
      </c>
    </row>
    <row r="2376" spans="18:19" x14ac:dyDescent="0.25">
      <c r="R2376" s="13">
        <v>2303</v>
      </c>
      <c r="S2376" s="13">
        <v>0</v>
      </c>
    </row>
    <row r="2377" spans="18:19" x14ac:dyDescent="0.25">
      <c r="R2377" s="13">
        <v>2304</v>
      </c>
      <c r="S2377" s="13">
        <v>0</v>
      </c>
    </row>
    <row r="2378" spans="18:19" x14ac:dyDescent="0.25">
      <c r="R2378" s="13">
        <v>2305</v>
      </c>
      <c r="S2378" s="13">
        <v>0</v>
      </c>
    </row>
    <row r="2379" spans="18:19" x14ac:dyDescent="0.25">
      <c r="R2379" s="13">
        <v>2306</v>
      </c>
      <c r="S2379" s="13">
        <v>0</v>
      </c>
    </row>
    <row r="2380" spans="18:19" x14ac:dyDescent="0.25">
      <c r="R2380" s="13">
        <v>2307</v>
      </c>
      <c r="S2380" s="13">
        <v>0</v>
      </c>
    </row>
    <row r="2381" spans="18:19" x14ac:dyDescent="0.25">
      <c r="R2381" s="13">
        <v>2308</v>
      </c>
      <c r="S2381" s="13">
        <v>0</v>
      </c>
    </row>
    <row r="2382" spans="18:19" x14ac:dyDescent="0.25">
      <c r="R2382" s="13">
        <v>2309</v>
      </c>
      <c r="S2382" s="13">
        <v>0</v>
      </c>
    </row>
    <row r="2383" spans="18:19" x14ac:dyDescent="0.25">
      <c r="R2383" s="13">
        <v>2310</v>
      </c>
      <c r="S2383" s="13">
        <v>0</v>
      </c>
    </row>
    <row r="2384" spans="18:19" x14ac:dyDescent="0.25">
      <c r="R2384" s="13">
        <v>2311</v>
      </c>
      <c r="S2384" s="13">
        <v>0</v>
      </c>
    </row>
    <row r="2385" spans="18:19" x14ac:dyDescent="0.25">
      <c r="R2385" s="13">
        <v>2312</v>
      </c>
      <c r="S2385" s="13">
        <v>0</v>
      </c>
    </row>
    <row r="2386" spans="18:19" x14ac:dyDescent="0.25">
      <c r="R2386" s="13">
        <v>2313</v>
      </c>
      <c r="S2386" s="13">
        <v>0</v>
      </c>
    </row>
    <row r="2387" spans="18:19" x14ac:dyDescent="0.25">
      <c r="R2387" s="13">
        <v>2314</v>
      </c>
      <c r="S2387" s="13">
        <v>0</v>
      </c>
    </row>
    <row r="2388" spans="18:19" x14ac:dyDescent="0.25">
      <c r="R2388" s="13">
        <v>2315</v>
      </c>
      <c r="S2388" s="13">
        <v>0</v>
      </c>
    </row>
    <row r="2389" spans="18:19" x14ac:dyDescent="0.25">
      <c r="R2389" s="13">
        <v>2316</v>
      </c>
      <c r="S2389" s="13">
        <v>397488042.83180237</v>
      </c>
    </row>
    <row r="2390" spans="18:19" x14ac:dyDescent="0.25">
      <c r="R2390" s="13">
        <v>2317</v>
      </c>
      <c r="S2390" s="13">
        <v>346820895.03641701</v>
      </c>
    </row>
    <row r="2391" spans="18:19" x14ac:dyDescent="0.25">
      <c r="R2391" s="13">
        <v>2318</v>
      </c>
      <c r="S2391" s="13">
        <v>0</v>
      </c>
    </row>
    <row r="2392" spans="18:19" x14ac:dyDescent="0.25">
      <c r="R2392" s="13">
        <v>2319</v>
      </c>
      <c r="S2392" s="13">
        <v>0</v>
      </c>
    </row>
    <row r="2393" spans="18:19" x14ac:dyDescent="0.25">
      <c r="R2393" s="13">
        <v>2320</v>
      </c>
      <c r="S2393" s="13">
        <v>0</v>
      </c>
    </row>
    <row r="2394" spans="18:19" x14ac:dyDescent="0.25">
      <c r="R2394" s="13">
        <v>2321</v>
      </c>
      <c r="S2394" s="13">
        <v>500809689.01691628</v>
      </c>
    </row>
    <row r="2395" spans="18:19" x14ac:dyDescent="0.25">
      <c r="R2395" s="13">
        <v>2322</v>
      </c>
      <c r="S2395" s="13">
        <v>0</v>
      </c>
    </row>
    <row r="2396" spans="18:19" x14ac:dyDescent="0.25">
      <c r="R2396" s="13">
        <v>2323</v>
      </c>
      <c r="S2396" s="13">
        <v>0</v>
      </c>
    </row>
    <row r="2397" spans="18:19" x14ac:dyDescent="0.25">
      <c r="R2397" s="13">
        <v>2324</v>
      </c>
      <c r="S2397" s="13">
        <v>0</v>
      </c>
    </row>
    <row r="2398" spans="18:19" x14ac:dyDescent="0.25">
      <c r="R2398" s="13">
        <v>2325</v>
      </c>
      <c r="S2398" s="13">
        <v>0</v>
      </c>
    </row>
    <row r="2399" spans="18:19" x14ac:dyDescent="0.25">
      <c r="R2399" s="13">
        <v>2326</v>
      </c>
      <c r="S2399" s="13">
        <v>0</v>
      </c>
    </row>
    <row r="2400" spans="18:19" x14ac:dyDescent="0.25">
      <c r="R2400" s="13">
        <v>2327</v>
      </c>
      <c r="S2400" s="13">
        <v>0</v>
      </c>
    </row>
    <row r="2401" spans="18:19" x14ac:dyDescent="0.25">
      <c r="R2401" s="13">
        <v>2328</v>
      </c>
      <c r="S2401" s="13">
        <v>0</v>
      </c>
    </row>
    <row r="2402" spans="18:19" x14ac:dyDescent="0.25">
      <c r="R2402" s="13">
        <v>2329</v>
      </c>
      <c r="S2402" s="13">
        <v>0</v>
      </c>
    </row>
    <row r="2403" spans="18:19" x14ac:dyDescent="0.25">
      <c r="R2403" s="13">
        <v>2330</v>
      </c>
      <c r="S2403" s="13">
        <v>0</v>
      </c>
    </row>
    <row r="2404" spans="18:19" x14ac:dyDescent="0.25">
      <c r="R2404" s="13">
        <v>2331</v>
      </c>
      <c r="S2404" s="13">
        <v>0</v>
      </c>
    </row>
    <row r="2405" spans="18:19" x14ac:dyDescent="0.25">
      <c r="R2405" s="13">
        <v>2332</v>
      </c>
      <c r="S2405" s="13">
        <v>0</v>
      </c>
    </row>
    <row r="2406" spans="18:19" x14ac:dyDescent="0.25">
      <c r="R2406" s="13">
        <v>2333</v>
      </c>
      <c r="S2406" s="13">
        <v>248157182.2637291</v>
      </c>
    </row>
    <row r="2407" spans="18:19" x14ac:dyDescent="0.25">
      <c r="R2407" s="13">
        <v>2334</v>
      </c>
      <c r="S2407" s="13">
        <v>0</v>
      </c>
    </row>
    <row r="2408" spans="18:19" x14ac:dyDescent="0.25">
      <c r="R2408" s="13">
        <v>2335</v>
      </c>
      <c r="S2408" s="13">
        <v>0</v>
      </c>
    </row>
    <row r="2409" spans="18:19" x14ac:dyDescent="0.25">
      <c r="R2409" s="13">
        <v>2336</v>
      </c>
      <c r="S2409" s="13">
        <v>0</v>
      </c>
    </row>
    <row r="2410" spans="18:19" x14ac:dyDescent="0.25">
      <c r="R2410" s="13">
        <v>2337</v>
      </c>
      <c r="S2410" s="13">
        <v>0</v>
      </c>
    </row>
    <row r="2411" spans="18:19" x14ac:dyDescent="0.25">
      <c r="R2411" s="13">
        <v>2338</v>
      </c>
      <c r="S2411" s="13">
        <v>0</v>
      </c>
    </row>
    <row r="2412" spans="18:19" x14ac:dyDescent="0.25">
      <c r="R2412" s="13">
        <v>2339</v>
      </c>
      <c r="S2412" s="13">
        <v>306822029.53261185</v>
      </c>
    </row>
    <row r="2413" spans="18:19" x14ac:dyDescent="0.25">
      <c r="R2413" s="13">
        <v>2340</v>
      </c>
      <c r="S2413" s="13">
        <v>1169645397.6236553</v>
      </c>
    </row>
    <row r="2414" spans="18:19" x14ac:dyDescent="0.25">
      <c r="R2414" s="13">
        <v>2341</v>
      </c>
      <c r="S2414" s="13">
        <v>0</v>
      </c>
    </row>
    <row r="2415" spans="18:19" x14ac:dyDescent="0.25">
      <c r="R2415" s="13">
        <v>2342</v>
      </c>
      <c r="S2415" s="13">
        <v>0</v>
      </c>
    </row>
    <row r="2416" spans="18:19" x14ac:dyDescent="0.25">
      <c r="R2416" s="13">
        <v>2343</v>
      </c>
      <c r="S2416" s="13">
        <v>237159977.73636055</v>
      </c>
    </row>
    <row r="2417" spans="18:19" x14ac:dyDescent="0.25">
      <c r="R2417" s="13">
        <v>2344</v>
      </c>
      <c r="S2417" s="13">
        <v>0</v>
      </c>
    </row>
    <row r="2418" spans="18:19" x14ac:dyDescent="0.25">
      <c r="R2418" s="13">
        <v>2345</v>
      </c>
      <c r="S2418" s="13">
        <v>0</v>
      </c>
    </row>
    <row r="2419" spans="18:19" x14ac:dyDescent="0.25">
      <c r="R2419" s="13">
        <v>2346</v>
      </c>
      <c r="S2419" s="13">
        <v>0</v>
      </c>
    </row>
    <row r="2420" spans="18:19" x14ac:dyDescent="0.25">
      <c r="R2420" s="13">
        <v>2347</v>
      </c>
      <c r="S2420" s="13">
        <v>0</v>
      </c>
    </row>
    <row r="2421" spans="18:19" x14ac:dyDescent="0.25">
      <c r="R2421" s="13">
        <v>2348</v>
      </c>
      <c r="S2421" s="13">
        <v>0</v>
      </c>
    </row>
    <row r="2422" spans="18:19" x14ac:dyDescent="0.25">
      <c r="R2422" s="13">
        <v>2349</v>
      </c>
      <c r="S2422" s="13">
        <v>0</v>
      </c>
    </row>
    <row r="2423" spans="18:19" x14ac:dyDescent="0.25">
      <c r="R2423" s="13">
        <v>2350</v>
      </c>
      <c r="S2423" s="13">
        <v>0</v>
      </c>
    </row>
    <row r="2424" spans="18:19" x14ac:dyDescent="0.25">
      <c r="R2424" s="13">
        <v>2351</v>
      </c>
      <c r="S2424" s="13">
        <v>0</v>
      </c>
    </row>
    <row r="2425" spans="18:19" x14ac:dyDescent="0.25">
      <c r="R2425" s="13">
        <v>2352</v>
      </c>
      <c r="S2425" s="13">
        <v>0</v>
      </c>
    </row>
    <row r="2426" spans="18:19" x14ac:dyDescent="0.25">
      <c r="R2426" s="13">
        <v>2353</v>
      </c>
      <c r="S2426" s="13">
        <v>0</v>
      </c>
    </row>
    <row r="2427" spans="18:19" x14ac:dyDescent="0.25">
      <c r="R2427" s="13">
        <v>2354</v>
      </c>
      <c r="S2427" s="13">
        <v>0</v>
      </c>
    </row>
    <row r="2428" spans="18:19" x14ac:dyDescent="0.25">
      <c r="R2428" s="13">
        <v>2355</v>
      </c>
      <c r="S2428" s="13">
        <v>0</v>
      </c>
    </row>
    <row r="2429" spans="18:19" x14ac:dyDescent="0.25">
      <c r="R2429" s="13">
        <v>2356</v>
      </c>
      <c r="S2429" s="13">
        <v>0</v>
      </c>
    </row>
    <row r="2430" spans="18:19" x14ac:dyDescent="0.25">
      <c r="R2430" s="13">
        <v>2357</v>
      </c>
      <c r="S2430" s="13">
        <v>0</v>
      </c>
    </row>
    <row r="2431" spans="18:19" x14ac:dyDescent="0.25">
      <c r="R2431" s="13">
        <v>2358</v>
      </c>
      <c r="S2431" s="13">
        <v>0</v>
      </c>
    </row>
    <row r="2432" spans="18:19" x14ac:dyDescent="0.25">
      <c r="R2432" s="13">
        <v>2359</v>
      </c>
      <c r="S2432" s="13">
        <v>0</v>
      </c>
    </row>
    <row r="2433" spans="18:19" x14ac:dyDescent="0.25">
      <c r="R2433" s="13">
        <v>2360</v>
      </c>
      <c r="S2433" s="13">
        <v>276821945.99856758</v>
      </c>
    </row>
    <row r="2434" spans="18:19" x14ac:dyDescent="0.25">
      <c r="R2434" s="13">
        <v>2361</v>
      </c>
      <c r="S2434" s="13">
        <v>0</v>
      </c>
    </row>
    <row r="2435" spans="18:19" x14ac:dyDescent="0.25">
      <c r="R2435" s="13">
        <v>2362</v>
      </c>
      <c r="S2435" s="13">
        <v>0</v>
      </c>
    </row>
    <row r="2436" spans="18:19" x14ac:dyDescent="0.25">
      <c r="R2436" s="13">
        <v>2363</v>
      </c>
      <c r="S2436" s="13">
        <v>368099710.58921242</v>
      </c>
    </row>
    <row r="2437" spans="18:19" x14ac:dyDescent="0.25">
      <c r="R2437" s="13">
        <v>2364</v>
      </c>
      <c r="S2437" s="13">
        <v>0</v>
      </c>
    </row>
    <row r="2438" spans="18:19" x14ac:dyDescent="0.25">
      <c r="R2438" s="13">
        <v>2365</v>
      </c>
      <c r="S2438" s="13">
        <v>0</v>
      </c>
    </row>
    <row r="2439" spans="18:19" x14ac:dyDescent="0.25">
      <c r="R2439" s="13">
        <v>2366</v>
      </c>
      <c r="S2439" s="13">
        <v>0</v>
      </c>
    </row>
    <row r="2440" spans="18:19" x14ac:dyDescent="0.25">
      <c r="R2440" s="13">
        <v>2367</v>
      </c>
      <c r="S2440" s="13">
        <v>0</v>
      </c>
    </row>
    <row r="2441" spans="18:19" x14ac:dyDescent="0.25">
      <c r="R2441" s="13">
        <v>2368</v>
      </c>
      <c r="S2441" s="13">
        <v>0</v>
      </c>
    </row>
    <row r="2442" spans="18:19" x14ac:dyDescent="0.25">
      <c r="R2442" s="13">
        <v>2369</v>
      </c>
      <c r="S2442" s="13">
        <v>563313009.00854683</v>
      </c>
    </row>
    <row r="2443" spans="18:19" x14ac:dyDescent="0.25">
      <c r="R2443" s="13">
        <v>2370</v>
      </c>
      <c r="S2443" s="13">
        <v>423798523.95109177</v>
      </c>
    </row>
    <row r="2444" spans="18:19" x14ac:dyDescent="0.25">
      <c r="R2444" s="13">
        <v>2371</v>
      </c>
      <c r="S2444" s="13">
        <v>0</v>
      </c>
    </row>
    <row r="2445" spans="18:19" x14ac:dyDescent="0.25">
      <c r="R2445" s="13">
        <v>2372</v>
      </c>
      <c r="S2445" s="13">
        <v>0</v>
      </c>
    </row>
    <row r="2446" spans="18:19" x14ac:dyDescent="0.25">
      <c r="R2446" s="13">
        <v>2373</v>
      </c>
      <c r="S2446" s="13">
        <v>0</v>
      </c>
    </row>
    <row r="2447" spans="18:19" x14ac:dyDescent="0.25">
      <c r="R2447" s="13">
        <v>2374</v>
      </c>
      <c r="S2447" s="13">
        <v>438951309.67269325</v>
      </c>
    </row>
    <row r="2448" spans="18:19" x14ac:dyDescent="0.25">
      <c r="R2448" s="13">
        <v>2375</v>
      </c>
      <c r="S2448" s="13">
        <v>177656290.54747581</v>
      </c>
    </row>
    <row r="2449" spans="18:19" x14ac:dyDescent="0.25">
      <c r="R2449" s="13">
        <v>2376</v>
      </c>
      <c r="S2449" s="13">
        <v>907303308.20591354</v>
      </c>
    </row>
    <row r="2450" spans="18:19" x14ac:dyDescent="0.25">
      <c r="R2450" s="13">
        <v>2377</v>
      </c>
      <c r="S2450" s="13">
        <v>0</v>
      </c>
    </row>
    <row r="2451" spans="18:19" x14ac:dyDescent="0.25">
      <c r="R2451" s="13">
        <v>2378</v>
      </c>
      <c r="S2451" s="13">
        <v>0</v>
      </c>
    </row>
    <row r="2452" spans="18:19" x14ac:dyDescent="0.25">
      <c r="R2452" s="13">
        <v>2379</v>
      </c>
      <c r="S2452" s="13">
        <v>0</v>
      </c>
    </row>
    <row r="2453" spans="18:19" x14ac:dyDescent="0.25">
      <c r="R2453" s="13">
        <v>2380</v>
      </c>
      <c r="S2453" s="13">
        <v>0</v>
      </c>
    </row>
    <row r="2454" spans="18:19" x14ac:dyDescent="0.25">
      <c r="R2454" s="13">
        <v>2381</v>
      </c>
      <c r="S2454" s="13">
        <v>491052770.84306145</v>
      </c>
    </row>
    <row r="2455" spans="18:19" x14ac:dyDescent="0.25">
      <c r="R2455" s="13">
        <v>2382</v>
      </c>
      <c r="S2455" s="13">
        <v>0</v>
      </c>
    </row>
    <row r="2456" spans="18:19" x14ac:dyDescent="0.25">
      <c r="R2456" s="13">
        <v>2383</v>
      </c>
      <c r="S2456" s="13">
        <v>0</v>
      </c>
    </row>
    <row r="2457" spans="18:19" x14ac:dyDescent="0.25">
      <c r="R2457" s="13">
        <v>2384</v>
      </c>
      <c r="S2457" s="13">
        <v>1279130485.6727066</v>
      </c>
    </row>
    <row r="2458" spans="18:19" x14ac:dyDescent="0.25">
      <c r="R2458" s="13">
        <v>2385</v>
      </c>
      <c r="S2458" s="13">
        <v>0</v>
      </c>
    </row>
    <row r="2459" spans="18:19" x14ac:dyDescent="0.25">
      <c r="R2459" s="13">
        <v>2386</v>
      </c>
      <c r="S2459" s="13">
        <v>0</v>
      </c>
    </row>
    <row r="2460" spans="18:19" x14ac:dyDescent="0.25">
      <c r="R2460" s="13">
        <v>2387</v>
      </c>
      <c r="S2460" s="13">
        <v>0</v>
      </c>
    </row>
    <row r="2461" spans="18:19" x14ac:dyDescent="0.25">
      <c r="R2461" s="13">
        <v>2388</v>
      </c>
      <c r="S2461" s="13">
        <v>0</v>
      </c>
    </row>
    <row r="2462" spans="18:19" x14ac:dyDescent="0.25">
      <c r="R2462" s="13">
        <v>2389</v>
      </c>
      <c r="S2462" s="13">
        <v>0</v>
      </c>
    </row>
    <row r="2463" spans="18:19" x14ac:dyDescent="0.25">
      <c r="R2463" s="13">
        <v>2390</v>
      </c>
      <c r="S2463" s="13">
        <v>0</v>
      </c>
    </row>
    <row r="2464" spans="18:19" x14ac:dyDescent="0.25">
      <c r="R2464" s="13">
        <v>2391</v>
      </c>
      <c r="S2464" s="13">
        <v>0</v>
      </c>
    </row>
    <row r="2465" spans="18:19" x14ac:dyDescent="0.25">
      <c r="R2465" s="13">
        <v>2392</v>
      </c>
      <c r="S2465" s="13">
        <v>192107897.65534401</v>
      </c>
    </row>
    <row r="2466" spans="18:19" x14ac:dyDescent="0.25">
      <c r="R2466" s="13">
        <v>2393</v>
      </c>
      <c r="S2466" s="13">
        <v>0</v>
      </c>
    </row>
    <row r="2467" spans="18:19" x14ac:dyDescent="0.25">
      <c r="R2467" s="13">
        <v>2394</v>
      </c>
      <c r="S2467" s="13">
        <v>0</v>
      </c>
    </row>
    <row r="2468" spans="18:19" x14ac:dyDescent="0.25">
      <c r="R2468" s="13">
        <v>2395</v>
      </c>
      <c r="S2468" s="13">
        <v>437260861.64373016</v>
      </c>
    </row>
    <row r="2469" spans="18:19" x14ac:dyDescent="0.25">
      <c r="R2469" s="13">
        <v>2396</v>
      </c>
      <c r="S2469" s="13">
        <v>0</v>
      </c>
    </row>
    <row r="2470" spans="18:19" x14ac:dyDescent="0.25">
      <c r="R2470" s="13">
        <v>2397</v>
      </c>
      <c r="S2470" s="13">
        <v>0</v>
      </c>
    </row>
    <row r="2471" spans="18:19" x14ac:dyDescent="0.25">
      <c r="R2471" s="13">
        <v>2398</v>
      </c>
      <c r="S2471" s="13">
        <v>0</v>
      </c>
    </row>
    <row r="2472" spans="18:19" x14ac:dyDescent="0.25">
      <c r="R2472" s="13">
        <v>2399</v>
      </c>
      <c r="S2472" s="13">
        <v>0</v>
      </c>
    </row>
    <row r="2473" spans="18:19" x14ac:dyDescent="0.25">
      <c r="R2473" s="13">
        <v>2400</v>
      </c>
      <c r="S2473" s="13">
        <v>0</v>
      </c>
    </row>
    <row r="2474" spans="18:19" x14ac:dyDescent="0.25">
      <c r="R2474" s="13">
        <v>2401</v>
      </c>
      <c r="S2474" s="13">
        <v>0</v>
      </c>
    </row>
    <row r="2475" spans="18:19" x14ac:dyDescent="0.25">
      <c r="R2475" s="13">
        <v>2402</v>
      </c>
      <c r="S2475" s="13">
        <v>596508587.82197189</v>
      </c>
    </row>
    <row r="2476" spans="18:19" x14ac:dyDescent="0.25">
      <c r="R2476" s="13">
        <v>2403</v>
      </c>
      <c r="S2476" s="13">
        <v>0</v>
      </c>
    </row>
    <row r="2477" spans="18:19" x14ac:dyDescent="0.25">
      <c r="R2477" s="13">
        <v>2404</v>
      </c>
      <c r="S2477" s="13">
        <v>0</v>
      </c>
    </row>
    <row r="2478" spans="18:19" x14ac:dyDescent="0.25">
      <c r="R2478" s="13">
        <v>2405</v>
      </c>
      <c r="S2478" s="13">
        <v>0</v>
      </c>
    </row>
    <row r="2479" spans="18:19" x14ac:dyDescent="0.25">
      <c r="R2479" s="13">
        <v>2406</v>
      </c>
      <c r="S2479" s="13">
        <v>0</v>
      </c>
    </row>
    <row r="2480" spans="18:19" x14ac:dyDescent="0.25">
      <c r="R2480" s="13">
        <v>2407</v>
      </c>
      <c r="S2480" s="13">
        <v>0</v>
      </c>
    </row>
    <row r="2481" spans="18:19" x14ac:dyDescent="0.25">
      <c r="R2481" s="13">
        <v>2408</v>
      </c>
      <c r="S2481" s="13">
        <v>0</v>
      </c>
    </row>
    <row r="2482" spans="18:19" x14ac:dyDescent="0.25">
      <c r="R2482" s="13">
        <v>2409</v>
      </c>
      <c r="S2482" s="13">
        <v>236330670.85693932</v>
      </c>
    </row>
    <row r="2483" spans="18:19" x14ac:dyDescent="0.25">
      <c r="R2483" s="13">
        <v>2410</v>
      </c>
      <c r="S2483" s="13">
        <v>0</v>
      </c>
    </row>
    <row r="2484" spans="18:19" x14ac:dyDescent="0.25">
      <c r="R2484" s="13">
        <v>2411</v>
      </c>
      <c r="S2484" s="13">
        <v>129077407.44317818</v>
      </c>
    </row>
    <row r="2485" spans="18:19" x14ac:dyDescent="0.25">
      <c r="R2485" s="13">
        <v>2412</v>
      </c>
      <c r="S2485" s="13">
        <v>0</v>
      </c>
    </row>
    <row r="2486" spans="18:19" x14ac:dyDescent="0.25">
      <c r="R2486" s="13">
        <v>2413</v>
      </c>
      <c r="S2486" s="13">
        <v>0</v>
      </c>
    </row>
    <row r="2487" spans="18:19" x14ac:dyDescent="0.25">
      <c r="R2487" s="13">
        <v>2414</v>
      </c>
      <c r="S2487" s="13">
        <v>0</v>
      </c>
    </row>
    <row r="2488" spans="18:19" x14ac:dyDescent="0.25">
      <c r="R2488" s="13">
        <v>2415</v>
      </c>
      <c r="S2488" s="13">
        <v>165087190.62864304</v>
      </c>
    </row>
    <row r="2489" spans="18:19" x14ac:dyDescent="0.25">
      <c r="R2489" s="13">
        <v>2416</v>
      </c>
      <c r="S2489" s="13">
        <v>0</v>
      </c>
    </row>
    <row r="2490" spans="18:19" x14ac:dyDescent="0.25">
      <c r="R2490" s="13">
        <v>2417</v>
      </c>
      <c r="S2490" s="13">
        <v>84989126.251535416</v>
      </c>
    </row>
    <row r="2491" spans="18:19" x14ac:dyDescent="0.25">
      <c r="R2491" s="13">
        <v>2418</v>
      </c>
      <c r="S2491" s="13">
        <v>0</v>
      </c>
    </row>
    <row r="2492" spans="18:19" x14ac:dyDescent="0.25">
      <c r="R2492" s="13">
        <v>2419</v>
      </c>
      <c r="S2492" s="13">
        <v>0</v>
      </c>
    </row>
    <row r="2493" spans="18:19" x14ac:dyDescent="0.25">
      <c r="R2493" s="13">
        <v>2420</v>
      </c>
      <c r="S2493" s="13">
        <v>0</v>
      </c>
    </row>
    <row r="2494" spans="18:19" x14ac:dyDescent="0.25">
      <c r="R2494" s="13">
        <v>2421</v>
      </c>
      <c r="S2494" s="13">
        <v>0</v>
      </c>
    </row>
    <row r="2495" spans="18:19" x14ac:dyDescent="0.25">
      <c r="R2495" s="13">
        <v>2422</v>
      </c>
      <c r="S2495" s="13">
        <v>93434674.47741127</v>
      </c>
    </row>
    <row r="2496" spans="18:19" x14ac:dyDescent="0.25">
      <c r="R2496" s="13">
        <v>2423</v>
      </c>
      <c r="S2496" s="13">
        <v>0</v>
      </c>
    </row>
    <row r="2497" spans="18:19" x14ac:dyDescent="0.25">
      <c r="R2497" s="13">
        <v>2424</v>
      </c>
      <c r="S2497" s="13">
        <v>0</v>
      </c>
    </row>
    <row r="2498" spans="18:19" x14ac:dyDescent="0.25">
      <c r="R2498" s="13">
        <v>2425</v>
      </c>
      <c r="S2498" s="13">
        <v>0</v>
      </c>
    </row>
    <row r="2499" spans="18:19" x14ac:dyDescent="0.25">
      <c r="R2499" s="13">
        <v>2426</v>
      </c>
      <c r="S2499" s="13">
        <v>249116894.00936317</v>
      </c>
    </row>
    <row r="2500" spans="18:19" x14ac:dyDescent="0.25">
      <c r="R2500" s="13">
        <v>2427</v>
      </c>
      <c r="S2500" s="13">
        <v>0</v>
      </c>
    </row>
    <row r="2501" spans="18:19" x14ac:dyDescent="0.25">
      <c r="R2501" s="13">
        <v>2428</v>
      </c>
      <c r="S2501" s="13">
        <v>0</v>
      </c>
    </row>
    <row r="2502" spans="18:19" x14ac:dyDescent="0.25">
      <c r="R2502" s="13">
        <v>2429</v>
      </c>
      <c r="S2502" s="13">
        <v>0</v>
      </c>
    </row>
    <row r="2503" spans="18:19" x14ac:dyDescent="0.25">
      <c r="R2503" s="13">
        <v>2430</v>
      </c>
      <c r="S2503" s="13">
        <v>0</v>
      </c>
    </row>
    <row r="2504" spans="18:19" x14ac:dyDescent="0.25">
      <c r="R2504" s="13">
        <v>2431</v>
      </c>
      <c r="S2504" s="13">
        <v>0</v>
      </c>
    </row>
    <row r="2505" spans="18:19" x14ac:dyDescent="0.25">
      <c r="R2505" s="13">
        <v>2432</v>
      </c>
      <c r="S2505" s="13">
        <v>639798454.30211639</v>
      </c>
    </row>
    <row r="2506" spans="18:19" x14ac:dyDescent="0.25">
      <c r="R2506" s="13">
        <v>2433</v>
      </c>
      <c r="S2506" s="13">
        <v>29364113.711284637</v>
      </c>
    </row>
    <row r="2507" spans="18:19" x14ac:dyDescent="0.25">
      <c r="R2507" s="13">
        <v>2434</v>
      </c>
      <c r="S2507" s="13">
        <v>0</v>
      </c>
    </row>
    <row r="2508" spans="18:19" x14ac:dyDescent="0.25">
      <c r="R2508" s="13">
        <v>2435</v>
      </c>
      <c r="S2508" s="13">
        <v>0</v>
      </c>
    </row>
    <row r="2509" spans="18:19" x14ac:dyDescent="0.25">
      <c r="R2509" s="13">
        <v>2436</v>
      </c>
      <c r="S2509" s="13">
        <v>0</v>
      </c>
    </row>
    <row r="2510" spans="18:19" x14ac:dyDescent="0.25">
      <c r="R2510" s="13">
        <v>2437</v>
      </c>
      <c r="S2510" s="13">
        <v>0</v>
      </c>
    </row>
    <row r="2511" spans="18:19" x14ac:dyDescent="0.25">
      <c r="R2511" s="13">
        <v>2438</v>
      </c>
      <c r="S2511" s="13">
        <v>606609909.31454086</v>
      </c>
    </row>
    <row r="2512" spans="18:19" x14ac:dyDescent="0.25">
      <c r="R2512" s="13">
        <v>2439</v>
      </c>
      <c r="S2512" s="13">
        <v>0</v>
      </c>
    </row>
    <row r="2513" spans="18:19" x14ac:dyDescent="0.25">
      <c r="R2513" s="13">
        <v>2440</v>
      </c>
      <c r="S2513" s="13">
        <v>0</v>
      </c>
    </row>
    <row r="2514" spans="18:19" x14ac:dyDescent="0.25">
      <c r="R2514" s="13">
        <v>2441</v>
      </c>
      <c r="S2514" s="13">
        <v>0</v>
      </c>
    </row>
    <row r="2515" spans="18:19" x14ac:dyDescent="0.25">
      <c r="R2515" s="13">
        <v>2442</v>
      </c>
      <c r="S2515" s="13">
        <v>0</v>
      </c>
    </row>
    <row r="2516" spans="18:19" x14ac:dyDescent="0.25">
      <c r="R2516" s="13">
        <v>2443</v>
      </c>
      <c r="S2516" s="13">
        <v>225864380.77498245</v>
      </c>
    </row>
    <row r="2517" spans="18:19" x14ac:dyDescent="0.25">
      <c r="R2517" s="13">
        <v>2444</v>
      </c>
      <c r="S2517" s="13">
        <v>0</v>
      </c>
    </row>
    <row r="2518" spans="18:19" x14ac:dyDescent="0.25">
      <c r="R2518" s="13">
        <v>2445</v>
      </c>
      <c r="S2518" s="13">
        <v>0</v>
      </c>
    </row>
    <row r="2519" spans="18:19" x14ac:dyDescent="0.25">
      <c r="R2519" s="13">
        <v>2446</v>
      </c>
      <c r="S2519" s="13">
        <v>875587490.19993591</v>
      </c>
    </row>
    <row r="2520" spans="18:19" x14ac:dyDescent="0.25">
      <c r="R2520" s="13">
        <v>2447</v>
      </c>
      <c r="S2520" s="13">
        <v>0</v>
      </c>
    </row>
    <row r="2521" spans="18:19" x14ac:dyDescent="0.25">
      <c r="R2521" s="13">
        <v>2448</v>
      </c>
      <c r="S2521" s="13">
        <v>0</v>
      </c>
    </row>
    <row r="2522" spans="18:19" x14ac:dyDescent="0.25">
      <c r="R2522" s="13">
        <v>2449</v>
      </c>
      <c r="S2522" s="13">
        <v>83363229.430454254</v>
      </c>
    </row>
    <row r="2523" spans="18:19" x14ac:dyDescent="0.25">
      <c r="R2523" s="13">
        <v>2450</v>
      </c>
      <c r="S2523" s="13">
        <v>0</v>
      </c>
    </row>
    <row r="2524" spans="18:19" x14ac:dyDescent="0.25">
      <c r="R2524" s="13">
        <v>2451</v>
      </c>
      <c r="S2524" s="13">
        <v>0</v>
      </c>
    </row>
    <row r="2525" spans="18:19" x14ac:dyDescent="0.25">
      <c r="R2525" s="13">
        <v>2452</v>
      </c>
      <c r="S2525" s="13">
        <v>0</v>
      </c>
    </row>
    <row r="2526" spans="18:19" x14ac:dyDescent="0.25">
      <c r="R2526" s="13">
        <v>2453</v>
      </c>
      <c r="S2526" s="13">
        <v>0</v>
      </c>
    </row>
    <row r="2527" spans="18:19" x14ac:dyDescent="0.25">
      <c r="R2527" s="13">
        <v>2454</v>
      </c>
      <c r="S2527" s="13">
        <v>0</v>
      </c>
    </row>
    <row r="2528" spans="18:19" x14ac:dyDescent="0.25">
      <c r="R2528" s="13">
        <v>2455</v>
      </c>
      <c r="S2528" s="13">
        <v>0</v>
      </c>
    </row>
    <row r="2529" spans="18:19" x14ac:dyDescent="0.25">
      <c r="R2529" s="13">
        <v>2456</v>
      </c>
      <c r="S2529" s="13">
        <v>0</v>
      </c>
    </row>
    <row r="2530" spans="18:19" x14ac:dyDescent="0.25">
      <c r="R2530" s="13">
        <v>2457</v>
      </c>
      <c r="S2530" s="13">
        <v>0</v>
      </c>
    </row>
    <row r="2531" spans="18:19" x14ac:dyDescent="0.25">
      <c r="R2531" s="13">
        <v>2458</v>
      </c>
      <c r="S2531" s="13">
        <v>0</v>
      </c>
    </row>
    <row r="2532" spans="18:19" x14ac:dyDescent="0.25">
      <c r="R2532" s="13">
        <v>2459</v>
      </c>
      <c r="S2532" s="13">
        <v>0</v>
      </c>
    </row>
    <row r="2533" spans="18:19" x14ac:dyDescent="0.25">
      <c r="R2533" s="13">
        <v>2460</v>
      </c>
      <c r="S2533" s="13">
        <v>0</v>
      </c>
    </row>
    <row r="2534" spans="18:19" x14ac:dyDescent="0.25">
      <c r="R2534" s="13">
        <v>2461</v>
      </c>
      <c r="S2534" s="13">
        <v>0</v>
      </c>
    </row>
    <row r="2535" spans="18:19" x14ac:dyDescent="0.25">
      <c r="R2535" s="13">
        <v>2462</v>
      </c>
      <c r="S2535" s="13">
        <v>0</v>
      </c>
    </row>
    <row r="2536" spans="18:19" x14ac:dyDescent="0.25">
      <c r="R2536" s="13">
        <v>2463</v>
      </c>
      <c r="S2536" s="13">
        <v>0</v>
      </c>
    </row>
    <row r="2537" spans="18:19" x14ac:dyDescent="0.25">
      <c r="R2537" s="13">
        <v>2464</v>
      </c>
      <c r="S2537" s="13">
        <v>0</v>
      </c>
    </row>
    <row r="2538" spans="18:19" x14ac:dyDescent="0.25">
      <c r="R2538" s="13">
        <v>2465</v>
      </c>
      <c r="S2538" s="13">
        <v>0</v>
      </c>
    </row>
    <row r="2539" spans="18:19" x14ac:dyDescent="0.25">
      <c r="R2539" s="13">
        <v>2466</v>
      </c>
      <c r="S2539" s="13">
        <v>0</v>
      </c>
    </row>
    <row r="2540" spans="18:19" x14ac:dyDescent="0.25">
      <c r="R2540" s="13">
        <v>2467</v>
      </c>
      <c r="S2540" s="13">
        <v>0</v>
      </c>
    </row>
    <row r="2541" spans="18:19" x14ac:dyDescent="0.25">
      <c r="R2541" s="13">
        <v>2468</v>
      </c>
      <c r="S2541" s="13">
        <v>0</v>
      </c>
    </row>
    <row r="2542" spans="18:19" x14ac:dyDescent="0.25">
      <c r="R2542" s="13">
        <v>2469</v>
      </c>
      <c r="S2542" s="13">
        <v>52074078.231388092</v>
      </c>
    </row>
    <row r="2543" spans="18:19" x14ac:dyDescent="0.25">
      <c r="R2543" s="13">
        <v>2470</v>
      </c>
      <c r="S2543" s="13">
        <v>0</v>
      </c>
    </row>
    <row r="2544" spans="18:19" x14ac:dyDescent="0.25">
      <c r="R2544" s="13">
        <v>2471</v>
      </c>
      <c r="S2544" s="13">
        <v>0</v>
      </c>
    </row>
    <row r="2545" spans="18:19" x14ac:dyDescent="0.25">
      <c r="R2545" s="13">
        <v>2472</v>
      </c>
      <c r="S2545" s="13">
        <v>0</v>
      </c>
    </row>
    <row r="2546" spans="18:19" x14ac:dyDescent="0.25">
      <c r="R2546" s="13">
        <v>2473</v>
      </c>
      <c r="S2546" s="13">
        <v>699283757.96622086</v>
      </c>
    </row>
    <row r="2547" spans="18:19" x14ac:dyDescent="0.25">
      <c r="R2547" s="13">
        <v>2474</v>
      </c>
      <c r="S2547" s="13">
        <v>0</v>
      </c>
    </row>
    <row r="2548" spans="18:19" x14ac:dyDescent="0.25">
      <c r="R2548" s="13">
        <v>2475</v>
      </c>
      <c r="S2548" s="13">
        <v>0</v>
      </c>
    </row>
    <row r="2549" spans="18:19" x14ac:dyDescent="0.25">
      <c r="R2549" s="13">
        <v>2476</v>
      </c>
      <c r="S2549" s="13">
        <v>0</v>
      </c>
    </row>
    <row r="2550" spans="18:19" x14ac:dyDescent="0.25">
      <c r="R2550" s="13">
        <v>2477</v>
      </c>
      <c r="S2550" s="13">
        <v>0</v>
      </c>
    </row>
    <row r="2551" spans="18:19" x14ac:dyDescent="0.25">
      <c r="R2551" s="13">
        <v>2478</v>
      </c>
      <c r="S2551" s="13">
        <v>0</v>
      </c>
    </row>
    <row r="2552" spans="18:19" x14ac:dyDescent="0.25">
      <c r="R2552" s="13">
        <v>2479</v>
      </c>
      <c r="S2552" s="13">
        <v>0</v>
      </c>
    </row>
    <row r="2553" spans="18:19" x14ac:dyDescent="0.25">
      <c r="R2553" s="13">
        <v>2480</v>
      </c>
      <c r="S2553" s="13">
        <v>0</v>
      </c>
    </row>
    <row r="2554" spans="18:19" x14ac:dyDescent="0.25">
      <c r="R2554" s="13">
        <v>2481</v>
      </c>
      <c r="S2554" s="13">
        <v>0</v>
      </c>
    </row>
    <row r="2555" spans="18:19" x14ac:dyDescent="0.25">
      <c r="R2555" s="13">
        <v>2482</v>
      </c>
      <c r="S2555" s="13">
        <v>0</v>
      </c>
    </row>
    <row r="2556" spans="18:19" x14ac:dyDescent="0.25">
      <c r="R2556" s="13">
        <v>2483</v>
      </c>
      <c r="S2556" s="13">
        <v>0</v>
      </c>
    </row>
    <row r="2557" spans="18:19" x14ac:dyDescent="0.25">
      <c r="R2557" s="13">
        <v>2484</v>
      </c>
      <c r="S2557" s="13">
        <v>0</v>
      </c>
    </row>
    <row r="2558" spans="18:19" x14ac:dyDescent="0.25">
      <c r="R2558" s="13">
        <v>2485</v>
      </c>
      <c r="S2558" s="13">
        <v>0</v>
      </c>
    </row>
    <row r="2559" spans="18:19" x14ac:dyDescent="0.25">
      <c r="R2559" s="13">
        <v>2486</v>
      </c>
      <c r="S2559" s="13">
        <v>0</v>
      </c>
    </row>
    <row r="2560" spans="18:19" x14ac:dyDescent="0.25">
      <c r="R2560" s="13">
        <v>2487</v>
      </c>
      <c r="S2560" s="13">
        <v>0</v>
      </c>
    </row>
    <row r="2561" spans="18:19" x14ac:dyDescent="0.25">
      <c r="R2561" s="13">
        <v>2488</v>
      </c>
      <c r="S2561" s="13">
        <v>0</v>
      </c>
    </row>
    <row r="2562" spans="18:19" x14ac:dyDescent="0.25">
      <c r="R2562" s="13">
        <v>2489</v>
      </c>
      <c r="S2562" s="13">
        <v>0</v>
      </c>
    </row>
    <row r="2563" spans="18:19" x14ac:dyDescent="0.25">
      <c r="R2563" s="13">
        <v>2490</v>
      </c>
      <c r="S2563" s="13">
        <v>0</v>
      </c>
    </row>
    <row r="2564" spans="18:19" x14ac:dyDescent="0.25">
      <c r="R2564" s="13">
        <v>2491</v>
      </c>
      <c r="S2564" s="13">
        <v>0</v>
      </c>
    </row>
    <row r="2565" spans="18:19" x14ac:dyDescent="0.25">
      <c r="R2565" s="13">
        <v>2492</v>
      </c>
      <c r="S2565" s="13">
        <v>0</v>
      </c>
    </row>
    <row r="2566" spans="18:19" x14ac:dyDescent="0.25">
      <c r="R2566" s="13">
        <v>2493</v>
      </c>
      <c r="S2566" s="13">
        <v>113520020.64827728</v>
      </c>
    </row>
    <row r="2567" spans="18:19" x14ac:dyDescent="0.25">
      <c r="R2567" s="13">
        <v>2494</v>
      </c>
      <c r="S2567" s="13">
        <v>0</v>
      </c>
    </row>
    <row r="2568" spans="18:19" x14ac:dyDescent="0.25">
      <c r="R2568" s="13">
        <v>2495</v>
      </c>
      <c r="S2568" s="13">
        <v>0</v>
      </c>
    </row>
    <row r="2569" spans="18:19" x14ac:dyDescent="0.25">
      <c r="R2569" s="13">
        <v>2496</v>
      </c>
      <c r="S2569" s="13">
        <v>390444039.35936737</v>
      </c>
    </row>
    <row r="2570" spans="18:19" x14ac:dyDescent="0.25">
      <c r="R2570" s="13">
        <v>2497</v>
      </c>
      <c r="S2570" s="13">
        <v>0</v>
      </c>
    </row>
    <row r="2571" spans="18:19" x14ac:dyDescent="0.25">
      <c r="R2571" s="13">
        <v>2498</v>
      </c>
      <c r="S2571" s="13">
        <v>0</v>
      </c>
    </row>
    <row r="2572" spans="18:19" x14ac:dyDescent="0.25">
      <c r="R2572" s="13">
        <v>2499</v>
      </c>
      <c r="S2572" s="13">
        <v>176845538.6172142</v>
      </c>
    </row>
    <row r="2573" spans="18:19" x14ac:dyDescent="0.25">
      <c r="R2573" s="13">
        <v>2500</v>
      </c>
      <c r="S2573" s="13">
        <v>281554128.17191887</v>
      </c>
    </row>
    <row r="2574" spans="18:19" x14ac:dyDescent="0.25">
      <c r="R2574" s="13">
        <v>2501</v>
      </c>
      <c r="S2574" s="13">
        <v>0</v>
      </c>
    </row>
    <row r="2575" spans="18:19" x14ac:dyDescent="0.25">
      <c r="R2575" s="13">
        <v>2502</v>
      </c>
      <c r="S2575" s="13">
        <v>0</v>
      </c>
    </row>
    <row r="2576" spans="18:19" x14ac:dyDescent="0.25">
      <c r="R2576" s="13">
        <v>2503</v>
      </c>
      <c r="S2576" s="13">
        <v>0</v>
      </c>
    </row>
    <row r="2577" spans="18:19" x14ac:dyDescent="0.25">
      <c r="R2577" s="13">
        <v>2504</v>
      </c>
      <c r="S2577" s="13">
        <v>0</v>
      </c>
    </row>
    <row r="2578" spans="18:19" x14ac:dyDescent="0.25">
      <c r="R2578" s="13">
        <v>2505</v>
      </c>
      <c r="S2578" s="13">
        <v>0</v>
      </c>
    </row>
    <row r="2579" spans="18:19" x14ac:dyDescent="0.25">
      <c r="R2579" s="13">
        <v>2506</v>
      </c>
      <c r="S2579" s="13">
        <v>0</v>
      </c>
    </row>
    <row r="2580" spans="18:19" x14ac:dyDescent="0.25">
      <c r="R2580" s="13">
        <v>2507</v>
      </c>
      <c r="S2580" s="13">
        <v>0</v>
      </c>
    </row>
    <row r="2581" spans="18:19" x14ac:dyDescent="0.25">
      <c r="R2581" s="13">
        <v>2508</v>
      </c>
      <c r="S2581" s="13">
        <v>439098232.66577339</v>
      </c>
    </row>
    <row r="2582" spans="18:19" x14ac:dyDescent="0.25">
      <c r="R2582" s="13">
        <v>2509</v>
      </c>
      <c r="S2582" s="13">
        <v>0</v>
      </c>
    </row>
    <row r="2583" spans="18:19" x14ac:dyDescent="0.25">
      <c r="R2583" s="13">
        <v>2510</v>
      </c>
      <c r="S2583" s="13">
        <v>0</v>
      </c>
    </row>
    <row r="2584" spans="18:19" x14ac:dyDescent="0.25">
      <c r="R2584" s="13">
        <v>2511</v>
      </c>
      <c r="S2584" s="13">
        <v>0</v>
      </c>
    </row>
    <row r="2585" spans="18:19" x14ac:dyDescent="0.25">
      <c r="R2585" s="13">
        <v>2512</v>
      </c>
      <c r="S2585" s="13">
        <v>0</v>
      </c>
    </row>
    <row r="2586" spans="18:19" x14ac:dyDescent="0.25">
      <c r="R2586" s="13">
        <v>2513</v>
      </c>
      <c r="S2586" s="13">
        <v>112761651.22025108</v>
      </c>
    </row>
    <row r="2587" spans="18:19" x14ac:dyDescent="0.25">
      <c r="R2587" s="13">
        <v>2514</v>
      </c>
      <c r="S2587" s="13">
        <v>0</v>
      </c>
    </row>
    <row r="2588" spans="18:19" x14ac:dyDescent="0.25">
      <c r="R2588" s="13">
        <v>2515</v>
      </c>
      <c r="S2588" s="13">
        <v>0</v>
      </c>
    </row>
    <row r="2589" spans="18:19" x14ac:dyDescent="0.25">
      <c r="R2589" s="13">
        <v>2516</v>
      </c>
      <c r="S2589" s="13">
        <v>0</v>
      </c>
    </row>
    <row r="2590" spans="18:19" x14ac:dyDescent="0.25">
      <c r="R2590" s="13">
        <v>2517</v>
      </c>
      <c r="S2590" s="13">
        <v>0</v>
      </c>
    </row>
    <row r="2591" spans="18:19" x14ac:dyDescent="0.25">
      <c r="R2591" s="13">
        <v>2518</v>
      </c>
      <c r="S2591" s="13">
        <v>0</v>
      </c>
    </row>
    <row r="2592" spans="18:19" x14ac:dyDescent="0.25">
      <c r="R2592" s="13">
        <v>2519</v>
      </c>
      <c r="S2592" s="13">
        <v>0</v>
      </c>
    </row>
    <row r="2593" spans="18:19" x14ac:dyDescent="0.25">
      <c r="R2593" s="13">
        <v>2520</v>
      </c>
      <c r="S2593" s="13">
        <v>527346684.35104752</v>
      </c>
    </row>
    <row r="2594" spans="18:19" x14ac:dyDescent="0.25">
      <c r="R2594" s="13">
        <v>2521</v>
      </c>
      <c r="S2594" s="13">
        <v>424109069.87018013</v>
      </c>
    </row>
    <row r="2595" spans="18:19" x14ac:dyDescent="0.25">
      <c r="R2595" s="13">
        <v>2522</v>
      </c>
      <c r="S2595" s="13">
        <v>0</v>
      </c>
    </row>
    <row r="2596" spans="18:19" x14ac:dyDescent="0.25">
      <c r="R2596" s="13">
        <v>2523</v>
      </c>
      <c r="S2596" s="13">
        <v>126841339.79169083</v>
      </c>
    </row>
    <row r="2597" spans="18:19" x14ac:dyDescent="0.25">
      <c r="R2597" s="13">
        <v>2524</v>
      </c>
      <c r="S2597" s="13">
        <v>221981957.63840675</v>
      </c>
    </row>
    <row r="2598" spans="18:19" x14ac:dyDescent="0.25">
      <c r="R2598" s="13">
        <v>2525</v>
      </c>
      <c r="S2598" s="13">
        <v>0</v>
      </c>
    </row>
    <row r="2599" spans="18:19" x14ac:dyDescent="0.25">
      <c r="R2599" s="13">
        <v>2526</v>
      </c>
      <c r="S2599" s="13">
        <v>0</v>
      </c>
    </row>
    <row r="2600" spans="18:19" x14ac:dyDescent="0.25">
      <c r="R2600" s="13">
        <v>2527</v>
      </c>
      <c r="S2600" s="13">
        <v>0</v>
      </c>
    </row>
    <row r="2601" spans="18:19" x14ac:dyDescent="0.25">
      <c r="R2601" s="13">
        <v>2528</v>
      </c>
      <c r="S2601" s="13">
        <v>378765346.61167908</v>
      </c>
    </row>
    <row r="2602" spans="18:19" x14ac:dyDescent="0.25">
      <c r="R2602" s="13">
        <v>2529</v>
      </c>
      <c r="S2602" s="13">
        <v>0</v>
      </c>
    </row>
    <row r="2603" spans="18:19" x14ac:dyDescent="0.25">
      <c r="R2603" s="13">
        <v>2530</v>
      </c>
      <c r="S2603" s="13">
        <v>0</v>
      </c>
    </row>
    <row r="2604" spans="18:19" x14ac:dyDescent="0.25">
      <c r="R2604" s="13">
        <v>2531</v>
      </c>
      <c r="S2604" s="13">
        <v>0</v>
      </c>
    </row>
    <row r="2605" spans="18:19" x14ac:dyDescent="0.25">
      <c r="R2605" s="13">
        <v>2532</v>
      </c>
      <c r="S2605" s="13">
        <v>0</v>
      </c>
    </row>
    <row r="2606" spans="18:19" x14ac:dyDescent="0.25">
      <c r="R2606" s="13">
        <v>2533</v>
      </c>
      <c r="S2606" s="13">
        <v>74026806.673360825</v>
      </c>
    </row>
    <row r="2607" spans="18:19" x14ac:dyDescent="0.25">
      <c r="R2607" s="13">
        <v>2534</v>
      </c>
      <c r="S2607" s="13">
        <v>0</v>
      </c>
    </row>
    <row r="2608" spans="18:19" x14ac:dyDescent="0.25">
      <c r="R2608" s="13">
        <v>2535</v>
      </c>
      <c r="S2608" s="13">
        <v>0</v>
      </c>
    </row>
    <row r="2609" spans="18:19" x14ac:dyDescent="0.25">
      <c r="R2609" s="13">
        <v>2536</v>
      </c>
      <c r="S2609" s="13">
        <v>0</v>
      </c>
    </row>
    <row r="2610" spans="18:19" x14ac:dyDescent="0.25">
      <c r="R2610" s="13">
        <v>2537</v>
      </c>
      <c r="S2610" s="13">
        <v>0</v>
      </c>
    </row>
    <row r="2611" spans="18:19" x14ac:dyDescent="0.25">
      <c r="R2611" s="13">
        <v>2538</v>
      </c>
      <c r="S2611" s="13">
        <v>0</v>
      </c>
    </row>
    <row r="2612" spans="18:19" x14ac:dyDescent="0.25">
      <c r="R2612" s="13">
        <v>2539</v>
      </c>
      <c r="S2612" s="13">
        <v>0</v>
      </c>
    </row>
    <row r="2613" spans="18:19" x14ac:dyDescent="0.25">
      <c r="R2613" s="13">
        <v>2540</v>
      </c>
      <c r="S2613" s="13">
        <v>0</v>
      </c>
    </row>
    <row r="2614" spans="18:19" x14ac:dyDescent="0.25">
      <c r="R2614" s="13">
        <v>2541</v>
      </c>
      <c r="S2614" s="13">
        <v>0</v>
      </c>
    </row>
    <row r="2615" spans="18:19" x14ac:dyDescent="0.25">
      <c r="R2615" s="13">
        <v>2542</v>
      </c>
      <c r="S2615" s="13">
        <v>0</v>
      </c>
    </row>
    <row r="2616" spans="18:19" x14ac:dyDescent="0.25">
      <c r="R2616" s="13">
        <v>2543</v>
      </c>
      <c r="S2616" s="13">
        <v>0</v>
      </c>
    </row>
    <row r="2617" spans="18:19" x14ac:dyDescent="0.25">
      <c r="R2617" s="13">
        <v>2544</v>
      </c>
      <c r="S2617" s="13">
        <v>303522442.70434952</v>
      </c>
    </row>
    <row r="2618" spans="18:19" x14ac:dyDescent="0.25">
      <c r="R2618" s="13">
        <v>2545</v>
      </c>
      <c r="S2618" s="13">
        <v>0</v>
      </c>
    </row>
    <row r="2619" spans="18:19" x14ac:dyDescent="0.25">
      <c r="R2619" s="13">
        <v>2546</v>
      </c>
      <c r="S2619" s="13">
        <v>0</v>
      </c>
    </row>
    <row r="2620" spans="18:19" x14ac:dyDescent="0.25">
      <c r="R2620" s="13">
        <v>2547</v>
      </c>
      <c r="S2620" s="13">
        <v>0</v>
      </c>
    </row>
    <row r="2621" spans="18:19" x14ac:dyDescent="0.25">
      <c r="R2621" s="13">
        <v>2548</v>
      </c>
      <c r="S2621" s="13">
        <v>0</v>
      </c>
    </row>
    <row r="2622" spans="18:19" x14ac:dyDescent="0.25">
      <c r="R2622" s="13">
        <v>2549</v>
      </c>
      <c r="S2622" s="13">
        <v>0</v>
      </c>
    </row>
    <row r="2623" spans="18:19" x14ac:dyDescent="0.25">
      <c r="R2623" s="13">
        <v>2550</v>
      </c>
      <c r="S2623" s="13">
        <v>0</v>
      </c>
    </row>
    <row r="2624" spans="18:19" x14ac:dyDescent="0.25">
      <c r="R2624" s="13">
        <v>2551</v>
      </c>
      <c r="S2624" s="13">
        <v>327419754.04417419</v>
      </c>
    </row>
    <row r="2625" spans="18:19" x14ac:dyDescent="0.25">
      <c r="R2625" s="13">
        <v>2552</v>
      </c>
      <c r="S2625" s="13">
        <v>0</v>
      </c>
    </row>
    <row r="2626" spans="18:19" x14ac:dyDescent="0.25">
      <c r="R2626" s="13">
        <v>2553</v>
      </c>
      <c r="S2626" s="13">
        <v>0</v>
      </c>
    </row>
    <row r="2627" spans="18:19" x14ac:dyDescent="0.25">
      <c r="R2627" s="13">
        <v>2554</v>
      </c>
      <c r="S2627" s="13">
        <v>0</v>
      </c>
    </row>
    <row r="2628" spans="18:19" x14ac:dyDescent="0.25">
      <c r="R2628" s="13">
        <v>2555</v>
      </c>
      <c r="S2628" s="13">
        <v>0</v>
      </c>
    </row>
    <row r="2629" spans="18:19" x14ac:dyDescent="0.25">
      <c r="R2629" s="13">
        <v>2556</v>
      </c>
      <c r="S2629" s="13">
        <v>0</v>
      </c>
    </row>
    <row r="2630" spans="18:19" x14ac:dyDescent="0.25">
      <c r="R2630" s="13">
        <v>2557</v>
      </c>
      <c r="S2630" s="13">
        <v>0</v>
      </c>
    </row>
    <row r="2631" spans="18:19" x14ac:dyDescent="0.25">
      <c r="R2631" s="13">
        <v>2558</v>
      </c>
      <c r="S2631" s="13">
        <v>0</v>
      </c>
    </row>
    <row r="2632" spans="18:19" x14ac:dyDescent="0.25">
      <c r="R2632" s="13">
        <v>2559</v>
      </c>
      <c r="S2632" s="13">
        <v>250856713.18158722</v>
      </c>
    </row>
    <row r="2633" spans="18:19" x14ac:dyDescent="0.25">
      <c r="R2633" s="13">
        <v>2560</v>
      </c>
      <c r="S2633" s="13">
        <v>297439117.05534363</v>
      </c>
    </row>
    <row r="2634" spans="18:19" x14ac:dyDescent="0.25">
      <c r="R2634" s="13">
        <v>2561</v>
      </c>
      <c r="S2634" s="13">
        <v>0</v>
      </c>
    </row>
    <row r="2635" spans="18:19" x14ac:dyDescent="0.25">
      <c r="R2635" s="13">
        <v>2562</v>
      </c>
      <c r="S2635" s="13">
        <v>266348464.09363937</v>
      </c>
    </row>
    <row r="2636" spans="18:19" x14ac:dyDescent="0.25">
      <c r="R2636" s="13">
        <v>2563</v>
      </c>
      <c r="S2636" s="13">
        <v>0</v>
      </c>
    </row>
    <row r="2637" spans="18:19" x14ac:dyDescent="0.25">
      <c r="R2637" s="13">
        <v>2564</v>
      </c>
      <c r="S2637" s="13">
        <v>0</v>
      </c>
    </row>
    <row r="2638" spans="18:19" x14ac:dyDescent="0.25">
      <c r="R2638" s="13">
        <v>2565</v>
      </c>
      <c r="S2638" s="13">
        <v>0</v>
      </c>
    </row>
    <row r="2639" spans="18:19" x14ac:dyDescent="0.25">
      <c r="R2639" s="13">
        <v>2566</v>
      </c>
      <c r="S2639" s="13">
        <v>0</v>
      </c>
    </row>
    <row r="2640" spans="18:19" x14ac:dyDescent="0.25">
      <c r="R2640" s="13">
        <v>2567</v>
      </c>
      <c r="S2640" s="13">
        <v>0</v>
      </c>
    </row>
    <row r="2641" spans="18:19" x14ac:dyDescent="0.25">
      <c r="R2641" s="13">
        <v>2568</v>
      </c>
      <c r="S2641" s="13">
        <v>0</v>
      </c>
    </row>
    <row r="2642" spans="18:19" x14ac:dyDescent="0.25">
      <c r="R2642" s="13">
        <v>2569</v>
      </c>
      <c r="S2642" s="13">
        <v>0</v>
      </c>
    </row>
    <row r="2643" spans="18:19" x14ac:dyDescent="0.25">
      <c r="R2643" s="13">
        <v>2570</v>
      </c>
      <c r="S2643" s="13">
        <v>0</v>
      </c>
    </row>
    <row r="2644" spans="18:19" x14ac:dyDescent="0.25">
      <c r="R2644" s="13">
        <v>2571</v>
      </c>
      <c r="S2644" s="13">
        <v>0</v>
      </c>
    </row>
    <row r="2645" spans="18:19" x14ac:dyDescent="0.25">
      <c r="R2645" s="13">
        <v>2572</v>
      </c>
      <c r="S2645" s="13">
        <v>0</v>
      </c>
    </row>
    <row r="2646" spans="18:19" x14ac:dyDescent="0.25">
      <c r="R2646" s="13">
        <v>2573</v>
      </c>
      <c r="S2646" s="13">
        <v>0</v>
      </c>
    </row>
    <row r="2647" spans="18:19" x14ac:dyDescent="0.25">
      <c r="R2647" s="13">
        <v>2574</v>
      </c>
      <c r="S2647" s="13">
        <v>0</v>
      </c>
    </row>
    <row r="2648" spans="18:19" x14ac:dyDescent="0.25">
      <c r="R2648" s="13">
        <v>2575</v>
      </c>
      <c r="S2648" s="13">
        <v>0</v>
      </c>
    </row>
    <row r="2649" spans="18:19" x14ac:dyDescent="0.25">
      <c r="R2649" s="13">
        <v>2576</v>
      </c>
      <c r="S2649" s="13">
        <v>650005489.85054779</v>
      </c>
    </row>
    <row r="2650" spans="18:19" x14ac:dyDescent="0.25">
      <c r="R2650" s="13">
        <v>2577</v>
      </c>
      <c r="S2650" s="13">
        <v>0</v>
      </c>
    </row>
    <row r="2651" spans="18:19" x14ac:dyDescent="0.25">
      <c r="R2651" s="13">
        <v>2578</v>
      </c>
      <c r="S2651" s="13">
        <v>0</v>
      </c>
    </row>
    <row r="2652" spans="18:19" x14ac:dyDescent="0.25">
      <c r="R2652" s="13">
        <v>2579</v>
      </c>
      <c r="S2652" s="13">
        <v>0</v>
      </c>
    </row>
    <row r="2653" spans="18:19" x14ac:dyDescent="0.25">
      <c r="R2653" s="13">
        <v>2580</v>
      </c>
      <c r="S2653" s="13">
        <v>0</v>
      </c>
    </row>
    <row r="2654" spans="18:19" x14ac:dyDescent="0.25">
      <c r="R2654" s="13">
        <v>2581</v>
      </c>
      <c r="S2654" s="13">
        <v>85980781.587722778</v>
      </c>
    </row>
    <row r="2655" spans="18:19" x14ac:dyDescent="0.25">
      <c r="R2655" s="13">
        <v>2582</v>
      </c>
      <c r="S2655" s="13">
        <v>0</v>
      </c>
    </row>
    <row r="2656" spans="18:19" x14ac:dyDescent="0.25">
      <c r="R2656" s="13">
        <v>2583</v>
      </c>
      <c r="S2656" s="13">
        <v>0</v>
      </c>
    </row>
    <row r="2657" spans="18:19" x14ac:dyDescent="0.25">
      <c r="R2657" s="13">
        <v>2584</v>
      </c>
      <c r="S2657" s="13">
        <v>0</v>
      </c>
    </row>
    <row r="2658" spans="18:19" x14ac:dyDescent="0.25">
      <c r="R2658" s="13">
        <v>2585</v>
      </c>
      <c r="S2658" s="13">
        <v>0</v>
      </c>
    </row>
    <row r="2659" spans="18:19" x14ac:dyDescent="0.25">
      <c r="R2659" s="13">
        <v>2586</v>
      </c>
      <c r="S2659" s="13">
        <v>131614959.08421135</v>
      </c>
    </row>
    <row r="2660" spans="18:19" x14ac:dyDescent="0.25">
      <c r="R2660" s="13">
        <v>2587</v>
      </c>
      <c r="S2660" s="13">
        <v>0</v>
      </c>
    </row>
    <row r="2661" spans="18:19" x14ac:dyDescent="0.25">
      <c r="R2661" s="13">
        <v>2588</v>
      </c>
      <c r="S2661" s="13">
        <v>0</v>
      </c>
    </row>
    <row r="2662" spans="18:19" x14ac:dyDescent="0.25">
      <c r="R2662" s="13">
        <v>2589</v>
      </c>
      <c r="S2662" s="13">
        <v>0</v>
      </c>
    </row>
    <row r="2663" spans="18:19" x14ac:dyDescent="0.25">
      <c r="R2663" s="13">
        <v>2590</v>
      </c>
      <c r="S2663" s="13">
        <v>0</v>
      </c>
    </row>
    <row r="2664" spans="18:19" x14ac:dyDescent="0.25">
      <c r="R2664" s="13">
        <v>2591</v>
      </c>
      <c r="S2664" s="13">
        <v>0</v>
      </c>
    </row>
    <row r="2665" spans="18:19" x14ac:dyDescent="0.25">
      <c r="R2665" s="13">
        <v>2592</v>
      </c>
      <c r="S2665" s="13">
        <v>0</v>
      </c>
    </row>
    <row r="2666" spans="18:19" x14ac:dyDescent="0.25">
      <c r="R2666" s="13">
        <v>2593</v>
      </c>
      <c r="S2666" s="13">
        <v>501083572.35766411</v>
      </c>
    </row>
    <row r="2667" spans="18:19" x14ac:dyDescent="0.25">
      <c r="R2667" s="13">
        <v>2594</v>
      </c>
      <c r="S2667" s="13">
        <v>0</v>
      </c>
    </row>
    <row r="2668" spans="18:19" x14ac:dyDescent="0.25">
      <c r="R2668" s="13">
        <v>2595</v>
      </c>
      <c r="S2668" s="13">
        <v>269452901.72354698</v>
      </c>
    </row>
    <row r="2669" spans="18:19" x14ac:dyDescent="0.25">
      <c r="R2669" s="13">
        <v>2596</v>
      </c>
      <c r="S2669" s="13">
        <v>0</v>
      </c>
    </row>
    <row r="2670" spans="18:19" x14ac:dyDescent="0.25">
      <c r="R2670" s="13">
        <v>2597</v>
      </c>
      <c r="S2670" s="13">
        <v>0</v>
      </c>
    </row>
    <row r="2671" spans="18:19" x14ac:dyDescent="0.25">
      <c r="R2671" s="13">
        <v>2598</v>
      </c>
      <c r="S2671" s="13">
        <v>0</v>
      </c>
    </row>
    <row r="2672" spans="18:19" x14ac:dyDescent="0.25">
      <c r="R2672" s="13">
        <v>2599</v>
      </c>
      <c r="S2672" s="13">
        <v>0</v>
      </c>
    </row>
    <row r="2673" spans="18:19" x14ac:dyDescent="0.25">
      <c r="R2673" s="13">
        <v>2600</v>
      </c>
      <c r="S2673" s="13">
        <v>0</v>
      </c>
    </row>
    <row r="2674" spans="18:19" x14ac:dyDescent="0.25">
      <c r="R2674" s="13">
        <v>2601</v>
      </c>
      <c r="S2674" s="13">
        <v>394014347.61766815</v>
      </c>
    </row>
    <row r="2675" spans="18:19" x14ac:dyDescent="0.25">
      <c r="R2675" s="13">
        <v>2602</v>
      </c>
      <c r="S2675" s="13">
        <v>0</v>
      </c>
    </row>
    <row r="2676" spans="18:19" x14ac:dyDescent="0.25">
      <c r="R2676" s="13">
        <v>2603</v>
      </c>
      <c r="S2676" s="13">
        <v>0</v>
      </c>
    </row>
    <row r="2677" spans="18:19" x14ac:dyDescent="0.25">
      <c r="R2677" s="13">
        <v>2604</v>
      </c>
      <c r="S2677" s="13">
        <v>0</v>
      </c>
    </row>
    <row r="2678" spans="18:19" x14ac:dyDescent="0.25">
      <c r="R2678" s="13">
        <v>2605</v>
      </c>
      <c r="S2678" s="13">
        <v>0</v>
      </c>
    </row>
    <row r="2679" spans="18:19" x14ac:dyDescent="0.25">
      <c r="R2679" s="13">
        <v>2606</v>
      </c>
      <c r="S2679" s="13">
        <v>420553244.46017647</v>
      </c>
    </row>
    <row r="2680" spans="18:19" x14ac:dyDescent="0.25">
      <c r="R2680" s="13">
        <v>2607</v>
      </c>
      <c r="S2680" s="13">
        <v>0</v>
      </c>
    </row>
    <row r="2681" spans="18:19" x14ac:dyDescent="0.25">
      <c r="R2681" s="13">
        <v>2608</v>
      </c>
      <c r="S2681" s="13">
        <v>922811383.86044121</v>
      </c>
    </row>
    <row r="2682" spans="18:19" x14ac:dyDescent="0.25">
      <c r="R2682" s="13">
        <v>2609</v>
      </c>
      <c r="S2682" s="13">
        <v>483822558.14606667</v>
      </c>
    </row>
    <row r="2683" spans="18:19" x14ac:dyDescent="0.25">
      <c r="R2683" s="13">
        <v>2610</v>
      </c>
      <c r="S2683" s="13">
        <v>0</v>
      </c>
    </row>
    <row r="2684" spans="18:19" x14ac:dyDescent="0.25">
      <c r="R2684" s="13">
        <v>2611</v>
      </c>
      <c r="S2684" s="13">
        <v>0</v>
      </c>
    </row>
    <row r="2685" spans="18:19" x14ac:dyDescent="0.25">
      <c r="R2685" s="13">
        <v>2612</v>
      </c>
      <c r="S2685" s="13">
        <v>0</v>
      </c>
    </row>
    <row r="2686" spans="18:19" x14ac:dyDescent="0.25">
      <c r="R2686" s="13">
        <v>2613</v>
      </c>
      <c r="S2686" s="13">
        <v>0</v>
      </c>
    </row>
    <row r="2687" spans="18:19" x14ac:dyDescent="0.25">
      <c r="R2687" s="13">
        <v>2614</v>
      </c>
      <c r="S2687" s="13">
        <v>0</v>
      </c>
    </row>
    <row r="2688" spans="18:19" x14ac:dyDescent="0.25">
      <c r="R2688" s="13">
        <v>2615</v>
      </c>
      <c r="S2688" s="13">
        <v>0</v>
      </c>
    </row>
    <row r="2689" spans="18:19" x14ac:dyDescent="0.25">
      <c r="R2689" s="13">
        <v>2616</v>
      </c>
      <c r="S2689" s="13">
        <v>681992666.09865952</v>
      </c>
    </row>
    <row r="2690" spans="18:19" x14ac:dyDescent="0.25">
      <c r="R2690" s="13">
        <v>2617</v>
      </c>
      <c r="S2690" s="13">
        <v>0</v>
      </c>
    </row>
    <row r="2691" spans="18:19" x14ac:dyDescent="0.25">
      <c r="R2691" s="13">
        <v>2618</v>
      </c>
      <c r="S2691" s="13">
        <v>0</v>
      </c>
    </row>
    <row r="2692" spans="18:19" x14ac:dyDescent="0.25">
      <c r="R2692" s="13">
        <v>2619</v>
      </c>
      <c r="S2692" s="13">
        <v>0</v>
      </c>
    </row>
    <row r="2693" spans="18:19" x14ac:dyDescent="0.25">
      <c r="R2693" s="13">
        <v>2620</v>
      </c>
      <c r="S2693" s="13">
        <v>59382634.41857338</v>
      </c>
    </row>
    <row r="2694" spans="18:19" x14ac:dyDescent="0.25">
      <c r="R2694" s="13">
        <v>2621</v>
      </c>
      <c r="S2694" s="13">
        <v>10923648.166353226</v>
      </c>
    </row>
    <row r="2695" spans="18:19" x14ac:dyDescent="0.25">
      <c r="R2695" s="13">
        <v>2622</v>
      </c>
      <c r="S2695" s="13">
        <v>0</v>
      </c>
    </row>
    <row r="2696" spans="18:19" x14ac:dyDescent="0.25">
      <c r="R2696" s="13">
        <v>2623</v>
      </c>
      <c r="S2696" s="13">
        <v>0</v>
      </c>
    </row>
    <row r="2697" spans="18:19" x14ac:dyDescent="0.25">
      <c r="R2697" s="13">
        <v>2624</v>
      </c>
      <c r="S2697" s="13">
        <v>0</v>
      </c>
    </row>
    <row r="2698" spans="18:19" x14ac:dyDescent="0.25">
      <c r="R2698" s="13">
        <v>2625</v>
      </c>
      <c r="S2698" s="13">
        <v>0</v>
      </c>
    </row>
    <row r="2699" spans="18:19" x14ac:dyDescent="0.25">
      <c r="R2699" s="13">
        <v>2626</v>
      </c>
      <c r="S2699" s="13">
        <v>0</v>
      </c>
    </row>
    <row r="2700" spans="18:19" x14ac:dyDescent="0.25">
      <c r="R2700" s="13">
        <v>2627</v>
      </c>
      <c r="S2700" s="13">
        <v>471871443.5215683</v>
      </c>
    </row>
    <row r="2701" spans="18:19" x14ac:dyDescent="0.25">
      <c r="R2701" s="13">
        <v>2628</v>
      </c>
      <c r="S2701" s="13">
        <v>0</v>
      </c>
    </row>
    <row r="2702" spans="18:19" x14ac:dyDescent="0.25">
      <c r="R2702" s="13">
        <v>2629</v>
      </c>
      <c r="S2702" s="13">
        <v>0</v>
      </c>
    </row>
    <row r="2703" spans="18:19" x14ac:dyDescent="0.25">
      <c r="R2703" s="13">
        <v>2630</v>
      </c>
      <c r="S2703" s="13">
        <v>0</v>
      </c>
    </row>
    <row r="2704" spans="18:19" x14ac:dyDescent="0.25">
      <c r="R2704" s="13">
        <v>2631</v>
      </c>
      <c r="S2704" s="13">
        <v>920482784.19467926</v>
      </c>
    </row>
    <row r="2705" spans="18:19" x14ac:dyDescent="0.25">
      <c r="R2705" s="13">
        <v>2632</v>
      </c>
      <c r="S2705" s="13">
        <v>0</v>
      </c>
    </row>
    <row r="2706" spans="18:19" x14ac:dyDescent="0.25">
      <c r="R2706" s="13">
        <v>2633</v>
      </c>
      <c r="S2706" s="13">
        <v>0</v>
      </c>
    </row>
    <row r="2707" spans="18:19" x14ac:dyDescent="0.25">
      <c r="R2707" s="13">
        <v>2634</v>
      </c>
      <c r="S2707" s="13">
        <v>0</v>
      </c>
    </row>
    <row r="2708" spans="18:19" x14ac:dyDescent="0.25">
      <c r="R2708" s="13">
        <v>2635</v>
      </c>
      <c r="S2708" s="13">
        <v>0</v>
      </c>
    </row>
    <row r="2709" spans="18:19" x14ac:dyDescent="0.25">
      <c r="R2709" s="13">
        <v>2636</v>
      </c>
      <c r="S2709" s="13">
        <v>0</v>
      </c>
    </row>
    <row r="2710" spans="18:19" x14ac:dyDescent="0.25">
      <c r="R2710" s="13">
        <v>2637</v>
      </c>
      <c r="S2710" s="13">
        <v>0</v>
      </c>
    </row>
    <row r="2711" spans="18:19" x14ac:dyDescent="0.25">
      <c r="R2711" s="13">
        <v>2638</v>
      </c>
      <c r="S2711" s="13">
        <v>0</v>
      </c>
    </row>
    <row r="2712" spans="18:19" x14ac:dyDescent="0.25">
      <c r="R2712" s="13">
        <v>2639</v>
      </c>
      <c r="S2712" s="13">
        <v>1139369261.278717</v>
      </c>
    </row>
    <row r="2713" spans="18:19" x14ac:dyDescent="0.25">
      <c r="R2713" s="13">
        <v>2640</v>
      </c>
      <c r="S2713" s="13">
        <v>119277773.90058327</v>
      </c>
    </row>
    <row r="2714" spans="18:19" x14ac:dyDescent="0.25">
      <c r="R2714" s="13">
        <v>2641</v>
      </c>
      <c r="S2714" s="13">
        <v>47088927.094650269</v>
      </c>
    </row>
    <row r="2715" spans="18:19" x14ac:dyDescent="0.25">
      <c r="R2715" s="13">
        <v>2642</v>
      </c>
      <c r="S2715" s="13">
        <v>0</v>
      </c>
    </row>
    <row r="2716" spans="18:19" x14ac:dyDescent="0.25">
      <c r="R2716" s="13">
        <v>2643</v>
      </c>
      <c r="S2716" s="13">
        <v>0</v>
      </c>
    </row>
    <row r="2717" spans="18:19" x14ac:dyDescent="0.25">
      <c r="R2717" s="13">
        <v>2644</v>
      </c>
      <c r="S2717" s="13">
        <v>0</v>
      </c>
    </row>
    <row r="2718" spans="18:19" x14ac:dyDescent="0.25">
      <c r="R2718" s="13">
        <v>2645</v>
      </c>
      <c r="S2718" s="13">
        <v>0</v>
      </c>
    </row>
    <row r="2719" spans="18:19" x14ac:dyDescent="0.25">
      <c r="R2719" s="13">
        <v>2646</v>
      </c>
      <c r="S2719" s="13">
        <v>0</v>
      </c>
    </row>
    <row r="2720" spans="18:19" x14ac:dyDescent="0.25">
      <c r="R2720" s="13">
        <v>2647</v>
      </c>
      <c r="S2720" s="13">
        <v>57923442.747022629</v>
      </c>
    </row>
    <row r="2721" spans="18:19" x14ac:dyDescent="0.25">
      <c r="R2721" s="13">
        <v>2648</v>
      </c>
      <c r="S2721" s="13">
        <v>0</v>
      </c>
    </row>
    <row r="2722" spans="18:19" x14ac:dyDescent="0.25">
      <c r="R2722" s="13">
        <v>2649</v>
      </c>
      <c r="S2722" s="13">
        <v>707066191.04631996</v>
      </c>
    </row>
    <row r="2723" spans="18:19" x14ac:dyDescent="0.25">
      <c r="R2723" s="13">
        <v>2650</v>
      </c>
      <c r="S2723" s="13">
        <v>0</v>
      </c>
    </row>
    <row r="2724" spans="18:19" x14ac:dyDescent="0.25">
      <c r="R2724" s="13">
        <v>2651</v>
      </c>
      <c r="S2724" s="13">
        <v>0</v>
      </c>
    </row>
    <row r="2725" spans="18:19" x14ac:dyDescent="0.25">
      <c r="R2725" s="13">
        <v>2652</v>
      </c>
      <c r="S2725" s="13">
        <v>380099109.5922966</v>
      </c>
    </row>
    <row r="2726" spans="18:19" x14ac:dyDescent="0.25">
      <c r="R2726" s="13">
        <v>2653</v>
      </c>
      <c r="S2726" s="13">
        <v>0</v>
      </c>
    </row>
    <row r="2727" spans="18:19" x14ac:dyDescent="0.25">
      <c r="R2727" s="13">
        <v>2654</v>
      </c>
      <c r="S2727" s="13">
        <v>337580958.41206932</v>
      </c>
    </row>
    <row r="2728" spans="18:19" x14ac:dyDescent="0.25">
      <c r="R2728" s="13">
        <v>2655</v>
      </c>
      <c r="S2728" s="13">
        <v>122721861.34238052</v>
      </c>
    </row>
    <row r="2729" spans="18:19" x14ac:dyDescent="0.25">
      <c r="R2729" s="13">
        <v>2656</v>
      </c>
      <c r="S2729" s="13">
        <v>0</v>
      </c>
    </row>
    <row r="2730" spans="18:19" x14ac:dyDescent="0.25">
      <c r="R2730" s="13">
        <v>2657</v>
      </c>
      <c r="S2730" s="13">
        <v>502865877.25248909</v>
      </c>
    </row>
    <row r="2731" spans="18:19" x14ac:dyDescent="0.25">
      <c r="R2731" s="13">
        <v>2658</v>
      </c>
      <c r="S2731" s="13">
        <v>0</v>
      </c>
    </row>
    <row r="2732" spans="18:19" x14ac:dyDescent="0.25">
      <c r="R2732" s="13">
        <v>2659</v>
      </c>
      <c r="S2732" s="13">
        <v>0</v>
      </c>
    </row>
    <row r="2733" spans="18:19" x14ac:dyDescent="0.25">
      <c r="R2733" s="13">
        <v>2660</v>
      </c>
      <c r="S2733" s="13">
        <v>0</v>
      </c>
    </row>
    <row r="2734" spans="18:19" x14ac:dyDescent="0.25">
      <c r="R2734" s="13">
        <v>2661</v>
      </c>
      <c r="S2734" s="13">
        <v>0</v>
      </c>
    </row>
    <row r="2735" spans="18:19" x14ac:dyDescent="0.25">
      <c r="R2735" s="13">
        <v>2662</v>
      </c>
      <c r="S2735" s="13">
        <v>374925848.78799248</v>
      </c>
    </row>
    <row r="2736" spans="18:19" x14ac:dyDescent="0.25">
      <c r="R2736" s="13">
        <v>2663</v>
      </c>
      <c r="S2736" s="13">
        <v>0</v>
      </c>
    </row>
    <row r="2737" spans="18:19" x14ac:dyDescent="0.25">
      <c r="R2737" s="13">
        <v>2664</v>
      </c>
      <c r="S2737" s="13">
        <v>0</v>
      </c>
    </row>
    <row r="2738" spans="18:19" x14ac:dyDescent="0.25">
      <c r="R2738" s="13">
        <v>2665</v>
      </c>
      <c r="S2738" s="13">
        <v>0</v>
      </c>
    </row>
    <row r="2739" spans="18:19" x14ac:dyDescent="0.25">
      <c r="R2739" s="13">
        <v>2666</v>
      </c>
      <c r="S2739" s="13">
        <v>0</v>
      </c>
    </row>
    <row r="2740" spans="18:19" x14ac:dyDescent="0.25">
      <c r="R2740" s="13">
        <v>2667</v>
      </c>
      <c r="S2740" s="13">
        <v>425886206.03202629</v>
      </c>
    </row>
    <row r="2741" spans="18:19" x14ac:dyDescent="0.25">
      <c r="R2741" s="13">
        <v>2668</v>
      </c>
      <c r="S2741" s="13">
        <v>0</v>
      </c>
    </row>
    <row r="2742" spans="18:19" x14ac:dyDescent="0.25">
      <c r="R2742" s="13">
        <v>2669</v>
      </c>
      <c r="S2742" s="13">
        <v>0</v>
      </c>
    </row>
    <row r="2743" spans="18:19" x14ac:dyDescent="0.25">
      <c r="R2743" s="13">
        <v>2670</v>
      </c>
      <c r="S2743" s="13">
        <v>0</v>
      </c>
    </row>
    <row r="2744" spans="18:19" x14ac:dyDescent="0.25">
      <c r="R2744" s="13">
        <v>2671</v>
      </c>
      <c r="S2744" s="13">
        <v>0</v>
      </c>
    </row>
    <row r="2745" spans="18:19" x14ac:dyDescent="0.25">
      <c r="R2745" s="13">
        <v>2672</v>
      </c>
      <c r="S2745" s="13">
        <v>430321256.28888702</v>
      </c>
    </row>
    <row r="2746" spans="18:19" x14ac:dyDescent="0.25">
      <c r="R2746" s="13">
        <v>2673</v>
      </c>
      <c r="S2746" s="13">
        <v>0</v>
      </c>
    </row>
    <row r="2747" spans="18:19" x14ac:dyDescent="0.25">
      <c r="R2747" s="13">
        <v>2674</v>
      </c>
      <c r="S2747" s="13">
        <v>0</v>
      </c>
    </row>
    <row r="2748" spans="18:19" x14ac:dyDescent="0.25">
      <c r="R2748" s="13">
        <v>2675</v>
      </c>
      <c r="S2748" s="13">
        <v>0</v>
      </c>
    </row>
    <row r="2749" spans="18:19" x14ac:dyDescent="0.25">
      <c r="R2749" s="13">
        <v>2676</v>
      </c>
      <c r="S2749" s="13">
        <v>233856756.64867401</v>
      </c>
    </row>
    <row r="2750" spans="18:19" x14ac:dyDescent="0.25">
      <c r="R2750" s="13">
        <v>2677</v>
      </c>
      <c r="S2750" s="13">
        <v>0</v>
      </c>
    </row>
    <row r="2751" spans="18:19" x14ac:dyDescent="0.25">
      <c r="R2751" s="13">
        <v>2678</v>
      </c>
      <c r="S2751" s="13">
        <v>0</v>
      </c>
    </row>
    <row r="2752" spans="18:19" x14ac:dyDescent="0.25">
      <c r="R2752" s="13">
        <v>2679</v>
      </c>
      <c r="S2752" s="13">
        <v>0</v>
      </c>
    </row>
    <row r="2753" spans="18:19" x14ac:dyDescent="0.25">
      <c r="R2753" s="13">
        <v>2680</v>
      </c>
      <c r="S2753" s="13">
        <v>202813660.00527573</v>
      </c>
    </row>
    <row r="2754" spans="18:19" x14ac:dyDescent="0.25">
      <c r="R2754" s="13">
        <v>2681</v>
      </c>
      <c r="S2754" s="13">
        <v>90257291.655118942</v>
      </c>
    </row>
    <row r="2755" spans="18:19" x14ac:dyDescent="0.25">
      <c r="R2755" s="13">
        <v>2682</v>
      </c>
      <c r="S2755" s="13">
        <v>0</v>
      </c>
    </row>
    <row r="2756" spans="18:19" x14ac:dyDescent="0.25">
      <c r="R2756" s="13">
        <v>2683</v>
      </c>
      <c r="S2756" s="13">
        <v>0</v>
      </c>
    </row>
    <row r="2757" spans="18:19" x14ac:dyDescent="0.25">
      <c r="R2757" s="13">
        <v>2684</v>
      </c>
      <c r="S2757" s="13">
        <v>0</v>
      </c>
    </row>
    <row r="2758" spans="18:19" x14ac:dyDescent="0.25">
      <c r="R2758" s="13">
        <v>2685</v>
      </c>
      <c r="S2758" s="13">
        <v>485946071.6001091</v>
      </c>
    </row>
    <row r="2759" spans="18:19" x14ac:dyDescent="0.25">
      <c r="R2759" s="13">
        <v>2686</v>
      </c>
      <c r="S2759" s="13">
        <v>0</v>
      </c>
    </row>
    <row r="2760" spans="18:19" x14ac:dyDescent="0.25">
      <c r="R2760" s="13">
        <v>2687</v>
      </c>
      <c r="S2760" s="13">
        <v>0</v>
      </c>
    </row>
    <row r="2761" spans="18:19" x14ac:dyDescent="0.25">
      <c r="R2761" s="13">
        <v>2688</v>
      </c>
      <c r="S2761" s="13">
        <v>0</v>
      </c>
    </row>
    <row r="2762" spans="18:19" x14ac:dyDescent="0.25">
      <c r="R2762" s="13">
        <v>2689</v>
      </c>
      <c r="S2762" s="13">
        <v>0</v>
      </c>
    </row>
    <row r="2763" spans="18:19" x14ac:dyDescent="0.25">
      <c r="R2763" s="13">
        <v>2690</v>
      </c>
      <c r="S2763" s="13">
        <v>0</v>
      </c>
    </row>
    <row r="2764" spans="18:19" x14ac:dyDescent="0.25">
      <c r="R2764" s="13">
        <v>2691</v>
      </c>
      <c r="S2764" s="13">
        <v>0</v>
      </c>
    </row>
    <row r="2765" spans="18:19" x14ac:dyDescent="0.25">
      <c r="R2765" s="13">
        <v>2692</v>
      </c>
      <c r="S2765" s="13">
        <v>0</v>
      </c>
    </row>
    <row r="2766" spans="18:19" x14ac:dyDescent="0.25">
      <c r="R2766" s="13">
        <v>2693</v>
      </c>
      <c r="S2766" s="13">
        <v>52081042.836339951</v>
      </c>
    </row>
    <row r="2767" spans="18:19" x14ac:dyDescent="0.25">
      <c r="R2767" s="13">
        <v>2694</v>
      </c>
      <c r="S2767" s="13">
        <v>545646946.64489555</v>
      </c>
    </row>
    <row r="2768" spans="18:19" x14ac:dyDescent="0.25">
      <c r="R2768" s="13">
        <v>2695</v>
      </c>
      <c r="S2768" s="13">
        <v>0</v>
      </c>
    </row>
    <row r="2769" spans="18:19" x14ac:dyDescent="0.25">
      <c r="R2769" s="13">
        <v>2696</v>
      </c>
      <c r="S2769" s="13">
        <v>0</v>
      </c>
    </row>
    <row r="2770" spans="18:19" x14ac:dyDescent="0.25">
      <c r="R2770" s="13">
        <v>2697</v>
      </c>
      <c r="S2770" s="13">
        <v>0</v>
      </c>
    </row>
    <row r="2771" spans="18:19" x14ac:dyDescent="0.25">
      <c r="R2771" s="13">
        <v>2698</v>
      </c>
      <c r="S2771" s="13">
        <v>0</v>
      </c>
    </row>
    <row r="2772" spans="18:19" x14ac:dyDescent="0.25">
      <c r="R2772" s="13">
        <v>2699</v>
      </c>
      <c r="S2772" s="13">
        <v>0</v>
      </c>
    </row>
    <row r="2773" spans="18:19" x14ac:dyDescent="0.25">
      <c r="R2773" s="13">
        <v>2700</v>
      </c>
      <c r="S2773" s="13">
        <v>0</v>
      </c>
    </row>
    <row r="2774" spans="18:19" x14ac:dyDescent="0.25">
      <c r="R2774" s="13">
        <v>2701</v>
      </c>
      <c r="S2774" s="13">
        <v>0</v>
      </c>
    </row>
    <row r="2775" spans="18:19" x14ac:dyDescent="0.25">
      <c r="R2775" s="13">
        <v>2702</v>
      </c>
      <c r="S2775" s="13">
        <v>187152420.26904106</v>
      </c>
    </row>
    <row r="2776" spans="18:19" x14ac:dyDescent="0.25">
      <c r="R2776" s="13">
        <v>2703</v>
      </c>
      <c r="S2776" s="13">
        <v>0</v>
      </c>
    </row>
    <row r="2777" spans="18:19" x14ac:dyDescent="0.25">
      <c r="R2777" s="13">
        <v>2704</v>
      </c>
      <c r="S2777" s="13">
        <v>0</v>
      </c>
    </row>
    <row r="2778" spans="18:19" x14ac:dyDescent="0.25">
      <c r="R2778" s="13">
        <v>2705</v>
      </c>
      <c r="S2778" s="13">
        <v>19417317.111234665</v>
      </c>
    </row>
    <row r="2779" spans="18:19" x14ac:dyDescent="0.25">
      <c r="R2779" s="13">
        <v>2706</v>
      </c>
      <c r="S2779" s="13">
        <v>0</v>
      </c>
    </row>
    <row r="2780" spans="18:19" x14ac:dyDescent="0.25">
      <c r="R2780" s="13">
        <v>2707</v>
      </c>
      <c r="S2780" s="13">
        <v>0</v>
      </c>
    </row>
    <row r="2781" spans="18:19" x14ac:dyDescent="0.25">
      <c r="R2781" s="13">
        <v>2708</v>
      </c>
      <c r="S2781" s="13">
        <v>0</v>
      </c>
    </row>
    <row r="2782" spans="18:19" x14ac:dyDescent="0.25">
      <c r="R2782" s="13">
        <v>2709</v>
      </c>
      <c r="S2782" s="13">
        <v>0</v>
      </c>
    </row>
    <row r="2783" spans="18:19" x14ac:dyDescent="0.25">
      <c r="R2783" s="13">
        <v>2710</v>
      </c>
      <c r="S2783" s="13">
        <v>381316535.05496025</v>
      </c>
    </row>
    <row r="2784" spans="18:19" x14ac:dyDescent="0.25">
      <c r="R2784" s="13">
        <v>2711</v>
      </c>
      <c r="S2784" s="13">
        <v>0</v>
      </c>
    </row>
    <row r="2785" spans="18:19" x14ac:dyDescent="0.25">
      <c r="R2785" s="13">
        <v>2712</v>
      </c>
      <c r="S2785" s="13">
        <v>0</v>
      </c>
    </row>
    <row r="2786" spans="18:19" x14ac:dyDescent="0.25">
      <c r="R2786" s="13">
        <v>2713</v>
      </c>
      <c r="S2786" s="13">
        <v>0</v>
      </c>
    </row>
    <row r="2787" spans="18:19" x14ac:dyDescent="0.25">
      <c r="R2787" s="13">
        <v>2714</v>
      </c>
      <c r="S2787" s="13">
        <v>0</v>
      </c>
    </row>
    <row r="2788" spans="18:19" x14ac:dyDescent="0.25">
      <c r="R2788" s="13">
        <v>2715</v>
      </c>
      <c r="S2788" s="13">
        <v>0</v>
      </c>
    </row>
    <row r="2789" spans="18:19" x14ac:dyDescent="0.25">
      <c r="R2789" s="13">
        <v>2716</v>
      </c>
      <c r="S2789" s="13">
        <v>0</v>
      </c>
    </row>
    <row r="2790" spans="18:19" x14ac:dyDescent="0.25">
      <c r="R2790" s="13">
        <v>2717</v>
      </c>
      <c r="S2790" s="13">
        <v>0</v>
      </c>
    </row>
    <row r="2791" spans="18:19" x14ac:dyDescent="0.25">
      <c r="R2791" s="13">
        <v>2718</v>
      </c>
      <c r="S2791" s="13">
        <v>0</v>
      </c>
    </row>
    <row r="2792" spans="18:19" x14ac:dyDescent="0.25">
      <c r="R2792" s="13">
        <v>2719</v>
      </c>
      <c r="S2792" s="13">
        <v>0</v>
      </c>
    </row>
    <row r="2793" spans="18:19" x14ac:dyDescent="0.25">
      <c r="R2793" s="13">
        <v>2720</v>
      </c>
      <c r="S2793" s="13">
        <v>0</v>
      </c>
    </row>
    <row r="2794" spans="18:19" x14ac:dyDescent="0.25">
      <c r="R2794" s="13">
        <v>2721</v>
      </c>
      <c r="S2794" s="13">
        <v>0</v>
      </c>
    </row>
    <row r="2795" spans="18:19" x14ac:dyDescent="0.25">
      <c r="R2795" s="13">
        <v>2722</v>
      </c>
      <c r="S2795" s="13">
        <v>0</v>
      </c>
    </row>
    <row r="2796" spans="18:19" x14ac:dyDescent="0.25">
      <c r="R2796" s="13">
        <v>2723</v>
      </c>
      <c r="S2796" s="13">
        <v>0</v>
      </c>
    </row>
    <row r="2797" spans="18:19" x14ac:dyDescent="0.25">
      <c r="R2797" s="13">
        <v>2724</v>
      </c>
      <c r="S2797" s="13">
        <v>0</v>
      </c>
    </row>
    <row r="2798" spans="18:19" x14ac:dyDescent="0.25">
      <c r="R2798" s="13">
        <v>2725</v>
      </c>
      <c r="S2798" s="13">
        <v>232023141.65790558</v>
      </c>
    </row>
    <row r="2799" spans="18:19" x14ac:dyDescent="0.25">
      <c r="R2799" s="13">
        <v>2726</v>
      </c>
      <c r="S2799" s="13">
        <v>183559347.08550644</v>
      </c>
    </row>
    <row r="2800" spans="18:19" x14ac:dyDescent="0.25">
      <c r="R2800" s="13">
        <v>2727</v>
      </c>
      <c r="S2800" s="13">
        <v>27053147.591712952</v>
      </c>
    </row>
    <row r="2801" spans="18:19" x14ac:dyDescent="0.25">
      <c r="R2801" s="13">
        <v>2728</v>
      </c>
      <c r="S2801" s="13">
        <v>0</v>
      </c>
    </row>
    <row r="2802" spans="18:19" x14ac:dyDescent="0.25">
      <c r="R2802" s="13">
        <v>2729</v>
      </c>
      <c r="S2802" s="13">
        <v>776672182.99150658</v>
      </c>
    </row>
    <row r="2803" spans="18:19" x14ac:dyDescent="0.25">
      <c r="R2803" s="13">
        <v>2730</v>
      </c>
      <c r="S2803" s="13">
        <v>0</v>
      </c>
    </row>
    <row r="2804" spans="18:19" x14ac:dyDescent="0.25">
      <c r="R2804" s="13">
        <v>2731</v>
      </c>
      <c r="S2804" s="13">
        <v>815182777.01745415</v>
      </c>
    </row>
    <row r="2805" spans="18:19" x14ac:dyDescent="0.25">
      <c r="R2805" s="13">
        <v>2732</v>
      </c>
      <c r="S2805" s="13">
        <v>0</v>
      </c>
    </row>
    <row r="2806" spans="18:19" x14ac:dyDescent="0.25">
      <c r="R2806" s="13">
        <v>2733</v>
      </c>
      <c r="S2806" s="13">
        <v>0</v>
      </c>
    </row>
    <row r="2807" spans="18:19" x14ac:dyDescent="0.25">
      <c r="R2807" s="13">
        <v>2734</v>
      </c>
      <c r="S2807" s="13">
        <v>0</v>
      </c>
    </row>
    <row r="2808" spans="18:19" x14ac:dyDescent="0.25">
      <c r="R2808" s="13">
        <v>2735</v>
      </c>
      <c r="S2808" s="13">
        <v>0</v>
      </c>
    </row>
    <row r="2809" spans="18:19" x14ac:dyDescent="0.25">
      <c r="R2809" s="13">
        <v>2736</v>
      </c>
      <c r="S2809" s="13">
        <v>166020260.06387329</v>
      </c>
    </row>
    <row r="2810" spans="18:19" x14ac:dyDescent="0.25">
      <c r="R2810" s="13">
        <v>2737</v>
      </c>
      <c r="S2810" s="13">
        <v>0</v>
      </c>
    </row>
    <row r="2811" spans="18:19" x14ac:dyDescent="0.25">
      <c r="R2811" s="13">
        <v>2738</v>
      </c>
      <c r="S2811" s="13">
        <v>409694326.28679848</v>
      </c>
    </row>
    <row r="2812" spans="18:19" x14ac:dyDescent="0.25">
      <c r="R2812" s="13">
        <v>2739</v>
      </c>
      <c r="S2812" s="13">
        <v>0</v>
      </c>
    </row>
    <row r="2813" spans="18:19" x14ac:dyDescent="0.25">
      <c r="R2813" s="13">
        <v>2740</v>
      </c>
      <c r="S2813" s="13">
        <v>0</v>
      </c>
    </row>
    <row r="2814" spans="18:19" x14ac:dyDescent="0.25">
      <c r="R2814" s="13">
        <v>2741</v>
      </c>
      <c r="S2814" s="13">
        <v>152757219.06142044</v>
      </c>
    </row>
    <row r="2815" spans="18:19" x14ac:dyDescent="0.25">
      <c r="R2815" s="13">
        <v>2742</v>
      </c>
      <c r="S2815" s="13">
        <v>0</v>
      </c>
    </row>
    <row r="2816" spans="18:19" x14ac:dyDescent="0.25">
      <c r="R2816" s="13">
        <v>2743</v>
      </c>
      <c r="S2816" s="13">
        <v>0</v>
      </c>
    </row>
    <row r="2817" spans="18:19" x14ac:dyDescent="0.25">
      <c r="R2817" s="13">
        <v>2744</v>
      </c>
      <c r="S2817" s="13">
        <v>0</v>
      </c>
    </row>
    <row r="2818" spans="18:19" x14ac:dyDescent="0.25">
      <c r="R2818" s="13">
        <v>2745</v>
      </c>
      <c r="S2818" s="13">
        <v>0</v>
      </c>
    </row>
    <row r="2819" spans="18:19" x14ac:dyDescent="0.25">
      <c r="R2819" s="13">
        <v>2746</v>
      </c>
      <c r="S2819" s="13">
        <v>0</v>
      </c>
    </row>
    <row r="2820" spans="18:19" x14ac:dyDescent="0.25">
      <c r="R2820" s="13">
        <v>2747</v>
      </c>
      <c r="S2820" s="13">
        <v>0</v>
      </c>
    </row>
    <row r="2821" spans="18:19" x14ac:dyDescent="0.25">
      <c r="R2821" s="13">
        <v>2748</v>
      </c>
      <c r="S2821" s="13">
        <v>0</v>
      </c>
    </row>
    <row r="2822" spans="18:19" x14ac:dyDescent="0.25">
      <c r="R2822" s="13">
        <v>2749</v>
      </c>
      <c r="S2822" s="13">
        <v>0</v>
      </c>
    </row>
    <row r="2823" spans="18:19" x14ac:dyDescent="0.25">
      <c r="R2823" s="13">
        <v>2750</v>
      </c>
      <c r="S2823" s="13">
        <v>0</v>
      </c>
    </row>
    <row r="2824" spans="18:19" x14ac:dyDescent="0.25">
      <c r="R2824" s="13">
        <v>2751</v>
      </c>
      <c r="S2824" s="13">
        <v>0</v>
      </c>
    </row>
    <row r="2825" spans="18:19" x14ac:dyDescent="0.25">
      <c r="R2825" s="13">
        <v>2752</v>
      </c>
      <c r="S2825" s="13">
        <v>0</v>
      </c>
    </row>
    <row r="2826" spans="18:19" x14ac:dyDescent="0.25">
      <c r="R2826" s="13">
        <v>2753</v>
      </c>
      <c r="S2826" s="13">
        <v>714087081.21191597</v>
      </c>
    </row>
    <row r="2827" spans="18:19" x14ac:dyDescent="0.25">
      <c r="R2827" s="13">
        <v>2754</v>
      </c>
      <c r="S2827" s="13">
        <v>7850065.1531581879</v>
      </c>
    </row>
    <row r="2828" spans="18:19" x14ac:dyDescent="0.25">
      <c r="R2828" s="13">
        <v>2755</v>
      </c>
      <c r="S2828" s="13">
        <v>0</v>
      </c>
    </row>
    <row r="2829" spans="18:19" x14ac:dyDescent="0.25">
      <c r="R2829" s="13">
        <v>2756</v>
      </c>
      <c r="S2829" s="13">
        <v>0</v>
      </c>
    </row>
    <row r="2830" spans="18:19" x14ac:dyDescent="0.25">
      <c r="R2830" s="13">
        <v>2757</v>
      </c>
      <c r="S2830" s="13">
        <v>0</v>
      </c>
    </row>
    <row r="2831" spans="18:19" x14ac:dyDescent="0.25">
      <c r="R2831" s="13">
        <v>2758</v>
      </c>
      <c r="S2831" s="13">
        <v>0</v>
      </c>
    </row>
    <row r="2832" spans="18:19" x14ac:dyDescent="0.25">
      <c r="R2832" s="13">
        <v>2759</v>
      </c>
      <c r="S2832" s="13">
        <v>0</v>
      </c>
    </row>
    <row r="2833" spans="18:19" x14ac:dyDescent="0.25">
      <c r="R2833" s="13">
        <v>2760</v>
      </c>
      <c r="S2833" s="13">
        <v>687442232.51614952</v>
      </c>
    </row>
    <row r="2834" spans="18:19" x14ac:dyDescent="0.25">
      <c r="R2834" s="13">
        <v>2761</v>
      </c>
      <c r="S2834" s="13">
        <v>0</v>
      </c>
    </row>
    <row r="2835" spans="18:19" x14ac:dyDescent="0.25">
      <c r="R2835" s="13">
        <v>2762</v>
      </c>
      <c r="S2835" s="13">
        <v>21421270.331428528</v>
      </c>
    </row>
    <row r="2836" spans="18:19" x14ac:dyDescent="0.25">
      <c r="R2836" s="13">
        <v>2763</v>
      </c>
      <c r="S2836" s="13">
        <v>0</v>
      </c>
    </row>
    <row r="2837" spans="18:19" x14ac:dyDescent="0.25">
      <c r="R2837" s="13">
        <v>2764</v>
      </c>
      <c r="S2837" s="13">
        <v>288522429.63781166</v>
      </c>
    </row>
    <row r="2838" spans="18:19" x14ac:dyDescent="0.25">
      <c r="R2838" s="13">
        <v>2765</v>
      </c>
      <c r="S2838" s="13">
        <v>0</v>
      </c>
    </row>
    <row r="2839" spans="18:19" x14ac:dyDescent="0.25">
      <c r="R2839" s="13">
        <v>2766</v>
      </c>
      <c r="S2839" s="13">
        <v>0</v>
      </c>
    </row>
    <row r="2840" spans="18:19" x14ac:dyDescent="0.25">
      <c r="R2840" s="13">
        <v>2767</v>
      </c>
      <c r="S2840" s="13">
        <v>0</v>
      </c>
    </row>
    <row r="2841" spans="18:19" x14ac:dyDescent="0.25">
      <c r="R2841" s="13">
        <v>2768</v>
      </c>
      <c r="S2841" s="13">
        <v>0</v>
      </c>
    </row>
    <row r="2842" spans="18:19" x14ac:dyDescent="0.25">
      <c r="R2842" s="13">
        <v>2769</v>
      </c>
      <c r="S2842" s="13">
        <v>477487840.69419098</v>
      </c>
    </row>
    <row r="2843" spans="18:19" x14ac:dyDescent="0.25">
      <c r="R2843" s="13">
        <v>2770</v>
      </c>
      <c r="S2843" s="13">
        <v>0</v>
      </c>
    </row>
    <row r="2844" spans="18:19" x14ac:dyDescent="0.25">
      <c r="R2844" s="13">
        <v>2771</v>
      </c>
      <c r="S2844" s="13">
        <v>0</v>
      </c>
    </row>
    <row r="2845" spans="18:19" x14ac:dyDescent="0.25">
      <c r="R2845" s="13">
        <v>2772</v>
      </c>
      <c r="S2845" s="13">
        <v>0</v>
      </c>
    </row>
    <row r="2846" spans="18:19" x14ac:dyDescent="0.25">
      <c r="R2846" s="13">
        <v>2773</v>
      </c>
      <c r="S2846" s="13">
        <v>0</v>
      </c>
    </row>
    <row r="2847" spans="18:19" x14ac:dyDescent="0.25">
      <c r="R2847" s="13">
        <v>2774</v>
      </c>
      <c r="S2847" s="13">
        <v>0</v>
      </c>
    </row>
    <row r="2848" spans="18:19" x14ac:dyDescent="0.25">
      <c r="R2848" s="13">
        <v>2775</v>
      </c>
      <c r="S2848" s="13">
        <v>0</v>
      </c>
    </row>
    <row r="2849" spans="18:19" x14ac:dyDescent="0.25">
      <c r="R2849" s="13">
        <v>2776</v>
      </c>
      <c r="S2849" s="13">
        <v>0</v>
      </c>
    </row>
    <row r="2850" spans="18:19" x14ac:dyDescent="0.25">
      <c r="R2850" s="13">
        <v>2777</v>
      </c>
      <c r="S2850" s="13">
        <v>0</v>
      </c>
    </row>
    <row r="2851" spans="18:19" x14ac:dyDescent="0.25">
      <c r="R2851" s="13">
        <v>2778</v>
      </c>
      <c r="S2851" s="13">
        <v>0</v>
      </c>
    </row>
    <row r="2852" spans="18:19" x14ac:dyDescent="0.25">
      <c r="R2852" s="13">
        <v>2779</v>
      </c>
      <c r="S2852" s="13">
        <v>171746849.17165756</v>
      </c>
    </row>
    <row r="2853" spans="18:19" x14ac:dyDescent="0.25">
      <c r="R2853" s="13">
        <v>2780</v>
      </c>
      <c r="S2853" s="13">
        <v>0</v>
      </c>
    </row>
    <row r="2854" spans="18:19" x14ac:dyDescent="0.25">
      <c r="R2854" s="13">
        <v>2781</v>
      </c>
      <c r="S2854" s="13">
        <v>0</v>
      </c>
    </row>
    <row r="2855" spans="18:19" x14ac:dyDescent="0.25">
      <c r="R2855" s="13">
        <v>2782</v>
      </c>
      <c r="S2855" s="13">
        <v>213952467.24539185</v>
      </c>
    </row>
    <row r="2856" spans="18:19" x14ac:dyDescent="0.25">
      <c r="R2856" s="13">
        <v>2783</v>
      </c>
      <c r="S2856" s="13">
        <v>0</v>
      </c>
    </row>
    <row r="2857" spans="18:19" x14ac:dyDescent="0.25">
      <c r="R2857" s="13">
        <v>2784</v>
      </c>
      <c r="S2857" s="13">
        <v>0</v>
      </c>
    </row>
    <row r="2858" spans="18:19" x14ac:dyDescent="0.25">
      <c r="R2858" s="13">
        <v>2785</v>
      </c>
      <c r="S2858" s="13">
        <v>0</v>
      </c>
    </row>
    <row r="2859" spans="18:19" x14ac:dyDescent="0.25">
      <c r="R2859" s="13">
        <v>2786</v>
      </c>
      <c r="S2859" s="13">
        <v>0</v>
      </c>
    </row>
    <row r="2860" spans="18:19" x14ac:dyDescent="0.25">
      <c r="R2860" s="13">
        <v>2787</v>
      </c>
      <c r="S2860" s="13">
        <v>111541605.72721291</v>
      </c>
    </row>
    <row r="2861" spans="18:19" x14ac:dyDescent="0.25">
      <c r="R2861" s="13">
        <v>2788</v>
      </c>
      <c r="S2861" s="13">
        <v>0</v>
      </c>
    </row>
    <row r="2862" spans="18:19" x14ac:dyDescent="0.25">
      <c r="R2862" s="13">
        <v>2789</v>
      </c>
      <c r="S2862" s="13">
        <v>0</v>
      </c>
    </row>
    <row r="2863" spans="18:19" x14ac:dyDescent="0.25">
      <c r="R2863" s="13">
        <v>2790</v>
      </c>
      <c r="S2863" s="13">
        <v>0</v>
      </c>
    </row>
    <row r="2864" spans="18:19" x14ac:dyDescent="0.25">
      <c r="R2864" s="13">
        <v>2791</v>
      </c>
      <c r="S2864" s="13">
        <v>0</v>
      </c>
    </row>
    <row r="2865" spans="18:19" x14ac:dyDescent="0.25">
      <c r="R2865" s="13">
        <v>2792</v>
      </c>
      <c r="S2865" s="13">
        <v>0</v>
      </c>
    </row>
    <row r="2866" spans="18:19" x14ac:dyDescent="0.25">
      <c r="R2866" s="13">
        <v>2793</v>
      </c>
      <c r="S2866" s="13">
        <v>0</v>
      </c>
    </row>
    <row r="2867" spans="18:19" x14ac:dyDescent="0.25">
      <c r="R2867" s="13">
        <v>2794</v>
      </c>
      <c r="S2867" s="13">
        <v>0</v>
      </c>
    </row>
    <row r="2868" spans="18:19" x14ac:dyDescent="0.25">
      <c r="R2868" s="13">
        <v>2795</v>
      </c>
      <c r="S2868" s="13">
        <v>0</v>
      </c>
    </row>
    <row r="2869" spans="18:19" x14ac:dyDescent="0.25">
      <c r="R2869" s="13">
        <v>2796</v>
      </c>
      <c r="S2869" s="13">
        <v>0</v>
      </c>
    </row>
    <row r="2870" spans="18:19" x14ac:dyDescent="0.25">
      <c r="R2870" s="13">
        <v>2797</v>
      </c>
      <c r="S2870" s="13">
        <v>0</v>
      </c>
    </row>
    <row r="2871" spans="18:19" x14ac:dyDescent="0.25">
      <c r="R2871" s="13">
        <v>2798</v>
      </c>
      <c r="S2871" s="13">
        <v>0</v>
      </c>
    </row>
    <row r="2872" spans="18:19" x14ac:dyDescent="0.25">
      <c r="R2872" s="13">
        <v>2799</v>
      </c>
      <c r="S2872" s="13">
        <v>0</v>
      </c>
    </row>
    <row r="2873" spans="18:19" x14ac:dyDescent="0.25">
      <c r="R2873" s="13">
        <v>2800</v>
      </c>
      <c r="S2873" s="13">
        <v>0</v>
      </c>
    </row>
    <row r="2874" spans="18:19" x14ac:dyDescent="0.25">
      <c r="R2874" s="13">
        <v>2801</v>
      </c>
      <c r="S2874" s="13">
        <v>0</v>
      </c>
    </row>
    <row r="2875" spans="18:19" x14ac:dyDescent="0.25">
      <c r="R2875" s="13">
        <v>2802</v>
      </c>
      <c r="S2875" s="13">
        <v>79927883.228525162</v>
      </c>
    </row>
    <row r="2876" spans="18:19" x14ac:dyDescent="0.25">
      <c r="R2876" s="13">
        <v>2803</v>
      </c>
      <c r="S2876" s="13">
        <v>0</v>
      </c>
    </row>
    <row r="2877" spans="18:19" x14ac:dyDescent="0.25">
      <c r="R2877" s="13">
        <v>2804</v>
      </c>
      <c r="S2877" s="13">
        <v>0</v>
      </c>
    </row>
    <row r="2878" spans="18:19" x14ac:dyDescent="0.25">
      <c r="R2878" s="13">
        <v>2805</v>
      </c>
      <c r="S2878" s="13">
        <v>0</v>
      </c>
    </row>
    <row r="2879" spans="18:19" x14ac:dyDescent="0.25">
      <c r="R2879" s="13">
        <v>2806</v>
      </c>
      <c r="S2879" s="13">
        <v>0</v>
      </c>
    </row>
    <row r="2880" spans="18:19" x14ac:dyDescent="0.25">
      <c r="R2880" s="13">
        <v>2807</v>
      </c>
      <c r="S2880" s="13">
        <v>0</v>
      </c>
    </row>
    <row r="2881" spans="18:19" x14ac:dyDescent="0.25">
      <c r="R2881" s="13">
        <v>2808</v>
      </c>
      <c r="S2881" s="13">
        <v>0</v>
      </c>
    </row>
    <row r="2882" spans="18:19" x14ac:dyDescent="0.25">
      <c r="R2882" s="13">
        <v>2809</v>
      </c>
      <c r="S2882" s="13">
        <v>0</v>
      </c>
    </row>
    <row r="2883" spans="18:19" x14ac:dyDescent="0.25">
      <c r="R2883" s="13">
        <v>2810</v>
      </c>
      <c r="S2883" s="13">
        <v>0</v>
      </c>
    </row>
    <row r="2884" spans="18:19" x14ac:dyDescent="0.25">
      <c r="R2884" s="13">
        <v>2811</v>
      </c>
      <c r="S2884" s="13">
        <v>273623828.32076836</v>
      </c>
    </row>
    <row r="2885" spans="18:19" x14ac:dyDescent="0.25">
      <c r="R2885" s="13">
        <v>2812</v>
      </c>
      <c r="S2885" s="13">
        <v>0</v>
      </c>
    </row>
    <row r="2886" spans="18:19" x14ac:dyDescent="0.25">
      <c r="R2886" s="13">
        <v>2813</v>
      </c>
      <c r="S2886" s="13">
        <v>0</v>
      </c>
    </row>
    <row r="2887" spans="18:19" x14ac:dyDescent="0.25">
      <c r="R2887" s="13">
        <v>2814</v>
      </c>
      <c r="S2887" s="13">
        <v>43754646.603620529</v>
      </c>
    </row>
    <row r="2888" spans="18:19" x14ac:dyDescent="0.25">
      <c r="R2888" s="13">
        <v>2815</v>
      </c>
      <c r="S2888" s="13">
        <v>471824496.81586456</v>
      </c>
    </row>
    <row r="2889" spans="18:19" x14ac:dyDescent="0.25">
      <c r="R2889" s="13">
        <v>2816</v>
      </c>
      <c r="S2889" s="13">
        <v>0</v>
      </c>
    </row>
    <row r="2890" spans="18:19" x14ac:dyDescent="0.25">
      <c r="R2890" s="13">
        <v>2817</v>
      </c>
      <c r="S2890" s="13">
        <v>0</v>
      </c>
    </row>
    <row r="2891" spans="18:19" x14ac:dyDescent="0.25">
      <c r="R2891" s="13">
        <v>2818</v>
      </c>
      <c r="S2891" s="13">
        <v>586596441.40869904</v>
      </c>
    </row>
    <row r="2892" spans="18:19" x14ac:dyDescent="0.25">
      <c r="R2892" s="13">
        <v>2819</v>
      </c>
      <c r="S2892" s="13">
        <v>0</v>
      </c>
    </row>
    <row r="2893" spans="18:19" x14ac:dyDescent="0.25">
      <c r="R2893" s="13">
        <v>2820</v>
      </c>
      <c r="S2893" s="13">
        <v>0</v>
      </c>
    </row>
    <row r="2894" spans="18:19" x14ac:dyDescent="0.25">
      <c r="R2894" s="13">
        <v>2821</v>
      </c>
      <c r="S2894" s="13">
        <v>0</v>
      </c>
    </row>
    <row r="2895" spans="18:19" x14ac:dyDescent="0.25">
      <c r="R2895" s="13">
        <v>2822</v>
      </c>
      <c r="S2895" s="13">
        <v>0</v>
      </c>
    </row>
    <row r="2896" spans="18:19" x14ac:dyDescent="0.25">
      <c r="R2896" s="13">
        <v>2823</v>
      </c>
      <c r="S2896" s="13">
        <v>0</v>
      </c>
    </row>
    <row r="2897" spans="18:19" x14ac:dyDescent="0.25">
      <c r="R2897" s="13">
        <v>2824</v>
      </c>
      <c r="S2897" s="13">
        <v>0</v>
      </c>
    </row>
    <row r="2898" spans="18:19" x14ac:dyDescent="0.25">
      <c r="R2898" s="13">
        <v>2825</v>
      </c>
      <c r="S2898" s="13">
        <v>227089447.06117821</v>
      </c>
    </row>
    <row r="2899" spans="18:19" x14ac:dyDescent="0.25">
      <c r="R2899" s="13">
        <v>2826</v>
      </c>
      <c r="S2899" s="13">
        <v>0</v>
      </c>
    </row>
    <row r="2900" spans="18:19" x14ac:dyDescent="0.25">
      <c r="R2900" s="13">
        <v>2827</v>
      </c>
      <c r="S2900" s="13">
        <v>0</v>
      </c>
    </row>
    <row r="2901" spans="18:19" x14ac:dyDescent="0.25">
      <c r="R2901" s="13">
        <v>2828</v>
      </c>
      <c r="S2901" s="13">
        <v>232592109.55474854</v>
      </c>
    </row>
    <row r="2902" spans="18:19" x14ac:dyDescent="0.25">
      <c r="R2902" s="13">
        <v>2829</v>
      </c>
      <c r="S2902" s="13">
        <v>0</v>
      </c>
    </row>
    <row r="2903" spans="18:19" x14ac:dyDescent="0.25">
      <c r="R2903" s="13">
        <v>2830</v>
      </c>
      <c r="S2903" s="13">
        <v>241809397.39203072</v>
      </c>
    </row>
    <row r="2904" spans="18:19" x14ac:dyDescent="0.25">
      <c r="R2904" s="13">
        <v>2831</v>
      </c>
      <c r="S2904" s="13">
        <v>0</v>
      </c>
    </row>
    <row r="2905" spans="18:19" x14ac:dyDescent="0.25">
      <c r="R2905" s="13">
        <v>2832</v>
      </c>
      <c r="S2905" s="13">
        <v>0</v>
      </c>
    </row>
    <row r="2906" spans="18:19" x14ac:dyDescent="0.25">
      <c r="R2906" s="13">
        <v>2833</v>
      </c>
      <c r="S2906" s="13">
        <v>0</v>
      </c>
    </row>
    <row r="2907" spans="18:19" x14ac:dyDescent="0.25">
      <c r="R2907" s="13">
        <v>2834</v>
      </c>
      <c r="S2907" s="13">
        <v>0</v>
      </c>
    </row>
    <row r="2908" spans="18:19" x14ac:dyDescent="0.25">
      <c r="R2908" s="13">
        <v>2835</v>
      </c>
      <c r="S2908" s="13">
        <v>239830715.39574623</v>
      </c>
    </row>
    <row r="2909" spans="18:19" x14ac:dyDescent="0.25">
      <c r="R2909" s="13">
        <v>2836</v>
      </c>
      <c r="S2909" s="13">
        <v>0</v>
      </c>
    </row>
    <row r="2910" spans="18:19" x14ac:dyDescent="0.25">
      <c r="R2910" s="13">
        <v>2837</v>
      </c>
      <c r="S2910" s="13">
        <v>0</v>
      </c>
    </row>
    <row r="2911" spans="18:19" x14ac:dyDescent="0.25">
      <c r="R2911" s="13">
        <v>2838</v>
      </c>
      <c r="S2911" s="13">
        <v>0</v>
      </c>
    </row>
    <row r="2912" spans="18:19" x14ac:dyDescent="0.25">
      <c r="R2912" s="13">
        <v>2839</v>
      </c>
      <c r="S2912" s="13">
        <v>0</v>
      </c>
    </row>
    <row r="2913" spans="18:19" x14ac:dyDescent="0.25">
      <c r="R2913" s="13">
        <v>2840</v>
      </c>
      <c r="S2913" s="13">
        <v>0</v>
      </c>
    </row>
    <row r="2914" spans="18:19" x14ac:dyDescent="0.25">
      <c r="R2914" s="13">
        <v>2841</v>
      </c>
      <c r="S2914" s="13">
        <v>812174854.02921295</v>
      </c>
    </row>
    <row r="2915" spans="18:19" x14ac:dyDescent="0.25">
      <c r="R2915" s="13">
        <v>2842</v>
      </c>
      <c r="S2915" s="13">
        <v>0</v>
      </c>
    </row>
    <row r="2916" spans="18:19" x14ac:dyDescent="0.25">
      <c r="R2916" s="13">
        <v>2843</v>
      </c>
      <c r="S2916" s="13">
        <v>0</v>
      </c>
    </row>
    <row r="2917" spans="18:19" x14ac:dyDescent="0.25">
      <c r="R2917" s="13">
        <v>2844</v>
      </c>
      <c r="S2917" s="13">
        <v>0</v>
      </c>
    </row>
    <row r="2918" spans="18:19" x14ac:dyDescent="0.25">
      <c r="R2918" s="13">
        <v>2845</v>
      </c>
      <c r="S2918" s="13">
        <v>500086335.85761642</v>
      </c>
    </row>
    <row r="2919" spans="18:19" x14ac:dyDescent="0.25">
      <c r="R2919" s="13">
        <v>2846</v>
      </c>
      <c r="S2919" s="13">
        <v>0</v>
      </c>
    </row>
    <row r="2920" spans="18:19" x14ac:dyDescent="0.25">
      <c r="R2920" s="13">
        <v>2847</v>
      </c>
      <c r="S2920" s="13">
        <v>0</v>
      </c>
    </row>
    <row r="2921" spans="18:19" x14ac:dyDescent="0.25">
      <c r="R2921" s="13">
        <v>2848</v>
      </c>
      <c r="S2921" s="13">
        <v>0</v>
      </c>
    </row>
    <row r="2922" spans="18:19" x14ac:dyDescent="0.25">
      <c r="R2922" s="13">
        <v>2849</v>
      </c>
      <c r="S2922" s="13">
        <v>469488892.16579628</v>
      </c>
    </row>
    <row r="2923" spans="18:19" x14ac:dyDescent="0.25">
      <c r="R2923" s="13">
        <v>2850</v>
      </c>
      <c r="S2923" s="13">
        <v>0</v>
      </c>
    </row>
    <row r="2924" spans="18:19" x14ac:dyDescent="0.25">
      <c r="R2924" s="13">
        <v>2851</v>
      </c>
      <c r="S2924" s="13">
        <v>0</v>
      </c>
    </row>
    <row r="2925" spans="18:19" x14ac:dyDescent="0.25">
      <c r="R2925" s="13">
        <v>2852</v>
      </c>
      <c r="S2925" s="13">
        <v>518919422.15023613</v>
      </c>
    </row>
    <row r="2926" spans="18:19" x14ac:dyDescent="0.25">
      <c r="R2926" s="13">
        <v>2853</v>
      </c>
      <c r="S2926" s="13">
        <v>0</v>
      </c>
    </row>
    <row r="2927" spans="18:19" x14ac:dyDescent="0.25">
      <c r="R2927" s="13">
        <v>2854</v>
      </c>
      <c r="S2927" s="13">
        <v>0</v>
      </c>
    </row>
    <row r="2928" spans="18:19" x14ac:dyDescent="0.25">
      <c r="R2928" s="13">
        <v>2855</v>
      </c>
      <c r="S2928" s="13">
        <v>0</v>
      </c>
    </row>
    <row r="2929" spans="18:19" x14ac:dyDescent="0.25">
      <c r="R2929" s="13">
        <v>2856</v>
      </c>
      <c r="S2929" s="13">
        <v>0</v>
      </c>
    </row>
    <row r="2930" spans="18:19" x14ac:dyDescent="0.25">
      <c r="R2930" s="13">
        <v>2857</v>
      </c>
      <c r="S2930" s="13">
        <v>644043986.48970604</v>
      </c>
    </row>
    <row r="2931" spans="18:19" x14ac:dyDescent="0.25">
      <c r="R2931" s="13">
        <v>2858</v>
      </c>
      <c r="S2931" s="13">
        <v>0</v>
      </c>
    </row>
    <row r="2932" spans="18:19" x14ac:dyDescent="0.25">
      <c r="R2932" s="13">
        <v>2859</v>
      </c>
      <c r="S2932" s="13">
        <v>0</v>
      </c>
    </row>
    <row r="2933" spans="18:19" x14ac:dyDescent="0.25">
      <c r="R2933" s="13">
        <v>2860</v>
      </c>
      <c r="S2933" s="13">
        <v>363049945.88945198</v>
      </c>
    </row>
    <row r="2934" spans="18:19" x14ac:dyDescent="0.25">
      <c r="R2934" s="13">
        <v>2861</v>
      </c>
      <c r="S2934" s="13">
        <v>0</v>
      </c>
    </row>
    <row r="2935" spans="18:19" x14ac:dyDescent="0.25">
      <c r="R2935" s="13">
        <v>2862</v>
      </c>
      <c r="S2935" s="13">
        <v>380117582.7169838</v>
      </c>
    </row>
    <row r="2936" spans="18:19" x14ac:dyDescent="0.25">
      <c r="R2936" s="13">
        <v>2863</v>
      </c>
      <c r="S2936" s="13">
        <v>0</v>
      </c>
    </row>
    <row r="2937" spans="18:19" x14ac:dyDescent="0.25">
      <c r="R2937" s="13">
        <v>2864</v>
      </c>
      <c r="S2937" s="13">
        <v>0</v>
      </c>
    </row>
    <row r="2938" spans="18:19" x14ac:dyDescent="0.25">
      <c r="R2938" s="13">
        <v>2865</v>
      </c>
      <c r="S2938" s="13">
        <v>0</v>
      </c>
    </row>
    <row r="2939" spans="18:19" x14ac:dyDescent="0.25">
      <c r="R2939" s="13">
        <v>2866</v>
      </c>
      <c r="S2939" s="13">
        <v>0</v>
      </c>
    </row>
    <row r="2940" spans="18:19" x14ac:dyDescent="0.25">
      <c r="R2940" s="13">
        <v>2867</v>
      </c>
      <c r="S2940" s="13">
        <v>602682765.39713478</v>
      </c>
    </row>
    <row r="2941" spans="18:19" x14ac:dyDescent="0.25">
      <c r="R2941" s="13">
        <v>2868</v>
      </c>
      <c r="S2941" s="13">
        <v>0</v>
      </c>
    </row>
    <row r="2942" spans="18:19" x14ac:dyDescent="0.25">
      <c r="R2942" s="13">
        <v>2869</v>
      </c>
      <c r="S2942" s="13">
        <v>0</v>
      </c>
    </row>
    <row r="2943" spans="18:19" x14ac:dyDescent="0.25">
      <c r="R2943" s="13">
        <v>2870</v>
      </c>
      <c r="S2943" s="13">
        <v>0</v>
      </c>
    </row>
    <row r="2944" spans="18:19" x14ac:dyDescent="0.25">
      <c r="R2944" s="13">
        <v>2871</v>
      </c>
      <c r="S2944" s="13">
        <v>303877788.87586594</v>
      </c>
    </row>
    <row r="2945" spans="18:19" x14ac:dyDescent="0.25">
      <c r="R2945" s="13">
        <v>2872</v>
      </c>
      <c r="S2945" s="13">
        <v>0</v>
      </c>
    </row>
    <row r="2946" spans="18:19" x14ac:dyDescent="0.25">
      <c r="R2946" s="13">
        <v>2873</v>
      </c>
      <c r="S2946" s="13">
        <v>0</v>
      </c>
    </row>
    <row r="2947" spans="18:19" x14ac:dyDescent="0.25">
      <c r="R2947" s="13">
        <v>2874</v>
      </c>
      <c r="S2947" s="13">
        <v>0</v>
      </c>
    </row>
    <row r="2948" spans="18:19" x14ac:dyDescent="0.25">
      <c r="R2948" s="13">
        <v>2875</v>
      </c>
      <c r="S2948" s="13">
        <v>0</v>
      </c>
    </row>
    <row r="2949" spans="18:19" x14ac:dyDescent="0.25">
      <c r="R2949" s="13">
        <v>2876</v>
      </c>
      <c r="S2949" s="13">
        <v>0</v>
      </c>
    </row>
    <row r="2950" spans="18:19" x14ac:dyDescent="0.25">
      <c r="R2950" s="13">
        <v>2877</v>
      </c>
      <c r="S2950" s="13">
        <v>0</v>
      </c>
    </row>
    <row r="2951" spans="18:19" x14ac:dyDescent="0.25">
      <c r="R2951" s="13">
        <v>2878</v>
      </c>
      <c r="S2951" s="13">
        <v>449330952.1591301</v>
      </c>
    </row>
    <row r="2952" spans="18:19" x14ac:dyDescent="0.25">
      <c r="R2952" s="13">
        <v>2879</v>
      </c>
      <c r="S2952" s="13">
        <v>594596028.29246712</v>
      </c>
    </row>
    <row r="2953" spans="18:19" x14ac:dyDescent="0.25">
      <c r="R2953" s="13">
        <v>2880</v>
      </c>
      <c r="S2953" s="13">
        <v>102511082.29761124</v>
      </c>
    </row>
    <row r="2954" spans="18:19" x14ac:dyDescent="0.25">
      <c r="R2954" s="13">
        <v>2881</v>
      </c>
      <c r="S2954" s="13">
        <v>0</v>
      </c>
    </row>
    <row r="2955" spans="18:19" x14ac:dyDescent="0.25">
      <c r="R2955" s="13">
        <v>2882</v>
      </c>
      <c r="S2955" s="13">
        <v>0</v>
      </c>
    </row>
    <row r="2956" spans="18:19" x14ac:dyDescent="0.25">
      <c r="R2956" s="13">
        <v>2883</v>
      </c>
      <c r="S2956" s="13">
        <v>151717555.35112381</v>
      </c>
    </row>
    <row r="2957" spans="18:19" x14ac:dyDescent="0.25">
      <c r="R2957" s="13">
        <v>2884</v>
      </c>
      <c r="S2957" s="13">
        <v>0</v>
      </c>
    </row>
    <row r="2958" spans="18:19" x14ac:dyDescent="0.25">
      <c r="R2958" s="13">
        <v>2885</v>
      </c>
      <c r="S2958" s="13">
        <v>0</v>
      </c>
    </row>
    <row r="2959" spans="18:19" x14ac:dyDescent="0.25">
      <c r="R2959" s="13">
        <v>2886</v>
      </c>
      <c r="S2959" s="13">
        <v>1473212229.0205021</v>
      </c>
    </row>
    <row r="2960" spans="18:19" x14ac:dyDescent="0.25">
      <c r="R2960" s="13">
        <v>2887</v>
      </c>
      <c r="S2960" s="13">
        <v>0</v>
      </c>
    </row>
    <row r="2961" spans="18:19" x14ac:dyDescent="0.25">
      <c r="R2961" s="13">
        <v>2888</v>
      </c>
      <c r="S2961" s="13">
        <v>395085478.23360634</v>
      </c>
    </row>
    <row r="2962" spans="18:19" x14ac:dyDescent="0.25">
      <c r="R2962" s="13">
        <v>2889</v>
      </c>
      <c r="S2962" s="13">
        <v>0</v>
      </c>
    </row>
    <row r="2963" spans="18:19" x14ac:dyDescent="0.25">
      <c r="R2963" s="13">
        <v>2890</v>
      </c>
      <c r="S2963" s="13">
        <v>0</v>
      </c>
    </row>
    <row r="2964" spans="18:19" x14ac:dyDescent="0.25">
      <c r="R2964" s="13">
        <v>2891</v>
      </c>
      <c r="S2964" s="13">
        <v>0</v>
      </c>
    </row>
    <row r="2965" spans="18:19" x14ac:dyDescent="0.25">
      <c r="R2965" s="13">
        <v>2892</v>
      </c>
      <c r="S2965" s="13">
        <v>0</v>
      </c>
    </row>
    <row r="2966" spans="18:19" x14ac:dyDescent="0.25">
      <c r="R2966" s="13">
        <v>2893</v>
      </c>
      <c r="S2966" s="13">
        <v>0</v>
      </c>
    </row>
    <row r="2967" spans="18:19" x14ac:dyDescent="0.25">
      <c r="R2967" s="13">
        <v>2894</v>
      </c>
      <c r="S2967" s="13">
        <v>0</v>
      </c>
    </row>
    <row r="2968" spans="18:19" x14ac:dyDescent="0.25">
      <c r="R2968" s="13">
        <v>2895</v>
      </c>
      <c r="S2968" s="13">
        <v>15552270.537124634</v>
      </c>
    </row>
    <row r="2969" spans="18:19" x14ac:dyDescent="0.25">
      <c r="R2969" s="13">
        <v>2896</v>
      </c>
      <c r="S2969" s="13">
        <v>188245117.03765869</v>
      </c>
    </row>
    <row r="2970" spans="18:19" x14ac:dyDescent="0.25">
      <c r="R2970" s="13">
        <v>2897</v>
      </c>
      <c r="S2970" s="13">
        <v>415800859.56361389</v>
      </c>
    </row>
    <row r="2971" spans="18:19" x14ac:dyDescent="0.25">
      <c r="R2971" s="13">
        <v>2898</v>
      </c>
      <c r="S2971" s="13">
        <v>0</v>
      </c>
    </row>
    <row r="2972" spans="18:19" x14ac:dyDescent="0.25">
      <c r="R2972" s="13">
        <v>2899</v>
      </c>
      <c r="S2972" s="13">
        <v>0</v>
      </c>
    </row>
    <row r="2973" spans="18:19" x14ac:dyDescent="0.25">
      <c r="R2973" s="13">
        <v>2900</v>
      </c>
      <c r="S2973" s="13">
        <v>0</v>
      </c>
    </row>
    <row r="2974" spans="18:19" x14ac:dyDescent="0.25">
      <c r="R2974" s="13">
        <v>2901</v>
      </c>
      <c r="S2974" s="13">
        <v>0</v>
      </c>
    </row>
    <row r="2975" spans="18:19" x14ac:dyDescent="0.25">
      <c r="R2975" s="13">
        <v>2902</v>
      </c>
      <c r="S2975" s="13">
        <v>142712419.61398697</v>
      </c>
    </row>
    <row r="2976" spans="18:19" x14ac:dyDescent="0.25">
      <c r="R2976" s="13">
        <v>2903</v>
      </c>
      <c r="S2976" s="13">
        <v>0</v>
      </c>
    </row>
    <row r="2977" spans="18:19" x14ac:dyDescent="0.25">
      <c r="R2977" s="13">
        <v>2904</v>
      </c>
      <c r="S2977" s="13">
        <v>0</v>
      </c>
    </row>
    <row r="2978" spans="18:19" x14ac:dyDescent="0.25">
      <c r="R2978" s="13">
        <v>2905</v>
      </c>
      <c r="S2978" s="13">
        <v>0</v>
      </c>
    </row>
    <row r="2979" spans="18:19" x14ac:dyDescent="0.25">
      <c r="R2979" s="13">
        <v>2906</v>
      </c>
      <c r="S2979" s="13">
        <v>0</v>
      </c>
    </row>
    <row r="2980" spans="18:19" x14ac:dyDescent="0.25">
      <c r="R2980" s="13">
        <v>2907</v>
      </c>
      <c r="S2980" s="13">
        <v>0</v>
      </c>
    </row>
    <row r="2981" spans="18:19" x14ac:dyDescent="0.25">
      <c r="R2981" s="13">
        <v>2908</v>
      </c>
      <c r="S2981" s="13">
        <v>304823629.28721809</v>
      </c>
    </row>
    <row r="2982" spans="18:19" x14ac:dyDescent="0.25">
      <c r="R2982" s="13">
        <v>2909</v>
      </c>
      <c r="S2982" s="13">
        <v>197020055.24954605</v>
      </c>
    </row>
    <row r="2983" spans="18:19" x14ac:dyDescent="0.25">
      <c r="R2983" s="13">
        <v>2910</v>
      </c>
      <c r="S2983" s="13">
        <v>85206111.74385643</v>
      </c>
    </row>
    <row r="2984" spans="18:19" x14ac:dyDescent="0.25">
      <c r="R2984" s="13">
        <v>2911</v>
      </c>
      <c r="S2984" s="13">
        <v>0</v>
      </c>
    </row>
    <row r="2985" spans="18:19" x14ac:dyDescent="0.25">
      <c r="R2985" s="13">
        <v>2912</v>
      </c>
      <c r="S2985" s="13">
        <v>124303666.23666954</v>
      </c>
    </row>
    <row r="2986" spans="18:19" x14ac:dyDescent="0.25">
      <c r="R2986" s="13">
        <v>2913</v>
      </c>
      <c r="S2986" s="13">
        <v>197483790.39807129</v>
      </c>
    </row>
    <row r="2987" spans="18:19" x14ac:dyDescent="0.25">
      <c r="R2987" s="13">
        <v>2914</v>
      </c>
      <c r="S2987" s="13">
        <v>0</v>
      </c>
    </row>
    <row r="2988" spans="18:19" x14ac:dyDescent="0.25">
      <c r="R2988" s="13">
        <v>2915</v>
      </c>
      <c r="S2988" s="13">
        <v>381759632.43894577</v>
      </c>
    </row>
    <row r="2989" spans="18:19" x14ac:dyDescent="0.25">
      <c r="R2989" s="13">
        <v>2916</v>
      </c>
      <c r="S2989" s="13">
        <v>0</v>
      </c>
    </row>
    <row r="2990" spans="18:19" x14ac:dyDescent="0.25">
      <c r="R2990" s="13">
        <v>2917</v>
      </c>
      <c r="S2990" s="13">
        <v>0</v>
      </c>
    </row>
    <row r="2991" spans="18:19" x14ac:dyDescent="0.25">
      <c r="R2991" s="13">
        <v>2918</v>
      </c>
      <c r="S2991" s="13">
        <v>0</v>
      </c>
    </row>
    <row r="2992" spans="18:19" x14ac:dyDescent="0.25">
      <c r="R2992" s="13">
        <v>2919</v>
      </c>
      <c r="S2992" s="13">
        <v>0</v>
      </c>
    </row>
    <row r="2993" spans="18:19" x14ac:dyDescent="0.25">
      <c r="R2993" s="13">
        <v>2920</v>
      </c>
      <c r="S2993" s="13">
        <v>50145568.201709747</v>
      </c>
    </row>
    <row r="2994" spans="18:19" x14ac:dyDescent="0.25">
      <c r="R2994" s="13">
        <v>2921</v>
      </c>
      <c r="S2994" s="13">
        <v>0</v>
      </c>
    </row>
    <row r="2995" spans="18:19" x14ac:dyDescent="0.25">
      <c r="R2995" s="13">
        <v>2922</v>
      </c>
      <c r="S2995" s="13">
        <v>599954990.04764175</v>
      </c>
    </row>
    <row r="2996" spans="18:19" x14ac:dyDescent="0.25">
      <c r="R2996" s="13">
        <v>2923</v>
      </c>
      <c r="S2996" s="13">
        <v>0</v>
      </c>
    </row>
    <row r="2997" spans="18:19" x14ac:dyDescent="0.25">
      <c r="R2997" s="13">
        <v>2924</v>
      </c>
      <c r="S2997" s="13">
        <v>0</v>
      </c>
    </row>
    <row r="2998" spans="18:19" x14ac:dyDescent="0.25">
      <c r="R2998" s="13">
        <v>2925</v>
      </c>
      <c r="S2998" s="13">
        <v>0</v>
      </c>
    </row>
    <row r="2999" spans="18:19" x14ac:dyDescent="0.25">
      <c r="R2999" s="13">
        <v>2926</v>
      </c>
      <c r="S2999" s="13">
        <v>0</v>
      </c>
    </row>
    <row r="3000" spans="18:19" x14ac:dyDescent="0.25">
      <c r="R3000" s="13">
        <v>2927</v>
      </c>
      <c r="S3000" s="13">
        <v>0</v>
      </c>
    </row>
    <row r="3001" spans="18:19" x14ac:dyDescent="0.25">
      <c r="R3001" s="13">
        <v>2928</v>
      </c>
      <c r="S3001" s="13">
        <v>172433845.52667999</v>
      </c>
    </row>
    <row r="3002" spans="18:19" x14ac:dyDescent="0.25">
      <c r="R3002" s="13">
        <v>2929</v>
      </c>
      <c r="S3002" s="13">
        <v>0</v>
      </c>
    </row>
    <row r="3003" spans="18:19" x14ac:dyDescent="0.25">
      <c r="R3003" s="13">
        <v>2930</v>
      </c>
      <c r="S3003" s="13">
        <v>0</v>
      </c>
    </row>
    <row r="3004" spans="18:19" x14ac:dyDescent="0.25">
      <c r="R3004" s="13">
        <v>2931</v>
      </c>
      <c r="S3004" s="13">
        <v>0</v>
      </c>
    </row>
    <row r="3005" spans="18:19" x14ac:dyDescent="0.25">
      <c r="R3005" s="13">
        <v>2932</v>
      </c>
      <c r="S3005" s="13">
        <v>328235927.73010063</v>
      </c>
    </row>
    <row r="3006" spans="18:19" x14ac:dyDescent="0.25">
      <c r="R3006" s="13">
        <v>2933</v>
      </c>
      <c r="S3006" s="13">
        <v>0</v>
      </c>
    </row>
    <row r="3007" spans="18:19" x14ac:dyDescent="0.25">
      <c r="R3007" s="13">
        <v>2934</v>
      </c>
      <c r="S3007" s="13">
        <v>704324706.97100067</v>
      </c>
    </row>
    <row r="3008" spans="18:19" x14ac:dyDescent="0.25">
      <c r="R3008" s="13">
        <v>2935</v>
      </c>
      <c r="S3008" s="13">
        <v>0</v>
      </c>
    </row>
    <row r="3009" spans="18:19" x14ac:dyDescent="0.25">
      <c r="R3009" s="13">
        <v>2936</v>
      </c>
      <c r="S3009" s="13">
        <v>0</v>
      </c>
    </row>
    <row r="3010" spans="18:19" x14ac:dyDescent="0.25">
      <c r="R3010" s="13">
        <v>2937</v>
      </c>
      <c r="S3010" s="13">
        <v>0</v>
      </c>
    </row>
    <row r="3011" spans="18:19" x14ac:dyDescent="0.25">
      <c r="R3011" s="13">
        <v>2938</v>
      </c>
      <c r="S3011" s="13">
        <v>196515307.08016205</v>
      </c>
    </row>
    <row r="3012" spans="18:19" x14ac:dyDescent="0.25">
      <c r="R3012" s="13">
        <v>2939</v>
      </c>
      <c r="S3012" s="13">
        <v>0</v>
      </c>
    </row>
    <row r="3013" spans="18:19" x14ac:dyDescent="0.25">
      <c r="R3013" s="13">
        <v>2940</v>
      </c>
      <c r="S3013" s="13">
        <v>0</v>
      </c>
    </row>
    <row r="3014" spans="18:19" x14ac:dyDescent="0.25">
      <c r="R3014" s="13">
        <v>2941</v>
      </c>
      <c r="S3014" s="13">
        <v>0</v>
      </c>
    </row>
    <row r="3015" spans="18:19" x14ac:dyDescent="0.25">
      <c r="R3015" s="13">
        <v>2942</v>
      </c>
      <c r="S3015" s="13">
        <v>866440230.77230453</v>
      </c>
    </row>
    <row r="3016" spans="18:19" x14ac:dyDescent="0.25">
      <c r="R3016" s="13">
        <v>2943</v>
      </c>
      <c r="S3016" s="13">
        <v>957974452.90725517</v>
      </c>
    </row>
    <row r="3017" spans="18:19" x14ac:dyDescent="0.25">
      <c r="R3017" s="13">
        <v>2944</v>
      </c>
      <c r="S3017" s="13">
        <v>568110898.07683754</v>
      </c>
    </row>
    <row r="3018" spans="18:19" x14ac:dyDescent="0.25">
      <c r="R3018" s="13">
        <v>2945</v>
      </c>
      <c r="S3018" s="13">
        <v>0</v>
      </c>
    </row>
    <row r="3019" spans="18:19" x14ac:dyDescent="0.25">
      <c r="R3019" s="13">
        <v>2946</v>
      </c>
      <c r="S3019" s="13">
        <v>0</v>
      </c>
    </row>
    <row r="3020" spans="18:19" x14ac:dyDescent="0.25">
      <c r="R3020" s="13">
        <v>2947</v>
      </c>
      <c r="S3020" s="13">
        <v>427262586.89761543</v>
      </c>
    </row>
    <row r="3021" spans="18:19" x14ac:dyDescent="0.25">
      <c r="R3021" s="13">
        <v>2948</v>
      </c>
      <c r="S3021" s="13">
        <v>155576341.18069649</v>
      </c>
    </row>
    <row r="3022" spans="18:19" x14ac:dyDescent="0.25">
      <c r="R3022" s="13">
        <v>2949</v>
      </c>
      <c r="S3022" s="13">
        <v>0</v>
      </c>
    </row>
    <row r="3023" spans="18:19" x14ac:dyDescent="0.25">
      <c r="R3023" s="13">
        <v>2950</v>
      </c>
      <c r="S3023" s="13">
        <v>343325539.86759949</v>
      </c>
    </row>
    <row r="3024" spans="18:19" x14ac:dyDescent="0.25">
      <c r="R3024" s="13">
        <v>2951</v>
      </c>
      <c r="S3024" s="13">
        <v>0</v>
      </c>
    </row>
    <row r="3025" spans="18:19" x14ac:dyDescent="0.25">
      <c r="R3025" s="13">
        <v>2952</v>
      </c>
      <c r="S3025" s="13">
        <v>0</v>
      </c>
    </row>
    <row r="3026" spans="18:19" x14ac:dyDescent="0.25">
      <c r="R3026" s="13">
        <v>2953</v>
      </c>
      <c r="S3026" s="13">
        <v>0</v>
      </c>
    </row>
    <row r="3027" spans="18:19" x14ac:dyDescent="0.25">
      <c r="R3027" s="13">
        <v>2954</v>
      </c>
      <c r="S3027" s="13">
        <v>0</v>
      </c>
    </row>
    <row r="3028" spans="18:19" x14ac:dyDescent="0.25">
      <c r="R3028" s="13">
        <v>2955</v>
      </c>
      <c r="S3028" s="13">
        <v>1013337521.2906494</v>
      </c>
    </row>
    <row r="3029" spans="18:19" x14ac:dyDescent="0.25">
      <c r="R3029" s="13">
        <v>2956</v>
      </c>
      <c r="S3029" s="13">
        <v>0</v>
      </c>
    </row>
    <row r="3030" spans="18:19" x14ac:dyDescent="0.25">
      <c r="R3030" s="13">
        <v>2957</v>
      </c>
      <c r="S3030" s="13">
        <v>0</v>
      </c>
    </row>
    <row r="3031" spans="18:19" x14ac:dyDescent="0.25">
      <c r="R3031" s="13">
        <v>2958</v>
      </c>
      <c r="S3031" s="13">
        <v>0</v>
      </c>
    </row>
    <row r="3032" spans="18:19" x14ac:dyDescent="0.25">
      <c r="R3032" s="13">
        <v>2959</v>
      </c>
      <c r="S3032" s="13">
        <v>235842424.17828941</v>
      </c>
    </row>
    <row r="3033" spans="18:19" x14ac:dyDescent="0.25">
      <c r="R3033" s="13">
        <v>2960</v>
      </c>
      <c r="S3033" s="13">
        <v>0</v>
      </c>
    </row>
    <row r="3034" spans="18:19" x14ac:dyDescent="0.25">
      <c r="R3034" s="13">
        <v>2961</v>
      </c>
      <c r="S3034" s="13">
        <v>0</v>
      </c>
    </row>
    <row r="3035" spans="18:19" x14ac:dyDescent="0.25">
      <c r="R3035" s="13">
        <v>2962</v>
      </c>
      <c r="S3035" s="13">
        <v>0</v>
      </c>
    </row>
    <row r="3036" spans="18:19" x14ac:dyDescent="0.25">
      <c r="R3036" s="13">
        <v>2963</v>
      </c>
      <c r="S3036" s="13">
        <v>0</v>
      </c>
    </row>
    <row r="3037" spans="18:19" x14ac:dyDescent="0.25">
      <c r="R3037" s="13">
        <v>2964</v>
      </c>
      <c r="S3037" s="13">
        <v>0</v>
      </c>
    </row>
    <row r="3038" spans="18:19" x14ac:dyDescent="0.25">
      <c r="R3038" s="13">
        <v>2965</v>
      </c>
      <c r="S3038" s="13">
        <v>0</v>
      </c>
    </row>
    <row r="3039" spans="18:19" x14ac:dyDescent="0.25">
      <c r="R3039" s="13">
        <v>2966</v>
      </c>
      <c r="S3039" s="13">
        <v>0</v>
      </c>
    </row>
    <row r="3040" spans="18:19" x14ac:dyDescent="0.25">
      <c r="R3040" s="13">
        <v>2967</v>
      </c>
      <c r="S3040" s="13">
        <v>0</v>
      </c>
    </row>
    <row r="3041" spans="18:19" x14ac:dyDescent="0.25">
      <c r="R3041" s="13">
        <v>2968</v>
      </c>
      <c r="S3041" s="13">
        <v>0</v>
      </c>
    </row>
    <row r="3042" spans="18:19" x14ac:dyDescent="0.25">
      <c r="R3042" s="13">
        <v>2969</v>
      </c>
      <c r="S3042" s="13">
        <v>0</v>
      </c>
    </row>
    <row r="3043" spans="18:19" x14ac:dyDescent="0.25">
      <c r="R3043" s="13">
        <v>2970</v>
      </c>
      <c r="S3043" s="13">
        <v>0</v>
      </c>
    </row>
    <row r="3044" spans="18:19" x14ac:dyDescent="0.25">
      <c r="R3044" s="13">
        <v>2971</v>
      </c>
      <c r="S3044" s="13">
        <v>229691162.64061165</v>
      </c>
    </row>
    <row r="3045" spans="18:19" x14ac:dyDescent="0.25">
      <c r="R3045" s="13">
        <v>2972</v>
      </c>
      <c r="S3045" s="13">
        <v>0</v>
      </c>
    </row>
    <row r="3046" spans="18:19" x14ac:dyDescent="0.25">
      <c r="R3046" s="13">
        <v>2973</v>
      </c>
      <c r="S3046" s="13">
        <v>0</v>
      </c>
    </row>
    <row r="3047" spans="18:19" x14ac:dyDescent="0.25">
      <c r="R3047" s="13">
        <v>2974</v>
      </c>
      <c r="S3047" s="13">
        <v>0</v>
      </c>
    </row>
    <row r="3048" spans="18:19" x14ac:dyDescent="0.25">
      <c r="R3048" s="13">
        <v>2975</v>
      </c>
      <c r="S3048" s="13">
        <v>0</v>
      </c>
    </row>
    <row r="3049" spans="18:19" x14ac:dyDescent="0.25">
      <c r="R3049" s="13">
        <v>2976</v>
      </c>
      <c r="S3049" s="13">
        <v>0</v>
      </c>
    </row>
    <row r="3050" spans="18:19" x14ac:dyDescent="0.25">
      <c r="R3050" s="13">
        <v>2977</v>
      </c>
      <c r="S3050" s="13">
        <v>532567411.90390205</v>
      </c>
    </row>
    <row r="3051" spans="18:19" x14ac:dyDescent="0.25">
      <c r="R3051" s="13">
        <v>2978</v>
      </c>
      <c r="S3051" s="13">
        <v>0</v>
      </c>
    </row>
    <row r="3052" spans="18:19" x14ac:dyDescent="0.25">
      <c r="R3052" s="13">
        <v>2979</v>
      </c>
      <c r="S3052" s="13">
        <v>642837424.77234077</v>
      </c>
    </row>
    <row r="3053" spans="18:19" x14ac:dyDescent="0.25">
      <c r="R3053" s="13">
        <v>2980</v>
      </c>
      <c r="S3053" s="13">
        <v>584775556.10694504</v>
      </c>
    </row>
    <row r="3054" spans="18:19" x14ac:dyDescent="0.25">
      <c r="R3054" s="13">
        <v>2981</v>
      </c>
      <c r="S3054" s="13">
        <v>0</v>
      </c>
    </row>
    <row r="3055" spans="18:19" x14ac:dyDescent="0.25">
      <c r="R3055" s="13">
        <v>2982</v>
      </c>
      <c r="S3055" s="13">
        <v>403248584.1375618</v>
      </c>
    </row>
    <row r="3056" spans="18:19" x14ac:dyDescent="0.25">
      <c r="R3056" s="13">
        <v>2983</v>
      </c>
      <c r="S3056" s="13">
        <v>214754107.9581089</v>
      </c>
    </row>
    <row r="3057" spans="18:19" x14ac:dyDescent="0.25">
      <c r="R3057" s="13">
        <v>2984</v>
      </c>
      <c r="S3057" s="13">
        <v>0</v>
      </c>
    </row>
    <row r="3058" spans="18:19" x14ac:dyDescent="0.25">
      <c r="R3058" s="13">
        <v>2985</v>
      </c>
      <c r="S3058" s="13">
        <v>0</v>
      </c>
    </row>
    <row r="3059" spans="18:19" x14ac:dyDescent="0.25">
      <c r="R3059" s="13">
        <v>2986</v>
      </c>
      <c r="S3059" s="13">
        <v>0</v>
      </c>
    </row>
    <row r="3060" spans="18:19" x14ac:dyDescent="0.25">
      <c r="R3060" s="13">
        <v>2987</v>
      </c>
      <c r="S3060" s="13">
        <v>0</v>
      </c>
    </row>
    <row r="3061" spans="18:19" x14ac:dyDescent="0.25">
      <c r="R3061" s="13">
        <v>2988</v>
      </c>
      <c r="S3061" s="13">
        <v>0</v>
      </c>
    </row>
    <row r="3062" spans="18:19" x14ac:dyDescent="0.25">
      <c r="R3062" s="13">
        <v>2989</v>
      </c>
      <c r="S3062" s="13">
        <v>110560915.81960487</v>
      </c>
    </row>
    <row r="3063" spans="18:19" x14ac:dyDescent="0.25">
      <c r="R3063" s="13">
        <v>2990</v>
      </c>
      <c r="S3063" s="13">
        <v>0</v>
      </c>
    </row>
    <row r="3064" spans="18:19" x14ac:dyDescent="0.25">
      <c r="R3064" s="13">
        <v>2991</v>
      </c>
      <c r="S3064" s="13">
        <v>0</v>
      </c>
    </row>
    <row r="3065" spans="18:19" x14ac:dyDescent="0.25">
      <c r="R3065" s="13">
        <v>2992</v>
      </c>
      <c r="S3065" s="13">
        <v>0</v>
      </c>
    </row>
    <row r="3066" spans="18:19" x14ac:dyDescent="0.25">
      <c r="R3066" s="13">
        <v>2993</v>
      </c>
      <c r="S3066" s="13">
        <v>0</v>
      </c>
    </row>
    <row r="3067" spans="18:19" x14ac:dyDescent="0.25">
      <c r="R3067" s="13">
        <v>2994</v>
      </c>
      <c r="S3067" s="13">
        <v>154893872.76953506</v>
      </c>
    </row>
    <row r="3068" spans="18:19" x14ac:dyDescent="0.25">
      <c r="R3068" s="13">
        <v>2995</v>
      </c>
      <c r="S3068" s="13">
        <v>140723563.45261574</v>
      </c>
    </row>
    <row r="3069" spans="18:19" x14ac:dyDescent="0.25">
      <c r="R3069" s="13">
        <v>2996</v>
      </c>
      <c r="S3069" s="13">
        <v>0</v>
      </c>
    </row>
    <row r="3070" spans="18:19" x14ac:dyDescent="0.25">
      <c r="R3070" s="13">
        <v>2997</v>
      </c>
      <c r="S3070" s="13">
        <v>0</v>
      </c>
    </row>
    <row r="3071" spans="18:19" x14ac:dyDescent="0.25">
      <c r="R3071" s="13">
        <v>2998</v>
      </c>
      <c r="S3071" s="13">
        <v>536592607.26630974</v>
      </c>
    </row>
    <row r="3072" spans="18:19" x14ac:dyDescent="0.25">
      <c r="R3072" s="13">
        <v>2999</v>
      </c>
      <c r="S3072" s="13">
        <v>0</v>
      </c>
    </row>
    <row r="3073" spans="18:19" x14ac:dyDescent="0.25">
      <c r="R3073" s="13">
        <v>3000</v>
      </c>
      <c r="S3073" s="13">
        <v>0</v>
      </c>
    </row>
    <row r="3074" spans="18:19" x14ac:dyDescent="0.25">
      <c r="R3074" s="13">
        <v>3001</v>
      </c>
      <c r="S3074" s="13">
        <v>0</v>
      </c>
    </row>
    <row r="3075" spans="18:19" x14ac:dyDescent="0.25">
      <c r="R3075" s="13">
        <v>3002</v>
      </c>
      <c r="S3075" s="13">
        <v>0</v>
      </c>
    </row>
    <row r="3076" spans="18:19" x14ac:dyDescent="0.25">
      <c r="R3076" s="13">
        <v>3003</v>
      </c>
      <c r="S3076" s="13">
        <v>80202244.80827713</v>
      </c>
    </row>
    <row r="3077" spans="18:19" x14ac:dyDescent="0.25">
      <c r="R3077" s="13">
        <v>3004</v>
      </c>
      <c r="S3077" s="13">
        <v>0</v>
      </c>
    </row>
    <row r="3078" spans="18:19" x14ac:dyDescent="0.25">
      <c r="R3078" s="13">
        <v>3005</v>
      </c>
      <c r="S3078" s="13">
        <v>0</v>
      </c>
    </row>
    <row r="3079" spans="18:19" x14ac:dyDescent="0.25">
      <c r="R3079" s="13">
        <v>3006</v>
      </c>
      <c r="S3079" s="13">
        <v>0</v>
      </c>
    </row>
    <row r="3080" spans="18:19" x14ac:dyDescent="0.25">
      <c r="R3080" s="13">
        <v>3007</v>
      </c>
      <c r="S3080" s="13">
        <v>0</v>
      </c>
    </row>
    <row r="3081" spans="18:19" x14ac:dyDescent="0.25">
      <c r="R3081" s="13">
        <v>3008</v>
      </c>
      <c r="S3081" s="13">
        <v>582986842.36886215</v>
      </c>
    </row>
    <row r="3082" spans="18:19" x14ac:dyDescent="0.25">
      <c r="R3082" s="13">
        <v>3009</v>
      </c>
      <c r="S3082" s="13">
        <v>0</v>
      </c>
    </row>
    <row r="3083" spans="18:19" x14ac:dyDescent="0.25">
      <c r="R3083" s="13">
        <v>3010</v>
      </c>
      <c r="S3083" s="13">
        <v>0</v>
      </c>
    </row>
    <row r="3084" spans="18:19" x14ac:dyDescent="0.25">
      <c r="R3084" s="13">
        <v>3011</v>
      </c>
      <c r="S3084" s="13">
        <v>0</v>
      </c>
    </row>
    <row r="3085" spans="18:19" x14ac:dyDescent="0.25">
      <c r="R3085" s="13">
        <v>3012</v>
      </c>
      <c r="S3085" s="13">
        <v>0</v>
      </c>
    </row>
    <row r="3086" spans="18:19" x14ac:dyDescent="0.25">
      <c r="R3086" s="13">
        <v>3013</v>
      </c>
      <c r="S3086" s="13">
        <v>241064112.29532623</v>
      </c>
    </row>
    <row r="3087" spans="18:19" x14ac:dyDescent="0.25">
      <c r="R3087" s="13">
        <v>3014</v>
      </c>
      <c r="S3087" s="13">
        <v>0</v>
      </c>
    </row>
    <row r="3088" spans="18:19" x14ac:dyDescent="0.25">
      <c r="R3088" s="13">
        <v>3015</v>
      </c>
      <c r="S3088" s="13">
        <v>0</v>
      </c>
    </row>
    <row r="3089" spans="18:19" x14ac:dyDescent="0.25">
      <c r="R3089" s="13">
        <v>3016</v>
      </c>
      <c r="S3089" s="13">
        <v>623756694.04591751</v>
      </c>
    </row>
    <row r="3090" spans="18:19" x14ac:dyDescent="0.25">
      <c r="R3090" s="13">
        <v>3017</v>
      </c>
      <c r="S3090" s="13">
        <v>225610014.51923943</v>
      </c>
    </row>
    <row r="3091" spans="18:19" x14ac:dyDescent="0.25">
      <c r="R3091" s="13">
        <v>3018</v>
      </c>
      <c r="S3091" s="13">
        <v>1215572333.1975174</v>
      </c>
    </row>
    <row r="3092" spans="18:19" x14ac:dyDescent="0.25">
      <c r="R3092" s="13">
        <v>3019</v>
      </c>
      <c r="S3092" s="13">
        <v>0</v>
      </c>
    </row>
    <row r="3093" spans="18:19" x14ac:dyDescent="0.25">
      <c r="R3093" s="13">
        <v>3020</v>
      </c>
      <c r="S3093" s="13">
        <v>0</v>
      </c>
    </row>
    <row r="3094" spans="18:19" x14ac:dyDescent="0.25">
      <c r="R3094" s="13">
        <v>3021</v>
      </c>
      <c r="S3094" s="13">
        <v>0</v>
      </c>
    </row>
    <row r="3095" spans="18:19" x14ac:dyDescent="0.25">
      <c r="R3095" s="13">
        <v>3022</v>
      </c>
      <c r="S3095" s="13">
        <v>0</v>
      </c>
    </row>
    <row r="3096" spans="18:19" x14ac:dyDescent="0.25">
      <c r="R3096" s="13">
        <v>3023</v>
      </c>
      <c r="S3096" s="13">
        <v>627329149.89296913</v>
      </c>
    </row>
    <row r="3097" spans="18:19" x14ac:dyDescent="0.25">
      <c r="R3097" s="13">
        <v>3024</v>
      </c>
      <c r="S3097" s="13">
        <v>0</v>
      </c>
    </row>
    <row r="3098" spans="18:19" x14ac:dyDescent="0.25">
      <c r="R3098" s="13">
        <v>3025</v>
      </c>
      <c r="S3098" s="13">
        <v>0</v>
      </c>
    </row>
    <row r="3099" spans="18:19" x14ac:dyDescent="0.25">
      <c r="R3099" s="13">
        <v>3026</v>
      </c>
      <c r="S3099" s="13">
        <v>0</v>
      </c>
    </row>
    <row r="3100" spans="18:19" x14ac:dyDescent="0.25">
      <c r="R3100" s="13">
        <v>3027</v>
      </c>
      <c r="S3100" s="13">
        <v>0</v>
      </c>
    </row>
    <row r="3101" spans="18:19" x14ac:dyDescent="0.25">
      <c r="R3101" s="13">
        <v>3028</v>
      </c>
      <c r="S3101" s="13">
        <v>0</v>
      </c>
    </row>
    <row r="3102" spans="18:19" x14ac:dyDescent="0.25">
      <c r="R3102" s="13">
        <v>3029</v>
      </c>
      <c r="S3102" s="13">
        <v>0</v>
      </c>
    </row>
    <row r="3103" spans="18:19" x14ac:dyDescent="0.25">
      <c r="R3103" s="13">
        <v>3030</v>
      </c>
      <c r="S3103" s="13">
        <v>0</v>
      </c>
    </row>
    <row r="3104" spans="18:19" x14ac:dyDescent="0.25">
      <c r="R3104" s="13">
        <v>3031</v>
      </c>
      <c r="S3104" s="13">
        <v>0</v>
      </c>
    </row>
    <row r="3105" spans="18:19" x14ac:dyDescent="0.25">
      <c r="R3105" s="13">
        <v>3032</v>
      </c>
      <c r="S3105" s="13">
        <v>157202308.32506371</v>
      </c>
    </row>
    <row r="3106" spans="18:19" x14ac:dyDescent="0.25">
      <c r="R3106" s="13">
        <v>3033</v>
      </c>
      <c r="S3106" s="13">
        <v>1613709743.6748943</v>
      </c>
    </row>
    <row r="3107" spans="18:19" x14ac:dyDescent="0.25">
      <c r="R3107" s="13">
        <v>3034</v>
      </c>
      <c r="S3107" s="13">
        <v>0</v>
      </c>
    </row>
    <row r="3108" spans="18:19" x14ac:dyDescent="0.25">
      <c r="R3108" s="13">
        <v>3035</v>
      </c>
      <c r="S3108" s="13">
        <v>183945188.23603249</v>
      </c>
    </row>
    <row r="3109" spans="18:19" x14ac:dyDescent="0.25">
      <c r="R3109" s="13">
        <v>3036</v>
      </c>
      <c r="S3109" s="13">
        <v>0</v>
      </c>
    </row>
    <row r="3110" spans="18:19" x14ac:dyDescent="0.25">
      <c r="R3110" s="13">
        <v>3037</v>
      </c>
      <c r="S3110" s="13">
        <v>0</v>
      </c>
    </row>
    <row r="3111" spans="18:19" x14ac:dyDescent="0.25">
      <c r="R3111" s="13">
        <v>3038</v>
      </c>
      <c r="S3111" s="13">
        <v>0</v>
      </c>
    </row>
    <row r="3112" spans="18:19" x14ac:dyDescent="0.25">
      <c r="R3112" s="13">
        <v>3039</v>
      </c>
      <c r="S3112" s="13">
        <v>0</v>
      </c>
    </row>
    <row r="3113" spans="18:19" x14ac:dyDescent="0.25">
      <c r="R3113" s="13">
        <v>3040</v>
      </c>
      <c r="S3113" s="13">
        <v>0</v>
      </c>
    </row>
    <row r="3114" spans="18:19" x14ac:dyDescent="0.25">
      <c r="R3114" s="13">
        <v>3041</v>
      </c>
      <c r="S3114" s="13">
        <v>0</v>
      </c>
    </row>
    <row r="3115" spans="18:19" x14ac:dyDescent="0.25">
      <c r="R3115" s="13">
        <v>3042</v>
      </c>
      <c r="S3115" s="13">
        <v>450511491.46635056</v>
      </c>
    </row>
    <row r="3116" spans="18:19" x14ac:dyDescent="0.25">
      <c r="R3116" s="13">
        <v>3043</v>
      </c>
      <c r="S3116" s="13">
        <v>0</v>
      </c>
    </row>
    <row r="3117" spans="18:19" x14ac:dyDescent="0.25">
      <c r="R3117" s="13">
        <v>3044</v>
      </c>
      <c r="S3117" s="13">
        <v>0</v>
      </c>
    </row>
    <row r="3118" spans="18:19" x14ac:dyDescent="0.25">
      <c r="R3118" s="13">
        <v>3045</v>
      </c>
      <c r="S3118" s="13">
        <v>0</v>
      </c>
    </row>
    <row r="3119" spans="18:19" x14ac:dyDescent="0.25">
      <c r="R3119" s="13">
        <v>3046</v>
      </c>
      <c r="S3119" s="13">
        <v>0</v>
      </c>
    </row>
    <row r="3120" spans="18:19" x14ac:dyDescent="0.25">
      <c r="R3120" s="13">
        <v>3047</v>
      </c>
      <c r="S3120" s="13">
        <v>0</v>
      </c>
    </row>
    <row r="3121" spans="18:19" x14ac:dyDescent="0.25">
      <c r="R3121" s="13">
        <v>3048</v>
      </c>
      <c r="S3121" s="13">
        <v>327706116.70961189</v>
      </c>
    </row>
    <row r="3122" spans="18:19" x14ac:dyDescent="0.25">
      <c r="R3122" s="13">
        <v>3049</v>
      </c>
      <c r="S3122" s="13">
        <v>106038288.67579269</v>
      </c>
    </row>
    <row r="3123" spans="18:19" x14ac:dyDescent="0.25">
      <c r="R3123" s="13">
        <v>3050</v>
      </c>
      <c r="S3123" s="13">
        <v>0</v>
      </c>
    </row>
    <row r="3124" spans="18:19" x14ac:dyDescent="0.25">
      <c r="R3124" s="13">
        <v>3051</v>
      </c>
      <c r="S3124" s="13">
        <v>13264637.176633835</v>
      </c>
    </row>
    <row r="3125" spans="18:19" x14ac:dyDescent="0.25">
      <c r="R3125" s="13">
        <v>3052</v>
      </c>
      <c r="S3125" s="13">
        <v>0</v>
      </c>
    </row>
    <row r="3126" spans="18:19" x14ac:dyDescent="0.25">
      <c r="R3126" s="13">
        <v>3053</v>
      </c>
      <c r="S3126" s="13">
        <v>159921902.98279572</v>
      </c>
    </row>
    <row r="3127" spans="18:19" x14ac:dyDescent="0.25">
      <c r="R3127" s="13">
        <v>3054</v>
      </c>
      <c r="S3127" s="13">
        <v>0</v>
      </c>
    </row>
    <row r="3128" spans="18:19" x14ac:dyDescent="0.25">
      <c r="R3128" s="13">
        <v>3055</v>
      </c>
      <c r="S3128" s="13">
        <v>0</v>
      </c>
    </row>
    <row r="3129" spans="18:19" x14ac:dyDescent="0.25">
      <c r="R3129" s="13">
        <v>3056</v>
      </c>
      <c r="S3129" s="13">
        <v>0</v>
      </c>
    </row>
    <row r="3130" spans="18:19" x14ac:dyDescent="0.25">
      <c r="R3130" s="13">
        <v>3057</v>
      </c>
      <c r="S3130" s="13">
        <v>208267739.88527679</v>
      </c>
    </row>
    <row r="3131" spans="18:19" x14ac:dyDescent="0.25">
      <c r="R3131" s="13">
        <v>3058</v>
      </c>
      <c r="S3131" s="13">
        <v>0</v>
      </c>
    </row>
    <row r="3132" spans="18:19" x14ac:dyDescent="0.25">
      <c r="R3132" s="13">
        <v>3059</v>
      </c>
      <c r="S3132" s="13">
        <v>0</v>
      </c>
    </row>
    <row r="3133" spans="18:19" x14ac:dyDescent="0.25">
      <c r="R3133" s="13">
        <v>3060</v>
      </c>
      <c r="S3133" s="13">
        <v>0</v>
      </c>
    </row>
    <row r="3134" spans="18:19" x14ac:dyDescent="0.25">
      <c r="R3134" s="13">
        <v>3061</v>
      </c>
      <c r="S3134" s="13">
        <v>0</v>
      </c>
    </row>
    <row r="3135" spans="18:19" x14ac:dyDescent="0.25">
      <c r="R3135" s="13">
        <v>3062</v>
      </c>
      <c r="S3135" s="13">
        <v>339761563.02530098</v>
      </c>
    </row>
    <row r="3136" spans="18:19" x14ac:dyDescent="0.25">
      <c r="R3136" s="13">
        <v>3063</v>
      </c>
      <c r="S3136" s="13">
        <v>0</v>
      </c>
    </row>
    <row r="3137" spans="18:19" x14ac:dyDescent="0.25">
      <c r="R3137" s="13">
        <v>3064</v>
      </c>
      <c r="S3137" s="13">
        <v>0</v>
      </c>
    </row>
    <row r="3138" spans="18:19" x14ac:dyDescent="0.25">
      <c r="R3138" s="13">
        <v>3065</v>
      </c>
      <c r="S3138" s="13">
        <v>0</v>
      </c>
    </row>
    <row r="3139" spans="18:19" x14ac:dyDescent="0.25">
      <c r="R3139" s="13">
        <v>3066</v>
      </c>
      <c r="S3139" s="13">
        <v>0</v>
      </c>
    </row>
    <row r="3140" spans="18:19" x14ac:dyDescent="0.25">
      <c r="R3140" s="13">
        <v>3067</v>
      </c>
      <c r="S3140" s="13">
        <v>814405238.62653542</v>
      </c>
    </row>
    <row r="3141" spans="18:19" x14ac:dyDescent="0.25">
      <c r="R3141" s="13">
        <v>3068</v>
      </c>
      <c r="S3141" s="13">
        <v>0</v>
      </c>
    </row>
    <row r="3142" spans="18:19" x14ac:dyDescent="0.25">
      <c r="R3142" s="13">
        <v>3069</v>
      </c>
      <c r="S3142" s="13">
        <v>691190825.26407051</v>
      </c>
    </row>
    <row r="3143" spans="18:19" x14ac:dyDescent="0.25">
      <c r="R3143" s="13">
        <v>3070</v>
      </c>
      <c r="S3143" s="13">
        <v>0</v>
      </c>
    </row>
    <row r="3144" spans="18:19" x14ac:dyDescent="0.25">
      <c r="R3144" s="13">
        <v>3071</v>
      </c>
      <c r="S3144" s="13">
        <v>0</v>
      </c>
    </row>
    <row r="3145" spans="18:19" x14ac:dyDescent="0.25">
      <c r="R3145" s="13">
        <v>3072</v>
      </c>
      <c r="S3145" s="13">
        <v>0</v>
      </c>
    </row>
    <row r="3146" spans="18:19" x14ac:dyDescent="0.25">
      <c r="R3146" s="13">
        <v>3073</v>
      </c>
      <c r="S3146" s="13">
        <v>0</v>
      </c>
    </row>
    <row r="3147" spans="18:19" x14ac:dyDescent="0.25">
      <c r="R3147" s="13">
        <v>3074</v>
      </c>
      <c r="S3147" s="13">
        <v>0</v>
      </c>
    </row>
    <row r="3148" spans="18:19" x14ac:dyDescent="0.25">
      <c r="R3148" s="13">
        <v>3075</v>
      </c>
      <c r="S3148" s="13">
        <v>0</v>
      </c>
    </row>
    <row r="3149" spans="18:19" x14ac:dyDescent="0.25">
      <c r="R3149" s="13">
        <v>3076</v>
      </c>
      <c r="S3149" s="13">
        <v>0</v>
      </c>
    </row>
    <row r="3150" spans="18:19" x14ac:dyDescent="0.25">
      <c r="R3150" s="13">
        <v>3077</v>
      </c>
      <c r="S3150" s="13">
        <v>0</v>
      </c>
    </row>
    <row r="3151" spans="18:19" x14ac:dyDescent="0.25">
      <c r="R3151" s="13">
        <v>3078</v>
      </c>
      <c r="S3151" s="13">
        <v>0</v>
      </c>
    </row>
    <row r="3152" spans="18:19" x14ac:dyDescent="0.25">
      <c r="R3152" s="13">
        <v>3079</v>
      </c>
      <c r="S3152" s="13">
        <v>0</v>
      </c>
    </row>
    <row r="3153" spans="18:19" x14ac:dyDescent="0.25">
      <c r="R3153" s="13">
        <v>3080</v>
      </c>
      <c r="S3153" s="13">
        <v>0</v>
      </c>
    </row>
    <row r="3154" spans="18:19" x14ac:dyDescent="0.25">
      <c r="R3154" s="13">
        <v>3081</v>
      </c>
      <c r="S3154" s="13">
        <v>0</v>
      </c>
    </row>
    <row r="3155" spans="18:19" x14ac:dyDescent="0.25">
      <c r="R3155" s="13">
        <v>3082</v>
      </c>
      <c r="S3155" s="13">
        <v>0</v>
      </c>
    </row>
    <row r="3156" spans="18:19" x14ac:dyDescent="0.25">
      <c r="R3156" s="13">
        <v>3083</v>
      </c>
      <c r="S3156" s="13">
        <v>0</v>
      </c>
    </row>
    <row r="3157" spans="18:19" x14ac:dyDescent="0.25">
      <c r="R3157" s="13">
        <v>3084</v>
      </c>
      <c r="S3157" s="13">
        <v>0</v>
      </c>
    </row>
    <row r="3158" spans="18:19" x14ac:dyDescent="0.25">
      <c r="R3158" s="13">
        <v>3085</v>
      </c>
      <c r="S3158" s="13">
        <v>0</v>
      </c>
    </row>
    <row r="3159" spans="18:19" x14ac:dyDescent="0.25">
      <c r="R3159" s="13">
        <v>3086</v>
      </c>
      <c r="S3159" s="13">
        <v>614715754.74260902</v>
      </c>
    </row>
    <row r="3160" spans="18:19" x14ac:dyDescent="0.25">
      <c r="R3160" s="13">
        <v>3087</v>
      </c>
      <c r="S3160" s="13">
        <v>0</v>
      </c>
    </row>
    <row r="3161" spans="18:19" x14ac:dyDescent="0.25">
      <c r="R3161" s="13">
        <v>3088</v>
      </c>
      <c r="S3161" s="13">
        <v>0</v>
      </c>
    </row>
    <row r="3162" spans="18:19" x14ac:dyDescent="0.25">
      <c r="R3162" s="13">
        <v>3089</v>
      </c>
      <c r="S3162" s="13">
        <v>84708961.320800781</v>
      </c>
    </row>
    <row r="3163" spans="18:19" x14ac:dyDescent="0.25">
      <c r="R3163" s="13">
        <v>3090</v>
      </c>
      <c r="S3163" s="13">
        <v>0</v>
      </c>
    </row>
    <row r="3164" spans="18:19" x14ac:dyDescent="0.25">
      <c r="R3164" s="13">
        <v>3091</v>
      </c>
      <c r="S3164" s="13">
        <v>0</v>
      </c>
    </row>
    <row r="3165" spans="18:19" x14ac:dyDescent="0.25">
      <c r="R3165" s="13">
        <v>3092</v>
      </c>
      <c r="S3165" s="13">
        <v>862381544.29290962</v>
      </c>
    </row>
    <row r="3166" spans="18:19" x14ac:dyDescent="0.25">
      <c r="R3166" s="13">
        <v>3093</v>
      </c>
      <c r="S3166" s="13">
        <v>128354681.75119209</v>
      </c>
    </row>
    <row r="3167" spans="18:19" x14ac:dyDescent="0.25">
      <c r="R3167" s="13">
        <v>3094</v>
      </c>
      <c r="S3167" s="13">
        <v>0</v>
      </c>
    </row>
    <row r="3168" spans="18:19" x14ac:dyDescent="0.25">
      <c r="R3168" s="13">
        <v>3095</v>
      </c>
      <c r="S3168" s="13">
        <v>0</v>
      </c>
    </row>
    <row r="3169" spans="18:19" x14ac:dyDescent="0.25">
      <c r="R3169" s="13">
        <v>3096</v>
      </c>
      <c r="S3169" s="13">
        <v>0</v>
      </c>
    </row>
    <row r="3170" spans="18:19" x14ac:dyDescent="0.25">
      <c r="R3170" s="13">
        <v>3097</v>
      </c>
      <c r="S3170" s="13">
        <v>279276420.71351242</v>
      </c>
    </row>
    <row r="3171" spans="18:19" x14ac:dyDescent="0.25">
      <c r="R3171" s="13">
        <v>3098</v>
      </c>
      <c r="S3171" s="13">
        <v>73485797.125146866</v>
      </c>
    </row>
    <row r="3172" spans="18:19" x14ac:dyDescent="0.25">
      <c r="R3172" s="13">
        <v>3099</v>
      </c>
      <c r="S3172" s="13">
        <v>0</v>
      </c>
    </row>
    <row r="3173" spans="18:19" x14ac:dyDescent="0.25">
      <c r="R3173" s="13">
        <v>3100</v>
      </c>
      <c r="S3173" s="13">
        <v>0</v>
      </c>
    </row>
    <row r="3174" spans="18:19" x14ac:dyDescent="0.25">
      <c r="R3174" s="13">
        <v>3101</v>
      </c>
      <c r="S3174" s="13">
        <v>825090354.68627167</v>
      </c>
    </row>
    <row r="3175" spans="18:19" x14ac:dyDescent="0.25">
      <c r="R3175" s="13">
        <v>3102</v>
      </c>
      <c r="S3175" s="13">
        <v>0</v>
      </c>
    </row>
    <row r="3176" spans="18:19" x14ac:dyDescent="0.25">
      <c r="R3176" s="13">
        <v>3103</v>
      </c>
      <c r="S3176" s="13">
        <v>0</v>
      </c>
    </row>
    <row r="3177" spans="18:19" x14ac:dyDescent="0.25">
      <c r="R3177" s="13">
        <v>3104</v>
      </c>
      <c r="S3177" s="13">
        <v>0</v>
      </c>
    </row>
    <row r="3178" spans="18:19" x14ac:dyDescent="0.25">
      <c r="R3178" s="13">
        <v>3105</v>
      </c>
      <c r="S3178" s="13">
        <v>0</v>
      </c>
    </row>
    <row r="3179" spans="18:19" x14ac:dyDescent="0.25">
      <c r="R3179" s="13">
        <v>3106</v>
      </c>
      <c r="S3179" s="13">
        <v>0</v>
      </c>
    </row>
    <row r="3180" spans="18:19" x14ac:dyDescent="0.25">
      <c r="R3180" s="13">
        <v>3107</v>
      </c>
      <c r="S3180" s="13">
        <v>161352620.56550789</v>
      </c>
    </row>
    <row r="3181" spans="18:19" x14ac:dyDescent="0.25">
      <c r="R3181" s="13">
        <v>3108</v>
      </c>
      <c r="S3181" s="13">
        <v>0</v>
      </c>
    </row>
    <row r="3182" spans="18:19" x14ac:dyDescent="0.25">
      <c r="R3182" s="13">
        <v>3109</v>
      </c>
      <c r="S3182" s="13">
        <v>0</v>
      </c>
    </row>
    <row r="3183" spans="18:19" x14ac:dyDescent="0.25">
      <c r="R3183" s="13">
        <v>3110</v>
      </c>
      <c r="S3183" s="13">
        <v>608940937.51474953</v>
      </c>
    </row>
    <row r="3184" spans="18:19" x14ac:dyDescent="0.25">
      <c r="R3184" s="13">
        <v>3111</v>
      </c>
      <c r="S3184" s="13">
        <v>0</v>
      </c>
    </row>
    <row r="3185" spans="18:19" x14ac:dyDescent="0.25">
      <c r="R3185" s="13">
        <v>3112</v>
      </c>
      <c r="S3185" s="13">
        <v>0</v>
      </c>
    </row>
    <row r="3186" spans="18:19" x14ac:dyDescent="0.25">
      <c r="R3186" s="13">
        <v>3113</v>
      </c>
      <c r="S3186" s="13">
        <v>208561501.97819901</v>
      </c>
    </row>
    <row r="3187" spans="18:19" x14ac:dyDescent="0.25">
      <c r="R3187" s="13">
        <v>3114</v>
      </c>
      <c r="S3187" s="13">
        <v>287020142.48414612</v>
      </c>
    </row>
    <row r="3188" spans="18:19" x14ac:dyDescent="0.25">
      <c r="R3188" s="13">
        <v>3115</v>
      </c>
      <c r="S3188" s="13">
        <v>0</v>
      </c>
    </row>
    <row r="3189" spans="18:19" x14ac:dyDescent="0.25">
      <c r="R3189" s="13">
        <v>3116</v>
      </c>
      <c r="S3189" s="13">
        <v>0</v>
      </c>
    </row>
    <row r="3190" spans="18:19" x14ac:dyDescent="0.25">
      <c r="R3190" s="13">
        <v>3117</v>
      </c>
      <c r="S3190" s="13">
        <v>0</v>
      </c>
    </row>
    <row r="3191" spans="18:19" x14ac:dyDescent="0.25">
      <c r="R3191" s="13">
        <v>3118</v>
      </c>
      <c r="S3191" s="13">
        <v>67931209.526866913</v>
      </c>
    </row>
    <row r="3192" spans="18:19" x14ac:dyDescent="0.25">
      <c r="R3192" s="13">
        <v>3119</v>
      </c>
      <c r="S3192" s="13">
        <v>0</v>
      </c>
    </row>
    <row r="3193" spans="18:19" x14ac:dyDescent="0.25">
      <c r="R3193" s="13">
        <v>3120</v>
      </c>
      <c r="S3193" s="13">
        <v>105050359.1513443</v>
      </c>
    </row>
    <row r="3194" spans="18:19" x14ac:dyDescent="0.25">
      <c r="R3194" s="13">
        <v>3121</v>
      </c>
      <c r="S3194" s="13">
        <v>0</v>
      </c>
    </row>
    <row r="3195" spans="18:19" x14ac:dyDescent="0.25">
      <c r="R3195" s="13">
        <v>3122</v>
      </c>
      <c r="S3195" s="13">
        <v>0</v>
      </c>
    </row>
    <row r="3196" spans="18:19" x14ac:dyDescent="0.25">
      <c r="R3196" s="13">
        <v>3123</v>
      </c>
      <c r="S3196" s="13">
        <v>1043648535.0187321</v>
      </c>
    </row>
    <row r="3197" spans="18:19" x14ac:dyDescent="0.25">
      <c r="R3197" s="13">
        <v>3124</v>
      </c>
      <c r="S3197" s="13">
        <v>236732247.30260277</v>
      </c>
    </row>
    <row r="3198" spans="18:19" x14ac:dyDescent="0.25">
      <c r="R3198" s="13">
        <v>3125</v>
      </c>
      <c r="S3198" s="13">
        <v>0</v>
      </c>
    </row>
    <row r="3199" spans="18:19" x14ac:dyDescent="0.25">
      <c r="R3199" s="13">
        <v>3126</v>
      </c>
      <c r="S3199" s="13">
        <v>0</v>
      </c>
    </row>
    <row r="3200" spans="18:19" x14ac:dyDescent="0.25">
      <c r="R3200" s="13">
        <v>3127</v>
      </c>
      <c r="S3200" s="13">
        <v>0</v>
      </c>
    </row>
    <row r="3201" spans="18:19" x14ac:dyDescent="0.25">
      <c r="R3201" s="13">
        <v>3128</v>
      </c>
      <c r="S3201" s="13">
        <v>0</v>
      </c>
    </row>
    <row r="3202" spans="18:19" x14ac:dyDescent="0.25">
      <c r="R3202" s="13">
        <v>3129</v>
      </c>
      <c r="S3202" s="13">
        <v>0</v>
      </c>
    </row>
    <row r="3203" spans="18:19" x14ac:dyDescent="0.25">
      <c r="R3203" s="13">
        <v>3130</v>
      </c>
      <c r="S3203" s="13">
        <v>303736508.43844795</v>
      </c>
    </row>
    <row r="3204" spans="18:19" x14ac:dyDescent="0.25">
      <c r="R3204" s="13">
        <v>3131</v>
      </c>
      <c r="S3204" s="13">
        <v>0</v>
      </c>
    </row>
    <row r="3205" spans="18:19" x14ac:dyDescent="0.25">
      <c r="R3205" s="13">
        <v>3132</v>
      </c>
      <c r="S3205" s="13">
        <v>167683662.74484253</v>
      </c>
    </row>
    <row r="3206" spans="18:19" x14ac:dyDescent="0.25">
      <c r="R3206" s="13">
        <v>3133</v>
      </c>
      <c r="S3206" s="13">
        <v>4511471.1225185394</v>
      </c>
    </row>
    <row r="3207" spans="18:19" x14ac:dyDescent="0.25">
      <c r="R3207" s="13">
        <v>3134</v>
      </c>
      <c r="S3207" s="13">
        <v>0</v>
      </c>
    </row>
    <row r="3208" spans="18:19" x14ac:dyDescent="0.25">
      <c r="R3208" s="13">
        <v>3135</v>
      </c>
      <c r="S3208" s="13">
        <v>0</v>
      </c>
    </row>
    <row r="3209" spans="18:19" x14ac:dyDescent="0.25">
      <c r="R3209" s="13">
        <v>3136</v>
      </c>
      <c r="S3209" s="13">
        <v>0</v>
      </c>
    </row>
    <row r="3210" spans="18:19" x14ac:dyDescent="0.25">
      <c r="R3210" s="13">
        <v>3137</v>
      </c>
      <c r="S3210" s="13">
        <v>0</v>
      </c>
    </row>
    <row r="3211" spans="18:19" x14ac:dyDescent="0.25">
      <c r="R3211" s="13">
        <v>3138</v>
      </c>
      <c r="S3211" s="13">
        <v>546958895.43875885</v>
      </c>
    </row>
    <row r="3212" spans="18:19" x14ac:dyDescent="0.25">
      <c r="R3212" s="13">
        <v>3139</v>
      </c>
      <c r="S3212" s="13">
        <v>0</v>
      </c>
    </row>
    <row r="3213" spans="18:19" x14ac:dyDescent="0.25">
      <c r="R3213" s="13">
        <v>3140</v>
      </c>
      <c r="S3213" s="13">
        <v>0</v>
      </c>
    </row>
    <row r="3214" spans="18:19" x14ac:dyDescent="0.25">
      <c r="R3214" s="13">
        <v>3141</v>
      </c>
      <c r="S3214" s="13">
        <v>0</v>
      </c>
    </row>
    <row r="3215" spans="18:19" x14ac:dyDescent="0.25">
      <c r="R3215" s="13">
        <v>3142</v>
      </c>
      <c r="S3215" s="13">
        <v>0</v>
      </c>
    </row>
    <row r="3216" spans="18:19" x14ac:dyDescent="0.25">
      <c r="R3216" s="13">
        <v>3143</v>
      </c>
      <c r="S3216" s="13">
        <v>0</v>
      </c>
    </row>
    <row r="3217" spans="18:19" x14ac:dyDescent="0.25">
      <c r="R3217" s="13">
        <v>3144</v>
      </c>
      <c r="S3217" s="13">
        <v>0</v>
      </c>
    </row>
    <row r="3218" spans="18:19" x14ac:dyDescent="0.25">
      <c r="R3218" s="13">
        <v>3145</v>
      </c>
      <c r="S3218" s="13">
        <v>0</v>
      </c>
    </row>
    <row r="3219" spans="18:19" x14ac:dyDescent="0.25">
      <c r="R3219" s="13">
        <v>3146</v>
      </c>
      <c r="S3219" s="13">
        <v>116574254.01689529</v>
      </c>
    </row>
    <row r="3220" spans="18:19" x14ac:dyDescent="0.25">
      <c r="R3220" s="13">
        <v>3147</v>
      </c>
      <c r="S3220" s="13">
        <v>0</v>
      </c>
    </row>
    <row r="3221" spans="18:19" x14ac:dyDescent="0.25">
      <c r="R3221" s="13">
        <v>3148</v>
      </c>
      <c r="S3221" s="13">
        <v>0</v>
      </c>
    </row>
    <row r="3222" spans="18:19" x14ac:dyDescent="0.25">
      <c r="R3222" s="13">
        <v>3149</v>
      </c>
      <c r="S3222" s="13">
        <v>0</v>
      </c>
    </row>
    <row r="3223" spans="18:19" x14ac:dyDescent="0.25">
      <c r="R3223" s="13">
        <v>3150</v>
      </c>
      <c r="S3223" s="13">
        <v>0</v>
      </c>
    </row>
    <row r="3224" spans="18:19" x14ac:dyDescent="0.25">
      <c r="R3224" s="13">
        <v>3151</v>
      </c>
      <c r="S3224" s="13">
        <v>0</v>
      </c>
    </row>
    <row r="3225" spans="18:19" x14ac:dyDescent="0.25">
      <c r="R3225" s="13">
        <v>3152</v>
      </c>
      <c r="S3225" s="13">
        <v>0</v>
      </c>
    </row>
    <row r="3226" spans="18:19" x14ac:dyDescent="0.25">
      <c r="R3226" s="13">
        <v>3153</v>
      </c>
      <c r="S3226" s="13">
        <v>0</v>
      </c>
    </row>
    <row r="3227" spans="18:19" x14ac:dyDescent="0.25">
      <c r="R3227" s="13">
        <v>3154</v>
      </c>
      <c r="S3227" s="13">
        <v>0</v>
      </c>
    </row>
    <row r="3228" spans="18:19" x14ac:dyDescent="0.25">
      <c r="R3228" s="13">
        <v>3155</v>
      </c>
      <c r="S3228" s="13">
        <v>0</v>
      </c>
    </row>
    <row r="3229" spans="18:19" x14ac:dyDescent="0.25">
      <c r="R3229" s="13">
        <v>3156</v>
      </c>
      <c r="S3229" s="13">
        <v>0</v>
      </c>
    </row>
    <row r="3230" spans="18:19" x14ac:dyDescent="0.25">
      <c r="R3230" s="13">
        <v>3157</v>
      </c>
      <c r="S3230" s="13">
        <v>0</v>
      </c>
    </row>
    <row r="3231" spans="18:19" x14ac:dyDescent="0.25">
      <c r="R3231" s="13">
        <v>3158</v>
      </c>
      <c r="S3231" s="13">
        <v>648105902.65371704</v>
      </c>
    </row>
    <row r="3232" spans="18:19" x14ac:dyDescent="0.25">
      <c r="R3232" s="13">
        <v>3159</v>
      </c>
      <c r="S3232" s="13">
        <v>0</v>
      </c>
    </row>
    <row r="3233" spans="18:19" x14ac:dyDescent="0.25">
      <c r="R3233" s="13">
        <v>3160</v>
      </c>
      <c r="S3233" s="13">
        <v>0</v>
      </c>
    </row>
    <row r="3234" spans="18:19" x14ac:dyDescent="0.25">
      <c r="R3234" s="13">
        <v>3161</v>
      </c>
      <c r="S3234" s="13">
        <v>0</v>
      </c>
    </row>
    <row r="3235" spans="18:19" x14ac:dyDescent="0.25">
      <c r="R3235" s="13">
        <v>3162</v>
      </c>
      <c r="S3235" s="13">
        <v>0</v>
      </c>
    </row>
    <row r="3236" spans="18:19" x14ac:dyDescent="0.25">
      <c r="R3236" s="13">
        <v>3163</v>
      </c>
      <c r="S3236" s="13">
        <v>0</v>
      </c>
    </row>
    <row r="3237" spans="18:19" x14ac:dyDescent="0.25">
      <c r="R3237" s="13">
        <v>3164</v>
      </c>
      <c r="S3237" s="13">
        <v>0</v>
      </c>
    </row>
    <row r="3238" spans="18:19" x14ac:dyDescent="0.25">
      <c r="R3238" s="13">
        <v>3165</v>
      </c>
      <c r="S3238" s="13">
        <v>0</v>
      </c>
    </row>
    <row r="3239" spans="18:19" x14ac:dyDescent="0.25">
      <c r="R3239" s="13">
        <v>3166</v>
      </c>
      <c r="S3239" s="13">
        <v>421014689.84640884</v>
      </c>
    </row>
    <row r="3240" spans="18:19" x14ac:dyDescent="0.25">
      <c r="R3240" s="13">
        <v>3167</v>
      </c>
      <c r="S3240" s="13">
        <v>0</v>
      </c>
    </row>
    <row r="3241" spans="18:19" x14ac:dyDescent="0.25">
      <c r="R3241" s="13">
        <v>3168</v>
      </c>
      <c r="S3241" s="13">
        <v>0</v>
      </c>
    </row>
    <row r="3242" spans="18:19" x14ac:dyDescent="0.25">
      <c r="R3242" s="13">
        <v>3169</v>
      </c>
      <c r="S3242" s="13">
        <v>0</v>
      </c>
    </row>
    <row r="3243" spans="18:19" x14ac:dyDescent="0.25">
      <c r="R3243" s="13">
        <v>3170</v>
      </c>
      <c r="S3243" s="13">
        <v>0</v>
      </c>
    </row>
    <row r="3244" spans="18:19" x14ac:dyDescent="0.25">
      <c r="R3244" s="13">
        <v>3171</v>
      </c>
      <c r="S3244" s="13">
        <v>754381949.52654648</v>
      </c>
    </row>
    <row r="3245" spans="18:19" x14ac:dyDescent="0.25">
      <c r="R3245" s="13">
        <v>3172</v>
      </c>
      <c r="S3245" s="13">
        <v>165342894.71300125</v>
      </c>
    </row>
    <row r="3246" spans="18:19" x14ac:dyDescent="0.25">
      <c r="R3246" s="13">
        <v>3173</v>
      </c>
      <c r="S3246" s="13">
        <v>0</v>
      </c>
    </row>
    <row r="3247" spans="18:19" x14ac:dyDescent="0.25">
      <c r="R3247" s="13">
        <v>3174</v>
      </c>
      <c r="S3247" s="13">
        <v>0</v>
      </c>
    </row>
    <row r="3248" spans="18:19" x14ac:dyDescent="0.25">
      <c r="R3248" s="13">
        <v>3175</v>
      </c>
      <c r="S3248" s="13">
        <v>537759314.33265686</v>
      </c>
    </row>
    <row r="3249" spans="18:19" x14ac:dyDescent="0.25">
      <c r="R3249" s="13">
        <v>3176</v>
      </c>
      <c r="S3249" s="13">
        <v>0</v>
      </c>
    </row>
    <row r="3250" spans="18:19" x14ac:dyDescent="0.25">
      <c r="R3250" s="13">
        <v>3177</v>
      </c>
      <c r="S3250" s="13">
        <v>0</v>
      </c>
    </row>
    <row r="3251" spans="18:19" x14ac:dyDescent="0.25">
      <c r="R3251" s="13">
        <v>3178</v>
      </c>
      <c r="S3251" s="13">
        <v>0</v>
      </c>
    </row>
    <row r="3252" spans="18:19" x14ac:dyDescent="0.25">
      <c r="R3252" s="13">
        <v>3179</v>
      </c>
      <c r="S3252" s="13">
        <v>0</v>
      </c>
    </row>
    <row r="3253" spans="18:19" x14ac:dyDescent="0.25">
      <c r="R3253" s="13">
        <v>3180</v>
      </c>
      <c r="S3253" s="13">
        <v>0</v>
      </c>
    </row>
    <row r="3254" spans="18:19" x14ac:dyDescent="0.25">
      <c r="R3254" s="13">
        <v>3181</v>
      </c>
      <c r="S3254" s="13">
        <v>662125302.09824562</v>
      </c>
    </row>
    <row r="3255" spans="18:19" x14ac:dyDescent="0.25">
      <c r="R3255" s="13">
        <v>3182</v>
      </c>
      <c r="S3255" s="13">
        <v>9863310.2001991272</v>
      </c>
    </row>
    <row r="3256" spans="18:19" x14ac:dyDescent="0.25">
      <c r="R3256" s="13">
        <v>3183</v>
      </c>
      <c r="S3256" s="13">
        <v>431460721.54819298</v>
      </c>
    </row>
    <row r="3257" spans="18:19" x14ac:dyDescent="0.25">
      <c r="R3257" s="13">
        <v>3184</v>
      </c>
      <c r="S3257" s="13">
        <v>0</v>
      </c>
    </row>
    <row r="3258" spans="18:19" x14ac:dyDescent="0.25">
      <c r="R3258" s="13">
        <v>3185</v>
      </c>
      <c r="S3258" s="13">
        <v>172950697.11143112</v>
      </c>
    </row>
    <row r="3259" spans="18:19" x14ac:dyDescent="0.25">
      <c r="R3259" s="13">
        <v>3186</v>
      </c>
      <c r="S3259" s="13">
        <v>0</v>
      </c>
    </row>
    <row r="3260" spans="18:19" x14ac:dyDescent="0.25">
      <c r="R3260" s="13">
        <v>3187</v>
      </c>
      <c r="S3260" s="13">
        <v>0</v>
      </c>
    </row>
    <row r="3261" spans="18:19" x14ac:dyDescent="0.25">
      <c r="R3261" s="13">
        <v>3188</v>
      </c>
      <c r="S3261" s="13">
        <v>0</v>
      </c>
    </row>
    <row r="3262" spans="18:19" x14ac:dyDescent="0.25">
      <c r="R3262" s="13">
        <v>3189</v>
      </c>
      <c r="S3262" s="13">
        <v>222744271.11363602</v>
      </c>
    </row>
    <row r="3263" spans="18:19" x14ac:dyDescent="0.25">
      <c r="R3263" s="13">
        <v>3190</v>
      </c>
      <c r="S3263" s="13">
        <v>0</v>
      </c>
    </row>
    <row r="3264" spans="18:19" x14ac:dyDescent="0.25">
      <c r="R3264" s="13">
        <v>3191</v>
      </c>
      <c r="S3264" s="13">
        <v>0</v>
      </c>
    </row>
    <row r="3265" spans="18:19" x14ac:dyDescent="0.25">
      <c r="R3265" s="13">
        <v>3192</v>
      </c>
      <c r="S3265" s="13">
        <v>0</v>
      </c>
    </row>
    <row r="3266" spans="18:19" x14ac:dyDescent="0.25">
      <c r="R3266" s="13">
        <v>3193</v>
      </c>
      <c r="S3266" s="13">
        <v>0</v>
      </c>
    </row>
    <row r="3267" spans="18:19" x14ac:dyDescent="0.25">
      <c r="R3267" s="13">
        <v>3194</v>
      </c>
      <c r="S3267" s="13">
        <v>0</v>
      </c>
    </row>
    <row r="3268" spans="18:19" x14ac:dyDescent="0.25">
      <c r="R3268" s="13">
        <v>3195</v>
      </c>
      <c r="S3268" s="13">
        <v>0</v>
      </c>
    </row>
    <row r="3269" spans="18:19" x14ac:dyDescent="0.25">
      <c r="R3269" s="13">
        <v>3196</v>
      </c>
      <c r="S3269" s="13">
        <v>0</v>
      </c>
    </row>
    <row r="3270" spans="18:19" x14ac:dyDescent="0.25">
      <c r="R3270" s="13">
        <v>3197</v>
      </c>
      <c r="S3270" s="13">
        <v>0</v>
      </c>
    </row>
    <row r="3271" spans="18:19" x14ac:dyDescent="0.25">
      <c r="R3271" s="13">
        <v>3198</v>
      </c>
      <c r="S3271" s="13">
        <v>0</v>
      </c>
    </row>
    <row r="3272" spans="18:19" x14ac:dyDescent="0.25">
      <c r="R3272" s="13">
        <v>3199</v>
      </c>
      <c r="S3272" s="13">
        <v>0</v>
      </c>
    </row>
    <row r="3273" spans="18:19" x14ac:dyDescent="0.25">
      <c r="R3273" s="13">
        <v>3200</v>
      </c>
      <c r="S3273" s="13">
        <v>0</v>
      </c>
    </row>
    <row r="3274" spans="18:19" x14ac:dyDescent="0.25">
      <c r="R3274" s="13">
        <v>3201</v>
      </c>
      <c r="S3274" s="13">
        <v>0</v>
      </c>
    </row>
    <row r="3275" spans="18:19" x14ac:dyDescent="0.25">
      <c r="R3275" s="13">
        <v>3202</v>
      </c>
      <c r="S3275" s="13">
        <v>46674803.515123367</v>
      </c>
    </row>
    <row r="3276" spans="18:19" x14ac:dyDescent="0.25">
      <c r="R3276" s="13">
        <v>3203</v>
      </c>
      <c r="S3276" s="13">
        <v>0</v>
      </c>
    </row>
    <row r="3277" spans="18:19" x14ac:dyDescent="0.25">
      <c r="R3277" s="13">
        <v>3204</v>
      </c>
      <c r="S3277" s="13">
        <v>0</v>
      </c>
    </row>
    <row r="3278" spans="18:19" x14ac:dyDescent="0.25">
      <c r="R3278" s="13">
        <v>3205</v>
      </c>
      <c r="S3278" s="13">
        <v>0</v>
      </c>
    </row>
    <row r="3279" spans="18:19" x14ac:dyDescent="0.25">
      <c r="R3279" s="13">
        <v>3206</v>
      </c>
      <c r="S3279" s="13">
        <v>0</v>
      </c>
    </row>
    <row r="3280" spans="18:19" x14ac:dyDescent="0.25">
      <c r="R3280" s="13">
        <v>3207</v>
      </c>
      <c r="S3280" s="13">
        <v>0</v>
      </c>
    </row>
    <row r="3281" spans="18:19" x14ac:dyDescent="0.25">
      <c r="R3281" s="13">
        <v>3208</v>
      </c>
      <c r="S3281" s="13">
        <v>57281649.799823761</v>
      </c>
    </row>
    <row r="3282" spans="18:19" x14ac:dyDescent="0.25">
      <c r="R3282" s="13">
        <v>3209</v>
      </c>
      <c r="S3282" s="13">
        <v>0</v>
      </c>
    </row>
    <row r="3283" spans="18:19" x14ac:dyDescent="0.25">
      <c r="R3283" s="13">
        <v>3210</v>
      </c>
      <c r="S3283" s="13">
        <v>0</v>
      </c>
    </row>
    <row r="3284" spans="18:19" x14ac:dyDescent="0.25">
      <c r="R3284" s="13">
        <v>3211</v>
      </c>
      <c r="S3284" s="13">
        <v>59192733.780269623</v>
      </c>
    </row>
    <row r="3285" spans="18:19" x14ac:dyDescent="0.25">
      <c r="R3285" s="13">
        <v>3212</v>
      </c>
      <c r="S3285" s="13">
        <v>295419025.28034019</v>
      </c>
    </row>
    <row r="3286" spans="18:19" x14ac:dyDescent="0.25">
      <c r="R3286" s="13">
        <v>3213</v>
      </c>
      <c r="S3286" s="13">
        <v>193928264.14165878</v>
      </c>
    </row>
    <row r="3287" spans="18:19" x14ac:dyDescent="0.25">
      <c r="R3287" s="13">
        <v>3214</v>
      </c>
      <c r="S3287" s="13">
        <v>0</v>
      </c>
    </row>
    <row r="3288" spans="18:19" x14ac:dyDescent="0.25">
      <c r="R3288" s="13">
        <v>3215</v>
      </c>
      <c r="S3288" s="13">
        <v>0</v>
      </c>
    </row>
    <row r="3289" spans="18:19" x14ac:dyDescent="0.25">
      <c r="R3289" s="13">
        <v>3216</v>
      </c>
      <c r="S3289" s="13">
        <v>0</v>
      </c>
    </row>
    <row r="3290" spans="18:19" x14ac:dyDescent="0.25">
      <c r="R3290" s="13">
        <v>3217</v>
      </c>
      <c r="S3290" s="13">
        <v>0</v>
      </c>
    </row>
    <row r="3291" spans="18:19" x14ac:dyDescent="0.25">
      <c r="R3291" s="13">
        <v>3218</v>
      </c>
      <c r="S3291" s="13">
        <v>0</v>
      </c>
    </row>
    <row r="3292" spans="18:19" x14ac:dyDescent="0.25">
      <c r="R3292" s="13">
        <v>3219</v>
      </c>
      <c r="S3292" s="13">
        <v>0</v>
      </c>
    </row>
    <row r="3293" spans="18:19" x14ac:dyDescent="0.25">
      <c r="R3293" s="13">
        <v>3220</v>
      </c>
      <c r="S3293" s="13">
        <v>0</v>
      </c>
    </row>
    <row r="3294" spans="18:19" x14ac:dyDescent="0.25">
      <c r="R3294" s="13">
        <v>3221</v>
      </c>
      <c r="S3294" s="13">
        <v>0</v>
      </c>
    </row>
    <row r="3295" spans="18:19" x14ac:dyDescent="0.25">
      <c r="R3295" s="13">
        <v>3222</v>
      </c>
      <c r="S3295" s="13">
        <v>107153589.78282547</v>
      </c>
    </row>
    <row r="3296" spans="18:19" x14ac:dyDescent="0.25">
      <c r="R3296" s="13">
        <v>3223</v>
      </c>
      <c r="S3296" s="13">
        <v>424374921.95116425</v>
      </c>
    </row>
    <row r="3297" spans="18:19" x14ac:dyDescent="0.25">
      <c r="R3297" s="13">
        <v>3224</v>
      </c>
      <c r="S3297" s="13">
        <v>0</v>
      </c>
    </row>
    <row r="3298" spans="18:19" x14ac:dyDescent="0.25">
      <c r="R3298" s="13">
        <v>3225</v>
      </c>
      <c r="S3298" s="13">
        <v>0</v>
      </c>
    </row>
    <row r="3299" spans="18:19" x14ac:dyDescent="0.25">
      <c r="R3299" s="13">
        <v>3226</v>
      </c>
      <c r="S3299" s="13">
        <v>0</v>
      </c>
    </row>
    <row r="3300" spans="18:19" x14ac:dyDescent="0.25">
      <c r="R3300" s="13">
        <v>3227</v>
      </c>
      <c r="S3300" s="13">
        <v>0</v>
      </c>
    </row>
    <row r="3301" spans="18:19" x14ac:dyDescent="0.25">
      <c r="R3301" s="13">
        <v>3228</v>
      </c>
      <c r="S3301" s="13">
        <v>0</v>
      </c>
    </row>
    <row r="3302" spans="18:19" x14ac:dyDescent="0.25">
      <c r="R3302" s="13">
        <v>3229</v>
      </c>
      <c r="S3302" s="13">
        <v>107425214.14056396</v>
      </c>
    </row>
    <row r="3303" spans="18:19" x14ac:dyDescent="0.25">
      <c r="R3303" s="13">
        <v>3230</v>
      </c>
      <c r="S3303" s="13">
        <v>316844047.94067574</v>
      </c>
    </row>
    <row r="3304" spans="18:19" x14ac:dyDescent="0.25">
      <c r="R3304" s="13">
        <v>3231</v>
      </c>
      <c r="S3304" s="13">
        <v>0</v>
      </c>
    </row>
    <row r="3305" spans="18:19" x14ac:dyDescent="0.25">
      <c r="R3305" s="13">
        <v>3232</v>
      </c>
      <c r="S3305" s="13">
        <v>320896555.37849808</v>
      </c>
    </row>
    <row r="3306" spans="18:19" x14ac:dyDescent="0.25">
      <c r="R3306" s="13">
        <v>3233</v>
      </c>
      <c r="S3306" s="13">
        <v>0</v>
      </c>
    </row>
    <row r="3307" spans="18:19" x14ac:dyDescent="0.25">
      <c r="R3307" s="13">
        <v>3234</v>
      </c>
      <c r="S3307" s="13">
        <v>0</v>
      </c>
    </row>
    <row r="3308" spans="18:19" x14ac:dyDescent="0.25">
      <c r="R3308" s="13">
        <v>3235</v>
      </c>
      <c r="S3308" s="13">
        <v>307731776.14639473</v>
      </c>
    </row>
    <row r="3309" spans="18:19" x14ac:dyDescent="0.25">
      <c r="R3309" s="13">
        <v>3236</v>
      </c>
      <c r="S3309" s="13">
        <v>0</v>
      </c>
    </row>
    <row r="3310" spans="18:19" x14ac:dyDescent="0.25">
      <c r="R3310" s="13">
        <v>3237</v>
      </c>
      <c r="S3310" s="13">
        <v>0</v>
      </c>
    </row>
    <row r="3311" spans="18:19" x14ac:dyDescent="0.25">
      <c r="R3311" s="13">
        <v>3238</v>
      </c>
      <c r="S3311" s="13">
        <v>0</v>
      </c>
    </row>
    <row r="3312" spans="18:19" x14ac:dyDescent="0.25">
      <c r="R3312" s="13">
        <v>3239</v>
      </c>
      <c r="S3312" s="13">
        <v>617447510.01696396</v>
      </c>
    </row>
    <row r="3313" spans="18:19" x14ac:dyDescent="0.25">
      <c r="R3313" s="13">
        <v>3240</v>
      </c>
      <c r="S3313" s="13">
        <v>0</v>
      </c>
    </row>
    <row r="3314" spans="18:19" x14ac:dyDescent="0.25">
      <c r="R3314" s="13">
        <v>3241</v>
      </c>
      <c r="S3314" s="13">
        <v>0</v>
      </c>
    </row>
    <row r="3315" spans="18:19" x14ac:dyDescent="0.25">
      <c r="R3315" s="13">
        <v>3242</v>
      </c>
      <c r="S3315" s="13">
        <v>0</v>
      </c>
    </row>
    <row r="3316" spans="18:19" x14ac:dyDescent="0.25">
      <c r="R3316" s="13">
        <v>3243</v>
      </c>
      <c r="S3316" s="13">
        <v>0</v>
      </c>
    </row>
    <row r="3317" spans="18:19" x14ac:dyDescent="0.25">
      <c r="R3317" s="13">
        <v>3244</v>
      </c>
      <c r="S3317" s="13">
        <v>0</v>
      </c>
    </row>
    <row r="3318" spans="18:19" x14ac:dyDescent="0.25">
      <c r="R3318" s="13">
        <v>3245</v>
      </c>
      <c r="S3318" s="13">
        <v>50017344.182756424</v>
      </c>
    </row>
    <row r="3319" spans="18:19" x14ac:dyDescent="0.25">
      <c r="R3319" s="13">
        <v>3246</v>
      </c>
      <c r="S3319" s="13">
        <v>0</v>
      </c>
    </row>
    <row r="3320" spans="18:19" x14ac:dyDescent="0.25">
      <c r="R3320" s="13">
        <v>3247</v>
      </c>
      <c r="S3320" s="13">
        <v>0</v>
      </c>
    </row>
    <row r="3321" spans="18:19" x14ac:dyDescent="0.25">
      <c r="R3321" s="13">
        <v>3248</v>
      </c>
      <c r="S3321" s="13">
        <v>0</v>
      </c>
    </row>
    <row r="3322" spans="18:19" x14ac:dyDescent="0.25">
      <c r="R3322" s="13">
        <v>3249</v>
      </c>
      <c r="S3322" s="13">
        <v>0</v>
      </c>
    </row>
    <row r="3323" spans="18:19" x14ac:dyDescent="0.25">
      <c r="R3323" s="13">
        <v>3250</v>
      </c>
      <c r="S3323" s="13">
        <v>0</v>
      </c>
    </row>
    <row r="3324" spans="18:19" x14ac:dyDescent="0.25">
      <c r="R3324" s="13">
        <v>3251</v>
      </c>
      <c r="S3324" s="13">
        <v>0</v>
      </c>
    </row>
    <row r="3325" spans="18:19" x14ac:dyDescent="0.25">
      <c r="R3325" s="13">
        <v>3252</v>
      </c>
      <c r="S3325" s="13">
        <v>0</v>
      </c>
    </row>
    <row r="3326" spans="18:19" x14ac:dyDescent="0.25">
      <c r="R3326" s="13">
        <v>3253</v>
      </c>
      <c r="S3326" s="13">
        <v>0</v>
      </c>
    </row>
    <row r="3327" spans="18:19" x14ac:dyDescent="0.25">
      <c r="R3327" s="13">
        <v>3254</v>
      </c>
      <c r="S3327" s="13">
        <v>0</v>
      </c>
    </row>
    <row r="3328" spans="18:19" x14ac:dyDescent="0.25">
      <c r="R3328" s="13">
        <v>3255</v>
      </c>
      <c r="S3328" s="13">
        <v>1089882871.8286724</v>
      </c>
    </row>
    <row r="3329" spans="18:19" x14ac:dyDescent="0.25">
      <c r="R3329" s="13">
        <v>3256</v>
      </c>
      <c r="S3329" s="13">
        <v>0</v>
      </c>
    </row>
    <row r="3330" spans="18:19" x14ac:dyDescent="0.25">
      <c r="R3330" s="13">
        <v>3257</v>
      </c>
      <c r="S3330" s="13">
        <v>0</v>
      </c>
    </row>
    <row r="3331" spans="18:19" x14ac:dyDescent="0.25">
      <c r="R3331" s="13">
        <v>3258</v>
      </c>
      <c r="S3331" s="13">
        <v>0</v>
      </c>
    </row>
    <row r="3332" spans="18:19" x14ac:dyDescent="0.25">
      <c r="R3332" s="13">
        <v>3259</v>
      </c>
      <c r="S3332" s="13">
        <v>0</v>
      </c>
    </row>
    <row r="3333" spans="18:19" x14ac:dyDescent="0.25">
      <c r="R3333" s="13">
        <v>3260</v>
      </c>
      <c r="S3333" s="13">
        <v>0</v>
      </c>
    </row>
    <row r="3334" spans="18:19" x14ac:dyDescent="0.25">
      <c r="R3334" s="13">
        <v>3261</v>
      </c>
      <c r="S3334" s="13">
        <v>0</v>
      </c>
    </row>
    <row r="3335" spans="18:19" x14ac:dyDescent="0.25">
      <c r="R3335" s="13">
        <v>3262</v>
      </c>
      <c r="S3335" s="13">
        <v>0</v>
      </c>
    </row>
    <row r="3336" spans="18:19" x14ac:dyDescent="0.25">
      <c r="R3336" s="13">
        <v>3263</v>
      </c>
      <c r="S3336" s="13">
        <v>0</v>
      </c>
    </row>
    <row r="3337" spans="18:19" x14ac:dyDescent="0.25">
      <c r="R3337" s="13">
        <v>3264</v>
      </c>
      <c r="S3337" s="13">
        <v>0</v>
      </c>
    </row>
    <row r="3338" spans="18:19" x14ac:dyDescent="0.25">
      <c r="R3338" s="13">
        <v>3265</v>
      </c>
      <c r="S3338" s="13">
        <v>0</v>
      </c>
    </row>
    <row r="3339" spans="18:19" x14ac:dyDescent="0.25">
      <c r="R3339" s="13">
        <v>3266</v>
      </c>
      <c r="S3339" s="13">
        <v>0</v>
      </c>
    </row>
    <row r="3340" spans="18:19" x14ac:dyDescent="0.25">
      <c r="R3340" s="13">
        <v>3267</v>
      </c>
      <c r="S3340" s="13">
        <v>294816821.97713661</v>
      </c>
    </row>
    <row r="3341" spans="18:19" x14ac:dyDescent="0.25">
      <c r="R3341" s="13">
        <v>3268</v>
      </c>
      <c r="S3341" s="13">
        <v>0</v>
      </c>
    </row>
    <row r="3342" spans="18:19" x14ac:dyDescent="0.25">
      <c r="R3342" s="13">
        <v>3269</v>
      </c>
      <c r="S3342" s="13">
        <v>0</v>
      </c>
    </row>
    <row r="3343" spans="18:19" x14ac:dyDescent="0.25">
      <c r="R3343" s="13">
        <v>3270</v>
      </c>
      <c r="S3343" s="13">
        <v>2334716.9922943115</v>
      </c>
    </row>
    <row r="3344" spans="18:19" x14ac:dyDescent="0.25">
      <c r="R3344" s="13">
        <v>3271</v>
      </c>
      <c r="S3344" s="13">
        <v>0</v>
      </c>
    </row>
    <row r="3345" spans="18:19" x14ac:dyDescent="0.25">
      <c r="R3345" s="13">
        <v>3272</v>
      </c>
      <c r="S3345" s="13">
        <v>0</v>
      </c>
    </row>
    <row r="3346" spans="18:19" x14ac:dyDescent="0.25">
      <c r="R3346" s="13">
        <v>3273</v>
      </c>
      <c r="S3346" s="13">
        <v>286058537.56507874</v>
      </c>
    </row>
    <row r="3347" spans="18:19" x14ac:dyDescent="0.25">
      <c r="R3347" s="13">
        <v>3274</v>
      </c>
      <c r="S3347" s="13">
        <v>60855550.237438202</v>
      </c>
    </row>
    <row r="3348" spans="18:19" x14ac:dyDescent="0.25">
      <c r="R3348" s="13">
        <v>3275</v>
      </c>
      <c r="S3348" s="13">
        <v>0</v>
      </c>
    </row>
    <row r="3349" spans="18:19" x14ac:dyDescent="0.25">
      <c r="R3349" s="13">
        <v>3276</v>
      </c>
      <c r="S3349" s="13">
        <v>0</v>
      </c>
    </row>
    <row r="3350" spans="18:19" x14ac:dyDescent="0.25">
      <c r="R3350" s="13">
        <v>3277</v>
      </c>
      <c r="S3350" s="13">
        <v>0</v>
      </c>
    </row>
    <row r="3351" spans="18:19" x14ac:dyDescent="0.25">
      <c r="R3351" s="13">
        <v>3278</v>
      </c>
      <c r="S3351" s="13">
        <v>0</v>
      </c>
    </row>
    <row r="3352" spans="18:19" x14ac:dyDescent="0.25">
      <c r="R3352" s="13">
        <v>3279</v>
      </c>
      <c r="S3352" s="13">
        <v>28088665.907676697</v>
      </c>
    </row>
    <row r="3353" spans="18:19" x14ac:dyDescent="0.25">
      <c r="R3353" s="13">
        <v>3280</v>
      </c>
      <c r="S3353" s="13">
        <v>0</v>
      </c>
    </row>
    <row r="3354" spans="18:19" x14ac:dyDescent="0.25">
      <c r="R3354" s="13">
        <v>3281</v>
      </c>
      <c r="S3354" s="13">
        <v>0</v>
      </c>
    </row>
    <row r="3355" spans="18:19" x14ac:dyDescent="0.25">
      <c r="R3355" s="13">
        <v>3282</v>
      </c>
      <c r="S3355" s="13">
        <v>0</v>
      </c>
    </row>
    <row r="3356" spans="18:19" x14ac:dyDescent="0.25">
      <c r="R3356" s="13">
        <v>3283</v>
      </c>
      <c r="S3356" s="13">
        <v>0</v>
      </c>
    </row>
    <row r="3357" spans="18:19" x14ac:dyDescent="0.25">
      <c r="R3357" s="13">
        <v>3284</v>
      </c>
      <c r="S3357" s="13">
        <v>215557761.72549629</v>
      </c>
    </row>
    <row r="3358" spans="18:19" x14ac:dyDescent="0.25">
      <c r="R3358" s="13">
        <v>3285</v>
      </c>
      <c r="S3358" s="13">
        <v>0</v>
      </c>
    </row>
    <row r="3359" spans="18:19" x14ac:dyDescent="0.25">
      <c r="R3359" s="13">
        <v>3286</v>
      </c>
      <c r="S3359" s="13">
        <v>308727759.84498215</v>
      </c>
    </row>
    <row r="3360" spans="18:19" x14ac:dyDescent="0.25">
      <c r="R3360" s="13">
        <v>3287</v>
      </c>
      <c r="S3360" s="13">
        <v>0</v>
      </c>
    </row>
    <row r="3361" spans="18:19" x14ac:dyDescent="0.25">
      <c r="R3361" s="13">
        <v>3288</v>
      </c>
      <c r="S3361" s="13">
        <v>0</v>
      </c>
    </row>
    <row r="3362" spans="18:19" x14ac:dyDescent="0.25">
      <c r="R3362" s="13">
        <v>3289</v>
      </c>
      <c r="S3362" s="13">
        <v>0</v>
      </c>
    </row>
    <row r="3363" spans="18:19" x14ac:dyDescent="0.25">
      <c r="R3363" s="13">
        <v>3290</v>
      </c>
      <c r="S3363" s="13">
        <v>0</v>
      </c>
    </row>
    <row r="3364" spans="18:19" x14ac:dyDescent="0.25">
      <c r="R3364" s="13">
        <v>3291</v>
      </c>
      <c r="S3364" s="13">
        <v>0</v>
      </c>
    </row>
    <row r="3365" spans="18:19" x14ac:dyDescent="0.25">
      <c r="R3365" s="13">
        <v>3292</v>
      </c>
      <c r="S3365" s="13">
        <v>0</v>
      </c>
    </row>
    <row r="3366" spans="18:19" x14ac:dyDescent="0.25">
      <c r="R3366" s="13">
        <v>3293</v>
      </c>
      <c r="S3366" s="13">
        <v>562846518.48647881</v>
      </c>
    </row>
    <row r="3367" spans="18:19" x14ac:dyDescent="0.25">
      <c r="R3367" s="13">
        <v>3294</v>
      </c>
      <c r="S3367" s="13">
        <v>256092925.22882462</v>
      </c>
    </row>
    <row r="3368" spans="18:19" x14ac:dyDescent="0.25">
      <c r="R3368" s="13">
        <v>3295</v>
      </c>
      <c r="S3368" s="13">
        <v>394441705.85144997</v>
      </c>
    </row>
    <row r="3369" spans="18:19" x14ac:dyDescent="0.25">
      <c r="R3369" s="13">
        <v>3296</v>
      </c>
      <c r="S3369" s="13">
        <v>0</v>
      </c>
    </row>
    <row r="3370" spans="18:19" x14ac:dyDescent="0.25">
      <c r="R3370" s="13">
        <v>3297</v>
      </c>
      <c r="S3370" s="13">
        <v>0</v>
      </c>
    </row>
    <row r="3371" spans="18:19" x14ac:dyDescent="0.25">
      <c r="R3371" s="13">
        <v>3298</v>
      </c>
      <c r="S3371" s="13">
        <v>0</v>
      </c>
    </row>
    <row r="3372" spans="18:19" x14ac:dyDescent="0.25">
      <c r="R3372" s="13">
        <v>3299</v>
      </c>
      <c r="S3372" s="13">
        <v>0</v>
      </c>
    </row>
    <row r="3373" spans="18:19" x14ac:dyDescent="0.25">
      <c r="R3373" s="13">
        <v>3300</v>
      </c>
      <c r="S3373" s="13">
        <v>0</v>
      </c>
    </row>
    <row r="3374" spans="18:19" x14ac:dyDescent="0.25">
      <c r="R3374" s="13">
        <v>3301</v>
      </c>
      <c r="S3374" s="13">
        <v>0</v>
      </c>
    </row>
    <row r="3375" spans="18:19" x14ac:dyDescent="0.25">
      <c r="R3375" s="13">
        <v>3302</v>
      </c>
      <c r="S3375" s="13">
        <v>165616921.71453667</v>
      </c>
    </row>
    <row r="3376" spans="18:19" x14ac:dyDescent="0.25">
      <c r="R3376" s="13">
        <v>3303</v>
      </c>
      <c r="S3376" s="13">
        <v>345833722.83243942</v>
      </c>
    </row>
    <row r="3377" spans="18:19" x14ac:dyDescent="0.25">
      <c r="R3377" s="13">
        <v>3304</v>
      </c>
      <c r="S3377" s="13">
        <v>0</v>
      </c>
    </row>
    <row r="3378" spans="18:19" x14ac:dyDescent="0.25">
      <c r="R3378" s="13">
        <v>3305</v>
      </c>
      <c r="S3378" s="13">
        <v>0</v>
      </c>
    </row>
    <row r="3379" spans="18:19" x14ac:dyDescent="0.25">
      <c r="R3379" s="13">
        <v>3306</v>
      </c>
      <c r="S3379" s="13">
        <v>0</v>
      </c>
    </row>
    <row r="3380" spans="18:19" x14ac:dyDescent="0.25">
      <c r="R3380" s="13">
        <v>3307</v>
      </c>
      <c r="S3380" s="13">
        <v>0</v>
      </c>
    </row>
    <row r="3381" spans="18:19" x14ac:dyDescent="0.25">
      <c r="R3381" s="13">
        <v>3308</v>
      </c>
      <c r="S3381" s="13">
        <v>175168431.87101364</v>
      </c>
    </row>
    <row r="3382" spans="18:19" x14ac:dyDescent="0.25">
      <c r="R3382" s="13">
        <v>3309</v>
      </c>
      <c r="S3382" s="13">
        <v>0</v>
      </c>
    </row>
    <row r="3383" spans="18:19" x14ac:dyDescent="0.25">
      <c r="R3383" s="13">
        <v>3310</v>
      </c>
      <c r="S3383" s="13">
        <v>0</v>
      </c>
    </row>
    <row r="3384" spans="18:19" x14ac:dyDescent="0.25">
      <c r="R3384" s="13">
        <v>3311</v>
      </c>
      <c r="S3384" s="13">
        <v>225535094.76666641</v>
      </c>
    </row>
    <row r="3385" spans="18:19" x14ac:dyDescent="0.25">
      <c r="R3385" s="13">
        <v>3312</v>
      </c>
      <c r="S3385" s="13">
        <v>0</v>
      </c>
    </row>
    <row r="3386" spans="18:19" x14ac:dyDescent="0.25">
      <c r="R3386" s="13">
        <v>3313</v>
      </c>
      <c r="S3386" s="13">
        <v>292526828.91068649</v>
      </c>
    </row>
    <row r="3387" spans="18:19" x14ac:dyDescent="0.25">
      <c r="R3387" s="13">
        <v>3314</v>
      </c>
      <c r="S3387" s="13">
        <v>0</v>
      </c>
    </row>
    <row r="3388" spans="18:19" x14ac:dyDescent="0.25">
      <c r="R3388" s="13">
        <v>3315</v>
      </c>
      <c r="S3388" s="13">
        <v>0</v>
      </c>
    </row>
    <row r="3389" spans="18:19" x14ac:dyDescent="0.25">
      <c r="R3389" s="13">
        <v>3316</v>
      </c>
      <c r="S3389" s="13">
        <v>1145903741.6004066</v>
      </c>
    </row>
    <row r="3390" spans="18:19" x14ac:dyDescent="0.25">
      <c r="R3390" s="13">
        <v>3317</v>
      </c>
      <c r="S3390" s="13">
        <v>0</v>
      </c>
    </row>
    <row r="3391" spans="18:19" x14ac:dyDescent="0.25">
      <c r="R3391" s="13">
        <v>3318</v>
      </c>
      <c r="S3391" s="13">
        <v>60519265.654542923</v>
      </c>
    </row>
    <row r="3392" spans="18:19" x14ac:dyDescent="0.25">
      <c r="R3392" s="13">
        <v>3319</v>
      </c>
      <c r="S3392" s="13">
        <v>0</v>
      </c>
    </row>
    <row r="3393" spans="18:19" x14ac:dyDescent="0.25">
      <c r="R3393" s="13">
        <v>3320</v>
      </c>
      <c r="S3393" s="13">
        <v>0</v>
      </c>
    </row>
    <row r="3394" spans="18:19" x14ac:dyDescent="0.25">
      <c r="R3394" s="13">
        <v>3321</v>
      </c>
      <c r="S3394" s="13">
        <v>335996835.26071548</v>
      </c>
    </row>
    <row r="3395" spans="18:19" x14ac:dyDescent="0.25">
      <c r="R3395" s="13">
        <v>3322</v>
      </c>
      <c r="S3395" s="13">
        <v>558342043.43786049</v>
      </c>
    </row>
    <row r="3396" spans="18:19" x14ac:dyDescent="0.25">
      <c r="R3396" s="13">
        <v>3323</v>
      </c>
      <c r="S3396" s="13">
        <v>0</v>
      </c>
    </row>
    <row r="3397" spans="18:19" x14ac:dyDescent="0.25">
      <c r="R3397" s="13">
        <v>3324</v>
      </c>
      <c r="S3397" s="13">
        <v>0</v>
      </c>
    </row>
    <row r="3398" spans="18:19" x14ac:dyDescent="0.25">
      <c r="R3398" s="13">
        <v>3325</v>
      </c>
      <c r="S3398" s="13">
        <v>0</v>
      </c>
    </row>
    <row r="3399" spans="18:19" x14ac:dyDescent="0.25">
      <c r="R3399" s="13">
        <v>3326</v>
      </c>
      <c r="S3399" s="13">
        <v>0</v>
      </c>
    </row>
    <row r="3400" spans="18:19" x14ac:dyDescent="0.25">
      <c r="R3400" s="13">
        <v>3327</v>
      </c>
      <c r="S3400" s="13">
        <v>0</v>
      </c>
    </row>
    <row r="3401" spans="18:19" x14ac:dyDescent="0.25">
      <c r="R3401" s="13">
        <v>3328</v>
      </c>
      <c r="S3401" s="13">
        <v>0</v>
      </c>
    </row>
    <row r="3402" spans="18:19" x14ac:dyDescent="0.25">
      <c r="R3402" s="13">
        <v>3329</v>
      </c>
      <c r="S3402" s="13">
        <v>0</v>
      </c>
    </row>
    <row r="3403" spans="18:19" x14ac:dyDescent="0.25">
      <c r="R3403" s="13">
        <v>3330</v>
      </c>
      <c r="S3403" s="13">
        <v>223046367.30284691</v>
      </c>
    </row>
    <row r="3404" spans="18:19" x14ac:dyDescent="0.25">
      <c r="R3404" s="13">
        <v>3331</v>
      </c>
      <c r="S3404" s="13">
        <v>0</v>
      </c>
    </row>
    <row r="3405" spans="18:19" x14ac:dyDescent="0.25">
      <c r="R3405" s="13">
        <v>3332</v>
      </c>
      <c r="S3405" s="13">
        <v>0</v>
      </c>
    </row>
    <row r="3406" spans="18:19" x14ac:dyDescent="0.25">
      <c r="R3406" s="13">
        <v>3333</v>
      </c>
      <c r="S3406" s="13">
        <v>0</v>
      </c>
    </row>
    <row r="3407" spans="18:19" x14ac:dyDescent="0.25">
      <c r="R3407" s="13">
        <v>3334</v>
      </c>
      <c r="S3407" s="13">
        <v>0</v>
      </c>
    </row>
    <row r="3408" spans="18:19" x14ac:dyDescent="0.25">
      <c r="R3408" s="13">
        <v>3335</v>
      </c>
      <c r="S3408" s="13">
        <v>0</v>
      </c>
    </row>
    <row r="3409" spans="18:19" x14ac:dyDescent="0.25">
      <c r="R3409" s="13">
        <v>3336</v>
      </c>
      <c r="S3409" s="13">
        <v>0</v>
      </c>
    </row>
    <row r="3410" spans="18:19" x14ac:dyDescent="0.25">
      <c r="R3410" s="13">
        <v>3337</v>
      </c>
      <c r="S3410" s="13">
        <v>0</v>
      </c>
    </row>
    <row r="3411" spans="18:19" x14ac:dyDescent="0.25">
      <c r="R3411" s="13">
        <v>3338</v>
      </c>
      <c r="S3411" s="13">
        <v>0</v>
      </c>
    </row>
    <row r="3412" spans="18:19" x14ac:dyDescent="0.25">
      <c r="R3412" s="13">
        <v>3339</v>
      </c>
      <c r="S3412" s="13">
        <v>0</v>
      </c>
    </row>
    <row r="3413" spans="18:19" x14ac:dyDescent="0.25">
      <c r="R3413" s="13">
        <v>3340</v>
      </c>
      <c r="S3413" s="13">
        <v>0</v>
      </c>
    </row>
    <row r="3414" spans="18:19" x14ac:dyDescent="0.25">
      <c r="R3414" s="13">
        <v>3341</v>
      </c>
      <c r="S3414" s="13">
        <v>0</v>
      </c>
    </row>
    <row r="3415" spans="18:19" x14ac:dyDescent="0.25">
      <c r="R3415" s="13">
        <v>3342</v>
      </c>
      <c r="S3415" s="13">
        <v>213374827.35280418</v>
      </c>
    </row>
    <row r="3416" spans="18:19" x14ac:dyDescent="0.25">
      <c r="R3416" s="13">
        <v>3343</v>
      </c>
      <c r="S3416" s="13">
        <v>0</v>
      </c>
    </row>
    <row r="3417" spans="18:19" x14ac:dyDescent="0.25">
      <c r="R3417" s="13">
        <v>3344</v>
      </c>
      <c r="S3417" s="13">
        <v>0</v>
      </c>
    </row>
    <row r="3418" spans="18:19" x14ac:dyDescent="0.25">
      <c r="R3418" s="13">
        <v>3345</v>
      </c>
      <c r="S3418" s="13">
        <v>0</v>
      </c>
    </row>
    <row r="3419" spans="18:19" x14ac:dyDescent="0.25">
      <c r="R3419" s="13">
        <v>3346</v>
      </c>
      <c r="S3419" s="13">
        <v>0</v>
      </c>
    </row>
    <row r="3420" spans="18:19" x14ac:dyDescent="0.25">
      <c r="R3420" s="13">
        <v>3347</v>
      </c>
      <c r="S3420" s="13">
        <v>0</v>
      </c>
    </row>
    <row r="3421" spans="18:19" x14ac:dyDescent="0.25">
      <c r="R3421" s="13">
        <v>3348</v>
      </c>
      <c r="S3421" s="13">
        <v>0</v>
      </c>
    </row>
    <row r="3422" spans="18:19" x14ac:dyDescent="0.25">
      <c r="R3422" s="13">
        <v>3349</v>
      </c>
      <c r="S3422" s="13">
        <v>0</v>
      </c>
    </row>
    <row r="3423" spans="18:19" x14ac:dyDescent="0.25">
      <c r="R3423" s="13">
        <v>3350</v>
      </c>
      <c r="S3423" s="13">
        <v>113617817.382967</v>
      </c>
    </row>
    <row r="3424" spans="18:19" x14ac:dyDescent="0.25">
      <c r="R3424" s="13">
        <v>3351</v>
      </c>
      <c r="S3424" s="13">
        <v>112510821.49528122</v>
      </c>
    </row>
    <row r="3425" spans="18:19" x14ac:dyDescent="0.25">
      <c r="R3425" s="13">
        <v>3352</v>
      </c>
      <c r="S3425" s="13">
        <v>0</v>
      </c>
    </row>
    <row r="3426" spans="18:19" x14ac:dyDescent="0.25">
      <c r="R3426" s="13">
        <v>3353</v>
      </c>
      <c r="S3426" s="13">
        <v>0</v>
      </c>
    </row>
    <row r="3427" spans="18:19" x14ac:dyDescent="0.25">
      <c r="R3427" s="13">
        <v>3354</v>
      </c>
      <c r="S3427" s="13">
        <v>0</v>
      </c>
    </row>
    <row r="3428" spans="18:19" x14ac:dyDescent="0.25">
      <c r="R3428" s="13">
        <v>3355</v>
      </c>
      <c r="S3428" s="13">
        <v>0</v>
      </c>
    </row>
    <row r="3429" spans="18:19" x14ac:dyDescent="0.25">
      <c r="R3429" s="13">
        <v>3356</v>
      </c>
      <c r="S3429" s="13">
        <v>0</v>
      </c>
    </row>
    <row r="3430" spans="18:19" x14ac:dyDescent="0.25">
      <c r="R3430" s="13">
        <v>3357</v>
      </c>
      <c r="S3430" s="13">
        <v>10217824.474767685</v>
      </c>
    </row>
    <row r="3431" spans="18:19" x14ac:dyDescent="0.25">
      <c r="R3431" s="13">
        <v>3358</v>
      </c>
      <c r="S3431" s="13">
        <v>0</v>
      </c>
    </row>
    <row r="3432" spans="18:19" x14ac:dyDescent="0.25">
      <c r="R3432" s="13">
        <v>3359</v>
      </c>
      <c r="S3432" s="13">
        <v>0</v>
      </c>
    </row>
    <row r="3433" spans="18:19" x14ac:dyDescent="0.25">
      <c r="R3433" s="13">
        <v>3360</v>
      </c>
      <c r="S3433" s="13">
        <v>0</v>
      </c>
    </row>
    <row r="3434" spans="18:19" x14ac:dyDescent="0.25">
      <c r="R3434" s="13">
        <v>3361</v>
      </c>
      <c r="S3434" s="13">
        <v>566925672.614748</v>
      </c>
    </row>
    <row r="3435" spans="18:19" x14ac:dyDescent="0.25">
      <c r="R3435" s="13">
        <v>3362</v>
      </c>
      <c r="S3435" s="13">
        <v>0</v>
      </c>
    </row>
    <row r="3436" spans="18:19" x14ac:dyDescent="0.25">
      <c r="R3436" s="13">
        <v>3363</v>
      </c>
      <c r="S3436" s="13">
        <v>34954180.658075333</v>
      </c>
    </row>
    <row r="3437" spans="18:19" x14ac:dyDescent="0.25">
      <c r="R3437" s="13">
        <v>3364</v>
      </c>
      <c r="S3437" s="13">
        <v>274146797.81734467</v>
      </c>
    </row>
    <row r="3438" spans="18:19" x14ac:dyDescent="0.25">
      <c r="R3438" s="13">
        <v>3365</v>
      </c>
      <c r="S3438" s="13">
        <v>0</v>
      </c>
    </row>
    <row r="3439" spans="18:19" x14ac:dyDescent="0.25">
      <c r="R3439" s="13">
        <v>3366</v>
      </c>
      <c r="S3439" s="13">
        <v>0</v>
      </c>
    </row>
    <row r="3440" spans="18:19" x14ac:dyDescent="0.25">
      <c r="R3440" s="13">
        <v>3367</v>
      </c>
      <c r="S3440" s="13">
        <v>0</v>
      </c>
    </row>
    <row r="3441" spans="18:19" x14ac:dyDescent="0.25">
      <c r="R3441" s="13">
        <v>3368</v>
      </c>
      <c r="S3441" s="13">
        <v>0</v>
      </c>
    </row>
    <row r="3442" spans="18:19" x14ac:dyDescent="0.25">
      <c r="R3442" s="13">
        <v>3369</v>
      </c>
      <c r="S3442" s="13">
        <v>0</v>
      </c>
    </row>
    <row r="3443" spans="18:19" x14ac:dyDescent="0.25">
      <c r="R3443" s="13">
        <v>3370</v>
      </c>
      <c r="S3443" s="13">
        <v>0</v>
      </c>
    </row>
    <row r="3444" spans="18:19" x14ac:dyDescent="0.25">
      <c r="R3444" s="13">
        <v>3371</v>
      </c>
      <c r="S3444" s="13">
        <v>0</v>
      </c>
    </row>
    <row r="3445" spans="18:19" x14ac:dyDescent="0.25">
      <c r="R3445" s="13">
        <v>3372</v>
      </c>
      <c r="S3445" s="13">
        <v>0</v>
      </c>
    </row>
    <row r="3446" spans="18:19" x14ac:dyDescent="0.25">
      <c r="R3446" s="13">
        <v>3373</v>
      </c>
      <c r="S3446" s="13">
        <v>136292051.74166679</v>
      </c>
    </row>
    <row r="3447" spans="18:19" x14ac:dyDescent="0.25">
      <c r="R3447" s="13">
        <v>3374</v>
      </c>
      <c r="S3447" s="13">
        <v>0</v>
      </c>
    </row>
    <row r="3448" spans="18:19" x14ac:dyDescent="0.25">
      <c r="R3448" s="13">
        <v>3375</v>
      </c>
      <c r="S3448" s="13">
        <v>0</v>
      </c>
    </row>
    <row r="3449" spans="18:19" x14ac:dyDescent="0.25">
      <c r="R3449" s="13">
        <v>3376</v>
      </c>
      <c r="S3449" s="13">
        <v>0</v>
      </c>
    </row>
    <row r="3450" spans="18:19" x14ac:dyDescent="0.25">
      <c r="R3450" s="13">
        <v>3377</v>
      </c>
      <c r="S3450" s="13">
        <v>9144434.4711933136</v>
      </c>
    </row>
    <row r="3451" spans="18:19" x14ac:dyDescent="0.25">
      <c r="R3451" s="13">
        <v>3378</v>
      </c>
      <c r="S3451" s="13">
        <v>0</v>
      </c>
    </row>
    <row r="3452" spans="18:19" x14ac:dyDescent="0.25">
      <c r="R3452" s="13">
        <v>3379</v>
      </c>
      <c r="S3452" s="13">
        <v>229040077.87473488</v>
      </c>
    </row>
    <row r="3453" spans="18:19" x14ac:dyDescent="0.25">
      <c r="R3453" s="13">
        <v>3380</v>
      </c>
      <c r="S3453" s="13">
        <v>0</v>
      </c>
    </row>
    <row r="3454" spans="18:19" x14ac:dyDescent="0.25">
      <c r="R3454" s="13">
        <v>3381</v>
      </c>
      <c r="S3454" s="13">
        <v>0</v>
      </c>
    </row>
    <row r="3455" spans="18:19" x14ac:dyDescent="0.25">
      <c r="R3455" s="13">
        <v>3382</v>
      </c>
      <c r="S3455" s="13">
        <v>0</v>
      </c>
    </row>
    <row r="3456" spans="18:19" x14ac:dyDescent="0.25">
      <c r="R3456" s="13">
        <v>3383</v>
      </c>
      <c r="S3456" s="13">
        <v>63898332.708362579</v>
      </c>
    </row>
    <row r="3457" spans="18:19" x14ac:dyDescent="0.25">
      <c r="R3457" s="13">
        <v>3384</v>
      </c>
      <c r="S3457" s="13">
        <v>237849025.79173088</v>
      </c>
    </row>
    <row r="3458" spans="18:19" x14ac:dyDescent="0.25">
      <c r="R3458" s="13">
        <v>3385</v>
      </c>
      <c r="S3458" s="13">
        <v>0</v>
      </c>
    </row>
    <row r="3459" spans="18:19" x14ac:dyDescent="0.25">
      <c r="R3459" s="13">
        <v>3386</v>
      </c>
      <c r="S3459" s="13">
        <v>0</v>
      </c>
    </row>
    <row r="3460" spans="18:19" x14ac:dyDescent="0.25">
      <c r="R3460" s="13">
        <v>3387</v>
      </c>
      <c r="S3460" s="13">
        <v>0</v>
      </c>
    </row>
    <row r="3461" spans="18:19" x14ac:dyDescent="0.25">
      <c r="R3461" s="13">
        <v>3388</v>
      </c>
      <c r="S3461" s="13">
        <v>0</v>
      </c>
    </row>
    <row r="3462" spans="18:19" x14ac:dyDescent="0.25">
      <c r="R3462" s="13">
        <v>3389</v>
      </c>
      <c r="S3462" s="13">
        <v>0</v>
      </c>
    </row>
    <row r="3463" spans="18:19" x14ac:dyDescent="0.25">
      <c r="R3463" s="13">
        <v>3390</v>
      </c>
      <c r="S3463" s="13">
        <v>0</v>
      </c>
    </row>
    <row r="3464" spans="18:19" x14ac:dyDescent="0.25">
      <c r="R3464" s="13">
        <v>3391</v>
      </c>
      <c r="S3464" s="13">
        <v>95115009.4909935</v>
      </c>
    </row>
    <row r="3465" spans="18:19" x14ac:dyDescent="0.25">
      <c r="R3465" s="13">
        <v>3392</v>
      </c>
      <c r="S3465" s="13">
        <v>0</v>
      </c>
    </row>
    <row r="3466" spans="18:19" x14ac:dyDescent="0.25">
      <c r="R3466" s="13">
        <v>3393</v>
      </c>
      <c r="S3466" s="13">
        <v>0</v>
      </c>
    </row>
    <row r="3467" spans="18:19" x14ac:dyDescent="0.25">
      <c r="R3467" s="13">
        <v>3394</v>
      </c>
      <c r="S3467" s="13">
        <v>0</v>
      </c>
    </row>
    <row r="3468" spans="18:19" x14ac:dyDescent="0.25">
      <c r="R3468" s="13">
        <v>3395</v>
      </c>
      <c r="S3468" s="13">
        <v>0</v>
      </c>
    </row>
    <row r="3469" spans="18:19" x14ac:dyDescent="0.25">
      <c r="R3469" s="13">
        <v>3396</v>
      </c>
      <c r="S3469" s="13">
        <v>0</v>
      </c>
    </row>
    <row r="3470" spans="18:19" x14ac:dyDescent="0.25">
      <c r="R3470" s="13">
        <v>3397</v>
      </c>
      <c r="S3470" s="13">
        <v>0</v>
      </c>
    </row>
    <row r="3471" spans="18:19" x14ac:dyDescent="0.25">
      <c r="R3471" s="13">
        <v>3398</v>
      </c>
      <c r="S3471" s="13">
        <v>766615217.83356667</v>
      </c>
    </row>
    <row r="3472" spans="18:19" x14ac:dyDescent="0.25">
      <c r="R3472" s="13">
        <v>3399</v>
      </c>
      <c r="S3472" s="13">
        <v>0</v>
      </c>
    </row>
    <row r="3473" spans="18:19" x14ac:dyDescent="0.25">
      <c r="R3473" s="13">
        <v>3400</v>
      </c>
      <c r="S3473" s="13">
        <v>947587827.63013458</v>
      </c>
    </row>
    <row r="3474" spans="18:19" x14ac:dyDescent="0.25">
      <c r="R3474" s="13">
        <v>3401</v>
      </c>
      <c r="S3474" s="13">
        <v>0</v>
      </c>
    </row>
    <row r="3475" spans="18:19" x14ac:dyDescent="0.25">
      <c r="R3475" s="13">
        <v>3402</v>
      </c>
      <c r="S3475" s="13">
        <v>367742180.81072235</v>
      </c>
    </row>
    <row r="3476" spans="18:19" x14ac:dyDescent="0.25">
      <c r="R3476" s="13">
        <v>3403</v>
      </c>
      <c r="S3476" s="13">
        <v>880173885.96647835</v>
      </c>
    </row>
    <row r="3477" spans="18:19" x14ac:dyDescent="0.25">
      <c r="R3477" s="13">
        <v>3404</v>
      </c>
      <c r="S3477" s="13">
        <v>0</v>
      </c>
    </row>
    <row r="3478" spans="18:19" x14ac:dyDescent="0.25">
      <c r="R3478" s="13">
        <v>3405</v>
      </c>
      <c r="S3478" s="13">
        <v>0</v>
      </c>
    </row>
    <row r="3479" spans="18:19" x14ac:dyDescent="0.25">
      <c r="R3479" s="13">
        <v>3406</v>
      </c>
      <c r="S3479" s="13">
        <v>0</v>
      </c>
    </row>
    <row r="3480" spans="18:19" x14ac:dyDescent="0.25">
      <c r="R3480" s="13">
        <v>3407</v>
      </c>
      <c r="S3480" s="13">
        <v>0</v>
      </c>
    </row>
    <row r="3481" spans="18:19" x14ac:dyDescent="0.25">
      <c r="R3481" s="13">
        <v>3408</v>
      </c>
      <c r="S3481" s="13">
        <v>796310528.70185661</v>
      </c>
    </row>
    <row r="3482" spans="18:19" x14ac:dyDescent="0.25">
      <c r="R3482" s="13">
        <v>3409</v>
      </c>
      <c r="S3482" s="13">
        <v>0</v>
      </c>
    </row>
    <row r="3483" spans="18:19" x14ac:dyDescent="0.25">
      <c r="R3483" s="13">
        <v>3410</v>
      </c>
      <c r="S3483" s="13">
        <v>0</v>
      </c>
    </row>
    <row r="3484" spans="18:19" x14ac:dyDescent="0.25">
      <c r="R3484" s="13">
        <v>3411</v>
      </c>
      <c r="S3484" s="13">
        <v>0</v>
      </c>
    </row>
    <row r="3485" spans="18:19" x14ac:dyDescent="0.25">
      <c r="R3485" s="13">
        <v>3412</v>
      </c>
      <c r="S3485" s="13">
        <v>0</v>
      </c>
    </row>
    <row r="3486" spans="18:19" x14ac:dyDescent="0.25">
      <c r="R3486" s="13">
        <v>3413</v>
      </c>
      <c r="S3486" s="13">
        <v>0</v>
      </c>
    </row>
    <row r="3487" spans="18:19" x14ac:dyDescent="0.25">
      <c r="R3487" s="13">
        <v>3414</v>
      </c>
      <c r="S3487" s="13">
        <v>0</v>
      </c>
    </row>
    <row r="3488" spans="18:19" x14ac:dyDescent="0.25">
      <c r="R3488" s="13">
        <v>3415</v>
      </c>
      <c r="S3488" s="13">
        <v>0</v>
      </c>
    </row>
    <row r="3489" spans="18:19" x14ac:dyDescent="0.25">
      <c r="R3489" s="13">
        <v>3416</v>
      </c>
      <c r="S3489" s="13">
        <v>0</v>
      </c>
    </row>
    <row r="3490" spans="18:19" x14ac:dyDescent="0.25">
      <c r="R3490" s="13">
        <v>3417</v>
      </c>
      <c r="S3490" s="13">
        <v>0</v>
      </c>
    </row>
    <row r="3491" spans="18:19" x14ac:dyDescent="0.25">
      <c r="R3491" s="13">
        <v>3418</v>
      </c>
      <c r="S3491" s="13">
        <v>0</v>
      </c>
    </row>
    <row r="3492" spans="18:19" x14ac:dyDescent="0.25">
      <c r="R3492" s="13">
        <v>3419</v>
      </c>
      <c r="S3492" s="13">
        <v>0</v>
      </c>
    </row>
    <row r="3493" spans="18:19" x14ac:dyDescent="0.25">
      <c r="R3493" s="13">
        <v>3420</v>
      </c>
      <c r="S3493" s="13">
        <v>0</v>
      </c>
    </row>
    <row r="3494" spans="18:19" x14ac:dyDescent="0.25">
      <c r="R3494" s="13">
        <v>3421</v>
      </c>
      <c r="S3494" s="13">
        <v>275421428.80669785</v>
      </c>
    </row>
    <row r="3495" spans="18:19" x14ac:dyDescent="0.25">
      <c r="R3495" s="13">
        <v>3422</v>
      </c>
      <c r="S3495" s="13">
        <v>0</v>
      </c>
    </row>
    <row r="3496" spans="18:19" x14ac:dyDescent="0.25">
      <c r="R3496" s="13">
        <v>3423</v>
      </c>
      <c r="S3496" s="13">
        <v>0</v>
      </c>
    </row>
    <row r="3497" spans="18:19" x14ac:dyDescent="0.25">
      <c r="R3497" s="13">
        <v>3424</v>
      </c>
      <c r="S3497" s="13">
        <v>0</v>
      </c>
    </row>
    <row r="3498" spans="18:19" x14ac:dyDescent="0.25">
      <c r="R3498" s="13">
        <v>3425</v>
      </c>
      <c r="S3498" s="13">
        <v>0</v>
      </c>
    </row>
    <row r="3499" spans="18:19" x14ac:dyDescent="0.25">
      <c r="R3499" s="13">
        <v>3426</v>
      </c>
      <c r="S3499" s="13">
        <v>0</v>
      </c>
    </row>
    <row r="3500" spans="18:19" x14ac:dyDescent="0.25">
      <c r="R3500" s="13">
        <v>3427</v>
      </c>
      <c r="S3500" s="13">
        <v>0</v>
      </c>
    </row>
    <row r="3501" spans="18:19" x14ac:dyDescent="0.25">
      <c r="R3501" s="13">
        <v>3428</v>
      </c>
      <c r="S3501" s="13">
        <v>0</v>
      </c>
    </row>
    <row r="3502" spans="18:19" x14ac:dyDescent="0.25">
      <c r="R3502" s="13">
        <v>3429</v>
      </c>
      <c r="S3502" s="13">
        <v>0</v>
      </c>
    </row>
    <row r="3503" spans="18:19" x14ac:dyDescent="0.25">
      <c r="R3503" s="13">
        <v>3430</v>
      </c>
      <c r="S3503" s="13">
        <v>84265647.108940125</v>
      </c>
    </row>
    <row r="3504" spans="18:19" x14ac:dyDescent="0.25">
      <c r="R3504" s="13">
        <v>3431</v>
      </c>
      <c r="S3504" s="13">
        <v>0</v>
      </c>
    </row>
    <row r="3505" spans="18:19" x14ac:dyDescent="0.25">
      <c r="R3505" s="13">
        <v>3432</v>
      </c>
      <c r="S3505" s="13">
        <v>206090332.99843216</v>
      </c>
    </row>
    <row r="3506" spans="18:19" x14ac:dyDescent="0.25">
      <c r="R3506" s="13">
        <v>3433</v>
      </c>
      <c r="S3506" s="13">
        <v>89119303.803779602</v>
      </c>
    </row>
    <row r="3507" spans="18:19" x14ac:dyDescent="0.25">
      <c r="R3507" s="13">
        <v>3434</v>
      </c>
      <c r="S3507" s="13">
        <v>0</v>
      </c>
    </row>
    <row r="3508" spans="18:19" x14ac:dyDescent="0.25">
      <c r="R3508" s="13">
        <v>3435</v>
      </c>
      <c r="S3508" s="13">
        <v>0</v>
      </c>
    </row>
    <row r="3509" spans="18:19" x14ac:dyDescent="0.25">
      <c r="R3509" s="13">
        <v>3436</v>
      </c>
      <c r="S3509" s="13">
        <v>0</v>
      </c>
    </row>
    <row r="3510" spans="18:19" x14ac:dyDescent="0.25">
      <c r="R3510" s="13">
        <v>3437</v>
      </c>
      <c r="S3510" s="13">
        <v>0</v>
      </c>
    </row>
    <row r="3511" spans="18:19" x14ac:dyDescent="0.25">
      <c r="R3511" s="13">
        <v>3438</v>
      </c>
      <c r="S3511" s="13">
        <v>0</v>
      </c>
    </row>
    <row r="3512" spans="18:19" x14ac:dyDescent="0.25">
      <c r="R3512" s="13">
        <v>3439</v>
      </c>
      <c r="S3512" s="13">
        <v>0</v>
      </c>
    </row>
    <row r="3513" spans="18:19" x14ac:dyDescent="0.25">
      <c r="R3513" s="13">
        <v>3440</v>
      </c>
      <c r="S3513" s="13">
        <v>0</v>
      </c>
    </row>
    <row r="3514" spans="18:19" x14ac:dyDescent="0.25">
      <c r="R3514" s="13">
        <v>3441</v>
      </c>
      <c r="S3514" s="13">
        <v>0</v>
      </c>
    </row>
    <row r="3515" spans="18:19" x14ac:dyDescent="0.25">
      <c r="R3515" s="13">
        <v>3442</v>
      </c>
      <c r="S3515" s="13">
        <v>0</v>
      </c>
    </row>
    <row r="3516" spans="18:19" x14ac:dyDescent="0.25">
      <c r="R3516" s="13">
        <v>3443</v>
      </c>
      <c r="S3516" s="13">
        <v>0</v>
      </c>
    </row>
    <row r="3517" spans="18:19" x14ac:dyDescent="0.25">
      <c r="R3517" s="13">
        <v>3444</v>
      </c>
      <c r="S3517" s="13">
        <v>0</v>
      </c>
    </row>
    <row r="3518" spans="18:19" x14ac:dyDescent="0.25">
      <c r="R3518" s="13">
        <v>3445</v>
      </c>
      <c r="S3518" s="13">
        <v>0</v>
      </c>
    </row>
    <row r="3519" spans="18:19" x14ac:dyDescent="0.25">
      <c r="R3519" s="13">
        <v>3446</v>
      </c>
      <c r="S3519" s="13">
        <v>616516487.80913353</v>
      </c>
    </row>
    <row r="3520" spans="18:19" x14ac:dyDescent="0.25">
      <c r="R3520" s="13">
        <v>3447</v>
      </c>
      <c r="S3520" s="13">
        <v>464210431.0060215</v>
      </c>
    </row>
    <row r="3521" spans="18:19" x14ac:dyDescent="0.25">
      <c r="R3521" s="13">
        <v>3448</v>
      </c>
      <c r="S3521" s="13">
        <v>0</v>
      </c>
    </row>
    <row r="3522" spans="18:19" x14ac:dyDescent="0.25">
      <c r="R3522" s="13">
        <v>3449</v>
      </c>
      <c r="S3522" s="13">
        <v>1124680901.8742771</v>
      </c>
    </row>
    <row r="3523" spans="18:19" x14ac:dyDescent="0.25">
      <c r="R3523" s="13">
        <v>3450</v>
      </c>
      <c r="S3523" s="13">
        <v>0</v>
      </c>
    </row>
    <row r="3524" spans="18:19" x14ac:dyDescent="0.25">
      <c r="R3524" s="13">
        <v>3451</v>
      </c>
      <c r="S3524" s="13">
        <v>0</v>
      </c>
    </row>
    <row r="3525" spans="18:19" x14ac:dyDescent="0.25">
      <c r="R3525" s="13">
        <v>3452</v>
      </c>
      <c r="S3525" s="13">
        <v>0</v>
      </c>
    </row>
    <row r="3526" spans="18:19" x14ac:dyDescent="0.25">
      <c r="R3526" s="13">
        <v>3453</v>
      </c>
      <c r="S3526" s="13">
        <v>0</v>
      </c>
    </row>
    <row r="3527" spans="18:19" x14ac:dyDescent="0.25">
      <c r="R3527" s="13">
        <v>3454</v>
      </c>
      <c r="S3527" s="13">
        <v>469123703.94988632</v>
      </c>
    </row>
    <row r="3528" spans="18:19" x14ac:dyDescent="0.25">
      <c r="R3528" s="13">
        <v>3455</v>
      </c>
      <c r="S3528" s="13">
        <v>0</v>
      </c>
    </row>
    <row r="3529" spans="18:19" x14ac:dyDescent="0.25">
      <c r="R3529" s="13">
        <v>3456</v>
      </c>
      <c r="S3529" s="13">
        <v>254392240.33201027</v>
      </c>
    </row>
    <row r="3530" spans="18:19" x14ac:dyDescent="0.25">
      <c r="R3530" s="13">
        <v>3457</v>
      </c>
      <c r="S3530" s="13">
        <v>0</v>
      </c>
    </row>
    <row r="3531" spans="18:19" x14ac:dyDescent="0.25">
      <c r="R3531" s="13">
        <v>3458</v>
      </c>
      <c r="S3531" s="13">
        <v>0</v>
      </c>
    </row>
    <row r="3532" spans="18:19" x14ac:dyDescent="0.25">
      <c r="R3532" s="13">
        <v>3459</v>
      </c>
      <c r="S3532" s="13">
        <v>0</v>
      </c>
    </row>
    <row r="3533" spans="18:19" x14ac:dyDescent="0.25">
      <c r="R3533" s="13">
        <v>3460</v>
      </c>
      <c r="S3533" s="13">
        <v>0</v>
      </c>
    </row>
    <row r="3534" spans="18:19" x14ac:dyDescent="0.25">
      <c r="R3534" s="13">
        <v>3461</v>
      </c>
      <c r="S3534" s="13">
        <v>0</v>
      </c>
    </row>
    <row r="3535" spans="18:19" x14ac:dyDescent="0.25">
      <c r="R3535" s="13">
        <v>3462</v>
      </c>
      <c r="S3535" s="13">
        <v>0</v>
      </c>
    </row>
    <row r="3536" spans="18:19" x14ac:dyDescent="0.25">
      <c r="R3536" s="13">
        <v>3463</v>
      </c>
      <c r="S3536" s="13">
        <v>0</v>
      </c>
    </row>
    <row r="3537" spans="18:19" x14ac:dyDescent="0.25">
      <c r="R3537" s="13">
        <v>3464</v>
      </c>
      <c r="S3537" s="13">
        <v>0</v>
      </c>
    </row>
    <row r="3538" spans="18:19" x14ac:dyDescent="0.25">
      <c r="R3538" s="13">
        <v>3465</v>
      </c>
      <c r="S3538" s="13">
        <v>0</v>
      </c>
    </row>
    <row r="3539" spans="18:19" x14ac:dyDescent="0.25">
      <c r="R3539" s="13">
        <v>3466</v>
      </c>
      <c r="S3539" s="13">
        <v>0</v>
      </c>
    </row>
    <row r="3540" spans="18:19" x14ac:dyDescent="0.25">
      <c r="R3540" s="13">
        <v>3467</v>
      </c>
      <c r="S3540" s="13">
        <v>0</v>
      </c>
    </row>
    <row r="3541" spans="18:19" x14ac:dyDescent="0.25">
      <c r="R3541" s="13">
        <v>3468</v>
      </c>
      <c r="S3541" s="13">
        <v>0</v>
      </c>
    </row>
    <row r="3542" spans="18:19" x14ac:dyDescent="0.25">
      <c r="R3542" s="13">
        <v>3469</v>
      </c>
      <c r="S3542" s="13">
        <v>0</v>
      </c>
    </row>
    <row r="3543" spans="18:19" x14ac:dyDescent="0.25">
      <c r="R3543" s="13">
        <v>3470</v>
      </c>
      <c r="S3543" s="13">
        <v>0</v>
      </c>
    </row>
    <row r="3544" spans="18:19" x14ac:dyDescent="0.25">
      <c r="R3544" s="13">
        <v>3471</v>
      </c>
      <c r="S3544" s="13">
        <v>0</v>
      </c>
    </row>
    <row r="3545" spans="18:19" x14ac:dyDescent="0.25">
      <c r="R3545" s="13">
        <v>3472</v>
      </c>
      <c r="S3545" s="13">
        <v>69712379.545789719</v>
      </c>
    </row>
    <row r="3546" spans="18:19" x14ac:dyDescent="0.25">
      <c r="R3546" s="13">
        <v>3473</v>
      </c>
      <c r="S3546" s="13">
        <v>0</v>
      </c>
    </row>
    <row r="3547" spans="18:19" x14ac:dyDescent="0.25">
      <c r="R3547" s="13">
        <v>3474</v>
      </c>
      <c r="S3547" s="13">
        <v>0</v>
      </c>
    </row>
    <row r="3548" spans="18:19" x14ac:dyDescent="0.25">
      <c r="R3548" s="13">
        <v>3475</v>
      </c>
      <c r="S3548" s="13">
        <v>0</v>
      </c>
    </row>
    <row r="3549" spans="18:19" x14ac:dyDescent="0.25">
      <c r="R3549" s="13">
        <v>3476</v>
      </c>
      <c r="S3549" s="13">
        <v>0</v>
      </c>
    </row>
    <row r="3550" spans="18:19" x14ac:dyDescent="0.25">
      <c r="R3550" s="13">
        <v>3477</v>
      </c>
      <c r="S3550" s="13">
        <v>0</v>
      </c>
    </row>
    <row r="3551" spans="18:19" x14ac:dyDescent="0.25">
      <c r="R3551" s="13">
        <v>3478</v>
      </c>
      <c r="S3551" s="13">
        <v>0</v>
      </c>
    </row>
    <row r="3552" spans="18:19" x14ac:dyDescent="0.25">
      <c r="R3552" s="13">
        <v>3479</v>
      </c>
      <c r="S3552" s="13">
        <v>133347712.522089</v>
      </c>
    </row>
    <row r="3553" spans="18:19" x14ac:dyDescent="0.25">
      <c r="R3553" s="13">
        <v>3480</v>
      </c>
      <c r="S3553" s="13">
        <v>0</v>
      </c>
    </row>
    <row r="3554" spans="18:19" x14ac:dyDescent="0.25">
      <c r="R3554" s="13">
        <v>3481</v>
      </c>
      <c r="S3554" s="13">
        <v>0</v>
      </c>
    </row>
    <row r="3555" spans="18:19" x14ac:dyDescent="0.25">
      <c r="R3555" s="13">
        <v>3482</v>
      </c>
      <c r="S3555" s="13">
        <v>171467995.96609306</v>
      </c>
    </row>
    <row r="3556" spans="18:19" x14ac:dyDescent="0.25">
      <c r="R3556" s="13">
        <v>3483</v>
      </c>
      <c r="S3556" s="13">
        <v>1050358054.0861969</v>
      </c>
    </row>
    <row r="3557" spans="18:19" x14ac:dyDescent="0.25">
      <c r="R3557" s="13">
        <v>3484</v>
      </c>
      <c r="S3557" s="13">
        <v>0</v>
      </c>
    </row>
    <row r="3558" spans="18:19" x14ac:dyDescent="0.25">
      <c r="R3558" s="13">
        <v>3485</v>
      </c>
      <c r="S3558" s="13">
        <v>0</v>
      </c>
    </row>
    <row r="3559" spans="18:19" x14ac:dyDescent="0.25">
      <c r="R3559" s="13">
        <v>3486</v>
      </c>
      <c r="S3559" s="13">
        <v>0</v>
      </c>
    </row>
    <row r="3560" spans="18:19" x14ac:dyDescent="0.25">
      <c r="R3560" s="13">
        <v>3487</v>
      </c>
      <c r="S3560" s="13">
        <v>0</v>
      </c>
    </row>
    <row r="3561" spans="18:19" x14ac:dyDescent="0.25">
      <c r="R3561" s="13">
        <v>3488</v>
      </c>
      <c r="S3561" s="13">
        <v>0</v>
      </c>
    </row>
    <row r="3562" spans="18:19" x14ac:dyDescent="0.25">
      <c r="R3562" s="13">
        <v>3489</v>
      </c>
      <c r="S3562" s="13">
        <v>0</v>
      </c>
    </row>
    <row r="3563" spans="18:19" x14ac:dyDescent="0.25">
      <c r="R3563" s="13">
        <v>3490</v>
      </c>
      <c r="S3563" s="13">
        <v>298729565.50249481</v>
      </c>
    </row>
    <row r="3564" spans="18:19" x14ac:dyDescent="0.25">
      <c r="R3564" s="13">
        <v>3491</v>
      </c>
      <c r="S3564" s="13">
        <v>0</v>
      </c>
    </row>
    <row r="3565" spans="18:19" x14ac:dyDescent="0.25">
      <c r="R3565" s="13">
        <v>3492</v>
      </c>
      <c r="S3565" s="13">
        <v>0</v>
      </c>
    </row>
    <row r="3566" spans="18:19" x14ac:dyDescent="0.25">
      <c r="R3566" s="13">
        <v>3493</v>
      </c>
      <c r="S3566" s="13">
        <v>0</v>
      </c>
    </row>
    <row r="3567" spans="18:19" x14ac:dyDescent="0.25">
      <c r="R3567" s="13">
        <v>3494</v>
      </c>
      <c r="S3567" s="13">
        <v>0</v>
      </c>
    </row>
    <row r="3568" spans="18:19" x14ac:dyDescent="0.25">
      <c r="R3568" s="13">
        <v>3495</v>
      </c>
      <c r="S3568" s="13">
        <v>414985452.5050602</v>
      </c>
    </row>
    <row r="3569" spans="18:19" x14ac:dyDescent="0.25">
      <c r="R3569" s="13">
        <v>3496</v>
      </c>
      <c r="S3569" s="13">
        <v>0</v>
      </c>
    </row>
    <row r="3570" spans="18:19" x14ac:dyDescent="0.25">
      <c r="R3570" s="13">
        <v>3497</v>
      </c>
      <c r="S3570" s="13">
        <v>0</v>
      </c>
    </row>
    <row r="3571" spans="18:19" x14ac:dyDescent="0.25">
      <c r="R3571" s="13">
        <v>3498</v>
      </c>
      <c r="S3571" s="13">
        <v>0</v>
      </c>
    </row>
    <row r="3572" spans="18:19" x14ac:dyDescent="0.25">
      <c r="R3572" s="13">
        <v>3499</v>
      </c>
      <c r="S3572" s="13">
        <v>0</v>
      </c>
    </row>
    <row r="3573" spans="18:19" x14ac:dyDescent="0.25">
      <c r="R3573" s="13">
        <v>3500</v>
      </c>
      <c r="S3573" s="13">
        <v>0</v>
      </c>
    </row>
    <row r="3574" spans="18:19" x14ac:dyDescent="0.25">
      <c r="R3574" s="13">
        <v>3501</v>
      </c>
      <c r="S3574" s="13">
        <v>0</v>
      </c>
    </row>
    <row r="3575" spans="18:19" x14ac:dyDescent="0.25">
      <c r="R3575" s="13">
        <v>3502</v>
      </c>
      <c r="S3575" s="13">
        <v>0</v>
      </c>
    </row>
    <row r="3576" spans="18:19" x14ac:dyDescent="0.25">
      <c r="R3576" s="13">
        <v>3503</v>
      </c>
      <c r="S3576" s="13">
        <v>8634309.0777225494</v>
      </c>
    </row>
    <row r="3577" spans="18:19" x14ac:dyDescent="0.25">
      <c r="R3577" s="13">
        <v>3504</v>
      </c>
      <c r="S3577" s="13">
        <v>0</v>
      </c>
    </row>
    <row r="3578" spans="18:19" x14ac:dyDescent="0.25">
      <c r="R3578" s="13">
        <v>3505</v>
      </c>
      <c r="S3578" s="13">
        <v>0</v>
      </c>
    </row>
    <row r="3579" spans="18:19" x14ac:dyDescent="0.25">
      <c r="R3579" s="13">
        <v>3506</v>
      </c>
      <c r="S3579" s="13">
        <v>0</v>
      </c>
    </row>
    <row r="3580" spans="18:19" x14ac:dyDescent="0.25">
      <c r="R3580" s="13">
        <v>3507</v>
      </c>
      <c r="S3580" s="13">
        <v>317029463.65246964</v>
      </c>
    </row>
    <row r="3581" spans="18:19" x14ac:dyDescent="0.25">
      <c r="R3581" s="13">
        <v>3508</v>
      </c>
      <c r="S3581" s="13">
        <v>0</v>
      </c>
    </row>
    <row r="3582" spans="18:19" x14ac:dyDescent="0.25">
      <c r="R3582" s="13">
        <v>3509</v>
      </c>
      <c r="S3582" s="13">
        <v>0</v>
      </c>
    </row>
    <row r="3583" spans="18:19" x14ac:dyDescent="0.25">
      <c r="R3583" s="13">
        <v>3510</v>
      </c>
      <c r="S3583" s="13">
        <v>0</v>
      </c>
    </row>
    <row r="3584" spans="18:19" x14ac:dyDescent="0.25">
      <c r="R3584" s="13">
        <v>3511</v>
      </c>
      <c r="S3584" s="13">
        <v>159492623.65870476</v>
      </c>
    </row>
    <row r="3585" spans="18:19" x14ac:dyDescent="0.25">
      <c r="R3585" s="13">
        <v>3512</v>
      </c>
      <c r="S3585" s="13">
        <v>0</v>
      </c>
    </row>
    <row r="3586" spans="18:19" x14ac:dyDescent="0.25">
      <c r="R3586" s="13">
        <v>3513</v>
      </c>
      <c r="S3586" s="13">
        <v>148474162.58197784</v>
      </c>
    </row>
    <row r="3587" spans="18:19" x14ac:dyDescent="0.25">
      <c r="R3587" s="13">
        <v>3514</v>
      </c>
      <c r="S3587" s="13">
        <v>191792176.16169167</v>
      </c>
    </row>
    <row r="3588" spans="18:19" x14ac:dyDescent="0.25">
      <c r="R3588" s="13">
        <v>3515</v>
      </c>
      <c r="S3588" s="13">
        <v>0</v>
      </c>
    </row>
    <row r="3589" spans="18:19" x14ac:dyDescent="0.25">
      <c r="R3589" s="13">
        <v>3516</v>
      </c>
      <c r="S3589" s="13">
        <v>0</v>
      </c>
    </row>
    <row r="3590" spans="18:19" x14ac:dyDescent="0.25">
      <c r="R3590" s="13">
        <v>3517</v>
      </c>
      <c r="S3590" s="13">
        <v>0</v>
      </c>
    </row>
    <row r="3591" spans="18:19" x14ac:dyDescent="0.25">
      <c r="R3591" s="13">
        <v>3518</v>
      </c>
      <c r="S3591" s="13">
        <v>0</v>
      </c>
    </row>
    <row r="3592" spans="18:19" x14ac:dyDescent="0.25">
      <c r="R3592" s="13">
        <v>3519</v>
      </c>
      <c r="S3592" s="13">
        <v>0</v>
      </c>
    </row>
    <row r="3593" spans="18:19" x14ac:dyDescent="0.25">
      <c r="R3593" s="13">
        <v>3520</v>
      </c>
      <c r="S3593" s="13">
        <v>0</v>
      </c>
    </row>
    <row r="3594" spans="18:19" x14ac:dyDescent="0.25">
      <c r="R3594" s="13">
        <v>3521</v>
      </c>
      <c r="S3594" s="13">
        <v>0</v>
      </c>
    </row>
    <row r="3595" spans="18:19" x14ac:dyDescent="0.25">
      <c r="R3595" s="13">
        <v>3522</v>
      </c>
      <c r="S3595" s="13">
        <v>0</v>
      </c>
    </row>
    <row r="3596" spans="18:19" x14ac:dyDescent="0.25">
      <c r="R3596" s="13">
        <v>3523</v>
      </c>
      <c r="S3596" s="13">
        <v>0</v>
      </c>
    </row>
    <row r="3597" spans="18:19" x14ac:dyDescent="0.25">
      <c r="R3597" s="13">
        <v>3524</v>
      </c>
      <c r="S3597" s="13">
        <v>93744053.910306931</v>
      </c>
    </row>
    <row r="3598" spans="18:19" x14ac:dyDescent="0.25">
      <c r="R3598" s="13">
        <v>3525</v>
      </c>
      <c r="S3598" s="13">
        <v>0</v>
      </c>
    </row>
    <row r="3599" spans="18:19" x14ac:dyDescent="0.25">
      <c r="R3599" s="13">
        <v>3526</v>
      </c>
      <c r="S3599" s="13">
        <v>0</v>
      </c>
    </row>
    <row r="3600" spans="18:19" x14ac:dyDescent="0.25">
      <c r="R3600" s="13">
        <v>3527</v>
      </c>
      <c r="S3600" s="13">
        <v>0</v>
      </c>
    </row>
    <row r="3601" spans="18:19" x14ac:dyDescent="0.25">
      <c r="R3601" s="13">
        <v>3528</v>
      </c>
      <c r="S3601" s="13">
        <v>0</v>
      </c>
    </row>
    <row r="3602" spans="18:19" x14ac:dyDescent="0.25">
      <c r="R3602" s="13">
        <v>3529</v>
      </c>
      <c r="S3602" s="13">
        <v>138853410.56975555</v>
      </c>
    </row>
    <row r="3603" spans="18:19" x14ac:dyDescent="0.25">
      <c r="R3603" s="13">
        <v>3530</v>
      </c>
      <c r="S3603" s="13">
        <v>0</v>
      </c>
    </row>
    <row r="3604" spans="18:19" x14ac:dyDescent="0.25">
      <c r="R3604" s="13">
        <v>3531</v>
      </c>
      <c r="S3604" s="13">
        <v>0</v>
      </c>
    </row>
    <row r="3605" spans="18:19" x14ac:dyDescent="0.25">
      <c r="R3605" s="13">
        <v>3532</v>
      </c>
      <c r="S3605" s="13">
        <v>0</v>
      </c>
    </row>
    <row r="3606" spans="18:19" x14ac:dyDescent="0.25">
      <c r="R3606" s="13">
        <v>3533</v>
      </c>
      <c r="S3606" s="13">
        <v>0</v>
      </c>
    </row>
    <row r="3607" spans="18:19" x14ac:dyDescent="0.25">
      <c r="R3607" s="13">
        <v>3534</v>
      </c>
      <c r="S3607" s="13">
        <v>322592360.64661217</v>
      </c>
    </row>
    <row r="3608" spans="18:19" x14ac:dyDescent="0.25">
      <c r="R3608" s="13">
        <v>3535</v>
      </c>
      <c r="S3608" s="13">
        <v>0</v>
      </c>
    </row>
    <row r="3609" spans="18:19" x14ac:dyDescent="0.25">
      <c r="R3609" s="13">
        <v>3536</v>
      </c>
      <c r="S3609" s="13">
        <v>0</v>
      </c>
    </row>
    <row r="3610" spans="18:19" x14ac:dyDescent="0.25">
      <c r="R3610" s="13">
        <v>3537</v>
      </c>
      <c r="S3610" s="13">
        <v>0</v>
      </c>
    </row>
    <row r="3611" spans="18:19" x14ac:dyDescent="0.25">
      <c r="R3611" s="13">
        <v>3538</v>
      </c>
      <c r="S3611" s="13">
        <v>0</v>
      </c>
    </row>
    <row r="3612" spans="18:19" x14ac:dyDescent="0.25">
      <c r="R3612" s="13">
        <v>3539</v>
      </c>
      <c r="S3612" s="13">
        <v>0</v>
      </c>
    </row>
    <row r="3613" spans="18:19" x14ac:dyDescent="0.25">
      <c r="R3613" s="13">
        <v>3540</v>
      </c>
      <c r="S3613" s="13">
        <v>156185894.77378273</v>
      </c>
    </row>
    <row r="3614" spans="18:19" x14ac:dyDescent="0.25">
      <c r="R3614" s="13">
        <v>3541</v>
      </c>
      <c r="S3614" s="13">
        <v>0</v>
      </c>
    </row>
    <row r="3615" spans="18:19" x14ac:dyDescent="0.25">
      <c r="R3615" s="13">
        <v>3542</v>
      </c>
      <c r="S3615" s="13">
        <v>683170736.35538292</v>
      </c>
    </row>
    <row r="3616" spans="18:19" x14ac:dyDescent="0.25">
      <c r="R3616" s="13">
        <v>3543</v>
      </c>
      <c r="S3616" s="13">
        <v>6756432.455198288</v>
      </c>
    </row>
    <row r="3617" spans="18:19" x14ac:dyDescent="0.25">
      <c r="R3617" s="13">
        <v>3544</v>
      </c>
      <c r="S3617" s="13">
        <v>1033565.294801712</v>
      </c>
    </row>
    <row r="3618" spans="18:19" x14ac:dyDescent="0.25">
      <c r="R3618" s="13">
        <v>3545</v>
      </c>
      <c r="S3618" s="13">
        <v>813635555.25171661</v>
      </c>
    </row>
    <row r="3619" spans="18:19" x14ac:dyDescent="0.25">
      <c r="R3619" s="13">
        <v>3546</v>
      </c>
      <c r="S3619" s="13">
        <v>0</v>
      </c>
    </row>
    <row r="3620" spans="18:19" x14ac:dyDescent="0.25">
      <c r="R3620" s="13">
        <v>3547</v>
      </c>
      <c r="S3620" s="13">
        <v>0</v>
      </c>
    </row>
    <row r="3621" spans="18:19" x14ac:dyDescent="0.25">
      <c r="R3621" s="13">
        <v>3548</v>
      </c>
      <c r="S3621" s="13">
        <v>0</v>
      </c>
    </row>
    <row r="3622" spans="18:19" x14ac:dyDescent="0.25">
      <c r="R3622" s="13">
        <v>3549</v>
      </c>
      <c r="S3622" s="13">
        <v>538185036.30905151</v>
      </c>
    </row>
    <row r="3623" spans="18:19" x14ac:dyDescent="0.25">
      <c r="R3623" s="13">
        <v>3550</v>
      </c>
      <c r="S3623" s="13">
        <v>0</v>
      </c>
    </row>
    <row r="3624" spans="18:19" x14ac:dyDescent="0.25">
      <c r="R3624" s="13">
        <v>3551</v>
      </c>
      <c r="S3624" s="13">
        <v>0</v>
      </c>
    </row>
    <row r="3625" spans="18:19" x14ac:dyDescent="0.25">
      <c r="R3625" s="13">
        <v>3552</v>
      </c>
      <c r="S3625" s="13">
        <v>204766138.61324692</v>
      </c>
    </row>
    <row r="3626" spans="18:19" x14ac:dyDescent="0.25">
      <c r="R3626" s="13">
        <v>3553</v>
      </c>
      <c r="S3626" s="13">
        <v>410771947.83300209</v>
      </c>
    </row>
    <row r="3627" spans="18:19" x14ac:dyDescent="0.25">
      <c r="R3627" s="13">
        <v>3554</v>
      </c>
      <c r="S3627" s="13">
        <v>0</v>
      </c>
    </row>
    <row r="3628" spans="18:19" x14ac:dyDescent="0.25">
      <c r="R3628" s="13">
        <v>3555</v>
      </c>
      <c r="S3628" s="13">
        <v>104022279.43413734</v>
      </c>
    </row>
    <row r="3629" spans="18:19" x14ac:dyDescent="0.25">
      <c r="R3629" s="13">
        <v>3556</v>
      </c>
      <c r="S3629" s="13">
        <v>0</v>
      </c>
    </row>
    <row r="3630" spans="18:19" x14ac:dyDescent="0.25">
      <c r="R3630" s="13">
        <v>3557</v>
      </c>
      <c r="S3630" s="13">
        <v>0</v>
      </c>
    </row>
    <row r="3631" spans="18:19" x14ac:dyDescent="0.25">
      <c r="R3631" s="13">
        <v>3558</v>
      </c>
      <c r="S3631" s="13">
        <v>0</v>
      </c>
    </row>
    <row r="3632" spans="18:19" x14ac:dyDescent="0.25">
      <c r="R3632" s="13">
        <v>3559</v>
      </c>
      <c r="S3632" s="13">
        <v>0</v>
      </c>
    </row>
    <row r="3633" spans="18:19" x14ac:dyDescent="0.25">
      <c r="R3633" s="13">
        <v>3560</v>
      </c>
      <c r="S3633" s="13">
        <v>70710498.903873444</v>
      </c>
    </row>
    <row r="3634" spans="18:19" x14ac:dyDescent="0.25">
      <c r="R3634" s="13">
        <v>3561</v>
      </c>
      <c r="S3634" s="13">
        <v>0</v>
      </c>
    </row>
    <row r="3635" spans="18:19" x14ac:dyDescent="0.25">
      <c r="R3635" s="13">
        <v>3562</v>
      </c>
      <c r="S3635" s="13">
        <v>695202901.98077583</v>
      </c>
    </row>
    <row r="3636" spans="18:19" x14ac:dyDescent="0.25">
      <c r="R3636" s="13">
        <v>3563</v>
      </c>
      <c r="S3636" s="13">
        <v>0</v>
      </c>
    </row>
    <row r="3637" spans="18:19" x14ac:dyDescent="0.25">
      <c r="R3637" s="13">
        <v>3564</v>
      </c>
      <c r="S3637" s="13">
        <v>0</v>
      </c>
    </row>
    <row r="3638" spans="18:19" x14ac:dyDescent="0.25">
      <c r="R3638" s="13">
        <v>3565</v>
      </c>
      <c r="S3638" s="13">
        <v>0</v>
      </c>
    </row>
    <row r="3639" spans="18:19" x14ac:dyDescent="0.25">
      <c r="R3639" s="13">
        <v>3566</v>
      </c>
      <c r="S3639" s="13">
        <v>0</v>
      </c>
    </row>
    <row r="3640" spans="18:19" x14ac:dyDescent="0.25">
      <c r="R3640" s="13">
        <v>3567</v>
      </c>
      <c r="S3640" s="13">
        <v>0</v>
      </c>
    </row>
    <row r="3641" spans="18:19" x14ac:dyDescent="0.25">
      <c r="R3641" s="13">
        <v>3568</v>
      </c>
      <c r="S3641" s="13">
        <v>807599916.57673645</v>
      </c>
    </row>
    <row r="3642" spans="18:19" x14ac:dyDescent="0.25">
      <c r="R3642" s="13">
        <v>3569</v>
      </c>
      <c r="S3642" s="13">
        <v>0</v>
      </c>
    </row>
    <row r="3643" spans="18:19" x14ac:dyDescent="0.25">
      <c r="R3643" s="13">
        <v>3570</v>
      </c>
      <c r="S3643" s="13">
        <v>0</v>
      </c>
    </row>
    <row r="3644" spans="18:19" x14ac:dyDescent="0.25">
      <c r="R3644" s="13">
        <v>3571</v>
      </c>
      <c r="S3644" s="13">
        <v>0</v>
      </c>
    </row>
    <row r="3645" spans="18:19" x14ac:dyDescent="0.25">
      <c r="R3645" s="13">
        <v>3572</v>
      </c>
      <c r="S3645" s="13">
        <v>0</v>
      </c>
    </row>
    <row r="3646" spans="18:19" x14ac:dyDescent="0.25">
      <c r="R3646" s="13">
        <v>3573</v>
      </c>
      <c r="S3646" s="13">
        <v>0</v>
      </c>
    </row>
    <row r="3647" spans="18:19" x14ac:dyDescent="0.25">
      <c r="R3647" s="13">
        <v>3574</v>
      </c>
      <c r="S3647" s="13">
        <v>0</v>
      </c>
    </row>
    <row r="3648" spans="18:19" x14ac:dyDescent="0.25">
      <c r="R3648" s="13">
        <v>3575</v>
      </c>
      <c r="S3648" s="13">
        <v>0</v>
      </c>
    </row>
    <row r="3649" spans="18:19" x14ac:dyDescent="0.25">
      <c r="R3649" s="13">
        <v>3576</v>
      </c>
      <c r="S3649" s="13">
        <v>0</v>
      </c>
    </row>
    <row r="3650" spans="18:19" x14ac:dyDescent="0.25">
      <c r="R3650" s="13">
        <v>3577</v>
      </c>
      <c r="S3650" s="13">
        <v>0</v>
      </c>
    </row>
    <row r="3651" spans="18:19" x14ac:dyDescent="0.25">
      <c r="R3651" s="13">
        <v>3578</v>
      </c>
      <c r="S3651" s="13">
        <v>163251567.27878571</v>
      </c>
    </row>
    <row r="3652" spans="18:19" x14ac:dyDescent="0.25">
      <c r="R3652" s="13">
        <v>3579</v>
      </c>
      <c r="S3652" s="13">
        <v>490667953.67591095</v>
      </c>
    </row>
    <row r="3653" spans="18:19" x14ac:dyDescent="0.25">
      <c r="R3653" s="13">
        <v>3580</v>
      </c>
      <c r="S3653" s="13">
        <v>12961723.987207413</v>
      </c>
    </row>
    <row r="3654" spans="18:19" x14ac:dyDescent="0.25">
      <c r="R3654" s="13">
        <v>3581</v>
      </c>
      <c r="S3654" s="13">
        <v>0</v>
      </c>
    </row>
    <row r="3655" spans="18:19" x14ac:dyDescent="0.25">
      <c r="R3655" s="13">
        <v>3582</v>
      </c>
      <c r="S3655" s="13">
        <v>0</v>
      </c>
    </row>
    <row r="3656" spans="18:19" x14ac:dyDescent="0.25">
      <c r="R3656" s="13">
        <v>3583</v>
      </c>
      <c r="S3656" s="13">
        <v>0</v>
      </c>
    </row>
    <row r="3657" spans="18:19" x14ac:dyDescent="0.25">
      <c r="R3657" s="13">
        <v>3584</v>
      </c>
      <c r="S3657" s="13">
        <v>0</v>
      </c>
    </row>
    <row r="3658" spans="18:19" x14ac:dyDescent="0.25">
      <c r="R3658" s="13">
        <v>3585</v>
      </c>
      <c r="S3658" s="13">
        <v>0</v>
      </c>
    </row>
    <row r="3659" spans="18:19" x14ac:dyDescent="0.25">
      <c r="R3659" s="13">
        <v>3586</v>
      </c>
      <c r="S3659" s="13">
        <v>0</v>
      </c>
    </row>
    <row r="3660" spans="18:19" x14ac:dyDescent="0.25">
      <c r="R3660" s="13">
        <v>3587</v>
      </c>
      <c r="S3660" s="13">
        <v>323644183.89748192</v>
      </c>
    </row>
    <row r="3661" spans="18:19" x14ac:dyDescent="0.25">
      <c r="R3661" s="13">
        <v>3588</v>
      </c>
      <c r="S3661" s="13">
        <v>0</v>
      </c>
    </row>
    <row r="3662" spans="18:19" x14ac:dyDescent="0.25">
      <c r="R3662" s="13">
        <v>3589</v>
      </c>
      <c r="S3662" s="13">
        <v>0</v>
      </c>
    </row>
    <row r="3663" spans="18:19" x14ac:dyDescent="0.25">
      <c r="R3663" s="13">
        <v>3590</v>
      </c>
      <c r="S3663" s="13">
        <v>780130405.31256485</v>
      </c>
    </row>
    <row r="3664" spans="18:19" x14ac:dyDescent="0.25">
      <c r="R3664" s="13">
        <v>3591</v>
      </c>
      <c r="S3664" s="13">
        <v>0</v>
      </c>
    </row>
    <row r="3665" spans="18:19" x14ac:dyDescent="0.25">
      <c r="R3665" s="13">
        <v>3592</v>
      </c>
      <c r="S3665" s="13">
        <v>0</v>
      </c>
    </row>
    <row r="3666" spans="18:19" x14ac:dyDescent="0.25">
      <c r="R3666" s="13">
        <v>3593</v>
      </c>
      <c r="S3666" s="13">
        <v>0</v>
      </c>
    </row>
    <row r="3667" spans="18:19" x14ac:dyDescent="0.25">
      <c r="R3667" s="13">
        <v>3594</v>
      </c>
      <c r="S3667" s="13">
        <v>641470707.92870712</v>
      </c>
    </row>
    <row r="3668" spans="18:19" x14ac:dyDescent="0.25">
      <c r="R3668" s="13">
        <v>3595</v>
      </c>
      <c r="S3668" s="13">
        <v>0</v>
      </c>
    </row>
    <row r="3669" spans="18:19" x14ac:dyDescent="0.25">
      <c r="R3669" s="13">
        <v>3596</v>
      </c>
      <c r="S3669" s="13">
        <v>0</v>
      </c>
    </row>
    <row r="3670" spans="18:19" x14ac:dyDescent="0.25">
      <c r="R3670" s="13">
        <v>3597</v>
      </c>
      <c r="S3670" s="13">
        <v>0</v>
      </c>
    </row>
    <row r="3671" spans="18:19" x14ac:dyDescent="0.25">
      <c r="R3671" s="13">
        <v>3598</v>
      </c>
      <c r="S3671" s="13">
        <v>0</v>
      </c>
    </row>
    <row r="3672" spans="18:19" x14ac:dyDescent="0.25">
      <c r="R3672" s="13">
        <v>3599</v>
      </c>
      <c r="S3672" s="13">
        <v>0</v>
      </c>
    </row>
    <row r="3673" spans="18:19" x14ac:dyDescent="0.25">
      <c r="R3673" s="13">
        <v>3600</v>
      </c>
      <c r="S3673" s="13">
        <v>447383651.70483017</v>
      </c>
    </row>
    <row r="3674" spans="18:19" x14ac:dyDescent="0.25">
      <c r="R3674" s="13">
        <v>3601</v>
      </c>
      <c r="S3674" s="13">
        <v>0</v>
      </c>
    </row>
    <row r="3675" spans="18:19" x14ac:dyDescent="0.25">
      <c r="R3675" s="13">
        <v>3602</v>
      </c>
      <c r="S3675" s="13">
        <v>0</v>
      </c>
    </row>
    <row r="3676" spans="18:19" x14ac:dyDescent="0.25">
      <c r="R3676" s="13">
        <v>3603</v>
      </c>
      <c r="S3676" s="13">
        <v>0</v>
      </c>
    </row>
    <row r="3677" spans="18:19" x14ac:dyDescent="0.25">
      <c r="R3677" s="13">
        <v>3604</v>
      </c>
      <c r="S3677" s="13">
        <v>0</v>
      </c>
    </row>
    <row r="3678" spans="18:19" x14ac:dyDescent="0.25">
      <c r="R3678" s="13">
        <v>3605</v>
      </c>
      <c r="S3678" s="13">
        <v>0</v>
      </c>
    </row>
    <row r="3679" spans="18:19" x14ac:dyDescent="0.25">
      <c r="R3679" s="13">
        <v>3606</v>
      </c>
      <c r="S3679" s="13">
        <v>717604652.8084259</v>
      </c>
    </row>
    <row r="3680" spans="18:19" x14ac:dyDescent="0.25">
      <c r="R3680" s="13">
        <v>3607</v>
      </c>
      <c r="S3680" s="13">
        <v>401490324.61080933</v>
      </c>
    </row>
    <row r="3681" spans="18:19" x14ac:dyDescent="0.25">
      <c r="R3681" s="13">
        <v>3608</v>
      </c>
      <c r="S3681" s="13">
        <v>625758876.26760483</v>
      </c>
    </row>
    <row r="3682" spans="18:19" x14ac:dyDescent="0.25">
      <c r="R3682" s="13">
        <v>3609</v>
      </c>
      <c r="S3682" s="13">
        <v>0</v>
      </c>
    </row>
    <row r="3683" spans="18:19" x14ac:dyDescent="0.25">
      <c r="R3683" s="13">
        <v>3610</v>
      </c>
      <c r="S3683" s="13">
        <v>276790392.80326462</v>
      </c>
    </row>
    <row r="3684" spans="18:19" x14ac:dyDescent="0.25">
      <c r="R3684" s="13">
        <v>3611</v>
      </c>
      <c r="S3684" s="13">
        <v>0</v>
      </c>
    </row>
    <row r="3685" spans="18:19" x14ac:dyDescent="0.25">
      <c r="R3685" s="13">
        <v>3612</v>
      </c>
      <c r="S3685" s="13">
        <v>0</v>
      </c>
    </row>
    <row r="3686" spans="18:19" x14ac:dyDescent="0.25">
      <c r="R3686" s="13">
        <v>3613</v>
      </c>
      <c r="S3686" s="13">
        <v>0</v>
      </c>
    </row>
    <row r="3687" spans="18:19" x14ac:dyDescent="0.25">
      <c r="R3687" s="13">
        <v>3614</v>
      </c>
      <c r="S3687" s="13">
        <v>0</v>
      </c>
    </row>
    <row r="3688" spans="18:19" x14ac:dyDescent="0.25">
      <c r="R3688" s="13">
        <v>3615</v>
      </c>
      <c r="S3688" s="13">
        <v>0</v>
      </c>
    </row>
    <row r="3689" spans="18:19" x14ac:dyDescent="0.25">
      <c r="R3689" s="13">
        <v>3616</v>
      </c>
      <c r="S3689" s="13">
        <v>500124432.86936188</v>
      </c>
    </row>
    <row r="3690" spans="18:19" x14ac:dyDescent="0.25">
      <c r="R3690" s="13">
        <v>3617</v>
      </c>
      <c r="S3690" s="13">
        <v>0</v>
      </c>
    </row>
    <row r="3691" spans="18:19" x14ac:dyDescent="0.25">
      <c r="R3691" s="13">
        <v>3618</v>
      </c>
      <c r="S3691" s="13">
        <v>0</v>
      </c>
    </row>
    <row r="3692" spans="18:19" x14ac:dyDescent="0.25">
      <c r="R3692" s="13">
        <v>3619</v>
      </c>
      <c r="S3692" s="13">
        <v>529897714.35596848</v>
      </c>
    </row>
    <row r="3693" spans="18:19" x14ac:dyDescent="0.25">
      <c r="R3693" s="13">
        <v>3620</v>
      </c>
      <c r="S3693" s="13">
        <v>0</v>
      </c>
    </row>
    <row r="3694" spans="18:19" x14ac:dyDescent="0.25">
      <c r="R3694" s="13">
        <v>3621</v>
      </c>
      <c r="S3694" s="13">
        <v>116689727.82030869</v>
      </c>
    </row>
    <row r="3695" spans="18:19" x14ac:dyDescent="0.25">
      <c r="R3695" s="13">
        <v>3622</v>
      </c>
      <c r="S3695" s="13">
        <v>0</v>
      </c>
    </row>
    <row r="3696" spans="18:19" x14ac:dyDescent="0.25">
      <c r="R3696" s="13">
        <v>3623</v>
      </c>
      <c r="S3696" s="13">
        <v>0</v>
      </c>
    </row>
    <row r="3697" spans="18:19" x14ac:dyDescent="0.25">
      <c r="R3697" s="13">
        <v>3624</v>
      </c>
      <c r="S3697" s="13">
        <v>0</v>
      </c>
    </row>
    <row r="3698" spans="18:19" x14ac:dyDescent="0.25">
      <c r="R3698" s="13">
        <v>3625</v>
      </c>
      <c r="S3698" s="13">
        <v>0</v>
      </c>
    </row>
    <row r="3699" spans="18:19" x14ac:dyDescent="0.25">
      <c r="R3699" s="13">
        <v>3626</v>
      </c>
      <c r="S3699" s="13">
        <v>617968998.37408638</v>
      </c>
    </row>
    <row r="3700" spans="18:19" x14ac:dyDescent="0.25">
      <c r="R3700" s="13">
        <v>3627</v>
      </c>
      <c r="S3700" s="13">
        <v>0</v>
      </c>
    </row>
    <row r="3701" spans="18:19" x14ac:dyDescent="0.25">
      <c r="R3701" s="13">
        <v>3628</v>
      </c>
      <c r="S3701" s="13">
        <v>358685153.40442276</v>
      </c>
    </row>
    <row r="3702" spans="18:19" x14ac:dyDescent="0.25">
      <c r="R3702" s="13">
        <v>3629</v>
      </c>
      <c r="S3702" s="13">
        <v>0</v>
      </c>
    </row>
    <row r="3703" spans="18:19" x14ac:dyDescent="0.25">
      <c r="R3703" s="13">
        <v>3630</v>
      </c>
      <c r="S3703" s="13">
        <v>0</v>
      </c>
    </row>
    <row r="3704" spans="18:19" x14ac:dyDescent="0.25">
      <c r="R3704" s="13">
        <v>3631</v>
      </c>
      <c r="S3704" s="13">
        <v>0</v>
      </c>
    </row>
    <row r="3705" spans="18:19" x14ac:dyDescent="0.25">
      <c r="R3705" s="13">
        <v>3632</v>
      </c>
      <c r="S3705" s="13">
        <v>0</v>
      </c>
    </row>
    <row r="3706" spans="18:19" x14ac:dyDescent="0.25">
      <c r="R3706" s="13">
        <v>3633</v>
      </c>
      <c r="S3706" s="13">
        <v>0</v>
      </c>
    </row>
    <row r="3707" spans="18:19" x14ac:dyDescent="0.25">
      <c r="R3707" s="13">
        <v>3634</v>
      </c>
      <c r="S3707" s="13">
        <v>0</v>
      </c>
    </row>
    <row r="3708" spans="18:19" x14ac:dyDescent="0.25">
      <c r="R3708" s="13">
        <v>3635</v>
      </c>
      <c r="S3708" s="13">
        <v>194223699.89490128</v>
      </c>
    </row>
    <row r="3709" spans="18:19" x14ac:dyDescent="0.25">
      <c r="R3709" s="13">
        <v>3636</v>
      </c>
      <c r="S3709" s="13">
        <v>0</v>
      </c>
    </row>
    <row r="3710" spans="18:19" x14ac:dyDescent="0.25">
      <c r="R3710" s="13">
        <v>3637</v>
      </c>
      <c r="S3710" s="13">
        <v>0</v>
      </c>
    </row>
    <row r="3711" spans="18:19" x14ac:dyDescent="0.25">
      <c r="R3711" s="13">
        <v>3638</v>
      </c>
      <c r="S3711" s="13">
        <v>0</v>
      </c>
    </row>
    <row r="3712" spans="18:19" x14ac:dyDescent="0.25">
      <c r="R3712" s="13">
        <v>3639</v>
      </c>
      <c r="S3712" s="13">
        <v>0</v>
      </c>
    </row>
    <row r="3713" spans="18:19" x14ac:dyDescent="0.25">
      <c r="R3713" s="13">
        <v>3640</v>
      </c>
      <c r="S3713" s="13">
        <v>0</v>
      </c>
    </row>
    <row r="3714" spans="18:19" x14ac:dyDescent="0.25">
      <c r="R3714" s="13">
        <v>3641</v>
      </c>
      <c r="S3714" s="13">
        <v>0</v>
      </c>
    </row>
    <row r="3715" spans="18:19" x14ac:dyDescent="0.25">
      <c r="R3715" s="13">
        <v>3642</v>
      </c>
      <c r="S3715" s="13">
        <v>23399808.791261673</v>
      </c>
    </row>
    <row r="3716" spans="18:19" x14ac:dyDescent="0.25">
      <c r="R3716" s="13">
        <v>3643</v>
      </c>
      <c r="S3716" s="13">
        <v>417463676.81528091</v>
      </c>
    </row>
    <row r="3717" spans="18:19" x14ac:dyDescent="0.25">
      <c r="R3717" s="13">
        <v>3644</v>
      </c>
      <c r="S3717" s="13">
        <v>0</v>
      </c>
    </row>
    <row r="3718" spans="18:19" x14ac:dyDescent="0.25">
      <c r="R3718" s="13">
        <v>3645</v>
      </c>
      <c r="S3718" s="13">
        <v>0</v>
      </c>
    </row>
    <row r="3719" spans="18:19" x14ac:dyDescent="0.25">
      <c r="R3719" s="13">
        <v>3646</v>
      </c>
      <c r="S3719" s="13">
        <v>55849705.742992401</v>
      </c>
    </row>
    <row r="3720" spans="18:19" x14ac:dyDescent="0.25">
      <c r="R3720" s="13">
        <v>3647</v>
      </c>
      <c r="S3720" s="13">
        <v>81288975.241746902</v>
      </c>
    </row>
    <row r="3721" spans="18:19" x14ac:dyDescent="0.25">
      <c r="R3721" s="13">
        <v>3648</v>
      </c>
      <c r="S3721" s="13">
        <v>0</v>
      </c>
    </row>
    <row r="3722" spans="18:19" x14ac:dyDescent="0.25">
      <c r="R3722" s="13">
        <v>3649</v>
      </c>
      <c r="S3722" s="13">
        <v>412731047.95926476</v>
      </c>
    </row>
    <row r="3723" spans="18:19" x14ac:dyDescent="0.25">
      <c r="R3723" s="13">
        <v>3650</v>
      </c>
      <c r="S3723" s="13">
        <v>1122170277.45261</v>
      </c>
    </row>
    <row r="3724" spans="18:19" x14ac:dyDescent="0.25">
      <c r="R3724" s="13">
        <v>3651</v>
      </c>
      <c r="S3724" s="13">
        <v>0</v>
      </c>
    </row>
    <row r="3725" spans="18:19" x14ac:dyDescent="0.25">
      <c r="R3725" s="13">
        <v>3652</v>
      </c>
      <c r="S3725" s="13">
        <v>0</v>
      </c>
    </row>
    <row r="3726" spans="18:19" x14ac:dyDescent="0.25">
      <c r="R3726" s="13">
        <v>3653</v>
      </c>
      <c r="S3726" s="13">
        <v>0</v>
      </c>
    </row>
    <row r="3727" spans="18:19" x14ac:dyDescent="0.25">
      <c r="R3727" s="13">
        <v>3654</v>
      </c>
      <c r="S3727" s="13">
        <v>37945627.77696228</v>
      </c>
    </row>
    <row r="3728" spans="18:19" x14ac:dyDescent="0.25">
      <c r="R3728" s="13">
        <v>3655</v>
      </c>
      <c r="S3728" s="13">
        <v>13735608.632307053</v>
      </c>
    </row>
    <row r="3729" spans="18:19" x14ac:dyDescent="0.25">
      <c r="R3729" s="13">
        <v>3656</v>
      </c>
      <c r="S3729" s="13">
        <v>0</v>
      </c>
    </row>
    <row r="3730" spans="18:19" x14ac:dyDescent="0.25">
      <c r="R3730" s="13">
        <v>3657</v>
      </c>
      <c r="S3730" s="13">
        <v>0</v>
      </c>
    </row>
    <row r="3731" spans="18:19" x14ac:dyDescent="0.25">
      <c r="R3731" s="13">
        <v>3658</v>
      </c>
      <c r="S3731" s="13">
        <v>0</v>
      </c>
    </row>
    <row r="3732" spans="18:19" x14ac:dyDescent="0.25">
      <c r="R3732" s="13">
        <v>3659</v>
      </c>
      <c r="S3732" s="13">
        <v>0</v>
      </c>
    </row>
    <row r="3733" spans="18:19" x14ac:dyDescent="0.25">
      <c r="R3733" s="13">
        <v>3660</v>
      </c>
      <c r="S3733" s="13">
        <v>0</v>
      </c>
    </row>
    <row r="3734" spans="18:19" x14ac:dyDescent="0.25">
      <c r="R3734" s="13">
        <v>3661</v>
      </c>
      <c r="S3734" s="13">
        <v>0</v>
      </c>
    </row>
    <row r="3735" spans="18:19" x14ac:dyDescent="0.25">
      <c r="R3735" s="13">
        <v>3662</v>
      </c>
      <c r="S3735" s="13">
        <v>0</v>
      </c>
    </row>
    <row r="3736" spans="18:19" x14ac:dyDescent="0.25">
      <c r="R3736" s="13">
        <v>3663</v>
      </c>
      <c r="S3736" s="13">
        <v>0</v>
      </c>
    </row>
    <row r="3737" spans="18:19" x14ac:dyDescent="0.25">
      <c r="R3737" s="13">
        <v>3664</v>
      </c>
      <c r="S3737" s="13">
        <v>447289241.88948822</v>
      </c>
    </row>
    <row r="3738" spans="18:19" x14ac:dyDescent="0.25">
      <c r="R3738" s="13">
        <v>3665</v>
      </c>
      <c r="S3738" s="13">
        <v>0</v>
      </c>
    </row>
    <row r="3739" spans="18:19" x14ac:dyDescent="0.25">
      <c r="R3739" s="13">
        <v>3666</v>
      </c>
      <c r="S3739" s="13">
        <v>0</v>
      </c>
    </row>
    <row r="3740" spans="18:19" x14ac:dyDescent="0.25">
      <c r="R3740" s="13">
        <v>3667</v>
      </c>
      <c r="S3740" s="13">
        <v>0</v>
      </c>
    </row>
    <row r="3741" spans="18:19" x14ac:dyDescent="0.25">
      <c r="R3741" s="13">
        <v>3668</v>
      </c>
      <c r="S3741" s="13">
        <v>0</v>
      </c>
    </row>
    <row r="3742" spans="18:19" x14ac:dyDescent="0.25">
      <c r="R3742" s="13">
        <v>3669</v>
      </c>
      <c r="S3742" s="13">
        <v>247056342.71061325</v>
      </c>
    </row>
    <row r="3743" spans="18:19" x14ac:dyDescent="0.25">
      <c r="R3743" s="13">
        <v>3670</v>
      </c>
      <c r="S3743" s="13">
        <v>0</v>
      </c>
    </row>
    <row r="3744" spans="18:19" x14ac:dyDescent="0.25">
      <c r="R3744" s="13">
        <v>3671</v>
      </c>
      <c r="S3744" s="13">
        <v>0</v>
      </c>
    </row>
    <row r="3745" spans="18:19" x14ac:dyDescent="0.25">
      <c r="R3745" s="13">
        <v>3672</v>
      </c>
      <c r="S3745" s="13">
        <v>0</v>
      </c>
    </row>
    <row r="3746" spans="18:19" x14ac:dyDescent="0.25">
      <c r="R3746" s="13">
        <v>3673</v>
      </c>
      <c r="S3746" s="13">
        <v>0</v>
      </c>
    </row>
    <row r="3747" spans="18:19" x14ac:dyDescent="0.25">
      <c r="R3747" s="13">
        <v>3674</v>
      </c>
      <c r="S3747" s="13">
        <v>0</v>
      </c>
    </row>
    <row r="3748" spans="18:19" x14ac:dyDescent="0.25">
      <c r="R3748" s="13">
        <v>3675</v>
      </c>
      <c r="S3748" s="13">
        <v>0</v>
      </c>
    </row>
    <row r="3749" spans="18:19" x14ac:dyDescent="0.25">
      <c r="R3749" s="13">
        <v>3676</v>
      </c>
      <c r="S3749" s="13">
        <v>0</v>
      </c>
    </row>
    <row r="3750" spans="18:19" x14ac:dyDescent="0.25">
      <c r="R3750" s="13">
        <v>3677</v>
      </c>
      <c r="S3750" s="13">
        <v>345625580.78004074</v>
      </c>
    </row>
    <row r="3751" spans="18:19" x14ac:dyDescent="0.25">
      <c r="R3751" s="13">
        <v>3678</v>
      </c>
      <c r="S3751" s="13">
        <v>0</v>
      </c>
    </row>
    <row r="3752" spans="18:19" x14ac:dyDescent="0.25">
      <c r="R3752" s="13">
        <v>3679</v>
      </c>
      <c r="S3752" s="13">
        <v>0</v>
      </c>
    </row>
    <row r="3753" spans="18:19" x14ac:dyDescent="0.25">
      <c r="R3753" s="13">
        <v>3680</v>
      </c>
      <c r="S3753" s="13">
        <v>0</v>
      </c>
    </row>
    <row r="3754" spans="18:19" x14ac:dyDescent="0.25">
      <c r="R3754" s="13">
        <v>3681</v>
      </c>
      <c r="S3754" s="13">
        <v>0</v>
      </c>
    </row>
    <row r="3755" spans="18:19" x14ac:dyDescent="0.25">
      <c r="R3755" s="13">
        <v>3682</v>
      </c>
      <c r="S3755" s="13">
        <v>0</v>
      </c>
    </row>
    <row r="3756" spans="18:19" x14ac:dyDescent="0.25">
      <c r="R3756" s="13">
        <v>3683</v>
      </c>
      <c r="S3756" s="13">
        <v>0</v>
      </c>
    </row>
    <row r="3757" spans="18:19" x14ac:dyDescent="0.25">
      <c r="R3757" s="13">
        <v>3684</v>
      </c>
      <c r="S3757" s="13">
        <v>0</v>
      </c>
    </row>
    <row r="3758" spans="18:19" x14ac:dyDescent="0.25">
      <c r="R3758" s="13">
        <v>3685</v>
      </c>
      <c r="S3758" s="13">
        <v>50199959.335969925</v>
      </c>
    </row>
    <row r="3759" spans="18:19" x14ac:dyDescent="0.25">
      <c r="R3759" s="13">
        <v>3686</v>
      </c>
      <c r="S3759" s="13">
        <v>0</v>
      </c>
    </row>
    <row r="3760" spans="18:19" x14ac:dyDescent="0.25">
      <c r="R3760" s="13">
        <v>3687</v>
      </c>
      <c r="S3760" s="13">
        <v>0</v>
      </c>
    </row>
    <row r="3761" spans="18:19" x14ac:dyDescent="0.25">
      <c r="R3761" s="13">
        <v>3688</v>
      </c>
      <c r="S3761" s="13">
        <v>0</v>
      </c>
    </row>
    <row r="3762" spans="18:19" x14ac:dyDescent="0.25">
      <c r="R3762" s="13">
        <v>3689</v>
      </c>
      <c r="S3762" s="13">
        <v>327557076.41776848</v>
      </c>
    </row>
    <row r="3763" spans="18:19" x14ac:dyDescent="0.25">
      <c r="R3763" s="13">
        <v>3690</v>
      </c>
      <c r="S3763" s="13">
        <v>0</v>
      </c>
    </row>
    <row r="3764" spans="18:19" x14ac:dyDescent="0.25">
      <c r="R3764" s="13">
        <v>3691</v>
      </c>
      <c r="S3764" s="13">
        <v>0</v>
      </c>
    </row>
    <row r="3765" spans="18:19" x14ac:dyDescent="0.25">
      <c r="R3765" s="13">
        <v>3692</v>
      </c>
      <c r="S3765" s="13">
        <v>0</v>
      </c>
    </row>
    <row r="3766" spans="18:19" x14ac:dyDescent="0.25">
      <c r="R3766" s="13">
        <v>3693</v>
      </c>
      <c r="S3766" s="13">
        <v>0</v>
      </c>
    </row>
    <row r="3767" spans="18:19" x14ac:dyDescent="0.25">
      <c r="R3767" s="13">
        <v>3694</v>
      </c>
      <c r="S3767" s="13">
        <v>0</v>
      </c>
    </row>
    <row r="3768" spans="18:19" x14ac:dyDescent="0.25">
      <c r="R3768" s="13">
        <v>3695</v>
      </c>
      <c r="S3768" s="13">
        <v>368506687.30189133</v>
      </c>
    </row>
    <row r="3769" spans="18:19" x14ac:dyDescent="0.25">
      <c r="R3769" s="13">
        <v>3696</v>
      </c>
      <c r="S3769" s="13">
        <v>0</v>
      </c>
    </row>
    <row r="3770" spans="18:19" x14ac:dyDescent="0.25">
      <c r="R3770" s="13">
        <v>3697</v>
      </c>
      <c r="S3770" s="13">
        <v>0</v>
      </c>
    </row>
    <row r="3771" spans="18:19" x14ac:dyDescent="0.25">
      <c r="R3771" s="13">
        <v>3698</v>
      </c>
      <c r="S3771" s="13">
        <v>0</v>
      </c>
    </row>
    <row r="3772" spans="18:19" x14ac:dyDescent="0.25">
      <c r="R3772" s="13">
        <v>3699</v>
      </c>
      <c r="S3772" s="13">
        <v>0</v>
      </c>
    </row>
    <row r="3773" spans="18:19" x14ac:dyDescent="0.25">
      <c r="R3773" s="13">
        <v>3700</v>
      </c>
      <c r="S3773" s="13">
        <v>0</v>
      </c>
    </row>
    <row r="3774" spans="18:19" x14ac:dyDescent="0.25">
      <c r="R3774" s="13">
        <v>3701</v>
      </c>
      <c r="S3774" s="13">
        <v>0</v>
      </c>
    </row>
    <row r="3775" spans="18:19" x14ac:dyDescent="0.25">
      <c r="R3775" s="13">
        <v>3702</v>
      </c>
      <c r="S3775" s="13">
        <v>0</v>
      </c>
    </row>
    <row r="3776" spans="18:19" x14ac:dyDescent="0.25">
      <c r="R3776" s="13">
        <v>3703</v>
      </c>
      <c r="S3776" s="13">
        <v>0</v>
      </c>
    </row>
    <row r="3777" spans="18:19" x14ac:dyDescent="0.25">
      <c r="R3777" s="13">
        <v>3704</v>
      </c>
      <c r="S3777" s="13">
        <v>0</v>
      </c>
    </row>
    <row r="3778" spans="18:19" x14ac:dyDescent="0.25">
      <c r="R3778" s="13">
        <v>3705</v>
      </c>
      <c r="S3778" s="13">
        <v>0</v>
      </c>
    </row>
    <row r="3779" spans="18:19" x14ac:dyDescent="0.25">
      <c r="R3779" s="13">
        <v>3706</v>
      </c>
      <c r="S3779" s="13">
        <v>0</v>
      </c>
    </row>
    <row r="3780" spans="18:19" x14ac:dyDescent="0.25">
      <c r="R3780" s="13">
        <v>3707</v>
      </c>
      <c r="S3780" s="13">
        <v>0</v>
      </c>
    </row>
    <row r="3781" spans="18:19" x14ac:dyDescent="0.25">
      <c r="R3781" s="13">
        <v>3708</v>
      </c>
      <c r="S3781" s="13">
        <v>0</v>
      </c>
    </row>
    <row r="3782" spans="18:19" x14ac:dyDescent="0.25">
      <c r="R3782" s="13">
        <v>3709</v>
      </c>
      <c r="S3782" s="13">
        <v>0</v>
      </c>
    </row>
    <row r="3783" spans="18:19" x14ac:dyDescent="0.25">
      <c r="R3783" s="13">
        <v>3710</v>
      </c>
      <c r="S3783" s="13">
        <v>0</v>
      </c>
    </row>
    <row r="3784" spans="18:19" x14ac:dyDescent="0.25">
      <c r="R3784" s="13">
        <v>3711</v>
      </c>
      <c r="S3784" s="13">
        <v>0</v>
      </c>
    </row>
    <row r="3785" spans="18:19" x14ac:dyDescent="0.25">
      <c r="R3785" s="13">
        <v>3712</v>
      </c>
      <c r="S3785" s="13">
        <v>0</v>
      </c>
    </row>
    <row r="3786" spans="18:19" x14ac:dyDescent="0.25">
      <c r="R3786" s="13">
        <v>3713</v>
      </c>
      <c r="S3786" s="13">
        <v>0</v>
      </c>
    </row>
    <row r="3787" spans="18:19" x14ac:dyDescent="0.25">
      <c r="R3787" s="13">
        <v>3714</v>
      </c>
      <c r="S3787" s="13">
        <v>0</v>
      </c>
    </row>
    <row r="3788" spans="18:19" x14ac:dyDescent="0.25">
      <c r="R3788" s="13">
        <v>3715</v>
      </c>
      <c r="S3788" s="13">
        <v>0</v>
      </c>
    </row>
    <row r="3789" spans="18:19" x14ac:dyDescent="0.25">
      <c r="R3789" s="13">
        <v>3716</v>
      </c>
      <c r="S3789" s="13">
        <v>664231907.28419304</v>
      </c>
    </row>
    <row r="3790" spans="18:19" x14ac:dyDescent="0.25">
      <c r="R3790" s="13">
        <v>3717</v>
      </c>
      <c r="S3790" s="13">
        <v>0</v>
      </c>
    </row>
    <row r="3791" spans="18:19" x14ac:dyDescent="0.25">
      <c r="R3791" s="13">
        <v>3718</v>
      </c>
      <c r="S3791" s="13">
        <v>0</v>
      </c>
    </row>
    <row r="3792" spans="18:19" x14ac:dyDescent="0.25">
      <c r="R3792" s="13">
        <v>3719</v>
      </c>
      <c r="S3792" s="13">
        <v>154982759.02817535</v>
      </c>
    </row>
    <row r="3793" spans="18:19" x14ac:dyDescent="0.25">
      <c r="R3793" s="13">
        <v>3720</v>
      </c>
      <c r="S3793" s="13">
        <v>324273068.75349808</v>
      </c>
    </row>
    <row r="3794" spans="18:19" x14ac:dyDescent="0.25">
      <c r="R3794" s="13">
        <v>3721</v>
      </c>
      <c r="S3794" s="13">
        <v>661070934.51228333</v>
      </c>
    </row>
    <row r="3795" spans="18:19" x14ac:dyDescent="0.25">
      <c r="R3795" s="13">
        <v>3722</v>
      </c>
      <c r="S3795" s="13">
        <v>86391844.477342606</v>
      </c>
    </row>
    <row r="3796" spans="18:19" x14ac:dyDescent="0.25">
      <c r="R3796" s="13">
        <v>3723</v>
      </c>
      <c r="S3796" s="13">
        <v>566122022.08563614</v>
      </c>
    </row>
    <row r="3797" spans="18:19" x14ac:dyDescent="0.25">
      <c r="R3797" s="13">
        <v>3724</v>
      </c>
      <c r="S3797" s="13">
        <v>0</v>
      </c>
    </row>
    <row r="3798" spans="18:19" x14ac:dyDescent="0.25">
      <c r="R3798" s="13">
        <v>3725</v>
      </c>
      <c r="S3798" s="13">
        <v>274930069.77842331</v>
      </c>
    </row>
    <row r="3799" spans="18:19" x14ac:dyDescent="0.25">
      <c r="R3799" s="13">
        <v>3726</v>
      </c>
      <c r="S3799" s="13">
        <v>128963017.89863586</v>
      </c>
    </row>
    <row r="3800" spans="18:19" x14ac:dyDescent="0.25">
      <c r="R3800" s="13">
        <v>3727</v>
      </c>
      <c r="S3800" s="13">
        <v>0</v>
      </c>
    </row>
    <row r="3801" spans="18:19" x14ac:dyDescent="0.25">
      <c r="R3801" s="13">
        <v>3728</v>
      </c>
      <c r="S3801" s="13">
        <v>0</v>
      </c>
    </row>
    <row r="3802" spans="18:19" x14ac:dyDescent="0.25">
      <c r="R3802" s="13">
        <v>3729</v>
      </c>
      <c r="S3802" s="13">
        <v>0</v>
      </c>
    </row>
    <row r="3803" spans="18:19" x14ac:dyDescent="0.25">
      <c r="R3803" s="13">
        <v>3730</v>
      </c>
      <c r="S3803" s="13">
        <v>0</v>
      </c>
    </row>
    <row r="3804" spans="18:19" x14ac:dyDescent="0.25">
      <c r="R3804" s="13">
        <v>3731</v>
      </c>
      <c r="S3804" s="13">
        <v>0</v>
      </c>
    </row>
    <row r="3805" spans="18:19" x14ac:dyDescent="0.25">
      <c r="R3805" s="13">
        <v>3732</v>
      </c>
      <c r="S3805" s="13">
        <v>0</v>
      </c>
    </row>
    <row r="3806" spans="18:19" x14ac:dyDescent="0.25">
      <c r="R3806" s="13">
        <v>3733</v>
      </c>
      <c r="S3806" s="13">
        <v>0</v>
      </c>
    </row>
    <row r="3807" spans="18:19" x14ac:dyDescent="0.25">
      <c r="R3807" s="13">
        <v>3734</v>
      </c>
      <c r="S3807" s="13">
        <v>0</v>
      </c>
    </row>
    <row r="3808" spans="18:19" x14ac:dyDescent="0.25">
      <c r="R3808" s="13">
        <v>3735</v>
      </c>
      <c r="S3808" s="13">
        <v>0</v>
      </c>
    </row>
    <row r="3809" spans="18:19" x14ac:dyDescent="0.25">
      <c r="R3809" s="13">
        <v>3736</v>
      </c>
      <c r="S3809" s="13">
        <v>0</v>
      </c>
    </row>
    <row r="3810" spans="18:19" x14ac:dyDescent="0.25">
      <c r="R3810" s="13">
        <v>3737</v>
      </c>
      <c r="S3810" s="13">
        <v>0</v>
      </c>
    </row>
    <row r="3811" spans="18:19" x14ac:dyDescent="0.25">
      <c r="R3811" s="13">
        <v>3738</v>
      </c>
      <c r="S3811" s="13">
        <v>276359829.22078514</v>
      </c>
    </row>
    <row r="3812" spans="18:19" x14ac:dyDescent="0.25">
      <c r="R3812" s="13">
        <v>3739</v>
      </c>
      <c r="S3812" s="13">
        <v>0</v>
      </c>
    </row>
    <row r="3813" spans="18:19" x14ac:dyDescent="0.25">
      <c r="R3813" s="13">
        <v>3740</v>
      </c>
      <c r="S3813" s="13">
        <v>712658076.50687981</v>
      </c>
    </row>
    <row r="3814" spans="18:19" x14ac:dyDescent="0.25">
      <c r="R3814" s="13">
        <v>3741</v>
      </c>
      <c r="S3814" s="13">
        <v>0</v>
      </c>
    </row>
    <row r="3815" spans="18:19" x14ac:dyDescent="0.25">
      <c r="R3815" s="13">
        <v>3742</v>
      </c>
      <c r="S3815" s="13">
        <v>0</v>
      </c>
    </row>
    <row r="3816" spans="18:19" x14ac:dyDescent="0.25">
      <c r="R3816" s="13">
        <v>3743</v>
      </c>
      <c r="S3816" s="13">
        <v>118752586.1096096</v>
      </c>
    </row>
    <row r="3817" spans="18:19" x14ac:dyDescent="0.25">
      <c r="R3817" s="13">
        <v>3744</v>
      </c>
      <c r="S3817" s="13">
        <v>0</v>
      </c>
    </row>
    <row r="3818" spans="18:19" x14ac:dyDescent="0.25">
      <c r="R3818" s="13">
        <v>3745</v>
      </c>
      <c r="S3818" s="13">
        <v>0</v>
      </c>
    </row>
    <row r="3819" spans="18:19" x14ac:dyDescent="0.25">
      <c r="R3819" s="13">
        <v>3746</v>
      </c>
      <c r="S3819" s="13">
        <v>0</v>
      </c>
    </row>
    <row r="3820" spans="18:19" x14ac:dyDescent="0.25">
      <c r="R3820" s="13">
        <v>3747</v>
      </c>
      <c r="S3820" s="13">
        <v>0</v>
      </c>
    </row>
    <row r="3821" spans="18:19" x14ac:dyDescent="0.25">
      <c r="R3821" s="13">
        <v>3748</v>
      </c>
      <c r="S3821" s="13">
        <v>0</v>
      </c>
    </row>
    <row r="3822" spans="18:19" x14ac:dyDescent="0.25">
      <c r="R3822" s="13">
        <v>3749</v>
      </c>
      <c r="S3822" s="13">
        <v>0</v>
      </c>
    </row>
    <row r="3823" spans="18:19" x14ac:dyDescent="0.25">
      <c r="R3823" s="13">
        <v>3750</v>
      </c>
      <c r="S3823" s="13">
        <v>0</v>
      </c>
    </row>
    <row r="3824" spans="18:19" x14ac:dyDescent="0.25">
      <c r="R3824" s="13">
        <v>3751</v>
      </c>
      <c r="S3824" s="13">
        <v>0</v>
      </c>
    </row>
    <row r="3825" spans="18:19" x14ac:dyDescent="0.25">
      <c r="R3825" s="13">
        <v>3752</v>
      </c>
      <c r="S3825" s="13">
        <v>0</v>
      </c>
    </row>
    <row r="3826" spans="18:19" x14ac:dyDescent="0.25">
      <c r="R3826" s="13">
        <v>3753</v>
      </c>
      <c r="S3826" s="13">
        <v>0</v>
      </c>
    </row>
    <row r="3827" spans="18:19" x14ac:dyDescent="0.25">
      <c r="R3827" s="13">
        <v>3754</v>
      </c>
      <c r="S3827" s="13">
        <v>0</v>
      </c>
    </row>
    <row r="3828" spans="18:19" x14ac:dyDescent="0.25">
      <c r="R3828" s="13">
        <v>3755</v>
      </c>
      <c r="S3828" s="13">
        <v>0</v>
      </c>
    </row>
    <row r="3829" spans="18:19" x14ac:dyDescent="0.25">
      <c r="R3829" s="13">
        <v>3756</v>
      </c>
      <c r="S3829" s="13">
        <v>0</v>
      </c>
    </row>
    <row r="3830" spans="18:19" x14ac:dyDescent="0.25">
      <c r="R3830" s="13">
        <v>3757</v>
      </c>
      <c r="S3830" s="13">
        <v>0</v>
      </c>
    </row>
    <row r="3831" spans="18:19" x14ac:dyDescent="0.25">
      <c r="R3831" s="13">
        <v>3758</v>
      </c>
      <c r="S3831" s="13">
        <v>0</v>
      </c>
    </row>
    <row r="3832" spans="18:19" x14ac:dyDescent="0.25">
      <c r="R3832" s="13">
        <v>3759</v>
      </c>
      <c r="S3832" s="13">
        <v>0</v>
      </c>
    </row>
    <row r="3833" spans="18:19" x14ac:dyDescent="0.25">
      <c r="R3833" s="13">
        <v>3760</v>
      </c>
      <c r="S3833" s="13">
        <v>0</v>
      </c>
    </row>
    <row r="3834" spans="18:19" x14ac:dyDescent="0.25">
      <c r="R3834" s="13">
        <v>3761</v>
      </c>
      <c r="S3834" s="13">
        <v>111555274.80049324</v>
      </c>
    </row>
    <row r="3835" spans="18:19" x14ac:dyDescent="0.25">
      <c r="R3835" s="13">
        <v>3762</v>
      </c>
      <c r="S3835" s="13">
        <v>0</v>
      </c>
    </row>
    <row r="3836" spans="18:19" x14ac:dyDescent="0.25">
      <c r="R3836" s="13">
        <v>3763</v>
      </c>
      <c r="S3836" s="13">
        <v>1423874037.4287186</v>
      </c>
    </row>
    <row r="3837" spans="18:19" x14ac:dyDescent="0.25">
      <c r="R3837" s="13">
        <v>3764</v>
      </c>
      <c r="S3837" s="13">
        <v>0</v>
      </c>
    </row>
    <row r="3838" spans="18:19" x14ac:dyDescent="0.25">
      <c r="R3838" s="13">
        <v>3765</v>
      </c>
      <c r="S3838" s="13">
        <v>0</v>
      </c>
    </row>
    <row r="3839" spans="18:19" x14ac:dyDescent="0.25">
      <c r="R3839" s="13">
        <v>3766</v>
      </c>
      <c r="S3839" s="13">
        <v>0</v>
      </c>
    </row>
    <row r="3840" spans="18:19" x14ac:dyDescent="0.25">
      <c r="R3840" s="13">
        <v>3767</v>
      </c>
      <c r="S3840" s="13">
        <v>716667571.95981979</v>
      </c>
    </row>
    <row r="3841" spans="18:19" x14ac:dyDescent="0.25">
      <c r="R3841" s="13">
        <v>3768</v>
      </c>
      <c r="S3841" s="13">
        <v>0</v>
      </c>
    </row>
    <row r="3842" spans="18:19" x14ac:dyDescent="0.25">
      <c r="R3842" s="13">
        <v>3769</v>
      </c>
      <c r="S3842" s="13">
        <v>0</v>
      </c>
    </row>
    <row r="3843" spans="18:19" x14ac:dyDescent="0.25">
      <c r="R3843" s="13">
        <v>3770</v>
      </c>
      <c r="S3843" s="13">
        <v>0</v>
      </c>
    </row>
    <row r="3844" spans="18:19" x14ac:dyDescent="0.25">
      <c r="R3844" s="13">
        <v>3771</v>
      </c>
      <c r="S3844" s="13">
        <v>0</v>
      </c>
    </row>
    <row r="3845" spans="18:19" x14ac:dyDescent="0.25">
      <c r="R3845" s="13">
        <v>3772</v>
      </c>
      <c r="S3845" s="13">
        <v>81354812.3406353</v>
      </c>
    </row>
    <row r="3846" spans="18:19" x14ac:dyDescent="0.25">
      <c r="R3846" s="13">
        <v>3773</v>
      </c>
      <c r="S3846" s="13">
        <v>216548160.21490479</v>
      </c>
    </row>
    <row r="3847" spans="18:19" x14ac:dyDescent="0.25">
      <c r="R3847" s="13">
        <v>3774</v>
      </c>
      <c r="S3847" s="13">
        <v>0</v>
      </c>
    </row>
    <row r="3848" spans="18:19" x14ac:dyDescent="0.25">
      <c r="R3848" s="13">
        <v>3775</v>
      </c>
      <c r="S3848" s="13">
        <v>0</v>
      </c>
    </row>
    <row r="3849" spans="18:19" x14ac:dyDescent="0.25">
      <c r="R3849" s="13">
        <v>3776</v>
      </c>
      <c r="S3849" s="13">
        <v>0</v>
      </c>
    </row>
    <row r="3850" spans="18:19" x14ac:dyDescent="0.25">
      <c r="R3850" s="13">
        <v>3777</v>
      </c>
      <c r="S3850" s="13">
        <v>0</v>
      </c>
    </row>
    <row r="3851" spans="18:19" x14ac:dyDescent="0.25">
      <c r="R3851" s="13">
        <v>3778</v>
      </c>
      <c r="S3851" s="13">
        <v>0</v>
      </c>
    </row>
    <row r="3852" spans="18:19" x14ac:dyDescent="0.25">
      <c r="R3852" s="13">
        <v>3779</v>
      </c>
      <c r="S3852" s="13">
        <v>123016330.26164818</v>
      </c>
    </row>
    <row r="3853" spans="18:19" x14ac:dyDescent="0.25">
      <c r="R3853" s="13">
        <v>3780</v>
      </c>
      <c r="S3853" s="13">
        <v>0</v>
      </c>
    </row>
    <row r="3854" spans="18:19" x14ac:dyDescent="0.25">
      <c r="R3854" s="13">
        <v>3781</v>
      </c>
      <c r="S3854" s="13">
        <v>0</v>
      </c>
    </row>
    <row r="3855" spans="18:19" x14ac:dyDescent="0.25">
      <c r="R3855" s="13">
        <v>3782</v>
      </c>
      <c r="S3855" s="13">
        <v>0</v>
      </c>
    </row>
    <row r="3856" spans="18:19" x14ac:dyDescent="0.25">
      <c r="R3856" s="13">
        <v>3783</v>
      </c>
      <c r="S3856" s="13">
        <v>387207892.19300842</v>
      </c>
    </row>
    <row r="3857" spans="18:19" x14ac:dyDescent="0.25">
      <c r="R3857" s="13">
        <v>3784</v>
      </c>
      <c r="S3857" s="13">
        <v>0</v>
      </c>
    </row>
    <row r="3858" spans="18:19" x14ac:dyDescent="0.25">
      <c r="R3858" s="13">
        <v>3785</v>
      </c>
      <c r="S3858" s="13">
        <v>0</v>
      </c>
    </row>
    <row r="3859" spans="18:19" x14ac:dyDescent="0.25">
      <c r="R3859" s="13">
        <v>3786</v>
      </c>
      <c r="S3859" s="13">
        <v>0</v>
      </c>
    </row>
    <row r="3860" spans="18:19" x14ac:dyDescent="0.25">
      <c r="R3860" s="13">
        <v>3787</v>
      </c>
      <c r="S3860" s="13">
        <v>0</v>
      </c>
    </row>
    <row r="3861" spans="18:19" x14ac:dyDescent="0.25">
      <c r="R3861" s="13">
        <v>3788</v>
      </c>
      <c r="S3861" s="13">
        <v>0</v>
      </c>
    </row>
    <row r="3862" spans="18:19" x14ac:dyDescent="0.25">
      <c r="R3862" s="13">
        <v>3789</v>
      </c>
      <c r="S3862" s="13">
        <v>886139755.12329102</v>
      </c>
    </row>
    <row r="3863" spans="18:19" x14ac:dyDescent="0.25">
      <c r="R3863" s="13">
        <v>3790</v>
      </c>
      <c r="S3863" s="13">
        <v>0</v>
      </c>
    </row>
    <row r="3864" spans="18:19" x14ac:dyDescent="0.25">
      <c r="R3864" s="13">
        <v>3791</v>
      </c>
      <c r="S3864" s="13">
        <v>50157651.402418137</v>
      </c>
    </row>
    <row r="3865" spans="18:19" x14ac:dyDescent="0.25">
      <c r="R3865" s="13">
        <v>3792</v>
      </c>
      <c r="S3865" s="13">
        <v>0</v>
      </c>
    </row>
    <row r="3866" spans="18:19" x14ac:dyDescent="0.25">
      <c r="R3866" s="13">
        <v>3793</v>
      </c>
      <c r="S3866" s="13">
        <v>0</v>
      </c>
    </row>
    <row r="3867" spans="18:19" x14ac:dyDescent="0.25">
      <c r="R3867" s="13">
        <v>3794</v>
      </c>
      <c r="S3867" s="13">
        <v>0</v>
      </c>
    </row>
    <row r="3868" spans="18:19" x14ac:dyDescent="0.25">
      <c r="R3868" s="13">
        <v>3795</v>
      </c>
      <c r="S3868" s="13">
        <v>0</v>
      </c>
    </row>
    <row r="3869" spans="18:19" x14ac:dyDescent="0.25">
      <c r="R3869" s="13">
        <v>3796</v>
      </c>
      <c r="S3869" s="13">
        <v>0</v>
      </c>
    </row>
    <row r="3870" spans="18:19" x14ac:dyDescent="0.25">
      <c r="R3870" s="13">
        <v>3797</v>
      </c>
      <c r="S3870" s="13">
        <v>0</v>
      </c>
    </row>
    <row r="3871" spans="18:19" x14ac:dyDescent="0.25">
      <c r="R3871" s="13">
        <v>3798</v>
      </c>
      <c r="S3871" s="13">
        <v>0</v>
      </c>
    </row>
    <row r="3872" spans="18:19" x14ac:dyDescent="0.25">
      <c r="R3872" s="13">
        <v>3799</v>
      </c>
      <c r="S3872" s="13">
        <v>0</v>
      </c>
    </row>
    <row r="3873" spans="18:19" x14ac:dyDescent="0.25">
      <c r="R3873" s="13">
        <v>3800</v>
      </c>
      <c r="S3873" s="13">
        <v>0</v>
      </c>
    </row>
    <row r="3874" spans="18:19" x14ac:dyDescent="0.25">
      <c r="R3874" s="13">
        <v>3801</v>
      </c>
      <c r="S3874" s="13">
        <v>0</v>
      </c>
    </row>
    <row r="3875" spans="18:19" x14ac:dyDescent="0.25">
      <c r="R3875" s="13">
        <v>3802</v>
      </c>
      <c r="S3875" s="13">
        <v>147161542.757164</v>
      </c>
    </row>
    <row r="3876" spans="18:19" x14ac:dyDescent="0.25">
      <c r="R3876" s="13">
        <v>3803</v>
      </c>
      <c r="S3876" s="13">
        <v>0</v>
      </c>
    </row>
    <row r="3877" spans="18:19" x14ac:dyDescent="0.25">
      <c r="R3877" s="13">
        <v>3804</v>
      </c>
      <c r="S3877" s="13">
        <v>0</v>
      </c>
    </row>
    <row r="3878" spans="18:19" x14ac:dyDescent="0.25">
      <c r="R3878" s="13">
        <v>3805</v>
      </c>
      <c r="S3878" s="13">
        <v>0</v>
      </c>
    </row>
    <row r="3879" spans="18:19" x14ac:dyDescent="0.25">
      <c r="R3879" s="13">
        <v>3806</v>
      </c>
      <c r="S3879" s="13">
        <v>0</v>
      </c>
    </row>
    <row r="3880" spans="18:19" x14ac:dyDescent="0.25">
      <c r="R3880" s="13">
        <v>3807</v>
      </c>
      <c r="S3880" s="13">
        <v>0</v>
      </c>
    </row>
    <row r="3881" spans="18:19" x14ac:dyDescent="0.25">
      <c r="R3881" s="13">
        <v>3808</v>
      </c>
      <c r="S3881" s="13">
        <v>184060645.98647499</v>
      </c>
    </row>
    <row r="3882" spans="18:19" x14ac:dyDescent="0.25">
      <c r="R3882" s="13">
        <v>3809</v>
      </c>
      <c r="S3882" s="13">
        <v>0</v>
      </c>
    </row>
    <row r="3883" spans="18:19" x14ac:dyDescent="0.25">
      <c r="R3883" s="13">
        <v>3810</v>
      </c>
      <c r="S3883" s="13">
        <v>0</v>
      </c>
    </row>
    <row r="3884" spans="18:19" x14ac:dyDescent="0.25">
      <c r="R3884" s="13">
        <v>3811</v>
      </c>
      <c r="S3884" s="13">
        <v>688711858.59951782</v>
      </c>
    </row>
    <row r="3885" spans="18:19" x14ac:dyDescent="0.25">
      <c r="R3885" s="13">
        <v>3812</v>
      </c>
      <c r="S3885" s="13">
        <v>0</v>
      </c>
    </row>
    <row r="3886" spans="18:19" x14ac:dyDescent="0.25">
      <c r="R3886" s="13">
        <v>3813</v>
      </c>
      <c r="S3886" s="13">
        <v>0</v>
      </c>
    </row>
    <row r="3887" spans="18:19" x14ac:dyDescent="0.25">
      <c r="R3887" s="13">
        <v>3814</v>
      </c>
      <c r="S3887" s="13">
        <v>0</v>
      </c>
    </row>
    <row r="3888" spans="18:19" x14ac:dyDescent="0.25">
      <c r="R3888" s="13">
        <v>3815</v>
      </c>
      <c r="S3888" s="13">
        <v>260752854.20436096</v>
      </c>
    </row>
    <row r="3889" spans="18:19" x14ac:dyDescent="0.25">
      <c r="R3889" s="13">
        <v>3816</v>
      </c>
      <c r="S3889" s="13">
        <v>0</v>
      </c>
    </row>
    <row r="3890" spans="18:19" x14ac:dyDescent="0.25">
      <c r="R3890" s="13">
        <v>3817</v>
      </c>
      <c r="S3890" s="13">
        <v>0</v>
      </c>
    </row>
    <row r="3891" spans="18:19" x14ac:dyDescent="0.25">
      <c r="R3891" s="13">
        <v>3818</v>
      </c>
      <c r="S3891" s="13">
        <v>0</v>
      </c>
    </row>
    <row r="3892" spans="18:19" x14ac:dyDescent="0.25">
      <c r="R3892" s="13">
        <v>3819</v>
      </c>
      <c r="S3892" s="13">
        <v>0</v>
      </c>
    </row>
    <row r="3893" spans="18:19" x14ac:dyDescent="0.25">
      <c r="R3893" s="13">
        <v>3820</v>
      </c>
      <c r="S3893" s="13">
        <v>0</v>
      </c>
    </row>
    <row r="3894" spans="18:19" x14ac:dyDescent="0.25">
      <c r="R3894" s="13">
        <v>3821</v>
      </c>
      <c r="S3894" s="13">
        <v>0</v>
      </c>
    </row>
    <row r="3895" spans="18:19" x14ac:dyDescent="0.25">
      <c r="R3895" s="13">
        <v>3822</v>
      </c>
      <c r="S3895" s="13">
        <v>51791054.534294128</v>
      </c>
    </row>
    <row r="3896" spans="18:19" x14ac:dyDescent="0.25">
      <c r="R3896" s="13">
        <v>3823</v>
      </c>
      <c r="S3896" s="13">
        <v>0</v>
      </c>
    </row>
    <row r="3897" spans="18:19" x14ac:dyDescent="0.25">
      <c r="R3897" s="13">
        <v>3824</v>
      </c>
      <c r="S3897" s="13">
        <v>0</v>
      </c>
    </row>
    <row r="3898" spans="18:19" x14ac:dyDescent="0.25">
      <c r="R3898" s="13">
        <v>3825</v>
      </c>
      <c r="S3898" s="13">
        <v>0</v>
      </c>
    </row>
    <row r="3899" spans="18:19" x14ac:dyDescent="0.25">
      <c r="R3899" s="13">
        <v>3826</v>
      </c>
      <c r="S3899" s="13">
        <v>0</v>
      </c>
    </row>
    <row r="3900" spans="18:19" x14ac:dyDescent="0.25">
      <c r="R3900" s="13">
        <v>3827</v>
      </c>
      <c r="S3900" s="13">
        <v>533865944.19755554</v>
      </c>
    </row>
    <row r="3901" spans="18:19" x14ac:dyDescent="0.25">
      <c r="R3901" s="13">
        <v>3828</v>
      </c>
      <c r="S3901" s="13">
        <v>0</v>
      </c>
    </row>
    <row r="3902" spans="18:19" x14ac:dyDescent="0.25">
      <c r="R3902" s="13">
        <v>3829</v>
      </c>
      <c r="S3902" s="13">
        <v>0</v>
      </c>
    </row>
    <row r="3903" spans="18:19" x14ac:dyDescent="0.25">
      <c r="R3903" s="13">
        <v>3830</v>
      </c>
      <c r="S3903" s="13">
        <v>50085302.090429306</v>
      </c>
    </row>
    <row r="3904" spans="18:19" x14ac:dyDescent="0.25">
      <c r="R3904" s="13">
        <v>3831</v>
      </c>
      <c r="S3904" s="13">
        <v>11597550.21364975</v>
      </c>
    </row>
    <row r="3905" spans="18:19" x14ac:dyDescent="0.25">
      <c r="R3905" s="13">
        <v>3832</v>
      </c>
      <c r="S3905" s="13">
        <v>0</v>
      </c>
    </row>
    <row r="3906" spans="18:19" x14ac:dyDescent="0.25">
      <c r="R3906" s="13">
        <v>3833</v>
      </c>
      <c r="S3906" s="13">
        <v>123126081.01311493</v>
      </c>
    </row>
    <row r="3907" spans="18:19" x14ac:dyDescent="0.25">
      <c r="R3907" s="13">
        <v>3834</v>
      </c>
      <c r="S3907" s="13">
        <v>0</v>
      </c>
    </row>
    <row r="3908" spans="18:19" x14ac:dyDescent="0.25">
      <c r="R3908" s="13">
        <v>3835</v>
      </c>
      <c r="S3908" s="13">
        <v>0</v>
      </c>
    </row>
    <row r="3909" spans="18:19" x14ac:dyDescent="0.25">
      <c r="R3909" s="13">
        <v>3836</v>
      </c>
      <c r="S3909" s="13">
        <v>0</v>
      </c>
    </row>
    <row r="3910" spans="18:19" x14ac:dyDescent="0.25">
      <c r="R3910" s="13">
        <v>3837</v>
      </c>
      <c r="S3910" s="13">
        <v>0</v>
      </c>
    </row>
    <row r="3911" spans="18:19" x14ac:dyDescent="0.25">
      <c r="R3911" s="13">
        <v>3838</v>
      </c>
      <c r="S3911" s="13">
        <v>0</v>
      </c>
    </row>
    <row r="3912" spans="18:19" x14ac:dyDescent="0.25">
      <c r="R3912" s="13">
        <v>3839</v>
      </c>
      <c r="S3912" s="13">
        <v>0</v>
      </c>
    </row>
    <row r="3913" spans="18:19" x14ac:dyDescent="0.25">
      <c r="R3913" s="13">
        <v>3840</v>
      </c>
      <c r="S3913" s="13">
        <v>0</v>
      </c>
    </row>
    <row r="3914" spans="18:19" x14ac:dyDescent="0.25">
      <c r="R3914" s="13">
        <v>3841</v>
      </c>
      <c r="S3914" s="13">
        <v>0</v>
      </c>
    </row>
    <row r="3915" spans="18:19" x14ac:dyDescent="0.25">
      <c r="R3915" s="13">
        <v>3842</v>
      </c>
      <c r="S3915" s="13">
        <v>0</v>
      </c>
    </row>
    <row r="3916" spans="18:19" x14ac:dyDescent="0.25">
      <c r="R3916" s="13">
        <v>3843</v>
      </c>
      <c r="S3916" s="13">
        <v>0</v>
      </c>
    </row>
    <row r="3917" spans="18:19" x14ac:dyDescent="0.25">
      <c r="R3917" s="13">
        <v>3844</v>
      </c>
      <c r="S3917" s="13">
        <v>0</v>
      </c>
    </row>
    <row r="3918" spans="18:19" x14ac:dyDescent="0.25">
      <c r="R3918" s="13">
        <v>3845</v>
      </c>
      <c r="S3918" s="13">
        <v>611713561.15278053</v>
      </c>
    </row>
    <row r="3919" spans="18:19" x14ac:dyDescent="0.25">
      <c r="R3919" s="13">
        <v>3846</v>
      </c>
      <c r="S3919" s="13">
        <v>0</v>
      </c>
    </row>
    <row r="3920" spans="18:19" x14ac:dyDescent="0.25">
      <c r="R3920" s="13">
        <v>3847</v>
      </c>
      <c r="S3920" s="13">
        <v>0</v>
      </c>
    </row>
    <row r="3921" spans="18:19" x14ac:dyDescent="0.25">
      <c r="R3921" s="13">
        <v>3848</v>
      </c>
      <c r="S3921" s="13">
        <v>64948502.539421082</v>
      </c>
    </row>
    <row r="3922" spans="18:19" x14ac:dyDescent="0.25">
      <c r="R3922" s="13">
        <v>3849</v>
      </c>
      <c r="S3922" s="13">
        <v>318072938.13577652</v>
      </c>
    </row>
    <row r="3923" spans="18:19" x14ac:dyDescent="0.25">
      <c r="R3923" s="13">
        <v>3850</v>
      </c>
      <c r="S3923" s="13">
        <v>33991256.980489731</v>
      </c>
    </row>
    <row r="3924" spans="18:19" x14ac:dyDescent="0.25">
      <c r="R3924" s="13">
        <v>3851</v>
      </c>
      <c r="S3924" s="13">
        <v>0</v>
      </c>
    </row>
    <row r="3925" spans="18:19" x14ac:dyDescent="0.25">
      <c r="R3925" s="13">
        <v>3852</v>
      </c>
      <c r="S3925" s="13">
        <v>0</v>
      </c>
    </row>
    <row r="3926" spans="18:19" x14ac:dyDescent="0.25">
      <c r="R3926" s="13">
        <v>3853</v>
      </c>
      <c r="S3926" s="13">
        <v>0</v>
      </c>
    </row>
    <row r="3927" spans="18:19" x14ac:dyDescent="0.25">
      <c r="R3927" s="13">
        <v>3854</v>
      </c>
      <c r="S3927" s="13">
        <v>0</v>
      </c>
    </row>
    <row r="3928" spans="18:19" x14ac:dyDescent="0.25">
      <c r="R3928" s="13">
        <v>3855</v>
      </c>
      <c r="S3928" s="13">
        <v>0</v>
      </c>
    </row>
    <row r="3929" spans="18:19" x14ac:dyDescent="0.25">
      <c r="R3929" s="13">
        <v>3856</v>
      </c>
      <c r="S3929" s="13">
        <v>0</v>
      </c>
    </row>
    <row r="3930" spans="18:19" x14ac:dyDescent="0.25">
      <c r="R3930" s="13">
        <v>3857</v>
      </c>
      <c r="S3930" s="13">
        <v>0</v>
      </c>
    </row>
    <row r="3931" spans="18:19" x14ac:dyDescent="0.25">
      <c r="R3931" s="13">
        <v>3858</v>
      </c>
      <c r="S3931" s="13">
        <v>0</v>
      </c>
    </row>
    <row r="3932" spans="18:19" x14ac:dyDescent="0.25">
      <c r="R3932" s="13">
        <v>3859</v>
      </c>
      <c r="S3932" s="13">
        <v>421156195.63759804</v>
      </c>
    </row>
    <row r="3933" spans="18:19" x14ac:dyDescent="0.25">
      <c r="R3933" s="13">
        <v>3860</v>
      </c>
      <c r="S3933" s="13">
        <v>0</v>
      </c>
    </row>
    <row r="3934" spans="18:19" x14ac:dyDescent="0.25">
      <c r="R3934" s="13">
        <v>3861</v>
      </c>
      <c r="S3934" s="13">
        <v>95334795.906814575</v>
      </c>
    </row>
    <row r="3935" spans="18:19" x14ac:dyDescent="0.25">
      <c r="R3935" s="13">
        <v>3862</v>
      </c>
      <c r="S3935" s="13">
        <v>0</v>
      </c>
    </row>
    <row r="3936" spans="18:19" x14ac:dyDescent="0.25">
      <c r="R3936" s="13">
        <v>3863</v>
      </c>
      <c r="S3936" s="13">
        <v>0</v>
      </c>
    </row>
    <row r="3937" spans="18:19" x14ac:dyDescent="0.25">
      <c r="R3937" s="13">
        <v>3864</v>
      </c>
      <c r="S3937" s="13">
        <v>0</v>
      </c>
    </row>
    <row r="3938" spans="18:19" x14ac:dyDescent="0.25">
      <c r="R3938" s="13">
        <v>3865</v>
      </c>
      <c r="S3938" s="13">
        <v>282244516.29581261</v>
      </c>
    </row>
    <row r="3939" spans="18:19" x14ac:dyDescent="0.25">
      <c r="R3939" s="13">
        <v>3866</v>
      </c>
      <c r="S3939" s="13">
        <v>0</v>
      </c>
    </row>
    <row r="3940" spans="18:19" x14ac:dyDescent="0.25">
      <c r="R3940" s="13">
        <v>3867</v>
      </c>
      <c r="S3940" s="13">
        <v>0</v>
      </c>
    </row>
    <row r="3941" spans="18:19" x14ac:dyDescent="0.25">
      <c r="R3941" s="13">
        <v>3868</v>
      </c>
      <c r="S3941" s="13">
        <v>864421047.44316483</v>
      </c>
    </row>
    <row r="3942" spans="18:19" x14ac:dyDescent="0.25">
      <c r="R3942" s="13">
        <v>3869</v>
      </c>
      <c r="S3942" s="13">
        <v>0</v>
      </c>
    </row>
    <row r="3943" spans="18:19" x14ac:dyDescent="0.25">
      <c r="R3943" s="13">
        <v>3870</v>
      </c>
      <c r="S3943" s="13">
        <v>915839100.62974739</v>
      </c>
    </row>
    <row r="3944" spans="18:19" x14ac:dyDescent="0.25">
      <c r="R3944" s="13">
        <v>3871</v>
      </c>
      <c r="S3944" s="13">
        <v>0</v>
      </c>
    </row>
    <row r="3945" spans="18:19" x14ac:dyDescent="0.25">
      <c r="R3945" s="13">
        <v>3872</v>
      </c>
      <c r="S3945" s="13">
        <v>0</v>
      </c>
    </row>
    <row r="3946" spans="18:19" x14ac:dyDescent="0.25">
      <c r="R3946" s="13">
        <v>3873</v>
      </c>
      <c r="S3946" s="13">
        <v>0</v>
      </c>
    </row>
    <row r="3947" spans="18:19" x14ac:dyDescent="0.25">
      <c r="R3947" s="13">
        <v>3874</v>
      </c>
      <c r="S3947" s="13">
        <v>0</v>
      </c>
    </row>
    <row r="3948" spans="18:19" x14ac:dyDescent="0.25">
      <c r="R3948" s="13">
        <v>3875</v>
      </c>
      <c r="S3948" s="13">
        <v>0</v>
      </c>
    </row>
    <row r="3949" spans="18:19" x14ac:dyDescent="0.25">
      <c r="R3949" s="13">
        <v>3876</v>
      </c>
      <c r="S3949" s="13">
        <v>0</v>
      </c>
    </row>
    <row r="3950" spans="18:19" x14ac:dyDescent="0.25">
      <c r="R3950" s="13">
        <v>3877</v>
      </c>
      <c r="S3950" s="13">
        <v>0</v>
      </c>
    </row>
    <row r="3951" spans="18:19" x14ac:dyDescent="0.25">
      <c r="R3951" s="13">
        <v>3878</v>
      </c>
      <c r="S3951" s="13">
        <v>0</v>
      </c>
    </row>
    <row r="3952" spans="18:19" x14ac:dyDescent="0.25">
      <c r="R3952" s="13">
        <v>3879</v>
      </c>
      <c r="S3952" s="13">
        <v>0</v>
      </c>
    </row>
    <row r="3953" spans="18:19" x14ac:dyDescent="0.25">
      <c r="R3953" s="13">
        <v>3880</v>
      </c>
      <c r="S3953" s="13">
        <v>0</v>
      </c>
    </row>
    <row r="3954" spans="18:19" x14ac:dyDescent="0.25">
      <c r="R3954" s="13">
        <v>3881</v>
      </c>
      <c r="S3954" s="13">
        <v>0</v>
      </c>
    </row>
    <row r="3955" spans="18:19" x14ac:dyDescent="0.25">
      <c r="R3955" s="13">
        <v>3882</v>
      </c>
      <c r="S3955" s="13">
        <v>0</v>
      </c>
    </row>
    <row r="3956" spans="18:19" x14ac:dyDescent="0.25">
      <c r="R3956" s="13">
        <v>3883</v>
      </c>
      <c r="S3956" s="13">
        <v>11559295.889076233</v>
      </c>
    </row>
    <row r="3957" spans="18:19" x14ac:dyDescent="0.25">
      <c r="R3957" s="13">
        <v>3884</v>
      </c>
      <c r="S3957" s="13">
        <v>0</v>
      </c>
    </row>
    <row r="3958" spans="18:19" x14ac:dyDescent="0.25">
      <c r="R3958" s="13">
        <v>3885</v>
      </c>
      <c r="S3958" s="13">
        <v>0</v>
      </c>
    </row>
    <row r="3959" spans="18:19" x14ac:dyDescent="0.25">
      <c r="R3959" s="13">
        <v>3886</v>
      </c>
      <c r="S3959" s="13">
        <v>0</v>
      </c>
    </row>
    <row r="3960" spans="18:19" x14ac:dyDescent="0.25">
      <c r="R3960" s="13">
        <v>3887</v>
      </c>
      <c r="S3960" s="13">
        <v>298083067.67141914</v>
      </c>
    </row>
    <row r="3961" spans="18:19" x14ac:dyDescent="0.25">
      <c r="R3961" s="13">
        <v>3888</v>
      </c>
      <c r="S3961" s="13">
        <v>0</v>
      </c>
    </row>
    <row r="3962" spans="18:19" x14ac:dyDescent="0.25">
      <c r="R3962" s="13">
        <v>3889</v>
      </c>
      <c r="S3962" s="13">
        <v>0</v>
      </c>
    </row>
    <row r="3963" spans="18:19" x14ac:dyDescent="0.25">
      <c r="R3963" s="13">
        <v>3890</v>
      </c>
      <c r="S3963" s="13">
        <v>0</v>
      </c>
    </row>
    <row r="3964" spans="18:19" x14ac:dyDescent="0.25">
      <c r="R3964" s="13">
        <v>3891</v>
      </c>
      <c r="S3964" s="13">
        <v>199568722.4011879</v>
      </c>
    </row>
    <row r="3965" spans="18:19" x14ac:dyDescent="0.25">
      <c r="R3965" s="13">
        <v>3892</v>
      </c>
      <c r="S3965" s="13">
        <v>0</v>
      </c>
    </row>
    <row r="3966" spans="18:19" x14ac:dyDescent="0.25">
      <c r="R3966" s="13">
        <v>3893</v>
      </c>
      <c r="S3966" s="13">
        <v>0</v>
      </c>
    </row>
    <row r="3967" spans="18:19" x14ac:dyDescent="0.25">
      <c r="R3967" s="13">
        <v>3894</v>
      </c>
      <c r="S3967" s="13">
        <v>220180324.06129074</v>
      </c>
    </row>
    <row r="3968" spans="18:19" x14ac:dyDescent="0.25">
      <c r="R3968" s="13">
        <v>3895</v>
      </c>
      <c r="S3968" s="13">
        <v>0</v>
      </c>
    </row>
    <row r="3969" spans="18:19" x14ac:dyDescent="0.25">
      <c r="R3969" s="13">
        <v>3896</v>
      </c>
      <c r="S3969" s="13">
        <v>0</v>
      </c>
    </row>
    <row r="3970" spans="18:19" x14ac:dyDescent="0.25">
      <c r="R3970" s="13">
        <v>3897</v>
      </c>
      <c r="S3970" s="13">
        <v>0</v>
      </c>
    </row>
    <row r="3971" spans="18:19" x14ac:dyDescent="0.25">
      <c r="R3971" s="13">
        <v>3898</v>
      </c>
      <c r="S3971" s="13">
        <v>0</v>
      </c>
    </row>
    <row r="3972" spans="18:19" x14ac:dyDescent="0.25">
      <c r="R3972" s="13">
        <v>3899</v>
      </c>
      <c r="S3972" s="13">
        <v>135847679.72984505</v>
      </c>
    </row>
    <row r="3973" spans="18:19" x14ac:dyDescent="0.25">
      <c r="R3973" s="13">
        <v>3900</v>
      </c>
      <c r="S3973" s="13">
        <v>0</v>
      </c>
    </row>
    <row r="3974" spans="18:19" x14ac:dyDescent="0.25">
      <c r="R3974" s="13">
        <v>3901</v>
      </c>
      <c r="S3974" s="13">
        <v>0</v>
      </c>
    </row>
    <row r="3975" spans="18:19" x14ac:dyDescent="0.25">
      <c r="R3975" s="13">
        <v>3902</v>
      </c>
      <c r="S3975" s="13">
        <v>0</v>
      </c>
    </row>
    <row r="3976" spans="18:19" x14ac:dyDescent="0.25">
      <c r="R3976" s="13">
        <v>3903</v>
      </c>
      <c r="S3976" s="13">
        <v>0</v>
      </c>
    </row>
    <row r="3977" spans="18:19" x14ac:dyDescent="0.25">
      <c r="R3977" s="13">
        <v>3904</v>
      </c>
      <c r="S3977" s="13">
        <v>371363530.63765717</v>
      </c>
    </row>
    <row r="3978" spans="18:19" x14ac:dyDescent="0.25">
      <c r="R3978" s="13">
        <v>3905</v>
      </c>
      <c r="S3978" s="13">
        <v>0</v>
      </c>
    </row>
    <row r="3979" spans="18:19" x14ac:dyDescent="0.25">
      <c r="R3979" s="13">
        <v>3906</v>
      </c>
      <c r="S3979" s="13">
        <v>643053983.42302513</v>
      </c>
    </row>
    <row r="3980" spans="18:19" x14ac:dyDescent="0.25">
      <c r="R3980" s="13">
        <v>3907</v>
      </c>
      <c r="S3980" s="13">
        <v>0</v>
      </c>
    </row>
    <row r="3981" spans="18:19" x14ac:dyDescent="0.25">
      <c r="R3981" s="13">
        <v>3908</v>
      </c>
      <c r="S3981" s="13">
        <v>0</v>
      </c>
    </row>
    <row r="3982" spans="18:19" x14ac:dyDescent="0.25">
      <c r="R3982" s="13">
        <v>3909</v>
      </c>
      <c r="S3982" s="13">
        <v>0</v>
      </c>
    </row>
    <row r="3983" spans="18:19" x14ac:dyDescent="0.25">
      <c r="R3983" s="13">
        <v>3910</v>
      </c>
      <c r="S3983" s="13">
        <v>0</v>
      </c>
    </row>
    <row r="3984" spans="18:19" x14ac:dyDescent="0.25">
      <c r="R3984" s="13">
        <v>3911</v>
      </c>
      <c r="S3984" s="13">
        <v>100606268.04908943</v>
      </c>
    </row>
    <row r="3985" spans="18:19" x14ac:dyDescent="0.25">
      <c r="R3985" s="13">
        <v>3912</v>
      </c>
      <c r="S3985" s="13">
        <v>132268615.4511795</v>
      </c>
    </row>
    <row r="3986" spans="18:19" x14ac:dyDescent="0.25">
      <c r="R3986" s="13">
        <v>3913</v>
      </c>
      <c r="S3986" s="13">
        <v>0</v>
      </c>
    </row>
    <row r="3987" spans="18:19" x14ac:dyDescent="0.25">
      <c r="R3987" s="13">
        <v>3914</v>
      </c>
      <c r="S3987" s="13">
        <v>392544598.77924156</v>
      </c>
    </row>
    <row r="3988" spans="18:19" x14ac:dyDescent="0.25">
      <c r="R3988" s="13">
        <v>3915</v>
      </c>
      <c r="S3988" s="13">
        <v>0</v>
      </c>
    </row>
    <row r="3989" spans="18:19" x14ac:dyDescent="0.25">
      <c r="R3989" s="13">
        <v>3916</v>
      </c>
      <c r="S3989" s="13">
        <v>0</v>
      </c>
    </row>
    <row r="3990" spans="18:19" x14ac:dyDescent="0.25">
      <c r="R3990" s="13">
        <v>3917</v>
      </c>
      <c r="S3990" s="13">
        <v>452928300.84092522</v>
      </c>
    </row>
    <row r="3991" spans="18:19" x14ac:dyDescent="0.25">
      <c r="R3991" s="13">
        <v>3918</v>
      </c>
      <c r="S3991" s="13">
        <v>311666503.81986237</v>
      </c>
    </row>
    <row r="3992" spans="18:19" x14ac:dyDescent="0.25">
      <c r="R3992" s="13">
        <v>3919</v>
      </c>
      <c r="S3992" s="13">
        <v>0</v>
      </c>
    </row>
    <row r="3993" spans="18:19" x14ac:dyDescent="0.25">
      <c r="R3993" s="13">
        <v>3920</v>
      </c>
      <c r="S3993" s="13">
        <v>0</v>
      </c>
    </row>
    <row r="3994" spans="18:19" x14ac:dyDescent="0.25">
      <c r="R3994" s="13">
        <v>3921</v>
      </c>
      <c r="S3994" s="13">
        <v>0</v>
      </c>
    </row>
    <row r="3995" spans="18:19" x14ac:dyDescent="0.25">
      <c r="R3995" s="13">
        <v>3922</v>
      </c>
      <c r="S3995" s="13">
        <v>0</v>
      </c>
    </row>
    <row r="3996" spans="18:19" x14ac:dyDescent="0.25">
      <c r="R3996" s="13">
        <v>3923</v>
      </c>
      <c r="S3996" s="13">
        <v>0</v>
      </c>
    </row>
    <row r="3997" spans="18:19" x14ac:dyDescent="0.25">
      <c r="R3997" s="13">
        <v>3924</v>
      </c>
      <c r="S3997" s="13">
        <v>0</v>
      </c>
    </row>
    <row r="3998" spans="18:19" x14ac:dyDescent="0.25">
      <c r="R3998" s="13">
        <v>3925</v>
      </c>
      <c r="S3998" s="13">
        <v>0</v>
      </c>
    </row>
    <row r="3999" spans="18:19" x14ac:dyDescent="0.25">
      <c r="R3999" s="13">
        <v>3926</v>
      </c>
      <c r="S3999" s="13">
        <v>0</v>
      </c>
    </row>
    <row r="4000" spans="18:19" x14ac:dyDescent="0.25">
      <c r="R4000" s="13">
        <v>3927</v>
      </c>
      <c r="S4000" s="13">
        <v>0</v>
      </c>
    </row>
    <row r="4001" spans="18:19" x14ac:dyDescent="0.25">
      <c r="R4001" s="13">
        <v>3928</v>
      </c>
      <c r="S4001" s="13">
        <v>0</v>
      </c>
    </row>
    <row r="4002" spans="18:19" x14ac:dyDescent="0.25">
      <c r="R4002" s="13">
        <v>3929</v>
      </c>
      <c r="S4002" s="13">
        <v>814082204.00976944</v>
      </c>
    </row>
    <row r="4003" spans="18:19" x14ac:dyDescent="0.25">
      <c r="R4003" s="13">
        <v>3930</v>
      </c>
      <c r="S4003" s="13">
        <v>0</v>
      </c>
    </row>
    <row r="4004" spans="18:19" x14ac:dyDescent="0.25">
      <c r="R4004" s="13">
        <v>3931</v>
      </c>
      <c r="S4004" s="13">
        <v>412120007.02716255</v>
      </c>
    </row>
    <row r="4005" spans="18:19" x14ac:dyDescent="0.25">
      <c r="R4005" s="13">
        <v>3932</v>
      </c>
      <c r="S4005" s="13">
        <v>0</v>
      </c>
    </row>
    <row r="4006" spans="18:19" x14ac:dyDescent="0.25">
      <c r="R4006" s="13">
        <v>3933</v>
      </c>
      <c r="S4006" s="13">
        <v>0</v>
      </c>
    </row>
    <row r="4007" spans="18:19" x14ac:dyDescent="0.25">
      <c r="R4007" s="13">
        <v>3934</v>
      </c>
      <c r="S4007" s="13">
        <v>0</v>
      </c>
    </row>
    <row r="4008" spans="18:19" x14ac:dyDescent="0.25">
      <c r="R4008" s="13">
        <v>3935</v>
      </c>
      <c r="S4008" s="13">
        <v>0</v>
      </c>
    </row>
    <row r="4009" spans="18:19" x14ac:dyDescent="0.25">
      <c r="R4009" s="13">
        <v>3936</v>
      </c>
      <c r="S4009" s="13">
        <v>0</v>
      </c>
    </row>
    <row r="4010" spans="18:19" x14ac:dyDescent="0.25">
      <c r="R4010" s="13">
        <v>3937</v>
      </c>
      <c r="S4010" s="13">
        <v>32764117.160516739</v>
      </c>
    </row>
    <row r="4011" spans="18:19" x14ac:dyDescent="0.25">
      <c r="R4011" s="13">
        <v>3938</v>
      </c>
      <c r="S4011" s="13">
        <v>0</v>
      </c>
    </row>
    <row r="4012" spans="18:19" x14ac:dyDescent="0.25">
      <c r="R4012" s="13">
        <v>3939</v>
      </c>
      <c r="S4012" s="13">
        <v>320381999.4567337</v>
      </c>
    </row>
    <row r="4013" spans="18:19" x14ac:dyDescent="0.25">
      <c r="R4013" s="13">
        <v>3940</v>
      </c>
      <c r="S4013" s="13">
        <v>0</v>
      </c>
    </row>
    <row r="4014" spans="18:19" x14ac:dyDescent="0.25">
      <c r="R4014" s="13">
        <v>3941</v>
      </c>
      <c r="S4014" s="13">
        <v>0</v>
      </c>
    </row>
    <row r="4015" spans="18:19" x14ac:dyDescent="0.25">
      <c r="R4015" s="13">
        <v>3942</v>
      </c>
      <c r="S4015" s="13">
        <v>0</v>
      </c>
    </row>
    <row r="4016" spans="18:19" x14ac:dyDescent="0.25">
      <c r="R4016" s="13">
        <v>3943</v>
      </c>
      <c r="S4016" s="13">
        <v>654254398.0353241</v>
      </c>
    </row>
    <row r="4017" spans="18:19" x14ac:dyDescent="0.25">
      <c r="R4017" s="13">
        <v>3944</v>
      </c>
      <c r="S4017" s="13">
        <v>0</v>
      </c>
    </row>
    <row r="4018" spans="18:19" x14ac:dyDescent="0.25">
      <c r="R4018" s="13">
        <v>3945</v>
      </c>
      <c r="S4018" s="13">
        <v>0</v>
      </c>
    </row>
    <row r="4019" spans="18:19" x14ac:dyDescent="0.25">
      <c r="R4019" s="13">
        <v>3946</v>
      </c>
      <c r="S4019" s="13">
        <v>0</v>
      </c>
    </row>
    <row r="4020" spans="18:19" x14ac:dyDescent="0.25">
      <c r="R4020" s="13">
        <v>3947</v>
      </c>
      <c r="S4020" s="13">
        <v>0</v>
      </c>
    </row>
    <row r="4021" spans="18:19" x14ac:dyDescent="0.25">
      <c r="R4021" s="13">
        <v>3948</v>
      </c>
      <c r="S4021" s="13">
        <v>0</v>
      </c>
    </row>
    <row r="4022" spans="18:19" x14ac:dyDescent="0.25">
      <c r="R4022" s="13">
        <v>3949</v>
      </c>
      <c r="S4022" s="13">
        <v>0</v>
      </c>
    </row>
    <row r="4023" spans="18:19" x14ac:dyDescent="0.25">
      <c r="R4023" s="13">
        <v>3950</v>
      </c>
      <c r="S4023" s="13">
        <v>28636824.100021362</v>
      </c>
    </row>
    <row r="4024" spans="18:19" x14ac:dyDescent="0.25">
      <c r="R4024" s="13">
        <v>3951</v>
      </c>
      <c r="S4024" s="13">
        <v>0</v>
      </c>
    </row>
    <row r="4025" spans="18:19" x14ac:dyDescent="0.25">
      <c r="R4025" s="13">
        <v>3952</v>
      </c>
      <c r="S4025" s="13">
        <v>718184126.84545517</v>
      </c>
    </row>
    <row r="4026" spans="18:19" x14ac:dyDescent="0.25">
      <c r="R4026" s="13">
        <v>3953</v>
      </c>
      <c r="S4026" s="13">
        <v>0</v>
      </c>
    </row>
    <row r="4027" spans="18:19" x14ac:dyDescent="0.25">
      <c r="R4027" s="13">
        <v>3954</v>
      </c>
      <c r="S4027" s="13">
        <v>32536331.785058975</v>
      </c>
    </row>
    <row r="4028" spans="18:19" x14ac:dyDescent="0.25">
      <c r="R4028" s="13">
        <v>3955</v>
      </c>
      <c r="S4028" s="13">
        <v>0</v>
      </c>
    </row>
    <row r="4029" spans="18:19" x14ac:dyDescent="0.25">
      <c r="R4029" s="13">
        <v>3956</v>
      </c>
      <c r="S4029" s="13">
        <v>0</v>
      </c>
    </row>
    <row r="4030" spans="18:19" x14ac:dyDescent="0.25">
      <c r="R4030" s="13">
        <v>3957</v>
      </c>
      <c r="S4030" s="13">
        <v>240637595.05610085</v>
      </c>
    </row>
    <row r="4031" spans="18:19" x14ac:dyDescent="0.25">
      <c r="R4031" s="13">
        <v>3958</v>
      </c>
      <c r="S4031" s="13">
        <v>0</v>
      </c>
    </row>
    <row r="4032" spans="18:19" x14ac:dyDescent="0.25">
      <c r="R4032" s="13">
        <v>3959</v>
      </c>
      <c r="S4032" s="13">
        <v>0</v>
      </c>
    </row>
    <row r="4033" spans="18:19" x14ac:dyDescent="0.25">
      <c r="R4033" s="13">
        <v>3960</v>
      </c>
      <c r="S4033" s="13">
        <v>0</v>
      </c>
    </row>
    <row r="4034" spans="18:19" x14ac:dyDescent="0.25">
      <c r="R4034" s="13">
        <v>3961</v>
      </c>
      <c r="S4034" s="13">
        <v>0</v>
      </c>
    </row>
    <row r="4035" spans="18:19" x14ac:dyDescent="0.25">
      <c r="R4035" s="13">
        <v>3962</v>
      </c>
      <c r="S4035" s="13">
        <v>0</v>
      </c>
    </row>
    <row r="4036" spans="18:19" x14ac:dyDescent="0.25">
      <c r="R4036" s="13">
        <v>3963</v>
      </c>
      <c r="S4036" s="13">
        <v>29557515.137866974</v>
      </c>
    </row>
    <row r="4037" spans="18:19" x14ac:dyDescent="0.25">
      <c r="R4037" s="13">
        <v>3964</v>
      </c>
      <c r="S4037" s="13">
        <v>0</v>
      </c>
    </row>
    <row r="4038" spans="18:19" x14ac:dyDescent="0.25">
      <c r="R4038" s="13">
        <v>3965</v>
      </c>
      <c r="S4038" s="13">
        <v>34964270.258211136</v>
      </c>
    </row>
    <row r="4039" spans="18:19" x14ac:dyDescent="0.25">
      <c r="R4039" s="13">
        <v>3966</v>
      </c>
      <c r="S4039" s="13">
        <v>0</v>
      </c>
    </row>
    <row r="4040" spans="18:19" x14ac:dyDescent="0.25">
      <c r="R4040" s="13">
        <v>3967</v>
      </c>
      <c r="S4040" s="13">
        <v>0</v>
      </c>
    </row>
    <row r="4041" spans="18:19" x14ac:dyDescent="0.25">
      <c r="R4041" s="13">
        <v>3968</v>
      </c>
      <c r="S4041" s="13">
        <v>0</v>
      </c>
    </row>
    <row r="4042" spans="18:19" x14ac:dyDescent="0.25">
      <c r="R4042" s="13">
        <v>3969</v>
      </c>
      <c r="S4042" s="13">
        <v>0</v>
      </c>
    </row>
    <row r="4043" spans="18:19" x14ac:dyDescent="0.25">
      <c r="R4043" s="13">
        <v>3970</v>
      </c>
      <c r="S4043" s="13">
        <v>247081978.85816383</v>
      </c>
    </row>
    <row r="4044" spans="18:19" x14ac:dyDescent="0.25">
      <c r="R4044" s="13">
        <v>3971</v>
      </c>
      <c r="S4044" s="13">
        <v>0</v>
      </c>
    </row>
    <row r="4045" spans="18:19" x14ac:dyDescent="0.25">
      <c r="R4045" s="13">
        <v>3972</v>
      </c>
      <c r="S4045" s="13">
        <v>0</v>
      </c>
    </row>
    <row r="4046" spans="18:19" x14ac:dyDescent="0.25">
      <c r="R4046" s="13">
        <v>3973</v>
      </c>
      <c r="S4046" s="13">
        <v>925322562.30870056</v>
      </c>
    </row>
    <row r="4047" spans="18:19" x14ac:dyDescent="0.25">
      <c r="R4047" s="13">
        <v>3974</v>
      </c>
      <c r="S4047" s="13">
        <v>0</v>
      </c>
    </row>
    <row r="4048" spans="18:19" x14ac:dyDescent="0.25">
      <c r="R4048" s="13">
        <v>3975</v>
      </c>
      <c r="S4048" s="13">
        <v>0</v>
      </c>
    </row>
    <row r="4049" spans="18:19" x14ac:dyDescent="0.25">
      <c r="R4049" s="13">
        <v>3976</v>
      </c>
      <c r="S4049" s="13">
        <v>173839459.34074783</v>
      </c>
    </row>
    <row r="4050" spans="18:19" x14ac:dyDescent="0.25">
      <c r="R4050" s="13">
        <v>3977</v>
      </c>
      <c r="S4050" s="13">
        <v>97610880.321285248</v>
      </c>
    </row>
    <row r="4051" spans="18:19" x14ac:dyDescent="0.25">
      <c r="R4051" s="13">
        <v>3978</v>
      </c>
      <c r="S4051" s="13">
        <v>0</v>
      </c>
    </row>
    <row r="4052" spans="18:19" x14ac:dyDescent="0.25">
      <c r="R4052" s="13">
        <v>3979</v>
      </c>
      <c r="S4052" s="13">
        <v>0</v>
      </c>
    </row>
    <row r="4053" spans="18:19" x14ac:dyDescent="0.25">
      <c r="R4053" s="13">
        <v>3980</v>
      </c>
      <c r="S4053" s="13">
        <v>0</v>
      </c>
    </row>
    <row r="4054" spans="18:19" x14ac:dyDescent="0.25">
      <c r="R4054" s="13">
        <v>3981</v>
      </c>
      <c r="S4054" s="13">
        <v>643402252.22552681</v>
      </c>
    </row>
    <row r="4055" spans="18:19" x14ac:dyDescent="0.25">
      <c r="R4055" s="13">
        <v>3982</v>
      </c>
      <c r="S4055" s="13">
        <v>0</v>
      </c>
    </row>
    <row r="4056" spans="18:19" x14ac:dyDescent="0.25">
      <c r="R4056" s="13">
        <v>3983</v>
      </c>
      <c r="S4056" s="13">
        <v>0</v>
      </c>
    </row>
    <row r="4057" spans="18:19" x14ac:dyDescent="0.25">
      <c r="R4057" s="13">
        <v>3984</v>
      </c>
      <c r="S4057" s="13">
        <v>157084985.83289337</v>
      </c>
    </row>
    <row r="4058" spans="18:19" x14ac:dyDescent="0.25">
      <c r="R4058" s="13">
        <v>3985</v>
      </c>
      <c r="S4058" s="13">
        <v>0</v>
      </c>
    </row>
    <row r="4059" spans="18:19" x14ac:dyDescent="0.25">
      <c r="R4059" s="13">
        <v>3986</v>
      </c>
      <c r="S4059" s="13">
        <v>313054646.55971527</v>
      </c>
    </row>
    <row r="4060" spans="18:19" x14ac:dyDescent="0.25">
      <c r="R4060" s="13">
        <v>3987</v>
      </c>
      <c r="S4060" s="13">
        <v>0</v>
      </c>
    </row>
    <row r="4061" spans="18:19" x14ac:dyDescent="0.25">
      <c r="R4061" s="13">
        <v>3988</v>
      </c>
      <c r="S4061" s="13">
        <v>0</v>
      </c>
    </row>
    <row r="4062" spans="18:19" x14ac:dyDescent="0.25">
      <c r="R4062" s="13">
        <v>3989</v>
      </c>
      <c r="S4062" s="13">
        <v>0</v>
      </c>
    </row>
    <row r="4063" spans="18:19" x14ac:dyDescent="0.25">
      <c r="R4063" s="13">
        <v>3990</v>
      </c>
      <c r="S4063" s="13">
        <v>0</v>
      </c>
    </row>
    <row r="4064" spans="18:19" x14ac:dyDescent="0.25">
      <c r="R4064" s="13">
        <v>3991</v>
      </c>
      <c r="S4064" s="13">
        <v>0</v>
      </c>
    </row>
    <row r="4065" spans="18:19" x14ac:dyDescent="0.25">
      <c r="R4065" s="13">
        <v>3992</v>
      </c>
      <c r="S4065" s="13">
        <v>0</v>
      </c>
    </row>
    <row r="4066" spans="18:19" x14ac:dyDescent="0.25">
      <c r="R4066" s="13">
        <v>3993</v>
      </c>
      <c r="S4066" s="13">
        <v>0</v>
      </c>
    </row>
    <row r="4067" spans="18:19" x14ac:dyDescent="0.25">
      <c r="R4067" s="13">
        <v>3994</v>
      </c>
      <c r="S4067" s="13">
        <v>0</v>
      </c>
    </row>
    <row r="4068" spans="18:19" x14ac:dyDescent="0.25">
      <c r="R4068" s="13">
        <v>3995</v>
      </c>
      <c r="S4068" s="13">
        <v>180348977.49906158</v>
      </c>
    </row>
    <row r="4069" spans="18:19" x14ac:dyDescent="0.25">
      <c r="R4069" s="13">
        <v>3996</v>
      </c>
      <c r="S4069" s="13">
        <v>464414435.84476471</v>
      </c>
    </row>
    <row r="4070" spans="18:19" x14ac:dyDescent="0.25">
      <c r="R4070" s="13">
        <v>3997</v>
      </c>
      <c r="S4070" s="13">
        <v>147096323.87979698</v>
      </c>
    </row>
    <row r="4071" spans="18:19" x14ac:dyDescent="0.25">
      <c r="R4071" s="13">
        <v>3998</v>
      </c>
      <c r="S4071" s="13">
        <v>835042475.65491104</v>
      </c>
    </row>
    <row r="4072" spans="18:19" x14ac:dyDescent="0.25">
      <c r="R4072" s="13">
        <v>3999</v>
      </c>
      <c r="S4072" s="13">
        <v>0</v>
      </c>
    </row>
    <row r="4073" spans="18:19" x14ac:dyDescent="0.25">
      <c r="R4073" s="13">
        <v>4000</v>
      </c>
      <c r="S4073" s="13">
        <v>0</v>
      </c>
    </row>
    <row r="4074" spans="18:19" x14ac:dyDescent="0.25">
      <c r="R4074" s="13">
        <v>4001</v>
      </c>
      <c r="S4074" s="13">
        <v>0</v>
      </c>
    </row>
    <row r="4075" spans="18:19" x14ac:dyDescent="0.25">
      <c r="R4075" s="13">
        <v>4002</v>
      </c>
      <c r="S4075" s="13">
        <v>0</v>
      </c>
    </row>
    <row r="4076" spans="18:19" x14ac:dyDescent="0.25">
      <c r="R4076" s="13">
        <v>4003</v>
      </c>
      <c r="S4076" s="13">
        <v>0</v>
      </c>
    </row>
    <row r="4077" spans="18:19" x14ac:dyDescent="0.25">
      <c r="R4077" s="13">
        <v>4004</v>
      </c>
      <c r="S4077" s="13">
        <v>1044727758.1547623</v>
      </c>
    </row>
    <row r="4078" spans="18:19" x14ac:dyDescent="0.25">
      <c r="R4078" s="13">
        <v>4005</v>
      </c>
      <c r="S4078" s="13">
        <v>345094482.31124496</v>
      </c>
    </row>
    <row r="4079" spans="18:19" x14ac:dyDescent="0.25">
      <c r="R4079" s="13">
        <v>4006</v>
      </c>
      <c r="S4079" s="13">
        <v>0</v>
      </c>
    </row>
    <row r="4080" spans="18:19" x14ac:dyDescent="0.25">
      <c r="R4080" s="13">
        <v>4007</v>
      </c>
      <c r="S4080" s="13">
        <v>0</v>
      </c>
    </row>
    <row r="4081" spans="18:19" x14ac:dyDescent="0.25">
      <c r="R4081" s="13">
        <v>4008</v>
      </c>
      <c r="S4081" s="13">
        <v>102644030.79866791</v>
      </c>
    </row>
    <row r="4082" spans="18:19" x14ac:dyDescent="0.25">
      <c r="R4082" s="13">
        <v>4009</v>
      </c>
      <c r="S4082" s="13">
        <v>0</v>
      </c>
    </row>
    <row r="4083" spans="18:19" x14ac:dyDescent="0.25">
      <c r="R4083" s="13">
        <v>4010</v>
      </c>
      <c r="S4083" s="13">
        <v>0</v>
      </c>
    </row>
    <row r="4084" spans="18:19" x14ac:dyDescent="0.25">
      <c r="R4084" s="13">
        <v>4011</v>
      </c>
      <c r="S4084" s="13">
        <v>0</v>
      </c>
    </row>
    <row r="4085" spans="18:19" x14ac:dyDescent="0.25">
      <c r="R4085" s="13">
        <v>4012</v>
      </c>
      <c r="S4085" s="13">
        <v>0</v>
      </c>
    </row>
    <row r="4086" spans="18:19" x14ac:dyDescent="0.25">
      <c r="R4086" s="13">
        <v>4013</v>
      </c>
      <c r="S4086" s="13">
        <v>0</v>
      </c>
    </row>
    <row r="4087" spans="18:19" x14ac:dyDescent="0.25">
      <c r="R4087" s="13">
        <v>4014</v>
      </c>
      <c r="S4087" s="13">
        <v>0</v>
      </c>
    </row>
    <row r="4088" spans="18:19" x14ac:dyDescent="0.25">
      <c r="R4088" s="13">
        <v>4015</v>
      </c>
      <c r="S4088" s="13">
        <v>168589716.68549538</v>
      </c>
    </row>
    <row r="4089" spans="18:19" x14ac:dyDescent="0.25">
      <c r="R4089" s="13">
        <v>4016</v>
      </c>
      <c r="S4089" s="13">
        <v>117606523.03623009</v>
      </c>
    </row>
    <row r="4090" spans="18:19" x14ac:dyDescent="0.25">
      <c r="R4090" s="13">
        <v>4017</v>
      </c>
      <c r="S4090" s="13">
        <v>0</v>
      </c>
    </row>
    <row r="4091" spans="18:19" x14ac:dyDescent="0.25">
      <c r="R4091" s="13">
        <v>4018</v>
      </c>
      <c r="S4091" s="13">
        <v>0</v>
      </c>
    </row>
    <row r="4092" spans="18:19" x14ac:dyDescent="0.25">
      <c r="R4092" s="13">
        <v>4019</v>
      </c>
      <c r="S4092" s="13">
        <v>0</v>
      </c>
    </row>
    <row r="4093" spans="18:19" x14ac:dyDescent="0.25">
      <c r="R4093" s="13">
        <v>4020</v>
      </c>
      <c r="S4093" s="13">
        <v>0</v>
      </c>
    </row>
    <row r="4094" spans="18:19" x14ac:dyDescent="0.25">
      <c r="R4094" s="13">
        <v>4021</v>
      </c>
      <c r="S4094" s="13">
        <v>0</v>
      </c>
    </row>
    <row r="4095" spans="18:19" x14ac:dyDescent="0.25">
      <c r="R4095" s="13">
        <v>4022</v>
      </c>
      <c r="S4095" s="13">
        <v>0</v>
      </c>
    </row>
    <row r="4096" spans="18:19" x14ac:dyDescent="0.25">
      <c r="R4096" s="13">
        <v>4023</v>
      </c>
      <c r="S4096" s="13">
        <v>644155801.28873253</v>
      </c>
    </row>
    <row r="4097" spans="18:19" x14ac:dyDescent="0.25">
      <c r="R4097" s="13">
        <v>4024</v>
      </c>
      <c r="S4097" s="13">
        <v>0</v>
      </c>
    </row>
    <row r="4098" spans="18:19" x14ac:dyDescent="0.25">
      <c r="R4098" s="13">
        <v>4025</v>
      </c>
      <c r="S4098" s="13">
        <v>0</v>
      </c>
    </row>
    <row r="4099" spans="18:19" x14ac:dyDescent="0.25">
      <c r="R4099" s="13">
        <v>4026</v>
      </c>
      <c r="S4099" s="13">
        <v>0</v>
      </c>
    </row>
    <row r="4100" spans="18:19" x14ac:dyDescent="0.25">
      <c r="R4100" s="13">
        <v>4027</v>
      </c>
      <c r="S4100" s="13">
        <v>225815388.32330132</v>
      </c>
    </row>
    <row r="4101" spans="18:19" x14ac:dyDescent="0.25">
      <c r="R4101" s="13">
        <v>4028</v>
      </c>
      <c r="S4101" s="13">
        <v>0</v>
      </c>
    </row>
    <row r="4102" spans="18:19" x14ac:dyDescent="0.25">
      <c r="R4102" s="13">
        <v>4029</v>
      </c>
      <c r="S4102" s="13">
        <v>0</v>
      </c>
    </row>
    <row r="4103" spans="18:19" x14ac:dyDescent="0.25">
      <c r="R4103" s="13">
        <v>4030</v>
      </c>
      <c r="S4103" s="13">
        <v>0</v>
      </c>
    </row>
    <row r="4104" spans="18:19" x14ac:dyDescent="0.25">
      <c r="R4104" s="13">
        <v>4031</v>
      </c>
      <c r="S4104" s="13">
        <v>0</v>
      </c>
    </row>
    <row r="4105" spans="18:19" x14ac:dyDescent="0.25">
      <c r="R4105" s="13">
        <v>4032</v>
      </c>
      <c r="S4105" s="13">
        <v>0</v>
      </c>
    </row>
    <row r="4106" spans="18:19" x14ac:dyDescent="0.25">
      <c r="R4106" s="13">
        <v>4033</v>
      </c>
      <c r="S4106" s="13">
        <v>0</v>
      </c>
    </row>
    <row r="4107" spans="18:19" x14ac:dyDescent="0.25">
      <c r="R4107" s="13">
        <v>4034</v>
      </c>
      <c r="S4107" s="13">
        <v>0</v>
      </c>
    </row>
    <row r="4108" spans="18:19" x14ac:dyDescent="0.25">
      <c r="R4108" s="13">
        <v>4035</v>
      </c>
      <c r="S4108" s="13">
        <v>0</v>
      </c>
    </row>
    <row r="4109" spans="18:19" x14ac:dyDescent="0.25">
      <c r="R4109" s="13">
        <v>4036</v>
      </c>
      <c r="S4109" s="13">
        <v>778904660.1752739</v>
      </c>
    </row>
    <row r="4110" spans="18:19" x14ac:dyDescent="0.25">
      <c r="R4110" s="13">
        <v>4037</v>
      </c>
      <c r="S4110" s="13">
        <v>0</v>
      </c>
    </row>
    <row r="4111" spans="18:19" x14ac:dyDescent="0.25">
      <c r="R4111" s="13">
        <v>4038</v>
      </c>
      <c r="S4111" s="13">
        <v>0</v>
      </c>
    </row>
    <row r="4112" spans="18:19" x14ac:dyDescent="0.25">
      <c r="R4112" s="13">
        <v>4039</v>
      </c>
      <c r="S4112" s="13">
        <v>131585214.33489227</v>
      </c>
    </row>
    <row r="4113" spans="18:19" x14ac:dyDescent="0.25">
      <c r="R4113" s="13">
        <v>4040</v>
      </c>
      <c r="S4113" s="13">
        <v>191723389.95760918</v>
      </c>
    </row>
    <row r="4114" spans="18:19" x14ac:dyDescent="0.25">
      <c r="R4114" s="13">
        <v>4041</v>
      </c>
      <c r="S4114" s="13">
        <v>0</v>
      </c>
    </row>
    <row r="4115" spans="18:19" x14ac:dyDescent="0.25">
      <c r="R4115" s="13">
        <v>4042</v>
      </c>
      <c r="S4115" s="13">
        <v>0</v>
      </c>
    </row>
    <row r="4116" spans="18:19" x14ac:dyDescent="0.25">
      <c r="R4116" s="13">
        <v>4043</v>
      </c>
      <c r="S4116" s="13">
        <v>0</v>
      </c>
    </row>
    <row r="4117" spans="18:19" x14ac:dyDescent="0.25">
      <c r="R4117" s="13">
        <v>4044</v>
      </c>
      <c r="S4117" s="13">
        <v>0</v>
      </c>
    </row>
    <row r="4118" spans="18:19" x14ac:dyDescent="0.25">
      <c r="R4118" s="13">
        <v>4045</v>
      </c>
      <c r="S4118" s="13">
        <v>0</v>
      </c>
    </row>
    <row r="4119" spans="18:19" x14ac:dyDescent="0.25">
      <c r="R4119" s="13">
        <v>4046</v>
      </c>
      <c r="S4119" s="13">
        <v>1051455078.0945683</v>
      </c>
    </row>
    <row r="4120" spans="18:19" x14ac:dyDescent="0.25">
      <c r="R4120" s="13">
        <v>4047</v>
      </c>
      <c r="S4120" s="13">
        <v>76088131.990667343</v>
      </c>
    </row>
    <row r="4121" spans="18:19" x14ac:dyDescent="0.25">
      <c r="R4121" s="13">
        <v>4048</v>
      </c>
      <c r="S4121" s="13">
        <v>0</v>
      </c>
    </row>
    <row r="4122" spans="18:19" x14ac:dyDescent="0.25">
      <c r="R4122" s="13">
        <v>4049</v>
      </c>
      <c r="S4122" s="13">
        <v>0</v>
      </c>
    </row>
    <row r="4123" spans="18:19" x14ac:dyDescent="0.25">
      <c r="R4123" s="13">
        <v>4050</v>
      </c>
      <c r="S4123" s="13">
        <v>9204466.4003391266</v>
      </c>
    </row>
    <row r="4124" spans="18:19" x14ac:dyDescent="0.25">
      <c r="R4124" s="13">
        <v>4051</v>
      </c>
      <c r="S4124" s="13">
        <v>0</v>
      </c>
    </row>
    <row r="4125" spans="18:19" x14ac:dyDescent="0.25">
      <c r="R4125" s="13">
        <v>4052</v>
      </c>
      <c r="S4125" s="13">
        <v>0</v>
      </c>
    </row>
    <row r="4126" spans="18:19" x14ac:dyDescent="0.25">
      <c r="R4126" s="13">
        <v>4053</v>
      </c>
      <c r="S4126" s="13">
        <v>0</v>
      </c>
    </row>
    <row r="4127" spans="18:19" x14ac:dyDescent="0.25">
      <c r="R4127" s="13">
        <v>4054</v>
      </c>
      <c r="S4127" s="13">
        <v>0</v>
      </c>
    </row>
    <row r="4128" spans="18:19" x14ac:dyDescent="0.25">
      <c r="R4128" s="13">
        <v>4055</v>
      </c>
      <c r="S4128" s="13">
        <v>0</v>
      </c>
    </row>
    <row r="4129" spans="18:19" x14ac:dyDescent="0.25">
      <c r="R4129" s="13">
        <v>4056</v>
      </c>
      <c r="S4129" s="13">
        <v>0</v>
      </c>
    </row>
    <row r="4130" spans="18:19" x14ac:dyDescent="0.25">
      <c r="R4130" s="13">
        <v>4057</v>
      </c>
      <c r="S4130" s="13">
        <v>640783313.58621025</v>
      </c>
    </row>
    <row r="4131" spans="18:19" x14ac:dyDescent="0.25">
      <c r="R4131" s="13">
        <v>4058</v>
      </c>
      <c r="S4131" s="13">
        <v>0</v>
      </c>
    </row>
    <row r="4132" spans="18:19" x14ac:dyDescent="0.25">
      <c r="R4132" s="13">
        <v>4059</v>
      </c>
      <c r="S4132" s="13">
        <v>1034041551.5324116</v>
      </c>
    </row>
    <row r="4133" spans="18:19" x14ac:dyDescent="0.25">
      <c r="R4133" s="13">
        <v>4060</v>
      </c>
      <c r="S4133" s="13">
        <v>0</v>
      </c>
    </row>
    <row r="4134" spans="18:19" x14ac:dyDescent="0.25">
      <c r="R4134" s="13">
        <v>4061</v>
      </c>
      <c r="S4134" s="13">
        <v>0</v>
      </c>
    </row>
    <row r="4135" spans="18:19" x14ac:dyDescent="0.25">
      <c r="R4135" s="13">
        <v>4062</v>
      </c>
      <c r="S4135" s="13">
        <v>0</v>
      </c>
    </row>
    <row r="4136" spans="18:19" x14ac:dyDescent="0.25">
      <c r="R4136" s="13">
        <v>4063</v>
      </c>
      <c r="S4136" s="13">
        <v>0</v>
      </c>
    </row>
    <row r="4137" spans="18:19" x14ac:dyDescent="0.25">
      <c r="R4137" s="13">
        <v>4064</v>
      </c>
      <c r="S4137" s="13">
        <v>0</v>
      </c>
    </row>
    <row r="4138" spans="18:19" x14ac:dyDescent="0.25">
      <c r="R4138" s="13">
        <v>4065</v>
      </c>
      <c r="S4138" s="13">
        <v>0</v>
      </c>
    </row>
    <row r="4139" spans="18:19" x14ac:dyDescent="0.25">
      <c r="R4139" s="13">
        <v>4066</v>
      </c>
      <c r="S4139" s="13">
        <v>197117966.21988106</v>
      </c>
    </row>
    <row r="4140" spans="18:19" x14ac:dyDescent="0.25">
      <c r="R4140" s="13">
        <v>4067</v>
      </c>
      <c r="S4140" s="13">
        <v>0</v>
      </c>
    </row>
    <row r="4141" spans="18:19" x14ac:dyDescent="0.25">
      <c r="R4141" s="13">
        <v>4068</v>
      </c>
      <c r="S4141" s="13">
        <v>0</v>
      </c>
    </row>
    <row r="4142" spans="18:19" x14ac:dyDescent="0.25">
      <c r="R4142" s="13">
        <v>4069</v>
      </c>
      <c r="S4142" s="13">
        <v>0</v>
      </c>
    </row>
    <row r="4143" spans="18:19" x14ac:dyDescent="0.25">
      <c r="R4143" s="13">
        <v>4070</v>
      </c>
      <c r="S4143" s="13">
        <v>0</v>
      </c>
    </row>
    <row r="4144" spans="18:19" x14ac:dyDescent="0.25">
      <c r="R4144" s="13">
        <v>4071</v>
      </c>
      <c r="S4144" s="13">
        <v>0</v>
      </c>
    </row>
    <row r="4145" spans="18:19" x14ac:dyDescent="0.25">
      <c r="R4145" s="13">
        <v>4072</v>
      </c>
      <c r="S4145" s="13">
        <v>0</v>
      </c>
    </row>
    <row r="4146" spans="18:19" x14ac:dyDescent="0.25">
      <c r="R4146" s="13">
        <v>4073</v>
      </c>
      <c r="S4146" s="13">
        <v>0</v>
      </c>
    </row>
    <row r="4147" spans="18:19" x14ac:dyDescent="0.25">
      <c r="R4147" s="13">
        <v>4074</v>
      </c>
      <c r="S4147" s="13">
        <v>0</v>
      </c>
    </row>
    <row r="4148" spans="18:19" x14ac:dyDescent="0.25">
      <c r="R4148" s="13">
        <v>4075</v>
      </c>
      <c r="S4148" s="13">
        <v>0</v>
      </c>
    </row>
    <row r="4149" spans="18:19" x14ac:dyDescent="0.25">
      <c r="R4149" s="13">
        <v>4076</v>
      </c>
      <c r="S4149" s="13">
        <v>0</v>
      </c>
    </row>
    <row r="4150" spans="18:19" x14ac:dyDescent="0.25">
      <c r="R4150" s="13">
        <v>4077</v>
      </c>
      <c r="S4150" s="13">
        <v>309368125.86525917</v>
      </c>
    </row>
    <row r="4151" spans="18:19" x14ac:dyDescent="0.25">
      <c r="R4151" s="13">
        <v>4078</v>
      </c>
      <c r="S4151" s="13">
        <v>0</v>
      </c>
    </row>
    <row r="4152" spans="18:19" x14ac:dyDescent="0.25">
      <c r="R4152" s="13">
        <v>4079</v>
      </c>
      <c r="S4152" s="13">
        <v>0</v>
      </c>
    </row>
    <row r="4153" spans="18:19" x14ac:dyDescent="0.25">
      <c r="R4153" s="13">
        <v>4080</v>
      </c>
      <c r="S4153" s="13">
        <v>15666321.86233902</v>
      </c>
    </row>
    <row r="4154" spans="18:19" x14ac:dyDescent="0.25">
      <c r="R4154" s="13">
        <v>4081</v>
      </c>
      <c r="S4154" s="13">
        <v>0</v>
      </c>
    </row>
    <row r="4155" spans="18:19" x14ac:dyDescent="0.25">
      <c r="R4155" s="13">
        <v>4082</v>
      </c>
      <c r="S4155" s="13">
        <v>0</v>
      </c>
    </row>
    <row r="4156" spans="18:19" x14ac:dyDescent="0.25">
      <c r="R4156" s="13">
        <v>4083</v>
      </c>
      <c r="S4156" s="13">
        <v>0</v>
      </c>
    </row>
    <row r="4157" spans="18:19" x14ac:dyDescent="0.25">
      <c r="R4157" s="13">
        <v>4084</v>
      </c>
      <c r="S4157" s="13">
        <v>0</v>
      </c>
    </row>
    <row r="4158" spans="18:19" x14ac:dyDescent="0.25">
      <c r="R4158" s="13">
        <v>4085</v>
      </c>
      <c r="S4158" s="13">
        <v>0</v>
      </c>
    </row>
    <row r="4159" spans="18:19" x14ac:dyDescent="0.25">
      <c r="R4159" s="13">
        <v>4086</v>
      </c>
      <c r="S4159" s="13">
        <v>0</v>
      </c>
    </row>
    <row r="4160" spans="18:19" x14ac:dyDescent="0.25">
      <c r="R4160" s="13">
        <v>4087</v>
      </c>
      <c r="S4160" s="13">
        <v>0</v>
      </c>
    </row>
    <row r="4161" spans="18:19" x14ac:dyDescent="0.25">
      <c r="R4161" s="13">
        <v>4088</v>
      </c>
      <c r="S4161" s="13">
        <v>0</v>
      </c>
    </row>
    <row r="4162" spans="18:19" x14ac:dyDescent="0.25">
      <c r="R4162" s="13">
        <v>4089</v>
      </c>
      <c r="S4162" s="13">
        <v>0</v>
      </c>
    </row>
    <row r="4163" spans="18:19" x14ac:dyDescent="0.25">
      <c r="R4163" s="13">
        <v>4090</v>
      </c>
      <c r="S4163" s="13">
        <v>0</v>
      </c>
    </row>
    <row r="4164" spans="18:19" x14ac:dyDescent="0.25">
      <c r="R4164" s="13">
        <v>4091</v>
      </c>
      <c r="S4164" s="13">
        <v>0</v>
      </c>
    </row>
    <row r="4165" spans="18:19" x14ac:dyDescent="0.25">
      <c r="R4165" s="13">
        <v>4092</v>
      </c>
      <c r="S4165" s="13">
        <v>0</v>
      </c>
    </row>
    <row r="4166" spans="18:19" x14ac:dyDescent="0.25">
      <c r="R4166" s="13">
        <v>4093</v>
      </c>
      <c r="S4166" s="13">
        <v>522532562.30082512</v>
      </c>
    </row>
    <row r="4167" spans="18:19" x14ac:dyDescent="0.25">
      <c r="R4167" s="13">
        <v>4094</v>
      </c>
      <c r="S4167" s="13">
        <v>0</v>
      </c>
    </row>
    <row r="4168" spans="18:19" x14ac:dyDescent="0.25">
      <c r="R4168" s="13">
        <v>4095</v>
      </c>
      <c r="S4168" s="13">
        <v>0</v>
      </c>
    </row>
    <row r="4169" spans="18:19" x14ac:dyDescent="0.25">
      <c r="R4169" s="13">
        <v>4096</v>
      </c>
      <c r="S4169" s="13">
        <v>0</v>
      </c>
    </row>
    <row r="4170" spans="18:19" x14ac:dyDescent="0.25">
      <c r="R4170" s="13">
        <v>4097</v>
      </c>
      <c r="S4170" s="13">
        <v>0</v>
      </c>
    </row>
    <row r="4171" spans="18:19" x14ac:dyDescent="0.25">
      <c r="R4171" s="13">
        <v>4098</v>
      </c>
      <c r="S4171" s="13">
        <v>0</v>
      </c>
    </row>
    <row r="4172" spans="18:19" x14ac:dyDescent="0.25">
      <c r="R4172" s="13">
        <v>4099</v>
      </c>
      <c r="S4172" s="13">
        <v>0</v>
      </c>
    </row>
    <row r="4173" spans="18:19" x14ac:dyDescent="0.25">
      <c r="R4173" s="13">
        <v>4100</v>
      </c>
      <c r="S4173" s="13">
        <v>0</v>
      </c>
    </row>
    <row r="4174" spans="18:19" x14ac:dyDescent="0.25">
      <c r="R4174" s="13">
        <v>4101</v>
      </c>
      <c r="S4174" s="13">
        <v>1586018749.6045246</v>
      </c>
    </row>
    <row r="4175" spans="18:19" x14ac:dyDescent="0.25">
      <c r="R4175" s="13">
        <v>4102</v>
      </c>
      <c r="S4175" s="13">
        <v>0</v>
      </c>
    </row>
    <row r="4176" spans="18:19" x14ac:dyDescent="0.25">
      <c r="R4176" s="13">
        <v>4103</v>
      </c>
      <c r="S4176" s="13">
        <v>0</v>
      </c>
    </row>
    <row r="4177" spans="18:19" x14ac:dyDescent="0.25">
      <c r="R4177" s="13">
        <v>4104</v>
      </c>
      <c r="S4177" s="13">
        <v>0</v>
      </c>
    </row>
    <row r="4178" spans="18:19" x14ac:dyDescent="0.25">
      <c r="R4178" s="13">
        <v>4105</v>
      </c>
      <c r="S4178" s="13">
        <v>0</v>
      </c>
    </row>
    <row r="4179" spans="18:19" x14ac:dyDescent="0.25">
      <c r="R4179" s="13">
        <v>4106</v>
      </c>
      <c r="S4179" s="13">
        <v>0</v>
      </c>
    </row>
    <row r="4180" spans="18:19" x14ac:dyDescent="0.25">
      <c r="R4180" s="13">
        <v>4107</v>
      </c>
      <c r="S4180" s="13">
        <v>0</v>
      </c>
    </row>
    <row r="4181" spans="18:19" x14ac:dyDescent="0.25">
      <c r="R4181" s="13">
        <v>4108</v>
      </c>
      <c r="S4181" s="13">
        <v>0</v>
      </c>
    </row>
    <row r="4182" spans="18:19" x14ac:dyDescent="0.25">
      <c r="R4182" s="13">
        <v>4109</v>
      </c>
      <c r="S4182" s="13">
        <v>0</v>
      </c>
    </row>
    <row r="4183" spans="18:19" x14ac:dyDescent="0.25">
      <c r="R4183" s="13">
        <v>4110</v>
      </c>
      <c r="S4183" s="13">
        <v>0</v>
      </c>
    </row>
    <row r="4184" spans="18:19" x14ac:dyDescent="0.25">
      <c r="R4184" s="13">
        <v>4111</v>
      </c>
      <c r="S4184" s="13">
        <v>139521077.89881706</v>
      </c>
    </row>
    <row r="4185" spans="18:19" x14ac:dyDescent="0.25">
      <c r="R4185" s="13">
        <v>4112</v>
      </c>
      <c r="S4185" s="13">
        <v>0</v>
      </c>
    </row>
    <row r="4186" spans="18:19" x14ac:dyDescent="0.25">
      <c r="R4186" s="13">
        <v>4113</v>
      </c>
      <c r="S4186" s="13">
        <v>0</v>
      </c>
    </row>
    <row r="4187" spans="18:19" x14ac:dyDescent="0.25">
      <c r="R4187" s="13">
        <v>4114</v>
      </c>
      <c r="S4187" s="13">
        <v>0</v>
      </c>
    </row>
    <row r="4188" spans="18:19" x14ac:dyDescent="0.25">
      <c r="R4188" s="13">
        <v>4115</v>
      </c>
      <c r="S4188" s="13">
        <v>824402183.83077812</v>
      </c>
    </row>
    <row r="4189" spans="18:19" x14ac:dyDescent="0.25">
      <c r="R4189" s="13">
        <v>4116</v>
      </c>
      <c r="S4189" s="13">
        <v>0</v>
      </c>
    </row>
    <row r="4190" spans="18:19" x14ac:dyDescent="0.25">
      <c r="R4190" s="13">
        <v>4117</v>
      </c>
      <c r="S4190" s="13">
        <v>78098302.930791855</v>
      </c>
    </row>
    <row r="4191" spans="18:19" x14ac:dyDescent="0.25">
      <c r="R4191" s="13">
        <v>4118</v>
      </c>
      <c r="S4191" s="13">
        <v>0</v>
      </c>
    </row>
    <row r="4192" spans="18:19" x14ac:dyDescent="0.25">
      <c r="R4192" s="13">
        <v>4119</v>
      </c>
      <c r="S4192" s="13">
        <v>0</v>
      </c>
    </row>
    <row r="4193" spans="18:19" x14ac:dyDescent="0.25">
      <c r="R4193" s="13">
        <v>4120</v>
      </c>
      <c r="S4193" s="13">
        <v>0</v>
      </c>
    </row>
    <row r="4194" spans="18:19" x14ac:dyDescent="0.25">
      <c r="R4194" s="13">
        <v>4121</v>
      </c>
      <c r="S4194" s="13">
        <v>0</v>
      </c>
    </row>
    <row r="4195" spans="18:19" x14ac:dyDescent="0.25">
      <c r="R4195" s="13">
        <v>4122</v>
      </c>
      <c r="S4195" s="13">
        <v>0</v>
      </c>
    </row>
    <row r="4196" spans="18:19" x14ac:dyDescent="0.25">
      <c r="R4196" s="13">
        <v>4123</v>
      </c>
      <c r="S4196" s="13">
        <v>0</v>
      </c>
    </row>
    <row r="4197" spans="18:19" x14ac:dyDescent="0.25">
      <c r="R4197" s="13">
        <v>4124</v>
      </c>
      <c r="S4197" s="13">
        <v>287916054.44002724</v>
      </c>
    </row>
    <row r="4198" spans="18:19" x14ac:dyDescent="0.25">
      <c r="R4198" s="13">
        <v>4125</v>
      </c>
      <c r="S4198" s="13">
        <v>0</v>
      </c>
    </row>
    <row r="4199" spans="18:19" x14ac:dyDescent="0.25">
      <c r="R4199" s="13">
        <v>4126</v>
      </c>
      <c r="S4199" s="13">
        <v>0</v>
      </c>
    </row>
    <row r="4200" spans="18:19" x14ac:dyDescent="0.25">
      <c r="R4200" s="13">
        <v>4127</v>
      </c>
      <c r="S4200" s="13">
        <v>0</v>
      </c>
    </row>
    <row r="4201" spans="18:19" x14ac:dyDescent="0.25">
      <c r="R4201" s="13">
        <v>4128</v>
      </c>
      <c r="S4201" s="13">
        <v>284248882.69165039</v>
      </c>
    </row>
    <row r="4202" spans="18:19" x14ac:dyDescent="0.25">
      <c r="R4202" s="13">
        <v>4129</v>
      </c>
      <c r="S4202" s="13">
        <v>0</v>
      </c>
    </row>
    <row r="4203" spans="18:19" x14ac:dyDescent="0.25">
      <c r="R4203" s="13">
        <v>4130</v>
      </c>
      <c r="S4203" s="13">
        <v>0</v>
      </c>
    </row>
    <row r="4204" spans="18:19" x14ac:dyDescent="0.25">
      <c r="R4204" s="13">
        <v>4131</v>
      </c>
      <c r="S4204" s="13">
        <v>0</v>
      </c>
    </row>
    <row r="4205" spans="18:19" x14ac:dyDescent="0.25">
      <c r="R4205" s="13">
        <v>4132</v>
      </c>
      <c r="S4205" s="13">
        <v>101776323.91610909</v>
      </c>
    </row>
    <row r="4206" spans="18:19" x14ac:dyDescent="0.25">
      <c r="R4206" s="13">
        <v>4133</v>
      </c>
      <c r="S4206" s="13">
        <v>0</v>
      </c>
    </row>
    <row r="4207" spans="18:19" x14ac:dyDescent="0.25">
      <c r="R4207" s="13">
        <v>4134</v>
      </c>
      <c r="S4207" s="13">
        <v>0</v>
      </c>
    </row>
    <row r="4208" spans="18:19" x14ac:dyDescent="0.25">
      <c r="R4208" s="13">
        <v>4135</v>
      </c>
      <c r="S4208" s="13">
        <v>786384146.50074959</v>
      </c>
    </row>
    <row r="4209" spans="18:19" x14ac:dyDescent="0.25">
      <c r="R4209" s="13">
        <v>4136</v>
      </c>
      <c r="S4209" s="13">
        <v>0</v>
      </c>
    </row>
    <row r="4210" spans="18:19" x14ac:dyDescent="0.25">
      <c r="R4210" s="13">
        <v>4137</v>
      </c>
      <c r="S4210" s="13">
        <v>0</v>
      </c>
    </row>
    <row r="4211" spans="18:19" x14ac:dyDescent="0.25">
      <c r="R4211" s="13">
        <v>4138</v>
      </c>
      <c r="S4211" s="13">
        <v>0</v>
      </c>
    </row>
    <row r="4212" spans="18:19" x14ac:dyDescent="0.25">
      <c r="R4212" s="13">
        <v>4139</v>
      </c>
      <c r="S4212" s="13">
        <v>0</v>
      </c>
    </row>
    <row r="4213" spans="18:19" x14ac:dyDescent="0.25">
      <c r="R4213" s="13">
        <v>4140</v>
      </c>
      <c r="S4213" s="13">
        <v>0</v>
      </c>
    </row>
    <row r="4214" spans="18:19" x14ac:dyDescent="0.25">
      <c r="R4214" s="13">
        <v>4141</v>
      </c>
      <c r="S4214" s="13">
        <v>28242894.541261673</v>
      </c>
    </row>
    <row r="4215" spans="18:19" x14ac:dyDescent="0.25">
      <c r="R4215" s="13">
        <v>4142</v>
      </c>
      <c r="S4215" s="13">
        <v>57350341.055431366</v>
      </c>
    </row>
    <row r="4216" spans="18:19" x14ac:dyDescent="0.25">
      <c r="R4216" s="13">
        <v>4143</v>
      </c>
      <c r="S4216" s="13">
        <v>0</v>
      </c>
    </row>
    <row r="4217" spans="18:19" x14ac:dyDescent="0.25">
      <c r="R4217" s="13">
        <v>4144</v>
      </c>
      <c r="S4217" s="13">
        <v>0</v>
      </c>
    </row>
    <row r="4218" spans="18:19" x14ac:dyDescent="0.25">
      <c r="R4218" s="13">
        <v>4145</v>
      </c>
      <c r="S4218" s="13">
        <v>0</v>
      </c>
    </row>
    <row r="4219" spans="18:19" x14ac:dyDescent="0.25">
      <c r="R4219" s="13">
        <v>4146</v>
      </c>
      <c r="S4219" s="13">
        <v>0</v>
      </c>
    </row>
    <row r="4220" spans="18:19" x14ac:dyDescent="0.25">
      <c r="R4220" s="13">
        <v>4147</v>
      </c>
      <c r="S4220" s="13">
        <v>0</v>
      </c>
    </row>
    <row r="4221" spans="18:19" x14ac:dyDescent="0.25">
      <c r="R4221" s="13">
        <v>4148</v>
      </c>
      <c r="S4221" s="13">
        <v>0</v>
      </c>
    </row>
    <row r="4222" spans="18:19" x14ac:dyDescent="0.25">
      <c r="R4222" s="13">
        <v>4149</v>
      </c>
      <c r="S4222" s="13">
        <v>749726828.23971558</v>
      </c>
    </row>
    <row r="4223" spans="18:19" x14ac:dyDescent="0.25">
      <c r="R4223" s="13">
        <v>4150</v>
      </c>
      <c r="S4223" s="13">
        <v>0</v>
      </c>
    </row>
    <row r="4224" spans="18:19" x14ac:dyDescent="0.25">
      <c r="R4224" s="13">
        <v>4151</v>
      </c>
      <c r="S4224" s="13">
        <v>0</v>
      </c>
    </row>
    <row r="4225" spans="18:19" x14ac:dyDescent="0.25">
      <c r="R4225" s="13">
        <v>4152</v>
      </c>
      <c r="S4225" s="13">
        <v>0</v>
      </c>
    </row>
    <row r="4226" spans="18:19" x14ac:dyDescent="0.25">
      <c r="R4226" s="13">
        <v>4153</v>
      </c>
      <c r="S4226" s="13">
        <v>0</v>
      </c>
    </row>
    <row r="4227" spans="18:19" x14ac:dyDescent="0.25">
      <c r="R4227" s="13">
        <v>4154</v>
      </c>
      <c r="S4227" s="13">
        <v>0</v>
      </c>
    </row>
    <row r="4228" spans="18:19" x14ac:dyDescent="0.25">
      <c r="R4228" s="13">
        <v>4155</v>
      </c>
      <c r="S4228" s="13">
        <v>0</v>
      </c>
    </row>
    <row r="4229" spans="18:19" x14ac:dyDescent="0.25">
      <c r="R4229" s="13">
        <v>4156</v>
      </c>
      <c r="S4229" s="13">
        <v>0</v>
      </c>
    </row>
    <row r="4230" spans="18:19" x14ac:dyDescent="0.25">
      <c r="R4230" s="13">
        <v>4157</v>
      </c>
      <c r="S4230" s="13">
        <v>0</v>
      </c>
    </row>
    <row r="4231" spans="18:19" x14ac:dyDescent="0.25">
      <c r="R4231" s="13">
        <v>4158</v>
      </c>
      <c r="S4231" s="13">
        <v>0</v>
      </c>
    </row>
    <row r="4232" spans="18:19" x14ac:dyDescent="0.25">
      <c r="R4232" s="13">
        <v>4159</v>
      </c>
      <c r="S4232" s="13">
        <v>0</v>
      </c>
    </row>
    <row r="4233" spans="18:19" x14ac:dyDescent="0.25">
      <c r="R4233" s="13">
        <v>4160</v>
      </c>
      <c r="S4233" s="13">
        <v>0</v>
      </c>
    </row>
    <row r="4234" spans="18:19" x14ac:dyDescent="0.25">
      <c r="R4234" s="13">
        <v>4161</v>
      </c>
      <c r="S4234" s="13">
        <v>0</v>
      </c>
    </row>
    <row r="4235" spans="18:19" x14ac:dyDescent="0.25">
      <c r="R4235" s="13">
        <v>4162</v>
      </c>
      <c r="S4235" s="13">
        <v>0</v>
      </c>
    </row>
    <row r="4236" spans="18:19" x14ac:dyDescent="0.25">
      <c r="R4236" s="13">
        <v>4163</v>
      </c>
      <c r="S4236" s="13">
        <v>0</v>
      </c>
    </row>
    <row r="4237" spans="18:19" x14ac:dyDescent="0.25">
      <c r="R4237" s="13">
        <v>4164</v>
      </c>
      <c r="S4237" s="13">
        <v>0</v>
      </c>
    </row>
    <row r="4238" spans="18:19" x14ac:dyDescent="0.25">
      <c r="R4238" s="13">
        <v>4165</v>
      </c>
      <c r="S4238" s="13">
        <v>222525208.78131866</v>
      </c>
    </row>
    <row r="4239" spans="18:19" x14ac:dyDescent="0.25">
      <c r="R4239" s="13">
        <v>4166</v>
      </c>
      <c r="S4239" s="13">
        <v>0</v>
      </c>
    </row>
    <row r="4240" spans="18:19" x14ac:dyDescent="0.25">
      <c r="R4240" s="13">
        <v>4167</v>
      </c>
      <c r="S4240" s="13">
        <v>0</v>
      </c>
    </row>
    <row r="4241" spans="18:19" x14ac:dyDescent="0.25">
      <c r="R4241" s="13">
        <v>4168</v>
      </c>
      <c r="S4241" s="13">
        <v>0</v>
      </c>
    </row>
    <row r="4242" spans="18:19" x14ac:dyDescent="0.25">
      <c r="R4242" s="13">
        <v>4169</v>
      </c>
      <c r="S4242" s="13">
        <v>425591847.00610542</v>
      </c>
    </row>
    <row r="4243" spans="18:19" x14ac:dyDescent="0.25">
      <c r="R4243" s="13">
        <v>4170</v>
      </c>
      <c r="S4243" s="13">
        <v>0</v>
      </c>
    </row>
    <row r="4244" spans="18:19" x14ac:dyDescent="0.25">
      <c r="R4244" s="13">
        <v>4171</v>
      </c>
      <c r="S4244" s="13">
        <v>0</v>
      </c>
    </row>
    <row r="4245" spans="18:19" x14ac:dyDescent="0.25">
      <c r="R4245" s="13">
        <v>4172</v>
      </c>
      <c r="S4245" s="13">
        <v>0</v>
      </c>
    </row>
    <row r="4246" spans="18:19" x14ac:dyDescent="0.25">
      <c r="R4246" s="13">
        <v>4173</v>
      </c>
      <c r="S4246" s="13">
        <v>359578009.78001404</v>
      </c>
    </row>
    <row r="4247" spans="18:19" x14ac:dyDescent="0.25">
      <c r="R4247" s="13">
        <v>4174</v>
      </c>
      <c r="S4247" s="13">
        <v>0</v>
      </c>
    </row>
    <row r="4248" spans="18:19" x14ac:dyDescent="0.25">
      <c r="R4248" s="13">
        <v>4175</v>
      </c>
      <c r="S4248" s="13">
        <v>0</v>
      </c>
    </row>
    <row r="4249" spans="18:19" x14ac:dyDescent="0.25">
      <c r="R4249" s="13">
        <v>4176</v>
      </c>
      <c r="S4249" s="13">
        <v>0</v>
      </c>
    </row>
    <row r="4250" spans="18:19" x14ac:dyDescent="0.25">
      <c r="R4250" s="13">
        <v>4177</v>
      </c>
      <c r="S4250" s="13">
        <v>0</v>
      </c>
    </row>
    <row r="4251" spans="18:19" x14ac:dyDescent="0.25">
      <c r="R4251" s="13">
        <v>4178</v>
      </c>
      <c r="S4251" s="13">
        <v>0</v>
      </c>
    </row>
    <row r="4252" spans="18:19" x14ac:dyDescent="0.25">
      <c r="R4252" s="13">
        <v>4179</v>
      </c>
      <c r="S4252" s="13">
        <v>0</v>
      </c>
    </row>
    <row r="4253" spans="18:19" x14ac:dyDescent="0.25">
      <c r="R4253" s="13">
        <v>4180</v>
      </c>
      <c r="S4253" s="13">
        <v>0</v>
      </c>
    </row>
    <row r="4254" spans="18:19" x14ac:dyDescent="0.25">
      <c r="R4254" s="13">
        <v>4181</v>
      </c>
      <c r="S4254" s="13">
        <v>231742722.32316589</v>
      </c>
    </row>
    <row r="4255" spans="18:19" x14ac:dyDescent="0.25">
      <c r="R4255" s="13">
        <v>4182</v>
      </c>
      <c r="S4255" s="13">
        <v>173052025.99328041</v>
      </c>
    </row>
    <row r="4256" spans="18:19" x14ac:dyDescent="0.25">
      <c r="R4256" s="13">
        <v>4183</v>
      </c>
      <c r="S4256" s="13">
        <v>0</v>
      </c>
    </row>
    <row r="4257" spans="18:19" x14ac:dyDescent="0.25">
      <c r="R4257" s="13">
        <v>4184</v>
      </c>
      <c r="S4257" s="13">
        <v>0</v>
      </c>
    </row>
    <row r="4258" spans="18:19" x14ac:dyDescent="0.25">
      <c r="R4258" s="13">
        <v>4185</v>
      </c>
      <c r="S4258" s="13">
        <v>90178367.730239868</v>
      </c>
    </row>
    <row r="4259" spans="18:19" x14ac:dyDescent="0.25">
      <c r="R4259" s="13">
        <v>4186</v>
      </c>
      <c r="S4259" s="13">
        <v>328464304.80718422</v>
      </c>
    </row>
    <row r="4260" spans="18:19" x14ac:dyDescent="0.25">
      <c r="R4260" s="13">
        <v>4187</v>
      </c>
      <c r="S4260" s="13">
        <v>0</v>
      </c>
    </row>
    <row r="4261" spans="18:19" x14ac:dyDescent="0.25">
      <c r="R4261" s="13">
        <v>4188</v>
      </c>
      <c r="S4261" s="13">
        <v>0</v>
      </c>
    </row>
    <row r="4262" spans="18:19" x14ac:dyDescent="0.25">
      <c r="R4262" s="13">
        <v>4189</v>
      </c>
      <c r="S4262" s="13">
        <v>401346790.45197296</v>
      </c>
    </row>
    <row r="4263" spans="18:19" x14ac:dyDescent="0.25">
      <c r="R4263" s="13">
        <v>4190</v>
      </c>
      <c r="S4263" s="13">
        <v>0</v>
      </c>
    </row>
    <row r="4264" spans="18:19" x14ac:dyDescent="0.25">
      <c r="R4264" s="13">
        <v>4191</v>
      </c>
      <c r="S4264" s="13">
        <v>0</v>
      </c>
    </row>
    <row r="4265" spans="18:19" x14ac:dyDescent="0.25">
      <c r="R4265" s="13">
        <v>4192</v>
      </c>
      <c r="S4265" s="13">
        <v>294395575.50331306</v>
      </c>
    </row>
    <row r="4266" spans="18:19" x14ac:dyDescent="0.25">
      <c r="R4266" s="13">
        <v>4193</v>
      </c>
      <c r="S4266" s="13">
        <v>0</v>
      </c>
    </row>
    <row r="4267" spans="18:19" x14ac:dyDescent="0.25">
      <c r="R4267" s="13">
        <v>4194</v>
      </c>
      <c r="S4267" s="13">
        <v>0</v>
      </c>
    </row>
    <row r="4268" spans="18:19" x14ac:dyDescent="0.25">
      <c r="R4268" s="13">
        <v>4195</v>
      </c>
      <c r="S4268" s="13">
        <v>0</v>
      </c>
    </row>
    <row r="4269" spans="18:19" x14ac:dyDescent="0.25">
      <c r="R4269" s="13">
        <v>4196</v>
      </c>
      <c r="S4269" s="13">
        <v>0</v>
      </c>
    </row>
    <row r="4270" spans="18:19" x14ac:dyDescent="0.25">
      <c r="R4270" s="13">
        <v>4197</v>
      </c>
      <c r="S4270" s="13">
        <v>0</v>
      </c>
    </row>
    <row r="4271" spans="18:19" x14ac:dyDescent="0.25">
      <c r="R4271" s="13">
        <v>4198</v>
      </c>
      <c r="S4271" s="13">
        <v>0</v>
      </c>
    </row>
    <row r="4272" spans="18:19" x14ac:dyDescent="0.25">
      <c r="R4272" s="13">
        <v>4199</v>
      </c>
      <c r="S4272" s="13">
        <v>0</v>
      </c>
    </row>
    <row r="4273" spans="18:19" x14ac:dyDescent="0.25">
      <c r="R4273" s="13">
        <v>4200</v>
      </c>
      <c r="S4273" s="13">
        <v>0</v>
      </c>
    </row>
    <row r="4274" spans="18:19" x14ac:dyDescent="0.25">
      <c r="R4274" s="13">
        <v>4201</v>
      </c>
      <c r="S4274" s="13">
        <v>0</v>
      </c>
    </row>
    <row r="4275" spans="18:19" x14ac:dyDescent="0.25">
      <c r="R4275" s="13">
        <v>4202</v>
      </c>
      <c r="S4275" s="13">
        <v>0</v>
      </c>
    </row>
    <row r="4276" spans="18:19" x14ac:dyDescent="0.25">
      <c r="R4276" s="13">
        <v>4203</v>
      </c>
      <c r="S4276" s="13">
        <v>622343716.56203079</v>
      </c>
    </row>
    <row r="4277" spans="18:19" x14ac:dyDescent="0.25">
      <c r="R4277" s="13">
        <v>4204</v>
      </c>
      <c r="S4277" s="13">
        <v>0</v>
      </c>
    </row>
    <row r="4278" spans="18:19" x14ac:dyDescent="0.25">
      <c r="R4278" s="13">
        <v>4205</v>
      </c>
      <c r="S4278" s="13">
        <v>515148169.76485634</v>
      </c>
    </row>
    <row r="4279" spans="18:19" x14ac:dyDescent="0.25">
      <c r="R4279" s="13">
        <v>4206</v>
      </c>
      <c r="S4279" s="13">
        <v>390849453.9910984</v>
      </c>
    </row>
    <row r="4280" spans="18:19" x14ac:dyDescent="0.25">
      <c r="R4280" s="13">
        <v>4207</v>
      </c>
      <c r="S4280" s="13">
        <v>0</v>
      </c>
    </row>
    <row r="4281" spans="18:19" x14ac:dyDescent="0.25">
      <c r="R4281" s="13">
        <v>4208</v>
      </c>
      <c r="S4281" s="13">
        <v>0</v>
      </c>
    </row>
    <row r="4282" spans="18:19" x14ac:dyDescent="0.25">
      <c r="R4282" s="13">
        <v>4209</v>
      </c>
      <c r="S4282" s="13">
        <v>0</v>
      </c>
    </row>
    <row r="4283" spans="18:19" x14ac:dyDescent="0.25">
      <c r="R4283" s="13">
        <v>4210</v>
      </c>
      <c r="S4283" s="13">
        <v>0</v>
      </c>
    </row>
    <row r="4284" spans="18:19" x14ac:dyDescent="0.25">
      <c r="R4284" s="13">
        <v>4211</v>
      </c>
      <c r="S4284" s="13">
        <v>705667911.67383957</v>
      </c>
    </row>
    <row r="4285" spans="18:19" x14ac:dyDescent="0.25">
      <c r="R4285" s="13">
        <v>4212</v>
      </c>
      <c r="S4285" s="13">
        <v>0</v>
      </c>
    </row>
    <row r="4286" spans="18:19" x14ac:dyDescent="0.25">
      <c r="R4286" s="13">
        <v>4213</v>
      </c>
      <c r="S4286" s="13">
        <v>0</v>
      </c>
    </row>
    <row r="4287" spans="18:19" x14ac:dyDescent="0.25">
      <c r="R4287" s="13">
        <v>4214</v>
      </c>
      <c r="S4287" s="13">
        <v>682251534.77296448</v>
      </c>
    </row>
    <row r="4288" spans="18:19" x14ac:dyDescent="0.25">
      <c r="R4288" s="13">
        <v>4215</v>
      </c>
      <c r="S4288" s="13">
        <v>143604615.27518845</v>
      </c>
    </row>
    <row r="4289" spans="18:19" x14ac:dyDescent="0.25">
      <c r="R4289" s="13">
        <v>4216</v>
      </c>
      <c r="S4289" s="13">
        <v>0</v>
      </c>
    </row>
    <row r="4290" spans="18:19" x14ac:dyDescent="0.25">
      <c r="R4290" s="13">
        <v>4217</v>
      </c>
      <c r="S4290" s="13">
        <v>0</v>
      </c>
    </row>
    <row r="4291" spans="18:19" x14ac:dyDescent="0.25">
      <c r="R4291" s="13">
        <v>4218</v>
      </c>
      <c r="S4291" s="13">
        <v>0</v>
      </c>
    </row>
    <row r="4292" spans="18:19" x14ac:dyDescent="0.25">
      <c r="R4292" s="13">
        <v>4219</v>
      </c>
      <c r="S4292" s="13">
        <v>118253800.43751907</v>
      </c>
    </row>
    <row r="4293" spans="18:19" x14ac:dyDescent="0.25">
      <c r="R4293" s="13">
        <v>4220</v>
      </c>
      <c r="S4293" s="13">
        <v>0</v>
      </c>
    </row>
    <row r="4294" spans="18:19" x14ac:dyDescent="0.25">
      <c r="R4294" s="13">
        <v>4221</v>
      </c>
      <c r="S4294" s="13">
        <v>874701305.76624298</v>
      </c>
    </row>
    <row r="4295" spans="18:19" x14ac:dyDescent="0.25">
      <c r="R4295" s="13">
        <v>4222</v>
      </c>
      <c r="S4295" s="13">
        <v>0</v>
      </c>
    </row>
    <row r="4296" spans="18:19" x14ac:dyDescent="0.25">
      <c r="R4296" s="13">
        <v>4223</v>
      </c>
      <c r="S4296" s="13">
        <v>250836995.47691345</v>
      </c>
    </row>
    <row r="4297" spans="18:19" x14ac:dyDescent="0.25">
      <c r="R4297" s="13">
        <v>4224</v>
      </c>
      <c r="S4297" s="13">
        <v>0</v>
      </c>
    </row>
    <row r="4298" spans="18:19" x14ac:dyDescent="0.25">
      <c r="R4298" s="13">
        <v>4225</v>
      </c>
      <c r="S4298" s="13">
        <v>0</v>
      </c>
    </row>
    <row r="4299" spans="18:19" x14ac:dyDescent="0.25">
      <c r="R4299" s="13">
        <v>4226</v>
      </c>
      <c r="S4299" s="13">
        <v>81906854.357851028</v>
      </c>
    </row>
    <row r="4300" spans="18:19" x14ac:dyDescent="0.25">
      <c r="R4300" s="13">
        <v>4227</v>
      </c>
      <c r="S4300" s="13">
        <v>0</v>
      </c>
    </row>
    <row r="4301" spans="18:19" x14ac:dyDescent="0.25">
      <c r="R4301" s="13">
        <v>4228</v>
      </c>
      <c r="S4301" s="13">
        <v>0</v>
      </c>
    </row>
    <row r="4302" spans="18:19" x14ac:dyDescent="0.25">
      <c r="R4302" s="13">
        <v>4229</v>
      </c>
      <c r="S4302" s="13">
        <v>0</v>
      </c>
    </row>
    <row r="4303" spans="18:19" x14ac:dyDescent="0.25">
      <c r="R4303" s="13">
        <v>4230</v>
      </c>
      <c r="S4303" s="13">
        <v>86475806.826982498</v>
      </c>
    </row>
    <row r="4304" spans="18:19" x14ac:dyDescent="0.25">
      <c r="R4304" s="13">
        <v>4231</v>
      </c>
      <c r="S4304" s="13">
        <v>0</v>
      </c>
    </row>
    <row r="4305" spans="18:19" x14ac:dyDescent="0.25">
      <c r="R4305" s="13">
        <v>4232</v>
      </c>
      <c r="S4305" s="13">
        <v>54527474.523115158</v>
      </c>
    </row>
    <row r="4306" spans="18:19" x14ac:dyDescent="0.25">
      <c r="R4306" s="13">
        <v>4233</v>
      </c>
      <c r="S4306" s="13">
        <v>0</v>
      </c>
    </row>
    <row r="4307" spans="18:19" x14ac:dyDescent="0.25">
      <c r="R4307" s="13">
        <v>4234</v>
      </c>
      <c r="S4307" s="13">
        <v>35376680.268920898</v>
      </c>
    </row>
    <row r="4308" spans="18:19" x14ac:dyDescent="0.25">
      <c r="R4308" s="13">
        <v>4235</v>
      </c>
      <c r="S4308" s="13">
        <v>0</v>
      </c>
    </row>
    <row r="4309" spans="18:19" x14ac:dyDescent="0.25">
      <c r="R4309" s="13">
        <v>4236</v>
      </c>
      <c r="S4309" s="13">
        <v>0</v>
      </c>
    </row>
    <row r="4310" spans="18:19" x14ac:dyDescent="0.25">
      <c r="R4310" s="13">
        <v>4237</v>
      </c>
      <c r="S4310" s="13">
        <v>378683649.89994812</v>
      </c>
    </row>
    <row r="4311" spans="18:19" x14ac:dyDescent="0.25">
      <c r="R4311" s="13">
        <v>4238</v>
      </c>
      <c r="S4311" s="13">
        <v>0</v>
      </c>
    </row>
    <row r="4312" spans="18:19" x14ac:dyDescent="0.25">
      <c r="R4312" s="13">
        <v>4239</v>
      </c>
      <c r="S4312" s="13">
        <v>0</v>
      </c>
    </row>
    <row r="4313" spans="18:19" x14ac:dyDescent="0.25">
      <c r="R4313" s="13">
        <v>4240</v>
      </c>
      <c r="S4313" s="13">
        <v>0</v>
      </c>
    </row>
    <row r="4314" spans="18:19" x14ac:dyDescent="0.25">
      <c r="R4314" s="13">
        <v>4241</v>
      </c>
      <c r="S4314" s="13">
        <v>0</v>
      </c>
    </row>
    <row r="4315" spans="18:19" x14ac:dyDescent="0.25">
      <c r="R4315" s="13">
        <v>4242</v>
      </c>
      <c r="S4315" s="13">
        <v>47116798.828819275</v>
      </c>
    </row>
    <row r="4316" spans="18:19" x14ac:dyDescent="0.25">
      <c r="R4316" s="13">
        <v>4243</v>
      </c>
      <c r="S4316" s="13">
        <v>320277024.10766792</v>
      </c>
    </row>
    <row r="4317" spans="18:19" x14ac:dyDescent="0.25">
      <c r="R4317" s="13">
        <v>4244</v>
      </c>
      <c r="S4317" s="13">
        <v>0</v>
      </c>
    </row>
    <row r="4318" spans="18:19" x14ac:dyDescent="0.25">
      <c r="R4318" s="13">
        <v>4245</v>
      </c>
      <c r="S4318" s="13">
        <v>0</v>
      </c>
    </row>
    <row r="4319" spans="18:19" x14ac:dyDescent="0.25">
      <c r="R4319" s="13">
        <v>4246</v>
      </c>
      <c r="S4319" s="13">
        <v>91544688.166007996</v>
      </c>
    </row>
    <row r="4320" spans="18:19" x14ac:dyDescent="0.25">
      <c r="R4320" s="13">
        <v>4247</v>
      </c>
      <c r="S4320" s="13">
        <v>256325454.10886383</v>
      </c>
    </row>
    <row r="4321" spans="18:19" x14ac:dyDescent="0.25">
      <c r="R4321" s="13">
        <v>4248</v>
      </c>
      <c r="S4321" s="13">
        <v>0</v>
      </c>
    </row>
    <row r="4322" spans="18:19" x14ac:dyDescent="0.25">
      <c r="R4322" s="13">
        <v>4249</v>
      </c>
      <c r="S4322" s="13">
        <v>0</v>
      </c>
    </row>
    <row r="4323" spans="18:19" x14ac:dyDescent="0.25">
      <c r="R4323" s="13">
        <v>4250</v>
      </c>
      <c r="S4323" s="13">
        <v>132966695.07760429</v>
      </c>
    </row>
    <row r="4324" spans="18:19" x14ac:dyDescent="0.25">
      <c r="R4324" s="13">
        <v>4251</v>
      </c>
      <c r="S4324" s="13">
        <v>0</v>
      </c>
    </row>
    <row r="4325" spans="18:19" x14ac:dyDescent="0.25">
      <c r="R4325" s="13">
        <v>4252</v>
      </c>
      <c r="S4325" s="13">
        <v>0</v>
      </c>
    </row>
    <row r="4326" spans="18:19" x14ac:dyDescent="0.25">
      <c r="R4326" s="13">
        <v>4253</v>
      </c>
      <c r="S4326" s="13">
        <v>0</v>
      </c>
    </row>
    <row r="4327" spans="18:19" x14ac:dyDescent="0.25">
      <c r="R4327" s="13">
        <v>4254</v>
      </c>
      <c r="S4327" s="13">
        <v>0</v>
      </c>
    </row>
    <row r="4328" spans="18:19" x14ac:dyDescent="0.25">
      <c r="R4328" s="13">
        <v>4255</v>
      </c>
      <c r="S4328" s="13">
        <v>0</v>
      </c>
    </row>
    <row r="4329" spans="18:19" x14ac:dyDescent="0.25">
      <c r="R4329" s="13">
        <v>4256</v>
      </c>
      <c r="S4329" s="13">
        <v>0</v>
      </c>
    </row>
    <row r="4330" spans="18:19" x14ac:dyDescent="0.25">
      <c r="R4330" s="13">
        <v>4257</v>
      </c>
      <c r="S4330" s="13">
        <v>0</v>
      </c>
    </row>
    <row r="4331" spans="18:19" x14ac:dyDescent="0.25">
      <c r="R4331" s="13">
        <v>4258</v>
      </c>
      <c r="S4331" s="13">
        <v>0</v>
      </c>
    </row>
    <row r="4332" spans="18:19" x14ac:dyDescent="0.25">
      <c r="R4332" s="13">
        <v>4259</v>
      </c>
      <c r="S4332" s="13">
        <v>0</v>
      </c>
    </row>
    <row r="4333" spans="18:19" x14ac:dyDescent="0.25">
      <c r="R4333" s="13">
        <v>4260</v>
      </c>
      <c r="S4333" s="13">
        <v>0</v>
      </c>
    </row>
    <row r="4334" spans="18:19" x14ac:dyDescent="0.25">
      <c r="R4334" s="13">
        <v>4261</v>
      </c>
      <c r="S4334" s="13">
        <v>140734939.16695786</v>
      </c>
    </row>
    <row r="4335" spans="18:19" x14ac:dyDescent="0.25">
      <c r="R4335" s="13">
        <v>4262</v>
      </c>
      <c r="S4335" s="13">
        <v>0</v>
      </c>
    </row>
    <row r="4336" spans="18:19" x14ac:dyDescent="0.25">
      <c r="R4336" s="13">
        <v>4263</v>
      </c>
      <c r="S4336" s="13">
        <v>182114719.14962769</v>
      </c>
    </row>
    <row r="4337" spans="18:19" x14ac:dyDescent="0.25">
      <c r="R4337" s="13">
        <v>4264</v>
      </c>
      <c r="S4337" s="13">
        <v>125125658.89933205</v>
      </c>
    </row>
    <row r="4338" spans="18:19" x14ac:dyDescent="0.25">
      <c r="R4338" s="13">
        <v>4265</v>
      </c>
      <c r="S4338" s="13">
        <v>0</v>
      </c>
    </row>
    <row r="4339" spans="18:19" x14ac:dyDescent="0.25">
      <c r="R4339" s="13">
        <v>4266</v>
      </c>
      <c r="S4339" s="13">
        <v>0</v>
      </c>
    </row>
    <row r="4340" spans="18:19" x14ac:dyDescent="0.25">
      <c r="R4340" s="13">
        <v>4267</v>
      </c>
      <c r="S4340" s="13">
        <v>0</v>
      </c>
    </row>
    <row r="4341" spans="18:19" x14ac:dyDescent="0.25">
      <c r="R4341" s="13">
        <v>4268</v>
      </c>
      <c r="S4341" s="13">
        <v>0</v>
      </c>
    </row>
    <row r="4342" spans="18:19" x14ac:dyDescent="0.25">
      <c r="R4342" s="13">
        <v>4269</v>
      </c>
      <c r="S4342" s="13">
        <v>0</v>
      </c>
    </row>
    <row r="4343" spans="18:19" x14ac:dyDescent="0.25">
      <c r="R4343" s="13">
        <v>4270</v>
      </c>
      <c r="S4343" s="13">
        <v>0</v>
      </c>
    </row>
    <row r="4344" spans="18:19" x14ac:dyDescent="0.25">
      <c r="R4344" s="13">
        <v>4271</v>
      </c>
      <c r="S4344" s="13">
        <v>0</v>
      </c>
    </row>
    <row r="4345" spans="18:19" x14ac:dyDescent="0.25">
      <c r="R4345" s="13">
        <v>4272</v>
      </c>
      <c r="S4345" s="13">
        <v>5996272.5690307617</v>
      </c>
    </row>
    <row r="4346" spans="18:19" x14ac:dyDescent="0.25">
      <c r="R4346" s="13">
        <v>4273</v>
      </c>
      <c r="S4346" s="13">
        <v>0</v>
      </c>
    </row>
    <row r="4347" spans="18:19" x14ac:dyDescent="0.25">
      <c r="R4347" s="13">
        <v>4274</v>
      </c>
      <c r="S4347" s="13">
        <v>0</v>
      </c>
    </row>
    <row r="4348" spans="18:19" x14ac:dyDescent="0.25">
      <c r="R4348" s="13">
        <v>4275</v>
      </c>
      <c r="S4348" s="13">
        <v>0</v>
      </c>
    </row>
    <row r="4349" spans="18:19" x14ac:dyDescent="0.25">
      <c r="R4349" s="13">
        <v>4276</v>
      </c>
      <c r="S4349" s="13">
        <v>0</v>
      </c>
    </row>
    <row r="4350" spans="18:19" x14ac:dyDescent="0.25">
      <c r="R4350" s="13">
        <v>4277</v>
      </c>
      <c r="S4350" s="13">
        <v>0</v>
      </c>
    </row>
    <row r="4351" spans="18:19" x14ac:dyDescent="0.25">
      <c r="R4351" s="13">
        <v>4278</v>
      </c>
      <c r="S4351" s="13">
        <v>306513969.66896629</v>
      </c>
    </row>
    <row r="4352" spans="18:19" x14ac:dyDescent="0.25">
      <c r="R4352" s="13">
        <v>4279</v>
      </c>
      <c r="S4352" s="13">
        <v>0</v>
      </c>
    </row>
    <row r="4353" spans="18:19" x14ac:dyDescent="0.25">
      <c r="R4353" s="13">
        <v>4280</v>
      </c>
      <c r="S4353" s="13">
        <v>934513654.52191544</v>
      </c>
    </row>
    <row r="4354" spans="18:19" x14ac:dyDescent="0.25">
      <c r="R4354" s="13">
        <v>4281</v>
      </c>
      <c r="S4354" s="13">
        <v>0</v>
      </c>
    </row>
    <row r="4355" spans="18:19" x14ac:dyDescent="0.25">
      <c r="R4355" s="13">
        <v>4282</v>
      </c>
      <c r="S4355" s="13">
        <v>0</v>
      </c>
    </row>
    <row r="4356" spans="18:19" x14ac:dyDescent="0.25">
      <c r="R4356" s="13">
        <v>4283</v>
      </c>
      <c r="S4356" s="13">
        <v>0</v>
      </c>
    </row>
    <row r="4357" spans="18:19" x14ac:dyDescent="0.25">
      <c r="R4357" s="13">
        <v>4284</v>
      </c>
      <c r="S4357" s="13">
        <v>0</v>
      </c>
    </row>
    <row r="4358" spans="18:19" x14ac:dyDescent="0.25">
      <c r="R4358" s="13">
        <v>4285</v>
      </c>
      <c r="S4358" s="13">
        <v>0</v>
      </c>
    </row>
    <row r="4359" spans="18:19" x14ac:dyDescent="0.25">
      <c r="R4359" s="13">
        <v>4286</v>
      </c>
      <c r="S4359" s="13">
        <v>0</v>
      </c>
    </row>
    <row r="4360" spans="18:19" x14ac:dyDescent="0.25">
      <c r="R4360" s="13">
        <v>4287</v>
      </c>
      <c r="S4360" s="13">
        <v>0</v>
      </c>
    </row>
    <row r="4361" spans="18:19" x14ac:dyDescent="0.25">
      <c r="R4361" s="13">
        <v>4288</v>
      </c>
      <c r="S4361" s="13">
        <v>0</v>
      </c>
    </row>
    <row r="4362" spans="18:19" x14ac:dyDescent="0.25">
      <c r="R4362" s="13">
        <v>4289</v>
      </c>
      <c r="S4362" s="13">
        <v>0</v>
      </c>
    </row>
    <row r="4363" spans="18:19" x14ac:dyDescent="0.25">
      <c r="R4363" s="13">
        <v>4290</v>
      </c>
      <c r="S4363" s="13">
        <v>0</v>
      </c>
    </row>
    <row r="4364" spans="18:19" x14ac:dyDescent="0.25">
      <c r="R4364" s="13">
        <v>4291</v>
      </c>
      <c r="S4364" s="13">
        <v>0</v>
      </c>
    </row>
    <row r="4365" spans="18:19" x14ac:dyDescent="0.25">
      <c r="R4365" s="13">
        <v>4292</v>
      </c>
      <c r="S4365" s="13">
        <v>0</v>
      </c>
    </row>
    <row r="4366" spans="18:19" x14ac:dyDescent="0.25">
      <c r="R4366" s="13">
        <v>4293</v>
      </c>
      <c r="S4366" s="13">
        <v>0</v>
      </c>
    </row>
    <row r="4367" spans="18:19" x14ac:dyDescent="0.25">
      <c r="R4367" s="13">
        <v>4294</v>
      </c>
      <c r="S4367" s="13">
        <v>0</v>
      </c>
    </row>
    <row r="4368" spans="18:19" x14ac:dyDescent="0.25">
      <c r="R4368" s="13">
        <v>4295</v>
      </c>
      <c r="S4368" s="13">
        <v>0</v>
      </c>
    </row>
    <row r="4369" spans="18:19" x14ac:dyDescent="0.25">
      <c r="R4369" s="13">
        <v>4296</v>
      </c>
      <c r="S4369" s="13">
        <v>0</v>
      </c>
    </row>
    <row r="4370" spans="18:19" x14ac:dyDescent="0.25">
      <c r="R4370" s="13">
        <v>4297</v>
      </c>
      <c r="S4370" s="13">
        <v>0</v>
      </c>
    </row>
    <row r="4371" spans="18:19" x14ac:dyDescent="0.25">
      <c r="R4371" s="13">
        <v>4298</v>
      </c>
      <c r="S4371" s="13">
        <v>0</v>
      </c>
    </row>
    <row r="4372" spans="18:19" x14ac:dyDescent="0.25">
      <c r="R4372" s="13">
        <v>4299</v>
      </c>
      <c r="S4372" s="13">
        <v>0</v>
      </c>
    </row>
    <row r="4373" spans="18:19" x14ac:dyDescent="0.25">
      <c r="R4373" s="13">
        <v>4300</v>
      </c>
      <c r="S4373" s="13">
        <v>0</v>
      </c>
    </row>
    <row r="4374" spans="18:19" x14ac:dyDescent="0.25">
      <c r="R4374" s="13">
        <v>4301</v>
      </c>
      <c r="S4374" s="13">
        <v>0</v>
      </c>
    </row>
    <row r="4375" spans="18:19" x14ac:dyDescent="0.25">
      <c r="R4375" s="13">
        <v>4302</v>
      </c>
      <c r="S4375" s="13">
        <v>699762765.46567154</v>
      </c>
    </row>
    <row r="4376" spans="18:19" x14ac:dyDescent="0.25">
      <c r="R4376" s="13">
        <v>4303</v>
      </c>
      <c r="S4376" s="13">
        <v>0</v>
      </c>
    </row>
    <row r="4377" spans="18:19" x14ac:dyDescent="0.25">
      <c r="R4377" s="13">
        <v>4304</v>
      </c>
      <c r="S4377" s="13">
        <v>0</v>
      </c>
    </row>
    <row r="4378" spans="18:19" x14ac:dyDescent="0.25">
      <c r="R4378" s="13">
        <v>4305</v>
      </c>
      <c r="S4378" s="13">
        <v>502369826.5937233</v>
      </c>
    </row>
    <row r="4379" spans="18:19" x14ac:dyDescent="0.25">
      <c r="R4379" s="13">
        <v>4306</v>
      </c>
      <c r="S4379" s="13">
        <v>0</v>
      </c>
    </row>
    <row r="4380" spans="18:19" x14ac:dyDescent="0.25">
      <c r="R4380" s="13">
        <v>4307</v>
      </c>
      <c r="S4380" s="13">
        <v>0</v>
      </c>
    </row>
    <row r="4381" spans="18:19" x14ac:dyDescent="0.25">
      <c r="R4381" s="13">
        <v>4308</v>
      </c>
      <c r="S4381" s="13">
        <v>0</v>
      </c>
    </row>
    <row r="4382" spans="18:19" x14ac:dyDescent="0.25">
      <c r="R4382" s="13">
        <v>4309</v>
      </c>
      <c r="S4382" s="13">
        <v>0</v>
      </c>
    </row>
    <row r="4383" spans="18:19" x14ac:dyDescent="0.25">
      <c r="R4383" s="13">
        <v>4310</v>
      </c>
      <c r="S4383" s="13">
        <v>0</v>
      </c>
    </row>
    <row r="4384" spans="18:19" x14ac:dyDescent="0.25">
      <c r="R4384" s="13">
        <v>4311</v>
      </c>
      <c r="S4384" s="13">
        <v>0</v>
      </c>
    </row>
    <row r="4385" spans="18:19" x14ac:dyDescent="0.25">
      <c r="R4385" s="13">
        <v>4312</v>
      </c>
      <c r="S4385" s="13">
        <v>825960066.2243309</v>
      </c>
    </row>
    <row r="4386" spans="18:19" x14ac:dyDescent="0.25">
      <c r="R4386" s="13">
        <v>4313</v>
      </c>
      <c r="S4386" s="13">
        <v>0</v>
      </c>
    </row>
    <row r="4387" spans="18:19" x14ac:dyDescent="0.25">
      <c r="R4387" s="13">
        <v>4314</v>
      </c>
      <c r="S4387" s="13">
        <v>0</v>
      </c>
    </row>
    <row r="4388" spans="18:19" x14ac:dyDescent="0.25">
      <c r="R4388" s="13">
        <v>4315</v>
      </c>
      <c r="S4388" s="13">
        <v>0</v>
      </c>
    </row>
    <row r="4389" spans="18:19" x14ac:dyDescent="0.25">
      <c r="R4389" s="13">
        <v>4316</v>
      </c>
      <c r="S4389" s="13">
        <v>0</v>
      </c>
    </row>
    <row r="4390" spans="18:19" x14ac:dyDescent="0.25">
      <c r="R4390" s="13">
        <v>4317</v>
      </c>
      <c r="S4390" s="13">
        <v>175422104.68757439</v>
      </c>
    </row>
    <row r="4391" spans="18:19" x14ac:dyDescent="0.25">
      <c r="R4391" s="13">
        <v>4318</v>
      </c>
      <c r="S4391" s="13">
        <v>0</v>
      </c>
    </row>
    <row r="4392" spans="18:19" x14ac:dyDescent="0.25">
      <c r="R4392" s="13">
        <v>4319</v>
      </c>
      <c r="S4392" s="13">
        <v>318815041.94463921</v>
      </c>
    </row>
    <row r="4393" spans="18:19" x14ac:dyDescent="0.25">
      <c r="R4393" s="13">
        <v>4320</v>
      </c>
      <c r="S4393" s="13">
        <v>0</v>
      </c>
    </row>
    <row r="4394" spans="18:19" x14ac:dyDescent="0.25">
      <c r="R4394" s="13">
        <v>4321</v>
      </c>
      <c r="S4394" s="13">
        <v>0</v>
      </c>
    </row>
    <row r="4395" spans="18:19" x14ac:dyDescent="0.25">
      <c r="R4395" s="13">
        <v>4322</v>
      </c>
      <c r="S4395" s="13">
        <v>0</v>
      </c>
    </row>
    <row r="4396" spans="18:19" x14ac:dyDescent="0.25">
      <c r="R4396" s="13">
        <v>4323</v>
      </c>
      <c r="S4396" s="13">
        <v>0</v>
      </c>
    </row>
    <row r="4397" spans="18:19" x14ac:dyDescent="0.25">
      <c r="R4397" s="13">
        <v>4324</v>
      </c>
      <c r="S4397" s="13">
        <v>0</v>
      </c>
    </row>
    <row r="4398" spans="18:19" x14ac:dyDescent="0.25">
      <c r="R4398" s="13">
        <v>4325</v>
      </c>
      <c r="S4398" s="13">
        <v>32951652.545183182</v>
      </c>
    </row>
    <row r="4399" spans="18:19" x14ac:dyDescent="0.25">
      <c r="R4399" s="13">
        <v>4326</v>
      </c>
      <c r="S4399" s="13">
        <v>348745119.97485924</v>
      </c>
    </row>
    <row r="4400" spans="18:19" x14ac:dyDescent="0.25">
      <c r="R4400" s="13">
        <v>4327</v>
      </c>
      <c r="S4400" s="13">
        <v>165682153.4740181</v>
      </c>
    </row>
    <row r="4401" spans="18:19" x14ac:dyDescent="0.25">
      <c r="R4401" s="13">
        <v>4328</v>
      </c>
      <c r="S4401" s="13">
        <v>0</v>
      </c>
    </row>
    <row r="4402" spans="18:19" x14ac:dyDescent="0.25">
      <c r="R4402" s="13">
        <v>4329</v>
      </c>
      <c r="S4402" s="13">
        <v>0</v>
      </c>
    </row>
    <row r="4403" spans="18:19" x14ac:dyDescent="0.25">
      <c r="R4403" s="13">
        <v>4330</v>
      </c>
      <c r="S4403" s="13">
        <v>327606241.19438553</v>
      </c>
    </row>
    <row r="4404" spans="18:19" x14ac:dyDescent="0.25">
      <c r="R4404" s="13">
        <v>4331</v>
      </c>
      <c r="S4404" s="13">
        <v>392174789.98615646</v>
      </c>
    </row>
    <row r="4405" spans="18:19" x14ac:dyDescent="0.25">
      <c r="R4405" s="13">
        <v>4332</v>
      </c>
      <c r="S4405" s="13">
        <v>0</v>
      </c>
    </row>
    <row r="4406" spans="18:19" x14ac:dyDescent="0.25">
      <c r="R4406" s="13">
        <v>4333</v>
      </c>
      <c r="S4406" s="13">
        <v>433678899.61172485</v>
      </c>
    </row>
    <row r="4407" spans="18:19" x14ac:dyDescent="0.25">
      <c r="R4407" s="13">
        <v>4334</v>
      </c>
      <c r="S4407" s="13">
        <v>407296110.09916306</v>
      </c>
    </row>
    <row r="4408" spans="18:19" x14ac:dyDescent="0.25">
      <c r="R4408" s="13">
        <v>4335</v>
      </c>
      <c r="S4408" s="13">
        <v>921834122.35488129</v>
      </c>
    </row>
    <row r="4409" spans="18:19" x14ac:dyDescent="0.25">
      <c r="R4409" s="13">
        <v>4336</v>
      </c>
      <c r="S4409" s="13">
        <v>0</v>
      </c>
    </row>
    <row r="4410" spans="18:19" x14ac:dyDescent="0.25">
      <c r="R4410" s="13">
        <v>4337</v>
      </c>
      <c r="S4410" s="13">
        <v>0</v>
      </c>
    </row>
    <row r="4411" spans="18:19" x14ac:dyDescent="0.25">
      <c r="R4411" s="13">
        <v>4338</v>
      </c>
      <c r="S4411" s="13">
        <v>0</v>
      </c>
    </row>
    <row r="4412" spans="18:19" x14ac:dyDescent="0.25">
      <c r="R4412" s="13">
        <v>4339</v>
      </c>
      <c r="S4412" s="13">
        <v>0</v>
      </c>
    </row>
    <row r="4413" spans="18:19" x14ac:dyDescent="0.25">
      <c r="R4413" s="13">
        <v>4340</v>
      </c>
      <c r="S4413" s="13">
        <v>0</v>
      </c>
    </row>
    <row r="4414" spans="18:19" x14ac:dyDescent="0.25">
      <c r="R4414" s="13">
        <v>4341</v>
      </c>
      <c r="S4414" s="13">
        <v>0</v>
      </c>
    </row>
    <row r="4415" spans="18:19" x14ac:dyDescent="0.25">
      <c r="R4415" s="13">
        <v>4342</v>
      </c>
      <c r="S4415" s="13">
        <v>83882252.498971939</v>
      </c>
    </row>
    <row r="4416" spans="18:19" x14ac:dyDescent="0.25">
      <c r="R4416" s="13">
        <v>4343</v>
      </c>
      <c r="S4416" s="13">
        <v>0</v>
      </c>
    </row>
    <row r="4417" spans="18:19" x14ac:dyDescent="0.25">
      <c r="R4417" s="13">
        <v>4344</v>
      </c>
      <c r="S4417" s="13">
        <v>0</v>
      </c>
    </row>
    <row r="4418" spans="18:19" x14ac:dyDescent="0.25">
      <c r="R4418" s="13">
        <v>4345</v>
      </c>
      <c r="S4418" s="13">
        <v>591836881.71660614</v>
      </c>
    </row>
    <row r="4419" spans="18:19" x14ac:dyDescent="0.25">
      <c r="R4419" s="13">
        <v>4346</v>
      </c>
      <c r="S4419" s="13">
        <v>0</v>
      </c>
    </row>
    <row r="4420" spans="18:19" x14ac:dyDescent="0.25">
      <c r="R4420" s="13">
        <v>4347</v>
      </c>
      <c r="S4420" s="13">
        <v>0</v>
      </c>
    </row>
    <row r="4421" spans="18:19" x14ac:dyDescent="0.25">
      <c r="R4421" s="13">
        <v>4348</v>
      </c>
      <c r="S4421" s="13">
        <v>122233199.00470161</v>
      </c>
    </row>
    <row r="4422" spans="18:19" x14ac:dyDescent="0.25">
      <c r="R4422" s="13">
        <v>4349</v>
      </c>
      <c r="S4422" s="13">
        <v>0</v>
      </c>
    </row>
    <row r="4423" spans="18:19" x14ac:dyDescent="0.25">
      <c r="R4423" s="13">
        <v>4350</v>
      </c>
      <c r="S4423" s="13">
        <v>436247000.21721649</v>
      </c>
    </row>
    <row r="4424" spans="18:19" x14ac:dyDescent="0.25">
      <c r="R4424" s="13">
        <v>4351</v>
      </c>
      <c r="S4424" s="13">
        <v>0</v>
      </c>
    </row>
    <row r="4425" spans="18:19" x14ac:dyDescent="0.25">
      <c r="R4425" s="13">
        <v>4352</v>
      </c>
      <c r="S4425" s="13">
        <v>0</v>
      </c>
    </row>
    <row r="4426" spans="18:19" x14ac:dyDescent="0.25">
      <c r="R4426" s="13">
        <v>4353</v>
      </c>
      <c r="S4426" s="13">
        <v>145070462.32255554</v>
      </c>
    </row>
    <row r="4427" spans="18:19" x14ac:dyDescent="0.25">
      <c r="R4427" s="13">
        <v>4354</v>
      </c>
      <c r="S4427" s="13">
        <v>0</v>
      </c>
    </row>
    <row r="4428" spans="18:19" x14ac:dyDescent="0.25">
      <c r="R4428" s="13">
        <v>4355</v>
      </c>
      <c r="S4428" s="13">
        <v>0</v>
      </c>
    </row>
    <row r="4429" spans="18:19" x14ac:dyDescent="0.25">
      <c r="R4429" s="13">
        <v>4356</v>
      </c>
      <c r="S4429" s="13">
        <v>0</v>
      </c>
    </row>
    <row r="4430" spans="18:19" x14ac:dyDescent="0.25">
      <c r="R4430" s="13">
        <v>4357</v>
      </c>
      <c r="S4430" s="13">
        <v>848228843.41951561</v>
      </c>
    </row>
    <row r="4431" spans="18:19" x14ac:dyDescent="0.25">
      <c r="R4431" s="13">
        <v>4358</v>
      </c>
      <c r="S4431" s="13">
        <v>0</v>
      </c>
    </row>
    <row r="4432" spans="18:19" x14ac:dyDescent="0.25">
      <c r="R4432" s="13">
        <v>4359</v>
      </c>
      <c r="S4432" s="13">
        <v>380061535.44783783</v>
      </c>
    </row>
    <row r="4433" spans="18:19" x14ac:dyDescent="0.25">
      <c r="R4433" s="13">
        <v>4360</v>
      </c>
      <c r="S4433" s="13">
        <v>0</v>
      </c>
    </row>
    <row r="4434" spans="18:19" x14ac:dyDescent="0.25">
      <c r="R4434" s="13">
        <v>4361</v>
      </c>
      <c r="S4434" s="13">
        <v>0</v>
      </c>
    </row>
    <row r="4435" spans="18:19" x14ac:dyDescent="0.25">
      <c r="R4435" s="13">
        <v>4362</v>
      </c>
      <c r="S4435" s="13">
        <v>494551956.3053875</v>
      </c>
    </row>
    <row r="4436" spans="18:19" x14ac:dyDescent="0.25">
      <c r="R4436" s="13">
        <v>4363</v>
      </c>
      <c r="S4436" s="13">
        <v>1104568438.8616848</v>
      </c>
    </row>
    <row r="4437" spans="18:19" x14ac:dyDescent="0.25">
      <c r="R4437" s="13">
        <v>4364</v>
      </c>
      <c r="S4437" s="13">
        <v>0</v>
      </c>
    </row>
    <row r="4438" spans="18:19" x14ac:dyDescent="0.25">
      <c r="R4438" s="13">
        <v>4365</v>
      </c>
      <c r="S4438" s="13">
        <v>98799749.642910004</v>
      </c>
    </row>
    <row r="4439" spans="18:19" x14ac:dyDescent="0.25">
      <c r="R4439" s="13">
        <v>4366</v>
      </c>
      <c r="S4439" s="13">
        <v>0</v>
      </c>
    </row>
    <row r="4440" spans="18:19" x14ac:dyDescent="0.25">
      <c r="R4440" s="13">
        <v>4367</v>
      </c>
      <c r="S4440" s="13">
        <v>0</v>
      </c>
    </row>
    <row r="4441" spans="18:19" x14ac:dyDescent="0.25">
      <c r="R4441" s="13">
        <v>4368</v>
      </c>
      <c r="S4441" s="13">
        <v>1042588489.3935452</v>
      </c>
    </row>
    <row r="4442" spans="18:19" x14ac:dyDescent="0.25">
      <c r="R4442" s="13">
        <v>4369</v>
      </c>
      <c r="S4442" s="13">
        <v>0</v>
      </c>
    </row>
    <row r="4443" spans="18:19" x14ac:dyDescent="0.25">
      <c r="R4443" s="13">
        <v>4370</v>
      </c>
      <c r="S4443" s="13">
        <v>796715087.71839142</v>
      </c>
    </row>
    <row r="4444" spans="18:19" x14ac:dyDescent="0.25">
      <c r="R4444" s="13">
        <v>4371</v>
      </c>
      <c r="S4444" s="13">
        <v>15998481.216379166</v>
      </c>
    </row>
    <row r="4445" spans="18:19" x14ac:dyDescent="0.25">
      <c r="R4445" s="13">
        <v>4372</v>
      </c>
      <c r="S4445" s="13">
        <v>0</v>
      </c>
    </row>
    <row r="4446" spans="18:19" x14ac:dyDescent="0.25">
      <c r="R4446" s="13">
        <v>4373</v>
      </c>
      <c r="S4446" s="13">
        <v>0</v>
      </c>
    </row>
    <row r="4447" spans="18:19" x14ac:dyDescent="0.25">
      <c r="R4447" s="13">
        <v>4374</v>
      </c>
      <c r="S4447" s="13">
        <v>0</v>
      </c>
    </row>
    <row r="4448" spans="18:19" x14ac:dyDescent="0.25">
      <c r="R4448" s="13">
        <v>4375</v>
      </c>
      <c r="S4448" s="13">
        <v>93092577.947380066</v>
      </c>
    </row>
    <row r="4449" spans="18:19" x14ac:dyDescent="0.25">
      <c r="R4449" s="13">
        <v>4376</v>
      </c>
      <c r="S4449" s="13">
        <v>555051032.15475845</v>
      </c>
    </row>
    <row r="4450" spans="18:19" x14ac:dyDescent="0.25">
      <c r="R4450" s="13">
        <v>4377</v>
      </c>
      <c r="S4450" s="13">
        <v>0</v>
      </c>
    </row>
    <row r="4451" spans="18:19" x14ac:dyDescent="0.25">
      <c r="R4451" s="13">
        <v>4378</v>
      </c>
      <c r="S4451" s="13">
        <v>0</v>
      </c>
    </row>
    <row r="4452" spans="18:19" x14ac:dyDescent="0.25">
      <c r="R4452" s="13">
        <v>4379</v>
      </c>
      <c r="S4452" s="13">
        <v>396354218.77510834</v>
      </c>
    </row>
    <row r="4453" spans="18:19" x14ac:dyDescent="0.25">
      <c r="R4453" s="13">
        <v>4380</v>
      </c>
      <c r="S4453" s="13">
        <v>0</v>
      </c>
    </row>
    <row r="4454" spans="18:19" x14ac:dyDescent="0.25">
      <c r="R4454" s="13">
        <v>4381</v>
      </c>
      <c r="S4454" s="13">
        <v>0</v>
      </c>
    </row>
    <row r="4455" spans="18:19" x14ac:dyDescent="0.25">
      <c r="R4455" s="13">
        <v>4382</v>
      </c>
      <c r="S4455" s="13">
        <v>0</v>
      </c>
    </row>
    <row r="4456" spans="18:19" x14ac:dyDescent="0.25">
      <c r="R4456" s="13">
        <v>4383</v>
      </c>
      <c r="S4456" s="13">
        <v>0</v>
      </c>
    </row>
    <row r="4457" spans="18:19" x14ac:dyDescent="0.25">
      <c r="R4457" s="13">
        <v>4384</v>
      </c>
      <c r="S4457" s="13">
        <v>0</v>
      </c>
    </row>
    <row r="4458" spans="18:19" x14ac:dyDescent="0.25">
      <c r="R4458" s="13">
        <v>4385</v>
      </c>
      <c r="S4458" s="13">
        <v>0</v>
      </c>
    </row>
    <row r="4459" spans="18:19" x14ac:dyDescent="0.25">
      <c r="R4459" s="13">
        <v>4386</v>
      </c>
      <c r="S4459" s="13">
        <v>0</v>
      </c>
    </row>
    <row r="4460" spans="18:19" x14ac:dyDescent="0.25">
      <c r="R4460" s="13">
        <v>4387</v>
      </c>
      <c r="S4460" s="13">
        <v>88976439.965461731</v>
      </c>
    </row>
    <row r="4461" spans="18:19" x14ac:dyDescent="0.25">
      <c r="R4461" s="13">
        <v>4388</v>
      </c>
      <c r="S4461" s="13">
        <v>0</v>
      </c>
    </row>
    <row r="4462" spans="18:19" x14ac:dyDescent="0.25">
      <c r="R4462" s="13">
        <v>4389</v>
      </c>
      <c r="S4462" s="13">
        <v>0</v>
      </c>
    </row>
    <row r="4463" spans="18:19" x14ac:dyDescent="0.25">
      <c r="R4463" s="13">
        <v>4390</v>
      </c>
      <c r="S4463" s="13">
        <v>0</v>
      </c>
    </row>
    <row r="4464" spans="18:19" x14ac:dyDescent="0.25">
      <c r="R4464" s="13">
        <v>4391</v>
      </c>
      <c r="S4464" s="13">
        <v>0</v>
      </c>
    </row>
    <row r="4465" spans="18:19" x14ac:dyDescent="0.25">
      <c r="R4465" s="13">
        <v>4392</v>
      </c>
      <c r="S4465" s="13">
        <v>0</v>
      </c>
    </row>
    <row r="4466" spans="18:19" x14ac:dyDescent="0.25">
      <c r="R4466" s="13">
        <v>4393</v>
      </c>
      <c r="S4466" s="13">
        <v>0</v>
      </c>
    </row>
    <row r="4467" spans="18:19" x14ac:dyDescent="0.25">
      <c r="R4467" s="13">
        <v>4394</v>
      </c>
      <c r="S4467" s="13">
        <v>227393736.09681129</v>
      </c>
    </row>
    <row r="4468" spans="18:19" x14ac:dyDescent="0.25">
      <c r="R4468" s="13">
        <v>4395</v>
      </c>
      <c r="S4468" s="13">
        <v>17582822.115474701</v>
      </c>
    </row>
    <row r="4469" spans="18:19" x14ac:dyDescent="0.25">
      <c r="R4469" s="13">
        <v>4396</v>
      </c>
      <c r="S4469" s="13">
        <v>0</v>
      </c>
    </row>
    <row r="4470" spans="18:19" x14ac:dyDescent="0.25">
      <c r="R4470" s="13">
        <v>4397</v>
      </c>
      <c r="S4470" s="13">
        <v>0</v>
      </c>
    </row>
    <row r="4471" spans="18:19" x14ac:dyDescent="0.25">
      <c r="R4471" s="13">
        <v>4398</v>
      </c>
      <c r="S4471" s="13">
        <v>0</v>
      </c>
    </row>
    <row r="4472" spans="18:19" x14ac:dyDescent="0.25">
      <c r="R4472" s="13">
        <v>4399</v>
      </c>
      <c r="S4472" s="13">
        <v>0</v>
      </c>
    </row>
    <row r="4473" spans="18:19" x14ac:dyDescent="0.25">
      <c r="R4473" s="13">
        <v>4400</v>
      </c>
      <c r="S4473" s="13">
        <v>0</v>
      </c>
    </row>
    <row r="4474" spans="18:19" x14ac:dyDescent="0.25">
      <c r="R4474" s="13">
        <v>4401</v>
      </c>
      <c r="S4474" s="13">
        <v>831241302.52041435</v>
      </c>
    </row>
    <row r="4475" spans="18:19" x14ac:dyDescent="0.25">
      <c r="R4475" s="13">
        <v>4402</v>
      </c>
      <c r="S4475" s="13">
        <v>0</v>
      </c>
    </row>
    <row r="4476" spans="18:19" x14ac:dyDescent="0.25">
      <c r="R4476" s="13">
        <v>4403</v>
      </c>
      <c r="S4476" s="13">
        <v>0</v>
      </c>
    </row>
    <row r="4477" spans="18:19" x14ac:dyDescent="0.25">
      <c r="R4477" s="13">
        <v>4404</v>
      </c>
      <c r="S4477" s="13">
        <v>0</v>
      </c>
    </row>
    <row r="4478" spans="18:19" x14ac:dyDescent="0.25">
      <c r="R4478" s="13">
        <v>4405</v>
      </c>
      <c r="S4478" s="13">
        <v>0</v>
      </c>
    </row>
    <row r="4479" spans="18:19" x14ac:dyDescent="0.25">
      <c r="R4479" s="13">
        <v>4406</v>
      </c>
      <c r="S4479" s="13">
        <v>138581993.77249146</v>
      </c>
    </row>
    <row r="4480" spans="18:19" x14ac:dyDescent="0.25">
      <c r="R4480" s="13">
        <v>4407</v>
      </c>
      <c r="S4480" s="13">
        <v>0</v>
      </c>
    </row>
    <row r="4481" spans="18:19" x14ac:dyDescent="0.25">
      <c r="R4481" s="13">
        <v>4408</v>
      </c>
      <c r="S4481" s="13">
        <v>0</v>
      </c>
    </row>
    <row r="4482" spans="18:19" x14ac:dyDescent="0.25">
      <c r="R4482" s="13">
        <v>4409</v>
      </c>
      <c r="S4482" s="13">
        <v>750609551.903965</v>
      </c>
    </row>
    <row r="4483" spans="18:19" x14ac:dyDescent="0.25">
      <c r="R4483" s="13">
        <v>4410</v>
      </c>
      <c r="S4483" s="13">
        <v>298394068.00320816</v>
      </c>
    </row>
    <row r="4484" spans="18:19" x14ac:dyDescent="0.25">
      <c r="R4484" s="13">
        <v>4411</v>
      </c>
      <c r="S4484" s="13">
        <v>0</v>
      </c>
    </row>
    <row r="4485" spans="18:19" x14ac:dyDescent="0.25">
      <c r="R4485" s="13">
        <v>4412</v>
      </c>
      <c r="S4485" s="13">
        <v>38531933.791049957</v>
      </c>
    </row>
    <row r="4486" spans="18:19" x14ac:dyDescent="0.25">
      <c r="R4486" s="13">
        <v>4413</v>
      </c>
      <c r="S4486" s="13">
        <v>0</v>
      </c>
    </row>
    <row r="4487" spans="18:19" x14ac:dyDescent="0.25">
      <c r="R4487" s="13">
        <v>4414</v>
      </c>
      <c r="S4487" s="13">
        <v>0</v>
      </c>
    </row>
    <row r="4488" spans="18:19" x14ac:dyDescent="0.25">
      <c r="R4488" s="13">
        <v>4415</v>
      </c>
      <c r="S4488" s="13">
        <v>0</v>
      </c>
    </row>
    <row r="4489" spans="18:19" x14ac:dyDescent="0.25">
      <c r="R4489" s="13">
        <v>4416</v>
      </c>
      <c r="S4489" s="13">
        <v>337794375.92690277</v>
      </c>
    </row>
    <row r="4490" spans="18:19" x14ac:dyDescent="0.25">
      <c r="R4490" s="13">
        <v>4417</v>
      </c>
      <c r="S4490" s="13">
        <v>0</v>
      </c>
    </row>
    <row r="4491" spans="18:19" x14ac:dyDescent="0.25">
      <c r="R4491" s="13">
        <v>4418</v>
      </c>
      <c r="S4491" s="13">
        <v>0</v>
      </c>
    </row>
    <row r="4492" spans="18:19" x14ac:dyDescent="0.25">
      <c r="R4492" s="13">
        <v>4419</v>
      </c>
      <c r="S4492" s="13">
        <v>0</v>
      </c>
    </row>
    <row r="4493" spans="18:19" x14ac:dyDescent="0.25">
      <c r="R4493" s="13">
        <v>4420</v>
      </c>
      <c r="S4493" s="13">
        <v>0</v>
      </c>
    </row>
    <row r="4494" spans="18:19" x14ac:dyDescent="0.25">
      <c r="R4494" s="13">
        <v>4421</v>
      </c>
      <c r="S4494" s="13">
        <v>0</v>
      </c>
    </row>
    <row r="4495" spans="18:19" x14ac:dyDescent="0.25">
      <c r="R4495" s="13">
        <v>4422</v>
      </c>
      <c r="S4495" s="13">
        <v>457892776.36818695</v>
      </c>
    </row>
    <row r="4496" spans="18:19" x14ac:dyDescent="0.25">
      <c r="R4496" s="13">
        <v>4423</v>
      </c>
      <c r="S4496" s="13">
        <v>1732761529.5385571</v>
      </c>
    </row>
    <row r="4497" spans="18:19" x14ac:dyDescent="0.25">
      <c r="R4497" s="13">
        <v>4424</v>
      </c>
      <c r="S4497" s="13">
        <v>0</v>
      </c>
    </row>
    <row r="4498" spans="18:19" x14ac:dyDescent="0.25">
      <c r="R4498" s="13">
        <v>4425</v>
      </c>
      <c r="S4498" s="13">
        <v>475848443.39370918</v>
      </c>
    </row>
    <row r="4499" spans="18:19" x14ac:dyDescent="0.25">
      <c r="R4499" s="13">
        <v>4426</v>
      </c>
      <c r="S4499" s="13">
        <v>0</v>
      </c>
    </row>
    <row r="4500" spans="18:19" x14ac:dyDescent="0.25">
      <c r="R4500" s="13">
        <v>4427</v>
      </c>
      <c r="S4500" s="13">
        <v>0</v>
      </c>
    </row>
    <row r="4501" spans="18:19" x14ac:dyDescent="0.25">
      <c r="R4501" s="13">
        <v>4428</v>
      </c>
      <c r="S4501" s="13">
        <v>0</v>
      </c>
    </row>
    <row r="4502" spans="18:19" x14ac:dyDescent="0.25">
      <c r="R4502" s="13">
        <v>4429</v>
      </c>
      <c r="S4502" s="13">
        <v>0</v>
      </c>
    </row>
    <row r="4503" spans="18:19" x14ac:dyDescent="0.25">
      <c r="R4503" s="13">
        <v>4430</v>
      </c>
      <c r="S4503" s="13">
        <v>422144087.35902405</v>
      </c>
    </row>
    <row r="4504" spans="18:19" x14ac:dyDescent="0.25">
      <c r="R4504" s="13">
        <v>4431</v>
      </c>
      <c r="S4504" s="13">
        <v>0</v>
      </c>
    </row>
    <row r="4505" spans="18:19" x14ac:dyDescent="0.25">
      <c r="R4505" s="13">
        <v>4432</v>
      </c>
      <c r="S4505" s="13">
        <v>0</v>
      </c>
    </row>
    <row r="4506" spans="18:19" x14ac:dyDescent="0.25">
      <c r="R4506" s="13">
        <v>4433</v>
      </c>
      <c r="S4506" s="13">
        <v>0</v>
      </c>
    </row>
    <row r="4507" spans="18:19" x14ac:dyDescent="0.25">
      <c r="R4507" s="13">
        <v>4434</v>
      </c>
      <c r="S4507" s="13">
        <v>0</v>
      </c>
    </row>
    <row r="4508" spans="18:19" x14ac:dyDescent="0.25">
      <c r="R4508" s="13">
        <v>4435</v>
      </c>
      <c r="S4508" s="13">
        <v>0</v>
      </c>
    </row>
    <row r="4509" spans="18:19" x14ac:dyDescent="0.25">
      <c r="R4509" s="13">
        <v>4436</v>
      </c>
      <c r="S4509" s="13">
        <v>0</v>
      </c>
    </row>
    <row r="4510" spans="18:19" x14ac:dyDescent="0.25">
      <c r="R4510" s="13">
        <v>4437</v>
      </c>
      <c r="S4510" s="13">
        <v>516868120.33970451</v>
      </c>
    </row>
    <row r="4511" spans="18:19" x14ac:dyDescent="0.25">
      <c r="R4511" s="13">
        <v>4438</v>
      </c>
      <c r="S4511" s="13">
        <v>0</v>
      </c>
    </row>
    <row r="4512" spans="18:19" x14ac:dyDescent="0.25">
      <c r="R4512" s="13">
        <v>4439</v>
      </c>
      <c r="S4512" s="13">
        <v>0</v>
      </c>
    </row>
    <row r="4513" spans="18:19" x14ac:dyDescent="0.25">
      <c r="R4513" s="13">
        <v>4440</v>
      </c>
      <c r="S4513" s="13">
        <v>216077070.98957253</v>
      </c>
    </row>
    <row r="4514" spans="18:19" x14ac:dyDescent="0.25">
      <c r="R4514" s="13">
        <v>4441</v>
      </c>
      <c r="S4514" s="13">
        <v>0</v>
      </c>
    </row>
    <row r="4515" spans="18:19" x14ac:dyDescent="0.25">
      <c r="R4515" s="13">
        <v>4442</v>
      </c>
      <c r="S4515" s="13">
        <v>0</v>
      </c>
    </row>
    <row r="4516" spans="18:19" x14ac:dyDescent="0.25">
      <c r="R4516" s="13">
        <v>4443</v>
      </c>
      <c r="S4516" s="13">
        <v>0</v>
      </c>
    </row>
    <row r="4517" spans="18:19" x14ac:dyDescent="0.25">
      <c r="R4517" s="13">
        <v>4444</v>
      </c>
      <c r="S4517" s="13">
        <v>660588256.32214165</v>
      </c>
    </row>
    <row r="4518" spans="18:19" x14ac:dyDescent="0.25">
      <c r="R4518" s="13">
        <v>4445</v>
      </c>
      <c r="S4518" s="13">
        <v>0</v>
      </c>
    </row>
    <row r="4519" spans="18:19" x14ac:dyDescent="0.25">
      <c r="R4519" s="13">
        <v>4446</v>
      </c>
      <c r="S4519" s="13">
        <v>0</v>
      </c>
    </row>
    <row r="4520" spans="18:19" x14ac:dyDescent="0.25">
      <c r="R4520" s="13">
        <v>4447</v>
      </c>
      <c r="S4520" s="13">
        <v>0</v>
      </c>
    </row>
    <row r="4521" spans="18:19" x14ac:dyDescent="0.25">
      <c r="R4521" s="13">
        <v>4448</v>
      </c>
      <c r="S4521" s="13">
        <v>0</v>
      </c>
    </row>
    <row r="4522" spans="18:19" x14ac:dyDescent="0.25">
      <c r="R4522" s="13">
        <v>4449</v>
      </c>
      <c r="S4522" s="13">
        <v>0</v>
      </c>
    </row>
    <row r="4523" spans="18:19" x14ac:dyDescent="0.25">
      <c r="R4523" s="13">
        <v>4450</v>
      </c>
      <c r="S4523" s="13">
        <v>0</v>
      </c>
    </row>
    <row r="4524" spans="18:19" x14ac:dyDescent="0.25">
      <c r="R4524" s="13">
        <v>4451</v>
      </c>
      <c r="S4524" s="13">
        <v>0</v>
      </c>
    </row>
    <row r="4525" spans="18:19" x14ac:dyDescent="0.25">
      <c r="R4525" s="13">
        <v>4452</v>
      </c>
      <c r="S4525" s="13">
        <v>0</v>
      </c>
    </row>
    <row r="4526" spans="18:19" x14ac:dyDescent="0.25">
      <c r="R4526" s="13">
        <v>4453</v>
      </c>
      <c r="S4526" s="13">
        <v>0</v>
      </c>
    </row>
    <row r="4527" spans="18:19" x14ac:dyDescent="0.25">
      <c r="R4527" s="13">
        <v>4454</v>
      </c>
      <c r="S4527" s="13">
        <v>146485520.4967308</v>
      </c>
    </row>
    <row r="4528" spans="18:19" x14ac:dyDescent="0.25">
      <c r="R4528" s="13">
        <v>4455</v>
      </c>
      <c r="S4528" s="13">
        <v>0</v>
      </c>
    </row>
    <row r="4529" spans="18:19" x14ac:dyDescent="0.25">
      <c r="R4529" s="13">
        <v>4456</v>
      </c>
      <c r="S4529" s="13">
        <v>0</v>
      </c>
    </row>
    <row r="4530" spans="18:19" x14ac:dyDescent="0.25">
      <c r="R4530" s="13">
        <v>4457</v>
      </c>
      <c r="S4530" s="13">
        <v>14846680.39005661</v>
      </c>
    </row>
    <row r="4531" spans="18:19" x14ac:dyDescent="0.25">
      <c r="R4531" s="13">
        <v>4458</v>
      </c>
      <c r="S4531" s="13">
        <v>121355837.57226372</v>
      </c>
    </row>
    <row r="4532" spans="18:19" x14ac:dyDescent="0.25">
      <c r="R4532" s="13">
        <v>4459</v>
      </c>
      <c r="S4532" s="13">
        <v>0</v>
      </c>
    </row>
    <row r="4533" spans="18:19" x14ac:dyDescent="0.25">
      <c r="R4533" s="13">
        <v>4460</v>
      </c>
      <c r="S4533" s="13">
        <v>0</v>
      </c>
    </row>
    <row r="4534" spans="18:19" x14ac:dyDescent="0.25">
      <c r="R4534" s="13">
        <v>4461</v>
      </c>
      <c r="S4534" s="13">
        <v>0</v>
      </c>
    </row>
    <row r="4535" spans="18:19" x14ac:dyDescent="0.25">
      <c r="R4535" s="13">
        <v>4462</v>
      </c>
      <c r="S4535" s="13">
        <v>0</v>
      </c>
    </row>
    <row r="4536" spans="18:19" x14ac:dyDescent="0.25">
      <c r="R4536" s="13">
        <v>4463</v>
      </c>
      <c r="S4536" s="13">
        <v>0</v>
      </c>
    </row>
    <row r="4537" spans="18:19" x14ac:dyDescent="0.25">
      <c r="R4537" s="13">
        <v>4464</v>
      </c>
      <c r="S4537" s="13">
        <v>0</v>
      </c>
    </row>
    <row r="4538" spans="18:19" x14ac:dyDescent="0.25">
      <c r="R4538" s="13">
        <v>4465</v>
      </c>
      <c r="S4538" s="13">
        <v>0</v>
      </c>
    </row>
    <row r="4539" spans="18:19" x14ac:dyDescent="0.25">
      <c r="R4539" s="13">
        <v>4466</v>
      </c>
      <c r="S4539" s="13">
        <v>0</v>
      </c>
    </row>
    <row r="4540" spans="18:19" x14ac:dyDescent="0.25">
      <c r="R4540" s="13">
        <v>4467</v>
      </c>
      <c r="S4540" s="13">
        <v>241076261.26093483</v>
      </c>
    </row>
    <row r="4541" spans="18:19" x14ac:dyDescent="0.25">
      <c r="R4541" s="13">
        <v>4468</v>
      </c>
      <c r="S4541" s="13">
        <v>0</v>
      </c>
    </row>
    <row r="4542" spans="18:19" x14ac:dyDescent="0.25">
      <c r="R4542" s="13">
        <v>4469</v>
      </c>
      <c r="S4542" s="13">
        <v>727445153.51838875</v>
      </c>
    </row>
    <row r="4543" spans="18:19" x14ac:dyDescent="0.25">
      <c r="R4543" s="13">
        <v>4470</v>
      </c>
      <c r="S4543" s="13">
        <v>0</v>
      </c>
    </row>
    <row r="4544" spans="18:19" x14ac:dyDescent="0.25">
      <c r="R4544" s="13">
        <v>4471</v>
      </c>
      <c r="S4544" s="13">
        <v>0</v>
      </c>
    </row>
    <row r="4545" spans="18:19" x14ac:dyDescent="0.25">
      <c r="R4545" s="13">
        <v>4472</v>
      </c>
      <c r="S4545" s="13">
        <v>0</v>
      </c>
    </row>
    <row r="4546" spans="18:19" x14ac:dyDescent="0.25">
      <c r="R4546" s="13">
        <v>4473</v>
      </c>
      <c r="S4546" s="13">
        <v>0</v>
      </c>
    </row>
    <row r="4547" spans="18:19" x14ac:dyDescent="0.25">
      <c r="R4547" s="13">
        <v>4474</v>
      </c>
      <c r="S4547" s="13">
        <v>0</v>
      </c>
    </row>
    <row r="4548" spans="18:19" x14ac:dyDescent="0.25">
      <c r="R4548" s="13">
        <v>4475</v>
      </c>
      <c r="S4548" s="13">
        <v>0</v>
      </c>
    </row>
    <row r="4549" spans="18:19" x14ac:dyDescent="0.25">
      <c r="R4549" s="13">
        <v>4476</v>
      </c>
      <c r="S4549" s="13">
        <v>0</v>
      </c>
    </row>
    <row r="4550" spans="18:19" x14ac:dyDescent="0.25">
      <c r="R4550" s="13">
        <v>4477</v>
      </c>
      <c r="S4550" s="13">
        <v>0</v>
      </c>
    </row>
    <row r="4551" spans="18:19" x14ac:dyDescent="0.25">
      <c r="R4551" s="13">
        <v>4478</v>
      </c>
      <c r="S4551" s="13">
        <v>1128864324.6539459</v>
      </c>
    </row>
    <row r="4552" spans="18:19" x14ac:dyDescent="0.25">
      <c r="R4552" s="13">
        <v>4479</v>
      </c>
      <c r="S4552" s="13">
        <v>0</v>
      </c>
    </row>
    <row r="4553" spans="18:19" x14ac:dyDescent="0.25">
      <c r="R4553" s="13">
        <v>4480</v>
      </c>
      <c r="S4553" s="13">
        <v>0</v>
      </c>
    </row>
    <row r="4554" spans="18:19" x14ac:dyDescent="0.25">
      <c r="R4554" s="13">
        <v>4481</v>
      </c>
      <c r="S4554" s="13">
        <v>0</v>
      </c>
    </row>
    <row r="4555" spans="18:19" x14ac:dyDescent="0.25">
      <c r="R4555" s="13">
        <v>4482</v>
      </c>
      <c r="S4555" s="13">
        <v>0</v>
      </c>
    </row>
    <row r="4556" spans="18:19" x14ac:dyDescent="0.25">
      <c r="R4556" s="13">
        <v>4483</v>
      </c>
      <c r="S4556" s="13">
        <v>106489183.36678696</v>
      </c>
    </row>
    <row r="4557" spans="18:19" x14ac:dyDescent="0.25">
      <c r="R4557" s="13">
        <v>4484</v>
      </c>
      <c r="S4557" s="13">
        <v>0</v>
      </c>
    </row>
    <row r="4558" spans="18:19" x14ac:dyDescent="0.25">
      <c r="R4558" s="13">
        <v>4485</v>
      </c>
      <c r="S4558" s="13">
        <v>0</v>
      </c>
    </row>
    <row r="4559" spans="18:19" x14ac:dyDescent="0.25">
      <c r="R4559" s="13">
        <v>4486</v>
      </c>
      <c r="S4559" s="13">
        <v>0</v>
      </c>
    </row>
    <row r="4560" spans="18:19" x14ac:dyDescent="0.25">
      <c r="R4560" s="13">
        <v>4487</v>
      </c>
      <c r="S4560" s="13">
        <v>0</v>
      </c>
    </row>
    <row r="4561" spans="18:19" x14ac:dyDescent="0.25">
      <c r="R4561" s="13">
        <v>4488</v>
      </c>
      <c r="S4561" s="13">
        <v>0</v>
      </c>
    </row>
    <row r="4562" spans="18:19" x14ac:dyDescent="0.25">
      <c r="R4562" s="13">
        <v>4489</v>
      </c>
      <c r="S4562" s="13">
        <v>360203758.34243774</v>
      </c>
    </row>
    <row r="4563" spans="18:19" x14ac:dyDescent="0.25">
      <c r="R4563" s="13">
        <v>4490</v>
      </c>
      <c r="S4563" s="13">
        <v>0</v>
      </c>
    </row>
    <row r="4564" spans="18:19" x14ac:dyDescent="0.25">
      <c r="R4564" s="13">
        <v>4491</v>
      </c>
      <c r="S4564" s="13">
        <v>0</v>
      </c>
    </row>
    <row r="4565" spans="18:19" x14ac:dyDescent="0.25">
      <c r="R4565" s="13">
        <v>4492</v>
      </c>
      <c r="S4565" s="13">
        <v>0</v>
      </c>
    </row>
    <row r="4566" spans="18:19" x14ac:dyDescent="0.25">
      <c r="R4566" s="13">
        <v>4493</v>
      </c>
      <c r="S4566" s="13">
        <v>0</v>
      </c>
    </row>
    <row r="4567" spans="18:19" x14ac:dyDescent="0.25">
      <c r="R4567" s="13">
        <v>4494</v>
      </c>
      <c r="S4567" s="13">
        <v>0</v>
      </c>
    </row>
    <row r="4568" spans="18:19" x14ac:dyDescent="0.25">
      <c r="R4568" s="13">
        <v>4495</v>
      </c>
      <c r="S4568" s="13">
        <v>0</v>
      </c>
    </row>
    <row r="4569" spans="18:19" x14ac:dyDescent="0.25">
      <c r="R4569" s="13">
        <v>4496</v>
      </c>
      <c r="S4569" s="13">
        <v>0</v>
      </c>
    </row>
    <row r="4570" spans="18:19" x14ac:dyDescent="0.25">
      <c r="R4570" s="13">
        <v>4497</v>
      </c>
      <c r="S4570" s="13">
        <v>0</v>
      </c>
    </row>
    <row r="4571" spans="18:19" x14ac:dyDescent="0.25">
      <c r="R4571" s="13">
        <v>4498</v>
      </c>
      <c r="S4571" s="13">
        <v>0</v>
      </c>
    </row>
    <row r="4572" spans="18:19" x14ac:dyDescent="0.25">
      <c r="R4572" s="13">
        <v>4499</v>
      </c>
      <c r="S4572" s="13">
        <v>348602808.63774872</v>
      </c>
    </row>
    <row r="4573" spans="18:19" x14ac:dyDescent="0.25">
      <c r="R4573" s="13">
        <v>4500</v>
      </c>
      <c r="S4573" s="13">
        <v>0</v>
      </c>
    </row>
    <row r="4574" spans="18:19" x14ac:dyDescent="0.25">
      <c r="R4574" s="13">
        <v>4501</v>
      </c>
      <c r="S4574" s="13">
        <v>0</v>
      </c>
    </row>
    <row r="4575" spans="18:19" x14ac:dyDescent="0.25">
      <c r="R4575" s="13">
        <v>4502</v>
      </c>
      <c r="S4575" s="13">
        <v>0</v>
      </c>
    </row>
    <row r="4576" spans="18:19" x14ac:dyDescent="0.25">
      <c r="R4576" s="13">
        <v>4503</v>
      </c>
      <c r="S4576" s="13">
        <v>0</v>
      </c>
    </row>
    <row r="4577" spans="18:19" x14ac:dyDescent="0.25">
      <c r="R4577" s="13">
        <v>4504</v>
      </c>
      <c r="S4577" s="13">
        <v>0</v>
      </c>
    </row>
    <row r="4578" spans="18:19" x14ac:dyDescent="0.25">
      <c r="R4578" s="13">
        <v>4505</v>
      </c>
      <c r="S4578" s="13">
        <v>221996085.32010078</v>
      </c>
    </row>
    <row r="4579" spans="18:19" x14ac:dyDescent="0.25">
      <c r="R4579" s="13">
        <v>4506</v>
      </c>
      <c r="S4579" s="13">
        <v>0</v>
      </c>
    </row>
    <row r="4580" spans="18:19" x14ac:dyDescent="0.25">
      <c r="R4580" s="13">
        <v>4507</v>
      </c>
      <c r="S4580" s="13">
        <v>511661615.95380402</v>
      </c>
    </row>
    <row r="4581" spans="18:19" x14ac:dyDescent="0.25">
      <c r="R4581" s="13">
        <v>4508</v>
      </c>
      <c r="S4581" s="13">
        <v>0</v>
      </c>
    </row>
    <row r="4582" spans="18:19" x14ac:dyDescent="0.25">
      <c r="R4582" s="13">
        <v>4509</v>
      </c>
      <c r="S4582" s="13">
        <v>0</v>
      </c>
    </row>
    <row r="4583" spans="18:19" x14ac:dyDescent="0.25">
      <c r="R4583" s="13">
        <v>4510</v>
      </c>
      <c r="S4583" s="13">
        <v>0</v>
      </c>
    </row>
    <row r="4584" spans="18:19" x14ac:dyDescent="0.25">
      <c r="R4584" s="13">
        <v>4511</v>
      </c>
      <c r="S4584" s="13">
        <v>0</v>
      </c>
    </row>
    <row r="4585" spans="18:19" x14ac:dyDescent="0.25">
      <c r="R4585" s="13">
        <v>4512</v>
      </c>
      <c r="S4585" s="13">
        <v>7275164.2572956085</v>
      </c>
    </row>
    <row r="4586" spans="18:19" x14ac:dyDescent="0.25">
      <c r="R4586" s="13">
        <v>4513</v>
      </c>
      <c r="S4586" s="13">
        <v>175458563.52267647</v>
      </c>
    </row>
    <row r="4587" spans="18:19" x14ac:dyDescent="0.25">
      <c r="R4587" s="13">
        <v>4514</v>
      </c>
      <c r="S4587" s="13">
        <v>0</v>
      </c>
    </row>
    <row r="4588" spans="18:19" x14ac:dyDescent="0.25">
      <c r="R4588" s="13">
        <v>4515</v>
      </c>
      <c r="S4588" s="13">
        <v>0</v>
      </c>
    </row>
    <row r="4589" spans="18:19" x14ac:dyDescent="0.25">
      <c r="R4589" s="13">
        <v>4516</v>
      </c>
      <c r="S4589" s="13">
        <v>13181418.497514725</v>
      </c>
    </row>
    <row r="4590" spans="18:19" x14ac:dyDescent="0.25">
      <c r="R4590" s="13">
        <v>4517</v>
      </c>
      <c r="S4590" s="13">
        <v>0</v>
      </c>
    </row>
    <row r="4591" spans="18:19" x14ac:dyDescent="0.25">
      <c r="R4591" s="13">
        <v>4518</v>
      </c>
      <c r="S4591" s="13">
        <v>255256483.70916176</v>
      </c>
    </row>
    <row r="4592" spans="18:19" x14ac:dyDescent="0.25">
      <c r="R4592" s="13">
        <v>4519</v>
      </c>
      <c r="S4592" s="13">
        <v>0</v>
      </c>
    </row>
    <row r="4593" spans="18:19" x14ac:dyDescent="0.25">
      <c r="R4593" s="13">
        <v>4520</v>
      </c>
      <c r="S4593" s="13">
        <v>0</v>
      </c>
    </row>
    <row r="4594" spans="18:19" x14ac:dyDescent="0.25">
      <c r="R4594" s="13">
        <v>4521</v>
      </c>
      <c r="S4594" s="13">
        <v>0</v>
      </c>
    </row>
    <row r="4595" spans="18:19" x14ac:dyDescent="0.25">
      <c r="R4595" s="13">
        <v>4522</v>
      </c>
      <c r="S4595" s="13">
        <v>0</v>
      </c>
    </row>
    <row r="4596" spans="18:19" x14ac:dyDescent="0.25">
      <c r="R4596" s="13">
        <v>4523</v>
      </c>
      <c r="S4596" s="13">
        <v>0</v>
      </c>
    </row>
    <row r="4597" spans="18:19" x14ac:dyDescent="0.25">
      <c r="R4597" s="13">
        <v>4524</v>
      </c>
      <c r="S4597" s="13">
        <v>0</v>
      </c>
    </row>
    <row r="4598" spans="18:19" x14ac:dyDescent="0.25">
      <c r="R4598" s="13">
        <v>4525</v>
      </c>
      <c r="S4598" s="13">
        <v>0</v>
      </c>
    </row>
    <row r="4599" spans="18:19" x14ac:dyDescent="0.25">
      <c r="R4599" s="13">
        <v>4526</v>
      </c>
      <c r="S4599" s="13">
        <v>0</v>
      </c>
    </row>
    <row r="4600" spans="18:19" x14ac:dyDescent="0.25">
      <c r="R4600" s="13">
        <v>4527</v>
      </c>
      <c r="S4600" s="13">
        <v>5894171.54778862</v>
      </c>
    </row>
    <row r="4601" spans="18:19" x14ac:dyDescent="0.25">
      <c r="R4601" s="13">
        <v>4528</v>
      </c>
      <c r="S4601" s="13">
        <v>0</v>
      </c>
    </row>
    <row r="4602" spans="18:19" x14ac:dyDescent="0.25">
      <c r="R4602" s="13">
        <v>4529</v>
      </c>
      <c r="S4602" s="13">
        <v>98979085.474348068</v>
      </c>
    </row>
    <row r="4603" spans="18:19" x14ac:dyDescent="0.25">
      <c r="R4603" s="13">
        <v>4530</v>
      </c>
      <c r="S4603" s="13">
        <v>0</v>
      </c>
    </row>
    <row r="4604" spans="18:19" x14ac:dyDescent="0.25">
      <c r="R4604" s="13">
        <v>4531</v>
      </c>
      <c r="S4604" s="13">
        <v>0</v>
      </c>
    </row>
    <row r="4605" spans="18:19" x14ac:dyDescent="0.25">
      <c r="R4605" s="13">
        <v>4532</v>
      </c>
      <c r="S4605" s="13">
        <v>0</v>
      </c>
    </row>
    <row r="4606" spans="18:19" x14ac:dyDescent="0.25">
      <c r="R4606" s="13">
        <v>4533</v>
      </c>
      <c r="S4606" s="13">
        <v>373739165.99194336</v>
      </c>
    </row>
    <row r="4607" spans="18:19" x14ac:dyDescent="0.25">
      <c r="R4607" s="13">
        <v>4534</v>
      </c>
      <c r="S4607" s="13">
        <v>0</v>
      </c>
    </row>
    <row r="4608" spans="18:19" x14ac:dyDescent="0.25">
      <c r="R4608" s="13">
        <v>4535</v>
      </c>
      <c r="S4608" s="13">
        <v>0</v>
      </c>
    </row>
    <row r="4609" spans="18:19" x14ac:dyDescent="0.25">
      <c r="R4609" s="13">
        <v>4536</v>
      </c>
      <c r="S4609" s="13">
        <v>0</v>
      </c>
    </row>
    <row r="4610" spans="18:19" x14ac:dyDescent="0.25">
      <c r="R4610" s="13">
        <v>4537</v>
      </c>
      <c r="S4610" s="13">
        <v>1069010999.3972931</v>
      </c>
    </row>
    <row r="4611" spans="18:19" x14ac:dyDescent="0.25">
      <c r="R4611" s="13">
        <v>4538</v>
      </c>
      <c r="S4611" s="13">
        <v>0</v>
      </c>
    </row>
    <row r="4612" spans="18:19" x14ac:dyDescent="0.25">
      <c r="R4612" s="13">
        <v>4539</v>
      </c>
      <c r="S4612" s="13">
        <v>0</v>
      </c>
    </row>
    <row r="4613" spans="18:19" x14ac:dyDescent="0.25">
      <c r="R4613" s="13">
        <v>4540</v>
      </c>
      <c r="S4613" s="13">
        <v>0</v>
      </c>
    </row>
    <row r="4614" spans="18:19" x14ac:dyDescent="0.25">
      <c r="R4614" s="13">
        <v>4541</v>
      </c>
      <c r="S4614" s="13">
        <v>0</v>
      </c>
    </row>
    <row r="4615" spans="18:19" x14ac:dyDescent="0.25">
      <c r="R4615" s="13">
        <v>4542</v>
      </c>
      <c r="S4615" s="13">
        <v>87230242.130661011</v>
      </c>
    </row>
    <row r="4616" spans="18:19" x14ac:dyDescent="0.25">
      <c r="R4616" s="13">
        <v>4543</v>
      </c>
      <c r="S4616" s="13">
        <v>0</v>
      </c>
    </row>
    <row r="4617" spans="18:19" x14ac:dyDescent="0.25">
      <c r="R4617" s="13">
        <v>4544</v>
      </c>
      <c r="S4617" s="13">
        <v>217525967.66996765</v>
      </c>
    </row>
    <row r="4618" spans="18:19" x14ac:dyDescent="0.25">
      <c r="R4618" s="13">
        <v>4545</v>
      </c>
      <c r="S4618" s="13">
        <v>378399779.43614006</v>
      </c>
    </row>
    <row r="4619" spans="18:19" x14ac:dyDescent="0.25">
      <c r="R4619" s="13">
        <v>4546</v>
      </c>
      <c r="S4619" s="13">
        <v>0</v>
      </c>
    </row>
    <row r="4620" spans="18:19" x14ac:dyDescent="0.25">
      <c r="R4620" s="13">
        <v>4547</v>
      </c>
      <c r="S4620" s="13">
        <v>320350685.72833824</v>
      </c>
    </row>
    <row r="4621" spans="18:19" x14ac:dyDescent="0.25">
      <c r="R4621" s="13">
        <v>4548</v>
      </c>
      <c r="S4621" s="13">
        <v>0</v>
      </c>
    </row>
    <row r="4622" spans="18:19" x14ac:dyDescent="0.25">
      <c r="R4622" s="13">
        <v>4549</v>
      </c>
      <c r="S4622" s="13">
        <v>0</v>
      </c>
    </row>
    <row r="4623" spans="18:19" x14ac:dyDescent="0.25">
      <c r="R4623" s="13">
        <v>4550</v>
      </c>
      <c r="S4623" s="13">
        <v>0</v>
      </c>
    </row>
    <row r="4624" spans="18:19" x14ac:dyDescent="0.25">
      <c r="R4624" s="13">
        <v>4551</v>
      </c>
      <c r="S4624" s="13">
        <v>0</v>
      </c>
    </row>
    <row r="4625" spans="18:19" x14ac:dyDescent="0.25">
      <c r="R4625" s="13">
        <v>4552</v>
      </c>
      <c r="S4625" s="13">
        <v>0</v>
      </c>
    </row>
    <row r="4626" spans="18:19" x14ac:dyDescent="0.25">
      <c r="R4626" s="13">
        <v>4553</v>
      </c>
      <c r="S4626" s="13">
        <v>207663538.36791992</v>
      </c>
    </row>
    <row r="4627" spans="18:19" x14ac:dyDescent="0.25">
      <c r="R4627" s="13">
        <v>4554</v>
      </c>
      <c r="S4627" s="13">
        <v>0</v>
      </c>
    </row>
    <row r="4628" spans="18:19" x14ac:dyDescent="0.25">
      <c r="R4628" s="13">
        <v>4555</v>
      </c>
      <c r="S4628" s="13">
        <v>0</v>
      </c>
    </row>
    <row r="4629" spans="18:19" x14ac:dyDescent="0.25">
      <c r="R4629" s="13">
        <v>4556</v>
      </c>
      <c r="S4629" s="13">
        <v>0</v>
      </c>
    </row>
    <row r="4630" spans="18:19" x14ac:dyDescent="0.25">
      <c r="R4630" s="13">
        <v>4557</v>
      </c>
      <c r="S4630" s="13">
        <v>0</v>
      </c>
    </row>
    <row r="4631" spans="18:19" x14ac:dyDescent="0.25">
      <c r="R4631" s="13">
        <v>4558</v>
      </c>
      <c r="S4631" s="13">
        <v>219289624.89510918</v>
      </c>
    </row>
    <row r="4632" spans="18:19" x14ac:dyDescent="0.25">
      <c r="R4632" s="13">
        <v>4559</v>
      </c>
      <c r="S4632" s="13">
        <v>0</v>
      </c>
    </row>
    <row r="4633" spans="18:19" x14ac:dyDescent="0.25">
      <c r="R4633" s="13">
        <v>4560</v>
      </c>
      <c r="S4633" s="13">
        <v>197492272.04335594</v>
      </c>
    </row>
    <row r="4634" spans="18:19" x14ac:dyDescent="0.25">
      <c r="R4634" s="13">
        <v>4561</v>
      </c>
      <c r="S4634" s="13">
        <v>0</v>
      </c>
    </row>
    <row r="4635" spans="18:19" x14ac:dyDescent="0.25">
      <c r="R4635" s="13">
        <v>4562</v>
      </c>
      <c r="S4635" s="13">
        <v>0</v>
      </c>
    </row>
    <row r="4636" spans="18:19" x14ac:dyDescent="0.25">
      <c r="R4636" s="13">
        <v>4563</v>
      </c>
      <c r="S4636" s="13">
        <v>0</v>
      </c>
    </row>
    <row r="4637" spans="18:19" x14ac:dyDescent="0.25">
      <c r="R4637" s="13">
        <v>4564</v>
      </c>
      <c r="S4637" s="13">
        <v>0</v>
      </c>
    </row>
    <row r="4638" spans="18:19" x14ac:dyDescent="0.25">
      <c r="R4638" s="13">
        <v>4565</v>
      </c>
      <c r="S4638" s="13">
        <v>0</v>
      </c>
    </row>
    <row r="4639" spans="18:19" x14ac:dyDescent="0.25">
      <c r="R4639" s="13">
        <v>4566</v>
      </c>
      <c r="S4639" s="13">
        <v>101163143.30794716</v>
      </c>
    </row>
    <row r="4640" spans="18:19" x14ac:dyDescent="0.25">
      <c r="R4640" s="13">
        <v>4567</v>
      </c>
      <c r="S4640" s="13">
        <v>0</v>
      </c>
    </row>
    <row r="4641" spans="18:19" x14ac:dyDescent="0.25">
      <c r="R4641" s="13">
        <v>4568</v>
      </c>
      <c r="S4641" s="13">
        <v>0</v>
      </c>
    </row>
    <row r="4642" spans="18:19" x14ac:dyDescent="0.25">
      <c r="R4642" s="13">
        <v>4569</v>
      </c>
      <c r="S4642" s="13">
        <v>0</v>
      </c>
    </row>
    <row r="4643" spans="18:19" x14ac:dyDescent="0.25">
      <c r="R4643" s="13">
        <v>4570</v>
      </c>
      <c r="S4643" s="13">
        <v>379632043.13102531</v>
      </c>
    </row>
    <row r="4644" spans="18:19" x14ac:dyDescent="0.25">
      <c r="R4644" s="13">
        <v>4571</v>
      </c>
      <c r="S4644" s="13">
        <v>0</v>
      </c>
    </row>
    <row r="4645" spans="18:19" x14ac:dyDescent="0.25">
      <c r="R4645" s="13">
        <v>4572</v>
      </c>
      <c r="S4645" s="13">
        <v>0</v>
      </c>
    </row>
    <row r="4646" spans="18:19" x14ac:dyDescent="0.25">
      <c r="R4646" s="13">
        <v>4573</v>
      </c>
      <c r="S4646" s="13">
        <v>0</v>
      </c>
    </row>
    <row r="4647" spans="18:19" x14ac:dyDescent="0.25">
      <c r="R4647" s="13">
        <v>4574</v>
      </c>
      <c r="S4647" s="13">
        <v>0</v>
      </c>
    </row>
    <row r="4648" spans="18:19" x14ac:dyDescent="0.25">
      <c r="R4648" s="13">
        <v>4575</v>
      </c>
      <c r="S4648" s="13">
        <v>0</v>
      </c>
    </row>
    <row r="4649" spans="18:19" x14ac:dyDescent="0.25">
      <c r="R4649" s="13">
        <v>4576</v>
      </c>
      <c r="S4649" s="13">
        <v>0</v>
      </c>
    </row>
    <row r="4650" spans="18:19" x14ac:dyDescent="0.25">
      <c r="R4650" s="13">
        <v>4577</v>
      </c>
      <c r="S4650" s="13">
        <v>844784635.4420433</v>
      </c>
    </row>
    <row r="4651" spans="18:19" x14ac:dyDescent="0.25">
      <c r="R4651" s="13">
        <v>4578</v>
      </c>
      <c r="S4651" s="13">
        <v>0</v>
      </c>
    </row>
    <row r="4652" spans="18:19" x14ac:dyDescent="0.25">
      <c r="R4652" s="13">
        <v>4579</v>
      </c>
      <c r="S4652" s="13">
        <v>28901283.444990158</v>
      </c>
    </row>
    <row r="4653" spans="18:19" x14ac:dyDescent="0.25">
      <c r="R4653" s="13">
        <v>4580</v>
      </c>
      <c r="S4653" s="13">
        <v>10836374.047832489</v>
      </c>
    </row>
    <row r="4654" spans="18:19" x14ac:dyDescent="0.25">
      <c r="R4654" s="13">
        <v>4581</v>
      </c>
      <c r="S4654" s="13">
        <v>207060129.64288712</v>
      </c>
    </row>
    <row r="4655" spans="18:19" x14ac:dyDescent="0.25">
      <c r="R4655" s="13">
        <v>4582</v>
      </c>
      <c r="S4655" s="13">
        <v>0</v>
      </c>
    </row>
    <row r="4656" spans="18:19" x14ac:dyDescent="0.25">
      <c r="R4656" s="13">
        <v>4583</v>
      </c>
      <c r="S4656" s="13">
        <v>126363532.65852165</v>
      </c>
    </row>
    <row r="4657" spans="18:19" x14ac:dyDescent="0.25">
      <c r="R4657" s="13">
        <v>4584</v>
      </c>
      <c r="S4657" s="13">
        <v>0</v>
      </c>
    </row>
    <row r="4658" spans="18:19" x14ac:dyDescent="0.25">
      <c r="R4658" s="13">
        <v>4585</v>
      </c>
      <c r="S4658" s="13">
        <v>0</v>
      </c>
    </row>
    <row r="4659" spans="18:19" x14ac:dyDescent="0.25">
      <c r="R4659" s="13">
        <v>4586</v>
      </c>
      <c r="S4659" s="13">
        <v>0</v>
      </c>
    </row>
    <row r="4660" spans="18:19" x14ac:dyDescent="0.25">
      <c r="R4660" s="13">
        <v>4587</v>
      </c>
      <c r="S4660" s="13">
        <v>0</v>
      </c>
    </row>
    <row r="4661" spans="18:19" x14ac:dyDescent="0.25">
      <c r="R4661" s="13">
        <v>4588</v>
      </c>
      <c r="S4661" s="13">
        <v>0</v>
      </c>
    </row>
    <row r="4662" spans="18:19" x14ac:dyDescent="0.25">
      <c r="R4662" s="13">
        <v>4589</v>
      </c>
      <c r="S4662" s="13">
        <v>0</v>
      </c>
    </row>
    <row r="4663" spans="18:19" x14ac:dyDescent="0.25">
      <c r="R4663" s="13">
        <v>4590</v>
      </c>
      <c r="S4663" s="13">
        <v>0</v>
      </c>
    </row>
    <row r="4664" spans="18:19" x14ac:dyDescent="0.25">
      <c r="R4664" s="13">
        <v>4591</v>
      </c>
      <c r="S4664" s="13">
        <v>0</v>
      </c>
    </row>
    <row r="4665" spans="18:19" x14ac:dyDescent="0.25">
      <c r="R4665" s="13">
        <v>4592</v>
      </c>
      <c r="S4665" s="13">
        <v>0</v>
      </c>
    </row>
    <row r="4666" spans="18:19" x14ac:dyDescent="0.25">
      <c r="R4666" s="13">
        <v>4593</v>
      </c>
      <c r="S4666" s="13">
        <v>0</v>
      </c>
    </row>
    <row r="4667" spans="18:19" x14ac:dyDescent="0.25">
      <c r="R4667" s="13">
        <v>4594</v>
      </c>
      <c r="S4667" s="13">
        <v>0</v>
      </c>
    </row>
    <row r="4668" spans="18:19" x14ac:dyDescent="0.25">
      <c r="R4668" s="13">
        <v>4595</v>
      </c>
      <c r="S4668" s="13">
        <v>0</v>
      </c>
    </row>
    <row r="4669" spans="18:19" x14ac:dyDescent="0.25">
      <c r="R4669" s="13">
        <v>4596</v>
      </c>
      <c r="S4669" s="13">
        <v>0</v>
      </c>
    </row>
    <row r="4670" spans="18:19" x14ac:dyDescent="0.25">
      <c r="R4670" s="13">
        <v>4597</v>
      </c>
      <c r="S4670" s="13">
        <v>0</v>
      </c>
    </row>
    <row r="4671" spans="18:19" x14ac:dyDescent="0.25">
      <c r="R4671" s="13">
        <v>4598</v>
      </c>
      <c r="S4671" s="13">
        <v>0</v>
      </c>
    </row>
    <row r="4672" spans="18:19" x14ac:dyDescent="0.25">
      <c r="R4672" s="13">
        <v>4599</v>
      </c>
      <c r="S4672" s="13">
        <v>0</v>
      </c>
    </row>
    <row r="4673" spans="18:19" x14ac:dyDescent="0.25">
      <c r="R4673" s="13">
        <v>4600</v>
      </c>
      <c r="S4673" s="13">
        <v>251536186.02490234</v>
      </c>
    </row>
    <row r="4674" spans="18:19" x14ac:dyDescent="0.25">
      <c r="R4674" s="13">
        <v>4601</v>
      </c>
      <c r="S4674" s="13">
        <v>36924883.078428268</v>
      </c>
    </row>
    <row r="4675" spans="18:19" x14ac:dyDescent="0.25">
      <c r="R4675" s="13">
        <v>4602</v>
      </c>
      <c r="S4675" s="13">
        <v>0</v>
      </c>
    </row>
    <row r="4676" spans="18:19" x14ac:dyDescent="0.25">
      <c r="R4676" s="13">
        <v>4603</v>
      </c>
      <c r="S4676" s="13">
        <v>689846121.09923363</v>
      </c>
    </row>
    <row r="4677" spans="18:19" x14ac:dyDescent="0.25">
      <c r="R4677" s="13">
        <v>4604</v>
      </c>
      <c r="S4677" s="13">
        <v>0</v>
      </c>
    </row>
    <row r="4678" spans="18:19" x14ac:dyDescent="0.25">
      <c r="R4678" s="13">
        <v>4605</v>
      </c>
      <c r="S4678" s="13">
        <v>0</v>
      </c>
    </row>
    <row r="4679" spans="18:19" x14ac:dyDescent="0.25">
      <c r="R4679" s="13">
        <v>4606</v>
      </c>
      <c r="S4679" s="13">
        <v>0</v>
      </c>
    </row>
    <row r="4680" spans="18:19" x14ac:dyDescent="0.25">
      <c r="R4680" s="13">
        <v>4607</v>
      </c>
      <c r="S4680" s="13">
        <v>0</v>
      </c>
    </row>
    <row r="4681" spans="18:19" x14ac:dyDescent="0.25">
      <c r="R4681" s="13">
        <v>4608</v>
      </c>
      <c r="S4681" s="13">
        <v>0</v>
      </c>
    </row>
    <row r="4682" spans="18:19" x14ac:dyDescent="0.25">
      <c r="R4682" s="13">
        <v>4609</v>
      </c>
      <c r="S4682" s="13">
        <v>0</v>
      </c>
    </row>
    <row r="4683" spans="18:19" x14ac:dyDescent="0.25">
      <c r="R4683" s="13">
        <v>4610</v>
      </c>
      <c r="S4683" s="13">
        <v>61269942.369400024</v>
      </c>
    </row>
    <row r="4684" spans="18:19" x14ac:dyDescent="0.25">
      <c r="R4684" s="13">
        <v>4611</v>
      </c>
      <c r="S4684" s="13">
        <v>0</v>
      </c>
    </row>
    <row r="4685" spans="18:19" x14ac:dyDescent="0.25">
      <c r="R4685" s="13">
        <v>4612</v>
      </c>
      <c r="S4685" s="13">
        <v>0</v>
      </c>
    </row>
    <row r="4686" spans="18:19" x14ac:dyDescent="0.25">
      <c r="R4686" s="13">
        <v>4613</v>
      </c>
      <c r="S4686" s="13">
        <v>200128647.63726044</v>
      </c>
    </row>
    <row r="4687" spans="18:19" x14ac:dyDescent="0.25">
      <c r="R4687" s="13">
        <v>4614</v>
      </c>
      <c r="S4687" s="13">
        <v>493655019.6097908</v>
      </c>
    </row>
    <row r="4688" spans="18:19" x14ac:dyDescent="0.25">
      <c r="R4688" s="13">
        <v>4615</v>
      </c>
      <c r="S4688" s="13">
        <v>0</v>
      </c>
    </row>
    <row r="4689" spans="18:19" x14ac:dyDescent="0.25">
      <c r="R4689" s="13">
        <v>4616</v>
      </c>
      <c r="S4689" s="13">
        <v>0</v>
      </c>
    </row>
    <row r="4690" spans="18:19" x14ac:dyDescent="0.25">
      <c r="R4690" s="13">
        <v>4617</v>
      </c>
      <c r="S4690" s="13">
        <v>0</v>
      </c>
    </row>
    <row r="4691" spans="18:19" x14ac:dyDescent="0.25">
      <c r="R4691" s="13">
        <v>4618</v>
      </c>
      <c r="S4691" s="13">
        <v>0</v>
      </c>
    </row>
    <row r="4692" spans="18:19" x14ac:dyDescent="0.25">
      <c r="R4692" s="13">
        <v>4619</v>
      </c>
      <c r="S4692" s="13">
        <v>0</v>
      </c>
    </row>
    <row r="4693" spans="18:19" x14ac:dyDescent="0.25">
      <c r="R4693" s="13">
        <v>4620</v>
      </c>
      <c r="S4693" s="13">
        <v>0</v>
      </c>
    </row>
    <row r="4694" spans="18:19" x14ac:dyDescent="0.25">
      <c r="R4694" s="13">
        <v>4621</v>
      </c>
      <c r="S4694" s="13">
        <v>0</v>
      </c>
    </row>
    <row r="4695" spans="18:19" x14ac:dyDescent="0.25">
      <c r="R4695" s="13">
        <v>4622</v>
      </c>
      <c r="S4695" s="13">
        <v>0</v>
      </c>
    </row>
    <row r="4696" spans="18:19" x14ac:dyDescent="0.25">
      <c r="R4696" s="13">
        <v>4623</v>
      </c>
      <c r="S4696" s="13">
        <v>0</v>
      </c>
    </row>
    <row r="4697" spans="18:19" x14ac:dyDescent="0.25">
      <c r="R4697" s="13">
        <v>4624</v>
      </c>
      <c r="S4697" s="13">
        <v>455959102.65257645</v>
      </c>
    </row>
    <row r="4698" spans="18:19" x14ac:dyDescent="0.25">
      <c r="R4698" s="13">
        <v>4625</v>
      </c>
      <c r="S4698" s="13">
        <v>0</v>
      </c>
    </row>
    <row r="4699" spans="18:19" x14ac:dyDescent="0.25">
      <c r="R4699" s="13">
        <v>4626</v>
      </c>
      <c r="S4699" s="13">
        <v>0</v>
      </c>
    </row>
    <row r="4700" spans="18:19" x14ac:dyDescent="0.25">
      <c r="R4700" s="13">
        <v>4627</v>
      </c>
      <c r="S4700" s="13">
        <v>0</v>
      </c>
    </row>
    <row r="4701" spans="18:19" x14ac:dyDescent="0.25">
      <c r="R4701" s="13">
        <v>4628</v>
      </c>
      <c r="S4701" s="13">
        <v>0</v>
      </c>
    </row>
    <row r="4702" spans="18:19" x14ac:dyDescent="0.25">
      <c r="R4702" s="13">
        <v>4629</v>
      </c>
      <c r="S4702" s="13">
        <v>992063315.29861069</v>
      </c>
    </row>
    <row r="4703" spans="18:19" x14ac:dyDescent="0.25">
      <c r="R4703" s="13">
        <v>4630</v>
      </c>
      <c r="S4703" s="13">
        <v>0</v>
      </c>
    </row>
    <row r="4704" spans="18:19" x14ac:dyDescent="0.25">
      <c r="R4704" s="13">
        <v>4631</v>
      </c>
      <c r="S4704" s="13">
        <v>0</v>
      </c>
    </row>
    <row r="4705" spans="18:19" x14ac:dyDescent="0.25">
      <c r="R4705" s="13">
        <v>4632</v>
      </c>
      <c r="S4705" s="13">
        <v>0</v>
      </c>
    </row>
    <row r="4706" spans="18:19" x14ac:dyDescent="0.25">
      <c r="R4706" s="13">
        <v>4633</v>
      </c>
      <c r="S4706" s="13">
        <v>0</v>
      </c>
    </row>
    <row r="4707" spans="18:19" x14ac:dyDescent="0.25">
      <c r="R4707" s="13">
        <v>4634</v>
      </c>
      <c r="S4707" s="13">
        <v>373682710.58778</v>
      </c>
    </row>
    <row r="4708" spans="18:19" x14ac:dyDescent="0.25">
      <c r="R4708" s="13">
        <v>4635</v>
      </c>
      <c r="S4708" s="13">
        <v>66344823.838121414</v>
      </c>
    </row>
    <row r="4709" spans="18:19" x14ac:dyDescent="0.25">
      <c r="R4709" s="13">
        <v>4636</v>
      </c>
      <c r="S4709" s="13">
        <v>0</v>
      </c>
    </row>
    <row r="4710" spans="18:19" x14ac:dyDescent="0.25">
      <c r="R4710" s="13">
        <v>4637</v>
      </c>
      <c r="S4710" s="13">
        <v>0</v>
      </c>
    </row>
    <row r="4711" spans="18:19" x14ac:dyDescent="0.25">
      <c r="R4711" s="13">
        <v>4638</v>
      </c>
      <c r="S4711" s="13">
        <v>76822677.346370697</v>
      </c>
    </row>
    <row r="4712" spans="18:19" x14ac:dyDescent="0.25">
      <c r="R4712" s="13">
        <v>4639</v>
      </c>
      <c r="S4712" s="13">
        <v>0</v>
      </c>
    </row>
    <row r="4713" spans="18:19" x14ac:dyDescent="0.25">
      <c r="R4713" s="13">
        <v>4640</v>
      </c>
      <c r="S4713" s="13">
        <v>1771234757.4349289</v>
      </c>
    </row>
    <row r="4714" spans="18:19" x14ac:dyDescent="0.25">
      <c r="R4714" s="13">
        <v>4641</v>
      </c>
      <c r="S4714" s="13">
        <v>0</v>
      </c>
    </row>
    <row r="4715" spans="18:19" x14ac:dyDescent="0.25">
      <c r="R4715" s="13">
        <v>4642</v>
      </c>
      <c r="S4715" s="13">
        <v>0</v>
      </c>
    </row>
    <row r="4716" spans="18:19" x14ac:dyDescent="0.25">
      <c r="R4716" s="13">
        <v>4643</v>
      </c>
      <c r="S4716" s="13">
        <v>0</v>
      </c>
    </row>
    <row r="4717" spans="18:19" x14ac:dyDescent="0.25">
      <c r="R4717" s="13">
        <v>4644</v>
      </c>
      <c r="S4717" s="13">
        <v>0</v>
      </c>
    </row>
    <row r="4718" spans="18:19" x14ac:dyDescent="0.25">
      <c r="R4718" s="13">
        <v>4645</v>
      </c>
      <c r="S4718" s="13">
        <v>83380720.083301544</v>
      </c>
    </row>
    <row r="4719" spans="18:19" x14ac:dyDescent="0.25">
      <c r="R4719" s="13">
        <v>4646</v>
      </c>
      <c r="S4719" s="13">
        <v>0</v>
      </c>
    </row>
    <row r="4720" spans="18:19" x14ac:dyDescent="0.25">
      <c r="R4720" s="13">
        <v>4647</v>
      </c>
      <c r="S4720" s="13">
        <v>0</v>
      </c>
    </row>
    <row r="4721" spans="18:19" x14ac:dyDescent="0.25">
      <c r="R4721" s="13">
        <v>4648</v>
      </c>
      <c r="S4721" s="13">
        <v>0</v>
      </c>
    </row>
    <row r="4722" spans="18:19" x14ac:dyDescent="0.25">
      <c r="R4722" s="13">
        <v>4649</v>
      </c>
      <c r="S4722" s="13">
        <v>0</v>
      </c>
    </row>
    <row r="4723" spans="18:19" x14ac:dyDescent="0.25">
      <c r="R4723" s="13">
        <v>4650</v>
      </c>
      <c r="S4723" s="13">
        <v>0</v>
      </c>
    </row>
    <row r="4724" spans="18:19" x14ac:dyDescent="0.25">
      <c r="R4724" s="13">
        <v>4651</v>
      </c>
      <c r="S4724" s="13">
        <v>0</v>
      </c>
    </row>
    <row r="4725" spans="18:19" x14ac:dyDescent="0.25">
      <c r="R4725" s="13">
        <v>4652</v>
      </c>
      <c r="S4725" s="13">
        <v>0</v>
      </c>
    </row>
    <row r="4726" spans="18:19" x14ac:dyDescent="0.25">
      <c r="R4726" s="13">
        <v>4653</v>
      </c>
      <c r="S4726" s="13">
        <v>0</v>
      </c>
    </row>
    <row r="4727" spans="18:19" x14ac:dyDescent="0.25">
      <c r="R4727" s="13">
        <v>4654</v>
      </c>
      <c r="S4727" s="13">
        <v>0</v>
      </c>
    </row>
    <row r="4728" spans="18:19" x14ac:dyDescent="0.25">
      <c r="R4728" s="13">
        <v>4655</v>
      </c>
      <c r="S4728" s="13">
        <v>0</v>
      </c>
    </row>
    <row r="4729" spans="18:19" x14ac:dyDescent="0.25">
      <c r="R4729" s="13">
        <v>4656</v>
      </c>
      <c r="S4729" s="13">
        <v>0</v>
      </c>
    </row>
    <row r="4730" spans="18:19" x14ac:dyDescent="0.25">
      <c r="R4730" s="13">
        <v>4657</v>
      </c>
      <c r="S4730" s="13">
        <v>0</v>
      </c>
    </row>
    <row r="4731" spans="18:19" x14ac:dyDescent="0.25">
      <c r="R4731" s="13">
        <v>4658</v>
      </c>
      <c r="S4731" s="13">
        <v>483570235.02553368</v>
      </c>
    </row>
    <row r="4732" spans="18:19" x14ac:dyDescent="0.25">
      <c r="R4732" s="13">
        <v>4659</v>
      </c>
      <c r="S4732" s="13">
        <v>0</v>
      </c>
    </row>
    <row r="4733" spans="18:19" x14ac:dyDescent="0.25">
      <c r="R4733" s="13">
        <v>4660</v>
      </c>
      <c r="S4733" s="13">
        <v>0</v>
      </c>
    </row>
    <row r="4734" spans="18:19" x14ac:dyDescent="0.25">
      <c r="R4734" s="13">
        <v>4661</v>
      </c>
      <c r="S4734" s="13">
        <v>0</v>
      </c>
    </row>
    <row r="4735" spans="18:19" x14ac:dyDescent="0.25">
      <c r="R4735" s="13">
        <v>4662</v>
      </c>
      <c r="S4735" s="13">
        <v>0</v>
      </c>
    </row>
    <row r="4736" spans="18:19" x14ac:dyDescent="0.25">
      <c r="R4736" s="13">
        <v>4663</v>
      </c>
      <c r="S4736" s="13">
        <v>0</v>
      </c>
    </row>
    <row r="4737" spans="18:19" x14ac:dyDescent="0.25">
      <c r="R4737" s="13">
        <v>4664</v>
      </c>
      <c r="S4737" s="13">
        <v>0</v>
      </c>
    </row>
    <row r="4738" spans="18:19" x14ac:dyDescent="0.25">
      <c r="R4738" s="13">
        <v>4665</v>
      </c>
      <c r="S4738" s="13">
        <v>0</v>
      </c>
    </row>
    <row r="4739" spans="18:19" x14ac:dyDescent="0.25">
      <c r="R4739" s="13">
        <v>4666</v>
      </c>
      <c r="S4739" s="13">
        <v>0</v>
      </c>
    </row>
    <row r="4740" spans="18:19" x14ac:dyDescent="0.25">
      <c r="R4740" s="13">
        <v>4667</v>
      </c>
      <c r="S4740" s="13">
        <v>0</v>
      </c>
    </row>
    <row r="4741" spans="18:19" x14ac:dyDescent="0.25">
      <c r="R4741" s="13">
        <v>4668</v>
      </c>
      <c r="S4741" s="13">
        <v>0</v>
      </c>
    </row>
    <row r="4742" spans="18:19" x14ac:dyDescent="0.25">
      <c r="R4742" s="13">
        <v>4669</v>
      </c>
      <c r="S4742" s="13">
        <v>0</v>
      </c>
    </row>
    <row r="4743" spans="18:19" x14ac:dyDescent="0.25">
      <c r="R4743" s="13">
        <v>4670</v>
      </c>
      <c r="S4743" s="13">
        <v>0</v>
      </c>
    </row>
    <row r="4744" spans="18:19" x14ac:dyDescent="0.25">
      <c r="R4744" s="13">
        <v>4671</v>
      </c>
      <c r="S4744" s="13">
        <v>0</v>
      </c>
    </row>
    <row r="4745" spans="18:19" x14ac:dyDescent="0.25">
      <c r="R4745" s="13">
        <v>4672</v>
      </c>
      <c r="S4745" s="13">
        <v>164044875.93855286</v>
      </c>
    </row>
    <row r="4746" spans="18:19" x14ac:dyDescent="0.25">
      <c r="R4746" s="13">
        <v>4673</v>
      </c>
      <c r="S4746" s="13">
        <v>0</v>
      </c>
    </row>
    <row r="4747" spans="18:19" x14ac:dyDescent="0.25">
      <c r="R4747" s="13">
        <v>4674</v>
      </c>
      <c r="S4747" s="13">
        <v>0</v>
      </c>
    </row>
    <row r="4748" spans="18:19" x14ac:dyDescent="0.25">
      <c r="R4748" s="13">
        <v>4675</v>
      </c>
      <c r="S4748" s="13">
        <v>0</v>
      </c>
    </row>
    <row r="4749" spans="18:19" x14ac:dyDescent="0.25">
      <c r="R4749" s="13">
        <v>4676</v>
      </c>
      <c r="S4749" s="13">
        <v>0</v>
      </c>
    </row>
    <row r="4750" spans="18:19" x14ac:dyDescent="0.25">
      <c r="R4750" s="13">
        <v>4677</v>
      </c>
      <c r="S4750" s="13">
        <v>0</v>
      </c>
    </row>
    <row r="4751" spans="18:19" x14ac:dyDescent="0.25">
      <c r="R4751" s="13">
        <v>4678</v>
      </c>
      <c r="S4751" s="13">
        <v>0</v>
      </c>
    </row>
    <row r="4752" spans="18:19" x14ac:dyDescent="0.25">
      <c r="R4752" s="13">
        <v>4679</v>
      </c>
      <c r="S4752" s="13">
        <v>0</v>
      </c>
    </row>
    <row r="4753" spans="18:19" x14ac:dyDescent="0.25">
      <c r="R4753" s="13">
        <v>4680</v>
      </c>
      <c r="S4753" s="13">
        <v>0</v>
      </c>
    </row>
    <row r="4754" spans="18:19" x14ac:dyDescent="0.25">
      <c r="R4754" s="13">
        <v>4681</v>
      </c>
      <c r="S4754" s="13">
        <v>0</v>
      </c>
    </row>
    <row r="4755" spans="18:19" x14ac:dyDescent="0.25">
      <c r="R4755" s="13">
        <v>4682</v>
      </c>
      <c r="S4755" s="13">
        <v>0</v>
      </c>
    </row>
    <row r="4756" spans="18:19" x14ac:dyDescent="0.25">
      <c r="R4756" s="13">
        <v>4683</v>
      </c>
      <c r="S4756" s="13">
        <v>0</v>
      </c>
    </row>
    <row r="4757" spans="18:19" x14ac:dyDescent="0.25">
      <c r="R4757" s="13">
        <v>4684</v>
      </c>
      <c r="S4757" s="13">
        <v>0</v>
      </c>
    </row>
    <row r="4758" spans="18:19" x14ac:dyDescent="0.25">
      <c r="R4758" s="13">
        <v>4685</v>
      </c>
      <c r="S4758" s="13">
        <v>0</v>
      </c>
    </row>
    <row r="4759" spans="18:19" x14ac:dyDescent="0.25">
      <c r="R4759" s="13">
        <v>4686</v>
      </c>
      <c r="S4759" s="13">
        <v>0</v>
      </c>
    </row>
    <row r="4760" spans="18:19" x14ac:dyDescent="0.25">
      <c r="R4760" s="13">
        <v>4687</v>
      </c>
      <c r="S4760" s="13">
        <v>0</v>
      </c>
    </row>
    <row r="4761" spans="18:19" x14ac:dyDescent="0.25">
      <c r="R4761" s="13">
        <v>4688</v>
      </c>
      <c r="S4761" s="13">
        <v>0</v>
      </c>
    </row>
    <row r="4762" spans="18:19" x14ac:dyDescent="0.25">
      <c r="R4762" s="13">
        <v>4689</v>
      </c>
      <c r="S4762" s="13">
        <v>271913482.92344093</v>
      </c>
    </row>
    <row r="4763" spans="18:19" x14ac:dyDescent="0.25">
      <c r="R4763" s="13">
        <v>4690</v>
      </c>
      <c r="S4763" s="13">
        <v>0</v>
      </c>
    </row>
    <row r="4764" spans="18:19" x14ac:dyDescent="0.25">
      <c r="R4764" s="13">
        <v>4691</v>
      </c>
      <c r="S4764" s="13">
        <v>154547935.44950104</v>
      </c>
    </row>
    <row r="4765" spans="18:19" x14ac:dyDescent="0.25">
      <c r="R4765" s="13">
        <v>4692</v>
      </c>
      <c r="S4765" s="13">
        <v>1053001447.8666115</v>
      </c>
    </row>
    <row r="4766" spans="18:19" x14ac:dyDescent="0.25">
      <c r="R4766" s="13">
        <v>4693</v>
      </c>
      <c r="S4766" s="13">
        <v>0</v>
      </c>
    </row>
    <row r="4767" spans="18:19" x14ac:dyDescent="0.25">
      <c r="R4767" s="13">
        <v>4694</v>
      </c>
      <c r="S4767" s="13">
        <v>339396926.81088066</v>
      </c>
    </row>
    <row r="4768" spans="18:19" x14ac:dyDescent="0.25">
      <c r="R4768" s="13">
        <v>4695</v>
      </c>
      <c r="S4768" s="13">
        <v>0</v>
      </c>
    </row>
    <row r="4769" spans="18:19" x14ac:dyDescent="0.25">
      <c r="R4769" s="13">
        <v>4696</v>
      </c>
      <c r="S4769" s="13">
        <v>0</v>
      </c>
    </row>
    <row r="4770" spans="18:19" x14ac:dyDescent="0.25">
      <c r="R4770" s="13">
        <v>4697</v>
      </c>
      <c r="S4770" s="13">
        <v>0</v>
      </c>
    </row>
    <row r="4771" spans="18:19" x14ac:dyDescent="0.25">
      <c r="R4771" s="13">
        <v>4698</v>
      </c>
      <c r="S4771" s="13">
        <v>0</v>
      </c>
    </row>
    <row r="4772" spans="18:19" x14ac:dyDescent="0.25">
      <c r="R4772" s="13">
        <v>4699</v>
      </c>
      <c r="S4772" s="13">
        <v>0</v>
      </c>
    </row>
    <row r="4773" spans="18:19" x14ac:dyDescent="0.25">
      <c r="R4773" s="13">
        <v>4700</v>
      </c>
      <c r="S4773" s="13">
        <v>0</v>
      </c>
    </row>
    <row r="4774" spans="18:19" x14ac:dyDescent="0.25">
      <c r="R4774" s="13">
        <v>4701</v>
      </c>
      <c r="S4774" s="13">
        <v>291387847.50146294</v>
      </c>
    </row>
    <row r="4775" spans="18:19" x14ac:dyDescent="0.25">
      <c r="R4775" s="13">
        <v>4702</v>
      </c>
      <c r="S4775" s="13">
        <v>0</v>
      </c>
    </row>
    <row r="4776" spans="18:19" x14ac:dyDescent="0.25">
      <c r="R4776" s="13">
        <v>4703</v>
      </c>
      <c r="S4776" s="13">
        <v>0</v>
      </c>
    </row>
    <row r="4777" spans="18:19" x14ac:dyDescent="0.25">
      <c r="R4777" s="13">
        <v>4704</v>
      </c>
      <c r="S4777" s="13">
        <v>0</v>
      </c>
    </row>
    <row r="4778" spans="18:19" x14ac:dyDescent="0.25">
      <c r="R4778" s="13">
        <v>4705</v>
      </c>
      <c r="S4778" s="13">
        <v>0</v>
      </c>
    </row>
    <row r="4779" spans="18:19" x14ac:dyDescent="0.25">
      <c r="R4779" s="13">
        <v>4706</v>
      </c>
      <c r="S4779" s="13">
        <v>0</v>
      </c>
    </row>
    <row r="4780" spans="18:19" x14ac:dyDescent="0.25">
      <c r="R4780" s="13">
        <v>4707</v>
      </c>
      <c r="S4780" s="13">
        <v>0</v>
      </c>
    </row>
    <row r="4781" spans="18:19" x14ac:dyDescent="0.25">
      <c r="R4781" s="13">
        <v>4708</v>
      </c>
      <c r="S4781" s="13">
        <v>430574488.10719681</v>
      </c>
    </row>
    <row r="4782" spans="18:19" x14ac:dyDescent="0.25">
      <c r="R4782" s="13">
        <v>4709</v>
      </c>
      <c r="S4782" s="13">
        <v>0</v>
      </c>
    </row>
    <row r="4783" spans="18:19" x14ac:dyDescent="0.25">
      <c r="R4783" s="13">
        <v>4710</v>
      </c>
      <c r="S4783" s="13">
        <v>486083841.48231506</v>
      </c>
    </row>
    <row r="4784" spans="18:19" x14ac:dyDescent="0.25">
      <c r="R4784" s="13">
        <v>4711</v>
      </c>
      <c r="S4784" s="13">
        <v>0</v>
      </c>
    </row>
    <row r="4785" spans="18:19" x14ac:dyDescent="0.25">
      <c r="R4785" s="13">
        <v>4712</v>
      </c>
      <c r="S4785" s="13">
        <v>336705287.61179924</v>
      </c>
    </row>
    <row r="4786" spans="18:19" x14ac:dyDescent="0.25">
      <c r="R4786" s="13">
        <v>4713</v>
      </c>
      <c r="S4786" s="13">
        <v>64742908.510681152</v>
      </c>
    </row>
    <row r="4787" spans="18:19" x14ac:dyDescent="0.25">
      <c r="R4787" s="13">
        <v>4714</v>
      </c>
      <c r="S4787" s="13">
        <v>53686471.421089172</v>
      </c>
    </row>
    <row r="4788" spans="18:19" x14ac:dyDescent="0.25">
      <c r="R4788" s="13">
        <v>4715</v>
      </c>
      <c r="S4788" s="13">
        <v>64882766.51615715</v>
      </c>
    </row>
    <row r="4789" spans="18:19" x14ac:dyDescent="0.25">
      <c r="R4789" s="13">
        <v>4716</v>
      </c>
      <c r="S4789" s="13">
        <v>0</v>
      </c>
    </row>
    <row r="4790" spans="18:19" x14ac:dyDescent="0.25">
      <c r="R4790" s="13">
        <v>4717</v>
      </c>
      <c r="S4790" s="13">
        <v>0</v>
      </c>
    </row>
    <row r="4791" spans="18:19" x14ac:dyDescent="0.25">
      <c r="R4791" s="13">
        <v>4718</v>
      </c>
      <c r="S4791" s="13">
        <v>0</v>
      </c>
    </row>
    <row r="4792" spans="18:19" x14ac:dyDescent="0.25">
      <c r="R4792" s="13">
        <v>4719</v>
      </c>
      <c r="S4792" s="13">
        <v>0</v>
      </c>
    </row>
    <row r="4793" spans="18:19" x14ac:dyDescent="0.25">
      <c r="R4793" s="13">
        <v>4720</v>
      </c>
      <c r="S4793" s="13">
        <v>0</v>
      </c>
    </row>
    <row r="4794" spans="18:19" x14ac:dyDescent="0.25">
      <c r="R4794" s="13">
        <v>4721</v>
      </c>
      <c r="S4794" s="13">
        <v>0</v>
      </c>
    </row>
    <row r="4795" spans="18:19" x14ac:dyDescent="0.25">
      <c r="R4795" s="13">
        <v>4722</v>
      </c>
      <c r="S4795" s="13">
        <v>0</v>
      </c>
    </row>
    <row r="4796" spans="18:19" x14ac:dyDescent="0.25">
      <c r="R4796" s="13">
        <v>4723</v>
      </c>
      <c r="S4796" s="13">
        <v>0</v>
      </c>
    </row>
    <row r="4797" spans="18:19" x14ac:dyDescent="0.25">
      <c r="R4797" s="13">
        <v>4724</v>
      </c>
      <c r="S4797" s="13">
        <v>133472095.82553101</v>
      </c>
    </row>
    <row r="4798" spans="18:19" x14ac:dyDescent="0.25">
      <c r="R4798" s="13">
        <v>4725</v>
      </c>
      <c r="S4798" s="13">
        <v>0</v>
      </c>
    </row>
    <row r="4799" spans="18:19" x14ac:dyDescent="0.25">
      <c r="R4799" s="13">
        <v>4726</v>
      </c>
      <c r="S4799" s="13">
        <v>0</v>
      </c>
    </row>
    <row r="4800" spans="18:19" x14ac:dyDescent="0.25">
      <c r="R4800" s="13">
        <v>4727</v>
      </c>
      <c r="S4800" s="13">
        <v>0</v>
      </c>
    </row>
    <row r="4801" spans="18:19" x14ac:dyDescent="0.25">
      <c r="R4801" s="13">
        <v>4728</v>
      </c>
      <c r="S4801" s="13">
        <v>0</v>
      </c>
    </row>
    <row r="4802" spans="18:19" x14ac:dyDescent="0.25">
      <c r="R4802" s="13">
        <v>4729</v>
      </c>
      <c r="S4802" s="13">
        <v>0</v>
      </c>
    </row>
    <row r="4803" spans="18:19" x14ac:dyDescent="0.25">
      <c r="R4803" s="13">
        <v>4730</v>
      </c>
      <c r="S4803" s="13">
        <v>1044438693.137701</v>
      </c>
    </row>
    <row r="4804" spans="18:19" x14ac:dyDescent="0.25">
      <c r="R4804" s="13">
        <v>4731</v>
      </c>
      <c r="S4804" s="13">
        <v>354799088.14907265</v>
      </c>
    </row>
    <row r="4805" spans="18:19" x14ac:dyDescent="0.25">
      <c r="R4805" s="13">
        <v>4732</v>
      </c>
      <c r="S4805" s="13">
        <v>0</v>
      </c>
    </row>
    <row r="4806" spans="18:19" x14ac:dyDescent="0.25">
      <c r="R4806" s="13">
        <v>4733</v>
      </c>
      <c r="S4806" s="13">
        <v>0</v>
      </c>
    </row>
    <row r="4807" spans="18:19" x14ac:dyDescent="0.25">
      <c r="R4807" s="13">
        <v>4734</v>
      </c>
      <c r="S4807" s="13">
        <v>321000430.47429466</v>
      </c>
    </row>
    <row r="4808" spans="18:19" x14ac:dyDescent="0.25">
      <c r="R4808" s="13">
        <v>4735</v>
      </c>
      <c r="S4808" s="13">
        <v>0</v>
      </c>
    </row>
    <row r="4809" spans="18:19" x14ac:dyDescent="0.25">
      <c r="R4809" s="13">
        <v>4736</v>
      </c>
      <c r="S4809" s="13">
        <v>0</v>
      </c>
    </row>
    <row r="4810" spans="18:19" x14ac:dyDescent="0.25">
      <c r="R4810" s="13">
        <v>4737</v>
      </c>
      <c r="S4810" s="13">
        <v>667233277.57505798</v>
      </c>
    </row>
    <row r="4811" spans="18:19" x14ac:dyDescent="0.25">
      <c r="R4811" s="13">
        <v>4738</v>
      </c>
      <c r="S4811" s="13">
        <v>0</v>
      </c>
    </row>
    <row r="4812" spans="18:19" x14ac:dyDescent="0.25">
      <c r="R4812" s="13">
        <v>4739</v>
      </c>
      <c r="S4812" s="13">
        <v>33542834.200710297</v>
      </c>
    </row>
    <row r="4813" spans="18:19" x14ac:dyDescent="0.25">
      <c r="R4813" s="13">
        <v>4740</v>
      </c>
      <c r="S4813" s="13">
        <v>0</v>
      </c>
    </row>
    <row r="4814" spans="18:19" x14ac:dyDescent="0.25">
      <c r="R4814" s="13">
        <v>4741</v>
      </c>
      <c r="S4814" s="13">
        <v>0</v>
      </c>
    </row>
    <row r="4815" spans="18:19" x14ac:dyDescent="0.25">
      <c r="R4815" s="13">
        <v>4742</v>
      </c>
      <c r="S4815" s="13">
        <v>0</v>
      </c>
    </row>
    <row r="4816" spans="18:19" x14ac:dyDescent="0.25">
      <c r="R4816" s="13">
        <v>4743</v>
      </c>
      <c r="S4816" s="13">
        <v>0</v>
      </c>
    </row>
    <row r="4817" spans="18:19" x14ac:dyDescent="0.25">
      <c r="R4817" s="13">
        <v>4744</v>
      </c>
      <c r="S4817" s="13">
        <v>0</v>
      </c>
    </row>
    <row r="4818" spans="18:19" x14ac:dyDescent="0.25">
      <c r="R4818" s="13">
        <v>4745</v>
      </c>
      <c r="S4818" s="13">
        <v>0</v>
      </c>
    </row>
    <row r="4819" spans="18:19" x14ac:dyDescent="0.25">
      <c r="R4819" s="13">
        <v>4746</v>
      </c>
      <c r="S4819" s="13">
        <v>0</v>
      </c>
    </row>
    <row r="4820" spans="18:19" x14ac:dyDescent="0.25">
      <c r="R4820" s="13">
        <v>4747</v>
      </c>
      <c r="S4820" s="13">
        <v>0</v>
      </c>
    </row>
    <row r="4821" spans="18:19" x14ac:dyDescent="0.25">
      <c r="R4821" s="13">
        <v>4748</v>
      </c>
      <c r="S4821" s="13">
        <v>315484323.87621498</v>
      </c>
    </row>
    <row r="4822" spans="18:19" x14ac:dyDescent="0.25">
      <c r="R4822" s="13">
        <v>4749</v>
      </c>
      <c r="S4822" s="13">
        <v>0</v>
      </c>
    </row>
    <row r="4823" spans="18:19" x14ac:dyDescent="0.25">
      <c r="R4823" s="13">
        <v>4750</v>
      </c>
      <c r="S4823" s="13">
        <v>0</v>
      </c>
    </row>
    <row r="4824" spans="18:19" x14ac:dyDescent="0.25">
      <c r="R4824" s="13">
        <v>4751</v>
      </c>
      <c r="S4824" s="13">
        <v>70194211.656572342</v>
      </c>
    </row>
    <row r="4825" spans="18:19" x14ac:dyDescent="0.25">
      <c r="R4825" s="13">
        <v>4752</v>
      </c>
      <c r="S4825" s="13">
        <v>349247680.96138</v>
      </c>
    </row>
    <row r="4826" spans="18:19" x14ac:dyDescent="0.25">
      <c r="R4826" s="13">
        <v>4753</v>
      </c>
      <c r="S4826" s="13">
        <v>0</v>
      </c>
    </row>
    <row r="4827" spans="18:19" x14ac:dyDescent="0.25">
      <c r="R4827" s="13">
        <v>4754</v>
      </c>
      <c r="S4827" s="13">
        <v>0</v>
      </c>
    </row>
    <row r="4828" spans="18:19" x14ac:dyDescent="0.25">
      <c r="R4828" s="13">
        <v>4755</v>
      </c>
      <c r="S4828" s="13">
        <v>0</v>
      </c>
    </row>
    <row r="4829" spans="18:19" x14ac:dyDescent="0.25">
      <c r="R4829" s="13">
        <v>4756</v>
      </c>
      <c r="S4829" s="13">
        <v>338773777.54847527</v>
      </c>
    </row>
    <row r="4830" spans="18:19" x14ac:dyDescent="0.25">
      <c r="R4830" s="13">
        <v>4757</v>
      </c>
      <c r="S4830" s="13">
        <v>0</v>
      </c>
    </row>
    <row r="4831" spans="18:19" x14ac:dyDescent="0.25">
      <c r="R4831" s="13">
        <v>4758</v>
      </c>
      <c r="S4831" s="13">
        <v>0</v>
      </c>
    </row>
    <row r="4832" spans="18:19" x14ac:dyDescent="0.25">
      <c r="R4832" s="13">
        <v>4759</v>
      </c>
      <c r="S4832" s="13">
        <v>0</v>
      </c>
    </row>
    <row r="4833" spans="18:19" x14ac:dyDescent="0.25">
      <c r="R4833" s="13">
        <v>4760</v>
      </c>
      <c r="S4833" s="13">
        <v>0</v>
      </c>
    </row>
    <row r="4834" spans="18:19" x14ac:dyDescent="0.25">
      <c r="R4834" s="13">
        <v>4761</v>
      </c>
      <c r="S4834" s="13">
        <v>376432001.53502655</v>
      </c>
    </row>
    <row r="4835" spans="18:19" x14ac:dyDescent="0.25">
      <c r="R4835" s="13">
        <v>4762</v>
      </c>
      <c r="S4835" s="13">
        <v>0</v>
      </c>
    </row>
    <row r="4836" spans="18:19" x14ac:dyDescent="0.25">
      <c r="R4836" s="13">
        <v>4763</v>
      </c>
      <c r="S4836" s="13">
        <v>0</v>
      </c>
    </row>
    <row r="4837" spans="18:19" x14ac:dyDescent="0.25">
      <c r="R4837" s="13">
        <v>4764</v>
      </c>
      <c r="S4837" s="13">
        <v>0</v>
      </c>
    </row>
    <row r="4838" spans="18:19" x14ac:dyDescent="0.25">
      <c r="R4838" s="13">
        <v>4765</v>
      </c>
      <c r="S4838" s="13">
        <v>295094493.00550842</v>
      </c>
    </row>
    <row r="4839" spans="18:19" x14ac:dyDescent="0.25">
      <c r="R4839" s="13">
        <v>4766</v>
      </c>
      <c r="S4839" s="13">
        <v>0</v>
      </c>
    </row>
    <row r="4840" spans="18:19" x14ac:dyDescent="0.25">
      <c r="R4840" s="13">
        <v>4767</v>
      </c>
      <c r="S4840" s="13">
        <v>0</v>
      </c>
    </row>
    <row r="4841" spans="18:19" x14ac:dyDescent="0.25">
      <c r="R4841" s="13">
        <v>4768</v>
      </c>
      <c r="S4841" s="13">
        <v>0</v>
      </c>
    </row>
    <row r="4842" spans="18:19" x14ac:dyDescent="0.25">
      <c r="R4842" s="13">
        <v>4769</v>
      </c>
      <c r="S4842" s="13">
        <v>0</v>
      </c>
    </row>
    <row r="4843" spans="18:19" x14ac:dyDescent="0.25">
      <c r="R4843" s="13">
        <v>4770</v>
      </c>
      <c r="S4843" s="13">
        <v>536453265.32376099</v>
      </c>
    </row>
    <row r="4844" spans="18:19" x14ac:dyDescent="0.25">
      <c r="R4844" s="13">
        <v>4771</v>
      </c>
      <c r="S4844" s="13">
        <v>0</v>
      </c>
    </row>
    <row r="4845" spans="18:19" x14ac:dyDescent="0.25">
      <c r="R4845" s="13">
        <v>4772</v>
      </c>
      <c r="S4845" s="13">
        <v>0</v>
      </c>
    </row>
    <row r="4846" spans="18:19" x14ac:dyDescent="0.25">
      <c r="R4846" s="13">
        <v>4773</v>
      </c>
      <c r="S4846" s="13">
        <v>0</v>
      </c>
    </row>
    <row r="4847" spans="18:19" x14ac:dyDescent="0.25">
      <c r="R4847" s="13">
        <v>4774</v>
      </c>
      <c r="S4847" s="13">
        <v>126019661.54930305</v>
      </c>
    </row>
    <row r="4848" spans="18:19" x14ac:dyDescent="0.25">
      <c r="R4848" s="13">
        <v>4775</v>
      </c>
      <c r="S4848" s="13">
        <v>496945710.97829437</v>
      </c>
    </row>
    <row r="4849" spans="18:19" x14ac:dyDescent="0.25">
      <c r="R4849" s="13">
        <v>4776</v>
      </c>
      <c r="S4849" s="13">
        <v>0</v>
      </c>
    </row>
    <row r="4850" spans="18:19" x14ac:dyDescent="0.25">
      <c r="R4850" s="13">
        <v>4777</v>
      </c>
      <c r="S4850" s="13">
        <v>14202915.993299484</v>
      </c>
    </row>
    <row r="4851" spans="18:19" x14ac:dyDescent="0.25">
      <c r="R4851" s="13">
        <v>4778</v>
      </c>
      <c r="S4851" s="13">
        <v>0</v>
      </c>
    </row>
    <row r="4852" spans="18:19" x14ac:dyDescent="0.25">
      <c r="R4852" s="13">
        <v>4779</v>
      </c>
      <c r="S4852" s="13">
        <v>0</v>
      </c>
    </row>
    <row r="4853" spans="18:19" x14ac:dyDescent="0.25">
      <c r="R4853" s="13">
        <v>4780</v>
      </c>
      <c r="S4853" s="13">
        <v>1068183631.9073696</v>
      </c>
    </row>
    <row r="4854" spans="18:19" x14ac:dyDescent="0.25">
      <c r="R4854" s="13">
        <v>4781</v>
      </c>
      <c r="S4854" s="13">
        <v>0</v>
      </c>
    </row>
    <row r="4855" spans="18:19" x14ac:dyDescent="0.25">
      <c r="R4855" s="13">
        <v>4782</v>
      </c>
      <c r="S4855" s="13">
        <v>0</v>
      </c>
    </row>
    <row r="4856" spans="18:19" x14ac:dyDescent="0.25">
      <c r="R4856" s="13">
        <v>4783</v>
      </c>
      <c r="S4856" s="13">
        <v>0</v>
      </c>
    </row>
    <row r="4857" spans="18:19" x14ac:dyDescent="0.25">
      <c r="R4857" s="13">
        <v>4784</v>
      </c>
      <c r="S4857" s="13">
        <v>0</v>
      </c>
    </row>
    <row r="4858" spans="18:19" x14ac:dyDescent="0.25">
      <c r="R4858" s="13">
        <v>4785</v>
      </c>
      <c r="S4858" s="13">
        <v>397893029.79498672</v>
      </c>
    </row>
    <row r="4859" spans="18:19" x14ac:dyDescent="0.25">
      <c r="R4859" s="13">
        <v>4786</v>
      </c>
      <c r="S4859" s="13">
        <v>0</v>
      </c>
    </row>
    <row r="4860" spans="18:19" x14ac:dyDescent="0.25">
      <c r="R4860" s="13">
        <v>4787</v>
      </c>
      <c r="S4860" s="13">
        <v>0</v>
      </c>
    </row>
    <row r="4861" spans="18:19" x14ac:dyDescent="0.25">
      <c r="R4861" s="13">
        <v>4788</v>
      </c>
      <c r="S4861" s="13">
        <v>0</v>
      </c>
    </row>
    <row r="4862" spans="18:19" x14ac:dyDescent="0.25">
      <c r="R4862" s="13">
        <v>4789</v>
      </c>
      <c r="S4862" s="13">
        <v>0</v>
      </c>
    </row>
    <row r="4863" spans="18:19" x14ac:dyDescent="0.25">
      <c r="R4863" s="13">
        <v>4790</v>
      </c>
      <c r="S4863" s="13">
        <v>0</v>
      </c>
    </row>
    <row r="4864" spans="18:19" x14ac:dyDescent="0.25">
      <c r="R4864" s="13">
        <v>4791</v>
      </c>
      <c r="S4864" s="13">
        <v>0</v>
      </c>
    </row>
    <row r="4865" spans="18:19" x14ac:dyDescent="0.25">
      <c r="R4865" s="13">
        <v>4792</v>
      </c>
      <c r="S4865" s="13">
        <v>0</v>
      </c>
    </row>
    <row r="4866" spans="18:19" x14ac:dyDescent="0.25">
      <c r="R4866" s="13">
        <v>4793</v>
      </c>
      <c r="S4866" s="13">
        <v>0</v>
      </c>
    </row>
    <row r="4867" spans="18:19" x14ac:dyDescent="0.25">
      <c r="R4867" s="13">
        <v>4794</v>
      </c>
      <c r="S4867" s="13">
        <v>0</v>
      </c>
    </row>
    <row r="4868" spans="18:19" x14ac:dyDescent="0.25">
      <c r="R4868" s="13">
        <v>4795</v>
      </c>
      <c r="S4868" s="13">
        <v>0</v>
      </c>
    </row>
    <row r="4869" spans="18:19" x14ac:dyDescent="0.25">
      <c r="R4869" s="13">
        <v>4796</v>
      </c>
      <c r="S4869" s="13">
        <v>0</v>
      </c>
    </row>
    <row r="4870" spans="18:19" x14ac:dyDescent="0.25">
      <c r="R4870" s="13">
        <v>4797</v>
      </c>
      <c r="S4870" s="13">
        <v>0</v>
      </c>
    </row>
    <row r="4871" spans="18:19" x14ac:dyDescent="0.25">
      <c r="R4871" s="13">
        <v>4798</v>
      </c>
      <c r="S4871" s="13">
        <v>0</v>
      </c>
    </row>
    <row r="4872" spans="18:19" x14ac:dyDescent="0.25">
      <c r="R4872" s="13">
        <v>4799</v>
      </c>
      <c r="S4872" s="13">
        <v>0</v>
      </c>
    </row>
    <row r="4873" spans="18:19" x14ac:dyDescent="0.25">
      <c r="R4873" s="13">
        <v>4800</v>
      </c>
      <c r="S4873" s="13">
        <v>0</v>
      </c>
    </row>
    <row r="4874" spans="18:19" x14ac:dyDescent="0.25">
      <c r="R4874" s="13">
        <v>4801</v>
      </c>
      <c r="S4874" s="13">
        <v>617512988.83949661</v>
      </c>
    </row>
    <row r="4875" spans="18:19" x14ac:dyDescent="0.25">
      <c r="R4875" s="13">
        <v>4802</v>
      </c>
      <c r="S4875" s="13">
        <v>0</v>
      </c>
    </row>
    <row r="4876" spans="18:19" x14ac:dyDescent="0.25">
      <c r="R4876" s="13">
        <v>4803</v>
      </c>
      <c r="S4876" s="13">
        <v>617860590.74383545</v>
      </c>
    </row>
    <row r="4877" spans="18:19" x14ac:dyDescent="0.25">
      <c r="R4877" s="13">
        <v>4804</v>
      </c>
      <c r="S4877" s="13">
        <v>0</v>
      </c>
    </row>
    <row r="4878" spans="18:19" x14ac:dyDescent="0.25">
      <c r="R4878" s="13">
        <v>4805</v>
      </c>
      <c r="S4878" s="13">
        <v>235540517.22760963</v>
      </c>
    </row>
    <row r="4879" spans="18:19" x14ac:dyDescent="0.25">
      <c r="R4879" s="13">
        <v>4806</v>
      </c>
      <c r="S4879" s="13">
        <v>733680789.82629395</v>
      </c>
    </row>
    <row r="4880" spans="18:19" x14ac:dyDescent="0.25">
      <c r="R4880" s="13">
        <v>4807</v>
      </c>
      <c r="S4880" s="13">
        <v>234706729.4431839</v>
      </c>
    </row>
    <row r="4881" spans="18:19" x14ac:dyDescent="0.25">
      <c r="R4881" s="13">
        <v>4808</v>
      </c>
      <c r="S4881" s="13">
        <v>856190508.91182899</v>
      </c>
    </row>
    <row r="4882" spans="18:19" x14ac:dyDescent="0.25">
      <c r="R4882" s="13">
        <v>4809</v>
      </c>
      <c r="S4882" s="13">
        <v>0</v>
      </c>
    </row>
    <row r="4883" spans="18:19" x14ac:dyDescent="0.25">
      <c r="R4883" s="13">
        <v>4810</v>
      </c>
      <c r="S4883" s="13">
        <v>0</v>
      </c>
    </row>
    <row r="4884" spans="18:19" x14ac:dyDescent="0.25">
      <c r="R4884" s="13">
        <v>4811</v>
      </c>
      <c r="S4884" s="13">
        <v>0</v>
      </c>
    </row>
    <row r="4885" spans="18:19" x14ac:dyDescent="0.25">
      <c r="R4885" s="13">
        <v>4812</v>
      </c>
      <c r="S4885" s="13">
        <v>334091539.42015839</v>
      </c>
    </row>
    <row r="4886" spans="18:19" x14ac:dyDescent="0.25">
      <c r="R4886" s="13">
        <v>4813</v>
      </c>
      <c r="S4886" s="13">
        <v>0</v>
      </c>
    </row>
    <row r="4887" spans="18:19" x14ac:dyDescent="0.25">
      <c r="R4887" s="13">
        <v>4814</v>
      </c>
      <c r="S4887" s="13">
        <v>904837144.52224731</v>
      </c>
    </row>
    <row r="4888" spans="18:19" x14ac:dyDescent="0.25">
      <c r="R4888" s="13">
        <v>4815</v>
      </c>
      <c r="S4888" s="13">
        <v>0</v>
      </c>
    </row>
    <row r="4889" spans="18:19" x14ac:dyDescent="0.25">
      <c r="R4889" s="13">
        <v>4816</v>
      </c>
      <c r="S4889" s="13">
        <v>0</v>
      </c>
    </row>
    <row r="4890" spans="18:19" x14ac:dyDescent="0.25">
      <c r="R4890" s="13">
        <v>4817</v>
      </c>
      <c r="S4890" s="13">
        <v>0</v>
      </c>
    </row>
    <row r="4891" spans="18:19" x14ac:dyDescent="0.25">
      <c r="R4891" s="13">
        <v>4818</v>
      </c>
      <c r="S4891" s="13">
        <v>0</v>
      </c>
    </row>
    <row r="4892" spans="18:19" x14ac:dyDescent="0.25">
      <c r="R4892" s="13">
        <v>4819</v>
      </c>
      <c r="S4892" s="13">
        <v>0</v>
      </c>
    </row>
    <row r="4893" spans="18:19" x14ac:dyDescent="0.25">
      <c r="R4893" s="13">
        <v>4820</v>
      </c>
      <c r="S4893" s="13">
        <v>0</v>
      </c>
    </row>
    <row r="4894" spans="18:19" x14ac:dyDescent="0.25">
      <c r="R4894" s="13">
        <v>4821</v>
      </c>
      <c r="S4894" s="13">
        <v>0</v>
      </c>
    </row>
    <row r="4895" spans="18:19" x14ac:dyDescent="0.25">
      <c r="R4895" s="13">
        <v>4822</v>
      </c>
      <c r="S4895" s="13">
        <v>989310201.46323395</v>
      </c>
    </row>
    <row r="4896" spans="18:19" x14ac:dyDescent="0.25">
      <c r="R4896" s="13">
        <v>4823</v>
      </c>
      <c r="S4896" s="13">
        <v>0</v>
      </c>
    </row>
    <row r="4897" spans="18:19" x14ac:dyDescent="0.25">
      <c r="R4897" s="13">
        <v>4824</v>
      </c>
      <c r="S4897" s="13">
        <v>0</v>
      </c>
    </row>
    <row r="4898" spans="18:19" x14ac:dyDescent="0.25">
      <c r="R4898" s="13">
        <v>4825</v>
      </c>
      <c r="S4898" s="13">
        <v>0</v>
      </c>
    </row>
    <row r="4899" spans="18:19" x14ac:dyDescent="0.25">
      <c r="R4899" s="13">
        <v>4826</v>
      </c>
      <c r="S4899" s="13">
        <v>0</v>
      </c>
    </row>
    <row r="4900" spans="18:19" x14ac:dyDescent="0.25">
      <c r="R4900" s="13">
        <v>4827</v>
      </c>
      <c r="S4900" s="13">
        <v>78647643.554885864</v>
      </c>
    </row>
    <row r="4901" spans="18:19" x14ac:dyDescent="0.25">
      <c r="R4901" s="13">
        <v>4828</v>
      </c>
      <c r="S4901" s="13">
        <v>308334018.9683075</v>
      </c>
    </row>
    <row r="4902" spans="18:19" x14ac:dyDescent="0.25">
      <c r="R4902" s="13">
        <v>4829</v>
      </c>
      <c r="S4902" s="13">
        <v>0</v>
      </c>
    </row>
    <row r="4903" spans="18:19" x14ac:dyDescent="0.25">
      <c r="R4903" s="13">
        <v>4830</v>
      </c>
      <c r="S4903" s="13">
        <v>0</v>
      </c>
    </row>
    <row r="4904" spans="18:19" x14ac:dyDescent="0.25">
      <c r="R4904" s="13">
        <v>4831</v>
      </c>
      <c r="S4904" s="13">
        <v>203887988.03528214</v>
      </c>
    </row>
    <row r="4905" spans="18:19" x14ac:dyDescent="0.25">
      <c r="R4905" s="13">
        <v>4832</v>
      </c>
      <c r="S4905" s="13">
        <v>0</v>
      </c>
    </row>
    <row r="4906" spans="18:19" x14ac:dyDescent="0.25">
      <c r="R4906" s="13">
        <v>4833</v>
      </c>
      <c r="S4906" s="13">
        <v>0</v>
      </c>
    </row>
    <row r="4907" spans="18:19" x14ac:dyDescent="0.25">
      <c r="R4907" s="13">
        <v>4834</v>
      </c>
      <c r="S4907" s="13">
        <v>0</v>
      </c>
    </row>
    <row r="4908" spans="18:19" x14ac:dyDescent="0.25">
      <c r="R4908" s="13">
        <v>4835</v>
      </c>
      <c r="S4908" s="13">
        <v>0</v>
      </c>
    </row>
    <row r="4909" spans="18:19" x14ac:dyDescent="0.25">
      <c r="R4909" s="13">
        <v>4836</v>
      </c>
      <c r="S4909" s="13">
        <v>1360624777.6001816</v>
      </c>
    </row>
    <row r="4910" spans="18:19" x14ac:dyDescent="0.25">
      <c r="R4910" s="13">
        <v>4837</v>
      </c>
      <c r="S4910" s="13">
        <v>521384160.33313942</v>
      </c>
    </row>
    <row r="4911" spans="18:19" x14ac:dyDescent="0.25">
      <c r="R4911" s="13">
        <v>4838</v>
      </c>
      <c r="S4911" s="13">
        <v>0</v>
      </c>
    </row>
    <row r="4912" spans="18:19" x14ac:dyDescent="0.25">
      <c r="R4912" s="13">
        <v>4839</v>
      </c>
      <c r="S4912" s="13">
        <v>0</v>
      </c>
    </row>
    <row r="4913" spans="18:19" x14ac:dyDescent="0.25">
      <c r="R4913" s="13">
        <v>4840</v>
      </c>
      <c r="S4913" s="13">
        <v>128677336.98185921</v>
      </c>
    </row>
    <row r="4914" spans="18:19" x14ac:dyDescent="0.25">
      <c r="R4914" s="13">
        <v>4841</v>
      </c>
      <c r="S4914" s="13">
        <v>0</v>
      </c>
    </row>
    <row r="4915" spans="18:19" x14ac:dyDescent="0.25">
      <c r="R4915" s="13">
        <v>4842</v>
      </c>
      <c r="S4915" s="13">
        <v>867290086.41122627</v>
      </c>
    </row>
    <row r="4916" spans="18:19" x14ac:dyDescent="0.25">
      <c r="R4916" s="13">
        <v>4843</v>
      </c>
      <c r="S4916" s="13">
        <v>0</v>
      </c>
    </row>
    <row r="4917" spans="18:19" x14ac:dyDescent="0.25">
      <c r="R4917" s="13">
        <v>4844</v>
      </c>
      <c r="S4917" s="13">
        <v>0</v>
      </c>
    </row>
    <row r="4918" spans="18:19" x14ac:dyDescent="0.25">
      <c r="R4918" s="13">
        <v>4845</v>
      </c>
      <c r="S4918" s="13">
        <v>169538304.0688591</v>
      </c>
    </row>
    <row r="4919" spans="18:19" x14ac:dyDescent="0.25">
      <c r="R4919" s="13">
        <v>4846</v>
      </c>
      <c r="S4919" s="13">
        <v>0</v>
      </c>
    </row>
    <row r="4920" spans="18:19" x14ac:dyDescent="0.25">
      <c r="R4920" s="13">
        <v>4847</v>
      </c>
      <c r="S4920" s="13">
        <v>0</v>
      </c>
    </row>
    <row r="4921" spans="18:19" x14ac:dyDescent="0.25">
      <c r="R4921" s="13">
        <v>4848</v>
      </c>
      <c r="S4921" s="13">
        <v>0</v>
      </c>
    </row>
    <row r="4922" spans="18:19" x14ac:dyDescent="0.25">
      <c r="R4922" s="13">
        <v>4849</v>
      </c>
      <c r="S4922" s="13">
        <v>0</v>
      </c>
    </row>
    <row r="4923" spans="18:19" x14ac:dyDescent="0.25">
      <c r="R4923" s="13">
        <v>4850</v>
      </c>
      <c r="S4923" s="13">
        <v>286559245.15662575</v>
      </c>
    </row>
    <row r="4924" spans="18:19" x14ac:dyDescent="0.25">
      <c r="R4924" s="13">
        <v>4851</v>
      </c>
      <c r="S4924" s="13">
        <v>0</v>
      </c>
    </row>
    <row r="4925" spans="18:19" x14ac:dyDescent="0.25">
      <c r="R4925" s="13">
        <v>4852</v>
      </c>
      <c r="S4925" s="13">
        <v>0</v>
      </c>
    </row>
    <row r="4926" spans="18:19" x14ac:dyDescent="0.25">
      <c r="R4926" s="13">
        <v>4853</v>
      </c>
      <c r="S4926" s="13">
        <v>0</v>
      </c>
    </row>
    <row r="4927" spans="18:19" x14ac:dyDescent="0.25">
      <c r="R4927" s="13">
        <v>4854</v>
      </c>
      <c r="S4927" s="13">
        <v>0</v>
      </c>
    </row>
    <row r="4928" spans="18:19" x14ac:dyDescent="0.25">
      <c r="R4928" s="13">
        <v>4855</v>
      </c>
      <c r="S4928" s="13">
        <v>0</v>
      </c>
    </row>
    <row r="4929" spans="18:19" x14ac:dyDescent="0.25">
      <c r="R4929" s="13">
        <v>4856</v>
      </c>
      <c r="S4929" s="13">
        <v>656518812.97465706</v>
      </c>
    </row>
    <row r="4930" spans="18:19" x14ac:dyDescent="0.25">
      <c r="R4930" s="13">
        <v>4857</v>
      </c>
      <c r="S4930" s="13">
        <v>0</v>
      </c>
    </row>
    <row r="4931" spans="18:19" x14ac:dyDescent="0.25">
      <c r="R4931" s="13">
        <v>4858</v>
      </c>
      <c r="S4931" s="13">
        <v>0</v>
      </c>
    </row>
    <row r="4932" spans="18:19" x14ac:dyDescent="0.25">
      <c r="R4932" s="13">
        <v>4859</v>
      </c>
      <c r="S4932" s="13">
        <v>0</v>
      </c>
    </row>
    <row r="4933" spans="18:19" x14ac:dyDescent="0.25">
      <c r="R4933" s="13">
        <v>4860</v>
      </c>
      <c r="S4933" s="13">
        <v>392662785.60772133</v>
      </c>
    </row>
    <row r="4934" spans="18:19" x14ac:dyDescent="0.25">
      <c r="R4934" s="13">
        <v>4861</v>
      </c>
      <c r="S4934" s="13">
        <v>0</v>
      </c>
    </row>
    <row r="4935" spans="18:19" x14ac:dyDescent="0.25">
      <c r="R4935" s="13">
        <v>4862</v>
      </c>
      <c r="S4935" s="13">
        <v>626060101.38968468</v>
      </c>
    </row>
    <row r="4936" spans="18:19" x14ac:dyDescent="0.25">
      <c r="R4936" s="13">
        <v>4863</v>
      </c>
      <c r="S4936" s="13">
        <v>0</v>
      </c>
    </row>
    <row r="4937" spans="18:19" x14ac:dyDescent="0.25">
      <c r="R4937" s="13">
        <v>4864</v>
      </c>
      <c r="S4937" s="13">
        <v>227289962.33073807</v>
      </c>
    </row>
    <row r="4938" spans="18:19" x14ac:dyDescent="0.25">
      <c r="R4938" s="13">
        <v>4865</v>
      </c>
      <c r="S4938" s="13">
        <v>0</v>
      </c>
    </row>
    <row r="4939" spans="18:19" x14ac:dyDescent="0.25">
      <c r="R4939" s="13">
        <v>4866</v>
      </c>
      <c r="S4939" s="13">
        <v>0</v>
      </c>
    </row>
    <row r="4940" spans="18:19" x14ac:dyDescent="0.25">
      <c r="R4940" s="13">
        <v>4867</v>
      </c>
      <c r="S4940" s="13">
        <v>0</v>
      </c>
    </row>
    <row r="4941" spans="18:19" x14ac:dyDescent="0.25">
      <c r="R4941" s="13">
        <v>4868</v>
      </c>
      <c r="S4941" s="13">
        <v>0</v>
      </c>
    </row>
    <row r="4942" spans="18:19" x14ac:dyDescent="0.25">
      <c r="R4942" s="13">
        <v>4869</v>
      </c>
      <c r="S4942" s="13">
        <v>0</v>
      </c>
    </row>
    <row r="4943" spans="18:19" x14ac:dyDescent="0.25">
      <c r="R4943" s="13">
        <v>4870</v>
      </c>
      <c r="S4943" s="13">
        <v>0</v>
      </c>
    </row>
    <row r="4944" spans="18:19" x14ac:dyDescent="0.25">
      <c r="R4944" s="13">
        <v>4871</v>
      </c>
      <c r="S4944" s="13">
        <v>0</v>
      </c>
    </row>
    <row r="4945" spans="18:19" x14ac:dyDescent="0.25">
      <c r="R4945" s="13">
        <v>4872</v>
      </c>
      <c r="S4945" s="13">
        <v>0</v>
      </c>
    </row>
    <row r="4946" spans="18:19" x14ac:dyDescent="0.25">
      <c r="R4946" s="13">
        <v>4873</v>
      </c>
      <c r="S4946" s="13">
        <v>0</v>
      </c>
    </row>
    <row r="4947" spans="18:19" x14ac:dyDescent="0.25">
      <c r="R4947" s="13">
        <v>4874</v>
      </c>
      <c r="S4947" s="13">
        <v>0</v>
      </c>
    </row>
    <row r="4948" spans="18:19" x14ac:dyDescent="0.25">
      <c r="R4948" s="13">
        <v>4875</v>
      </c>
      <c r="S4948" s="13">
        <v>0</v>
      </c>
    </row>
    <row r="4949" spans="18:19" x14ac:dyDescent="0.25">
      <c r="R4949" s="13">
        <v>4876</v>
      </c>
      <c r="S4949" s="13">
        <v>18747106.173114777</v>
      </c>
    </row>
    <row r="4950" spans="18:19" x14ac:dyDescent="0.25">
      <c r="R4950" s="13">
        <v>4877</v>
      </c>
      <c r="S4950" s="13">
        <v>0</v>
      </c>
    </row>
    <row r="4951" spans="18:19" x14ac:dyDescent="0.25">
      <c r="R4951" s="13">
        <v>4878</v>
      </c>
      <c r="S4951" s="13">
        <v>347989570.62913513</v>
      </c>
    </row>
    <row r="4952" spans="18:19" x14ac:dyDescent="0.25">
      <c r="R4952" s="13">
        <v>4879</v>
      </c>
      <c r="S4952" s="13">
        <v>0</v>
      </c>
    </row>
    <row r="4953" spans="18:19" x14ac:dyDescent="0.25">
      <c r="R4953" s="13">
        <v>4880</v>
      </c>
      <c r="S4953" s="13">
        <v>817697733.88119507</v>
      </c>
    </row>
    <row r="4954" spans="18:19" x14ac:dyDescent="0.25">
      <c r="R4954" s="13">
        <v>4881</v>
      </c>
      <c r="S4954" s="13">
        <v>0</v>
      </c>
    </row>
    <row r="4955" spans="18:19" x14ac:dyDescent="0.25">
      <c r="R4955" s="13">
        <v>4882</v>
      </c>
      <c r="S4955" s="13">
        <v>0</v>
      </c>
    </row>
    <row r="4956" spans="18:19" x14ac:dyDescent="0.25">
      <c r="R4956" s="13">
        <v>4883</v>
      </c>
      <c r="S4956" s="13">
        <v>0</v>
      </c>
    </row>
    <row r="4957" spans="18:19" x14ac:dyDescent="0.25">
      <c r="R4957" s="13">
        <v>4884</v>
      </c>
      <c r="S4957" s="13">
        <v>0</v>
      </c>
    </row>
    <row r="4958" spans="18:19" x14ac:dyDescent="0.25">
      <c r="R4958" s="13">
        <v>4885</v>
      </c>
      <c r="S4958" s="13">
        <v>0</v>
      </c>
    </row>
    <row r="4959" spans="18:19" x14ac:dyDescent="0.25">
      <c r="R4959" s="13">
        <v>4886</v>
      </c>
      <c r="S4959" s="13">
        <v>0</v>
      </c>
    </row>
    <row r="4960" spans="18:19" x14ac:dyDescent="0.25">
      <c r="R4960" s="13">
        <v>4887</v>
      </c>
      <c r="S4960" s="13">
        <v>0</v>
      </c>
    </row>
    <row r="4961" spans="18:19" x14ac:dyDescent="0.25">
      <c r="R4961" s="13">
        <v>4888</v>
      </c>
      <c r="S4961" s="13">
        <v>467450874.13678551</v>
      </c>
    </row>
    <row r="4962" spans="18:19" x14ac:dyDescent="0.25">
      <c r="R4962" s="13">
        <v>4889</v>
      </c>
      <c r="S4962" s="13">
        <v>0</v>
      </c>
    </row>
    <row r="4963" spans="18:19" x14ac:dyDescent="0.25">
      <c r="R4963" s="13">
        <v>4890</v>
      </c>
      <c r="S4963" s="13">
        <v>0</v>
      </c>
    </row>
    <row r="4964" spans="18:19" x14ac:dyDescent="0.25">
      <c r="R4964" s="13">
        <v>4891</v>
      </c>
      <c r="S4964" s="13">
        <v>0</v>
      </c>
    </row>
    <row r="4965" spans="18:19" x14ac:dyDescent="0.25">
      <c r="R4965" s="13">
        <v>4892</v>
      </c>
      <c r="S4965" s="13">
        <v>0</v>
      </c>
    </row>
    <row r="4966" spans="18:19" x14ac:dyDescent="0.25">
      <c r="R4966" s="13">
        <v>4893</v>
      </c>
      <c r="S4966" s="13">
        <v>0</v>
      </c>
    </row>
    <row r="4967" spans="18:19" x14ac:dyDescent="0.25">
      <c r="R4967" s="13">
        <v>4894</v>
      </c>
      <c r="S4967" s="13">
        <v>0</v>
      </c>
    </row>
    <row r="4968" spans="18:19" x14ac:dyDescent="0.25">
      <c r="R4968" s="13">
        <v>4895</v>
      </c>
      <c r="S4968" s="13">
        <v>0</v>
      </c>
    </row>
    <row r="4969" spans="18:19" x14ac:dyDescent="0.25">
      <c r="R4969" s="13">
        <v>4896</v>
      </c>
      <c r="S4969" s="13">
        <v>0</v>
      </c>
    </row>
    <row r="4970" spans="18:19" x14ac:dyDescent="0.25">
      <c r="R4970" s="13">
        <v>4897</v>
      </c>
      <c r="S4970" s="13">
        <v>0</v>
      </c>
    </row>
    <row r="4971" spans="18:19" x14ac:dyDescent="0.25">
      <c r="R4971" s="13">
        <v>4898</v>
      </c>
      <c r="S4971" s="13">
        <v>0</v>
      </c>
    </row>
    <row r="4972" spans="18:19" x14ac:dyDescent="0.25">
      <c r="R4972" s="13">
        <v>4899</v>
      </c>
      <c r="S4972" s="13">
        <v>1847090858.2025681</v>
      </c>
    </row>
    <row r="4973" spans="18:19" x14ac:dyDescent="0.25">
      <c r="R4973" s="13">
        <v>4900</v>
      </c>
      <c r="S4973" s="13">
        <v>0</v>
      </c>
    </row>
    <row r="4974" spans="18:19" x14ac:dyDescent="0.25">
      <c r="R4974" s="13">
        <v>4901</v>
      </c>
      <c r="S4974" s="13">
        <v>0</v>
      </c>
    </row>
    <row r="4975" spans="18:19" x14ac:dyDescent="0.25">
      <c r="R4975" s="13">
        <v>4902</v>
      </c>
      <c r="S4975" s="13">
        <v>0</v>
      </c>
    </row>
    <row r="4976" spans="18:19" x14ac:dyDescent="0.25">
      <c r="R4976" s="13">
        <v>4903</v>
      </c>
      <c r="S4976" s="13">
        <v>0</v>
      </c>
    </row>
    <row r="4977" spans="18:19" x14ac:dyDescent="0.25">
      <c r="R4977" s="13">
        <v>4904</v>
      </c>
      <c r="S4977" s="13">
        <v>114489828.80508614</v>
      </c>
    </row>
    <row r="4978" spans="18:19" x14ac:dyDescent="0.25">
      <c r="R4978" s="13">
        <v>4905</v>
      </c>
      <c r="S4978" s="13">
        <v>0</v>
      </c>
    </row>
    <row r="4979" spans="18:19" x14ac:dyDescent="0.25">
      <c r="R4979" s="13">
        <v>4906</v>
      </c>
      <c r="S4979" s="13">
        <v>0</v>
      </c>
    </row>
    <row r="4980" spans="18:19" x14ac:dyDescent="0.25">
      <c r="R4980" s="13">
        <v>4907</v>
      </c>
      <c r="S4980" s="13">
        <v>0</v>
      </c>
    </row>
    <row r="4981" spans="18:19" x14ac:dyDescent="0.25">
      <c r="R4981" s="13">
        <v>4908</v>
      </c>
      <c r="S4981" s="13">
        <v>212059185.37961197</v>
      </c>
    </row>
    <row r="4982" spans="18:19" x14ac:dyDescent="0.25">
      <c r="R4982" s="13">
        <v>4909</v>
      </c>
      <c r="S4982" s="13">
        <v>0</v>
      </c>
    </row>
    <row r="4983" spans="18:19" x14ac:dyDescent="0.25">
      <c r="R4983" s="13">
        <v>4910</v>
      </c>
      <c r="S4983" s="13">
        <v>270563342.62869263</v>
      </c>
    </row>
    <row r="4984" spans="18:19" x14ac:dyDescent="0.25">
      <c r="R4984" s="13">
        <v>4911</v>
      </c>
      <c r="S4984" s="13">
        <v>32604449.03185463</v>
      </c>
    </row>
    <row r="4985" spans="18:19" x14ac:dyDescent="0.25">
      <c r="R4985" s="13">
        <v>4912</v>
      </c>
      <c r="S4985" s="13">
        <v>0</v>
      </c>
    </row>
    <row r="4986" spans="18:19" x14ac:dyDescent="0.25">
      <c r="R4986" s="13">
        <v>4913</v>
      </c>
      <c r="S4986" s="13">
        <v>0</v>
      </c>
    </row>
    <row r="4987" spans="18:19" x14ac:dyDescent="0.25">
      <c r="R4987" s="13">
        <v>4914</v>
      </c>
      <c r="S4987" s="13">
        <v>0</v>
      </c>
    </row>
    <row r="4988" spans="18:19" x14ac:dyDescent="0.25">
      <c r="R4988" s="13">
        <v>4915</v>
      </c>
      <c r="S4988" s="13">
        <v>0</v>
      </c>
    </row>
    <row r="4989" spans="18:19" x14ac:dyDescent="0.25">
      <c r="R4989" s="13">
        <v>4916</v>
      </c>
      <c r="S4989" s="13">
        <v>0</v>
      </c>
    </row>
    <row r="4990" spans="18:19" x14ac:dyDescent="0.25">
      <c r="R4990" s="13">
        <v>4917</v>
      </c>
      <c r="S4990" s="13">
        <v>85148337.004541397</v>
      </c>
    </row>
    <row r="4991" spans="18:19" x14ac:dyDescent="0.25">
      <c r="R4991" s="13">
        <v>4918</v>
      </c>
      <c r="S4991" s="13">
        <v>0</v>
      </c>
    </row>
    <row r="4992" spans="18:19" x14ac:dyDescent="0.25">
      <c r="R4992" s="13">
        <v>4919</v>
      </c>
      <c r="S4992" s="13">
        <v>0</v>
      </c>
    </row>
    <row r="4993" spans="18:19" x14ac:dyDescent="0.25">
      <c r="R4993" s="13">
        <v>4920</v>
      </c>
      <c r="S4993" s="13">
        <v>0</v>
      </c>
    </row>
    <row r="4994" spans="18:19" x14ac:dyDescent="0.25">
      <c r="R4994" s="13">
        <v>4921</v>
      </c>
      <c r="S4994" s="13">
        <v>75850900.875268936</v>
      </c>
    </row>
    <row r="4995" spans="18:19" x14ac:dyDescent="0.25">
      <c r="R4995" s="13">
        <v>4922</v>
      </c>
      <c r="S4995" s="13">
        <v>0</v>
      </c>
    </row>
    <row r="4996" spans="18:19" x14ac:dyDescent="0.25">
      <c r="R4996" s="13">
        <v>4923</v>
      </c>
      <c r="S4996" s="13">
        <v>420876080.88775635</v>
      </c>
    </row>
    <row r="4997" spans="18:19" x14ac:dyDescent="0.25">
      <c r="R4997" s="13">
        <v>4924</v>
      </c>
      <c r="S4997" s="13">
        <v>0</v>
      </c>
    </row>
    <row r="4998" spans="18:19" x14ac:dyDescent="0.25">
      <c r="R4998" s="13">
        <v>4925</v>
      </c>
      <c r="S4998" s="13">
        <v>0</v>
      </c>
    </row>
    <row r="4999" spans="18:19" x14ac:dyDescent="0.25">
      <c r="R4999" s="13">
        <v>4926</v>
      </c>
      <c r="S4999" s="13">
        <v>0</v>
      </c>
    </row>
    <row r="5000" spans="18:19" x14ac:dyDescent="0.25">
      <c r="R5000" s="13">
        <v>4927</v>
      </c>
      <c r="S5000" s="13">
        <v>0</v>
      </c>
    </row>
    <row r="5001" spans="18:19" x14ac:dyDescent="0.25">
      <c r="R5001" s="13">
        <v>4928</v>
      </c>
      <c r="S5001" s="13">
        <v>0</v>
      </c>
    </row>
    <row r="5002" spans="18:19" x14ac:dyDescent="0.25">
      <c r="R5002" s="13">
        <v>4929</v>
      </c>
      <c r="S5002" s="13">
        <v>0</v>
      </c>
    </row>
    <row r="5003" spans="18:19" x14ac:dyDescent="0.25">
      <c r="R5003" s="13">
        <v>4930</v>
      </c>
      <c r="S5003" s="13">
        <v>0</v>
      </c>
    </row>
    <row r="5004" spans="18:19" x14ac:dyDescent="0.25">
      <c r="R5004" s="13">
        <v>4931</v>
      </c>
      <c r="S5004" s="13">
        <v>0</v>
      </c>
    </row>
    <row r="5005" spans="18:19" x14ac:dyDescent="0.25">
      <c r="R5005" s="13">
        <v>4932</v>
      </c>
      <c r="S5005" s="13">
        <v>433234734.81158638</v>
      </c>
    </row>
    <row r="5006" spans="18:19" x14ac:dyDescent="0.25">
      <c r="R5006" s="13">
        <v>4933</v>
      </c>
      <c r="S5006" s="13">
        <v>0</v>
      </c>
    </row>
    <row r="5007" spans="18:19" x14ac:dyDescent="0.25">
      <c r="R5007" s="13">
        <v>4934</v>
      </c>
      <c r="S5007" s="13">
        <v>0</v>
      </c>
    </row>
    <row r="5008" spans="18:19" x14ac:dyDescent="0.25">
      <c r="R5008" s="13">
        <v>4935</v>
      </c>
      <c r="S5008" s="13">
        <v>0</v>
      </c>
    </row>
    <row r="5009" spans="18:19" x14ac:dyDescent="0.25">
      <c r="R5009" s="13">
        <v>4936</v>
      </c>
      <c r="S5009" s="13">
        <v>0</v>
      </c>
    </row>
    <row r="5010" spans="18:19" x14ac:dyDescent="0.25">
      <c r="R5010" s="13">
        <v>4937</v>
      </c>
      <c r="S5010" s="13">
        <v>0</v>
      </c>
    </row>
    <row r="5011" spans="18:19" x14ac:dyDescent="0.25">
      <c r="R5011" s="13">
        <v>4938</v>
      </c>
      <c r="S5011" s="13">
        <v>0</v>
      </c>
    </row>
    <row r="5012" spans="18:19" x14ac:dyDescent="0.25">
      <c r="R5012" s="13">
        <v>4939</v>
      </c>
      <c r="S5012" s="13">
        <v>0</v>
      </c>
    </row>
    <row r="5013" spans="18:19" x14ac:dyDescent="0.25">
      <c r="R5013" s="13">
        <v>4940</v>
      </c>
      <c r="S5013" s="13">
        <v>232212836.77160454</v>
      </c>
    </row>
    <row r="5014" spans="18:19" x14ac:dyDescent="0.25">
      <c r="R5014" s="13">
        <v>4941</v>
      </c>
      <c r="S5014" s="13">
        <v>147873366.21298599</v>
      </c>
    </row>
    <row r="5015" spans="18:19" x14ac:dyDescent="0.25">
      <c r="R5015" s="13">
        <v>4942</v>
      </c>
      <c r="S5015" s="13">
        <v>0</v>
      </c>
    </row>
    <row r="5016" spans="18:19" x14ac:dyDescent="0.25">
      <c r="R5016" s="13">
        <v>4943</v>
      </c>
      <c r="S5016" s="13">
        <v>0</v>
      </c>
    </row>
    <row r="5017" spans="18:19" x14ac:dyDescent="0.25">
      <c r="R5017" s="13">
        <v>4944</v>
      </c>
      <c r="S5017" s="13">
        <v>684311225.77891159</v>
      </c>
    </row>
    <row r="5018" spans="18:19" x14ac:dyDescent="0.25">
      <c r="R5018" s="13">
        <v>4945</v>
      </c>
      <c r="S5018" s="13">
        <v>0</v>
      </c>
    </row>
    <row r="5019" spans="18:19" x14ac:dyDescent="0.25">
      <c r="R5019" s="13">
        <v>4946</v>
      </c>
      <c r="S5019" s="13">
        <v>320672014.28215599</v>
      </c>
    </row>
    <row r="5020" spans="18:19" x14ac:dyDescent="0.25">
      <c r="R5020" s="13">
        <v>4947</v>
      </c>
      <c r="S5020" s="13">
        <v>0</v>
      </c>
    </row>
    <row r="5021" spans="18:19" x14ac:dyDescent="0.25">
      <c r="R5021" s="13">
        <v>4948</v>
      </c>
      <c r="S5021" s="13">
        <v>0</v>
      </c>
    </row>
    <row r="5022" spans="18:19" x14ac:dyDescent="0.25">
      <c r="R5022" s="13">
        <v>4949</v>
      </c>
      <c r="S5022" s="13">
        <v>0</v>
      </c>
    </row>
    <row r="5023" spans="18:19" x14ac:dyDescent="0.25">
      <c r="R5023" s="13">
        <v>4950</v>
      </c>
      <c r="S5023" s="13">
        <v>0</v>
      </c>
    </row>
    <row r="5024" spans="18:19" x14ac:dyDescent="0.25">
      <c r="R5024" s="13">
        <v>4951</v>
      </c>
      <c r="S5024" s="13">
        <v>0</v>
      </c>
    </row>
    <row r="5025" spans="18:19" x14ac:dyDescent="0.25">
      <c r="R5025" s="13">
        <v>4952</v>
      </c>
      <c r="S5025" s="13">
        <v>0</v>
      </c>
    </row>
    <row r="5026" spans="18:19" x14ac:dyDescent="0.25">
      <c r="R5026" s="13">
        <v>4953</v>
      </c>
      <c r="S5026" s="13">
        <v>0</v>
      </c>
    </row>
    <row r="5027" spans="18:19" x14ac:dyDescent="0.25">
      <c r="R5027" s="13">
        <v>4954</v>
      </c>
      <c r="S5027" s="13">
        <v>0</v>
      </c>
    </row>
    <row r="5028" spans="18:19" x14ac:dyDescent="0.25">
      <c r="R5028" s="13">
        <v>4955</v>
      </c>
      <c r="S5028" s="13">
        <v>0</v>
      </c>
    </row>
    <row r="5029" spans="18:19" x14ac:dyDescent="0.25">
      <c r="R5029" s="13">
        <v>4956</v>
      </c>
      <c r="S5029" s="13">
        <v>0</v>
      </c>
    </row>
    <row r="5030" spans="18:19" x14ac:dyDescent="0.25">
      <c r="R5030" s="13">
        <v>4957</v>
      </c>
      <c r="S5030" s="13">
        <v>0</v>
      </c>
    </row>
    <row r="5031" spans="18:19" x14ac:dyDescent="0.25">
      <c r="R5031" s="13">
        <v>4958</v>
      </c>
      <c r="S5031" s="13">
        <v>0</v>
      </c>
    </row>
    <row r="5032" spans="18:19" x14ac:dyDescent="0.25">
      <c r="R5032" s="13">
        <v>4959</v>
      </c>
      <c r="S5032" s="13">
        <v>1014725666.1392403</v>
      </c>
    </row>
    <row r="5033" spans="18:19" x14ac:dyDescent="0.25">
      <c r="R5033" s="13">
        <v>4960</v>
      </c>
      <c r="S5033" s="13">
        <v>0</v>
      </c>
    </row>
    <row r="5034" spans="18:19" x14ac:dyDescent="0.25">
      <c r="R5034" s="13">
        <v>4961</v>
      </c>
      <c r="S5034" s="13">
        <v>0</v>
      </c>
    </row>
    <row r="5035" spans="18:19" x14ac:dyDescent="0.25">
      <c r="R5035" s="13">
        <v>4962</v>
      </c>
      <c r="S5035" s="13">
        <v>0</v>
      </c>
    </row>
    <row r="5036" spans="18:19" x14ac:dyDescent="0.25">
      <c r="R5036" s="13">
        <v>4963</v>
      </c>
      <c r="S5036" s="13">
        <v>0</v>
      </c>
    </row>
    <row r="5037" spans="18:19" x14ac:dyDescent="0.25">
      <c r="R5037" s="13">
        <v>4964</v>
      </c>
      <c r="S5037" s="13">
        <v>483325752.46774101</v>
      </c>
    </row>
    <row r="5038" spans="18:19" x14ac:dyDescent="0.25">
      <c r="R5038" s="13">
        <v>4965</v>
      </c>
      <c r="S5038" s="13">
        <v>0</v>
      </c>
    </row>
    <row r="5039" spans="18:19" x14ac:dyDescent="0.25">
      <c r="R5039" s="13">
        <v>4966</v>
      </c>
      <c r="S5039" s="13">
        <v>496626339.95334625</v>
      </c>
    </row>
    <row r="5040" spans="18:19" x14ac:dyDescent="0.25">
      <c r="R5040" s="13">
        <v>4967</v>
      </c>
      <c r="S5040" s="13">
        <v>0</v>
      </c>
    </row>
    <row r="5041" spans="18:19" x14ac:dyDescent="0.25">
      <c r="R5041" s="13">
        <v>4968</v>
      </c>
      <c r="S5041" s="13">
        <v>0</v>
      </c>
    </row>
    <row r="5042" spans="18:19" x14ac:dyDescent="0.25">
      <c r="R5042" s="13">
        <v>4969</v>
      </c>
      <c r="S5042" s="13">
        <v>0</v>
      </c>
    </row>
    <row r="5043" spans="18:19" x14ac:dyDescent="0.25">
      <c r="R5043" s="13">
        <v>4970</v>
      </c>
      <c r="S5043" s="13">
        <v>0</v>
      </c>
    </row>
    <row r="5044" spans="18:19" x14ac:dyDescent="0.25">
      <c r="R5044" s="13">
        <v>4971</v>
      </c>
      <c r="S5044" s="13">
        <v>0</v>
      </c>
    </row>
    <row r="5045" spans="18:19" x14ac:dyDescent="0.25">
      <c r="R5045" s="13">
        <v>4972</v>
      </c>
      <c r="S5045" s="13">
        <v>0</v>
      </c>
    </row>
    <row r="5046" spans="18:19" x14ac:dyDescent="0.25">
      <c r="R5046" s="13">
        <v>4973</v>
      </c>
      <c r="S5046" s="13">
        <v>0</v>
      </c>
    </row>
    <row r="5047" spans="18:19" x14ac:dyDescent="0.25">
      <c r="R5047" s="13">
        <v>4974</v>
      </c>
      <c r="S5047" s="13">
        <v>0</v>
      </c>
    </row>
    <row r="5048" spans="18:19" x14ac:dyDescent="0.25">
      <c r="R5048" s="13">
        <v>4975</v>
      </c>
      <c r="S5048" s="13">
        <v>31815946.586572647</v>
      </c>
    </row>
    <row r="5049" spans="18:19" x14ac:dyDescent="0.25">
      <c r="R5049" s="13">
        <v>4976</v>
      </c>
      <c r="S5049" s="13">
        <v>0</v>
      </c>
    </row>
    <row r="5050" spans="18:19" x14ac:dyDescent="0.25">
      <c r="R5050" s="13">
        <v>4977</v>
      </c>
      <c r="S5050" s="13">
        <v>0</v>
      </c>
    </row>
    <row r="5051" spans="18:19" x14ac:dyDescent="0.25">
      <c r="R5051" s="13">
        <v>4978</v>
      </c>
      <c r="S5051" s="13">
        <v>501706039.61435509</v>
      </c>
    </row>
    <row r="5052" spans="18:19" x14ac:dyDescent="0.25">
      <c r="R5052" s="13">
        <v>4979</v>
      </c>
      <c r="S5052" s="13">
        <v>0</v>
      </c>
    </row>
    <row r="5053" spans="18:19" x14ac:dyDescent="0.25">
      <c r="R5053" s="13">
        <v>4980</v>
      </c>
      <c r="S5053" s="13">
        <v>0</v>
      </c>
    </row>
    <row r="5054" spans="18:19" x14ac:dyDescent="0.25">
      <c r="R5054" s="13">
        <v>4981</v>
      </c>
      <c r="S5054" s="13">
        <v>0</v>
      </c>
    </row>
    <row r="5055" spans="18:19" x14ac:dyDescent="0.25">
      <c r="R5055" s="13">
        <v>4982</v>
      </c>
      <c r="S5055" s="13">
        <v>0</v>
      </c>
    </row>
    <row r="5056" spans="18:19" x14ac:dyDescent="0.25">
      <c r="R5056" s="13">
        <v>4983</v>
      </c>
      <c r="S5056" s="13">
        <v>0</v>
      </c>
    </row>
    <row r="5057" spans="18:19" x14ac:dyDescent="0.25">
      <c r="R5057" s="13">
        <v>4984</v>
      </c>
      <c r="S5057" s="13">
        <v>0</v>
      </c>
    </row>
    <row r="5058" spans="18:19" x14ac:dyDescent="0.25">
      <c r="R5058" s="13">
        <v>4985</v>
      </c>
      <c r="S5058" s="13">
        <v>415567775.53352928</v>
      </c>
    </row>
    <row r="5059" spans="18:19" x14ac:dyDescent="0.25">
      <c r="R5059" s="13">
        <v>4986</v>
      </c>
      <c r="S5059" s="13">
        <v>0</v>
      </c>
    </row>
    <row r="5060" spans="18:19" x14ac:dyDescent="0.25">
      <c r="R5060" s="13">
        <v>4987</v>
      </c>
      <c r="S5060" s="13">
        <v>0</v>
      </c>
    </row>
    <row r="5061" spans="18:19" x14ac:dyDescent="0.25">
      <c r="R5061" s="13">
        <v>4988</v>
      </c>
      <c r="S5061" s="13">
        <v>0</v>
      </c>
    </row>
    <row r="5062" spans="18:19" x14ac:dyDescent="0.25">
      <c r="R5062" s="13">
        <v>4989</v>
      </c>
      <c r="S5062" s="13">
        <v>0</v>
      </c>
    </row>
    <row r="5063" spans="18:19" x14ac:dyDescent="0.25">
      <c r="R5063" s="13">
        <v>4990</v>
      </c>
      <c r="S5063" s="13">
        <v>0</v>
      </c>
    </row>
    <row r="5064" spans="18:19" x14ac:dyDescent="0.25">
      <c r="R5064" s="13">
        <v>4991</v>
      </c>
      <c r="S5064" s="13">
        <v>0</v>
      </c>
    </row>
    <row r="5065" spans="18:19" x14ac:dyDescent="0.25">
      <c r="R5065" s="13">
        <v>4992</v>
      </c>
      <c r="S5065" s="13">
        <v>0</v>
      </c>
    </row>
    <row r="5066" spans="18:19" x14ac:dyDescent="0.25">
      <c r="R5066" s="13">
        <v>4993</v>
      </c>
      <c r="S5066" s="13">
        <v>0</v>
      </c>
    </row>
    <row r="5067" spans="18:19" x14ac:dyDescent="0.25">
      <c r="R5067" s="13">
        <v>4994</v>
      </c>
      <c r="S5067" s="13">
        <v>0</v>
      </c>
    </row>
    <row r="5068" spans="18:19" x14ac:dyDescent="0.25">
      <c r="R5068" s="13">
        <v>4995</v>
      </c>
      <c r="S5068" s="13">
        <v>0</v>
      </c>
    </row>
    <row r="5069" spans="18:19" x14ac:dyDescent="0.25">
      <c r="R5069" s="13">
        <v>4996</v>
      </c>
      <c r="S5069" s="13">
        <v>0</v>
      </c>
    </row>
    <row r="5070" spans="18:19" x14ac:dyDescent="0.25">
      <c r="R5070" s="13">
        <v>4997</v>
      </c>
      <c r="S5070" s="13">
        <v>0</v>
      </c>
    </row>
    <row r="5071" spans="18:19" x14ac:dyDescent="0.25">
      <c r="R5071" s="13">
        <v>4998</v>
      </c>
      <c r="S5071" s="13">
        <v>344451828.13644028</v>
      </c>
    </row>
    <row r="5072" spans="18:19" x14ac:dyDescent="0.25">
      <c r="R5072" s="13">
        <v>4999</v>
      </c>
      <c r="S5072" s="13">
        <v>0</v>
      </c>
    </row>
    <row r="5073" spans="18:19" x14ac:dyDescent="0.25">
      <c r="R5073" s="13">
        <v>5000</v>
      </c>
      <c r="S5073" s="13">
        <v>250968281.38161659</v>
      </c>
    </row>
    <row r="5074" spans="18:19" x14ac:dyDescent="0.25">
      <c r="R5074" s="13">
        <v>5001</v>
      </c>
      <c r="S5074" s="13">
        <v>465027456.60775948</v>
      </c>
    </row>
    <row r="5075" spans="18:19" x14ac:dyDescent="0.25">
      <c r="R5075" s="13">
        <v>5002</v>
      </c>
      <c r="S5075" s="13">
        <v>305646159.74744225</v>
      </c>
    </row>
    <row r="5076" spans="18:19" x14ac:dyDescent="0.25">
      <c r="R5076" s="13">
        <v>5003</v>
      </c>
      <c r="S5076" s="13">
        <v>0</v>
      </c>
    </row>
    <row r="5077" spans="18:19" x14ac:dyDescent="0.25">
      <c r="R5077" s="13">
        <v>5004</v>
      </c>
      <c r="S5077" s="13">
        <v>0</v>
      </c>
    </row>
    <row r="5078" spans="18:19" x14ac:dyDescent="0.25">
      <c r="R5078" s="13">
        <v>5005</v>
      </c>
      <c r="S5078" s="13">
        <v>0</v>
      </c>
    </row>
    <row r="5079" spans="18:19" x14ac:dyDescent="0.25">
      <c r="R5079" s="13">
        <v>5006</v>
      </c>
      <c r="S5079" s="13">
        <v>0</v>
      </c>
    </row>
    <row r="5080" spans="18:19" x14ac:dyDescent="0.25">
      <c r="R5080" s="13">
        <v>5007</v>
      </c>
      <c r="S5080" s="13">
        <v>280720777.68340492</v>
      </c>
    </row>
    <row r="5081" spans="18:19" x14ac:dyDescent="0.25">
      <c r="R5081" s="13">
        <v>5008</v>
      </c>
      <c r="S5081" s="13">
        <v>0</v>
      </c>
    </row>
    <row r="5082" spans="18:19" x14ac:dyDescent="0.25">
      <c r="R5082" s="13">
        <v>5009</v>
      </c>
      <c r="S5082" s="13">
        <v>0</v>
      </c>
    </row>
    <row r="5083" spans="18:19" x14ac:dyDescent="0.25">
      <c r="R5083" s="13">
        <v>5010</v>
      </c>
      <c r="S5083" s="13">
        <v>0</v>
      </c>
    </row>
    <row r="5084" spans="18:19" x14ac:dyDescent="0.25">
      <c r="R5084" s="13">
        <v>5011</v>
      </c>
      <c r="S5084" s="13">
        <v>0</v>
      </c>
    </row>
    <row r="5085" spans="18:19" x14ac:dyDescent="0.25">
      <c r="R5085" s="13">
        <v>5012</v>
      </c>
      <c r="S5085" s="13">
        <v>0</v>
      </c>
    </row>
    <row r="5086" spans="18:19" x14ac:dyDescent="0.25">
      <c r="R5086" s="13">
        <v>5013</v>
      </c>
      <c r="S5086" s="13">
        <v>54908344.315153122</v>
      </c>
    </row>
    <row r="5087" spans="18:19" x14ac:dyDescent="0.25">
      <c r="R5087" s="13">
        <v>5014</v>
      </c>
      <c r="S5087" s="13">
        <v>0</v>
      </c>
    </row>
    <row r="5088" spans="18:19" x14ac:dyDescent="0.25">
      <c r="R5088" s="13">
        <v>5015</v>
      </c>
      <c r="S5088" s="13">
        <v>355390873.13624001</v>
      </c>
    </row>
    <row r="5089" spans="18:19" x14ac:dyDescent="0.25">
      <c r="R5089" s="13">
        <v>5016</v>
      </c>
      <c r="S5089" s="13">
        <v>0</v>
      </c>
    </row>
    <row r="5090" spans="18:19" x14ac:dyDescent="0.25">
      <c r="R5090" s="13">
        <v>5017</v>
      </c>
      <c r="S5090" s="13">
        <v>0</v>
      </c>
    </row>
    <row r="5091" spans="18:19" x14ac:dyDescent="0.25">
      <c r="R5091" s="13">
        <v>5018</v>
      </c>
      <c r="S5091" s="13">
        <v>177567471.55724716</v>
      </c>
    </row>
    <row r="5092" spans="18:19" x14ac:dyDescent="0.25">
      <c r="R5092" s="13">
        <v>5019</v>
      </c>
      <c r="S5092" s="13">
        <v>293093637.2064743</v>
      </c>
    </row>
    <row r="5093" spans="18:19" x14ac:dyDescent="0.25">
      <c r="R5093" s="13">
        <v>5020</v>
      </c>
      <c r="S5093" s="13">
        <v>0</v>
      </c>
    </row>
    <row r="5094" spans="18:19" x14ac:dyDescent="0.25">
      <c r="R5094" s="13">
        <v>5021</v>
      </c>
      <c r="S5094" s="13">
        <v>0</v>
      </c>
    </row>
    <row r="5095" spans="18:19" x14ac:dyDescent="0.25">
      <c r="R5095" s="13">
        <v>5022</v>
      </c>
      <c r="S5095" s="13">
        <v>206839762.66209602</v>
      </c>
    </row>
    <row r="5096" spans="18:19" x14ac:dyDescent="0.25">
      <c r="R5096" s="13">
        <v>5023</v>
      </c>
      <c r="S5096" s="13">
        <v>0</v>
      </c>
    </row>
    <row r="5097" spans="18:19" x14ac:dyDescent="0.25">
      <c r="R5097" s="13">
        <v>5024</v>
      </c>
      <c r="S5097" s="13">
        <v>0</v>
      </c>
    </row>
    <row r="5098" spans="18:19" x14ac:dyDescent="0.25">
      <c r="R5098" s="13">
        <v>5025</v>
      </c>
      <c r="S5098" s="13">
        <v>0</v>
      </c>
    </row>
    <row r="5099" spans="18:19" x14ac:dyDescent="0.25">
      <c r="R5099" s="13">
        <v>5026</v>
      </c>
      <c r="S5099" s="13">
        <v>0</v>
      </c>
    </row>
    <row r="5100" spans="18:19" x14ac:dyDescent="0.25">
      <c r="R5100" s="13">
        <v>5027</v>
      </c>
      <c r="S5100" s="13">
        <v>0</v>
      </c>
    </row>
    <row r="5101" spans="18:19" x14ac:dyDescent="0.25">
      <c r="R5101" s="13">
        <v>5028</v>
      </c>
      <c r="S5101" s="13">
        <v>0</v>
      </c>
    </row>
    <row r="5102" spans="18:19" x14ac:dyDescent="0.25">
      <c r="R5102" s="13">
        <v>5029</v>
      </c>
      <c r="S5102" s="13">
        <v>0</v>
      </c>
    </row>
    <row r="5103" spans="18:19" x14ac:dyDescent="0.25">
      <c r="R5103" s="13">
        <v>5030</v>
      </c>
      <c r="S5103" s="13">
        <v>0</v>
      </c>
    </row>
    <row r="5104" spans="18:19" x14ac:dyDescent="0.25">
      <c r="R5104" s="13">
        <v>5031</v>
      </c>
      <c r="S5104" s="13">
        <v>0</v>
      </c>
    </row>
    <row r="5105" spans="18:19" x14ac:dyDescent="0.25">
      <c r="R5105" s="13">
        <v>5032</v>
      </c>
      <c r="S5105" s="13">
        <v>0</v>
      </c>
    </row>
    <row r="5106" spans="18:19" x14ac:dyDescent="0.25">
      <c r="R5106" s="13">
        <v>5033</v>
      </c>
      <c r="S5106" s="13">
        <v>0</v>
      </c>
    </row>
    <row r="5107" spans="18:19" x14ac:dyDescent="0.25">
      <c r="R5107" s="13">
        <v>5034</v>
      </c>
      <c r="S5107" s="13">
        <v>0</v>
      </c>
    </row>
    <row r="5108" spans="18:19" x14ac:dyDescent="0.25">
      <c r="R5108" s="13">
        <v>5035</v>
      </c>
      <c r="S5108" s="13">
        <v>0</v>
      </c>
    </row>
    <row r="5109" spans="18:19" x14ac:dyDescent="0.25">
      <c r="R5109" s="13">
        <v>5036</v>
      </c>
      <c r="S5109" s="13">
        <v>0</v>
      </c>
    </row>
    <row r="5110" spans="18:19" x14ac:dyDescent="0.25">
      <c r="R5110" s="13">
        <v>5037</v>
      </c>
      <c r="S5110" s="13">
        <v>132024754.27542496</v>
      </c>
    </row>
    <row r="5111" spans="18:19" x14ac:dyDescent="0.25">
      <c r="R5111" s="13">
        <v>5038</v>
      </c>
      <c r="S5111" s="13">
        <v>0</v>
      </c>
    </row>
    <row r="5112" spans="18:19" x14ac:dyDescent="0.25">
      <c r="R5112" s="13">
        <v>5039</v>
      </c>
      <c r="S5112" s="13">
        <v>0</v>
      </c>
    </row>
    <row r="5113" spans="18:19" x14ac:dyDescent="0.25">
      <c r="R5113" s="13">
        <v>5040</v>
      </c>
      <c r="S5113" s="13">
        <v>0</v>
      </c>
    </row>
    <row r="5114" spans="18:19" x14ac:dyDescent="0.25">
      <c r="R5114" s="13">
        <v>5041</v>
      </c>
      <c r="S5114" s="13">
        <v>0</v>
      </c>
    </row>
    <row r="5115" spans="18:19" x14ac:dyDescent="0.25">
      <c r="R5115" s="13">
        <v>5042</v>
      </c>
      <c r="S5115" s="13">
        <v>0</v>
      </c>
    </row>
    <row r="5116" spans="18:19" x14ac:dyDescent="0.25">
      <c r="R5116" s="13">
        <v>5043</v>
      </c>
      <c r="S5116" s="13">
        <v>0</v>
      </c>
    </row>
    <row r="5117" spans="18:19" x14ac:dyDescent="0.25">
      <c r="R5117" s="13">
        <v>5044</v>
      </c>
      <c r="S5117" s="13">
        <v>0</v>
      </c>
    </row>
    <row r="5118" spans="18:19" x14ac:dyDescent="0.25">
      <c r="R5118" s="13">
        <v>5045</v>
      </c>
      <c r="S5118" s="13">
        <v>0</v>
      </c>
    </row>
    <row r="5119" spans="18:19" x14ac:dyDescent="0.25">
      <c r="R5119" s="13">
        <v>5046</v>
      </c>
      <c r="S5119" s="13">
        <v>0</v>
      </c>
    </row>
    <row r="5120" spans="18:19" x14ac:dyDescent="0.25">
      <c r="R5120" s="13">
        <v>5047</v>
      </c>
      <c r="S5120" s="13">
        <v>0</v>
      </c>
    </row>
    <row r="5121" spans="18:19" x14ac:dyDescent="0.25">
      <c r="R5121" s="13">
        <v>5048</v>
      </c>
      <c r="S5121" s="13">
        <v>791198613.07647133</v>
      </c>
    </row>
    <row r="5122" spans="18:19" x14ac:dyDescent="0.25">
      <c r="R5122" s="13">
        <v>5049</v>
      </c>
      <c r="S5122" s="13">
        <v>0</v>
      </c>
    </row>
    <row r="5123" spans="18:19" x14ac:dyDescent="0.25">
      <c r="R5123" s="13">
        <v>5050</v>
      </c>
      <c r="S5123" s="13">
        <v>0</v>
      </c>
    </row>
    <row r="5124" spans="18:19" x14ac:dyDescent="0.25">
      <c r="R5124" s="13">
        <v>5051</v>
      </c>
      <c r="S5124" s="13">
        <v>0</v>
      </c>
    </row>
    <row r="5125" spans="18:19" x14ac:dyDescent="0.25">
      <c r="R5125" s="13">
        <v>5052</v>
      </c>
      <c r="S5125" s="13">
        <v>0</v>
      </c>
    </row>
    <row r="5126" spans="18:19" x14ac:dyDescent="0.25">
      <c r="R5126" s="13">
        <v>5053</v>
      </c>
      <c r="S5126" s="13">
        <v>0</v>
      </c>
    </row>
    <row r="5127" spans="18:19" x14ac:dyDescent="0.25">
      <c r="R5127" s="13">
        <v>5054</v>
      </c>
      <c r="S5127" s="13">
        <v>1263344053.9451141</v>
      </c>
    </row>
    <row r="5128" spans="18:19" x14ac:dyDescent="0.25">
      <c r="R5128" s="13">
        <v>5055</v>
      </c>
      <c r="S5128" s="13">
        <v>69828636.806997299</v>
      </c>
    </row>
    <row r="5129" spans="18:19" x14ac:dyDescent="0.25">
      <c r="R5129" s="13">
        <v>5056</v>
      </c>
      <c r="S5129" s="13">
        <v>0</v>
      </c>
    </row>
    <row r="5130" spans="18:19" x14ac:dyDescent="0.25">
      <c r="R5130" s="13">
        <v>5057</v>
      </c>
      <c r="S5130" s="13">
        <v>0</v>
      </c>
    </row>
    <row r="5131" spans="18:19" x14ac:dyDescent="0.25">
      <c r="R5131" s="13">
        <v>5058</v>
      </c>
      <c r="S5131" s="13">
        <v>0</v>
      </c>
    </row>
    <row r="5132" spans="18:19" x14ac:dyDescent="0.25">
      <c r="R5132" s="13">
        <v>5059</v>
      </c>
      <c r="S5132" s="13">
        <v>0</v>
      </c>
    </row>
    <row r="5133" spans="18:19" x14ac:dyDescent="0.25">
      <c r="R5133" s="13">
        <v>5060</v>
      </c>
      <c r="S5133" s="13">
        <v>0</v>
      </c>
    </row>
    <row r="5134" spans="18:19" x14ac:dyDescent="0.25">
      <c r="R5134" s="13">
        <v>5061</v>
      </c>
      <c r="S5134" s="13">
        <v>13941709.265842438</v>
      </c>
    </row>
    <row r="5135" spans="18:19" x14ac:dyDescent="0.25">
      <c r="R5135" s="13">
        <v>5062</v>
      </c>
      <c r="S5135" s="13">
        <v>0</v>
      </c>
    </row>
    <row r="5136" spans="18:19" x14ac:dyDescent="0.25">
      <c r="R5136" s="13">
        <v>5063</v>
      </c>
      <c r="S5136" s="13">
        <v>0</v>
      </c>
    </row>
    <row r="5137" spans="18:19" x14ac:dyDescent="0.25">
      <c r="R5137" s="13">
        <v>5064</v>
      </c>
      <c r="S5137" s="13">
        <v>0</v>
      </c>
    </row>
    <row r="5138" spans="18:19" x14ac:dyDescent="0.25">
      <c r="R5138" s="13">
        <v>5065</v>
      </c>
      <c r="S5138" s="13">
        <v>0</v>
      </c>
    </row>
    <row r="5139" spans="18:19" x14ac:dyDescent="0.25">
      <c r="R5139" s="13">
        <v>5066</v>
      </c>
      <c r="S5139" s="13">
        <v>0</v>
      </c>
    </row>
    <row r="5140" spans="18:19" x14ac:dyDescent="0.25">
      <c r="R5140" s="13">
        <v>5067</v>
      </c>
      <c r="S5140" s="13">
        <v>0</v>
      </c>
    </row>
    <row r="5141" spans="18:19" x14ac:dyDescent="0.25">
      <c r="R5141" s="13">
        <v>5068</v>
      </c>
      <c r="S5141" s="13">
        <v>26447164.914903641</v>
      </c>
    </row>
    <row r="5142" spans="18:19" x14ac:dyDescent="0.25">
      <c r="R5142" s="13">
        <v>5069</v>
      </c>
      <c r="S5142" s="13">
        <v>0</v>
      </c>
    </row>
    <row r="5143" spans="18:19" x14ac:dyDescent="0.25">
      <c r="R5143" s="13">
        <v>5070</v>
      </c>
      <c r="S5143" s="13">
        <v>0</v>
      </c>
    </row>
    <row r="5144" spans="18:19" x14ac:dyDescent="0.25">
      <c r="R5144" s="13">
        <v>5071</v>
      </c>
      <c r="S5144" s="13">
        <v>0</v>
      </c>
    </row>
    <row r="5145" spans="18:19" x14ac:dyDescent="0.25">
      <c r="R5145" s="13">
        <v>5072</v>
      </c>
      <c r="S5145" s="13">
        <v>0</v>
      </c>
    </row>
    <row r="5146" spans="18:19" x14ac:dyDescent="0.25">
      <c r="R5146" s="13">
        <v>5073</v>
      </c>
      <c r="S5146" s="13">
        <v>1284682093.3847713</v>
      </c>
    </row>
    <row r="5147" spans="18:19" x14ac:dyDescent="0.25">
      <c r="R5147" s="13">
        <v>5074</v>
      </c>
      <c r="S5147" s="13">
        <v>0</v>
      </c>
    </row>
    <row r="5148" spans="18:19" x14ac:dyDescent="0.25">
      <c r="R5148" s="13">
        <v>5075</v>
      </c>
      <c r="S5148" s="13">
        <v>529138015.55254936</v>
      </c>
    </row>
    <row r="5149" spans="18:19" x14ac:dyDescent="0.25">
      <c r="R5149" s="13">
        <v>5076</v>
      </c>
      <c r="S5149" s="13">
        <v>0</v>
      </c>
    </row>
    <row r="5150" spans="18:19" x14ac:dyDescent="0.25">
      <c r="R5150" s="13">
        <v>5077</v>
      </c>
      <c r="S5150" s="13">
        <v>0</v>
      </c>
    </row>
    <row r="5151" spans="18:19" x14ac:dyDescent="0.25">
      <c r="R5151" s="13">
        <v>5078</v>
      </c>
      <c r="S5151" s="13">
        <v>0</v>
      </c>
    </row>
    <row r="5152" spans="18:19" x14ac:dyDescent="0.25">
      <c r="R5152" s="13">
        <v>5079</v>
      </c>
      <c r="S5152" s="13">
        <v>503519997.89641571</v>
      </c>
    </row>
    <row r="5153" spans="18:19" x14ac:dyDescent="0.25">
      <c r="R5153" s="13">
        <v>5080</v>
      </c>
      <c r="S5153" s="13">
        <v>0</v>
      </c>
    </row>
    <row r="5154" spans="18:19" x14ac:dyDescent="0.25">
      <c r="R5154" s="13">
        <v>5081</v>
      </c>
      <c r="S5154" s="13">
        <v>15777893.7935009</v>
      </c>
    </row>
    <row r="5155" spans="18:19" x14ac:dyDescent="0.25">
      <c r="R5155" s="13">
        <v>5082</v>
      </c>
      <c r="S5155" s="13">
        <v>0</v>
      </c>
    </row>
    <row r="5156" spans="18:19" x14ac:dyDescent="0.25">
      <c r="R5156" s="13">
        <v>5083</v>
      </c>
      <c r="S5156" s="13">
        <v>7806087.1289825439</v>
      </c>
    </row>
    <row r="5157" spans="18:19" x14ac:dyDescent="0.25">
      <c r="R5157" s="13">
        <v>5084</v>
      </c>
      <c r="S5157" s="13">
        <v>0</v>
      </c>
    </row>
    <row r="5158" spans="18:19" x14ac:dyDescent="0.25">
      <c r="R5158" s="13">
        <v>5085</v>
      </c>
      <c r="S5158" s="13">
        <v>0</v>
      </c>
    </row>
    <row r="5159" spans="18:19" x14ac:dyDescent="0.25">
      <c r="R5159" s="13">
        <v>5086</v>
      </c>
      <c r="S5159" s="13">
        <v>0</v>
      </c>
    </row>
    <row r="5160" spans="18:19" x14ac:dyDescent="0.25">
      <c r="R5160" s="13">
        <v>5087</v>
      </c>
      <c r="S5160" s="13">
        <v>254133661.80198097</v>
      </c>
    </row>
    <row r="5161" spans="18:19" x14ac:dyDescent="0.25">
      <c r="R5161" s="13">
        <v>5088</v>
      </c>
      <c r="S5161" s="13">
        <v>0</v>
      </c>
    </row>
    <row r="5162" spans="18:19" x14ac:dyDescent="0.25">
      <c r="R5162" s="13">
        <v>5089</v>
      </c>
      <c r="S5162" s="13">
        <v>0</v>
      </c>
    </row>
    <row r="5163" spans="18:19" x14ac:dyDescent="0.25">
      <c r="R5163" s="13">
        <v>5090</v>
      </c>
      <c r="S5163" s="13">
        <v>0</v>
      </c>
    </row>
    <row r="5164" spans="18:19" x14ac:dyDescent="0.25">
      <c r="R5164" s="13">
        <v>5091</v>
      </c>
      <c r="S5164" s="13">
        <v>0</v>
      </c>
    </row>
    <row r="5165" spans="18:19" x14ac:dyDescent="0.25">
      <c r="R5165" s="13">
        <v>5092</v>
      </c>
      <c r="S5165" s="13">
        <v>0</v>
      </c>
    </row>
    <row r="5166" spans="18:19" x14ac:dyDescent="0.25">
      <c r="R5166" s="13">
        <v>5093</v>
      </c>
      <c r="S5166" s="13">
        <v>357267307.77422714</v>
      </c>
    </row>
    <row r="5167" spans="18:19" x14ac:dyDescent="0.25">
      <c r="R5167" s="13">
        <v>5094</v>
      </c>
      <c r="S5167" s="13">
        <v>0</v>
      </c>
    </row>
    <row r="5168" spans="18:19" x14ac:dyDescent="0.25">
      <c r="R5168" s="13">
        <v>5095</v>
      </c>
      <c r="S5168" s="13">
        <v>0</v>
      </c>
    </row>
    <row r="5169" spans="18:19" x14ac:dyDescent="0.25">
      <c r="R5169" s="13">
        <v>5096</v>
      </c>
      <c r="S5169" s="13">
        <v>0</v>
      </c>
    </row>
    <row r="5170" spans="18:19" x14ac:dyDescent="0.25">
      <c r="R5170" s="13">
        <v>5097</v>
      </c>
      <c r="S5170" s="13">
        <v>0</v>
      </c>
    </row>
    <row r="5171" spans="18:19" x14ac:dyDescent="0.25">
      <c r="R5171" s="13">
        <v>5098</v>
      </c>
      <c r="S5171" s="13">
        <v>0</v>
      </c>
    </row>
    <row r="5172" spans="18:19" x14ac:dyDescent="0.25">
      <c r="R5172" s="13">
        <v>5099</v>
      </c>
      <c r="S5172" s="13">
        <v>0</v>
      </c>
    </row>
    <row r="5173" spans="18:19" x14ac:dyDescent="0.25">
      <c r="R5173" s="13">
        <v>5100</v>
      </c>
      <c r="S5173" s="13">
        <v>0</v>
      </c>
    </row>
    <row r="5174" spans="18:19" x14ac:dyDescent="0.25">
      <c r="R5174" s="13">
        <v>5101</v>
      </c>
      <c r="S5174" s="13">
        <v>0</v>
      </c>
    </row>
    <row r="5175" spans="18:19" x14ac:dyDescent="0.25">
      <c r="R5175" s="13">
        <v>5102</v>
      </c>
      <c r="S5175" s="13">
        <v>0</v>
      </c>
    </row>
    <row r="5176" spans="18:19" x14ac:dyDescent="0.25">
      <c r="R5176" s="13">
        <v>5103</v>
      </c>
      <c r="S5176" s="13">
        <v>0</v>
      </c>
    </row>
    <row r="5177" spans="18:19" x14ac:dyDescent="0.25">
      <c r="R5177" s="13">
        <v>5104</v>
      </c>
      <c r="S5177" s="13">
        <v>0</v>
      </c>
    </row>
    <row r="5178" spans="18:19" x14ac:dyDescent="0.25">
      <c r="R5178" s="13">
        <v>5105</v>
      </c>
      <c r="S5178" s="13">
        <v>110367538.17420578</v>
      </c>
    </row>
    <row r="5179" spans="18:19" x14ac:dyDescent="0.25">
      <c r="R5179" s="13">
        <v>5106</v>
      </c>
      <c r="S5179" s="13">
        <v>0</v>
      </c>
    </row>
    <row r="5180" spans="18:19" x14ac:dyDescent="0.25">
      <c r="R5180" s="13">
        <v>5107</v>
      </c>
      <c r="S5180" s="13">
        <v>0</v>
      </c>
    </row>
    <row r="5181" spans="18:19" x14ac:dyDescent="0.25">
      <c r="R5181" s="13">
        <v>5108</v>
      </c>
      <c r="S5181" s="13">
        <v>0</v>
      </c>
    </row>
    <row r="5182" spans="18:19" x14ac:dyDescent="0.25">
      <c r="R5182" s="13">
        <v>5109</v>
      </c>
      <c r="S5182" s="13">
        <v>331469638.98288536</v>
      </c>
    </row>
    <row r="5183" spans="18:19" x14ac:dyDescent="0.25">
      <c r="R5183" s="13">
        <v>5110</v>
      </c>
      <c r="S5183" s="13">
        <v>0</v>
      </c>
    </row>
    <row r="5184" spans="18:19" x14ac:dyDescent="0.25">
      <c r="R5184" s="13">
        <v>5111</v>
      </c>
      <c r="S5184" s="13">
        <v>0</v>
      </c>
    </row>
    <row r="5185" spans="18:19" x14ac:dyDescent="0.25">
      <c r="R5185" s="13">
        <v>5112</v>
      </c>
      <c r="S5185" s="13">
        <v>0</v>
      </c>
    </row>
    <row r="5186" spans="18:19" x14ac:dyDescent="0.25">
      <c r="R5186" s="13">
        <v>5113</v>
      </c>
      <c r="S5186" s="13">
        <v>0</v>
      </c>
    </row>
    <row r="5187" spans="18:19" x14ac:dyDescent="0.25">
      <c r="R5187" s="13">
        <v>5114</v>
      </c>
      <c r="S5187" s="13">
        <v>0</v>
      </c>
    </row>
    <row r="5188" spans="18:19" x14ac:dyDescent="0.25">
      <c r="R5188" s="13">
        <v>5115</v>
      </c>
      <c r="S5188" s="13">
        <v>514498315.16444397</v>
      </c>
    </row>
    <row r="5189" spans="18:19" x14ac:dyDescent="0.25">
      <c r="R5189" s="13">
        <v>5116</v>
      </c>
      <c r="S5189" s="13">
        <v>0</v>
      </c>
    </row>
    <row r="5190" spans="18:19" x14ac:dyDescent="0.25">
      <c r="R5190" s="13">
        <v>5117</v>
      </c>
      <c r="S5190" s="13">
        <v>0</v>
      </c>
    </row>
    <row r="5191" spans="18:19" x14ac:dyDescent="0.25">
      <c r="R5191" s="13">
        <v>5118</v>
      </c>
      <c r="S5191" s="13">
        <v>0</v>
      </c>
    </row>
    <row r="5192" spans="18:19" x14ac:dyDescent="0.25">
      <c r="R5192" s="13">
        <v>5119</v>
      </c>
      <c r="S5192" s="13">
        <v>0</v>
      </c>
    </row>
    <row r="5193" spans="18:19" x14ac:dyDescent="0.25">
      <c r="R5193" s="13">
        <v>5120</v>
      </c>
      <c r="S5193" s="13">
        <v>0</v>
      </c>
    </row>
    <row r="5194" spans="18:19" x14ac:dyDescent="0.25">
      <c r="R5194" s="13">
        <v>5121</v>
      </c>
      <c r="S5194" s="13">
        <v>0</v>
      </c>
    </row>
    <row r="5195" spans="18:19" x14ac:dyDescent="0.25">
      <c r="R5195" s="13">
        <v>5122</v>
      </c>
      <c r="S5195" s="13">
        <v>0</v>
      </c>
    </row>
    <row r="5196" spans="18:19" x14ac:dyDescent="0.25">
      <c r="R5196" s="13">
        <v>5123</v>
      </c>
      <c r="S5196" s="13">
        <v>0</v>
      </c>
    </row>
    <row r="5197" spans="18:19" x14ac:dyDescent="0.25">
      <c r="R5197" s="13">
        <v>5124</v>
      </c>
      <c r="S5197" s="13">
        <v>780755184.31787491</v>
      </c>
    </row>
    <row r="5198" spans="18:19" x14ac:dyDescent="0.25">
      <c r="R5198" s="13">
        <v>5125</v>
      </c>
      <c r="S5198" s="13">
        <v>0</v>
      </c>
    </row>
    <row r="5199" spans="18:19" x14ac:dyDescent="0.25">
      <c r="R5199" s="13">
        <v>5126</v>
      </c>
      <c r="S5199" s="13">
        <v>0</v>
      </c>
    </row>
    <row r="5200" spans="18:19" x14ac:dyDescent="0.25">
      <c r="R5200" s="13">
        <v>5127</v>
      </c>
      <c r="S5200" s="13">
        <v>0</v>
      </c>
    </row>
    <row r="5201" spans="18:19" x14ac:dyDescent="0.25">
      <c r="R5201" s="13">
        <v>5128</v>
      </c>
      <c r="S5201" s="13">
        <v>0</v>
      </c>
    </row>
    <row r="5202" spans="18:19" x14ac:dyDescent="0.25">
      <c r="R5202" s="13">
        <v>5129</v>
      </c>
      <c r="S5202" s="13">
        <v>529648923.32476997</v>
      </c>
    </row>
    <row r="5203" spans="18:19" x14ac:dyDescent="0.25">
      <c r="R5203" s="13">
        <v>5130</v>
      </c>
      <c r="S5203" s="13">
        <v>0</v>
      </c>
    </row>
    <row r="5204" spans="18:19" x14ac:dyDescent="0.25">
      <c r="R5204" s="13">
        <v>5131</v>
      </c>
      <c r="S5204" s="13">
        <v>0</v>
      </c>
    </row>
    <row r="5205" spans="18:19" x14ac:dyDescent="0.25">
      <c r="R5205" s="13">
        <v>5132</v>
      </c>
      <c r="S5205" s="13">
        <v>0</v>
      </c>
    </row>
    <row r="5206" spans="18:19" x14ac:dyDescent="0.25">
      <c r="R5206" s="13">
        <v>5133</v>
      </c>
      <c r="S5206" s="13">
        <v>0</v>
      </c>
    </row>
    <row r="5207" spans="18:19" x14ac:dyDescent="0.25">
      <c r="R5207" s="13">
        <v>5134</v>
      </c>
      <c r="S5207" s="13">
        <v>0</v>
      </c>
    </row>
    <row r="5208" spans="18:19" x14ac:dyDescent="0.25">
      <c r="R5208" s="13">
        <v>5135</v>
      </c>
      <c r="S5208" s="13">
        <v>0</v>
      </c>
    </row>
    <row r="5209" spans="18:19" x14ac:dyDescent="0.25">
      <c r="R5209" s="13">
        <v>5136</v>
      </c>
      <c r="S5209" s="13">
        <v>0</v>
      </c>
    </row>
    <row r="5210" spans="18:19" x14ac:dyDescent="0.25">
      <c r="R5210" s="13">
        <v>5137</v>
      </c>
      <c r="S5210" s="13">
        <v>0</v>
      </c>
    </row>
    <row r="5211" spans="18:19" x14ac:dyDescent="0.25">
      <c r="R5211" s="13">
        <v>5138</v>
      </c>
      <c r="S5211" s="13">
        <v>0</v>
      </c>
    </row>
    <row r="5212" spans="18:19" x14ac:dyDescent="0.25">
      <c r="R5212" s="13">
        <v>5139</v>
      </c>
      <c r="S5212" s="13">
        <v>604386378.48178864</v>
      </c>
    </row>
    <row r="5213" spans="18:19" x14ac:dyDescent="0.25">
      <c r="R5213" s="13">
        <v>5140</v>
      </c>
      <c r="S5213" s="13">
        <v>0</v>
      </c>
    </row>
    <row r="5214" spans="18:19" x14ac:dyDescent="0.25">
      <c r="R5214" s="13">
        <v>5141</v>
      </c>
      <c r="S5214" s="13">
        <v>0</v>
      </c>
    </row>
    <row r="5215" spans="18:19" x14ac:dyDescent="0.25">
      <c r="R5215" s="13">
        <v>5142</v>
      </c>
      <c r="S5215" s="13">
        <v>0</v>
      </c>
    </row>
    <row r="5216" spans="18:19" x14ac:dyDescent="0.25">
      <c r="R5216" s="13">
        <v>5143</v>
      </c>
      <c r="S5216" s="13">
        <v>0</v>
      </c>
    </row>
    <row r="5217" spans="18:19" x14ac:dyDescent="0.25">
      <c r="R5217" s="13">
        <v>5144</v>
      </c>
      <c r="S5217" s="13">
        <v>78409299.924388885</v>
      </c>
    </row>
    <row r="5218" spans="18:19" x14ac:dyDescent="0.25">
      <c r="R5218" s="13">
        <v>5145</v>
      </c>
      <c r="S5218" s="13">
        <v>0</v>
      </c>
    </row>
    <row r="5219" spans="18:19" x14ac:dyDescent="0.25">
      <c r="R5219" s="13">
        <v>5146</v>
      </c>
      <c r="S5219" s="13">
        <v>0</v>
      </c>
    </row>
    <row r="5220" spans="18:19" x14ac:dyDescent="0.25">
      <c r="R5220" s="13">
        <v>5147</v>
      </c>
      <c r="S5220" s="13">
        <v>0</v>
      </c>
    </row>
    <row r="5221" spans="18:19" x14ac:dyDescent="0.25">
      <c r="R5221" s="13">
        <v>5148</v>
      </c>
      <c r="S5221" s="13">
        <v>0</v>
      </c>
    </row>
    <row r="5222" spans="18:19" x14ac:dyDescent="0.25">
      <c r="R5222" s="13">
        <v>5149</v>
      </c>
      <c r="S5222" s="13">
        <v>0</v>
      </c>
    </row>
    <row r="5223" spans="18:19" x14ac:dyDescent="0.25">
      <c r="R5223" s="13">
        <v>5150</v>
      </c>
      <c r="S5223" s="13">
        <v>0</v>
      </c>
    </row>
    <row r="5224" spans="18:19" x14ac:dyDescent="0.25">
      <c r="R5224" s="13">
        <v>5151</v>
      </c>
      <c r="S5224" s="13">
        <v>0</v>
      </c>
    </row>
    <row r="5225" spans="18:19" x14ac:dyDescent="0.25">
      <c r="R5225" s="13">
        <v>5152</v>
      </c>
      <c r="S5225" s="13">
        <v>0</v>
      </c>
    </row>
    <row r="5226" spans="18:19" x14ac:dyDescent="0.25">
      <c r="R5226" s="13">
        <v>5153</v>
      </c>
      <c r="S5226" s="13">
        <v>0</v>
      </c>
    </row>
    <row r="5227" spans="18:19" x14ac:dyDescent="0.25">
      <c r="R5227" s="13">
        <v>5154</v>
      </c>
      <c r="S5227" s="13">
        <v>0</v>
      </c>
    </row>
    <row r="5228" spans="18:19" x14ac:dyDescent="0.25">
      <c r="R5228" s="13">
        <v>5155</v>
      </c>
      <c r="S5228" s="13">
        <v>0</v>
      </c>
    </row>
    <row r="5229" spans="18:19" x14ac:dyDescent="0.25">
      <c r="R5229" s="13">
        <v>5156</v>
      </c>
      <c r="S5229" s="13">
        <v>0</v>
      </c>
    </row>
    <row r="5230" spans="18:19" x14ac:dyDescent="0.25">
      <c r="R5230" s="13">
        <v>5157</v>
      </c>
      <c r="S5230" s="13">
        <v>0</v>
      </c>
    </row>
    <row r="5231" spans="18:19" x14ac:dyDescent="0.25">
      <c r="R5231" s="13">
        <v>5158</v>
      </c>
      <c r="S5231" s="13">
        <v>0</v>
      </c>
    </row>
    <row r="5232" spans="18:19" x14ac:dyDescent="0.25">
      <c r="R5232" s="13">
        <v>5159</v>
      </c>
      <c r="S5232" s="13">
        <v>0</v>
      </c>
    </row>
    <row r="5233" spans="18:19" x14ac:dyDescent="0.25">
      <c r="R5233" s="13">
        <v>5160</v>
      </c>
      <c r="S5233" s="13">
        <v>596061088.54214859</v>
      </c>
    </row>
    <row r="5234" spans="18:19" x14ac:dyDescent="0.25">
      <c r="R5234" s="13">
        <v>5161</v>
      </c>
      <c r="S5234" s="13">
        <v>0</v>
      </c>
    </row>
    <row r="5235" spans="18:19" x14ac:dyDescent="0.25">
      <c r="R5235" s="13">
        <v>5162</v>
      </c>
      <c r="S5235" s="13">
        <v>0</v>
      </c>
    </row>
    <row r="5236" spans="18:19" x14ac:dyDescent="0.25">
      <c r="R5236" s="13">
        <v>5163</v>
      </c>
      <c r="S5236" s="13">
        <v>0</v>
      </c>
    </row>
    <row r="5237" spans="18:19" x14ac:dyDescent="0.25">
      <c r="R5237" s="13">
        <v>5164</v>
      </c>
      <c r="S5237" s="13">
        <v>0</v>
      </c>
    </row>
    <row r="5238" spans="18:19" x14ac:dyDescent="0.25">
      <c r="R5238" s="13">
        <v>5165</v>
      </c>
      <c r="S5238" s="13">
        <v>125423712.02729988</v>
      </c>
    </row>
    <row r="5239" spans="18:19" x14ac:dyDescent="0.25">
      <c r="R5239" s="13">
        <v>5166</v>
      </c>
      <c r="S5239" s="13">
        <v>331943580.41213989</v>
      </c>
    </row>
    <row r="5240" spans="18:19" x14ac:dyDescent="0.25">
      <c r="R5240" s="13">
        <v>5167</v>
      </c>
      <c r="S5240" s="13">
        <v>0</v>
      </c>
    </row>
    <row r="5241" spans="18:19" x14ac:dyDescent="0.25">
      <c r="R5241" s="13">
        <v>5168</v>
      </c>
      <c r="S5241" s="13">
        <v>0</v>
      </c>
    </row>
    <row r="5242" spans="18:19" x14ac:dyDescent="0.25">
      <c r="R5242" s="13">
        <v>5169</v>
      </c>
      <c r="S5242" s="13">
        <v>547378538.18466759</v>
      </c>
    </row>
    <row r="5243" spans="18:19" x14ac:dyDescent="0.25">
      <c r="R5243" s="13">
        <v>5170</v>
      </c>
      <c r="S5243" s="13">
        <v>0</v>
      </c>
    </row>
    <row r="5244" spans="18:19" x14ac:dyDescent="0.25">
      <c r="R5244" s="13">
        <v>5171</v>
      </c>
      <c r="S5244" s="13">
        <v>0</v>
      </c>
    </row>
    <row r="5245" spans="18:19" x14ac:dyDescent="0.25">
      <c r="R5245" s="13">
        <v>5172</v>
      </c>
      <c r="S5245" s="13">
        <v>0</v>
      </c>
    </row>
    <row r="5246" spans="18:19" x14ac:dyDescent="0.25">
      <c r="R5246" s="13">
        <v>5173</v>
      </c>
      <c r="S5246" s="13">
        <v>65241790.901212692</v>
      </c>
    </row>
    <row r="5247" spans="18:19" x14ac:dyDescent="0.25">
      <c r="R5247" s="13">
        <v>5174</v>
      </c>
      <c r="S5247" s="13">
        <v>0</v>
      </c>
    </row>
    <row r="5248" spans="18:19" x14ac:dyDescent="0.25">
      <c r="R5248" s="13">
        <v>5175</v>
      </c>
      <c r="S5248" s="13">
        <v>0</v>
      </c>
    </row>
    <row r="5249" spans="18:19" x14ac:dyDescent="0.25">
      <c r="R5249" s="13">
        <v>5176</v>
      </c>
      <c r="S5249" s="13">
        <v>0</v>
      </c>
    </row>
    <row r="5250" spans="18:19" x14ac:dyDescent="0.25">
      <c r="R5250" s="13">
        <v>5177</v>
      </c>
      <c r="S5250" s="13">
        <v>0</v>
      </c>
    </row>
    <row r="5251" spans="18:19" x14ac:dyDescent="0.25">
      <c r="R5251" s="13">
        <v>5178</v>
      </c>
      <c r="S5251" s="13">
        <v>0</v>
      </c>
    </row>
    <row r="5252" spans="18:19" x14ac:dyDescent="0.25">
      <c r="R5252" s="13">
        <v>5179</v>
      </c>
      <c r="S5252" s="13">
        <v>0</v>
      </c>
    </row>
    <row r="5253" spans="18:19" x14ac:dyDescent="0.25">
      <c r="R5253" s="13">
        <v>5180</v>
      </c>
      <c r="S5253" s="13">
        <v>0</v>
      </c>
    </row>
    <row r="5254" spans="18:19" x14ac:dyDescent="0.25">
      <c r="R5254" s="13">
        <v>5181</v>
      </c>
      <c r="S5254" s="13">
        <v>0</v>
      </c>
    </row>
    <row r="5255" spans="18:19" x14ac:dyDescent="0.25">
      <c r="R5255" s="13">
        <v>5182</v>
      </c>
      <c r="S5255" s="13">
        <v>0</v>
      </c>
    </row>
    <row r="5256" spans="18:19" x14ac:dyDescent="0.25">
      <c r="R5256" s="13">
        <v>5183</v>
      </c>
      <c r="S5256" s="13">
        <v>0</v>
      </c>
    </row>
    <row r="5257" spans="18:19" x14ac:dyDescent="0.25">
      <c r="R5257" s="13">
        <v>5184</v>
      </c>
      <c r="S5257" s="13">
        <v>90144226.093769073</v>
      </c>
    </row>
    <row r="5258" spans="18:19" x14ac:dyDescent="0.25">
      <c r="R5258" s="13">
        <v>5185</v>
      </c>
      <c r="S5258" s="13">
        <v>0</v>
      </c>
    </row>
    <row r="5259" spans="18:19" x14ac:dyDescent="0.25">
      <c r="R5259" s="13">
        <v>5186</v>
      </c>
      <c r="S5259" s="13">
        <v>0</v>
      </c>
    </row>
    <row r="5260" spans="18:19" x14ac:dyDescent="0.25">
      <c r="R5260" s="13">
        <v>5187</v>
      </c>
      <c r="S5260" s="13">
        <v>0</v>
      </c>
    </row>
    <row r="5261" spans="18:19" x14ac:dyDescent="0.25">
      <c r="R5261" s="13">
        <v>5188</v>
      </c>
      <c r="S5261" s="13">
        <v>314904930.28587532</v>
      </c>
    </row>
    <row r="5262" spans="18:19" x14ac:dyDescent="0.25">
      <c r="R5262" s="13">
        <v>5189</v>
      </c>
      <c r="S5262" s="13">
        <v>21827049.021974564</v>
      </c>
    </row>
    <row r="5263" spans="18:19" x14ac:dyDescent="0.25">
      <c r="R5263" s="13">
        <v>5190</v>
      </c>
      <c r="S5263" s="13">
        <v>197307414.7032547</v>
      </c>
    </row>
    <row r="5264" spans="18:19" x14ac:dyDescent="0.25">
      <c r="R5264" s="13">
        <v>5191</v>
      </c>
      <c r="S5264" s="13">
        <v>0</v>
      </c>
    </row>
    <row r="5265" spans="18:19" x14ac:dyDescent="0.25">
      <c r="R5265" s="13">
        <v>5192</v>
      </c>
      <c r="S5265" s="13">
        <v>0</v>
      </c>
    </row>
    <row r="5266" spans="18:19" x14ac:dyDescent="0.25">
      <c r="R5266" s="13">
        <v>5193</v>
      </c>
      <c r="S5266" s="13">
        <v>0</v>
      </c>
    </row>
    <row r="5267" spans="18:19" x14ac:dyDescent="0.25">
      <c r="R5267" s="13">
        <v>5194</v>
      </c>
      <c r="S5267" s="13">
        <v>0</v>
      </c>
    </row>
    <row r="5268" spans="18:19" x14ac:dyDescent="0.25">
      <c r="R5268" s="13">
        <v>5195</v>
      </c>
      <c r="S5268" s="13">
        <v>0</v>
      </c>
    </row>
    <row r="5269" spans="18:19" x14ac:dyDescent="0.25">
      <c r="R5269" s="13">
        <v>5196</v>
      </c>
      <c r="S5269" s="13">
        <v>838899217.95762062</v>
      </c>
    </row>
    <row r="5270" spans="18:19" x14ac:dyDescent="0.25">
      <c r="R5270" s="13">
        <v>5197</v>
      </c>
      <c r="S5270" s="13">
        <v>0</v>
      </c>
    </row>
    <row r="5271" spans="18:19" x14ac:dyDescent="0.25">
      <c r="R5271" s="13">
        <v>5198</v>
      </c>
      <c r="S5271" s="13">
        <v>0</v>
      </c>
    </row>
    <row r="5272" spans="18:19" x14ac:dyDescent="0.25">
      <c r="R5272" s="13">
        <v>5199</v>
      </c>
      <c r="S5272" s="13">
        <v>0</v>
      </c>
    </row>
    <row r="5273" spans="18:19" x14ac:dyDescent="0.25">
      <c r="R5273" s="13">
        <v>5200</v>
      </c>
      <c r="S5273" s="13">
        <v>0</v>
      </c>
    </row>
    <row r="5274" spans="18:19" x14ac:dyDescent="0.25">
      <c r="R5274" s="13">
        <v>5201</v>
      </c>
      <c r="S5274" s="13">
        <v>35343471.954113007</v>
      </c>
    </row>
    <row r="5275" spans="18:19" x14ac:dyDescent="0.25">
      <c r="R5275" s="13">
        <v>5202</v>
      </c>
      <c r="S5275" s="13">
        <v>0</v>
      </c>
    </row>
    <row r="5276" spans="18:19" x14ac:dyDescent="0.25">
      <c r="R5276" s="13">
        <v>5203</v>
      </c>
      <c r="S5276" s="13">
        <v>0</v>
      </c>
    </row>
    <row r="5277" spans="18:19" x14ac:dyDescent="0.25">
      <c r="R5277" s="13">
        <v>5204</v>
      </c>
      <c r="S5277" s="13">
        <v>401937170.67056465</v>
      </c>
    </row>
    <row r="5278" spans="18:19" x14ac:dyDescent="0.25">
      <c r="R5278" s="13">
        <v>5205</v>
      </c>
      <c r="S5278" s="13">
        <v>23251150.846094131</v>
      </c>
    </row>
    <row r="5279" spans="18:19" x14ac:dyDescent="0.25">
      <c r="R5279" s="13">
        <v>5206</v>
      </c>
      <c r="S5279" s="13">
        <v>0</v>
      </c>
    </row>
    <row r="5280" spans="18:19" x14ac:dyDescent="0.25">
      <c r="R5280" s="13">
        <v>5207</v>
      </c>
      <c r="S5280" s="13">
        <v>0</v>
      </c>
    </row>
    <row r="5281" spans="18:19" x14ac:dyDescent="0.25">
      <c r="R5281" s="13">
        <v>5208</v>
      </c>
      <c r="S5281" s="13">
        <v>0</v>
      </c>
    </row>
    <row r="5282" spans="18:19" x14ac:dyDescent="0.25">
      <c r="R5282" s="13">
        <v>5209</v>
      </c>
      <c r="S5282" s="13">
        <v>737108833.16425514</v>
      </c>
    </row>
    <row r="5283" spans="18:19" x14ac:dyDescent="0.25">
      <c r="R5283" s="13">
        <v>5210</v>
      </c>
      <c r="S5283" s="13">
        <v>0</v>
      </c>
    </row>
    <row r="5284" spans="18:19" x14ac:dyDescent="0.25">
      <c r="R5284" s="13">
        <v>5211</v>
      </c>
      <c r="S5284" s="13">
        <v>0</v>
      </c>
    </row>
    <row r="5285" spans="18:19" x14ac:dyDescent="0.25">
      <c r="R5285" s="13">
        <v>5212</v>
      </c>
      <c r="S5285" s="13">
        <v>0</v>
      </c>
    </row>
    <row r="5286" spans="18:19" x14ac:dyDescent="0.25">
      <c r="R5286" s="13">
        <v>5213</v>
      </c>
      <c r="S5286" s="13">
        <v>355961179.30079269</v>
      </c>
    </row>
    <row r="5287" spans="18:19" x14ac:dyDescent="0.25">
      <c r="R5287" s="13">
        <v>5214</v>
      </c>
      <c r="S5287" s="13">
        <v>0</v>
      </c>
    </row>
    <row r="5288" spans="18:19" x14ac:dyDescent="0.25">
      <c r="R5288" s="13">
        <v>5215</v>
      </c>
      <c r="S5288" s="13">
        <v>0</v>
      </c>
    </row>
    <row r="5289" spans="18:19" x14ac:dyDescent="0.25">
      <c r="R5289" s="13">
        <v>5216</v>
      </c>
      <c r="S5289" s="13">
        <v>0</v>
      </c>
    </row>
    <row r="5290" spans="18:19" x14ac:dyDescent="0.25">
      <c r="R5290" s="13">
        <v>5217</v>
      </c>
      <c r="S5290" s="13">
        <v>0</v>
      </c>
    </row>
    <row r="5291" spans="18:19" x14ac:dyDescent="0.25">
      <c r="R5291" s="13">
        <v>5218</v>
      </c>
      <c r="S5291" s="13">
        <v>634395437.98729324</v>
      </c>
    </row>
    <row r="5292" spans="18:19" x14ac:dyDescent="0.25">
      <c r="R5292" s="13">
        <v>5219</v>
      </c>
      <c r="S5292" s="13">
        <v>0</v>
      </c>
    </row>
    <row r="5293" spans="18:19" x14ac:dyDescent="0.25">
      <c r="R5293" s="13">
        <v>5220</v>
      </c>
      <c r="S5293" s="13">
        <v>0</v>
      </c>
    </row>
    <row r="5294" spans="18:19" x14ac:dyDescent="0.25">
      <c r="R5294" s="13">
        <v>5221</v>
      </c>
      <c r="S5294" s="13">
        <v>0</v>
      </c>
    </row>
    <row r="5295" spans="18:19" x14ac:dyDescent="0.25">
      <c r="R5295" s="13">
        <v>5222</v>
      </c>
      <c r="S5295" s="13">
        <v>401177187.17500496</v>
      </c>
    </row>
    <row r="5296" spans="18:19" x14ac:dyDescent="0.25">
      <c r="R5296" s="13">
        <v>5223</v>
      </c>
      <c r="S5296" s="13">
        <v>557815923.00288963</v>
      </c>
    </row>
    <row r="5297" spans="18:19" x14ac:dyDescent="0.25">
      <c r="R5297" s="13">
        <v>5224</v>
      </c>
      <c r="S5297" s="13">
        <v>151198071.9881897</v>
      </c>
    </row>
    <row r="5298" spans="18:19" x14ac:dyDescent="0.25">
      <c r="R5298" s="13">
        <v>5225</v>
      </c>
      <c r="S5298" s="13">
        <v>0</v>
      </c>
    </row>
    <row r="5299" spans="18:19" x14ac:dyDescent="0.25">
      <c r="R5299" s="13">
        <v>5226</v>
      </c>
      <c r="S5299" s="13">
        <v>0</v>
      </c>
    </row>
    <row r="5300" spans="18:19" x14ac:dyDescent="0.25">
      <c r="R5300" s="13">
        <v>5227</v>
      </c>
      <c r="S5300" s="13">
        <v>0</v>
      </c>
    </row>
    <row r="5301" spans="18:19" x14ac:dyDescent="0.25">
      <c r="R5301" s="13">
        <v>5228</v>
      </c>
      <c r="S5301" s="13">
        <v>0</v>
      </c>
    </row>
    <row r="5302" spans="18:19" x14ac:dyDescent="0.25">
      <c r="R5302" s="13">
        <v>5229</v>
      </c>
      <c r="S5302" s="13">
        <v>0</v>
      </c>
    </row>
    <row r="5303" spans="18:19" x14ac:dyDescent="0.25">
      <c r="R5303" s="13">
        <v>5230</v>
      </c>
      <c r="S5303" s="13">
        <v>312862422.58045769</v>
      </c>
    </row>
    <row r="5304" spans="18:19" x14ac:dyDescent="0.25">
      <c r="R5304" s="13">
        <v>5231</v>
      </c>
      <c r="S5304" s="13">
        <v>0</v>
      </c>
    </row>
    <row r="5305" spans="18:19" x14ac:dyDescent="0.25">
      <c r="R5305" s="13">
        <v>5232</v>
      </c>
      <c r="S5305" s="13">
        <v>0</v>
      </c>
    </row>
    <row r="5306" spans="18:19" x14ac:dyDescent="0.25">
      <c r="R5306" s="13">
        <v>5233</v>
      </c>
      <c r="S5306" s="13">
        <v>0</v>
      </c>
    </row>
    <row r="5307" spans="18:19" x14ac:dyDescent="0.25">
      <c r="R5307" s="13">
        <v>5234</v>
      </c>
      <c r="S5307" s="13">
        <v>0</v>
      </c>
    </row>
    <row r="5308" spans="18:19" x14ac:dyDescent="0.25">
      <c r="R5308" s="13">
        <v>5235</v>
      </c>
      <c r="S5308" s="13">
        <v>0</v>
      </c>
    </row>
    <row r="5309" spans="18:19" x14ac:dyDescent="0.25">
      <c r="R5309" s="13">
        <v>5236</v>
      </c>
      <c r="S5309" s="13">
        <v>0</v>
      </c>
    </row>
    <row r="5310" spans="18:19" x14ac:dyDescent="0.25">
      <c r="R5310" s="13">
        <v>5237</v>
      </c>
      <c r="S5310" s="13">
        <v>0</v>
      </c>
    </row>
    <row r="5311" spans="18:19" x14ac:dyDescent="0.25">
      <c r="R5311" s="13">
        <v>5238</v>
      </c>
      <c r="S5311" s="13">
        <v>0</v>
      </c>
    </row>
    <row r="5312" spans="18:19" x14ac:dyDescent="0.25">
      <c r="R5312" s="13">
        <v>5239</v>
      </c>
      <c r="S5312" s="13">
        <v>0</v>
      </c>
    </row>
    <row r="5313" spans="18:19" x14ac:dyDescent="0.25">
      <c r="R5313" s="13">
        <v>5240</v>
      </c>
      <c r="S5313" s="13">
        <v>0</v>
      </c>
    </row>
    <row r="5314" spans="18:19" x14ac:dyDescent="0.25">
      <c r="R5314" s="13">
        <v>5241</v>
      </c>
      <c r="S5314" s="13">
        <v>0</v>
      </c>
    </row>
    <row r="5315" spans="18:19" x14ac:dyDescent="0.25">
      <c r="R5315" s="13">
        <v>5242</v>
      </c>
      <c r="S5315" s="13">
        <v>0</v>
      </c>
    </row>
    <row r="5316" spans="18:19" x14ac:dyDescent="0.25">
      <c r="R5316" s="13">
        <v>5243</v>
      </c>
      <c r="S5316" s="13">
        <v>0</v>
      </c>
    </row>
    <row r="5317" spans="18:19" x14ac:dyDescent="0.25">
      <c r="R5317" s="13">
        <v>5244</v>
      </c>
      <c r="S5317" s="13">
        <v>0</v>
      </c>
    </row>
    <row r="5318" spans="18:19" x14ac:dyDescent="0.25">
      <c r="R5318" s="13">
        <v>5245</v>
      </c>
      <c r="S5318" s="13">
        <v>0</v>
      </c>
    </row>
    <row r="5319" spans="18:19" x14ac:dyDescent="0.25">
      <c r="R5319" s="13">
        <v>5246</v>
      </c>
      <c r="S5319" s="13">
        <v>0</v>
      </c>
    </row>
    <row r="5320" spans="18:19" x14ac:dyDescent="0.25">
      <c r="R5320" s="13">
        <v>5247</v>
      </c>
      <c r="S5320" s="13">
        <v>0</v>
      </c>
    </row>
    <row r="5321" spans="18:19" x14ac:dyDescent="0.25">
      <c r="R5321" s="13">
        <v>5248</v>
      </c>
      <c r="S5321" s="13">
        <v>0</v>
      </c>
    </row>
    <row r="5322" spans="18:19" x14ac:dyDescent="0.25">
      <c r="R5322" s="13">
        <v>5249</v>
      </c>
      <c r="S5322" s="13">
        <v>0</v>
      </c>
    </row>
    <row r="5323" spans="18:19" x14ac:dyDescent="0.25">
      <c r="R5323" s="13">
        <v>5250</v>
      </c>
      <c r="S5323" s="13">
        <v>0</v>
      </c>
    </row>
    <row r="5324" spans="18:19" x14ac:dyDescent="0.25">
      <c r="R5324" s="13">
        <v>5251</v>
      </c>
      <c r="S5324" s="13">
        <v>219452465.732481</v>
      </c>
    </row>
    <row r="5325" spans="18:19" x14ac:dyDescent="0.25">
      <c r="R5325" s="13">
        <v>5252</v>
      </c>
      <c r="S5325" s="13">
        <v>0</v>
      </c>
    </row>
    <row r="5326" spans="18:19" x14ac:dyDescent="0.25">
      <c r="R5326" s="13">
        <v>5253</v>
      </c>
      <c r="S5326" s="13">
        <v>0</v>
      </c>
    </row>
    <row r="5327" spans="18:19" x14ac:dyDescent="0.25">
      <c r="R5327" s="13">
        <v>5254</v>
      </c>
      <c r="S5327" s="13">
        <v>238075303.10219002</v>
      </c>
    </row>
    <row r="5328" spans="18:19" x14ac:dyDescent="0.25">
      <c r="R5328" s="13">
        <v>5255</v>
      </c>
      <c r="S5328" s="13">
        <v>0</v>
      </c>
    </row>
    <row r="5329" spans="18:19" x14ac:dyDescent="0.25">
      <c r="R5329" s="13">
        <v>5256</v>
      </c>
      <c r="S5329" s="13">
        <v>0</v>
      </c>
    </row>
    <row r="5330" spans="18:19" x14ac:dyDescent="0.25">
      <c r="R5330" s="13">
        <v>5257</v>
      </c>
      <c r="S5330" s="13">
        <v>0</v>
      </c>
    </row>
    <row r="5331" spans="18:19" x14ac:dyDescent="0.25">
      <c r="R5331" s="13">
        <v>5258</v>
      </c>
      <c r="S5331" s="13">
        <v>0</v>
      </c>
    </row>
    <row r="5332" spans="18:19" x14ac:dyDescent="0.25">
      <c r="R5332" s="13">
        <v>5259</v>
      </c>
      <c r="S5332" s="13">
        <v>429444265.7289257</v>
      </c>
    </row>
    <row r="5333" spans="18:19" x14ac:dyDescent="0.25">
      <c r="R5333" s="13">
        <v>5260</v>
      </c>
      <c r="S5333" s="13">
        <v>0</v>
      </c>
    </row>
    <row r="5334" spans="18:19" x14ac:dyDescent="0.25">
      <c r="R5334" s="13">
        <v>5261</v>
      </c>
      <c r="S5334" s="13">
        <v>70382779.015647888</v>
      </c>
    </row>
    <row r="5335" spans="18:19" x14ac:dyDescent="0.25">
      <c r="R5335" s="13">
        <v>5262</v>
      </c>
      <c r="S5335" s="13">
        <v>0</v>
      </c>
    </row>
    <row r="5336" spans="18:19" x14ac:dyDescent="0.25">
      <c r="R5336" s="13">
        <v>5263</v>
      </c>
      <c r="S5336" s="13">
        <v>725900685.61600685</v>
      </c>
    </row>
    <row r="5337" spans="18:19" x14ac:dyDescent="0.25">
      <c r="R5337" s="13">
        <v>5264</v>
      </c>
      <c r="S5337" s="13">
        <v>47030322.696083069</v>
      </c>
    </row>
    <row r="5338" spans="18:19" x14ac:dyDescent="0.25">
      <c r="R5338" s="13">
        <v>5265</v>
      </c>
      <c r="S5338" s="13">
        <v>0</v>
      </c>
    </row>
    <row r="5339" spans="18:19" x14ac:dyDescent="0.25">
      <c r="R5339" s="13">
        <v>5266</v>
      </c>
      <c r="S5339" s="13">
        <v>0</v>
      </c>
    </row>
    <row r="5340" spans="18:19" x14ac:dyDescent="0.25">
      <c r="R5340" s="13">
        <v>5267</v>
      </c>
      <c r="S5340" s="13">
        <v>0</v>
      </c>
    </row>
    <row r="5341" spans="18:19" x14ac:dyDescent="0.25">
      <c r="R5341" s="13">
        <v>5268</v>
      </c>
      <c r="S5341" s="13">
        <v>403646411.15274811</v>
      </c>
    </row>
    <row r="5342" spans="18:19" x14ac:dyDescent="0.25">
      <c r="R5342" s="13">
        <v>5269</v>
      </c>
      <c r="S5342" s="13">
        <v>163791397.03900528</v>
      </c>
    </row>
    <row r="5343" spans="18:19" x14ac:dyDescent="0.25">
      <c r="R5343" s="13">
        <v>5270</v>
      </c>
      <c r="S5343" s="13">
        <v>173526107.14501381</v>
      </c>
    </row>
    <row r="5344" spans="18:19" x14ac:dyDescent="0.25">
      <c r="R5344" s="13">
        <v>5271</v>
      </c>
      <c r="S5344" s="13">
        <v>0</v>
      </c>
    </row>
    <row r="5345" spans="18:19" x14ac:dyDescent="0.25">
      <c r="R5345" s="13">
        <v>5272</v>
      </c>
      <c r="S5345" s="13">
        <v>0</v>
      </c>
    </row>
    <row r="5346" spans="18:19" x14ac:dyDescent="0.25">
      <c r="R5346" s="13">
        <v>5273</v>
      </c>
      <c r="S5346" s="13">
        <v>0</v>
      </c>
    </row>
    <row r="5347" spans="18:19" x14ac:dyDescent="0.25">
      <c r="R5347" s="13">
        <v>5274</v>
      </c>
      <c r="S5347" s="13">
        <v>0</v>
      </c>
    </row>
    <row r="5348" spans="18:19" x14ac:dyDescent="0.25">
      <c r="R5348" s="13">
        <v>5275</v>
      </c>
      <c r="S5348" s="13">
        <v>0</v>
      </c>
    </row>
    <row r="5349" spans="18:19" x14ac:dyDescent="0.25">
      <c r="R5349" s="13">
        <v>5276</v>
      </c>
      <c r="S5349" s="13">
        <v>0</v>
      </c>
    </row>
    <row r="5350" spans="18:19" x14ac:dyDescent="0.25">
      <c r="R5350" s="13">
        <v>5277</v>
      </c>
      <c r="S5350" s="13">
        <v>0</v>
      </c>
    </row>
    <row r="5351" spans="18:19" x14ac:dyDescent="0.25">
      <c r="R5351" s="13">
        <v>5278</v>
      </c>
      <c r="S5351" s="13">
        <v>176578475.84935188</v>
      </c>
    </row>
    <row r="5352" spans="18:19" x14ac:dyDescent="0.25">
      <c r="R5352" s="13">
        <v>5279</v>
      </c>
      <c r="S5352" s="13">
        <v>116089150.6055336</v>
      </c>
    </row>
    <row r="5353" spans="18:19" x14ac:dyDescent="0.25">
      <c r="R5353" s="13">
        <v>5280</v>
      </c>
      <c r="S5353" s="13">
        <v>0</v>
      </c>
    </row>
    <row r="5354" spans="18:19" x14ac:dyDescent="0.25">
      <c r="R5354" s="13">
        <v>5281</v>
      </c>
      <c r="S5354" s="13">
        <v>0</v>
      </c>
    </row>
    <row r="5355" spans="18:19" x14ac:dyDescent="0.25">
      <c r="R5355" s="13">
        <v>5282</v>
      </c>
      <c r="S5355" s="13">
        <v>0</v>
      </c>
    </row>
    <row r="5356" spans="18:19" x14ac:dyDescent="0.25">
      <c r="R5356" s="13">
        <v>5283</v>
      </c>
      <c r="S5356" s="13">
        <v>0</v>
      </c>
    </row>
    <row r="5357" spans="18:19" x14ac:dyDescent="0.25">
      <c r="R5357" s="13">
        <v>5284</v>
      </c>
      <c r="S5357" s="13">
        <v>141723389.70186043</v>
      </c>
    </row>
    <row r="5358" spans="18:19" x14ac:dyDescent="0.25">
      <c r="R5358" s="13">
        <v>5285</v>
      </c>
      <c r="S5358" s="13">
        <v>0</v>
      </c>
    </row>
    <row r="5359" spans="18:19" x14ac:dyDescent="0.25">
      <c r="R5359" s="13">
        <v>5286</v>
      </c>
      <c r="S5359" s="13">
        <v>0</v>
      </c>
    </row>
    <row r="5360" spans="18:19" x14ac:dyDescent="0.25">
      <c r="R5360" s="13">
        <v>5287</v>
      </c>
      <c r="S5360" s="13">
        <v>0</v>
      </c>
    </row>
    <row r="5361" spans="18:19" x14ac:dyDescent="0.25">
      <c r="R5361" s="13">
        <v>5288</v>
      </c>
      <c r="S5361" s="13">
        <v>0</v>
      </c>
    </row>
    <row r="5362" spans="18:19" x14ac:dyDescent="0.25">
      <c r="R5362" s="13">
        <v>5289</v>
      </c>
      <c r="S5362" s="13">
        <v>0</v>
      </c>
    </row>
    <row r="5363" spans="18:19" x14ac:dyDescent="0.25">
      <c r="R5363" s="13">
        <v>5290</v>
      </c>
      <c r="S5363" s="13">
        <v>0</v>
      </c>
    </row>
    <row r="5364" spans="18:19" x14ac:dyDescent="0.25">
      <c r="R5364" s="13">
        <v>5291</v>
      </c>
      <c r="S5364" s="13">
        <v>0</v>
      </c>
    </row>
    <row r="5365" spans="18:19" x14ac:dyDescent="0.25">
      <c r="R5365" s="13">
        <v>5292</v>
      </c>
      <c r="S5365" s="13">
        <v>0</v>
      </c>
    </row>
    <row r="5366" spans="18:19" x14ac:dyDescent="0.25">
      <c r="R5366" s="13">
        <v>5293</v>
      </c>
      <c r="S5366" s="13">
        <v>0</v>
      </c>
    </row>
    <row r="5367" spans="18:19" x14ac:dyDescent="0.25">
      <c r="R5367" s="13">
        <v>5294</v>
      </c>
      <c r="S5367" s="13">
        <v>0</v>
      </c>
    </row>
    <row r="5368" spans="18:19" x14ac:dyDescent="0.25">
      <c r="R5368" s="13">
        <v>5295</v>
      </c>
      <c r="S5368" s="13">
        <v>0</v>
      </c>
    </row>
    <row r="5369" spans="18:19" x14ac:dyDescent="0.25">
      <c r="R5369" s="13">
        <v>5296</v>
      </c>
      <c r="S5369" s="13">
        <v>0</v>
      </c>
    </row>
    <row r="5370" spans="18:19" x14ac:dyDescent="0.25">
      <c r="R5370" s="13">
        <v>5297</v>
      </c>
      <c r="S5370" s="13">
        <v>747464401.64130783</v>
      </c>
    </row>
    <row r="5371" spans="18:19" x14ac:dyDescent="0.25">
      <c r="R5371" s="13">
        <v>5298</v>
      </c>
      <c r="S5371" s="13">
        <v>0</v>
      </c>
    </row>
    <row r="5372" spans="18:19" x14ac:dyDescent="0.25">
      <c r="R5372" s="13">
        <v>5299</v>
      </c>
      <c r="S5372" s="13">
        <v>0</v>
      </c>
    </row>
    <row r="5373" spans="18:19" x14ac:dyDescent="0.25">
      <c r="R5373" s="13">
        <v>5300</v>
      </c>
      <c r="S5373" s="13">
        <v>80837399.037210464</v>
      </c>
    </row>
    <row r="5374" spans="18:19" x14ac:dyDescent="0.25">
      <c r="R5374" s="13">
        <v>5301</v>
      </c>
      <c r="S5374" s="13">
        <v>0</v>
      </c>
    </row>
    <row r="5375" spans="18:19" x14ac:dyDescent="0.25">
      <c r="R5375" s="13">
        <v>5302</v>
      </c>
      <c r="S5375" s="13">
        <v>356875144.65229225</v>
      </c>
    </row>
    <row r="5376" spans="18:19" x14ac:dyDescent="0.25">
      <c r="R5376" s="13">
        <v>5303</v>
      </c>
      <c r="S5376" s="13">
        <v>0</v>
      </c>
    </row>
    <row r="5377" spans="18:19" x14ac:dyDescent="0.25">
      <c r="R5377" s="13">
        <v>5304</v>
      </c>
      <c r="S5377" s="13">
        <v>0</v>
      </c>
    </row>
    <row r="5378" spans="18:19" x14ac:dyDescent="0.25">
      <c r="R5378" s="13">
        <v>5305</v>
      </c>
      <c r="S5378" s="13">
        <v>0</v>
      </c>
    </row>
    <row r="5379" spans="18:19" x14ac:dyDescent="0.25">
      <c r="R5379" s="13">
        <v>5306</v>
      </c>
      <c r="S5379" s="13">
        <v>0</v>
      </c>
    </row>
    <row r="5380" spans="18:19" x14ac:dyDescent="0.25">
      <c r="R5380" s="13">
        <v>5307</v>
      </c>
      <c r="S5380" s="13">
        <v>0</v>
      </c>
    </row>
    <row r="5381" spans="18:19" x14ac:dyDescent="0.25">
      <c r="R5381" s="13">
        <v>5308</v>
      </c>
      <c r="S5381" s="13">
        <v>0</v>
      </c>
    </row>
    <row r="5382" spans="18:19" x14ac:dyDescent="0.25">
      <c r="R5382" s="13">
        <v>5309</v>
      </c>
      <c r="S5382" s="13">
        <v>214545537.05465698</v>
      </c>
    </row>
    <row r="5383" spans="18:19" x14ac:dyDescent="0.25">
      <c r="R5383" s="13">
        <v>5310</v>
      </c>
      <c r="S5383" s="13">
        <v>377634383.99374199</v>
      </c>
    </row>
    <row r="5384" spans="18:19" x14ac:dyDescent="0.25">
      <c r="R5384" s="13">
        <v>5311</v>
      </c>
      <c r="S5384" s="13">
        <v>0</v>
      </c>
    </row>
    <row r="5385" spans="18:19" x14ac:dyDescent="0.25">
      <c r="R5385" s="13">
        <v>5312</v>
      </c>
      <c r="S5385" s="13">
        <v>0</v>
      </c>
    </row>
    <row r="5386" spans="18:19" x14ac:dyDescent="0.25">
      <c r="R5386" s="13">
        <v>5313</v>
      </c>
      <c r="S5386" s="13">
        <v>0</v>
      </c>
    </row>
    <row r="5387" spans="18:19" x14ac:dyDescent="0.25">
      <c r="R5387" s="13">
        <v>5314</v>
      </c>
      <c r="S5387" s="13">
        <v>104614611.9569664</v>
      </c>
    </row>
    <row r="5388" spans="18:19" x14ac:dyDescent="0.25">
      <c r="R5388" s="13">
        <v>5315</v>
      </c>
      <c r="S5388" s="13">
        <v>5627075.9599342346</v>
      </c>
    </row>
    <row r="5389" spans="18:19" x14ac:dyDescent="0.25">
      <c r="R5389" s="13">
        <v>5316</v>
      </c>
      <c r="S5389" s="13">
        <v>734292098.07944107</v>
      </c>
    </row>
    <row r="5390" spans="18:19" x14ac:dyDescent="0.25">
      <c r="R5390" s="13">
        <v>5317</v>
      </c>
      <c r="S5390" s="13">
        <v>0</v>
      </c>
    </row>
    <row r="5391" spans="18:19" x14ac:dyDescent="0.25">
      <c r="R5391" s="13">
        <v>5318</v>
      </c>
      <c r="S5391" s="13">
        <v>0</v>
      </c>
    </row>
    <row r="5392" spans="18:19" x14ac:dyDescent="0.25">
      <c r="R5392" s="13">
        <v>5319</v>
      </c>
      <c r="S5392" s="13">
        <v>0</v>
      </c>
    </row>
    <row r="5393" spans="18:19" x14ac:dyDescent="0.25">
      <c r="R5393" s="13">
        <v>5320</v>
      </c>
      <c r="S5393" s="13">
        <v>0</v>
      </c>
    </row>
    <row r="5394" spans="18:19" x14ac:dyDescent="0.25">
      <c r="R5394" s="13">
        <v>5321</v>
      </c>
      <c r="S5394" s="13">
        <v>0</v>
      </c>
    </row>
    <row r="5395" spans="18:19" x14ac:dyDescent="0.25">
      <c r="R5395" s="13">
        <v>5322</v>
      </c>
      <c r="S5395" s="13">
        <v>0</v>
      </c>
    </row>
    <row r="5396" spans="18:19" x14ac:dyDescent="0.25">
      <c r="R5396" s="13">
        <v>5323</v>
      </c>
      <c r="S5396" s="13">
        <v>0</v>
      </c>
    </row>
    <row r="5397" spans="18:19" x14ac:dyDescent="0.25">
      <c r="R5397" s="13">
        <v>5324</v>
      </c>
      <c r="S5397" s="13">
        <v>0</v>
      </c>
    </row>
    <row r="5398" spans="18:19" x14ac:dyDescent="0.25">
      <c r="R5398" s="13">
        <v>5325</v>
      </c>
      <c r="S5398" s="13">
        <v>40407107.807695389</v>
      </c>
    </row>
    <row r="5399" spans="18:19" x14ac:dyDescent="0.25">
      <c r="R5399" s="13">
        <v>5326</v>
      </c>
      <c r="S5399" s="13">
        <v>0</v>
      </c>
    </row>
    <row r="5400" spans="18:19" x14ac:dyDescent="0.25">
      <c r="R5400" s="13">
        <v>5327</v>
      </c>
      <c r="S5400" s="13">
        <v>0</v>
      </c>
    </row>
    <row r="5401" spans="18:19" x14ac:dyDescent="0.25">
      <c r="R5401" s="13">
        <v>5328</v>
      </c>
      <c r="S5401" s="13">
        <v>0</v>
      </c>
    </row>
    <row r="5402" spans="18:19" x14ac:dyDescent="0.25">
      <c r="R5402" s="13">
        <v>5329</v>
      </c>
      <c r="S5402" s="13">
        <v>0</v>
      </c>
    </row>
    <row r="5403" spans="18:19" x14ac:dyDescent="0.25">
      <c r="R5403" s="13">
        <v>5330</v>
      </c>
      <c r="S5403" s="13">
        <v>234398862.74807167</v>
      </c>
    </row>
    <row r="5404" spans="18:19" x14ac:dyDescent="0.25">
      <c r="R5404" s="13">
        <v>5331</v>
      </c>
      <c r="S5404" s="13">
        <v>0</v>
      </c>
    </row>
    <row r="5405" spans="18:19" x14ac:dyDescent="0.25">
      <c r="R5405" s="13">
        <v>5332</v>
      </c>
      <c r="S5405" s="13">
        <v>0</v>
      </c>
    </row>
    <row r="5406" spans="18:19" x14ac:dyDescent="0.25">
      <c r="R5406" s="13">
        <v>5333</v>
      </c>
      <c r="S5406" s="13">
        <v>0</v>
      </c>
    </row>
    <row r="5407" spans="18:19" x14ac:dyDescent="0.25">
      <c r="R5407" s="13">
        <v>5334</v>
      </c>
      <c r="S5407" s="13">
        <v>0</v>
      </c>
    </row>
    <row r="5408" spans="18:19" x14ac:dyDescent="0.25">
      <c r="R5408" s="13">
        <v>5335</v>
      </c>
      <c r="S5408" s="13">
        <v>214751810.18466187</v>
      </c>
    </row>
    <row r="5409" spans="18:19" x14ac:dyDescent="0.25">
      <c r="R5409" s="13">
        <v>5336</v>
      </c>
      <c r="S5409" s="13">
        <v>0</v>
      </c>
    </row>
    <row r="5410" spans="18:19" x14ac:dyDescent="0.25">
      <c r="R5410" s="13">
        <v>5337</v>
      </c>
      <c r="S5410" s="13">
        <v>0</v>
      </c>
    </row>
    <row r="5411" spans="18:19" x14ac:dyDescent="0.25">
      <c r="R5411" s="13">
        <v>5338</v>
      </c>
      <c r="S5411" s="13">
        <v>0</v>
      </c>
    </row>
    <row r="5412" spans="18:19" x14ac:dyDescent="0.25">
      <c r="R5412" s="13">
        <v>5339</v>
      </c>
      <c r="S5412" s="13">
        <v>0</v>
      </c>
    </row>
    <row r="5413" spans="18:19" x14ac:dyDescent="0.25">
      <c r="R5413" s="13">
        <v>5340</v>
      </c>
      <c r="S5413" s="13">
        <v>0</v>
      </c>
    </row>
    <row r="5414" spans="18:19" x14ac:dyDescent="0.25">
      <c r="R5414" s="13">
        <v>5341</v>
      </c>
      <c r="S5414" s="13">
        <v>0</v>
      </c>
    </row>
    <row r="5415" spans="18:19" x14ac:dyDescent="0.25">
      <c r="R5415" s="13">
        <v>5342</v>
      </c>
      <c r="S5415" s="13">
        <v>0</v>
      </c>
    </row>
    <row r="5416" spans="18:19" x14ac:dyDescent="0.25">
      <c r="R5416" s="13">
        <v>5343</v>
      </c>
      <c r="S5416" s="13">
        <v>0</v>
      </c>
    </row>
    <row r="5417" spans="18:19" x14ac:dyDescent="0.25">
      <c r="R5417" s="13">
        <v>5344</v>
      </c>
      <c r="S5417" s="13">
        <v>0</v>
      </c>
    </row>
    <row r="5418" spans="18:19" x14ac:dyDescent="0.25">
      <c r="R5418" s="13">
        <v>5345</v>
      </c>
      <c r="S5418" s="13">
        <v>93859847.109954834</v>
      </c>
    </row>
    <row r="5419" spans="18:19" x14ac:dyDescent="0.25">
      <c r="R5419" s="13">
        <v>5346</v>
      </c>
      <c r="S5419" s="13">
        <v>0</v>
      </c>
    </row>
    <row r="5420" spans="18:19" x14ac:dyDescent="0.25">
      <c r="R5420" s="13">
        <v>5347</v>
      </c>
      <c r="S5420" s="13">
        <v>0</v>
      </c>
    </row>
    <row r="5421" spans="18:19" x14ac:dyDescent="0.25">
      <c r="R5421" s="13">
        <v>5348</v>
      </c>
      <c r="S5421" s="13">
        <v>786082210.77324295</v>
      </c>
    </row>
    <row r="5422" spans="18:19" x14ac:dyDescent="0.25">
      <c r="R5422" s="13">
        <v>5349</v>
      </c>
      <c r="S5422" s="13">
        <v>0</v>
      </c>
    </row>
    <row r="5423" spans="18:19" x14ac:dyDescent="0.25">
      <c r="R5423" s="13">
        <v>5350</v>
      </c>
      <c r="S5423" s="13">
        <v>0</v>
      </c>
    </row>
    <row r="5424" spans="18:19" x14ac:dyDescent="0.25">
      <c r="R5424" s="13">
        <v>5351</v>
      </c>
      <c r="S5424" s="13">
        <v>0</v>
      </c>
    </row>
    <row r="5425" spans="18:19" x14ac:dyDescent="0.25">
      <c r="R5425" s="13">
        <v>5352</v>
      </c>
      <c r="S5425" s="13">
        <v>0</v>
      </c>
    </row>
    <row r="5426" spans="18:19" x14ac:dyDescent="0.25">
      <c r="R5426" s="13">
        <v>5353</v>
      </c>
      <c r="S5426" s="13">
        <v>0</v>
      </c>
    </row>
    <row r="5427" spans="18:19" x14ac:dyDescent="0.25">
      <c r="R5427" s="13">
        <v>5354</v>
      </c>
      <c r="S5427" s="13">
        <v>0</v>
      </c>
    </row>
    <row r="5428" spans="18:19" x14ac:dyDescent="0.25">
      <c r="R5428" s="13">
        <v>5355</v>
      </c>
      <c r="S5428" s="13">
        <v>0</v>
      </c>
    </row>
    <row r="5429" spans="18:19" x14ac:dyDescent="0.25">
      <c r="R5429" s="13">
        <v>5356</v>
      </c>
      <c r="S5429" s="13">
        <v>0</v>
      </c>
    </row>
    <row r="5430" spans="18:19" x14ac:dyDescent="0.25">
      <c r="R5430" s="13">
        <v>5357</v>
      </c>
      <c r="S5430" s="13">
        <v>147872909.07223511</v>
      </c>
    </row>
    <row r="5431" spans="18:19" x14ac:dyDescent="0.25">
      <c r="R5431" s="13">
        <v>5358</v>
      </c>
      <c r="S5431" s="13">
        <v>538346937.99555206</v>
      </c>
    </row>
    <row r="5432" spans="18:19" x14ac:dyDescent="0.25">
      <c r="R5432" s="13">
        <v>5359</v>
      </c>
      <c r="S5432" s="13">
        <v>0</v>
      </c>
    </row>
    <row r="5433" spans="18:19" x14ac:dyDescent="0.25">
      <c r="R5433" s="13">
        <v>5360</v>
      </c>
      <c r="S5433" s="13">
        <v>0</v>
      </c>
    </row>
    <row r="5434" spans="18:19" x14ac:dyDescent="0.25">
      <c r="R5434" s="13">
        <v>5361</v>
      </c>
      <c r="S5434" s="13">
        <v>0</v>
      </c>
    </row>
    <row r="5435" spans="18:19" x14ac:dyDescent="0.25">
      <c r="R5435" s="13">
        <v>5362</v>
      </c>
      <c r="S5435" s="13">
        <v>0</v>
      </c>
    </row>
    <row r="5436" spans="18:19" x14ac:dyDescent="0.25">
      <c r="R5436" s="13">
        <v>5363</v>
      </c>
      <c r="S5436" s="13">
        <v>0</v>
      </c>
    </row>
    <row r="5437" spans="18:19" x14ac:dyDescent="0.25">
      <c r="R5437" s="13">
        <v>5364</v>
      </c>
      <c r="S5437" s="13">
        <v>0</v>
      </c>
    </row>
    <row r="5438" spans="18:19" x14ac:dyDescent="0.25">
      <c r="R5438" s="13">
        <v>5365</v>
      </c>
      <c r="S5438" s="13">
        <v>0</v>
      </c>
    </row>
    <row r="5439" spans="18:19" x14ac:dyDescent="0.25">
      <c r="R5439" s="13">
        <v>5366</v>
      </c>
      <c r="S5439" s="13">
        <v>0</v>
      </c>
    </row>
    <row r="5440" spans="18:19" x14ac:dyDescent="0.25">
      <c r="R5440" s="13">
        <v>5367</v>
      </c>
      <c r="S5440" s="13">
        <v>0</v>
      </c>
    </row>
    <row r="5441" spans="18:19" x14ac:dyDescent="0.25">
      <c r="R5441" s="13">
        <v>5368</v>
      </c>
      <c r="S5441" s="13">
        <v>101006201.72552299</v>
      </c>
    </row>
    <row r="5442" spans="18:19" x14ac:dyDescent="0.25">
      <c r="R5442" s="13">
        <v>5369</v>
      </c>
      <c r="S5442" s="13">
        <v>0</v>
      </c>
    </row>
    <row r="5443" spans="18:19" x14ac:dyDescent="0.25">
      <c r="R5443" s="13">
        <v>5370</v>
      </c>
      <c r="S5443" s="13">
        <v>632122202.24647713</v>
      </c>
    </row>
    <row r="5444" spans="18:19" x14ac:dyDescent="0.25">
      <c r="R5444" s="13">
        <v>5371</v>
      </c>
      <c r="S5444" s="13">
        <v>0</v>
      </c>
    </row>
    <row r="5445" spans="18:19" x14ac:dyDescent="0.25">
      <c r="R5445" s="13">
        <v>5372</v>
      </c>
      <c r="S5445" s="13">
        <v>77692771.68390274</v>
      </c>
    </row>
    <row r="5446" spans="18:19" x14ac:dyDescent="0.25">
      <c r="R5446" s="13">
        <v>5373</v>
      </c>
      <c r="S5446" s="13">
        <v>0</v>
      </c>
    </row>
    <row r="5447" spans="18:19" x14ac:dyDescent="0.25">
      <c r="R5447" s="13">
        <v>5374</v>
      </c>
      <c r="S5447" s="13">
        <v>0</v>
      </c>
    </row>
    <row r="5448" spans="18:19" x14ac:dyDescent="0.25">
      <c r="R5448" s="13">
        <v>5375</v>
      </c>
      <c r="S5448" s="13">
        <v>0</v>
      </c>
    </row>
    <row r="5449" spans="18:19" x14ac:dyDescent="0.25">
      <c r="R5449" s="13">
        <v>5376</v>
      </c>
      <c r="S5449" s="13">
        <v>393005448.52653122</v>
      </c>
    </row>
    <row r="5450" spans="18:19" x14ac:dyDescent="0.25">
      <c r="R5450" s="13">
        <v>5377</v>
      </c>
      <c r="S5450" s="13">
        <v>0</v>
      </c>
    </row>
    <row r="5451" spans="18:19" x14ac:dyDescent="0.25">
      <c r="R5451" s="13">
        <v>5378</v>
      </c>
      <c r="S5451" s="13">
        <v>268253870.23973656</v>
      </c>
    </row>
    <row r="5452" spans="18:19" x14ac:dyDescent="0.25">
      <c r="R5452" s="13">
        <v>5379</v>
      </c>
      <c r="S5452" s="13">
        <v>0</v>
      </c>
    </row>
    <row r="5453" spans="18:19" x14ac:dyDescent="0.25">
      <c r="R5453" s="13">
        <v>5380</v>
      </c>
      <c r="S5453" s="13">
        <v>384603983.52576065</v>
      </c>
    </row>
    <row r="5454" spans="18:19" x14ac:dyDescent="0.25">
      <c r="R5454" s="13">
        <v>5381</v>
      </c>
      <c r="S5454" s="13">
        <v>0</v>
      </c>
    </row>
    <row r="5455" spans="18:19" x14ac:dyDescent="0.25">
      <c r="R5455" s="13">
        <v>5382</v>
      </c>
      <c r="S5455" s="13">
        <v>0</v>
      </c>
    </row>
    <row r="5456" spans="18:19" x14ac:dyDescent="0.25">
      <c r="R5456" s="13">
        <v>5383</v>
      </c>
      <c r="S5456" s="13">
        <v>0</v>
      </c>
    </row>
    <row r="5457" spans="18:19" x14ac:dyDescent="0.25">
      <c r="R5457" s="13">
        <v>5384</v>
      </c>
      <c r="S5457" s="13">
        <v>0</v>
      </c>
    </row>
    <row r="5458" spans="18:19" x14ac:dyDescent="0.25">
      <c r="R5458" s="13">
        <v>5385</v>
      </c>
      <c r="S5458" s="13">
        <v>0</v>
      </c>
    </row>
    <row r="5459" spans="18:19" x14ac:dyDescent="0.25">
      <c r="R5459" s="13">
        <v>5386</v>
      </c>
      <c r="S5459" s="13">
        <v>0</v>
      </c>
    </row>
    <row r="5460" spans="18:19" x14ac:dyDescent="0.25">
      <c r="R5460" s="13">
        <v>5387</v>
      </c>
      <c r="S5460" s="13">
        <v>7267086.8902244568</v>
      </c>
    </row>
    <row r="5461" spans="18:19" x14ac:dyDescent="0.25">
      <c r="R5461" s="13">
        <v>5388</v>
      </c>
      <c r="S5461" s="13">
        <v>0</v>
      </c>
    </row>
    <row r="5462" spans="18:19" x14ac:dyDescent="0.25">
      <c r="R5462" s="13">
        <v>5389</v>
      </c>
      <c r="S5462" s="13">
        <v>331321550.29547882</v>
      </c>
    </row>
    <row r="5463" spans="18:19" x14ac:dyDescent="0.25">
      <c r="R5463" s="13">
        <v>5390</v>
      </c>
      <c r="S5463" s="13">
        <v>0</v>
      </c>
    </row>
    <row r="5464" spans="18:19" x14ac:dyDescent="0.25">
      <c r="R5464" s="13">
        <v>5391</v>
      </c>
      <c r="S5464" s="13">
        <v>0</v>
      </c>
    </row>
    <row r="5465" spans="18:19" x14ac:dyDescent="0.25">
      <c r="R5465" s="13">
        <v>5392</v>
      </c>
      <c r="S5465" s="13">
        <v>453591255.5162468</v>
      </c>
    </row>
    <row r="5466" spans="18:19" x14ac:dyDescent="0.25">
      <c r="R5466" s="13">
        <v>5393</v>
      </c>
      <c r="S5466" s="13">
        <v>0</v>
      </c>
    </row>
    <row r="5467" spans="18:19" x14ac:dyDescent="0.25">
      <c r="R5467" s="13">
        <v>5394</v>
      </c>
      <c r="S5467" s="13">
        <v>0</v>
      </c>
    </row>
    <row r="5468" spans="18:19" x14ac:dyDescent="0.25">
      <c r="R5468" s="13">
        <v>5395</v>
      </c>
      <c r="S5468" s="13">
        <v>0</v>
      </c>
    </row>
    <row r="5469" spans="18:19" x14ac:dyDescent="0.25">
      <c r="R5469" s="13">
        <v>5396</v>
      </c>
      <c r="S5469" s="13">
        <v>0</v>
      </c>
    </row>
    <row r="5470" spans="18:19" x14ac:dyDescent="0.25">
      <c r="R5470" s="13">
        <v>5397</v>
      </c>
      <c r="S5470" s="13">
        <v>0</v>
      </c>
    </row>
    <row r="5471" spans="18:19" x14ac:dyDescent="0.25">
      <c r="R5471" s="13">
        <v>5398</v>
      </c>
      <c r="S5471" s="13">
        <v>0</v>
      </c>
    </row>
    <row r="5472" spans="18:19" x14ac:dyDescent="0.25">
      <c r="R5472" s="13">
        <v>5399</v>
      </c>
      <c r="S5472" s="13">
        <v>0</v>
      </c>
    </row>
    <row r="5473" spans="18:19" x14ac:dyDescent="0.25">
      <c r="R5473" s="13">
        <v>5400</v>
      </c>
      <c r="S5473" s="13">
        <v>209498166.98944092</v>
      </c>
    </row>
    <row r="5474" spans="18:19" x14ac:dyDescent="0.25">
      <c r="R5474" s="13">
        <v>5401</v>
      </c>
      <c r="S5474" s="13">
        <v>0</v>
      </c>
    </row>
    <row r="5475" spans="18:19" x14ac:dyDescent="0.25">
      <c r="R5475" s="13">
        <v>5402</v>
      </c>
      <c r="S5475" s="13">
        <v>0</v>
      </c>
    </row>
    <row r="5476" spans="18:19" x14ac:dyDescent="0.25">
      <c r="R5476" s="13">
        <v>5403</v>
      </c>
      <c r="S5476" s="13">
        <v>0</v>
      </c>
    </row>
    <row r="5477" spans="18:19" x14ac:dyDescent="0.25">
      <c r="R5477" s="13">
        <v>5404</v>
      </c>
      <c r="S5477" s="13">
        <v>0</v>
      </c>
    </row>
    <row r="5478" spans="18:19" x14ac:dyDescent="0.25">
      <c r="R5478" s="13">
        <v>5405</v>
      </c>
      <c r="S5478" s="13">
        <v>0</v>
      </c>
    </row>
    <row r="5479" spans="18:19" x14ac:dyDescent="0.25">
      <c r="R5479" s="13">
        <v>5406</v>
      </c>
      <c r="S5479" s="13">
        <v>0</v>
      </c>
    </row>
    <row r="5480" spans="18:19" x14ac:dyDescent="0.25">
      <c r="R5480" s="13">
        <v>5407</v>
      </c>
      <c r="S5480" s="13">
        <v>0</v>
      </c>
    </row>
    <row r="5481" spans="18:19" x14ac:dyDescent="0.25">
      <c r="R5481" s="13">
        <v>5408</v>
      </c>
      <c r="S5481" s="13">
        <v>267896227.50496101</v>
      </c>
    </row>
    <row r="5482" spans="18:19" x14ac:dyDescent="0.25">
      <c r="R5482" s="13">
        <v>5409</v>
      </c>
      <c r="S5482" s="13">
        <v>485010078.58927155</v>
      </c>
    </row>
    <row r="5483" spans="18:19" x14ac:dyDescent="0.25">
      <c r="R5483" s="13">
        <v>5410</v>
      </c>
      <c r="S5483" s="13">
        <v>0</v>
      </c>
    </row>
    <row r="5484" spans="18:19" x14ac:dyDescent="0.25">
      <c r="R5484" s="13">
        <v>5411</v>
      </c>
      <c r="S5484" s="13">
        <v>0</v>
      </c>
    </row>
    <row r="5485" spans="18:19" x14ac:dyDescent="0.25">
      <c r="R5485" s="13">
        <v>5412</v>
      </c>
      <c r="S5485" s="13">
        <v>0</v>
      </c>
    </row>
    <row r="5486" spans="18:19" x14ac:dyDescent="0.25">
      <c r="R5486" s="13">
        <v>5413</v>
      </c>
      <c r="S5486" s="13">
        <v>0</v>
      </c>
    </row>
    <row r="5487" spans="18:19" x14ac:dyDescent="0.25">
      <c r="R5487" s="13">
        <v>5414</v>
      </c>
      <c r="S5487" s="13">
        <v>0</v>
      </c>
    </row>
    <row r="5488" spans="18:19" x14ac:dyDescent="0.25">
      <c r="R5488" s="13">
        <v>5415</v>
      </c>
      <c r="S5488" s="13">
        <v>0</v>
      </c>
    </row>
    <row r="5489" spans="18:19" x14ac:dyDescent="0.25">
      <c r="R5489" s="13">
        <v>5416</v>
      </c>
      <c r="S5489" s="13">
        <v>0</v>
      </c>
    </row>
    <row r="5490" spans="18:19" x14ac:dyDescent="0.25">
      <c r="R5490" s="13">
        <v>5417</v>
      </c>
      <c r="S5490" s="13">
        <v>0</v>
      </c>
    </row>
    <row r="5491" spans="18:19" x14ac:dyDescent="0.25">
      <c r="R5491" s="13">
        <v>5418</v>
      </c>
      <c r="S5491" s="13">
        <v>0</v>
      </c>
    </row>
    <row r="5492" spans="18:19" x14ac:dyDescent="0.25">
      <c r="R5492" s="13">
        <v>5419</v>
      </c>
      <c r="S5492" s="13">
        <v>0</v>
      </c>
    </row>
    <row r="5493" spans="18:19" x14ac:dyDescent="0.25">
      <c r="R5493" s="13">
        <v>5420</v>
      </c>
      <c r="S5493" s="13">
        <v>0</v>
      </c>
    </row>
    <row r="5494" spans="18:19" x14ac:dyDescent="0.25">
      <c r="R5494" s="13">
        <v>5421</v>
      </c>
      <c r="S5494" s="13">
        <v>0</v>
      </c>
    </row>
    <row r="5495" spans="18:19" x14ac:dyDescent="0.25">
      <c r="R5495" s="13">
        <v>5422</v>
      </c>
      <c r="S5495" s="13">
        <v>0</v>
      </c>
    </row>
    <row r="5496" spans="18:19" x14ac:dyDescent="0.25">
      <c r="R5496" s="13">
        <v>5423</v>
      </c>
      <c r="S5496" s="13">
        <v>0</v>
      </c>
    </row>
    <row r="5497" spans="18:19" x14ac:dyDescent="0.25">
      <c r="R5497" s="13">
        <v>5424</v>
      </c>
      <c r="S5497" s="13">
        <v>0</v>
      </c>
    </row>
    <row r="5498" spans="18:19" x14ac:dyDescent="0.25">
      <c r="R5498" s="13">
        <v>5425</v>
      </c>
      <c r="S5498" s="13">
        <v>0</v>
      </c>
    </row>
    <row r="5499" spans="18:19" x14ac:dyDescent="0.25">
      <c r="R5499" s="13">
        <v>5426</v>
      </c>
      <c r="S5499" s="13">
        <v>0</v>
      </c>
    </row>
    <row r="5500" spans="18:19" x14ac:dyDescent="0.25">
      <c r="R5500" s="13">
        <v>5427</v>
      </c>
      <c r="S5500" s="13">
        <v>0</v>
      </c>
    </row>
    <row r="5501" spans="18:19" x14ac:dyDescent="0.25">
      <c r="R5501" s="13">
        <v>5428</v>
      </c>
      <c r="S5501" s="13">
        <v>0</v>
      </c>
    </row>
    <row r="5502" spans="18:19" x14ac:dyDescent="0.25">
      <c r="R5502" s="13">
        <v>5429</v>
      </c>
      <c r="S5502" s="13">
        <v>0</v>
      </c>
    </row>
    <row r="5503" spans="18:19" x14ac:dyDescent="0.25">
      <c r="R5503" s="13">
        <v>5430</v>
      </c>
      <c r="S5503" s="13">
        <v>0</v>
      </c>
    </row>
    <row r="5504" spans="18:19" x14ac:dyDescent="0.25">
      <c r="R5504" s="13">
        <v>5431</v>
      </c>
      <c r="S5504" s="13">
        <v>0</v>
      </c>
    </row>
    <row r="5505" spans="18:19" x14ac:dyDescent="0.25">
      <c r="R5505" s="13">
        <v>5432</v>
      </c>
      <c r="S5505" s="13">
        <v>0</v>
      </c>
    </row>
    <row r="5506" spans="18:19" x14ac:dyDescent="0.25">
      <c r="R5506" s="13">
        <v>5433</v>
      </c>
      <c r="S5506" s="13">
        <v>0</v>
      </c>
    </row>
    <row r="5507" spans="18:19" x14ac:dyDescent="0.25">
      <c r="R5507" s="13">
        <v>5434</v>
      </c>
      <c r="S5507" s="13">
        <v>90604412.773742676</v>
      </c>
    </row>
    <row r="5508" spans="18:19" x14ac:dyDescent="0.25">
      <c r="R5508" s="13">
        <v>5435</v>
      </c>
      <c r="S5508" s="13">
        <v>0</v>
      </c>
    </row>
    <row r="5509" spans="18:19" x14ac:dyDescent="0.25">
      <c r="R5509" s="13">
        <v>5436</v>
      </c>
      <c r="S5509" s="13">
        <v>0</v>
      </c>
    </row>
    <row r="5510" spans="18:19" x14ac:dyDescent="0.25">
      <c r="R5510" s="13">
        <v>5437</v>
      </c>
      <c r="S5510" s="13">
        <v>0</v>
      </c>
    </row>
    <row r="5511" spans="18:19" x14ac:dyDescent="0.25">
      <c r="R5511" s="13">
        <v>5438</v>
      </c>
      <c r="S5511" s="13">
        <v>987078616.93623543</v>
      </c>
    </row>
    <row r="5512" spans="18:19" x14ac:dyDescent="0.25">
      <c r="R5512" s="13">
        <v>5439</v>
      </c>
      <c r="S5512" s="13">
        <v>0</v>
      </c>
    </row>
    <row r="5513" spans="18:19" x14ac:dyDescent="0.25">
      <c r="R5513" s="13">
        <v>5440</v>
      </c>
      <c r="S5513" s="13">
        <v>0</v>
      </c>
    </row>
    <row r="5514" spans="18:19" x14ac:dyDescent="0.25">
      <c r="R5514" s="13">
        <v>5441</v>
      </c>
      <c r="S5514" s="13">
        <v>0</v>
      </c>
    </row>
    <row r="5515" spans="18:19" x14ac:dyDescent="0.25">
      <c r="R5515" s="13">
        <v>5442</v>
      </c>
      <c r="S5515" s="13">
        <v>0</v>
      </c>
    </row>
    <row r="5516" spans="18:19" x14ac:dyDescent="0.25">
      <c r="R5516" s="13">
        <v>5443</v>
      </c>
      <c r="S5516" s="13">
        <v>0</v>
      </c>
    </row>
    <row r="5517" spans="18:19" x14ac:dyDescent="0.25">
      <c r="R5517" s="13">
        <v>5444</v>
      </c>
      <c r="S5517" s="13">
        <v>0</v>
      </c>
    </row>
    <row r="5518" spans="18:19" x14ac:dyDescent="0.25">
      <c r="R5518" s="13">
        <v>5445</v>
      </c>
      <c r="S5518" s="13">
        <v>0</v>
      </c>
    </row>
    <row r="5519" spans="18:19" x14ac:dyDescent="0.25">
      <c r="R5519" s="13">
        <v>5446</v>
      </c>
      <c r="S5519" s="13">
        <v>0</v>
      </c>
    </row>
    <row r="5520" spans="18:19" x14ac:dyDescent="0.25">
      <c r="R5520" s="13">
        <v>5447</v>
      </c>
      <c r="S5520" s="13">
        <v>0</v>
      </c>
    </row>
    <row r="5521" spans="18:19" x14ac:dyDescent="0.25">
      <c r="R5521" s="13">
        <v>5448</v>
      </c>
      <c r="S5521" s="13">
        <v>0</v>
      </c>
    </row>
    <row r="5522" spans="18:19" x14ac:dyDescent="0.25">
      <c r="R5522" s="13">
        <v>5449</v>
      </c>
      <c r="S5522" s="13">
        <v>0</v>
      </c>
    </row>
    <row r="5523" spans="18:19" x14ac:dyDescent="0.25">
      <c r="R5523" s="13">
        <v>5450</v>
      </c>
      <c r="S5523" s="13">
        <v>156574213.22716331</v>
      </c>
    </row>
    <row r="5524" spans="18:19" x14ac:dyDescent="0.25">
      <c r="R5524" s="13">
        <v>5451</v>
      </c>
      <c r="S5524" s="13">
        <v>0</v>
      </c>
    </row>
    <row r="5525" spans="18:19" x14ac:dyDescent="0.25">
      <c r="R5525" s="13">
        <v>5452</v>
      </c>
      <c r="S5525" s="13">
        <v>134863579.63137054</v>
      </c>
    </row>
    <row r="5526" spans="18:19" x14ac:dyDescent="0.25">
      <c r="R5526" s="13">
        <v>5453</v>
      </c>
      <c r="S5526" s="13">
        <v>381438857.18112564</v>
      </c>
    </row>
    <row r="5527" spans="18:19" x14ac:dyDescent="0.25">
      <c r="R5527" s="13">
        <v>5454</v>
      </c>
      <c r="S5527" s="13">
        <v>0</v>
      </c>
    </row>
    <row r="5528" spans="18:19" x14ac:dyDescent="0.25">
      <c r="R5528" s="13">
        <v>5455</v>
      </c>
      <c r="S5528" s="13">
        <v>0</v>
      </c>
    </row>
    <row r="5529" spans="18:19" x14ac:dyDescent="0.25">
      <c r="R5529" s="13">
        <v>5456</v>
      </c>
      <c r="S5529" s="13">
        <v>0</v>
      </c>
    </row>
    <row r="5530" spans="18:19" x14ac:dyDescent="0.25">
      <c r="R5530" s="13">
        <v>5457</v>
      </c>
      <c r="S5530" s="13">
        <v>0</v>
      </c>
    </row>
    <row r="5531" spans="18:19" x14ac:dyDescent="0.25">
      <c r="R5531" s="13">
        <v>5458</v>
      </c>
      <c r="S5531" s="13">
        <v>483950736.03903389</v>
      </c>
    </row>
    <row r="5532" spans="18:19" x14ac:dyDescent="0.25">
      <c r="R5532" s="13">
        <v>5459</v>
      </c>
      <c r="S5532" s="13">
        <v>0</v>
      </c>
    </row>
    <row r="5533" spans="18:19" x14ac:dyDescent="0.25">
      <c r="R5533" s="13">
        <v>5460</v>
      </c>
      <c r="S5533" s="13">
        <v>380217133.75200272</v>
      </c>
    </row>
    <row r="5534" spans="18:19" x14ac:dyDescent="0.25">
      <c r="R5534" s="13">
        <v>5461</v>
      </c>
      <c r="S5534" s="13">
        <v>0</v>
      </c>
    </row>
    <row r="5535" spans="18:19" x14ac:dyDescent="0.25">
      <c r="R5535" s="13">
        <v>5462</v>
      </c>
      <c r="S5535" s="13">
        <v>0</v>
      </c>
    </row>
    <row r="5536" spans="18:19" x14ac:dyDescent="0.25">
      <c r="R5536" s="13">
        <v>5463</v>
      </c>
      <c r="S5536" s="13">
        <v>0</v>
      </c>
    </row>
    <row r="5537" spans="18:19" x14ac:dyDescent="0.25">
      <c r="R5537" s="13">
        <v>5464</v>
      </c>
      <c r="S5537" s="13">
        <v>0</v>
      </c>
    </row>
    <row r="5538" spans="18:19" x14ac:dyDescent="0.25">
      <c r="R5538" s="13">
        <v>5465</v>
      </c>
      <c r="S5538" s="13">
        <v>824670967.53791237</v>
      </c>
    </row>
    <row r="5539" spans="18:19" x14ac:dyDescent="0.25">
      <c r="R5539" s="13">
        <v>5466</v>
      </c>
      <c r="S5539" s="13">
        <v>0</v>
      </c>
    </row>
    <row r="5540" spans="18:19" x14ac:dyDescent="0.25">
      <c r="R5540" s="13">
        <v>5467</v>
      </c>
      <c r="S5540" s="13">
        <v>133312443.08486176</v>
      </c>
    </row>
    <row r="5541" spans="18:19" x14ac:dyDescent="0.25">
      <c r="R5541" s="13">
        <v>5468</v>
      </c>
      <c r="S5541" s="13">
        <v>219871196.29755783</v>
      </c>
    </row>
    <row r="5542" spans="18:19" x14ac:dyDescent="0.25">
      <c r="R5542" s="13">
        <v>5469</v>
      </c>
      <c r="S5542" s="13">
        <v>0</v>
      </c>
    </row>
    <row r="5543" spans="18:19" x14ac:dyDescent="0.25">
      <c r="R5543" s="13">
        <v>5470</v>
      </c>
      <c r="S5543" s="13">
        <v>147915749.87527275</v>
      </c>
    </row>
    <row r="5544" spans="18:19" x14ac:dyDescent="0.25">
      <c r="R5544" s="13">
        <v>5471</v>
      </c>
      <c r="S5544" s="13">
        <v>0</v>
      </c>
    </row>
    <row r="5545" spans="18:19" x14ac:dyDescent="0.25">
      <c r="R5545" s="13">
        <v>5472</v>
      </c>
      <c r="S5545" s="13">
        <v>0</v>
      </c>
    </row>
    <row r="5546" spans="18:19" x14ac:dyDescent="0.25">
      <c r="R5546" s="13">
        <v>5473</v>
      </c>
      <c r="S5546" s="13">
        <v>0</v>
      </c>
    </row>
    <row r="5547" spans="18:19" x14ac:dyDescent="0.25">
      <c r="R5547" s="13">
        <v>5474</v>
      </c>
      <c r="S5547" s="13">
        <v>0</v>
      </c>
    </row>
    <row r="5548" spans="18:19" x14ac:dyDescent="0.25">
      <c r="R5548" s="13">
        <v>5475</v>
      </c>
      <c r="S5548" s="13">
        <v>0</v>
      </c>
    </row>
    <row r="5549" spans="18:19" x14ac:dyDescent="0.25">
      <c r="R5549" s="13">
        <v>5476</v>
      </c>
      <c r="S5549" s="13">
        <v>79080467.070753098</v>
      </c>
    </row>
    <row r="5550" spans="18:19" x14ac:dyDescent="0.25">
      <c r="R5550" s="13">
        <v>5477</v>
      </c>
      <c r="S5550" s="13">
        <v>0</v>
      </c>
    </row>
    <row r="5551" spans="18:19" x14ac:dyDescent="0.25">
      <c r="R5551" s="13">
        <v>5478</v>
      </c>
      <c r="S5551" s="13">
        <v>0</v>
      </c>
    </row>
    <row r="5552" spans="18:19" x14ac:dyDescent="0.25">
      <c r="R5552" s="13">
        <v>5479</v>
      </c>
      <c r="S5552" s="13">
        <v>0</v>
      </c>
    </row>
    <row r="5553" spans="18:19" x14ac:dyDescent="0.25">
      <c r="R5553" s="13">
        <v>5480</v>
      </c>
      <c r="S5553" s="13">
        <v>0</v>
      </c>
    </row>
    <row r="5554" spans="18:19" x14ac:dyDescent="0.25">
      <c r="R5554" s="13">
        <v>5481</v>
      </c>
      <c r="S5554" s="13">
        <v>237980281.7606678</v>
      </c>
    </row>
    <row r="5555" spans="18:19" x14ac:dyDescent="0.25">
      <c r="R5555" s="13">
        <v>5482</v>
      </c>
      <c r="S5555" s="13">
        <v>85806674.342416763</v>
      </c>
    </row>
    <row r="5556" spans="18:19" x14ac:dyDescent="0.25">
      <c r="R5556" s="13">
        <v>5483</v>
      </c>
      <c r="S5556" s="13">
        <v>0</v>
      </c>
    </row>
    <row r="5557" spans="18:19" x14ac:dyDescent="0.25">
      <c r="R5557" s="13">
        <v>5484</v>
      </c>
      <c r="S5557" s="13">
        <v>267952775.67013359</v>
      </c>
    </row>
    <row r="5558" spans="18:19" x14ac:dyDescent="0.25">
      <c r="R5558" s="13">
        <v>5485</v>
      </c>
      <c r="S5558" s="13">
        <v>0</v>
      </c>
    </row>
    <row r="5559" spans="18:19" x14ac:dyDescent="0.25">
      <c r="R5559" s="13">
        <v>5486</v>
      </c>
      <c r="S5559" s="13">
        <v>0</v>
      </c>
    </row>
    <row r="5560" spans="18:19" x14ac:dyDescent="0.25">
      <c r="R5560" s="13">
        <v>5487</v>
      </c>
      <c r="S5560" s="13">
        <v>0</v>
      </c>
    </row>
    <row r="5561" spans="18:19" x14ac:dyDescent="0.25">
      <c r="R5561" s="13">
        <v>5488</v>
      </c>
      <c r="S5561" s="13">
        <v>0</v>
      </c>
    </row>
    <row r="5562" spans="18:19" x14ac:dyDescent="0.25">
      <c r="R5562" s="13">
        <v>5489</v>
      </c>
      <c r="S5562" s="13">
        <v>0</v>
      </c>
    </row>
    <row r="5563" spans="18:19" x14ac:dyDescent="0.25">
      <c r="R5563" s="13">
        <v>5490</v>
      </c>
      <c r="S5563" s="13">
        <v>0</v>
      </c>
    </row>
    <row r="5564" spans="18:19" x14ac:dyDescent="0.25">
      <c r="R5564" s="13">
        <v>5491</v>
      </c>
      <c r="S5564" s="13">
        <v>0</v>
      </c>
    </row>
    <row r="5565" spans="18:19" x14ac:dyDescent="0.25">
      <c r="R5565" s="13">
        <v>5492</v>
      </c>
      <c r="S5565" s="13">
        <v>0</v>
      </c>
    </row>
    <row r="5566" spans="18:19" x14ac:dyDescent="0.25">
      <c r="R5566" s="13">
        <v>5493</v>
      </c>
      <c r="S5566" s="13">
        <v>0</v>
      </c>
    </row>
    <row r="5567" spans="18:19" x14ac:dyDescent="0.25">
      <c r="R5567" s="13">
        <v>5494</v>
      </c>
      <c r="S5567" s="13">
        <v>0</v>
      </c>
    </row>
    <row r="5568" spans="18:19" x14ac:dyDescent="0.25">
      <c r="R5568" s="13">
        <v>5495</v>
      </c>
      <c r="S5568" s="13">
        <v>0</v>
      </c>
    </row>
    <row r="5569" spans="18:19" x14ac:dyDescent="0.25">
      <c r="R5569" s="13">
        <v>5496</v>
      </c>
      <c r="S5569" s="13">
        <v>0</v>
      </c>
    </row>
    <row r="5570" spans="18:19" x14ac:dyDescent="0.25">
      <c r="R5570" s="13">
        <v>5497</v>
      </c>
      <c r="S5570" s="13">
        <v>0</v>
      </c>
    </row>
    <row r="5571" spans="18:19" x14ac:dyDescent="0.25">
      <c r="R5571" s="13">
        <v>5498</v>
      </c>
      <c r="S5571" s="13">
        <v>0</v>
      </c>
    </row>
    <row r="5572" spans="18:19" x14ac:dyDescent="0.25">
      <c r="R5572" s="13">
        <v>5499</v>
      </c>
      <c r="S5572" s="13">
        <v>555220755.42155457</v>
      </c>
    </row>
    <row r="5573" spans="18:19" x14ac:dyDescent="0.25">
      <c r="R5573" s="13">
        <v>5500</v>
      </c>
      <c r="S5573" s="13">
        <v>0</v>
      </c>
    </row>
    <row r="5574" spans="18:19" x14ac:dyDescent="0.25">
      <c r="R5574" s="13">
        <v>5501</v>
      </c>
      <c r="S5574" s="13">
        <v>0</v>
      </c>
    </row>
    <row r="5575" spans="18:19" x14ac:dyDescent="0.25">
      <c r="R5575" s="13">
        <v>5502</v>
      </c>
      <c r="S5575" s="13">
        <v>0</v>
      </c>
    </row>
    <row r="5576" spans="18:19" x14ac:dyDescent="0.25">
      <c r="R5576" s="13">
        <v>5503</v>
      </c>
      <c r="S5576" s="13">
        <v>156793951.90733719</v>
      </c>
    </row>
    <row r="5577" spans="18:19" x14ac:dyDescent="0.25">
      <c r="R5577" s="13">
        <v>5504</v>
      </c>
      <c r="S5577" s="13">
        <v>0</v>
      </c>
    </row>
    <row r="5578" spans="18:19" x14ac:dyDescent="0.25">
      <c r="R5578" s="13">
        <v>5505</v>
      </c>
      <c r="S5578" s="13">
        <v>109757356.64208603</v>
      </c>
    </row>
    <row r="5579" spans="18:19" x14ac:dyDescent="0.25">
      <c r="R5579" s="13">
        <v>5506</v>
      </c>
      <c r="S5579" s="13">
        <v>558779314.7404747</v>
      </c>
    </row>
    <row r="5580" spans="18:19" x14ac:dyDescent="0.25">
      <c r="R5580" s="13">
        <v>5507</v>
      </c>
      <c r="S5580" s="13">
        <v>118024793.49649429</v>
      </c>
    </row>
    <row r="5581" spans="18:19" x14ac:dyDescent="0.25">
      <c r="R5581" s="13">
        <v>5508</v>
      </c>
      <c r="S5581" s="13">
        <v>0</v>
      </c>
    </row>
    <row r="5582" spans="18:19" x14ac:dyDescent="0.25">
      <c r="R5582" s="13">
        <v>5509</v>
      </c>
      <c r="S5582" s="13">
        <v>0</v>
      </c>
    </row>
    <row r="5583" spans="18:19" x14ac:dyDescent="0.25">
      <c r="R5583" s="13">
        <v>5510</v>
      </c>
      <c r="S5583" s="13">
        <v>0</v>
      </c>
    </row>
    <row r="5584" spans="18:19" x14ac:dyDescent="0.25">
      <c r="R5584" s="13">
        <v>5511</v>
      </c>
      <c r="S5584" s="13">
        <v>0</v>
      </c>
    </row>
    <row r="5585" spans="18:19" x14ac:dyDescent="0.25">
      <c r="R5585" s="13">
        <v>5512</v>
      </c>
      <c r="S5585" s="13">
        <v>0</v>
      </c>
    </row>
    <row r="5586" spans="18:19" x14ac:dyDescent="0.25">
      <c r="R5586" s="13">
        <v>5513</v>
      </c>
      <c r="S5586" s="13">
        <v>0</v>
      </c>
    </row>
    <row r="5587" spans="18:19" x14ac:dyDescent="0.25">
      <c r="R5587" s="13">
        <v>5514</v>
      </c>
      <c r="S5587" s="13">
        <v>640572292.27523994</v>
      </c>
    </row>
    <row r="5588" spans="18:19" x14ac:dyDescent="0.25">
      <c r="R5588" s="13">
        <v>5515</v>
      </c>
      <c r="S5588" s="13">
        <v>921344286.32431412</v>
      </c>
    </row>
    <row r="5589" spans="18:19" x14ac:dyDescent="0.25">
      <c r="R5589" s="13">
        <v>5516</v>
      </c>
      <c r="S5589" s="13">
        <v>0</v>
      </c>
    </row>
    <row r="5590" spans="18:19" x14ac:dyDescent="0.25">
      <c r="R5590" s="13">
        <v>5517</v>
      </c>
      <c r="S5590" s="13">
        <v>0</v>
      </c>
    </row>
    <row r="5591" spans="18:19" x14ac:dyDescent="0.25">
      <c r="R5591" s="13">
        <v>5518</v>
      </c>
      <c r="S5591" s="13">
        <v>0</v>
      </c>
    </row>
    <row r="5592" spans="18:19" x14ac:dyDescent="0.25">
      <c r="R5592" s="13">
        <v>5519</v>
      </c>
      <c r="S5592" s="13">
        <v>0</v>
      </c>
    </row>
    <row r="5593" spans="18:19" x14ac:dyDescent="0.25">
      <c r="R5593" s="13">
        <v>5520</v>
      </c>
      <c r="S5593" s="13">
        <v>0</v>
      </c>
    </row>
    <row r="5594" spans="18:19" x14ac:dyDescent="0.25">
      <c r="R5594" s="13">
        <v>5521</v>
      </c>
      <c r="S5594" s="13">
        <v>0</v>
      </c>
    </row>
    <row r="5595" spans="18:19" x14ac:dyDescent="0.25">
      <c r="R5595" s="13">
        <v>5522</v>
      </c>
      <c r="S5595" s="13">
        <v>0</v>
      </c>
    </row>
    <row r="5596" spans="18:19" x14ac:dyDescent="0.25">
      <c r="R5596" s="13">
        <v>5523</v>
      </c>
      <c r="S5596" s="13">
        <v>782087882.65103722</v>
      </c>
    </row>
    <row r="5597" spans="18:19" x14ac:dyDescent="0.25">
      <c r="R5597" s="13">
        <v>5524</v>
      </c>
      <c r="S5597" s="13">
        <v>0</v>
      </c>
    </row>
    <row r="5598" spans="18:19" x14ac:dyDescent="0.25">
      <c r="R5598" s="13">
        <v>5525</v>
      </c>
      <c r="S5598" s="13">
        <v>0</v>
      </c>
    </row>
    <row r="5599" spans="18:19" x14ac:dyDescent="0.25">
      <c r="R5599" s="13">
        <v>5526</v>
      </c>
      <c r="S5599" s="13">
        <v>0</v>
      </c>
    </row>
    <row r="5600" spans="18:19" x14ac:dyDescent="0.25">
      <c r="R5600" s="13">
        <v>5527</v>
      </c>
      <c r="S5600" s="13">
        <v>139116807.55551338</v>
      </c>
    </row>
    <row r="5601" spans="18:19" x14ac:dyDescent="0.25">
      <c r="R5601" s="13">
        <v>5528</v>
      </c>
      <c r="S5601" s="13">
        <v>0</v>
      </c>
    </row>
    <row r="5602" spans="18:19" x14ac:dyDescent="0.25">
      <c r="R5602" s="13">
        <v>5529</v>
      </c>
      <c r="S5602" s="13">
        <v>0</v>
      </c>
    </row>
    <row r="5603" spans="18:19" x14ac:dyDescent="0.25">
      <c r="R5603" s="13">
        <v>5530</v>
      </c>
      <c r="S5603" s="13">
        <v>0</v>
      </c>
    </row>
    <row r="5604" spans="18:19" x14ac:dyDescent="0.25">
      <c r="R5604" s="13">
        <v>5531</v>
      </c>
      <c r="S5604" s="13">
        <v>0</v>
      </c>
    </row>
    <row r="5605" spans="18:19" x14ac:dyDescent="0.25">
      <c r="R5605" s="13">
        <v>5532</v>
      </c>
      <c r="S5605" s="13">
        <v>210992283.98760414</v>
      </c>
    </row>
    <row r="5606" spans="18:19" x14ac:dyDescent="0.25">
      <c r="R5606" s="13">
        <v>5533</v>
      </c>
      <c r="S5606" s="13">
        <v>0</v>
      </c>
    </row>
    <row r="5607" spans="18:19" x14ac:dyDescent="0.25">
      <c r="R5607" s="13">
        <v>5534</v>
      </c>
      <c r="S5607" s="13">
        <v>374493540.42985725</v>
      </c>
    </row>
    <row r="5608" spans="18:19" x14ac:dyDescent="0.25">
      <c r="R5608" s="13">
        <v>5535</v>
      </c>
      <c r="S5608" s="13">
        <v>0</v>
      </c>
    </row>
    <row r="5609" spans="18:19" x14ac:dyDescent="0.25">
      <c r="R5609" s="13">
        <v>5536</v>
      </c>
      <c r="S5609" s="13">
        <v>498384970.67302704</v>
      </c>
    </row>
    <row r="5610" spans="18:19" x14ac:dyDescent="0.25">
      <c r="R5610" s="13">
        <v>5537</v>
      </c>
      <c r="S5610" s="13">
        <v>0</v>
      </c>
    </row>
    <row r="5611" spans="18:19" x14ac:dyDescent="0.25">
      <c r="R5611" s="13">
        <v>5538</v>
      </c>
      <c r="S5611" s="13">
        <v>0</v>
      </c>
    </row>
    <row r="5612" spans="18:19" x14ac:dyDescent="0.25">
      <c r="R5612" s="13">
        <v>5539</v>
      </c>
      <c r="S5612" s="13">
        <v>0</v>
      </c>
    </row>
    <row r="5613" spans="18:19" x14ac:dyDescent="0.25">
      <c r="R5613" s="13">
        <v>5540</v>
      </c>
      <c r="S5613" s="13">
        <v>0</v>
      </c>
    </row>
    <row r="5614" spans="18:19" x14ac:dyDescent="0.25">
      <c r="R5614" s="13">
        <v>5541</v>
      </c>
      <c r="S5614" s="13">
        <v>0</v>
      </c>
    </row>
    <row r="5615" spans="18:19" x14ac:dyDescent="0.25">
      <c r="R5615" s="13">
        <v>5542</v>
      </c>
      <c r="S5615" s="13">
        <v>0</v>
      </c>
    </row>
    <row r="5616" spans="18:19" x14ac:dyDescent="0.25">
      <c r="R5616" s="13">
        <v>5543</v>
      </c>
      <c r="S5616" s="13">
        <v>0</v>
      </c>
    </row>
    <row r="5617" spans="18:19" x14ac:dyDescent="0.25">
      <c r="R5617" s="13">
        <v>5544</v>
      </c>
      <c r="S5617" s="13">
        <v>0</v>
      </c>
    </row>
    <row r="5618" spans="18:19" x14ac:dyDescent="0.25">
      <c r="R5618" s="13">
        <v>5545</v>
      </c>
      <c r="S5618" s="13">
        <v>0</v>
      </c>
    </row>
    <row r="5619" spans="18:19" x14ac:dyDescent="0.25">
      <c r="R5619" s="13">
        <v>5546</v>
      </c>
      <c r="S5619" s="13">
        <v>0</v>
      </c>
    </row>
    <row r="5620" spans="18:19" x14ac:dyDescent="0.25">
      <c r="R5620" s="13">
        <v>5547</v>
      </c>
      <c r="S5620" s="13">
        <v>0</v>
      </c>
    </row>
    <row r="5621" spans="18:19" x14ac:dyDescent="0.25">
      <c r="R5621" s="13">
        <v>5548</v>
      </c>
      <c r="S5621" s="13">
        <v>0</v>
      </c>
    </row>
    <row r="5622" spans="18:19" x14ac:dyDescent="0.25">
      <c r="R5622" s="13">
        <v>5549</v>
      </c>
      <c r="S5622" s="13">
        <v>0</v>
      </c>
    </row>
    <row r="5623" spans="18:19" x14ac:dyDescent="0.25">
      <c r="R5623" s="13">
        <v>5550</v>
      </c>
      <c r="S5623" s="13">
        <v>0</v>
      </c>
    </row>
    <row r="5624" spans="18:19" x14ac:dyDescent="0.25">
      <c r="R5624" s="13">
        <v>5551</v>
      </c>
      <c r="S5624" s="13">
        <v>0</v>
      </c>
    </row>
    <row r="5625" spans="18:19" x14ac:dyDescent="0.25">
      <c r="R5625" s="13">
        <v>5552</v>
      </c>
      <c r="S5625" s="13">
        <v>6263104.3069896698</v>
      </c>
    </row>
    <row r="5626" spans="18:19" x14ac:dyDescent="0.25">
      <c r="R5626" s="13">
        <v>5553</v>
      </c>
      <c r="S5626" s="13">
        <v>0</v>
      </c>
    </row>
    <row r="5627" spans="18:19" x14ac:dyDescent="0.25">
      <c r="R5627" s="13">
        <v>5554</v>
      </c>
      <c r="S5627" s="13">
        <v>0</v>
      </c>
    </row>
    <row r="5628" spans="18:19" x14ac:dyDescent="0.25">
      <c r="R5628" s="13">
        <v>5555</v>
      </c>
      <c r="S5628" s="13">
        <v>0</v>
      </c>
    </row>
    <row r="5629" spans="18:19" x14ac:dyDescent="0.25">
      <c r="R5629" s="13">
        <v>5556</v>
      </c>
      <c r="S5629" s="13">
        <v>0</v>
      </c>
    </row>
    <row r="5630" spans="18:19" x14ac:dyDescent="0.25">
      <c r="R5630" s="13">
        <v>5557</v>
      </c>
      <c r="S5630" s="13">
        <v>0</v>
      </c>
    </row>
    <row r="5631" spans="18:19" x14ac:dyDescent="0.25">
      <c r="R5631" s="13">
        <v>5558</v>
      </c>
      <c r="S5631" s="13">
        <v>0</v>
      </c>
    </row>
    <row r="5632" spans="18:19" x14ac:dyDescent="0.25">
      <c r="R5632" s="13">
        <v>5559</v>
      </c>
      <c r="S5632" s="13">
        <v>897200390.73932648</v>
      </c>
    </row>
    <row r="5633" spans="18:19" x14ac:dyDescent="0.25">
      <c r="R5633" s="13">
        <v>5560</v>
      </c>
      <c r="S5633" s="13">
        <v>0</v>
      </c>
    </row>
    <row r="5634" spans="18:19" x14ac:dyDescent="0.25">
      <c r="R5634" s="13">
        <v>5561</v>
      </c>
      <c r="S5634" s="13">
        <v>0</v>
      </c>
    </row>
    <row r="5635" spans="18:19" x14ac:dyDescent="0.25">
      <c r="R5635" s="13">
        <v>5562</v>
      </c>
      <c r="S5635" s="13">
        <v>0</v>
      </c>
    </row>
    <row r="5636" spans="18:19" x14ac:dyDescent="0.25">
      <c r="R5636" s="13">
        <v>5563</v>
      </c>
      <c r="S5636" s="13">
        <v>601915523.42201996</v>
      </c>
    </row>
    <row r="5637" spans="18:19" x14ac:dyDescent="0.25">
      <c r="R5637" s="13">
        <v>5564</v>
      </c>
      <c r="S5637" s="13">
        <v>0</v>
      </c>
    </row>
    <row r="5638" spans="18:19" x14ac:dyDescent="0.25">
      <c r="R5638" s="13">
        <v>5565</v>
      </c>
      <c r="S5638" s="13">
        <v>0</v>
      </c>
    </row>
    <row r="5639" spans="18:19" x14ac:dyDescent="0.25">
      <c r="R5639" s="13">
        <v>5566</v>
      </c>
      <c r="S5639" s="13">
        <v>0</v>
      </c>
    </row>
    <row r="5640" spans="18:19" x14ac:dyDescent="0.25">
      <c r="R5640" s="13">
        <v>5567</v>
      </c>
      <c r="S5640" s="13">
        <v>0</v>
      </c>
    </row>
    <row r="5641" spans="18:19" x14ac:dyDescent="0.25">
      <c r="R5641" s="13">
        <v>5568</v>
      </c>
      <c r="S5641" s="13">
        <v>0</v>
      </c>
    </row>
    <row r="5642" spans="18:19" x14ac:dyDescent="0.25">
      <c r="R5642" s="13">
        <v>5569</v>
      </c>
      <c r="S5642" s="13">
        <v>0</v>
      </c>
    </row>
    <row r="5643" spans="18:19" x14ac:dyDescent="0.25">
      <c r="R5643" s="13">
        <v>5570</v>
      </c>
      <c r="S5643" s="13">
        <v>202726883.46980858</v>
      </c>
    </row>
    <row r="5644" spans="18:19" x14ac:dyDescent="0.25">
      <c r="R5644" s="13">
        <v>5571</v>
      </c>
      <c r="S5644" s="13">
        <v>502977699.64408302</v>
      </c>
    </row>
    <row r="5645" spans="18:19" x14ac:dyDescent="0.25">
      <c r="R5645" s="13">
        <v>5572</v>
      </c>
      <c r="S5645" s="13">
        <v>0</v>
      </c>
    </row>
    <row r="5646" spans="18:19" x14ac:dyDescent="0.25">
      <c r="R5646" s="13">
        <v>5573</v>
      </c>
      <c r="S5646" s="13">
        <v>381987088.62478065</v>
      </c>
    </row>
    <row r="5647" spans="18:19" x14ac:dyDescent="0.25">
      <c r="R5647" s="13">
        <v>5574</v>
      </c>
      <c r="S5647" s="13">
        <v>0</v>
      </c>
    </row>
    <row r="5648" spans="18:19" x14ac:dyDescent="0.25">
      <c r="R5648" s="13">
        <v>5575</v>
      </c>
      <c r="S5648" s="13">
        <v>0</v>
      </c>
    </row>
    <row r="5649" spans="18:19" x14ac:dyDescent="0.25">
      <c r="R5649" s="13">
        <v>5576</v>
      </c>
      <c r="S5649" s="13">
        <v>0</v>
      </c>
    </row>
    <row r="5650" spans="18:19" x14ac:dyDescent="0.25">
      <c r="R5650" s="13">
        <v>5577</v>
      </c>
      <c r="S5650" s="13">
        <v>141020965.45607758</v>
      </c>
    </row>
    <row r="5651" spans="18:19" x14ac:dyDescent="0.25">
      <c r="R5651" s="13">
        <v>5578</v>
      </c>
      <c r="S5651" s="13">
        <v>0</v>
      </c>
    </row>
    <row r="5652" spans="18:19" x14ac:dyDescent="0.25">
      <c r="R5652" s="13">
        <v>5579</v>
      </c>
      <c r="S5652" s="13">
        <v>0</v>
      </c>
    </row>
    <row r="5653" spans="18:19" x14ac:dyDescent="0.25">
      <c r="R5653" s="13">
        <v>5580</v>
      </c>
      <c r="S5653" s="13">
        <v>199718032.44773293</v>
      </c>
    </row>
    <row r="5654" spans="18:19" x14ac:dyDescent="0.25">
      <c r="R5654" s="13">
        <v>5581</v>
      </c>
      <c r="S5654" s="13">
        <v>215608187.97945213</v>
      </c>
    </row>
    <row r="5655" spans="18:19" x14ac:dyDescent="0.25">
      <c r="R5655" s="13">
        <v>5582</v>
      </c>
      <c r="S5655" s="13">
        <v>0</v>
      </c>
    </row>
    <row r="5656" spans="18:19" x14ac:dyDescent="0.25">
      <c r="R5656" s="13">
        <v>5583</v>
      </c>
      <c r="S5656" s="13">
        <v>990156475.95606995</v>
      </c>
    </row>
    <row r="5657" spans="18:19" x14ac:dyDescent="0.25">
      <c r="R5657" s="13">
        <v>5584</v>
      </c>
      <c r="S5657" s="13">
        <v>429335577.86063957</v>
      </c>
    </row>
    <row r="5658" spans="18:19" x14ac:dyDescent="0.25">
      <c r="R5658" s="13">
        <v>5585</v>
      </c>
      <c r="S5658" s="13">
        <v>281376064.30072021</v>
      </c>
    </row>
    <row r="5659" spans="18:19" x14ac:dyDescent="0.25">
      <c r="R5659" s="13">
        <v>5586</v>
      </c>
      <c r="S5659" s="13">
        <v>457190019.69531822</v>
      </c>
    </row>
    <row r="5660" spans="18:19" x14ac:dyDescent="0.25">
      <c r="R5660" s="13">
        <v>5587</v>
      </c>
      <c r="S5660" s="13">
        <v>0</v>
      </c>
    </row>
    <row r="5661" spans="18:19" x14ac:dyDescent="0.25">
      <c r="R5661" s="13">
        <v>5588</v>
      </c>
      <c r="S5661" s="13">
        <v>0</v>
      </c>
    </row>
    <row r="5662" spans="18:19" x14ac:dyDescent="0.25">
      <c r="R5662" s="13">
        <v>5589</v>
      </c>
      <c r="S5662" s="13">
        <v>0</v>
      </c>
    </row>
    <row r="5663" spans="18:19" x14ac:dyDescent="0.25">
      <c r="R5663" s="13">
        <v>5590</v>
      </c>
      <c r="S5663" s="13">
        <v>0</v>
      </c>
    </row>
    <row r="5664" spans="18:19" x14ac:dyDescent="0.25">
      <c r="R5664" s="13">
        <v>5591</v>
      </c>
      <c r="S5664" s="13">
        <v>0</v>
      </c>
    </row>
    <row r="5665" spans="18:19" x14ac:dyDescent="0.25">
      <c r="R5665" s="13">
        <v>5592</v>
      </c>
      <c r="S5665" s="13">
        <v>0</v>
      </c>
    </row>
    <row r="5666" spans="18:19" x14ac:dyDescent="0.25">
      <c r="R5666" s="13">
        <v>5593</v>
      </c>
      <c r="S5666" s="13">
        <v>0</v>
      </c>
    </row>
    <row r="5667" spans="18:19" x14ac:dyDescent="0.25">
      <c r="R5667" s="13">
        <v>5594</v>
      </c>
      <c r="S5667" s="13">
        <v>596013810.94491768</v>
      </c>
    </row>
    <row r="5668" spans="18:19" x14ac:dyDescent="0.25">
      <c r="R5668" s="13">
        <v>5595</v>
      </c>
      <c r="S5668" s="13">
        <v>0</v>
      </c>
    </row>
    <row r="5669" spans="18:19" x14ac:dyDescent="0.25">
      <c r="R5669" s="13">
        <v>5596</v>
      </c>
      <c r="S5669" s="13">
        <v>947772406.10636902</v>
      </c>
    </row>
    <row r="5670" spans="18:19" x14ac:dyDescent="0.25">
      <c r="R5670" s="13">
        <v>5597</v>
      </c>
      <c r="S5670" s="13">
        <v>0</v>
      </c>
    </row>
    <row r="5671" spans="18:19" x14ac:dyDescent="0.25">
      <c r="R5671" s="13">
        <v>5598</v>
      </c>
      <c r="S5671" s="13">
        <v>0</v>
      </c>
    </row>
    <row r="5672" spans="18:19" x14ac:dyDescent="0.25">
      <c r="R5672" s="13">
        <v>5599</v>
      </c>
      <c r="S5672" s="13">
        <v>0</v>
      </c>
    </row>
    <row r="5673" spans="18:19" x14ac:dyDescent="0.25">
      <c r="R5673" s="13">
        <v>5600</v>
      </c>
      <c r="S5673" s="13">
        <v>0</v>
      </c>
    </row>
    <row r="5674" spans="18:19" x14ac:dyDescent="0.25">
      <c r="R5674" s="13">
        <v>5601</v>
      </c>
      <c r="S5674" s="13">
        <v>914447835.20627213</v>
      </c>
    </row>
    <row r="5675" spans="18:19" x14ac:dyDescent="0.25">
      <c r="R5675" s="13">
        <v>5602</v>
      </c>
      <c r="S5675" s="13">
        <v>8942004.3356990814</v>
      </c>
    </row>
    <row r="5676" spans="18:19" x14ac:dyDescent="0.25">
      <c r="R5676" s="13">
        <v>5603</v>
      </c>
      <c r="S5676" s="13">
        <v>0</v>
      </c>
    </row>
    <row r="5677" spans="18:19" x14ac:dyDescent="0.25">
      <c r="R5677" s="13">
        <v>5604</v>
      </c>
      <c r="S5677" s="13">
        <v>0</v>
      </c>
    </row>
    <row r="5678" spans="18:19" x14ac:dyDescent="0.25">
      <c r="R5678" s="13">
        <v>5605</v>
      </c>
      <c r="S5678" s="13">
        <v>0</v>
      </c>
    </row>
    <row r="5679" spans="18:19" x14ac:dyDescent="0.25">
      <c r="R5679" s="13">
        <v>5606</v>
      </c>
      <c r="S5679" s="13">
        <v>0</v>
      </c>
    </row>
    <row r="5680" spans="18:19" x14ac:dyDescent="0.25">
      <c r="R5680" s="13">
        <v>5607</v>
      </c>
      <c r="S5680" s="13">
        <v>0</v>
      </c>
    </row>
    <row r="5681" spans="18:19" x14ac:dyDescent="0.25">
      <c r="R5681" s="13">
        <v>5608</v>
      </c>
      <c r="S5681" s="13">
        <v>0</v>
      </c>
    </row>
    <row r="5682" spans="18:19" x14ac:dyDescent="0.25">
      <c r="R5682" s="13">
        <v>5609</v>
      </c>
      <c r="S5682" s="13">
        <v>0</v>
      </c>
    </row>
    <row r="5683" spans="18:19" x14ac:dyDescent="0.25">
      <c r="R5683" s="13">
        <v>5610</v>
      </c>
      <c r="S5683" s="13">
        <v>0</v>
      </c>
    </row>
    <row r="5684" spans="18:19" x14ac:dyDescent="0.25">
      <c r="R5684" s="13">
        <v>5611</v>
      </c>
      <c r="S5684" s="13">
        <v>0</v>
      </c>
    </row>
    <row r="5685" spans="18:19" x14ac:dyDescent="0.25">
      <c r="R5685" s="13">
        <v>5612</v>
      </c>
      <c r="S5685" s="13">
        <v>1083962884.7959671</v>
      </c>
    </row>
    <row r="5686" spans="18:19" x14ac:dyDescent="0.25">
      <c r="R5686" s="13">
        <v>5613</v>
      </c>
      <c r="S5686" s="13">
        <v>195380142.98590469</v>
      </c>
    </row>
    <row r="5687" spans="18:19" x14ac:dyDescent="0.25">
      <c r="R5687" s="13">
        <v>5614</v>
      </c>
      <c r="S5687" s="13">
        <v>0</v>
      </c>
    </row>
    <row r="5688" spans="18:19" x14ac:dyDescent="0.25">
      <c r="R5688" s="13">
        <v>5615</v>
      </c>
      <c r="S5688" s="13">
        <v>0</v>
      </c>
    </row>
    <row r="5689" spans="18:19" x14ac:dyDescent="0.25">
      <c r="R5689" s="13">
        <v>5616</v>
      </c>
      <c r="S5689" s="13">
        <v>244905166.01120377</v>
      </c>
    </row>
    <row r="5690" spans="18:19" x14ac:dyDescent="0.25">
      <c r="R5690" s="13">
        <v>5617</v>
      </c>
      <c r="S5690" s="13">
        <v>0</v>
      </c>
    </row>
    <row r="5691" spans="18:19" x14ac:dyDescent="0.25">
      <c r="R5691" s="13">
        <v>5618</v>
      </c>
      <c r="S5691" s="13">
        <v>0</v>
      </c>
    </row>
    <row r="5692" spans="18:19" x14ac:dyDescent="0.25">
      <c r="R5692" s="13">
        <v>5619</v>
      </c>
      <c r="S5692" s="13">
        <v>338822995.40015984</v>
      </c>
    </row>
    <row r="5693" spans="18:19" x14ac:dyDescent="0.25">
      <c r="R5693" s="13">
        <v>5620</v>
      </c>
      <c r="S5693" s="13">
        <v>0</v>
      </c>
    </row>
    <row r="5694" spans="18:19" x14ac:dyDescent="0.25">
      <c r="R5694" s="13">
        <v>5621</v>
      </c>
      <c r="S5694" s="13">
        <v>0</v>
      </c>
    </row>
    <row r="5695" spans="18:19" x14ac:dyDescent="0.25">
      <c r="R5695" s="13">
        <v>5622</v>
      </c>
      <c r="S5695" s="13">
        <v>636404448.18848801</v>
      </c>
    </row>
    <row r="5696" spans="18:19" x14ac:dyDescent="0.25">
      <c r="R5696" s="13">
        <v>5623</v>
      </c>
      <c r="S5696" s="13">
        <v>0</v>
      </c>
    </row>
    <row r="5697" spans="18:19" x14ac:dyDescent="0.25">
      <c r="R5697" s="13">
        <v>5624</v>
      </c>
      <c r="S5697" s="13">
        <v>133343165.39748573</v>
      </c>
    </row>
    <row r="5698" spans="18:19" x14ac:dyDescent="0.25">
      <c r="R5698" s="13">
        <v>5625</v>
      </c>
      <c r="S5698" s="13">
        <v>0</v>
      </c>
    </row>
    <row r="5699" spans="18:19" x14ac:dyDescent="0.25">
      <c r="R5699" s="13">
        <v>5626</v>
      </c>
      <c r="S5699" s="13">
        <v>0</v>
      </c>
    </row>
    <row r="5700" spans="18:19" x14ac:dyDescent="0.25">
      <c r="R5700" s="13">
        <v>5627</v>
      </c>
      <c r="S5700" s="13">
        <v>0</v>
      </c>
    </row>
    <row r="5701" spans="18:19" x14ac:dyDescent="0.25">
      <c r="R5701" s="13">
        <v>5628</v>
      </c>
      <c r="S5701" s="13">
        <v>0</v>
      </c>
    </row>
    <row r="5702" spans="18:19" x14ac:dyDescent="0.25">
      <c r="R5702" s="13">
        <v>5629</v>
      </c>
      <c r="S5702" s="13">
        <v>0</v>
      </c>
    </row>
    <row r="5703" spans="18:19" x14ac:dyDescent="0.25">
      <c r="R5703" s="13">
        <v>5630</v>
      </c>
      <c r="S5703" s="13">
        <v>0</v>
      </c>
    </row>
    <row r="5704" spans="18:19" x14ac:dyDescent="0.25">
      <c r="R5704" s="13">
        <v>5631</v>
      </c>
      <c r="S5704" s="13">
        <v>0</v>
      </c>
    </row>
    <row r="5705" spans="18:19" x14ac:dyDescent="0.25">
      <c r="R5705" s="13">
        <v>5632</v>
      </c>
      <c r="S5705" s="13">
        <v>0</v>
      </c>
    </row>
    <row r="5706" spans="18:19" x14ac:dyDescent="0.25">
      <c r="R5706" s="13">
        <v>5633</v>
      </c>
      <c r="S5706" s="13">
        <v>0</v>
      </c>
    </row>
    <row r="5707" spans="18:19" x14ac:dyDescent="0.25">
      <c r="R5707" s="13">
        <v>5634</v>
      </c>
      <c r="S5707" s="13">
        <v>0</v>
      </c>
    </row>
    <row r="5708" spans="18:19" x14ac:dyDescent="0.25">
      <c r="R5708" s="13">
        <v>5635</v>
      </c>
      <c r="S5708" s="13">
        <v>34504494.218650818</v>
      </c>
    </row>
    <row r="5709" spans="18:19" x14ac:dyDescent="0.25">
      <c r="R5709" s="13">
        <v>5636</v>
      </c>
      <c r="S5709" s="13">
        <v>0</v>
      </c>
    </row>
    <row r="5710" spans="18:19" x14ac:dyDescent="0.25">
      <c r="R5710" s="13">
        <v>5637</v>
      </c>
      <c r="S5710" s="13">
        <v>0</v>
      </c>
    </row>
    <row r="5711" spans="18:19" x14ac:dyDescent="0.25">
      <c r="R5711" s="13">
        <v>5638</v>
      </c>
      <c r="S5711" s="13">
        <v>0</v>
      </c>
    </row>
    <row r="5712" spans="18:19" x14ac:dyDescent="0.25">
      <c r="R5712" s="13">
        <v>5639</v>
      </c>
      <c r="S5712" s="13">
        <v>0</v>
      </c>
    </row>
    <row r="5713" spans="18:19" x14ac:dyDescent="0.25">
      <c r="R5713" s="13">
        <v>5640</v>
      </c>
      <c r="S5713" s="13">
        <v>1768381764.36409</v>
      </c>
    </row>
    <row r="5714" spans="18:19" x14ac:dyDescent="0.25">
      <c r="R5714" s="13">
        <v>5641</v>
      </c>
      <c r="S5714" s="13">
        <v>0</v>
      </c>
    </row>
    <row r="5715" spans="18:19" x14ac:dyDescent="0.25">
      <c r="R5715" s="13">
        <v>5642</v>
      </c>
      <c r="S5715" s="13">
        <v>0</v>
      </c>
    </row>
    <row r="5716" spans="18:19" x14ac:dyDescent="0.25">
      <c r="R5716" s="13">
        <v>5643</v>
      </c>
      <c r="S5716" s="13">
        <v>0</v>
      </c>
    </row>
    <row r="5717" spans="18:19" x14ac:dyDescent="0.25">
      <c r="R5717" s="13">
        <v>5644</v>
      </c>
      <c r="S5717" s="13">
        <v>0</v>
      </c>
    </row>
    <row r="5718" spans="18:19" x14ac:dyDescent="0.25">
      <c r="R5718" s="13">
        <v>5645</v>
      </c>
      <c r="S5718" s="13">
        <v>0</v>
      </c>
    </row>
    <row r="5719" spans="18:19" x14ac:dyDescent="0.25">
      <c r="R5719" s="13">
        <v>5646</v>
      </c>
      <c r="S5719" s="13">
        <v>0</v>
      </c>
    </row>
    <row r="5720" spans="18:19" x14ac:dyDescent="0.25">
      <c r="R5720" s="13">
        <v>5647</v>
      </c>
      <c r="S5720" s="13">
        <v>0</v>
      </c>
    </row>
    <row r="5721" spans="18:19" x14ac:dyDescent="0.25">
      <c r="R5721" s="13">
        <v>5648</v>
      </c>
      <c r="S5721" s="13">
        <v>0</v>
      </c>
    </row>
    <row r="5722" spans="18:19" x14ac:dyDescent="0.25">
      <c r="R5722" s="13">
        <v>5649</v>
      </c>
      <c r="S5722" s="13">
        <v>95977691.921308517</v>
      </c>
    </row>
    <row r="5723" spans="18:19" x14ac:dyDescent="0.25">
      <c r="R5723" s="13">
        <v>5650</v>
      </c>
      <c r="S5723" s="13">
        <v>0</v>
      </c>
    </row>
    <row r="5724" spans="18:19" x14ac:dyDescent="0.25">
      <c r="R5724" s="13">
        <v>5651</v>
      </c>
      <c r="S5724" s="13">
        <v>0</v>
      </c>
    </row>
    <row r="5725" spans="18:19" x14ac:dyDescent="0.25">
      <c r="R5725" s="13">
        <v>5652</v>
      </c>
      <c r="S5725" s="13">
        <v>0</v>
      </c>
    </row>
    <row r="5726" spans="18:19" x14ac:dyDescent="0.25">
      <c r="R5726" s="13">
        <v>5653</v>
      </c>
      <c r="S5726" s="13">
        <v>339231821.25513458</v>
      </c>
    </row>
    <row r="5727" spans="18:19" x14ac:dyDescent="0.25">
      <c r="R5727" s="13">
        <v>5654</v>
      </c>
      <c r="S5727" s="13">
        <v>0</v>
      </c>
    </row>
    <row r="5728" spans="18:19" x14ac:dyDescent="0.25">
      <c r="R5728" s="13">
        <v>5655</v>
      </c>
      <c r="S5728" s="13">
        <v>58596183.194555283</v>
      </c>
    </row>
    <row r="5729" spans="18:19" x14ac:dyDescent="0.25">
      <c r="R5729" s="13">
        <v>5656</v>
      </c>
      <c r="S5729" s="13">
        <v>108359081.94408989</v>
      </c>
    </row>
    <row r="5730" spans="18:19" x14ac:dyDescent="0.25">
      <c r="R5730" s="13">
        <v>5657</v>
      </c>
      <c r="S5730" s="13">
        <v>198116840.35754395</v>
      </c>
    </row>
    <row r="5731" spans="18:19" x14ac:dyDescent="0.25">
      <c r="R5731" s="13">
        <v>5658</v>
      </c>
      <c r="S5731" s="13">
        <v>0</v>
      </c>
    </row>
    <row r="5732" spans="18:19" x14ac:dyDescent="0.25">
      <c r="R5732" s="13">
        <v>5659</v>
      </c>
      <c r="S5732" s="13">
        <v>51698390.986274719</v>
      </c>
    </row>
    <row r="5733" spans="18:19" x14ac:dyDescent="0.25">
      <c r="R5733" s="13">
        <v>5660</v>
      </c>
      <c r="S5733" s="13">
        <v>0</v>
      </c>
    </row>
    <row r="5734" spans="18:19" x14ac:dyDescent="0.25">
      <c r="R5734" s="13">
        <v>5661</v>
      </c>
      <c r="S5734" s="13">
        <v>0</v>
      </c>
    </row>
    <row r="5735" spans="18:19" x14ac:dyDescent="0.25">
      <c r="R5735" s="13">
        <v>5662</v>
      </c>
      <c r="S5735" s="13">
        <v>255415800.79849243</v>
      </c>
    </row>
    <row r="5736" spans="18:19" x14ac:dyDescent="0.25">
      <c r="R5736" s="13">
        <v>5663</v>
      </c>
      <c r="S5736" s="13">
        <v>0</v>
      </c>
    </row>
    <row r="5737" spans="18:19" x14ac:dyDescent="0.25">
      <c r="R5737" s="13">
        <v>5664</v>
      </c>
      <c r="S5737" s="13">
        <v>0</v>
      </c>
    </row>
    <row r="5738" spans="18:19" x14ac:dyDescent="0.25">
      <c r="R5738" s="13">
        <v>5665</v>
      </c>
      <c r="S5738" s="13">
        <v>337000688.3724308</v>
      </c>
    </row>
    <row r="5739" spans="18:19" x14ac:dyDescent="0.25">
      <c r="R5739" s="13">
        <v>5666</v>
      </c>
      <c r="S5739" s="13">
        <v>0</v>
      </c>
    </row>
    <row r="5740" spans="18:19" x14ac:dyDescent="0.25">
      <c r="R5740" s="13">
        <v>5667</v>
      </c>
      <c r="S5740" s="13">
        <v>0</v>
      </c>
    </row>
    <row r="5741" spans="18:19" x14ac:dyDescent="0.25">
      <c r="R5741" s="13">
        <v>5668</v>
      </c>
      <c r="S5741" s="13">
        <v>209615195.88806152</v>
      </c>
    </row>
    <row r="5742" spans="18:19" x14ac:dyDescent="0.25">
      <c r="R5742" s="13">
        <v>5669</v>
      </c>
      <c r="S5742" s="13">
        <v>0</v>
      </c>
    </row>
    <row r="5743" spans="18:19" x14ac:dyDescent="0.25">
      <c r="R5743" s="13">
        <v>5670</v>
      </c>
      <c r="S5743" s="13">
        <v>0</v>
      </c>
    </row>
    <row r="5744" spans="18:19" x14ac:dyDescent="0.25">
      <c r="R5744" s="13">
        <v>5671</v>
      </c>
      <c r="S5744" s="13">
        <v>0</v>
      </c>
    </row>
    <row r="5745" spans="18:19" x14ac:dyDescent="0.25">
      <c r="R5745" s="13">
        <v>5672</v>
      </c>
      <c r="S5745" s="13">
        <v>0</v>
      </c>
    </row>
    <row r="5746" spans="18:19" x14ac:dyDescent="0.25">
      <c r="R5746" s="13">
        <v>5673</v>
      </c>
      <c r="S5746" s="13">
        <v>0</v>
      </c>
    </row>
    <row r="5747" spans="18:19" x14ac:dyDescent="0.25">
      <c r="R5747" s="13">
        <v>5674</v>
      </c>
      <c r="S5747" s="13">
        <v>0</v>
      </c>
    </row>
    <row r="5748" spans="18:19" x14ac:dyDescent="0.25">
      <c r="R5748" s="13">
        <v>5675</v>
      </c>
      <c r="S5748" s="13">
        <v>0</v>
      </c>
    </row>
    <row r="5749" spans="18:19" x14ac:dyDescent="0.25">
      <c r="R5749" s="13">
        <v>5676</v>
      </c>
      <c r="S5749" s="13">
        <v>0</v>
      </c>
    </row>
    <row r="5750" spans="18:19" x14ac:dyDescent="0.25">
      <c r="R5750" s="13">
        <v>5677</v>
      </c>
      <c r="S5750" s="13">
        <v>0</v>
      </c>
    </row>
    <row r="5751" spans="18:19" x14ac:dyDescent="0.25">
      <c r="R5751" s="13">
        <v>5678</v>
      </c>
      <c r="S5751" s="13">
        <v>0</v>
      </c>
    </row>
    <row r="5752" spans="18:19" x14ac:dyDescent="0.25">
      <c r="R5752" s="13">
        <v>5679</v>
      </c>
      <c r="S5752" s="13">
        <v>0</v>
      </c>
    </row>
    <row r="5753" spans="18:19" x14ac:dyDescent="0.25">
      <c r="R5753" s="13">
        <v>5680</v>
      </c>
      <c r="S5753" s="13">
        <v>0</v>
      </c>
    </row>
    <row r="5754" spans="18:19" x14ac:dyDescent="0.25">
      <c r="R5754" s="13">
        <v>5681</v>
      </c>
      <c r="S5754" s="13">
        <v>0</v>
      </c>
    </row>
    <row r="5755" spans="18:19" x14ac:dyDescent="0.25">
      <c r="R5755" s="13">
        <v>5682</v>
      </c>
      <c r="S5755" s="13">
        <v>0</v>
      </c>
    </row>
    <row r="5756" spans="18:19" x14ac:dyDescent="0.25">
      <c r="R5756" s="13">
        <v>5683</v>
      </c>
      <c r="S5756" s="13">
        <v>353937863.70834923</v>
      </c>
    </row>
    <row r="5757" spans="18:19" x14ac:dyDescent="0.25">
      <c r="R5757" s="13">
        <v>5684</v>
      </c>
      <c r="S5757" s="13">
        <v>0</v>
      </c>
    </row>
    <row r="5758" spans="18:19" x14ac:dyDescent="0.25">
      <c r="R5758" s="13">
        <v>5685</v>
      </c>
      <c r="S5758" s="13">
        <v>0</v>
      </c>
    </row>
    <row r="5759" spans="18:19" x14ac:dyDescent="0.25">
      <c r="R5759" s="13">
        <v>5686</v>
      </c>
      <c r="S5759" s="13">
        <v>0</v>
      </c>
    </row>
    <row r="5760" spans="18:19" x14ac:dyDescent="0.25">
      <c r="R5760" s="13">
        <v>5687</v>
      </c>
      <c r="S5760" s="13">
        <v>0</v>
      </c>
    </row>
    <row r="5761" spans="18:19" x14ac:dyDescent="0.25">
      <c r="R5761" s="13">
        <v>5688</v>
      </c>
      <c r="S5761" s="13">
        <v>0</v>
      </c>
    </row>
    <row r="5762" spans="18:19" x14ac:dyDescent="0.25">
      <c r="R5762" s="13">
        <v>5689</v>
      </c>
      <c r="S5762" s="13">
        <v>0</v>
      </c>
    </row>
    <row r="5763" spans="18:19" x14ac:dyDescent="0.25">
      <c r="R5763" s="13">
        <v>5690</v>
      </c>
      <c r="S5763" s="13">
        <v>439610576.17879868</v>
      </c>
    </row>
    <row r="5764" spans="18:19" x14ac:dyDescent="0.25">
      <c r="R5764" s="13">
        <v>5691</v>
      </c>
      <c r="S5764" s="13">
        <v>615805126.50038338</v>
      </c>
    </row>
    <row r="5765" spans="18:19" x14ac:dyDescent="0.25">
      <c r="R5765" s="13">
        <v>5692</v>
      </c>
      <c r="S5765" s="13">
        <v>0</v>
      </c>
    </row>
    <row r="5766" spans="18:19" x14ac:dyDescent="0.25">
      <c r="R5766" s="13">
        <v>5693</v>
      </c>
      <c r="S5766" s="13">
        <v>203927498.88188934</v>
      </c>
    </row>
    <row r="5767" spans="18:19" x14ac:dyDescent="0.25">
      <c r="R5767" s="13">
        <v>5694</v>
      </c>
      <c r="S5767" s="13">
        <v>94655102.570999146</v>
      </c>
    </row>
    <row r="5768" spans="18:19" x14ac:dyDescent="0.25">
      <c r="R5768" s="13">
        <v>5695</v>
      </c>
      <c r="S5768" s="13">
        <v>0</v>
      </c>
    </row>
    <row r="5769" spans="18:19" x14ac:dyDescent="0.25">
      <c r="R5769" s="13">
        <v>5696</v>
      </c>
      <c r="S5769" s="13">
        <v>0</v>
      </c>
    </row>
    <row r="5770" spans="18:19" x14ac:dyDescent="0.25">
      <c r="R5770" s="13">
        <v>5697</v>
      </c>
      <c r="S5770" s="13">
        <v>0</v>
      </c>
    </row>
    <row r="5771" spans="18:19" x14ac:dyDescent="0.25">
      <c r="R5771" s="13">
        <v>5698</v>
      </c>
      <c r="S5771" s="13">
        <v>0</v>
      </c>
    </row>
    <row r="5772" spans="18:19" x14ac:dyDescent="0.25">
      <c r="R5772" s="13">
        <v>5699</v>
      </c>
      <c r="S5772" s="13">
        <v>0</v>
      </c>
    </row>
    <row r="5773" spans="18:19" x14ac:dyDescent="0.25">
      <c r="R5773" s="13">
        <v>5700</v>
      </c>
      <c r="S5773" s="13">
        <v>0</v>
      </c>
    </row>
    <row r="5774" spans="18:19" x14ac:dyDescent="0.25">
      <c r="R5774" s="13">
        <v>5701</v>
      </c>
      <c r="S5774" s="13">
        <v>50568864.562519073</v>
      </c>
    </row>
    <row r="5775" spans="18:19" x14ac:dyDescent="0.25">
      <c r="R5775" s="13">
        <v>5702</v>
      </c>
      <c r="S5775" s="13">
        <v>0</v>
      </c>
    </row>
    <row r="5776" spans="18:19" x14ac:dyDescent="0.25">
      <c r="R5776" s="13">
        <v>5703</v>
      </c>
      <c r="S5776" s="13">
        <v>0</v>
      </c>
    </row>
    <row r="5777" spans="18:19" x14ac:dyDescent="0.25">
      <c r="R5777" s="13">
        <v>5704</v>
      </c>
      <c r="S5777" s="13">
        <v>0</v>
      </c>
    </row>
    <row r="5778" spans="18:19" x14ac:dyDescent="0.25">
      <c r="R5778" s="13">
        <v>5705</v>
      </c>
      <c r="S5778" s="13">
        <v>0</v>
      </c>
    </row>
    <row r="5779" spans="18:19" x14ac:dyDescent="0.25">
      <c r="R5779" s="13">
        <v>5706</v>
      </c>
      <c r="S5779" s="13">
        <v>243994217.77071953</v>
      </c>
    </row>
    <row r="5780" spans="18:19" x14ac:dyDescent="0.25">
      <c r="R5780" s="13">
        <v>5707</v>
      </c>
      <c r="S5780" s="13">
        <v>0</v>
      </c>
    </row>
    <row r="5781" spans="18:19" x14ac:dyDescent="0.25">
      <c r="R5781" s="13">
        <v>5708</v>
      </c>
      <c r="S5781" s="13">
        <v>0</v>
      </c>
    </row>
    <row r="5782" spans="18:19" x14ac:dyDescent="0.25">
      <c r="R5782" s="13">
        <v>5709</v>
      </c>
      <c r="S5782" s="13">
        <v>0</v>
      </c>
    </row>
    <row r="5783" spans="18:19" x14ac:dyDescent="0.25">
      <c r="R5783" s="13">
        <v>5710</v>
      </c>
      <c r="S5783" s="13">
        <v>0</v>
      </c>
    </row>
    <row r="5784" spans="18:19" x14ac:dyDescent="0.25">
      <c r="R5784" s="13">
        <v>5711</v>
      </c>
      <c r="S5784" s="13">
        <v>0</v>
      </c>
    </row>
    <row r="5785" spans="18:19" x14ac:dyDescent="0.25">
      <c r="R5785" s="13">
        <v>5712</v>
      </c>
      <c r="S5785" s="13">
        <v>0</v>
      </c>
    </row>
    <row r="5786" spans="18:19" x14ac:dyDescent="0.25">
      <c r="R5786" s="13">
        <v>5713</v>
      </c>
      <c r="S5786" s="13">
        <v>377240316.98366165</v>
      </c>
    </row>
    <row r="5787" spans="18:19" x14ac:dyDescent="0.25">
      <c r="R5787" s="13">
        <v>5714</v>
      </c>
      <c r="S5787" s="13">
        <v>0</v>
      </c>
    </row>
    <row r="5788" spans="18:19" x14ac:dyDescent="0.25">
      <c r="R5788" s="13">
        <v>5715</v>
      </c>
      <c r="S5788" s="13">
        <v>0</v>
      </c>
    </row>
    <row r="5789" spans="18:19" x14ac:dyDescent="0.25">
      <c r="R5789" s="13">
        <v>5716</v>
      </c>
      <c r="S5789" s="13">
        <v>85064830.393011093</v>
      </c>
    </row>
    <row r="5790" spans="18:19" x14ac:dyDescent="0.25">
      <c r="R5790" s="13">
        <v>5717</v>
      </c>
      <c r="S5790" s="13">
        <v>0</v>
      </c>
    </row>
    <row r="5791" spans="18:19" x14ac:dyDescent="0.25">
      <c r="R5791" s="13">
        <v>5718</v>
      </c>
      <c r="S5791" s="13">
        <v>0</v>
      </c>
    </row>
    <row r="5792" spans="18:19" x14ac:dyDescent="0.25">
      <c r="R5792" s="13">
        <v>5719</v>
      </c>
      <c r="S5792" s="13">
        <v>0</v>
      </c>
    </row>
    <row r="5793" spans="18:19" x14ac:dyDescent="0.25">
      <c r="R5793" s="13">
        <v>5720</v>
      </c>
      <c r="S5793" s="13">
        <v>0</v>
      </c>
    </row>
    <row r="5794" spans="18:19" x14ac:dyDescent="0.25">
      <c r="R5794" s="13">
        <v>5721</v>
      </c>
      <c r="S5794" s="13">
        <v>41529565.700534821</v>
      </c>
    </row>
    <row r="5795" spans="18:19" x14ac:dyDescent="0.25">
      <c r="R5795" s="13">
        <v>5722</v>
      </c>
      <c r="S5795" s="13">
        <v>0</v>
      </c>
    </row>
    <row r="5796" spans="18:19" x14ac:dyDescent="0.25">
      <c r="R5796" s="13">
        <v>5723</v>
      </c>
      <c r="S5796" s="13">
        <v>236328282.81633568</v>
      </c>
    </row>
    <row r="5797" spans="18:19" x14ac:dyDescent="0.25">
      <c r="R5797" s="13">
        <v>5724</v>
      </c>
      <c r="S5797" s="13">
        <v>629323585.38981628</v>
      </c>
    </row>
    <row r="5798" spans="18:19" x14ac:dyDescent="0.25">
      <c r="R5798" s="13">
        <v>5725</v>
      </c>
      <c r="S5798" s="13">
        <v>0</v>
      </c>
    </row>
    <row r="5799" spans="18:19" x14ac:dyDescent="0.25">
      <c r="R5799" s="13">
        <v>5726</v>
      </c>
      <c r="S5799" s="13">
        <v>0</v>
      </c>
    </row>
    <row r="5800" spans="18:19" x14ac:dyDescent="0.25">
      <c r="R5800" s="13">
        <v>5727</v>
      </c>
      <c r="S5800" s="13">
        <v>147296507.78853035</v>
      </c>
    </row>
    <row r="5801" spans="18:19" x14ac:dyDescent="0.25">
      <c r="R5801" s="13">
        <v>5728</v>
      </c>
      <c r="S5801" s="13">
        <v>0</v>
      </c>
    </row>
    <row r="5802" spans="18:19" x14ac:dyDescent="0.25">
      <c r="R5802" s="13">
        <v>5729</v>
      </c>
      <c r="S5802" s="13">
        <v>0</v>
      </c>
    </row>
    <row r="5803" spans="18:19" x14ac:dyDescent="0.25">
      <c r="R5803" s="13">
        <v>5730</v>
      </c>
      <c r="S5803" s="13">
        <v>0</v>
      </c>
    </row>
    <row r="5804" spans="18:19" x14ac:dyDescent="0.25">
      <c r="R5804" s="13">
        <v>5731</v>
      </c>
      <c r="S5804" s="13">
        <v>76891070.673154831</v>
      </c>
    </row>
    <row r="5805" spans="18:19" x14ac:dyDescent="0.25">
      <c r="R5805" s="13">
        <v>5732</v>
      </c>
      <c r="S5805" s="13">
        <v>0</v>
      </c>
    </row>
    <row r="5806" spans="18:19" x14ac:dyDescent="0.25">
      <c r="R5806" s="13">
        <v>5733</v>
      </c>
      <c r="S5806" s="13">
        <v>90465932.976989746</v>
      </c>
    </row>
    <row r="5807" spans="18:19" x14ac:dyDescent="0.25">
      <c r="R5807" s="13">
        <v>5734</v>
      </c>
      <c r="S5807" s="13">
        <v>0</v>
      </c>
    </row>
    <row r="5808" spans="18:19" x14ac:dyDescent="0.25">
      <c r="R5808" s="13">
        <v>5735</v>
      </c>
      <c r="S5808" s="13">
        <v>69884110.468147278</v>
      </c>
    </row>
    <row r="5809" spans="18:19" x14ac:dyDescent="0.25">
      <c r="R5809" s="13">
        <v>5736</v>
      </c>
      <c r="S5809" s="13">
        <v>0</v>
      </c>
    </row>
    <row r="5810" spans="18:19" x14ac:dyDescent="0.25">
      <c r="R5810" s="13">
        <v>5737</v>
      </c>
      <c r="S5810" s="13">
        <v>0</v>
      </c>
    </row>
    <row r="5811" spans="18:19" x14ac:dyDescent="0.25">
      <c r="R5811" s="13">
        <v>5738</v>
      </c>
      <c r="S5811" s="13">
        <v>0</v>
      </c>
    </row>
    <row r="5812" spans="18:19" x14ac:dyDescent="0.25">
      <c r="R5812" s="13">
        <v>5739</v>
      </c>
      <c r="S5812" s="13">
        <v>0</v>
      </c>
    </row>
    <row r="5813" spans="18:19" x14ac:dyDescent="0.25">
      <c r="R5813" s="13">
        <v>5740</v>
      </c>
      <c r="S5813" s="13">
        <v>0</v>
      </c>
    </row>
    <row r="5814" spans="18:19" x14ac:dyDescent="0.25">
      <c r="R5814" s="13">
        <v>5741</v>
      </c>
      <c r="S5814" s="13">
        <v>0</v>
      </c>
    </row>
    <row r="5815" spans="18:19" x14ac:dyDescent="0.25">
      <c r="R5815" s="13">
        <v>5742</v>
      </c>
      <c r="S5815" s="13">
        <v>0</v>
      </c>
    </row>
    <row r="5816" spans="18:19" x14ac:dyDescent="0.25">
      <c r="R5816" s="13">
        <v>5743</v>
      </c>
      <c r="S5816" s="13">
        <v>0</v>
      </c>
    </row>
    <row r="5817" spans="18:19" x14ac:dyDescent="0.25">
      <c r="R5817" s="13">
        <v>5744</v>
      </c>
      <c r="S5817" s="13">
        <v>168096931.02089691</v>
      </c>
    </row>
    <row r="5818" spans="18:19" x14ac:dyDescent="0.25">
      <c r="R5818" s="13">
        <v>5745</v>
      </c>
      <c r="S5818" s="13">
        <v>0</v>
      </c>
    </row>
    <row r="5819" spans="18:19" x14ac:dyDescent="0.25">
      <c r="R5819" s="13">
        <v>5746</v>
      </c>
      <c r="S5819" s="13">
        <v>0</v>
      </c>
    </row>
    <row r="5820" spans="18:19" x14ac:dyDescent="0.25">
      <c r="R5820" s="13">
        <v>5747</v>
      </c>
      <c r="S5820" s="13">
        <v>554873728.15169144</v>
      </c>
    </row>
    <row r="5821" spans="18:19" x14ac:dyDescent="0.25">
      <c r="R5821" s="13">
        <v>5748</v>
      </c>
      <c r="S5821" s="13">
        <v>0</v>
      </c>
    </row>
    <row r="5822" spans="18:19" x14ac:dyDescent="0.25">
      <c r="R5822" s="13">
        <v>5749</v>
      </c>
      <c r="S5822" s="13">
        <v>0</v>
      </c>
    </row>
    <row r="5823" spans="18:19" x14ac:dyDescent="0.25">
      <c r="R5823" s="13">
        <v>5750</v>
      </c>
      <c r="S5823" s="13">
        <v>0</v>
      </c>
    </row>
    <row r="5824" spans="18:19" x14ac:dyDescent="0.25">
      <c r="R5824" s="13">
        <v>5751</v>
      </c>
      <c r="S5824" s="13">
        <v>149535161.72010612</v>
      </c>
    </row>
    <row r="5825" spans="18:19" x14ac:dyDescent="0.25">
      <c r="R5825" s="13">
        <v>5752</v>
      </c>
      <c r="S5825" s="13">
        <v>0</v>
      </c>
    </row>
    <row r="5826" spans="18:19" x14ac:dyDescent="0.25">
      <c r="R5826" s="13">
        <v>5753</v>
      </c>
      <c r="S5826" s="13">
        <v>0</v>
      </c>
    </row>
    <row r="5827" spans="18:19" x14ac:dyDescent="0.25">
      <c r="R5827" s="13">
        <v>5754</v>
      </c>
      <c r="S5827" s="13">
        <v>0</v>
      </c>
    </row>
    <row r="5828" spans="18:19" x14ac:dyDescent="0.25">
      <c r="R5828" s="13">
        <v>5755</v>
      </c>
      <c r="S5828" s="13">
        <v>0</v>
      </c>
    </row>
    <row r="5829" spans="18:19" x14ac:dyDescent="0.25">
      <c r="R5829" s="13">
        <v>5756</v>
      </c>
      <c r="S5829" s="13">
        <v>0</v>
      </c>
    </row>
    <row r="5830" spans="18:19" x14ac:dyDescent="0.25">
      <c r="R5830" s="13">
        <v>5757</v>
      </c>
      <c r="S5830" s="13">
        <v>0</v>
      </c>
    </row>
    <row r="5831" spans="18:19" x14ac:dyDescent="0.25">
      <c r="R5831" s="13">
        <v>5758</v>
      </c>
      <c r="S5831" s="13">
        <v>0</v>
      </c>
    </row>
    <row r="5832" spans="18:19" x14ac:dyDescent="0.25">
      <c r="R5832" s="13">
        <v>5759</v>
      </c>
      <c r="S5832" s="13">
        <v>0</v>
      </c>
    </row>
    <row r="5833" spans="18:19" x14ac:dyDescent="0.25">
      <c r="R5833" s="13">
        <v>5760</v>
      </c>
      <c r="S5833" s="13">
        <v>408489728.49014854</v>
      </c>
    </row>
    <row r="5834" spans="18:19" x14ac:dyDescent="0.25">
      <c r="R5834" s="13">
        <v>5761</v>
      </c>
      <c r="S5834" s="13">
        <v>0</v>
      </c>
    </row>
    <row r="5835" spans="18:19" x14ac:dyDescent="0.25">
      <c r="R5835" s="13">
        <v>5762</v>
      </c>
      <c r="S5835" s="13">
        <v>0</v>
      </c>
    </row>
    <row r="5836" spans="18:19" x14ac:dyDescent="0.25">
      <c r="R5836" s="13">
        <v>5763</v>
      </c>
      <c r="S5836" s="13">
        <v>0</v>
      </c>
    </row>
    <row r="5837" spans="18:19" x14ac:dyDescent="0.25">
      <c r="R5837" s="13">
        <v>5764</v>
      </c>
      <c r="S5837" s="13">
        <v>0</v>
      </c>
    </row>
    <row r="5838" spans="18:19" x14ac:dyDescent="0.25">
      <c r="R5838" s="13">
        <v>5765</v>
      </c>
      <c r="S5838" s="13">
        <v>0</v>
      </c>
    </row>
    <row r="5839" spans="18:19" x14ac:dyDescent="0.25">
      <c r="R5839" s="13">
        <v>5766</v>
      </c>
      <c r="S5839" s="13">
        <v>0</v>
      </c>
    </row>
    <row r="5840" spans="18:19" x14ac:dyDescent="0.25">
      <c r="R5840" s="13">
        <v>5767</v>
      </c>
      <c r="S5840" s="13">
        <v>0</v>
      </c>
    </row>
    <row r="5841" spans="18:19" x14ac:dyDescent="0.25">
      <c r="R5841" s="13">
        <v>5768</v>
      </c>
      <c r="S5841" s="13">
        <v>0</v>
      </c>
    </row>
    <row r="5842" spans="18:19" x14ac:dyDescent="0.25">
      <c r="R5842" s="13">
        <v>5769</v>
      </c>
      <c r="S5842" s="13">
        <v>0</v>
      </c>
    </row>
    <row r="5843" spans="18:19" x14ac:dyDescent="0.25">
      <c r="R5843" s="13">
        <v>5770</v>
      </c>
      <c r="S5843" s="13">
        <v>0</v>
      </c>
    </row>
    <row r="5844" spans="18:19" x14ac:dyDescent="0.25">
      <c r="R5844" s="13">
        <v>5771</v>
      </c>
      <c r="S5844" s="13">
        <v>0</v>
      </c>
    </row>
    <row r="5845" spans="18:19" x14ac:dyDescent="0.25">
      <c r="R5845" s="13">
        <v>5772</v>
      </c>
      <c r="S5845" s="13">
        <v>0</v>
      </c>
    </row>
    <row r="5846" spans="18:19" x14ac:dyDescent="0.25">
      <c r="R5846" s="13">
        <v>5773</v>
      </c>
      <c r="S5846" s="13">
        <v>4322397.5422458649</v>
      </c>
    </row>
    <row r="5847" spans="18:19" x14ac:dyDescent="0.25">
      <c r="R5847" s="13">
        <v>5774</v>
      </c>
      <c r="S5847" s="13">
        <v>0</v>
      </c>
    </row>
    <row r="5848" spans="18:19" x14ac:dyDescent="0.25">
      <c r="R5848" s="13">
        <v>5775</v>
      </c>
      <c r="S5848" s="13">
        <v>0</v>
      </c>
    </row>
    <row r="5849" spans="18:19" x14ac:dyDescent="0.25">
      <c r="R5849" s="13">
        <v>5776</v>
      </c>
      <c r="S5849" s="13">
        <v>825703595.00392151</v>
      </c>
    </row>
    <row r="5850" spans="18:19" x14ac:dyDescent="0.25">
      <c r="R5850" s="13">
        <v>5777</v>
      </c>
      <c r="S5850" s="13">
        <v>0</v>
      </c>
    </row>
    <row r="5851" spans="18:19" x14ac:dyDescent="0.25">
      <c r="R5851" s="13">
        <v>5778</v>
      </c>
      <c r="S5851" s="13">
        <v>0</v>
      </c>
    </row>
    <row r="5852" spans="18:19" x14ac:dyDescent="0.25">
      <c r="R5852" s="13">
        <v>5779</v>
      </c>
      <c r="S5852" s="13">
        <v>686713469.45409966</v>
      </c>
    </row>
    <row r="5853" spans="18:19" x14ac:dyDescent="0.25">
      <c r="R5853" s="13">
        <v>5780</v>
      </c>
      <c r="S5853" s="13">
        <v>63568269.194545746</v>
      </c>
    </row>
    <row r="5854" spans="18:19" x14ac:dyDescent="0.25">
      <c r="R5854" s="13">
        <v>5781</v>
      </c>
      <c r="S5854" s="13">
        <v>0</v>
      </c>
    </row>
    <row r="5855" spans="18:19" x14ac:dyDescent="0.25">
      <c r="R5855" s="13">
        <v>5782</v>
      </c>
      <c r="S5855" s="13">
        <v>0</v>
      </c>
    </row>
    <row r="5856" spans="18:19" x14ac:dyDescent="0.25">
      <c r="R5856" s="13">
        <v>5783</v>
      </c>
      <c r="S5856" s="13">
        <v>193201121.25963783</v>
      </c>
    </row>
    <row r="5857" spans="18:19" x14ac:dyDescent="0.25">
      <c r="R5857" s="13">
        <v>5784</v>
      </c>
      <c r="S5857" s="13">
        <v>0</v>
      </c>
    </row>
    <row r="5858" spans="18:19" x14ac:dyDescent="0.25">
      <c r="R5858" s="13">
        <v>5785</v>
      </c>
      <c r="S5858" s="13">
        <v>0</v>
      </c>
    </row>
    <row r="5859" spans="18:19" x14ac:dyDescent="0.25">
      <c r="R5859" s="13">
        <v>5786</v>
      </c>
      <c r="S5859" s="13">
        <v>0</v>
      </c>
    </row>
    <row r="5860" spans="18:19" x14ac:dyDescent="0.25">
      <c r="R5860" s="13">
        <v>5787</v>
      </c>
      <c r="S5860" s="13">
        <v>0</v>
      </c>
    </row>
    <row r="5861" spans="18:19" x14ac:dyDescent="0.25">
      <c r="R5861" s="13">
        <v>5788</v>
      </c>
      <c r="S5861" s="13">
        <v>0</v>
      </c>
    </row>
    <row r="5862" spans="18:19" x14ac:dyDescent="0.25">
      <c r="R5862" s="13">
        <v>5789</v>
      </c>
      <c r="S5862" s="13">
        <v>0</v>
      </c>
    </row>
    <row r="5863" spans="18:19" x14ac:dyDescent="0.25">
      <c r="R5863" s="13">
        <v>5790</v>
      </c>
      <c r="S5863" s="13">
        <v>0</v>
      </c>
    </row>
    <row r="5864" spans="18:19" x14ac:dyDescent="0.25">
      <c r="R5864" s="13">
        <v>5791</v>
      </c>
      <c r="S5864" s="13">
        <v>0</v>
      </c>
    </row>
    <row r="5865" spans="18:19" x14ac:dyDescent="0.25">
      <c r="R5865" s="13">
        <v>5792</v>
      </c>
      <c r="S5865" s="13">
        <v>78998668.512733459</v>
      </c>
    </row>
    <row r="5866" spans="18:19" x14ac:dyDescent="0.25">
      <c r="R5866" s="13">
        <v>5793</v>
      </c>
      <c r="S5866" s="13">
        <v>866196055.79552078</v>
      </c>
    </row>
    <row r="5867" spans="18:19" x14ac:dyDescent="0.25">
      <c r="R5867" s="13">
        <v>5794</v>
      </c>
      <c r="S5867" s="13">
        <v>0</v>
      </c>
    </row>
    <row r="5868" spans="18:19" x14ac:dyDescent="0.25">
      <c r="R5868" s="13">
        <v>5795</v>
      </c>
      <c r="S5868" s="13">
        <v>0</v>
      </c>
    </row>
    <row r="5869" spans="18:19" x14ac:dyDescent="0.25">
      <c r="R5869" s="13">
        <v>5796</v>
      </c>
      <c r="S5869" s="13">
        <v>0</v>
      </c>
    </row>
    <row r="5870" spans="18:19" x14ac:dyDescent="0.25">
      <c r="R5870" s="13">
        <v>5797</v>
      </c>
      <c r="S5870" s="13">
        <v>0</v>
      </c>
    </row>
    <row r="5871" spans="18:19" x14ac:dyDescent="0.25">
      <c r="R5871" s="13">
        <v>5798</v>
      </c>
      <c r="S5871" s="13">
        <v>0</v>
      </c>
    </row>
    <row r="5872" spans="18:19" x14ac:dyDescent="0.25">
      <c r="R5872" s="13">
        <v>5799</v>
      </c>
      <c r="S5872" s="13">
        <v>0</v>
      </c>
    </row>
    <row r="5873" spans="18:19" x14ac:dyDescent="0.25">
      <c r="R5873" s="13">
        <v>5800</v>
      </c>
      <c r="S5873" s="13">
        <v>136014921.88999367</v>
      </c>
    </row>
    <row r="5874" spans="18:19" x14ac:dyDescent="0.25">
      <c r="R5874" s="13">
        <v>5801</v>
      </c>
      <c r="S5874" s="13">
        <v>0</v>
      </c>
    </row>
    <row r="5875" spans="18:19" x14ac:dyDescent="0.25">
      <c r="R5875" s="13">
        <v>5802</v>
      </c>
      <c r="S5875" s="13">
        <v>0</v>
      </c>
    </row>
    <row r="5876" spans="18:19" x14ac:dyDescent="0.25">
      <c r="R5876" s="13">
        <v>5803</v>
      </c>
      <c r="S5876" s="13">
        <v>0</v>
      </c>
    </row>
    <row r="5877" spans="18:19" x14ac:dyDescent="0.25">
      <c r="R5877" s="13">
        <v>5804</v>
      </c>
      <c r="S5877" s="13">
        <v>681744122.55519104</v>
      </c>
    </row>
    <row r="5878" spans="18:19" x14ac:dyDescent="0.25">
      <c r="R5878" s="13">
        <v>5805</v>
      </c>
      <c r="S5878" s="13">
        <v>47713263.340419769</v>
      </c>
    </row>
    <row r="5879" spans="18:19" x14ac:dyDescent="0.25">
      <c r="R5879" s="13">
        <v>5806</v>
      </c>
      <c r="S5879" s="13">
        <v>0</v>
      </c>
    </row>
    <row r="5880" spans="18:19" x14ac:dyDescent="0.25">
      <c r="R5880" s="13">
        <v>5807</v>
      </c>
      <c r="S5880" s="13">
        <v>914814375.15974617</v>
      </c>
    </row>
    <row r="5881" spans="18:19" x14ac:dyDescent="0.25">
      <c r="R5881" s="13">
        <v>5808</v>
      </c>
      <c r="S5881" s="13">
        <v>666924055.66486549</v>
      </c>
    </row>
    <row r="5882" spans="18:19" x14ac:dyDescent="0.25">
      <c r="R5882" s="13">
        <v>5809</v>
      </c>
      <c r="S5882" s="13">
        <v>0</v>
      </c>
    </row>
    <row r="5883" spans="18:19" x14ac:dyDescent="0.25">
      <c r="R5883" s="13">
        <v>5810</v>
      </c>
      <c r="S5883" s="13">
        <v>0</v>
      </c>
    </row>
    <row r="5884" spans="18:19" x14ac:dyDescent="0.25">
      <c r="R5884" s="13">
        <v>5811</v>
      </c>
      <c r="S5884" s="13">
        <v>0</v>
      </c>
    </row>
    <row r="5885" spans="18:19" x14ac:dyDescent="0.25">
      <c r="R5885" s="13">
        <v>5812</v>
      </c>
      <c r="S5885" s="13">
        <v>238305314.0346508</v>
      </c>
    </row>
    <row r="5886" spans="18:19" x14ac:dyDescent="0.25">
      <c r="R5886" s="13">
        <v>5813</v>
      </c>
      <c r="S5886" s="13">
        <v>0</v>
      </c>
    </row>
    <row r="5887" spans="18:19" x14ac:dyDescent="0.25">
      <c r="R5887" s="13">
        <v>5814</v>
      </c>
      <c r="S5887" s="13">
        <v>0</v>
      </c>
    </row>
    <row r="5888" spans="18:19" x14ac:dyDescent="0.25">
      <c r="R5888" s="13">
        <v>5815</v>
      </c>
      <c r="S5888" s="13">
        <v>0</v>
      </c>
    </row>
    <row r="5889" spans="18:19" x14ac:dyDescent="0.25">
      <c r="R5889" s="13">
        <v>5816</v>
      </c>
      <c r="S5889" s="13">
        <v>1221385541.697813</v>
      </c>
    </row>
    <row r="5890" spans="18:19" x14ac:dyDescent="0.25">
      <c r="R5890" s="13">
        <v>5817</v>
      </c>
      <c r="S5890" s="13">
        <v>0</v>
      </c>
    </row>
    <row r="5891" spans="18:19" x14ac:dyDescent="0.25">
      <c r="R5891" s="13">
        <v>5818</v>
      </c>
      <c r="S5891" s="13">
        <v>0</v>
      </c>
    </row>
    <row r="5892" spans="18:19" x14ac:dyDescent="0.25">
      <c r="R5892" s="13">
        <v>5819</v>
      </c>
      <c r="S5892" s="13">
        <v>0</v>
      </c>
    </row>
    <row r="5893" spans="18:19" x14ac:dyDescent="0.25">
      <c r="R5893" s="13">
        <v>5820</v>
      </c>
      <c r="S5893" s="13">
        <v>0</v>
      </c>
    </row>
    <row r="5894" spans="18:19" x14ac:dyDescent="0.25">
      <c r="R5894" s="13">
        <v>5821</v>
      </c>
      <c r="S5894" s="13">
        <v>0</v>
      </c>
    </row>
    <row r="5895" spans="18:19" x14ac:dyDescent="0.25">
      <c r="R5895" s="13">
        <v>5822</v>
      </c>
      <c r="S5895" s="13">
        <v>396624488.32512665</v>
      </c>
    </row>
    <row r="5896" spans="18:19" x14ac:dyDescent="0.25">
      <c r="R5896" s="13">
        <v>5823</v>
      </c>
      <c r="S5896" s="13">
        <v>0</v>
      </c>
    </row>
    <row r="5897" spans="18:19" x14ac:dyDescent="0.25">
      <c r="R5897" s="13">
        <v>5824</v>
      </c>
      <c r="S5897" s="13">
        <v>0</v>
      </c>
    </row>
    <row r="5898" spans="18:19" x14ac:dyDescent="0.25">
      <c r="R5898" s="13">
        <v>5825</v>
      </c>
      <c r="S5898" s="13">
        <v>0</v>
      </c>
    </row>
    <row r="5899" spans="18:19" x14ac:dyDescent="0.25">
      <c r="R5899" s="13">
        <v>5826</v>
      </c>
      <c r="S5899" s="13">
        <v>0</v>
      </c>
    </row>
    <row r="5900" spans="18:19" x14ac:dyDescent="0.25">
      <c r="R5900" s="13">
        <v>5827</v>
      </c>
      <c r="S5900" s="13">
        <v>0</v>
      </c>
    </row>
    <row r="5901" spans="18:19" x14ac:dyDescent="0.25">
      <c r="R5901" s="13">
        <v>5828</v>
      </c>
      <c r="S5901" s="13">
        <v>0</v>
      </c>
    </row>
    <row r="5902" spans="18:19" x14ac:dyDescent="0.25">
      <c r="R5902" s="13">
        <v>5829</v>
      </c>
      <c r="S5902" s="13">
        <v>0</v>
      </c>
    </row>
    <row r="5903" spans="18:19" x14ac:dyDescent="0.25">
      <c r="R5903" s="13">
        <v>5830</v>
      </c>
      <c r="S5903" s="13">
        <v>0</v>
      </c>
    </row>
    <row r="5904" spans="18:19" x14ac:dyDescent="0.25">
      <c r="R5904" s="13">
        <v>5831</v>
      </c>
      <c r="S5904" s="13">
        <v>0</v>
      </c>
    </row>
    <row r="5905" spans="18:19" x14ac:dyDescent="0.25">
      <c r="R5905" s="13">
        <v>5832</v>
      </c>
      <c r="S5905" s="13">
        <v>0</v>
      </c>
    </row>
    <row r="5906" spans="18:19" x14ac:dyDescent="0.25">
      <c r="R5906" s="13">
        <v>5833</v>
      </c>
      <c r="S5906" s="13">
        <v>0</v>
      </c>
    </row>
    <row r="5907" spans="18:19" x14ac:dyDescent="0.25">
      <c r="R5907" s="13">
        <v>5834</v>
      </c>
      <c r="S5907" s="13">
        <v>129919704.54435349</v>
      </c>
    </row>
    <row r="5908" spans="18:19" x14ac:dyDescent="0.25">
      <c r="R5908" s="13">
        <v>5835</v>
      </c>
      <c r="S5908" s="13">
        <v>0</v>
      </c>
    </row>
    <row r="5909" spans="18:19" x14ac:dyDescent="0.25">
      <c r="R5909" s="13">
        <v>5836</v>
      </c>
      <c r="S5909" s="13">
        <v>0</v>
      </c>
    </row>
    <row r="5910" spans="18:19" x14ac:dyDescent="0.25">
      <c r="R5910" s="13">
        <v>5837</v>
      </c>
      <c r="S5910" s="13">
        <v>0</v>
      </c>
    </row>
    <row r="5911" spans="18:19" x14ac:dyDescent="0.25">
      <c r="R5911" s="13">
        <v>5838</v>
      </c>
      <c r="S5911" s="13">
        <v>0</v>
      </c>
    </row>
    <row r="5912" spans="18:19" x14ac:dyDescent="0.25">
      <c r="R5912" s="13">
        <v>5839</v>
      </c>
      <c r="S5912" s="13">
        <v>259224850.46131706</v>
      </c>
    </row>
    <row r="5913" spans="18:19" x14ac:dyDescent="0.25">
      <c r="R5913" s="13">
        <v>5840</v>
      </c>
      <c r="S5913" s="13">
        <v>314687894.915905</v>
      </c>
    </row>
    <row r="5914" spans="18:19" x14ac:dyDescent="0.25">
      <c r="R5914" s="13">
        <v>5841</v>
      </c>
      <c r="S5914" s="13">
        <v>0</v>
      </c>
    </row>
    <row r="5915" spans="18:19" x14ac:dyDescent="0.25">
      <c r="R5915" s="13">
        <v>5842</v>
      </c>
      <c r="S5915" s="13">
        <v>0</v>
      </c>
    </row>
    <row r="5916" spans="18:19" x14ac:dyDescent="0.25">
      <c r="R5916" s="13">
        <v>5843</v>
      </c>
      <c r="S5916" s="13">
        <v>950444698.47985268</v>
      </c>
    </row>
    <row r="5917" spans="18:19" x14ac:dyDescent="0.25">
      <c r="R5917" s="13">
        <v>5844</v>
      </c>
      <c r="S5917" s="13">
        <v>186988717.12507057</v>
      </c>
    </row>
    <row r="5918" spans="18:19" x14ac:dyDescent="0.25">
      <c r="R5918" s="13">
        <v>5845</v>
      </c>
      <c r="S5918" s="13">
        <v>0</v>
      </c>
    </row>
    <row r="5919" spans="18:19" x14ac:dyDescent="0.25">
      <c r="R5919" s="13">
        <v>5846</v>
      </c>
      <c r="S5919" s="13">
        <v>0</v>
      </c>
    </row>
    <row r="5920" spans="18:19" x14ac:dyDescent="0.25">
      <c r="R5920" s="13">
        <v>5847</v>
      </c>
      <c r="S5920" s="13">
        <v>0</v>
      </c>
    </row>
    <row r="5921" spans="18:19" x14ac:dyDescent="0.25">
      <c r="R5921" s="13">
        <v>5848</v>
      </c>
      <c r="S5921" s="13">
        <v>0</v>
      </c>
    </row>
    <row r="5922" spans="18:19" x14ac:dyDescent="0.25">
      <c r="R5922" s="13">
        <v>5849</v>
      </c>
      <c r="S5922" s="13">
        <v>0</v>
      </c>
    </row>
    <row r="5923" spans="18:19" x14ac:dyDescent="0.25">
      <c r="R5923" s="13">
        <v>5850</v>
      </c>
      <c r="S5923" s="13">
        <v>0</v>
      </c>
    </row>
    <row r="5924" spans="18:19" x14ac:dyDescent="0.25">
      <c r="R5924" s="13">
        <v>5851</v>
      </c>
      <c r="S5924" s="13">
        <v>142948286.97678375</v>
      </c>
    </row>
    <row r="5925" spans="18:19" x14ac:dyDescent="0.25">
      <c r="R5925" s="13">
        <v>5852</v>
      </c>
      <c r="S5925" s="13">
        <v>0</v>
      </c>
    </row>
    <row r="5926" spans="18:19" x14ac:dyDescent="0.25">
      <c r="R5926" s="13">
        <v>5853</v>
      </c>
      <c r="S5926" s="13">
        <v>0</v>
      </c>
    </row>
    <row r="5927" spans="18:19" x14ac:dyDescent="0.25">
      <c r="R5927" s="13">
        <v>5854</v>
      </c>
      <c r="S5927" s="13">
        <v>0</v>
      </c>
    </row>
    <row r="5928" spans="18:19" x14ac:dyDescent="0.25">
      <c r="R5928" s="13">
        <v>5855</v>
      </c>
      <c r="S5928" s="13">
        <v>0</v>
      </c>
    </row>
    <row r="5929" spans="18:19" x14ac:dyDescent="0.25">
      <c r="R5929" s="13">
        <v>5856</v>
      </c>
      <c r="S5929" s="13">
        <v>130049415.36008453</v>
      </c>
    </row>
    <row r="5930" spans="18:19" x14ac:dyDescent="0.25">
      <c r="R5930" s="13">
        <v>5857</v>
      </c>
      <c r="S5930" s="13">
        <v>0</v>
      </c>
    </row>
    <row r="5931" spans="18:19" x14ac:dyDescent="0.25">
      <c r="R5931" s="13">
        <v>5858</v>
      </c>
      <c r="S5931" s="13">
        <v>0</v>
      </c>
    </row>
    <row r="5932" spans="18:19" x14ac:dyDescent="0.25">
      <c r="R5932" s="13">
        <v>5859</v>
      </c>
      <c r="S5932" s="13">
        <v>376538005.25185585</v>
      </c>
    </row>
    <row r="5933" spans="18:19" x14ac:dyDescent="0.25">
      <c r="R5933" s="13">
        <v>5860</v>
      </c>
      <c r="S5933" s="13">
        <v>0</v>
      </c>
    </row>
    <row r="5934" spans="18:19" x14ac:dyDescent="0.25">
      <c r="R5934" s="13">
        <v>5861</v>
      </c>
      <c r="S5934" s="13">
        <v>0</v>
      </c>
    </row>
    <row r="5935" spans="18:19" x14ac:dyDescent="0.25">
      <c r="R5935" s="13">
        <v>5862</v>
      </c>
      <c r="S5935" s="13">
        <v>323189289.14947319</v>
      </c>
    </row>
    <row r="5936" spans="18:19" x14ac:dyDescent="0.25">
      <c r="R5936" s="13">
        <v>5863</v>
      </c>
      <c r="S5936" s="13">
        <v>0</v>
      </c>
    </row>
    <row r="5937" spans="18:19" x14ac:dyDescent="0.25">
      <c r="R5937" s="13">
        <v>5864</v>
      </c>
      <c r="S5937" s="13">
        <v>0</v>
      </c>
    </row>
    <row r="5938" spans="18:19" x14ac:dyDescent="0.25">
      <c r="R5938" s="13">
        <v>5865</v>
      </c>
      <c r="S5938" s="13">
        <v>0</v>
      </c>
    </row>
    <row r="5939" spans="18:19" x14ac:dyDescent="0.25">
      <c r="R5939" s="13">
        <v>5866</v>
      </c>
      <c r="S5939" s="13">
        <v>0</v>
      </c>
    </row>
    <row r="5940" spans="18:19" x14ac:dyDescent="0.25">
      <c r="R5940" s="13">
        <v>5867</v>
      </c>
      <c r="S5940" s="13">
        <v>0</v>
      </c>
    </row>
    <row r="5941" spans="18:19" x14ac:dyDescent="0.25">
      <c r="R5941" s="13">
        <v>5868</v>
      </c>
      <c r="S5941" s="13">
        <v>81255030.158504486</v>
      </c>
    </row>
    <row r="5942" spans="18:19" x14ac:dyDescent="0.25">
      <c r="R5942" s="13">
        <v>5869</v>
      </c>
      <c r="S5942" s="13">
        <v>839358771.4125061</v>
      </c>
    </row>
    <row r="5943" spans="18:19" x14ac:dyDescent="0.25">
      <c r="R5943" s="13">
        <v>5870</v>
      </c>
      <c r="S5943" s="13">
        <v>203203569.23423767</v>
      </c>
    </row>
    <row r="5944" spans="18:19" x14ac:dyDescent="0.25">
      <c r="R5944" s="13">
        <v>5871</v>
      </c>
      <c r="S5944" s="13">
        <v>0</v>
      </c>
    </row>
    <row r="5945" spans="18:19" x14ac:dyDescent="0.25">
      <c r="R5945" s="13">
        <v>5872</v>
      </c>
      <c r="S5945" s="13">
        <v>0</v>
      </c>
    </row>
    <row r="5946" spans="18:19" x14ac:dyDescent="0.25">
      <c r="R5946" s="13">
        <v>5873</v>
      </c>
      <c r="S5946" s="13">
        <v>0</v>
      </c>
    </row>
    <row r="5947" spans="18:19" x14ac:dyDescent="0.25">
      <c r="R5947" s="13">
        <v>5874</v>
      </c>
      <c r="S5947" s="13">
        <v>0</v>
      </c>
    </row>
    <row r="5948" spans="18:19" x14ac:dyDescent="0.25">
      <c r="R5948" s="13">
        <v>5875</v>
      </c>
      <c r="S5948" s="13">
        <v>0</v>
      </c>
    </row>
    <row r="5949" spans="18:19" x14ac:dyDescent="0.25">
      <c r="R5949" s="13">
        <v>5876</v>
      </c>
      <c r="S5949" s="13">
        <v>318202280.41112709</v>
      </c>
    </row>
    <row r="5950" spans="18:19" x14ac:dyDescent="0.25">
      <c r="R5950" s="13">
        <v>5877</v>
      </c>
      <c r="S5950" s="13">
        <v>0</v>
      </c>
    </row>
    <row r="5951" spans="18:19" x14ac:dyDescent="0.25">
      <c r="R5951" s="13">
        <v>5878</v>
      </c>
      <c r="S5951" s="13">
        <v>169939661.71484375</v>
      </c>
    </row>
    <row r="5952" spans="18:19" x14ac:dyDescent="0.25">
      <c r="R5952" s="13">
        <v>5879</v>
      </c>
      <c r="S5952" s="13">
        <v>0</v>
      </c>
    </row>
    <row r="5953" spans="18:19" x14ac:dyDescent="0.25">
      <c r="R5953" s="13">
        <v>5880</v>
      </c>
      <c r="S5953" s="13">
        <v>0</v>
      </c>
    </row>
    <row r="5954" spans="18:19" x14ac:dyDescent="0.25">
      <c r="R5954" s="13">
        <v>5881</v>
      </c>
      <c r="S5954" s="13">
        <v>0</v>
      </c>
    </row>
    <row r="5955" spans="18:19" x14ac:dyDescent="0.25">
      <c r="R5955" s="13">
        <v>5882</v>
      </c>
      <c r="S5955" s="13">
        <v>0</v>
      </c>
    </row>
    <row r="5956" spans="18:19" x14ac:dyDescent="0.25">
      <c r="R5956" s="13">
        <v>5883</v>
      </c>
      <c r="S5956" s="13">
        <v>0</v>
      </c>
    </row>
    <row r="5957" spans="18:19" x14ac:dyDescent="0.25">
      <c r="R5957" s="13">
        <v>5884</v>
      </c>
      <c r="S5957" s="13">
        <v>0</v>
      </c>
    </row>
    <row r="5958" spans="18:19" x14ac:dyDescent="0.25">
      <c r="R5958" s="13">
        <v>5885</v>
      </c>
      <c r="S5958" s="13">
        <v>358527716.25557899</v>
      </c>
    </row>
    <row r="5959" spans="18:19" x14ac:dyDescent="0.25">
      <c r="R5959" s="13">
        <v>5886</v>
      </c>
      <c r="S5959" s="13">
        <v>0</v>
      </c>
    </row>
    <row r="5960" spans="18:19" x14ac:dyDescent="0.25">
      <c r="R5960" s="13">
        <v>5887</v>
      </c>
      <c r="S5960" s="13">
        <v>0</v>
      </c>
    </row>
    <row r="5961" spans="18:19" x14ac:dyDescent="0.25">
      <c r="R5961" s="13">
        <v>5888</v>
      </c>
      <c r="S5961" s="13">
        <v>0</v>
      </c>
    </row>
    <row r="5962" spans="18:19" x14ac:dyDescent="0.25">
      <c r="R5962" s="13">
        <v>5889</v>
      </c>
      <c r="S5962" s="13">
        <v>0</v>
      </c>
    </row>
    <row r="5963" spans="18:19" x14ac:dyDescent="0.25">
      <c r="R5963" s="13">
        <v>5890</v>
      </c>
      <c r="S5963" s="13">
        <v>0</v>
      </c>
    </row>
    <row r="5964" spans="18:19" x14ac:dyDescent="0.25">
      <c r="R5964" s="13">
        <v>5891</v>
      </c>
      <c r="S5964" s="13">
        <v>0</v>
      </c>
    </row>
    <row r="5965" spans="18:19" x14ac:dyDescent="0.25">
      <c r="R5965" s="13">
        <v>5892</v>
      </c>
      <c r="S5965" s="13">
        <v>0</v>
      </c>
    </row>
    <row r="5966" spans="18:19" x14ac:dyDescent="0.25">
      <c r="R5966" s="13">
        <v>5893</v>
      </c>
      <c r="S5966" s="13">
        <v>0</v>
      </c>
    </row>
    <row r="5967" spans="18:19" x14ac:dyDescent="0.25">
      <c r="R5967" s="13">
        <v>5894</v>
      </c>
      <c r="S5967" s="13">
        <v>463367927.01255226</v>
      </c>
    </row>
    <row r="5968" spans="18:19" x14ac:dyDescent="0.25">
      <c r="R5968" s="13">
        <v>5895</v>
      </c>
      <c r="S5968" s="13">
        <v>0</v>
      </c>
    </row>
    <row r="5969" spans="18:19" x14ac:dyDescent="0.25">
      <c r="R5969" s="13">
        <v>5896</v>
      </c>
      <c r="S5969" s="13">
        <v>0</v>
      </c>
    </row>
    <row r="5970" spans="18:19" x14ac:dyDescent="0.25">
      <c r="R5970" s="13">
        <v>5897</v>
      </c>
      <c r="S5970" s="13">
        <v>0</v>
      </c>
    </row>
    <row r="5971" spans="18:19" x14ac:dyDescent="0.25">
      <c r="R5971" s="13">
        <v>5898</v>
      </c>
      <c r="S5971" s="13">
        <v>0</v>
      </c>
    </row>
    <row r="5972" spans="18:19" x14ac:dyDescent="0.25">
      <c r="R5972" s="13">
        <v>5899</v>
      </c>
      <c r="S5972" s="13">
        <v>0</v>
      </c>
    </row>
    <row r="5973" spans="18:19" x14ac:dyDescent="0.25">
      <c r="R5973" s="13">
        <v>5900</v>
      </c>
      <c r="S5973" s="13">
        <v>0</v>
      </c>
    </row>
    <row r="5974" spans="18:19" x14ac:dyDescent="0.25">
      <c r="R5974" s="13">
        <v>5901</v>
      </c>
      <c r="S5974" s="13">
        <v>715986947.81758118</v>
      </c>
    </row>
    <row r="5975" spans="18:19" x14ac:dyDescent="0.25">
      <c r="R5975" s="13">
        <v>5902</v>
      </c>
      <c r="S5975" s="13">
        <v>420464787.9218235</v>
      </c>
    </row>
    <row r="5976" spans="18:19" x14ac:dyDescent="0.25">
      <c r="R5976" s="13">
        <v>5903</v>
      </c>
      <c r="S5976" s="13">
        <v>0</v>
      </c>
    </row>
    <row r="5977" spans="18:19" x14ac:dyDescent="0.25">
      <c r="R5977" s="13">
        <v>5904</v>
      </c>
      <c r="S5977" s="13">
        <v>0</v>
      </c>
    </row>
    <row r="5978" spans="18:19" x14ac:dyDescent="0.25">
      <c r="R5978" s="13">
        <v>5905</v>
      </c>
      <c r="S5978" s="13">
        <v>101415635.82810211</v>
      </c>
    </row>
    <row r="5979" spans="18:19" x14ac:dyDescent="0.25">
      <c r="R5979" s="13">
        <v>5906</v>
      </c>
      <c r="S5979" s="13">
        <v>0</v>
      </c>
    </row>
    <row r="5980" spans="18:19" x14ac:dyDescent="0.25">
      <c r="R5980" s="13">
        <v>5907</v>
      </c>
      <c r="S5980" s="13">
        <v>55142904.832490921</v>
      </c>
    </row>
    <row r="5981" spans="18:19" x14ac:dyDescent="0.25">
      <c r="R5981" s="13">
        <v>5908</v>
      </c>
      <c r="S5981" s="13">
        <v>0</v>
      </c>
    </row>
    <row r="5982" spans="18:19" x14ac:dyDescent="0.25">
      <c r="R5982" s="13">
        <v>5909</v>
      </c>
      <c r="S5982" s="13">
        <v>0</v>
      </c>
    </row>
    <row r="5983" spans="18:19" x14ac:dyDescent="0.25">
      <c r="R5983" s="13">
        <v>5910</v>
      </c>
      <c r="S5983" s="13">
        <v>0</v>
      </c>
    </row>
    <row r="5984" spans="18:19" x14ac:dyDescent="0.25">
      <c r="R5984" s="13">
        <v>5911</v>
      </c>
      <c r="S5984" s="13">
        <v>0</v>
      </c>
    </row>
    <row r="5985" spans="18:19" x14ac:dyDescent="0.25">
      <c r="R5985" s="13">
        <v>5912</v>
      </c>
      <c r="S5985" s="13">
        <v>0</v>
      </c>
    </row>
    <row r="5986" spans="18:19" x14ac:dyDescent="0.25">
      <c r="R5986" s="13">
        <v>5913</v>
      </c>
      <c r="S5986" s="13">
        <v>0</v>
      </c>
    </row>
    <row r="5987" spans="18:19" x14ac:dyDescent="0.25">
      <c r="R5987" s="13">
        <v>5914</v>
      </c>
      <c r="S5987" s="13">
        <v>0</v>
      </c>
    </row>
    <row r="5988" spans="18:19" x14ac:dyDescent="0.25">
      <c r="R5988" s="13">
        <v>5915</v>
      </c>
      <c r="S5988" s="13">
        <v>0</v>
      </c>
    </row>
    <row r="5989" spans="18:19" x14ac:dyDescent="0.25">
      <c r="R5989" s="13">
        <v>5916</v>
      </c>
      <c r="S5989" s="13">
        <v>0</v>
      </c>
    </row>
    <row r="5990" spans="18:19" x14ac:dyDescent="0.25">
      <c r="R5990" s="13">
        <v>5917</v>
      </c>
      <c r="S5990" s="13">
        <v>157208575.48160172</v>
      </c>
    </row>
    <row r="5991" spans="18:19" x14ac:dyDescent="0.25">
      <c r="R5991" s="13">
        <v>5918</v>
      </c>
      <c r="S5991" s="13">
        <v>0</v>
      </c>
    </row>
    <row r="5992" spans="18:19" x14ac:dyDescent="0.25">
      <c r="R5992" s="13">
        <v>5919</v>
      </c>
      <c r="S5992" s="13">
        <v>567853363.3092804</v>
      </c>
    </row>
    <row r="5993" spans="18:19" x14ac:dyDescent="0.25">
      <c r="R5993" s="13">
        <v>5920</v>
      </c>
      <c r="S5993" s="13">
        <v>333255764.98665619</v>
      </c>
    </row>
    <row r="5994" spans="18:19" x14ac:dyDescent="0.25">
      <c r="R5994" s="13">
        <v>5921</v>
      </c>
      <c r="S5994" s="13">
        <v>0</v>
      </c>
    </row>
    <row r="5995" spans="18:19" x14ac:dyDescent="0.25">
      <c r="R5995" s="13">
        <v>5922</v>
      </c>
      <c r="S5995" s="13">
        <v>0</v>
      </c>
    </row>
    <row r="5996" spans="18:19" x14ac:dyDescent="0.25">
      <c r="R5996" s="13">
        <v>5923</v>
      </c>
      <c r="S5996" s="13">
        <v>280178473.61115074</v>
      </c>
    </row>
    <row r="5997" spans="18:19" x14ac:dyDescent="0.25">
      <c r="R5997" s="13">
        <v>5924</v>
      </c>
      <c r="S5997" s="13">
        <v>243216481.83808517</v>
      </c>
    </row>
    <row r="5998" spans="18:19" x14ac:dyDescent="0.25">
      <c r="R5998" s="13">
        <v>5925</v>
      </c>
      <c r="S5998" s="13">
        <v>127555257.96500969</v>
      </c>
    </row>
    <row r="5999" spans="18:19" x14ac:dyDescent="0.25">
      <c r="R5999" s="13">
        <v>5926</v>
      </c>
      <c r="S5999" s="13">
        <v>0</v>
      </c>
    </row>
    <row r="6000" spans="18:19" x14ac:dyDescent="0.25">
      <c r="R6000" s="13">
        <v>5927</v>
      </c>
      <c r="S6000" s="13">
        <v>0</v>
      </c>
    </row>
    <row r="6001" spans="18:19" x14ac:dyDescent="0.25">
      <c r="R6001" s="13">
        <v>5928</v>
      </c>
      <c r="S6001" s="13">
        <v>0</v>
      </c>
    </row>
    <row r="6002" spans="18:19" x14ac:dyDescent="0.25">
      <c r="R6002" s="13">
        <v>5929</v>
      </c>
      <c r="S6002" s="13">
        <v>0</v>
      </c>
    </row>
    <row r="6003" spans="18:19" x14ac:dyDescent="0.25">
      <c r="R6003" s="13">
        <v>5930</v>
      </c>
      <c r="S6003" s="13">
        <v>420174500.59265137</v>
      </c>
    </row>
    <row r="6004" spans="18:19" x14ac:dyDescent="0.25">
      <c r="R6004" s="13">
        <v>5931</v>
      </c>
      <c r="S6004" s="13">
        <v>0</v>
      </c>
    </row>
    <row r="6005" spans="18:19" x14ac:dyDescent="0.25">
      <c r="R6005" s="13">
        <v>5932</v>
      </c>
      <c r="S6005" s="13">
        <v>0</v>
      </c>
    </row>
    <row r="6006" spans="18:19" x14ac:dyDescent="0.25">
      <c r="R6006" s="13">
        <v>5933</v>
      </c>
      <c r="S6006" s="13">
        <v>0</v>
      </c>
    </row>
    <row r="6007" spans="18:19" x14ac:dyDescent="0.25">
      <c r="R6007" s="13">
        <v>5934</v>
      </c>
      <c r="S6007" s="13">
        <v>0</v>
      </c>
    </row>
    <row r="6008" spans="18:19" x14ac:dyDescent="0.25">
      <c r="R6008" s="13">
        <v>5935</v>
      </c>
      <c r="S6008" s="13">
        <v>0</v>
      </c>
    </row>
    <row r="6009" spans="18:19" x14ac:dyDescent="0.25">
      <c r="R6009" s="13">
        <v>5936</v>
      </c>
      <c r="S6009" s="13">
        <v>0</v>
      </c>
    </row>
    <row r="6010" spans="18:19" x14ac:dyDescent="0.25">
      <c r="R6010" s="13">
        <v>5937</v>
      </c>
      <c r="S6010" s="13">
        <v>0</v>
      </c>
    </row>
    <row r="6011" spans="18:19" x14ac:dyDescent="0.25">
      <c r="R6011" s="13">
        <v>5938</v>
      </c>
      <c r="S6011" s="13">
        <v>0</v>
      </c>
    </row>
    <row r="6012" spans="18:19" x14ac:dyDescent="0.25">
      <c r="R6012" s="13">
        <v>5939</v>
      </c>
      <c r="S6012" s="13">
        <v>173650958.5093441</v>
      </c>
    </row>
    <row r="6013" spans="18:19" x14ac:dyDescent="0.25">
      <c r="R6013" s="13">
        <v>5940</v>
      </c>
      <c r="S6013" s="13">
        <v>0</v>
      </c>
    </row>
    <row r="6014" spans="18:19" x14ac:dyDescent="0.25">
      <c r="R6014" s="13">
        <v>5941</v>
      </c>
      <c r="S6014" s="13">
        <v>0</v>
      </c>
    </row>
    <row r="6015" spans="18:19" x14ac:dyDescent="0.25">
      <c r="R6015" s="13">
        <v>5942</v>
      </c>
      <c r="S6015" s="13">
        <v>0</v>
      </c>
    </row>
    <row r="6016" spans="18:19" x14ac:dyDescent="0.25">
      <c r="R6016" s="13">
        <v>5943</v>
      </c>
      <c r="S6016" s="13">
        <v>0</v>
      </c>
    </row>
    <row r="6017" spans="18:19" x14ac:dyDescent="0.25">
      <c r="R6017" s="13">
        <v>5944</v>
      </c>
      <c r="S6017" s="13">
        <v>0</v>
      </c>
    </row>
    <row r="6018" spans="18:19" x14ac:dyDescent="0.25">
      <c r="R6018" s="13">
        <v>5945</v>
      </c>
      <c r="S6018" s="13">
        <v>0</v>
      </c>
    </row>
    <row r="6019" spans="18:19" x14ac:dyDescent="0.25">
      <c r="R6019" s="13">
        <v>5946</v>
      </c>
      <c r="S6019" s="13">
        <v>0</v>
      </c>
    </row>
    <row r="6020" spans="18:19" x14ac:dyDescent="0.25">
      <c r="R6020" s="13">
        <v>5947</v>
      </c>
      <c r="S6020" s="13">
        <v>0</v>
      </c>
    </row>
    <row r="6021" spans="18:19" x14ac:dyDescent="0.25">
      <c r="R6021" s="13">
        <v>5948</v>
      </c>
      <c r="S6021" s="13">
        <v>0</v>
      </c>
    </row>
    <row r="6022" spans="18:19" x14ac:dyDescent="0.25">
      <c r="R6022" s="13">
        <v>5949</v>
      </c>
      <c r="S6022" s="13">
        <v>0</v>
      </c>
    </row>
    <row r="6023" spans="18:19" x14ac:dyDescent="0.25">
      <c r="R6023" s="13">
        <v>5950</v>
      </c>
      <c r="S6023" s="13">
        <v>332410933.29828835</v>
      </c>
    </row>
    <row r="6024" spans="18:19" x14ac:dyDescent="0.25">
      <c r="R6024" s="13">
        <v>5951</v>
      </c>
      <c r="S6024" s="13">
        <v>58444148.047279358</v>
      </c>
    </row>
    <row r="6025" spans="18:19" x14ac:dyDescent="0.25">
      <c r="R6025" s="13">
        <v>5952</v>
      </c>
      <c r="S6025" s="13">
        <v>0</v>
      </c>
    </row>
    <row r="6026" spans="18:19" x14ac:dyDescent="0.25">
      <c r="R6026" s="13">
        <v>5953</v>
      </c>
      <c r="S6026" s="13">
        <v>0</v>
      </c>
    </row>
    <row r="6027" spans="18:19" x14ac:dyDescent="0.25">
      <c r="R6027" s="13">
        <v>5954</v>
      </c>
      <c r="S6027" s="13">
        <v>0</v>
      </c>
    </row>
    <row r="6028" spans="18:19" x14ac:dyDescent="0.25">
      <c r="R6028" s="13">
        <v>5955</v>
      </c>
      <c r="S6028" s="13">
        <v>35884118.148664474</v>
      </c>
    </row>
    <row r="6029" spans="18:19" x14ac:dyDescent="0.25">
      <c r="R6029" s="13">
        <v>5956</v>
      </c>
      <c r="S6029" s="13">
        <v>0</v>
      </c>
    </row>
    <row r="6030" spans="18:19" x14ac:dyDescent="0.25">
      <c r="R6030" s="13">
        <v>5957</v>
      </c>
      <c r="S6030" s="13">
        <v>0</v>
      </c>
    </row>
    <row r="6031" spans="18:19" x14ac:dyDescent="0.25">
      <c r="R6031" s="13">
        <v>5958</v>
      </c>
      <c r="S6031" s="13">
        <v>0</v>
      </c>
    </row>
    <row r="6032" spans="18:19" x14ac:dyDescent="0.25">
      <c r="R6032" s="13">
        <v>5959</v>
      </c>
      <c r="S6032" s="13">
        <v>361248900.42271042</v>
      </c>
    </row>
    <row r="6033" spans="18:19" x14ac:dyDescent="0.25">
      <c r="R6033" s="13">
        <v>5960</v>
      </c>
      <c r="S6033" s="13">
        <v>824006496.41756058</v>
      </c>
    </row>
    <row r="6034" spans="18:19" x14ac:dyDescent="0.25">
      <c r="R6034" s="13">
        <v>5961</v>
      </c>
      <c r="S6034" s="13">
        <v>0</v>
      </c>
    </row>
    <row r="6035" spans="18:19" x14ac:dyDescent="0.25">
      <c r="R6035" s="13">
        <v>5962</v>
      </c>
      <c r="S6035" s="13">
        <v>0</v>
      </c>
    </row>
    <row r="6036" spans="18:19" x14ac:dyDescent="0.25">
      <c r="R6036" s="13">
        <v>5963</v>
      </c>
      <c r="S6036" s="13">
        <v>0</v>
      </c>
    </row>
    <row r="6037" spans="18:19" x14ac:dyDescent="0.25">
      <c r="R6037" s="13">
        <v>5964</v>
      </c>
      <c r="S6037" s="13">
        <v>0</v>
      </c>
    </row>
    <row r="6038" spans="18:19" x14ac:dyDescent="0.25">
      <c r="R6038" s="13">
        <v>5965</v>
      </c>
      <c r="S6038" s="13">
        <v>0</v>
      </c>
    </row>
    <row r="6039" spans="18:19" x14ac:dyDescent="0.25">
      <c r="R6039" s="13">
        <v>5966</v>
      </c>
      <c r="S6039" s="13">
        <v>0</v>
      </c>
    </row>
    <row r="6040" spans="18:19" x14ac:dyDescent="0.25">
      <c r="R6040" s="13">
        <v>5967</v>
      </c>
      <c r="S6040" s="13">
        <v>0</v>
      </c>
    </row>
    <row r="6041" spans="18:19" x14ac:dyDescent="0.25">
      <c r="R6041" s="13">
        <v>5968</v>
      </c>
      <c r="S6041" s="13">
        <v>0</v>
      </c>
    </row>
    <row r="6042" spans="18:19" x14ac:dyDescent="0.25">
      <c r="R6042" s="13">
        <v>5969</v>
      </c>
      <c r="S6042" s="13">
        <v>0</v>
      </c>
    </row>
    <row r="6043" spans="18:19" x14ac:dyDescent="0.25">
      <c r="R6043" s="13">
        <v>5970</v>
      </c>
      <c r="S6043" s="13">
        <v>0</v>
      </c>
    </row>
    <row r="6044" spans="18:19" x14ac:dyDescent="0.25">
      <c r="R6044" s="13">
        <v>5971</v>
      </c>
      <c r="S6044" s="13">
        <v>296994580.59501457</v>
      </c>
    </row>
    <row r="6045" spans="18:19" x14ac:dyDescent="0.25">
      <c r="R6045" s="13">
        <v>5972</v>
      </c>
      <c r="S6045" s="13">
        <v>186293704.45320129</v>
      </c>
    </row>
    <row r="6046" spans="18:19" x14ac:dyDescent="0.25">
      <c r="R6046" s="13">
        <v>5973</v>
      </c>
      <c r="S6046" s="13">
        <v>0</v>
      </c>
    </row>
    <row r="6047" spans="18:19" x14ac:dyDescent="0.25">
      <c r="R6047" s="13">
        <v>5974</v>
      </c>
      <c r="S6047" s="13">
        <v>0</v>
      </c>
    </row>
    <row r="6048" spans="18:19" x14ac:dyDescent="0.25">
      <c r="R6048" s="13">
        <v>5975</v>
      </c>
      <c r="S6048" s="13">
        <v>0</v>
      </c>
    </row>
    <row r="6049" spans="18:19" x14ac:dyDescent="0.25">
      <c r="R6049" s="13">
        <v>5976</v>
      </c>
      <c r="S6049" s="13">
        <v>0</v>
      </c>
    </row>
    <row r="6050" spans="18:19" x14ac:dyDescent="0.25">
      <c r="R6050" s="13">
        <v>5977</v>
      </c>
      <c r="S6050" s="13">
        <v>109767472.89450073</v>
      </c>
    </row>
    <row r="6051" spans="18:19" x14ac:dyDescent="0.25">
      <c r="R6051" s="13">
        <v>5978</v>
      </c>
      <c r="S6051" s="13">
        <v>0</v>
      </c>
    </row>
    <row r="6052" spans="18:19" x14ac:dyDescent="0.25">
      <c r="R6052" s="13">
        <v>5979</v>
      </c>
      <c r="S6052" s="13">
        <v>0</v>
      </c>
    </row>
    <row r="6053" spans="18:19" x14ac:dyDescent="0.25">
      <c r="R6053" s="13">
        <v>5980</v>
      </c>
      <c r="S6053" s="13">
        <v>1055317642.4348145</v>
      </c>
    </row>
    <row r="6054" spans="18:19" x14ac:dyDescent="0.25">
      <c r="R6054" s="13">
        <v>5981</v>
      </c>
      <c r="S6054" s="13">
        <v>0</v>
      </c>
    </row>
    <row r="6055" spans="18:19" x14ac:dyDescent="0.25">
      <c r="R6055" s="13">
        <v>5982</v>
      </c>
      <c r="S6055" s="13">
        <v>0</v>
      </c>
    </row>
    <row r="6056" spans="18:19" x14ac:dyDescent="0.25">
      <c r="R6056" s="13">
        <v>5983</v>
      </c>
      <c r="S6056" s="13">
        <v>227946808.86657333</v>
      </c>
    </row>
    <row r="6057" spans="18:19" x14ac:dyDescent="0.25">
      <c r="R6057" s="13">
        <v>5984</v>
      </c>
      <c r="S6057" s="13">
        <v>0</v>
      </c>
    </row>
    <row r="6058" spans="18:19" x14ac:dyDescent="0.25">
      <c r="R6058" s="13">
        <v>5985</v>
      </c>
      <c r="S6058" s="13">
        <v>0</v>
      </c>
    </row>
    <row r="6059" spans="18:19" x14ac:dyDescent="0.25">
      <c r="R6059" s="13">
        <v>5986</v>
      </c>
      <c r="S6059" s="13">
        <v>0</v>
      </c>
    </row>
    <row r="6060" spans="18:19" x14ac:dyDescent="0.25">
      <c r="R6060" s="13">
        <v>5987</v>
      </c>
      <c r="S6060" s="13">
        <v>929215756.57671356</v>
      </c>
    </row>
    <row r="6061" spans="18:19" x14ac:dyDescent="0.25">
      <c r="R6061" s="13">
        <v>5988</v>
      </c>
      <c r="S6061" s="13">
        <v>0</v>
      </c>
    </row>
    <row r="6062" spans="18:19" x14ac:dyDescent="0.25">
      <c r="R6062" s="13">
        <v>5989</v>
      </c>
      <c r="S6062" s="13">
        <v>0</v>
      </c>
    </row>
    <row r="6063" spans="18:19" x14ac:dyDescent="0.25">
      <c r="R6063" s="13">
        <v>5990</v>
      </c>
      <c r="S6063" s="13">
        <v>0</v>
      </c>
    </row>
    <row r="6064" spans="18:19" x14ac:dyDescent="0.25">
      <c r="R6064" s="13">
        <v>5991</v>
      </c>
      <c r="S6064" s="13">
        <v>0</v>
      </c>
    </row>
    <row r="6065" spans="18:19" x14ac:dyDescent="0.25">
      <c r="R6065" s="13">
        <v>5992</v>
      </c>
      <c r="S6065" s="13">
        <v>0</v>
      </c>
    </row>
    <row r="6066" spans="18:19" x14ac:dyDescent="0.25">
      <c r="R6066" s="13">
        <v>5993</v>
      </c>
      <c r="S6066" s="13">
        <v>0</v>
      </c>
    </row>
    <row r="6067" spans="18:19" x14ac:dyDescent="0.25">
      <c r="R6067" s="13">
        <v>5994</v>
      </c>
      <c r="S6067" s="13">
        <v>0</v>
      </c>
    </row>
    <row r="6068" spans="18:19" x14ac:dyDescent="0.25">
      <c r="R6068" s="13">
        <v>5995</v>
      </c>
      <c r="S6068" s="13">
        <v>0</v>
      </c>
    </row>
    <row r="6069" spans="18:19" x14ac:dyDescent="0.25">
      <c r="R6069" s="13">
        <v>5996</v>
      </c>
      <c r="S6069" s="13">
        <v>1016521518.7757168</v>
      </c>
    </row>
    <row r="6070" spans="18:19" x14ac:dyDescent="0.25">
      <c r="R6070" s="13">
        <v>5997</v>
      </c>
      <c r="S6070" s="13">
        <v>0</v>
      </c>
    </row>
    <row r="6071" spans="18:19" x14ac:dyDescent="0.25">
      <c r="R6071" s="13">
        <v>5998</v>
      </c>
      <c r="S6071" s="13">
        <v>0</v>
      </c>
    </row>
    <row r="6072" spans="18:19" x14ac:dyDescent="0.25">
      <c r="R6072" s="13">
        <v>5999</v>
      </c>
      <c r="S6072" s="13">
        <v>0</v>
      </c>
    </row>
    <row r="6073" spans="18:19" x14ac:dyDescent="0.25">
      <c r="R6073" s="13">
        <v>6000</v>
      </c>
      <c r="S6073" s="13">
        <v>0</v>
      </c>
    </row>
    <row r="6074" spans="18:19" x14ac:dyDescent="0.25">
      <c r="R6074" s="13">
        <v>6001</v>
      </c>
      <c r="S6074" s="13">
        <v>0</v>
      </c>
    </row>
    <row r="6075" spans="18:19" x14ac:dyDescent="0.25">
      <c r="R6075" s="13">
        <v>6002</v>
      </c>
      <c r="S6075" s="13">
        <v>66211944.846118927</v>
      </c>
    </row>
    <row r="6076" spans="18:19" x14ac:dyDescent="0.25">
      <c r="R6076" s="13">
        <v>6003</v>
      </c>
      <c r="S6076" s="13">
        <v>0</v>
      </c>
    </row>
    <row r="6077" spans="18:19" x14ac:dyDescent="0.25">
      <c r="R6077" s="13">
        <v>6004</v>
      </c>
      <c r="S6077" s="13">
        <v>553771358.03512955</v>
      </c>
    </row>
    <row r="6078" spans="18:19" x14ac:dyDescent="0.25">
      <c r="R6078" s="13">
        <v>6005</v>
      </c>
      <c r="S6078" s="13">
        <v>170967561.23293114</v>
      </c>
    </row>
    <row r="6079" spans="18:19" x14ac:dyDescent="0.25">
      <c r="R6079" s="13">
        <v>6006</v>
      </c>
      <c r="S6079" s="13">
        <v>0</v>
      </c>
    </row>
    <row r="6080" spans="18:19" x14ac:dyDescent="0.25">
      <c r="R6080" s="13">
        <v>6007</v>
      </c>
      <c r="S6080" s="13">
        <v>0</v>
      </c>
    </row>
    <row r="6081" spans="18:19" x14ac:dyDescent="0.25">
      <c r="R6081" s="13">
        <v>6008</v>
      </c>
      <c r="S6081" s="13">
        <v>999663556.19204712</v>
      </c>
    </row>
    <row r="6082" spans="18:19" x14ac:dyDescent="0.25">
      <c r="R6082" s="13">
        <v>6009</v>
      </c>
      <c r="S6082" s="13">
        <v>0</v>
      </c>
    </row>
    <row r="6083" spans="18:19" x14ac:dyDescent="0.25">
      <c r="R6083" s="13">
        <v>6010</v>
      </c>
      <c r="S6083" s="13">
        <v>380755110.46772003</v>
      </c>
    </row>
    <row r="6084" spans="18:19" x14ac:dyDescent="0.25">
      <c r="R6084" s="13">
        <v>6011</v>
      </c>
      <c r="S6084" s="13">
        <v>0</v>
      </c>
    </row>
    <row r="6085" spans="18:19" x14ac:dyDescent="0.25">
      <c r="R6085" s="13">
        <v>6012</v>
      </c>
      <c r="S6085" s="13">
        <v>0</v>
      </c>
    </row>
    <row r="6086" spans="18:19" x14ac:dyDescent="0.25">
      <c r="R6086" s="13">
        <v>6013</v>
      </c>
      <c r="S6086" s="13">
        <v>0</v>
      </c>
    </row>
    <row r="6087" spans="18:19" x14ac:dyDescent="0.25">
      <c r="R6087" s="13">
        <v>6014</v>
      </c>
      <c r="S6087" s="13">
        <v>0</v>
      </c>
    </row>
    <row r="6088" spans="18:19" x14ac:dyDescent="0.25">
      <c r="R6088" s="13">
        <v>6015</v>
      </c>
      <c r="S6088" s="13">
        <v>358051915.94919586</v>
      </c>
    </row>
    <row r="6089" spans="18:19" x14ac:dyDescent="0.25">
      <c r="R6089" s="13">
        <v>6016</v>
      </c>
      <c r="S6089" s="13">
        <v>3869585.1071662903</v>
      </c>
    </row>
    <row r="6090" spans="18:19" x14ac:dyDescent="0.25">
      <c r="R6090" s="13">
        <v>6017</v>
      </c>
      <c r="S6090" s="13">
        <v>93028253.302110672</v>
      </c>
    </row>
    <row r="6091" spans="18:19" x14ac:dyDescent="0.25">
      <c r="R6091" s="13">
        <v>6018</v>
      </c>
      <c r="S6091" s="13">
        <v>0</v>
      </c>
    </row>
    <row r="6092" spans="18:19" x14ac:dyDescent="0.25">
      <c r="R6092" s="13">
        <v>6019</v>
      </c>
      <c r="S6092" s="13">
        <v>0</v>
      </c>
    </row>
    <row r="6093" spans="18:19" x14ac:dyDescent="0.25">
      <c r="R6093" s="13">
        <v>6020</v>
      </c>
      <c r="S6093" s="13">
        <v>198441575.18870544</v>
      </c>
    </row>
    <row r="6094" spans="18:19" x14ac:dyDescent="0.25">
      <c r="R6094" s="13">
        <v>6021</v>
      </c>
      <c r="S6094" s="13">
        <v>0</v>
      </c>
    </row>
    <row r="6095" spans="18:19" x14ac:dyDescent="0.25">
      <c r="R6095" s="13">
        <v>6022</v>
      </c>
      <c r="S6095" s="13">
        <v>216826605.7284584</v>
      </c>
    </row>
    <row r="6096" spans="18:19" x14ac:dyDescent="0.25">
      <c r="R6096" s="13">
        <v>6023</v>
      </c>
      <c r="S6096" s="13">
        <v>0</v>
      </c>
    </row>
    <row r="6097" spans="18:19" x14ac:dyDescent="0.25">
      <c r="R6097" s="13">
        <v>6024</v>
      </c>
      <c r="S6097" s="13">
        <v>0</v>
      </c>
    </row>
    <row r="6098" spans="18:19" x14ac:dyDescent="0.25">
      <c r="R6098" s="13">
        <v>6025</v>
      </c>
      <c r="S6098" s="13">
        <v>0</v>
      </c>
    </row>
    <row r="6099" spans="18:19" x14ac:dyDescent="0.25">
      <c r="R6099" s="13">
        <v>6026</v>
      </c>
      <c r="S6099" s="13">
        <v>0</v>
      </c>
    </row>
    <row r="6100" spans="18:19" x14ac:dyDescent="0.25">
      <c r="R6100" s="13">
        <v>6027</v>
      </c>
      <c r="S6100" s="13">
        <v>0</v>
      </c>
    </row>
    <row r="6101" spans="18:19" x14ac:dyDescent="0.25">
      <c r="R6101" s="13">
        <v>6028</v>
      </c>
      <c r="S6101" s="13">
        <v>0</v>
      </c>
    </row>
    <row r="6102" spans="18:19" x14ac:dyDescent="0.25">
      <c r="R6102" s="13">
        <v>6029</v>
      </c>
      <c r="S6102" s="13">
        <v>24889422.878780365</v>
      </c>
    </row>
    <row r="6103" spans="18:19" x14ac:dyDescent="0.25">
      <c r="R6103" s="13">
        <v>6030</v>
      </c>
      <c r="S6103" s="13">
        <v>0</v>
      </c>
    </row>
    <row r="6104" spans="18:19" x14ac:dyDescent="0.25">
      <c r="R6104" s="13">
        <v>6031</v>
      </c>
      <c r="S6104" s="13">
        <v>0</v>
      </c>
    </row>
    <row r="6105" spans="18:19" x14ac:dyDescent="0.25">
      <c r="R6105" s="13">
        <v>6032</v>
      </c>
      <c r="S6105" s="13">
        <v>0</v>
      </c>
    </row>
    <row r="6106" spans="18:19" x14ac:dyDescent="0.25">
      <c r="R6106" s="13">
        <v>6033</v>
      </c>
      <c r="S6106" s="13">
        <v>0</v>
      </c>
    </row>
    <row r="6107" spans="18:19" x14ac:dyDescent="0.25">
      <c r="R6107" s="13">
        <v>6034</v>
      </c>
      <c r="S6107" s="13">
        <v>0</v>
      </c>
    </row>
    <row r="6108" spans="18:19" x14ac:dyDescent="0.25">
      <c r="R6108" s="13">
        <v>6035</v>
      </c>
      <c r="S6108" s="13">
        <v>0</v>
      </c>
    </row>
    <row r="6109" spans="18:19" x14ac:dyDescent="0.25">
      <c r="R6109" s="13">
        <v>6036</v>
      </c>
      <c r="S6109" s="13">
        <v>0</v>
      </c>
    </row>
    <row r="6110" spans="18:19" x14ac:dyDescent="0.25">
      <c r="R6110" s="13">
        <v>6037</v>
      </c>
      <c r="S6110" s="13">
        <v>0</v>
      </c>
    </row>
    <row r="6111" spans="18:19" x14ac:dyDescent="0.25">
      <c r="R6111" s="13">
        <v>6038</v>
      </c>
      <c r="S6111" s="13">
        <v>0</v>
      </c>
    </row>
    <row r="6112" spans="18:19" x14ac:dyDescent="0.25">
      <c r="R6112" s="13">
        <v>6039</v>
      </c>
      <c r="S6112" s="13">
        <v>0</v>
      </c>
    </row>
    <row r="6113" spans="18:19" x14ac:dyDescent="0.25">
      <c r="R6113" s="13">
        <v>6040</v>
      </c>
      <c r="S6113" s="13">
        <v>0</v>
      </c>
    </row>
    <row r="6114" spans="18:19" x14ac:dyDescent="0.25">
      <c r="R6114" s="13">
        <v>6041</v>
      </c>
      <c r="S6114" s="13">
        <v>0</v>
      </c>
    </row>
    <row r="6115" spans="18:19" x14ac:dyDescent="0.25">
      <c r="R6115" s="13">
        <v>6042</v>
      </c>
      <c r="S6115" s="13">
        <v>447428384.96992302</v>
      </c>
    </row>
    <row r="6116" spans="18:19" x14ac:dyDescent="0.25">
      <c r="R6116" s="13">
        <v>6043</v>
      </c>
      <c r="S6116" s="13">
        <v>151577571.34200478</v>
      </c>
    </row>
    <row r="6117" spans="18:19" x14ac:dyDescent="0.25">
      <c r="R6117" s="13">
        <v>6044</v>
      </c>
      <c r="S6117" s="13">
        <v>0</v>
      </c>
    </row>
    <row r="6118" spans="18:19" x14ac:dyDescent="0.25">
      <c r="R6118" s="13">
        <v>6045</v>
      </c>
      <c r="S6118" s="13">
        <v>631395149.6454792</v>
      </c>
    </row>
    <row r="6119" spans="18:19" x14ac:dyDescent="0.25">
      <c r="R6119" s="13">
        <v>6046</v>
      </c>
      <c r="S6119" s="13">
        <v>0</v>
      </c>
    </row>
    <row r="6120" spans="18:19" x14ac:dyDescent="0.25">
      <c r="R6120" s="13">
        <v>6047</v>
      </c>
      <c r="S6120" s="13">
        <v>0</v>
      </c>
    </row>
    <row r="6121" spans="18:19" x14ac:dyDescent="0.25">
      <c r="R6121" s="13">
        <v>6048</v>
      </c>
      <c r="S6121" s="13">
        <v>476595201.23023033</v>
      </c>
    </row>
    <row r="6122" spans="18:19" x14ac:dyDescent="0.25">
      <c r="R6122" s="13">
        <v>6049</v>
      </c>
      <c r="S6122" s="13">
        <v>71875669.23964119</v>
      </c>
    </row>
    <row r="6123" spans="18:19" x14ac:dyDescent="0.25">
      <c r="R6123" s="13">
        <v>6050</v>
      </c>
      <c r="S6123" s="13">
        <v>0</v>
      </c>
    </row>
    <row r="6124" spans="18:19" x14ac:dyDescent="0.25">
      <c r="R6124" s="13">
        <v>6051</v>
      </c>
      <c r="S6124" s="13">
        <v>0</v>
      </c>
    </row>
    <row r="6125" spans="18:19" x14ac:dyDescent="0.25">
      <c r="R6125" s="13">
        <v>6052</v>
      </c>
      <c r="S6125" s="13">
        <v>0</v>
      </c>
    </row>
    <row r="6126" spans="18:19" x14ac:dyDescent="0.25">
      <c r="R6126" s="13">
        <v>6053</v>
      </c>
      <c r="S6126" s="13">
        <v>103965878.18901443</v>
      </c>
    </row>
    <row r="6127" spans="18:19" x14ac:dyDescent="0.25">
      <c r="R6127" s="13">
        <v>6054</v>
      </c>
      <c r="S6127" s="13">
        <v>0</v>
      </c>
    </row>
    <row r="6128" spans="18:19" x14ac:dyDescent="0.25">
      <c r="R6128" s="13">
        <v>6055</v>
      </c>
      <c r="S6128" s="13">
        <v>0</v>
      </c>
    </row>
    <row r="6129" spans="18:19" x14ac:dyDescent="0.25">
      <c r="R6129" s="13">
        <v>6056</v>
      </c>
      <c r="S6129" s="13">
        <v>540032123.7068119</v>
      </c>
    </row>
    <row r="6130" spans="18:19" x14ac:dyDescent="0.25">
      <c r="R6130" s="13">
        <v>6057</v>
      </c>
      <c r="S6130" s="13">
        <v>0</v>
      </c>
    </row>
    <row r="6131" spans="18:19" x14ac:dyDescent="0.25">
      <c r="R6131" s="13">
        <v>6058</v>
      </c>
      <c r="S6131" s="13">
        <v>0</v>
      </c>
    </row>
    <row r="6132" spans="18:19" x14ac:dyDescent="0.25">
      <c r="R6132" s="13">
        <v>6059</v>
      </c>
      <c r="S6132" s="13">
        <v>0</v>
      </c>
    </row>
    <row r="6133" spans="18:19" x14ac:dyDescent="0.25">
      <c r="R6133" s="13">
        <v>6060</v>
      </c>
      <c r="S6133" s="13">
        <v>0</v>
      </c>
    </row>
    <row r="6134" spans="18:19" x14ac:dyDescent="0.25">
      <c r="R6134" s="13">
        <v>6061</v>
      </c>
      <c r="S6134" s="13">
        <v>0</v>
      </c>
    </row>
    <row r="6135" spans="18:19" x14ac:dyDescent="0.25">
      <c r="R6135" s="13">
        <v>6062</v>
      </c>
      <c r="S6135" s="13">
        <v>0</v>
      </c>
    </row>
    <row r="6136" spans="18:19" x14ac:dyDescent="0.25">
      <c r="R6136" s="13">
        <v>6063</v>
      </c>
      <c r="S6136" s="13">
        <v>0</v>
      </c>
    </row>
    <row r="6137" spans="18:19" x14ac:dyDescent="0.25">
      <c r="R6137" s="13">
        <v>6064</v>
      </c>
      <c r="S6137" s="13">
        <v>19577841.525194168</v>
      </c>
    </row>
    <row r="6138" spans="18:19" x14ac:dyDescent="0.25">
      <c r="R6138" s="13">
        <v>6065</v>
      </c>
      <c r="S6138" s="13">
        <v>146673415.98347092</v>
      </c>
    </row>
    <row r="6139" spans="18:19" x14ac:dyDescent="0.25">
      <c r="R6139" s="13">
        <v>6066</v>
      </c>
      <c r="S6139" s="13">
        <v>0</v>
      </c>
    </row>
    <row r="6140" spans="18:19" x14ac:dyDescent="0.25">
      <c r="R6140" s="13">
        <v>6067</v>
      </c>
      <c r="S6140" s="13">
        <v>37973975.586149216</v>
      </c>
    </row>
    <row r="6141" spans="18:19" x14ac:dyDescent="0.25">
      <c r="R6141" s="13">
        <v>6068</v>
      </c>
      <c r="S6141" s="13">
        <v>0</v>
      </c>
    </row>
    <row r="6142" spans="18:19" x14ac:dyDescent="0.25">
      <c r="R6142" s="13">
        <v>6069</v>
      </c>
      <c r="S6142" s="13">
        <v>0</v>
      </c>
    </row>
    <row r="6143" spans="18:19" x14ac:dyDescent="0.25">
      <c r="R6143" s="13">
        <v>6070</v>
      </c>
      <c r="S6143" s="13">
        <v>0</v>
      </c>
    </row>
    <row r="6144" spans="18:19" x14ac:dyDescent="0.25">
      <c r="R6144" s="13">
        <v>6071</v>
      </c>
      <c r="S6144" s="13">
        <v>0</v>
      </c>
    </row>
    <row r="6145" spans="18:19" x14ac:dyDescent="0.25">
      <c r="R6145" s="13">
        <v>6072</v>
      </c>
      <c r="S6145" s="13">
        <v>0</v>
      </c>
    </row>
    <row r="6146" spans="18:19" x14ac:dyDescent="0.25">
      <c r="R6146" s="13">
        <v>6073</v>
      </c>
      <c r="S6146" s="13">
        <v>219334501.42204666</v>
      </c>
    </row>
    <row r="6147" spans="18:19" x14ac:dyDescent="0.25">
      <c r="R6147" s="13">
        <v>6074</v>
      </c>
      <c r="S6147" s="13">
        <v>0</v>
      </c>
    </row>
    <row r="6148" spans="18:19" x14ac:dyDescent="0.25">
      <c r="R6148" s="13">
        <v>6075</v>
      </c>
      <c r="S6148" s="13">
        <v>0</v>
      </c>
    </row>
    <row r="6149" spans="18:19" x14ac:dyDescent="0.25">
      <c r="R6149" s="13">
        <v>6076</v>
      </c>
      <c r="S6149" s="13">
        <v>0</v>
      </c>
    </row>
    <row r="6150" spans="18:19" x14ac:dyDescent="0.25">
      <c r="R6150" s="13">
        <v>6077</v>
      </c>
      <c r="S6150" s="13">
        <v>0</v>
      </c>
    </row>
    <row r="6151" spans="18:19" x14ac:dyDescent="0.25">
      <c r="R6151" s="13">
        <v>6078</v>
      </c>
      <c r="S6151" s="13">
        <v>0</v>
      </c>
    </row>
    <row r="6152" spans="18:19" x14ac:dyDescent="0.25">
      <c r="R6152" s="13">
        <v>6079</v>
      </c>
      <c r="S6152" s="13">
        <v>0</v>
      </c>
    </row>
    <row r="6153" spans="18:19" x14ac:dyDescent="0.25">
      <c r="R6153" s="13">
        <v>6080</v>
      </c>
      <c r="S6153" s="13">
        <v>0</v>
      </c>
    </row>
    <row r="6154" spans="18:19" x14ac:dyDescent="0.25">
      <c r="R6154" s="13">
        <v>6081</v>
      </c>
      <c r="S6154" s="13">
        <v>0</v>
      </c>
    </row>
    <row r="6155" spans="18:19" x14ac:dyDescent="0.25">
      <c r="R6155" s="13">
        <v>6082</v>
      </c>
      <c r="S6155" s="13">
        <v>0</v>
      </c>
    </row>
    <row r="6156" spans="18:19" x14ac:dyDescent="0.25">
      <c r="R6156" s="13">
        <v>6083</v>
      </c>
      <c r="S6156" s="13">
        <v>0</v>
      </c>
    </row>
    <row r="6157" spans="18:19" x14ac:dyDescent="0.25">
      <c r="R6157" s="13">
        <v>6084</v>
      </c>
      <c r="S6157" s="13">
        <v>0</v>
      </c>
    </row>
    <row r="6158" spans="18:19" x14ac:dyDescent="0.25">
      <c r="R6158" s="13">
        <v>6085</v>
      </c>
      <c r="S6158" s="13">
        <v>150572989.50003624</v>
      </c>
    </row>
    <row r="6159" spans="18:19" x14ac:dyDescent="0.25">
      <c r="R6159" s="13">
        <v>6086</v>
      </c>
      <c r="S6159" s="13">
        <v>0</v>
      </c>
    </row>
    <row r="6160" spans="18:19" x14ac:dyDescent="0.25">
      <c r="R6160" s="13">
        <v>6087</v>
      </c>
      <c r="S6160" s="13">
        <v>0</v>
      </c>
    </row>
    <row r="6161" spans="18:19" x14ac:dyDescent="0.25">
      <c r="R6161" s="13">
        <v>6088</v>
      </c>
      <c r="S6161" s="13">
        <v>0</v>
      </c>
    </row>
    <row r="6162" spans="18:19" x14ac:dyDescent="0.25">
      <c r="R6162" s="13">
        <v>6089</v>
      </c>
      <c r="S6162" s="13">
        <v>0</v>
      </c>
    </row>
    <row r="6163" spans="18:19" x14ac:dyDescent="0.25">
      <c r="R6163" s="13">
        <v>6090</v>
      </c>
      <c r="S6163" s="13">
        <v>0</v>
      </c>
    </row>
    <row r="6164" spans="18:19" x14ac:dyDescent="0.25">
      <c r="R6164" s="13">
        <v>6091</v>
      </c>
      <c r="S6164" s="13">
        <v>0</v>
      </c>
    </row>
    <row r="6165" spans="18:19" x14ac:dyDescent="0.25">
      <c r="R6165" s="13">
        <v>6092</v>
      </c>
      <c r="S6165" s="13">
        <v>0</v>
      </c>
    </row>
    <row r="6166" spans="18:19" x14ac:dyDescent="0.25">
      <c r="R6166" s="13">
        <v>6093</v>
      </c>
      <c r="S6166" s="13">
        <v>0</v>
      </c>
    </row>
    <row r="6167" spans="18:19" x14ac:dyDescent="0.25">
      <c r="R6167" s="13">
        <v>6094</v>
      </c>
      <c r="S6167" s="13">
        <v>395017684.66388702</v>
      </c>
    </row>
    <row r="6168" spans="18:19" x14ac:dyDescent="0.25">
      <c r="R6168" s="13">
        <v>6095</v>
      </c>
      <c r="S6168" s="13">
        <v>560540096.45326233</v>
      </c>
    </row>
    <row r="6169" spans="18:19" x14ac:dyDescent="0.25">
      <c r="R6169" s="13">
        <v>6096</v>
      </c>
      <c r="S6169" s="13">
        <v>0</v>
      </c>
    </row>
    <row r="6170" spans="18:19" x14ac:dyDescent="0.25">
      <c r="R6170" s="13">
        <v>6097</v>
      </c>
      <c r="S6170" s="13">
        <v>109153963.64756584</v>
      </c>
    </row>
    <row r="6171" spans="18:19" x14ac:dyDescent="0.25">
      <c r="R6171" s="13">
        <v>6098</v>
      </c>
      <c r="S6171" s="13">
        <v>0</v>
      </c>
    </row>
    <row r="6172" spans="18:19" x14ac:dyDescent="0.25">
      <c r="R6172" s="13">
        <v>6099</v>
      </c>
      <c r="S6172" s="13">
        <v>0</v>
      </c>
    </row>
    <row r="6173" spans="18:19" x14ac:dyDescent="0.25">
      <c r="R6173" s="13">
        <v>6100</v>
      </c>
      <c r="S6173" s="13">
        <v>0</v>
      </c>
    </row>
    <row r="6174" spans="18:19" x14ac:dyDescent="0.25">
      <c r="R6174" s="13">
        <v>6101</v>
      </c>
      <c r="S6174" s="13">
        <v>0</v>
      </c>
    </row>
    <row r="6175" spans="18:19" x14ac:dyDescent="0.25">
      <c r="R6175" s="13">
        <v>6102</v>
      </c>
      <c r="S6175" s="13">
        <v>0</v>
      </c>
    </row>
    <row r="6176" spans="18:19" x14ac:dyDescent="0.25">
      <c r="R6176" s="13">
        <v>6103</v>
      </c>
      <c r="S6176" s="13">
        <v>0</v>
      </c>
    </row>
    <row r="6177" spans="18:19" x14ac:dyDescent="0.25">
      <c r="R6177" s="13">
        <v>6104</v>
      </c>
      <c r="S6177" s="13">
        <v>0</v>
      </c>
    </row>
    <row r="6178" spans="18:19" x14ac:dyDescent="0.25">
      <c r="R6178" s="13">
        <v>6105</v>
      </c>
      <c r="S6178" s="13">
        <v>0</v>
      </c>
    </row>
    <row r="6179" spans="18:19" x14ac:dyDescent="0.25">
      <c r="R6179" s="13">
        <v>6106</v>
      </c>
      <c r="S6179" s="13">
        <v>0</v>
      </c>
    </row>
    <row r="6180" spans="18:19" x14ac:dyDescent="0.25">
      <c r="R6180" s="13">
        <v>6107</v>
      </c>
      <c r="S6180" s="13">
        <v>0</v>
      </c>
    </row>
    <row r="6181" spans="18:19" x14ac:dyDescent="0.25">
      <c r="R6181" s="13">
        <v>6108</v>
      </c>
      <c r="S6181" s="13">
        <v>0</v>
      </c>
    </row>
    <row r="6182" spans="18:19" x14ac:dyDescent="0.25">
      <c r="R6182" s="13">
        <v>6109</v>
      </c>
      <c r="S6182" s="13">
        <v>0</v>
      </c>
    </row>
    <row r="6183" spans="18:19" x14ac:dyDescent="0.25">
      <c r="R6183" s="13">
        <v>6110</v>
      </c>
      <c r="S6183" s="13">
        <v>0</v>
      </c>
    </row>
    <row r="6184" spans="18:19" x14ac:dyDescent="0.25">
      <c r="R6184" s="13">
        <v>6111</v>
      </c>
      <c r="S6184" s="13">
        <v>0</v>
      </c>
    </row>
    <row r="6185" spans="18:19" x14ac:dyDescent="0.25">
      <c r="R6185" s="13">
        <v>6112</v>
      </c>
      <c r="S6185" s="13">
        <v>0</v>
      </c>
    </row>
    <row r="6186" spans="18:19" x14ac:dyDescent="0.25">
      <c r="R6186" s="13">
        <v>6113</v>
      </c>
      <c r="S6186" s="13">
        <v>0</v>
      </c>
    </row>
    <row r="6187" spans="18:19" x14ac:dyDescent="0.25">
      <c r="R6187" s="13">
        <v>6114</v>
      </c>
      <c r="S6187" s="13">
        <v>0</v>
      </c>
    </row>
    <row r="6188" spans="18:19" x14ac:dyDescent="0.25">
      <c r="R6188" s="13">
        <v>6115</v>
      </c>
      <c r="S6188" s="13">
        <v>0</v>
      </c>
    </row>
    <row r="6189" spans="18:19" x14ac:dyDescent="0.25">
      <c r="R6189" s="13">
        <v>6116</v>
      </c>
      <c r="S6189" s="13">
        <v>0</v>
      </c>
    </row>
    <row r="6190" spans="18:19" x14ac:dyDescent="0.25">
      <c r="R6190" s="13">
        <v>6117</v>
      </c>
      <c r="S6190" s="13">
        <v>0</v>
      </c>
    </row>
    <row r="6191" spans="18:19" x14ac:dyDescent="0.25">
      <c r="R6191" s="13">
        <v>6118</v>
      </c>
      <c r="S6191" s="13">
        <v>0</v>
      </c>
    </row>
    <row r="6192" spans="18:19" x14ac:dyDescent="0.25">
      <c r="R6192" s="13">
        <v>6119</v>
      </c>
      <c r="S6192" s="13">
        <v>0</v>
      </c>
    </row>
    <row r="6193" spans="18:19" x14ac:dyDescent="0.25">
      <c r="R6193" s="13">
        <v>6120</v>
      </c>
      <c r="S6193" s="13">
        <v>0</v>
      </c>
    </row>
    <row r="6194" spans="18:19" x14ac:dyDescent="0.25">
      <c r="R6194" s="13">
        <v>6121</v>
      </c>
      <c r="S6194" s="13">
        <v>591767624.69553185</v>
      </c>
    </row>
    <row r="6195" spans="18:19" x14ac:dyDescent="0.25">
      <c r="R6195" s="13">
        <v>6122</v>
      </c>
      <c r="S6195" s="13">
        <v>0</v>
      </c>
    </row>
    <row r="6196" spans="18:19" x14ac:dyDescent="0.25">
      <c r="R6196" s="13">
        <v>6123</v>
      </c>
      <c r="S6196" s="13">
        <v>0</v>
      </c>
    </row>
    <row r="6197" spans="18:19" x14ac:dyDescent="0.25">
      <c r="R6197" s="13">
        <v>6124</v>
      </c>
      <c r="S6197" s="13">
        <v>0</v>
      </c>
    </row>
    <row r="6198" spans="18:19" x14ac:dyDescent="0.25">
      <c r="R6198" s="13">
        <v>6125</v>
      </c>
      <c r="S6198" s="13">
        <v>0</v>
      </c>
    </row>
    <row r="6199" spans="18:19" x14ac:dyDescent="0.25">
      <c r="R6199" s="13">
        <v>6126</v>
      </c>
      <c r="S6199" s="13">
        <v>285791502.62685966</v>
      </c>
    </row>
    <row r="6200" spans="18:19" x14ac:dyDescent="0.25">
      <c r="R6200" s="13">
        <v>6127</v>
      </c>
      <c r="S6200" s="13">
        <v>0</v>
      </c>
    </row>
    <row r="6201" spans="18:19" x14ac:dyDescent="0.25">
      <c r="R6201" s="13">
        <v>6128</v>
      </c>
      <c r="S6201" s="13">
        <v>0</v>
      </c>
    </row>
    <row r="6202" spans="18:19" x14ac:dyDescent="0.25">
      <c r="R6202" s="13">
        <v>6129</v>
      </c>
      <c r="S6202" s="13">
        <v>0</v>
      </c>
    </row>
    <row r="6203" spans="18:19" x14ac:dyDescent="0.25">
      <c r="R6203" s="13">
        <v>6130</v>
      </c>
      <c r="S6203" s="13">
        <v>0</v>
      </c>
    </row>
    <row r="6204" spans="18:19" x14ac:dyDescent="0.25">
      <c r="R6204" s="13">
        <v>6131</v>
      </c>
      <c r="S6204" s="13">
        <v>0</v>
      </c>
    </row>
    <row r="6205" spans="18:19" x14ac:dyDescent="0.25">
      <c r="R6205" s="13">
        <v>6132</v>
      </c>
      <c r="S6205" s="13">
        <v>0</v>
      </c>
    </row>
    <row r="6206" spans="18:19" x14ac:dyDescent="0.25">
      <c r="R6206" s="13">
        <v>6133</v>
      </c>
      <c r="S6206" s="13">
        <v>495131227.99175072</v>
      </c>
    </row>
    <row r="6207" spans="18:19" x14ac:dyDescent="0.25">
      <c r="R6207" s="13">
        <v>6134</v>
      </c>
      <c r="S6207" s="13">
        <v>0</v>
      </c>
    </row>
    <row r="6208" spans="18:19" x14ac:dyDescent="0.25">
      <c r="R6208" s="13">
        <v>6135</v>
      </c>
      <c r="S6208" s="13">
        <v>892007981.12372398</v>
      </c>
    </row>
    <row r="6209" spans="18:19" x14ac:dyDescent="0.25">
      <c r="R6209" s="13">
        <v>6136</v>
      </c>
      <c r="S6209" s="13">
        <v>0</v>
      </c>
    </row>
    <row r="6210" spans="18:19" x14ac:dyDescent="0.25">
      <c r="R6210" s="13">
        <v>6137</v>
      </c>
      <c r="S6210" s="13">
        <v>0</v>
      </c>
    </row>
    <row r="6211" spans="18:19" x14ac:dyDescent="0.25">
      <c r="R6211" s="13">
        <v>6138</v>
      </c>
      <c r="S6211" s="13">
        <v>0</v>
      </c>
    </row>
    <row r="6212" spans="18:19" x14ac:dyDescent="0.25">
      <c r="R6212" s="13">
        <v>6139</v>
      </c>
      <c r="S6212" s="13">
        <v>0</v>
      </c>
    </row>
    <row r="6213" spans="18:19" x14ac:dyDescent="0.25">
      <c r="R6213" s="13">
        <v>6140</v>
      </c>
      <c r="S6213" s="13">
        <v>0</v>
      </c>
    </row>
    <row r="6214" spans="18:19" x14ac:dyDescent="0.25">
      <c r="R6214" s="13">
        <v>6141</v>
      </c>
      <c r="S6214" s="13">
        <v>110611325.61983681</v>
      </c>
    </row>
    <row r="6215" spans="18:19" x14ac:dyDescent="0.25">
      <c r="R6215" s="13">
        <v>6142</v>
      </c>
      <c r="S6215" s="13">
        <v>0</v>
      </c>
    </row>
    <row r="6216" spans="18:19" x14ac:dyDescent="0.25">
      <c r="R6216" s="13">
        <v>6143</v>
      </c>
      <c r="S6216" s="13">
        <v>406375680.25067139</v>
      </c>
    </row>
    <row r="6217" spans="18:19" x14ac:dyDescent="0.25">
      <c r="R6217" s="13">
        <v>6144</v>
      </c>
      <c r="S6217" s="13">
        <v>0</v>
      </c>
    </row>
    <row r="6218" spans="18:19" x14ac:dyDescent="0.25">
      <c r="R6218" s="13">
        <v>6145</v>
      </c>
      <c r="S6218" s="13">
        <v>0</v>
      </c>
    </row>
    <row r="6219" spans="18:19" x14ac:dyDescent="0.25">
      <c r="R6219" s="13">
        <v>6146</v>
      </c>
      <c r="S6219" s="13">
        <v>0</v>
      </c>
    </row>
    <row r="6220" spans="18:19" x14ac:dyDescent="0.25">
      <c r="R6220" s="13">
        <v>6147</v>
      </c>
      <c r="S6220" s="13">
        <v>140792493.01788521</v>
      </c>
    </row>
    <row r="6221" spans="18:19" x14ac:dyDescent="0.25">
      <c r="R6221" s="13">
        <v>6148</v>
      </c>
      <c r="S6221" s="13">
        <v>0</v>
      </c>
    </row>
    <row r="6222" spans="18:19" x14ac:dyDescent="0.25">
      <c r="R6222" s="13">
        <v>6149</v>
      </c>
      <c r="S6222" s="13">
        <v>194600089.84858704</v>
      </c>
    </row>
    <row r="6223" spans="18:19" x14ac:dyDescent="0.25">
      <c r="R6223" s="13">
        <v>6150</v>
      </c>
      <c r="S6223" s="13">
        <v>0</v>
      </c>
    </row>
    <row r="6224" spans="18:19" x14ac:dyDescent="0.25">
      <c r="R6224" s="13">
        <v>6151</v>
      </c>
      <c r="S6224" s="13">
        <v>0</v>
      </c>
    </row>
    <row r="6225" spans="18:19" x14ac:dyDescent="0.25">
      <c r="R6225" s="13">
        <v>6152</v>
      </c>
      <c r="S6225" s="13">
        <v>0</v>
      </c>
    </row>
    <row r="6226" spans="18:19" x14ac:dyDescent="0.25">
      <c r="R6226" s="13">
        <v>6153</v>
      </c>
      <c r="S6226" s="13">
        <v>0</v>
      </c>
    </row>
    <row r="6227" spans="18:19" x14ac:dyDescent="0.25">
      <c r="R6227" s="13">
        <v>6154</v>
      </c>
      <c r="S6227" s="13">
        <v>0</v>
      </c>
    </row>
    <row r="6228" spans="18:19" x14ac:dyDescent="0.25">
      <c r="R6228" s="13">
        <v>6155</v>
      </c>
      <c r="S6228" s="13">
        <v>0</v>
      </c>
    </row>
    <row r="6229" spans="18:19" x14ac:dyDescent="0.25">
      <c r="R6229" s="13">
        <v>6156</v>
      </c>
      <c r="S6229" s="13">
        <v>0</v>
      </c>
    </row>
    <row r="6230" spans="18:19" x14ac:dyDescent="0.25">
      <c r="R6230" s="13">
        <v>6157</v>
      </c>
      <c r="S6230" s="13">
        <v>0</v>
      </c>
    </row>
    <row r="6231" spans="18:19" x14ac:dyDescent="0.25">
      <c r="R6231" s="13">
        <v>6158</v>
      </c>
      <c r="S6231" s="13">
        <v>0</v>
      </c>
    </row>
    <row r="6232" spans="18:19" x14ac:dyDescent="0.25">
      <c r="R6232" s="13">
        <v>6159</v>
      </c>
      <c r="S6232" s="13">
        <v>0</v>
      </c>
    </row>
    <row r="6233" spans="18:19" x14ac:dyDescent="0.25">
      <c r="R6233" s="13">
        <v>6160</v>
      </c>
      <c r="S6233" s="13">
        <v>0</v>
      </c>
    </row>
    <row r="6234" spans="18:19" x14ac:dyDescent="0.25">
      <c r="R6234" s="13">
        <v>6161</v>
      </c>
      <c r="S6234" s="13">
        <v>917923951.03324509</v>
      </c>
    </row>
    <row r="6235" spans="18:19" x14ac:dyDescent="0.25">
      <c r="R6235" s="13">
        <v>6162</v>
      </c>
      <c r="S6235" s="13">
        <v>0</v>
      </c>
    </row>
    <row r="6236" spans="18:19" x14ac:dyDescent="0.25">
      <c r="R6236" s="13">
        <v>6163</v>
      </c>
      <c r="S6236" s="13">
        <v>0</v>
      </c>
    </row>
    <row r="6237" spans="18:19" x14ac:dyDescent="0.25">
      <c r="R6237" s="13">
        <v>6164</v>
      </c>
      <c r="S6237" s="13">
        <v>76794141.204212189</v>
      </c>
    </row>
    <row r="6238" spans="18:19" x14ac:dyDescent="0.25">
      <c r="R6238" s="13">
        <v>6165</v>
      </c>
      <c r="S6238" s="13">
        <v>0</v>
      </c>
    </row>
    <row r="6239" spans="18:19" x14ac:dyDescent="0.25">
      <c r="R6239" s="13">
        <v>6166</v>
      </c>
      <c r="S6239" s="13">
        <v>333575617.48949814</v>
      </c>
    </row>
    <row r="6240" spans="18:19" x14ac:dyDescent="0.25">
      <c r="R6240" s="13">
        <v>6167</v>
      </c>
      <c r="S6240" s="13">
        <v>0</v>
      </c>
    </row>
    <row r="6241" spans="18:19" x14ac:dyDescent="0.25">
      <c r="R6241" s="13">
        <v>6168</v>
      </c>
      <c r="S6241" s="13">
        <v>0</v>
      </c>
    </row>
    <row r="6242" spans="18:19" x14ac:dyDescent="0.25">
      <c r="R6242" s="13">
        <v>6169</v>
      </c>
      <c r="S6242" s="13">
        <v>119618719.72726059</v>
      </c>
    </row>
    <row r="6243" spans="18:19" x14ac:dyDescent="0.25">
      <c r="R6243" s="13">
        <v>6170</v>
      </c>
      <c r="S6243" s="13">
        <v>0</v>
      </c>
    </row>
    <row r="6244" spans="18:19" x14ac:dyDescent="0.25">
      <c r="R6244" s="13">
        <v>6171</v>
      </c>
      <c r="S6244" s="13">
        <v>0</v>
      </c>
    </row>
    <row r="6245" spans="18:19" x14ac:dyDescent="0.25">
      <c r="R6245" s="13">
        <v>6172</v>
      </c>
      <c r="S6245" s="13">
        <v>0</v>
      </c>
    </row>
    <row r="6246" spans="18:19" x14ac:dyDescent="0.25">
      <c r="R6246" s="13">
        <v>6173</v>
      </c>
      <c r="S6246" s="13">
        <v>570527271.78751945</v>
      </c>
    </row>
    <row r="6247" spans="18:19" x14ac:dyDescent="0.25">
      <c r="R6247" s="13">
        <v>6174</v>
      </c>
      <c r="S6247" s="13">
        <v>0</v>
      </c>
    </row>
    <row r="6248" spans="18:19" x14ac:dyDescent="0.25">
      <c r="R6248" s="13">
        <v>6175</v>
      </c>
      <c r="S6248" s="13">
        <v>343854610.23615265</v>
      </c>
    </row>
    <row r="6249" spans="18:19" x14ac:dyDescent="0.25">
      <c r="R6249" s="13">
        <v>6176</v>
      </c>
      <c r="S6249" s="13">
        <v>0</v>
      </c>
    </row>
    <row r="6250" spans="18:19" x14ac:dyDescent="0.25">
      <c r="R6250" s="13">
        <v>6177</v>
      </c>
      <c r="S6250" s="13">
        <v>106343325.11790657</v>
      </c>
    </row>
    <row r="6251" spans="18:19" x14ac:dyDescent="0.25">
      <c r="R6251" s="13">
        <v>6178</v>
      </c>
      <c r="S6251" s="13">
        <v>0</v>
      </c>
    </row>
    <row r="6252" spans="18:19" x14ac:dyDescent="0.25">
      <c r="R6252" s="13">
        <v>6179</v>
      </c>
      <c r="S6252" s="13">
        <v>0</v>
      </c>
    </row>
    <row r="6253" spans="18:19" x14ac:dyDescent="0.25">
      <c r="R6253" s="13">
        <v>6180</v>
      </c>
      <c r="S6253" s="13">
        <v>0</v>
      </c>
    </row>
    <row r="6254" spans="18:19" x14ac:dyDescent="0.25">
      <c r="R6254" s="13">
        <v>6181</v>
      </c>
      <c r="S6254" s="13">
        <v>0</v>
      </c>
    </row>
    <row r="6255" spans="18:19" x14ac:dyDescent="0.25">
      <c r="R6255" s="13">
        <v>6182</v>
      </c>
      <c r="S6255" s="13">
        <v>0</v>
      </c>
    </row>
    <row r="6256" spans="18:19" x14ac:dyDescent="0.25">
      <c r="R6256" s="13">
        <v>6183</v>
      </c>
      <c r="S6256" s="13">
        <v>0</v>
      </c>
    </row>
    <row r="6257" spans="18:19" x14ac:dyDescent="0.25">
      <c r="R6257" s="13">
        <v>6184</v>
      </c>
      <c r="S6257" s="13">
        <v>0</v>
      </c>
    </row>
    <row r="6258" spans="18:19" x14ac:dyDescent="0.25">
      <c r="R6258" s="13">
        <v>6185</v>
      </c>
      <c r="S6258" s="13">
        <v>1946016694.0822315</v>
      </c>
    </row>
    <row r="6259" spans="18:19" x14ac:dyDescent="0.25">
      <c r="R6259" s="13">
        <v>6186</v>
      </c>
      <c r="S6259" s="13">
        <v>0</v>
      </c>
    </row>
    <row r="6260" spans="18:19" x14ac:dyDescent="0.25">
      <c r="R6260" s="13">
        <v>6187</v>
      </c>
      <c r="S6260" s="13">
        <v>62447963.712278366</v>
      </c>
    </row>
    <row r="6261" spans="18:19" x14ac:dyDescent="0.25">
      <c r="R6261" s="13">
        <v>6188</v>
      </c>
      <c r="S6261" s="13">
        <v>40709591.478630066</v>
      </c>
    </row>
    <row r="6262" spans="18:19" x14ac:dyDescent="0.25">
      <c r="R6262" s="13">
        <v>6189</v>
      </c>
      <c r="S6262" s="13">
        <v>347734916.82709885</v>
      </c>
    </row>
    <row r="6263" spans="18:19" x14ac:dyDescent="0.25">
      <c r="R6263" s="13">
        <v>6190</v>
      </c>
      <c r="S6263" s="13">
        <v>0</v>
      </c>
    </row>
    <row r="6264" spans="18:19" x14ac:dyDescent="0.25">
      <c r="R6264" s="13">
        <v>6191</v>
      </c>
      <c r="S6264" s="13">
        <v>0</v>
      </c>
    </row>
    <row r="6265" spans="18:19" x14ac:dyDescent="0.25">
      <c r="R6265" s="13">
        <v>6192</v>
      </c>
      <c r="S6265" s="13">
        <v>0</v>
      </c>
    </row>
    <row r="6266" spans="18:19" x14ac:dyDescent="0.25">
      <c r="R6266" s="13">
        <v>6193</v>
      </c>
      <c r="S6266" s="13">
        <v>72798089.98290062</v>
      </c>
    </row>
    <row r="6267" spans="18:19" x14ac:dyDescent="0.25">
      <c r="R6267" s="13">
        <v>6194</v>
      </c>
      <c r="S6267" s="13">
        <v>0</v>
      </c>
    </row>
    <row r="6268" spans="18:19" x14ac:dyDescent="0.25">
      <c r="R6268" s="13">
        <v>6195</v>
      </c>
      <c r="S6268" s="13">
        <v>0</v>
      </c>
    </row>
    <row r="6269" spans="18:19" x14ac:dyDescent="0.25">
      <c r="R6269" s="13">
        <v>6196</v>
      </c>
      <c r="S6269" s="13">
        <v>0</v>
      </c>
    </row>
    <row r="6270" spans="18:19" x14ac:dyDescent="0.25">
      <c r="R6270" s="13">
        <v>6197</v>
      </c>
      <c r="S6270" s="13">
        <v>0</v>
      </c>
    </row>
    <row r="6271" spans="18:19" x14ac:dyDescent="0.25">
      <c r="R6271" s="13">
        <v>6198</v>
      </c>
      <c r="S6271" s="13">
        <v>0</v>
      </c>
    </row>
    <row r="6272" spans="18:19" x14ac:dyDescent="0.25">
      <c r="R6272" s="13">
        <v>6199</v>
      </c>
      <c r="S6272" s="13">
        <v>0</v>
      </c>
    </row>
    <row r="6273" spans="18:19" x14ac:dyDescent="0.25">
      <c r="R6273" s="13">
        <v>6200</v>
      </c>
      <c r="S6273" s="13">
        <v>117046705.51239014</v>
      </c>
    </row>
    <row r="6274" spans="18:19" x14ac:dyDescent="0.25">
      <c r="R6274" s="13">
        <v>6201</v>
      </c>
      <c r="S6274" s="13">
        <v>0</v>
      </c>
    </row>
    <row r="6275" spans="18:19" x14ac:dyDescent="0.25">
      <c r="R6275" s="13">
        <v>6202</v>
      </c>
      <c r="S6275" s="13">
        <v>0</v>
      </c>
    </row>
    <row r="6276" spans="18:19" x14ac:dyDescent="0.25">
      <c r="R6276" s="13">
        <v>6203</v>
      </c>
      <c r="S6276" s="13">
        <v>0</v>
      </c>
    </row>
    <row r="6277" spans="18:19" x14ac:dyDescent="0.25">
      <c r="R6277" s="13">
        <v>6204</v>
      </c>
      <c r="S6277" s="13">
        <v>0</v>
      </c>
    </row>
    <row r="6278" spans="18:19" x14ac:dyDescent="0.25">
      <c r="R6278" s="13">
        <v>6205</v>
      </c>
      <c r="S6278" s="13">
        <v>0</v>
      </c>
    </row>
    <row r="6279" spans="18:19" x14ac:dyDescent="0.25">
      <c r="R6279" s="13">
        <v>6206</v>
      </c>
      <c r="S6279" s="13">
        <v>0</v>
      </c>
    </row>
    <row r="6280" spans="18:19" x14ac:dyDescent="0.25">
      <c r="R6280" s="13">
        <v>6207</v>
      </c>
      <c r="S6280" s="13">
        <v>0</v>
      </c>
    </row>
    <row r="6281" spans="18:19" x14ac:dyDescent="0.25">
      <c r="R6281" s="13">
        <v>6208</v>
      </c>
      <c r="S6281" s="13">
        <v>0</v>
      </c>
    </row>
    <row r="6282" spans="18:19" x14ac:dyDescent="0.25">
      <c r="R6282" s="13">
        <v>6209</v>
      </c>
      <c r="S6282" s="13">
        <v>0</v>
      </c>
    </row>
    <row r="6283" spans="18:19" x14ac:dyDescent="0.25">
      <c r="R6283" s="13">
        <v>6210</v>
      </c>
      <c r="S6283" s="13">
        <v>721044172.36688614</v>
      </c>
    </row>
    <row r="6284" spans="18:19" x14ac:dyDescent="0.25">
      <c r="R6284" s="13">
        <v>6211</v>
      </c>
      <c r="S6284" s="13">
        <v>0</v>
      </c>
    </row>
    <row r="6285" spans="18:19" x14ac:dyDescent="0.25">
      <c r="R6285" s="13">
        <v>6212</v>
      </c>
      <c r="S6285" s="13">
        <v>0</v>
      </c>
    </row>
    <row r="6286" spans="18:19" x14ac:dyDescent="0.25">
      <c r="R6286" s="13">
        <v>6213</v>
      </c>
      <c r="S6286" s="13">
        <v>0</v>
      </c>
    </row>
    <row r="6287" spans="18:19" x14ac:dyDescent="0.25">
      <c r="R6287" s="13">
        <v>6214</v>
      </c>
      <c r="S6287" s="13">
        <v>0</v>
      </c>
    </row>
    <row r="6288" spans="18:19" x14ac:dyDescent="0.25">
      <c r="R6288" s="13">
        <v>6215</v>
      </c>
      <c r="S6288" s="13">
        <v>0</v>
      </c>
    </row>
    <row r="6289" spans="18:19" x14ac:dyDescent="0.25">
      <c r="R6289" s="13">
        <v>6216</v>
      </c>
      <c r="S6289" s="13">
        <v>0</v>
      </c>
    </row>
    <row r="6290" spans="18:19" x14ac:dyDescent="0.25">
      <c r="R6290" s="13">
        <v>6217</v>
      </c>
      <c r="S6290" s="13">
        <v>242380763.3555603</v>
      </c>
    </row>
    <row r="6291" spans="18:19" x14ac:dyDescent="0.25">
      <c r="R6291" s="13">
        <v>6218</v>
      </c>
      <c r="S6291" s="13">
        <v>0</v>
      </c>
    </row>
    <row r="6292" spans="18:19" x14ac:dyDescent="0.25">
      <c r="R6292" s="13">
        <v>6219</v>
      </c>
      <c r="S6292" s="13">
        <v>0</v>
      </c>
    </row>
    <row r="6293" spans="18:19" x14ac:dyDescent="0.25">
      <c r="R6293" s="13">
        <v>6220</v>
      </c>
      <c r="S6293" s="13">
        <v>218835105.92168045</v>
      </c>
    </row>
    <row r="6294" spans="18:19" x14ac:dyDescent="0.25">
      <c r="R6294" s="13">
        <v>6221</v>
      </c>
      <c r="S6294" s="13">
        <v>0</v>
      </c>
    </row>
    <row r="6295" spans="18:19" x14ac:dyDescent="0.25">
      <c r="R6295" s="13">
        <v>6222</v>
      </c>
      <c r="S6295" s="13">
        <v>0</v>
      </c>
    </row>
    <row r="6296" spans="18:19" x14ac:dyDescent="0.25">
      <c r="R6296" s="13">
        <v>6223</v>
      </c>
      <c r="S6296" s="13">
        <v>0</v>
      </c>
    </row>
    <row r="6297" spans="18:19" x14ac:dyDescent="0.25">
      <c r="R6297" s="13">
        <v>6224</v>
      </c>
      <c r="S6297" s="13">
        <v>0</v>
      </c>
    </row>
    <row r="6298" spans="18:19" x14ac:dyDescent="0.25">
      <c r="R6298" s="13">
        <v>6225</v>
      </c>
      <c r="S6298" s="13">
        <v>0</v>
      </c>
    </row>
    <row r="6299" spans="18:19" x14ac:dyDescent="0.25">
      <c r="R6299" s="13">
        <v>6226</v>
      </c>
      <c r="S6299" s="13">
        <v>0</v>
      </c>
    </row>
    <row r="6300" spans="18:19" x14ac:dyDescent="0.25">
      <c r="R6300" s="13">
        <v>6227</v>
      </c>
      <c r="S6300" s="13">
        <v>0</v>
      </c>
    </row>
    <row r="6301" spans="18:19" x14ac:dyDescent="0.25">
      <c r="R6301" s="13">
        <v>6228</v>
      </c>
      <c r="S6301" s="13">
        <v>0</v>
      </c>
    </row>
    <row r="6302" spans="18:19" x14ac:dyDescent="0.25">
      <c r="R6302" s="13">
        <v>6229</v>
      </c>
      <c r="S6302" s="13">
        <v>0</v>
      </c>
    </row>
    <row r="6303" spans="18:19" x14ac:dyDescent="0.25">
      <c r="R6303" s="13">
        <v>6230</v>
      </c>
      <c r="S6303" s="13">
        <v>0</v>
      </c>
    </row>
    <row r="6304" spans="18:19" x14ac:dyDescent="0.25">
      <c r="R6304" s="13">
        <v>6231</v>
      </c>
      <c r="S6304" s="13">
        <v>0</v>
      </c>
    </row>
    <row r="6305" spans="18:19" x14ac:dyDescent="0.25">
      <c r="R6305" s="13">
        <v>6232</v>
      </c>
      <c r="S6305" s="13">
        <v>6376282.6574249268</v>
      </c>
    </row>
    <row r="6306" spans="18:19" x14ac:dyDescent="0.25">
      <c r="R6306" s="13">
        <v>6233</v>
      </c>
      <c r="S6306" s="13">
        <v>0</v>
      </c>
    </row>
    <row r="6307" spans="18:19" x14ac:dyDescent="0.25">
      <c r="R6307" s="13">
        <v>6234</v>
      </c>
      <c r="S6307" s="13">
        <v>0</v>
      </c>
    </row>
    <row r="6308" spans="18:19" x14ac:dyDescent="0.25">
      <c r="R6308" s="13">
        <v>6235</v>
      </c>
      <c r="S6308" s="13">
        <v>0</v>
      </c>
    </row>
    <row r="6309" spans="18:19" x14ac:dyDescent="0.25">
      <c r="R6309" s="13">
        <v>6236</v>
      </c>
      <c r="S6309" s="13">
        <v>0</v>
      </c>
    </row>
    <row r="6310" spans="18:19" x14ac:dyDescent="0.25">
      <c r="R6310" s="13">
        <v>6237</v>
      </c>
      <c r="S6310" s="13">
        <v>473700960.2374897</v>
      </c>
    </row>
    <row r="6311" spans="18:19" x14ac:dyDescent="0.25">
      <c r="R6311" s="13">
        <v>6238</v>
      </c>
      <c r="S6311" s="13">
        <v>0</v>
      </c>
    </row>
    <row r="6312" spans="18:19" x14ac:dyDescent="0.25">
      <c r="R6312" s="13">
        <v>6239</v>
      </c>
      <c r="S6312" s="13">
        <v>0</v>
      </c>
    </row>
    <row r="6313" spans="18:19" x14ac:dyDescent="0.25">
      <c r="R6313" s="13">
        <v>6240</v>
      </c>
      <c r="S6313" s="13">
        <v>0</v>
      </c>
    </row>
    <row r="6314" spans="18:19" x14ac:dyDescent="0.25">
      <c r="R6314" s="13">
        <v>6241</v>
      </c>
      <c r="S6314" s="13">
        <v>696655969.79512024</v>
      </c>
    </row>
    <row r="6315" spans="18:19" x14ac:dyDescent="0.25">
      <c r="R6315" s="13">
        <v>6242</v>
      </c>
      <c r="S6315" s="13">
        <v>0</v>
      </c>
    </row>
    <row r="6316" spans="18:19" x14ac:dyDescent="0.25">
      <c r="R6316" s="13">
        <v>6243</v>
      </c>
      <c r="S6316" s="13">
        <v>0</v>
      </c>
    </row>
    <row r="6317" spans="18:19" x14ac:dyDescent="0.25">
      <c r="R6317" s="13">
        <v>6244</v>
      </c>
      <c r="S6317" s="13">
        <v>0</v>
      </c>
    </row>
    <row r="6318" spans="18:19" x14ac:dyDescent="0.25">
      <c r="R6318" s="13">
        <v>6245</v>
      </c>
      <c r="S6318" s="13">
        <v>0</v>
      </c>
    </row>
    <row r="6319" spans="18:19" x14ac:dyDescent="0.25">
      <c r="R6319" s="13">
        <v>6246</v>
      </c>
      <c r="S6319" s="13">
        <v>0</v>
      </c>
    </row>
    <row r="6320" spans="18:19" x14ac:dyDescent="0.25">
      <c r="R6320" s="13">
        <v>6247</v>
      </c>
      <c r="S6320" s="13">
        <v>0</v>
      </c>
    </row>
    <row r="6321" spans="18:19" x14ac:dyDescent="0.25">
      <c r="R6321" s="13">
        <v>6248</v>
      </c>
      <c r="S6321" s="13">
        <v>0</v>
      </c>
    </row>
    <row r="6322" spans="18:19" x14ac:dyDescent="0.25">
      <c r="R6322" s="13">
        <v>6249</v>
      </c>
      <c r="S6322" s="13">
        <v>421943315.5130558</v>
      </c>
    </row>
    <row r="6323" spans="18:19" x14ac:dyDescent="0.25">
      <c r="R6323" s="13">
        <v>6250</v>
      </c>
      <c r="S6323" s="13">
        <v>0</v>
      </c>
    </row>
    <row r="6324" spans="18:19" x14ac:dyDescent="0.25">
      <c r="R6324" s="13">
        <v>6251</v>
      </c>
      <c r="S6324" s="13">
        <v>0</v>
      </c>
    </row>
    <row r="6325" spans="18:19" x14ac:dyDescent="0.25">
      <c r="R6325" s="13">
        <v>6252</v>
      </c>
      <c r="S6325" s="13">
        <v>0</v>
      </c>
    </row>
    <row r="6326" spans="18:19" x14ac:dyDescent="0.25">
      <c r="R6326" s="13">
        <v>6253</v>
      </c>
      <c r="S6326" s="13">
        <v>0</v>
      </c>
    </row>
    <row r="6327" spans="18:19" x14ac:dyDescent="0.25">
      <c r="R6327" s="13">
        <v>6254</v>
      </c>
      <c r="S6327" s="13">
        <v>463559747.95983505</v>
      </c>
    </row>
    <row r="6328" spans="18:19" x14ac:dyDescent="0.25">
      <c r="R6328" s="13">
        <v>6255</v>
      </c>
      <c r="S6328" s="13">
        <v>0</v>
      </c>
    </row>
    <row r="6329" spans="18:19" x14ac:dyDescent="0.25">
      <c r="R6329" s="13">
        <v>6256</v>
      </c>
      <c r="S6329" s="13">
        <v>0</v>
      </c>
    </row>
    <row r="6330" spans="18:19" x14ac:dyDescent="0.25">
      <c r="R6330" s="13">
        <v>6257</v>
      </c>
      <c r="S6330" s="13">
        <v>0</v>
      </c>
    </row>
    <row r="6331" spans="18:19" x14ac:dyDescent="0.25">
      <c r="R6331" s="13">
        <v>6258</v>
      </c>
      <c r="S6331" s="13">
        <v>0</v>
      </c>
    </row>
    <row r="6332" spans="18:19" x14ac:dyDescent="0.25">
      <c r="R6332" s="13">
        <v>6259</v>
      </c>
      <c r="S6332" s="13">
        <v>227217977.76378822</v>
      </c>
    </row>
    <row r="6333" spans="18:19" x14ac:dyDescent="0.25">
      <c r="R6333" s="13">
        <v>6260</v>
      </c>
      <c r="S6333" s="13">
        <v>0</v>
      </c>
    </row>
    <row r="6334" spans="18:19" x14ac:dyDescent="0.25">
      <c r="R6334" s="13">
        <v>6261</v>
      </c>
      <c r="S6334" s="13">
        <v>0</v>
      </c>
    </row>
    <row r="6335" spans="18:19" x14ac:dyDescent="0.25">
      <c r="R6335" s="13">
        <v>6262</v>
      </c>
      <c r="S6335" s="13">
        <v>0</v>
      </c>
    </row>
    <row r="6336" spans="18:19" x14ac:dyDescent="0.25">
      <c r="R6336" s="13">
        <v>6263</v>
      </c>
      <c r="S6336" s="13">
        <v>513698191.37854004</v>
      </c>
    </row>
    <row r="6337" spans="18:19" x14ac:dyDescent="0.25">
      <c r="R6337" s="13">
        <v>6264</v>
      </c>
      <c r="S6337" s="13">
        <v>0</v>
      </c>
    </row>
    <row r="6338" spans="18:19" x14ac:dyDescent="0.25">
      <c r="R6338" s="13">
        <v>6265</v>
      </c>
      <c r="S6338" s="13">
        <v>0</v>
      </c>
    </row>
    <row r="6339" spans="18:19" x14ac:dyDescent="0.25">
      <c r="R6339" s="13">
        <v>6266</v>
      </c>
      <c r="S6339" s="13">
        <v>551099169.90267754</v>
      </c>
    </row>
    <row r="6340" spans="18:19" x14ac:dyDescent="0.25">
      <c r="R6340" s="13">
        <v>6267</v>
      </c>
      <c r="S6340" s="13">
        <v>0</v>
      </c>
    </row>
    <row r="6341" spans="18:19" x14ac:dyDescent="0.25">
      <c r="R6341" s="13">
        <v>6268</v>
      </c>
      <c r="S6341" s="13">
        <v>0</v>
      </c>
    </row>
    <row r="6342" spans="18:19" x14ac:dyDescent="0.25">
      <c r="R6342" s="13">
        <v>6269</v>
      </c>
      <c r="S6342" s="13">
        <v>0</v>
      </c>
    </row>
    <row r="6343" spans="18:19" x14ac:dyDescent="0.25">
      <c r="R6343" s="13">
        <v>6270</v>
      </c>
      <c r="S6343" s="13">
        <v>0</v>
      </c>
    </row>
    <row r="6344" spans="18:19" x14ac:dyDescent="0.25">
      <c r="R6344" s="13">
        <v>6271</v>
      </c>
      <c r="S6344" s="13">
        <v>0</v>
      </c>
    </row>
    <row r="6345" spans="18:19" x14ac:dyDescent="0.25">
      <c r="R6345" s="13">
        <v>6272</v>
      </c>
      <c r="S6345" s="13">
        <v>0</v>
      </c>
    </row>
    <row r="6346" spans="18:19" x14ac:dyDescent="0.25">
      <c r="R6346" s="13">
        <v>6273</v>
      </c>
      <c r="S6346" s="13">
        <v>175763809.5631485</v>
      </c>
    </row>
    <row r="6347" spans="18:19" x14ac:dyDescent="0.25">
      <c r="R6347" s="13">
        <v>6274</v>
      </c>
      <c r="S6347" s="13">
        <v>169911904.57975388</v>
      </c>
    </row>
    <row r="6348" spans="18:19" x14ac:dyDescent="0.25">
      <c r="R6348" s="13">
        <v>6275</v>
      </c>
      <c r="S6348" s="13">
        <v>0</v>
      </c>
    </row>
    <row r="6349" spans="18:19" x14ac:dyDescent="0.25">
      <c r="R6349" s="13">
        <v>6276</v>
      </c>
      <c r="S6349" s="13">
        <v>0</v>
      </c>
    </row>
    <row r="6350" spans="18:19" x14ac:dyDescent="0.25">
      <c r="R6350" s="13">
        <v>6277</v>
      </c>
      <c r="S6350" s="13">
        <v>0</v>
      </c>
    </row>
    <row r="6351" spans="18:19" x14ac:dyDescent="0.25">
      <c r="R6351" s="13">
        <v>6278</v>
      </c>
      <c r="S6351" s="13">
        <v>0</v>
      </c>
    </row>
    <row r="6352" spans="18:19" x14ac:dyDescent="0.25">
      <c r="R6352" s="13">
        <v>6279</v>
      </c>
      <c r="S6352" s="13">
        <v>0</v>
      </c>
    </row>
    <row r="6353" spans="18:19" x14ac:dyDescent="0.25">
      <c r="R6353" s="13">
        <v>6280</v>
      </c>
      <c r="S6353" s="13">
        <v>0</v>
      </c>
    </row>
    <row r="6354" spans="18:19" x14ac:dyDescent="0.25">
      <c r="R6354" s="13">
        <v>6281</v>
      </c>
      <c r="S6354" s="13">
        <v>0</v>
      </c>
    </row>
    <row r="6355" spans="18:19" x14ac:dyDescent="0.25">
      <c r="R6355" s="13">
        <v>6282</v>
      </c>
      <c r="S6355" s="13">
        <v>285116553.19641495</v>
      </c>
    </row>
    <row r="6356" spans="18:19" x14ac:dyDescent="0.25">
      <c r="R6356" s="13">
        <v>6283</v>
      </c>
      <c r="S6356" s="13">
        <v>0</v>
      </c>
    </row>
    <row r="6357" spans="18:19" x14ac:dyDescent="0.25">
      <c r="R6357" s="13">
        <v>6284</v>
      </c>
      <c r="S6357" s="13">
        <v>0</v>
      </c>
    </row>
    <row r="6358" spans="18:19" x14ac:dyDescent="0.25">
      <c r="R6358" s="13">
        <v>6285</v>
      </c>
      <c r="S6358" s="13">
        <v>0</v>
      </c>
    </row>
    <row r="6359" spans="18:19" x14ac:dyDescent="0.25">
      <c r="R6359" s="13">
        <v>6286</v>
      </c>
      <c r="S6359" s="13">
        <v>0</v>
      </c>
    </row>
    <row r="6360" spans="18:19" x14ac:dyDescent="0.25">
      <c r="R6360" s="13">
        <v>6287</v>
      </c>
      <c r="S6360" s="13">
        <v>259987330.51453209</v>
      </c>
    </row>
    <row r="6361" spans="18:19" x14ac:dyDescent="0.25">
      <c r="R6361" s="13">
        <v>6288</v>
      </c>
      <c r="S6361" s="13">
        <v>0</v>
      </c>
    </row>
    <row r="6362" spans="18:19" x14ac:dyDescent="0.25">
      <c r="R6362" s="13">
        <v>6289</v>
      </c>
      <c r="S6362" s="13">
        <v>0</v>
      </c>
    </row>
    <row r="6363" spans="18:19" x14ac:dyDescent="0.25">
      <c r="R6363" s="13">
        <v>6290</v>
      </c>
      <c r="S6363" s="13">
        <v>0</v>
      </c>
    </row>
    <row r="6364" spans="18:19" x14ac:dyDescent="0.25">
      <c r="R6364" s="13">
        <v>6291</v>
      </c>
      <c r="S6364" s="13">
        <v>0</v>
      </c>
    </row>
    <row r="6365" spans="18:19" x14ac:dyDescent="0.25">
      <c r="R6365" s="13">
        <v>6292</v>
      </c>
      <c r="S6365" s="13">
        <v>0</v>
      </c>
    </row>
    <row r="6366" spans="18:19" x14ac:dyDescent="0.25">
      <c r="R6366" s="13">
        <v>6293</v>
      </c>
      <c r="S6366" s="13">
        <v>0</v>
      </c>
    </row>
    <row r="6367" spans="18:19" x14ac:dyDescent="0.25">
      <c r="R6367" s="13">
        <v>6294</v>
      </c>
      <c r="S6367" s="13">
        <v>0</v>
      </c>
    </row>
    <row r="6368" spans="18:19" x14ac:dyDescent="0.25">
      <c r="R6368" s="13">
        <v>6295</v>
      </c>
      <c r="S6368" s="13">
        <v>0</v>
      </c>
    </row>
    <row r="6369" spans="18:19" x14ac:dyDescent="0.25">
      <c r="R6369" s="13">
        <v>6296</v>
      </c>
      <c r="S6369" s="13">
        <v>0</v>
      </c>
    </row>
    <row r="6370" spans="18:19" x14ac:dyDescent="0.25">
      <c r="R6370" s="13">
        <v>6297</v>
      </c>
      <c r="S6370" s="13">
        <v>0</v>
      </c>
    </row>
    <row r="6371" spans="18:19" x14ac:dyDescent="0.25">
      <c r="R6371" s="13">
        <v>6298</v>
      </c>
      <c r="S6371" s="13">
        <v>388793995.2006321</v>
      </c>
    </row>
    <row r="6372" spans="18:19" x14ac:dyDescent="0.25">
      <c r="R6372" s="13">
        <v>6299</v>
      </c>
      <c r="S6372" s="13">
        <v>0</v>
      </c>
    </row>
    <row r="6373" spans="18:19" x14ac:dyDescent="0.25">
      <c r="R6373" s="13">
        <v>6300</v>
      </c>
      <c r="S6373" s="13">
        <v>0</v>
      </c>
    </row>
    <row r="6374" spans="18:19" x14ac:dyDescent="0.25">
      <c r="R6374" s="13">
        <v>6301</v>
      </c>
      <c r="S6374" s="13">
        <v>0</v>
      </c>
    </row>
    <row r="6375" spans="18:19" x14ac:dyDescent="0.25">
      <c r="R6375" s="13">
        <v>6302</v>
      </c>
      <c r="S6375" s="13">
        <v>570708128.21286201</v>
      </c>
    </row>
    <row r="6376" spans="18:19" x14ac:dyDescent="0.25">
      <c r="R6376" s="13">
        <v>6303</v>
      </c>
      <c r="S6376" s="13">
        <v>0</v>
      </c>
    </row>
    <row r="6377" spans="18:19" x14ac:dyDescent="0.25">
      <c r="R6377" s="13">
        <v>6304</v>
      </c>
      <c r="S6377" s="13">
        <v>0</v>
      </c>
    </row>
    <row r="6378" spans="18:19" x14ac:dyDescent="0.25">
      <c r="R6378" s="13">
        <v>6305</v>
      </c>
      <c r="S6378" s="13">
        <v>0</v>
      </c>
    </row>
    <row r="6379" spans="18:19" x14ac:dyDescent="0.25">
      <c r="R6379" s="13">
        <v>6306</v>
      </c>
      <c r="S6379" s="13">
        <v>0</v>
      </c>
    </row>
    <row r="6380" spans="18:19" x14ac:dyDescent="0.25">
      <c r="R6380" s="13">
        <v>6307</v>
      </c>
      <c r="S6380" s="13">
        <v>0</v>
      </c>
    </row>
    <row r="6381" spans="18:19" x14ac:dyDescent="0.25">
      <c r="R6381" s="13">
        <v>6308</v>
      </c>
      <c r="S6381" s="13">
        <v>0</v>
      </c>
    </row>
    <row r="6382" spans="18:19" x14ac:dyDescent="0.25">
      <c r="R6382" s="13">
        <v>6309</v>
      </c>
      <c r="S6382" s="13">
        <v>409605665.26926231</v>
      </c>
    </row>
    <row r="6383" spans="18:19" x14ac:dyDescent="0.25">
      <c r="R6383" s="13">
        <v>6310</v>
      </c>
      <c r="S6383" s="13">
        <v>0</v>
      </c>
    </row>
    <row r="6384" spans="18:19" x14ac:dyDescent="0.25">
      <c r="R6384" s="13">
        <v>6311</v>
      </c>
      <c r="S6384" s="13">
        <v>0</v>
      </c>
    </row>
    <row r="6385" spans="18:19" x14ac:dyDescent="0.25">
      <c r="R6385" s="13">
        <v>6312</v>
      </c>
      <c r="S6385" s="13">
        <v>0</v>
      </c>
    </row>
    <row r="6386" spans="18:19" x14ac:dyDescent="0.25">
      <c r="R6386" s="13">
        <v>6313</v>
      </c>
      <c r="S6386" s="13">
        <v>0</v>
      </c>
    </row>
    <row r="6387" spans="18:19" x14ac:dyDescent="0.25">
      <c r="R6387" s="13">
        <v>6314</v>
      </c>
      <c r="S6387" s="13">
        <v>523520369.20352554</v>
      </c>
    </row>
    <row r="6388" spans="18:19" x14ac:dyDescent="0.25">
      <c r="R6388" s="13">
        <v>6315</v>
      </c>
      <c r="S6388" s="13">
        <v>0</v>
      </c>
    </row>
    <row r="6389" spans="18:19" x14ac:dyDescent="0.25">
      <c r="R6389" s="13">
        <v>6316</v>
      </c>
      <c r="S6389" s="13">
        <v>874559059.23712158</v>
      </c>
    </row>
    <row r="6390" spans="18:19" x14ac:dyDescent="0.25">
      <c r="R6390" s="13">
        <v>6317</v>
      </c>
      <c r="S6390" s="13">
        <v>0</v>
      </c>
    </row>
    <row r="6391" spans="18:19" x14ac:dyDescent="0.25">
      <c r="R6391" s="13">
        <v>6318</v>
      </c>
      <c r="S6391" s="13">
        <v>799080633.42798233</v>
      </c>
    </row>
    <row r="6392" spans="18:19" x14ac:dyDescent="0.25">
      <c r="R6392" s="13">
        <v>6319</v>
      </c>
      <c r="S6392" s="13">
        <v>0</v>
      </c>
    </row>
    <row r="6393" spans="18:19" x14ac:dyDescent="0.25">
      <c r="R6393" s="13">
        <v>6320</v>
      </c>
      <c r="S6393" s="13">
        <v>0</v>
      </c>
    </row>
    <row r="6394" spans="18:19" x14ac:dyDescent="0.25">
      <c r="R6394" s="13">
        <v>6321</v>
      </c>
      <c r="S6394" s="13">
        <v>0</v>
      </c>
    </row>
    <row r="6395" spans="18:19" x14ac:dyDescent="0.25">
      <c r="R6395" s="13">
        <v>6322</v>
      </c>
      <c r="S6395" s="13">
        <v>442228111.52648926</v>
      </c>
    </row>
    <row r="6396" spans="18:19" x14ac:dyDescent="0.25">
      <c r="R6396" s="13">
        <v>6323</v>
      </c>
      <c r="S6396" s="13">
        <v>150258167.85128593</v>
      </c>
    </row>
    <row r="6397" spans="18:19" x14ac:dyDescent="0.25">
      <c r="R6397" s="13">
        <v>6324</v>
      </c>
      <c r="S6397" s="13">
        <v>0</v>
      </c>
    </row>
    <row r="6398" spans="18:19" x14ac:dyDescent="0.25">
      <c r="R6398" s="13">
        <v>6325</v>
      </c>
      <c r="S6398" s="13">
        <v>0</v>
      </c>
    </row>
    <row r="6399" spans="18:19" x14ac:dyDescent="0.25">
      <c r="R6399" s="13">
        <v>6326</v>
      </c>
      <c r="S6399" s="13">
        <v>0</v>
      </c>
    </row>
    <row r="6400" spans="18:19" x14ac:dyDescent="0.25">
      <c r="R6400" s="13">
        <v>6327</v>
      </c>
      <c r="S6400" s="13">
        <v>0</v>
      </c>
    </row>
    <row r="6401" spans="18:19" x14ac:dyDescent="0.25">
      <c r="R6401" s="13">
        <v>6328</v>
      </c>
      <c r="S6401" s="13">
        <v>38804132.757871628</v>
      </c>
    </row>
    <row r="6402" spans="18:19" x14ac:dyDescent="0.25">
      <c r="R6402" s="13">
        <v>6329</v>
      </c>
      <c r="S6402" s="13">
        <v>0</v>
      </c>
    </row>
    <row r="6403" spans="18:19" x14ac:dyDescent="0.25">
      <c r="R6403" s="13">
        <v>6330</v>
      </c>
      <c r="S6403" s="13">
        <v>0</v>
      </c>
    </row>
    <row r="6404" spans="18:19" x14ac:dyDescent="0.25">
      <c r="R6404" s="13">
        <v>6331</v>
      </c>
      <c r="S6404" s="13">
        <v>0</v>
      </c>
    </row>
    <row r="6405" spans="18:19" x14ac:dyDescent="0.25">
      <c r="R6405" s="13">
        <v>6332</v>
      </c>
      <c r="S6405" s="13">
        <v>536688552.94893074</v>
      </c>
    </row>
    <row r="6406" spans="18:19" x14ac:dyDescent="0.25">
      <c r="R6406" s="13">
        <v>6333</v>
      </c>
      <c r="S6406" s="13">
        <v>355851884.11128426</v>
      </c>
    </row>
    <row r="6407" spans="18:19" x14ac:dyDescent="0.25">
      <c r="R6407" s="13">
        <v>6334</v>
      </c>
      <c r="S6407" s="13">
        <v>120230965.45437241</v>
      </c>
    </row>
    <row r="6408" spans="18:19" x14ac:dyDescent="0.25">
      <c r="R6408" s="13">
        <v>6335</v>
      </c>
      <c r="S6408" s="13">
        <v>0</v>
      </c>
    </row>
    <row r="6409" spans="18:19" x14ac:dyDescent="0.25">
      <c r="R6409" s="13">
        <v>6336</v>
      </c>
      <c r="S6409" s="13">
        <v>456381302.58527374</v>
      </c>
    </row>
    <row r="6410" spans="18:19" x14ac:dyDescent="0.25">
      <c r="R6410" s="13">
        <v>6337</v>
      </c>
      <c r="S6410" s="13">
        <v>0</v>
      </c>
    </row>
    <row r="6411" spans="18:19" x14ac:dyDescent="0.25">
      <c r="R6411" s="13">
        <v>6338</v>
      </c>
      <c r="S6411" s="13">
        <v>0</v>
      </c>
    </row>
    <row r="6412" spans="18:19" x14ac:dyDescent="0.25">
      <c r="R6412" s="13">
        <v>6339</v>
      </c>
      <c r="S6412" s="13">
        <v>297260571.53596115</v>
      </c>
    </row>
    <row r="6413" spans="18:19" x14ac:dyDescent="0.25">
      <c r="R6413" s="13">
        <v>6340</v>
      </c>
      <c r="S6413" s="13">
        <v>0</v>
      </c>
    </row>
    <row r="6414" spans="18:19" x14ac:dyDescent="0.25">
      <c r="R6414" s="13">
        <v>6341</v>
      </c>
      <c r="S6414" s="13">
        <v>0</v>
      </c>
    </row>
    <row r="6415" spans="18:19" x14ac:dyDescent="0.25">
      <c r="R6415" s="13">
        <v>6342</v>
      </c>
      <c r="S6415" s="13">
        <v>0</v>
      </c>
    </row>
    <row r="6416" spans="18:19" x14ac:dyDescent="0.25">
      <c r="R6416" s="13">
        <v>6343</v>
      </c>
      <c r="S6416" s="13">
        <v>0</v>
      </c>
    </row>
    <row r="6417" spans="18:19" x14ac:dyDescent="0.25">
      <c r="R6417" s="13">
        <v>6344</v>
      </c>
      <c r="S6417" s="13">
        <v>0</v>
      </c>
    </row>
    <row r="6418" spans="18:19" x14ac:dyDescent="0.25">
      <c r="R6418" s="13">
        <v>6345</v>
      </c>
      <c r="S6418" s="13">
        <v>0</v>
      </c>
    </row>
    <row r="6419" spans="18:19" x14ac:dyDescent="0.25">
      <c r="R6419" s="13">
        <v>6346</v>
      </c>
      <c r="S6419" s="13">
        <v>0</v>
      </c>
    </row>
    <row r="6420" spans="18:19" x14ac:dyDescent="0.25">
      <c r="R6420" s="13">
        <v>6347</v>
      </c>
      <c r="S6420" s="13">
        <v>0</v>
      </c>
    </row>
    <row r="6421" spans="18:19" x14ac:dyDescent="0.25">
      <c r="R6421" s="13">
        <v>6348</v>
      </c>
      <c r="S6421" s="13">
        <v>250519975.93850899</v>
      </c>
    </row>
    <row r="6422" spans="18:19" x14ac:dyDescent="0.25">
      <c r="R6422" s="13">
        <v>6349</v>
      </c>
      <c r="S6422" s="13">
        <v>0</v>
      </c>
    </row>
    <row r="6423" spans="18:19" x14ac:dyDescent="0.25">
      <c r="R6423" s="13">
        <v>6350</v>
      </c>
      <c r="S6423" s="13">
        <v>0</v>
      </c>
    </row>
    <row r="6424" spans="18:19" x14ac:dyDescent="0.25">
      <c r="R6424" s="13">
        <v>6351</v>
      </c>
      <c r="S6424" s="13">
        <v>581412766.95795822</v>
      </c>
    </row>
    <row r="6425" spans="18:19" x14ac:dyDescent="0.25">
      <c r="R6425" s="13">
        <v>6352</v>
      </c>
      <c r="S6425" s="13">
        <v>0</v>
      </c>
    </row>
    <row r="6426" spans="18:19" x14ac:dyDescent="0.25">
      <c r="R6426" s="13">
        <v>6353</v>
      </c>
      <c r="S6426" s="13">
        <v>0</v>
      </c>
    </row>
    <row r="6427" spans="18:19" x14ac:dyDescent="0.25">
      <c r="R6427" s="13">
        <v>6354</v>
      </c>
      <c r="S6427" s="13">
        <v>0</v>
      </c>
    </row>
    <row r="6428" spans="18:19" x14ac:dyDescent="0.25">
      <c r="R6428" s="13">
        <v>6355</v>
      </c>
      <c r="S6428" s="13">
        <v>0</v>
      </c>
    </row>
    <row r="6429" spans="18:19" x14ac:dyDescent="0.25">
      <c r="R6429" s="13">
        <v>6356</v>
      </c>
      <c r="S6429" s="13">
        <v>0</v>
      </c>
    </row>
    <row r="6430" spans="18:19" x14ac:dyDescent="0.25">
      <c r="R6430" s="13">
        <v>6357</v>
      </c>
      <c r="S6430" s="13">
        <v>0</v>
      </c>
    </row>
    <row r="6431" spans="18:19" x14ac:dyDescent="0.25">
      <c r="R6431" s="13">
        <v>6358</v>
      </c>
      <c r="S6431" s="13">
        <v>449198625.29281044</v>
      </c>
    </row>
    <row r="6432" spans="18:19" x14ac:dyDescent="0.25">
      <c r="R6432" s="13">
        <v>6359</v>
      </c>
      <c r="S6432" s="13">
        <v>0</v>
      </c>
    </row>
    <row r="6433" spans="18:19" x14ac:dyDescent="0.25">
      <c r="R6433" s="13">
        <v>6360</v>
      </c>
      <c r="S6433" s="13">
        <v>0</v>
      </c>
    </row>
    <row r="6434" spans="18:19" x14ac:dyDescent="0.25">
      <c r="R6434" s="13">
        <v>6361</v>
      </c>
      <c r="S6434" s="13">
        <v>0</v>
      </c>
    </row>
    <row r="6435" spans="18:19" x14ac:dyDescent="0.25">
      <c r="R6435" s="13">
        <v>6362</v>
      </c>
      <c r="S6435" s="13">
        <v>0</v>
      </c>
    </row>
    <row r="6436" spans="18:19" x14ac:dyDescent="0.25">
      <c r="R6436" s="13">
        <v>6363</v>
      </c>
      <c r="S6436" s="13">
        <v>0</v>
      </c>
    </row>
    <row r="6437" spans="18:19" x14ac:dyDescent="0.25">
      <c r="R6437" s="13">
        <v>6364</v>
      </c>
      <c r="S6437" s="13">
        <v>0</v>
      </c>
    </row>
    <row r="6438" spans="18:19" x14ac:dyDescent="0.25">
      <c r="R6438" s="13">
        <v>6365</v>
      </c>
      <c r="S6438" s="13">
        <v>0</v>
      </c>
    </row>
    <row r="6439" spans="18:19" x14ac:dyDescent="0.25">
      <c r="R6439" s="13">
        <v>6366</v>
      </c>
      <c r="S6439" s="13">
        <v>364870059.36238861</v>
      </c>
    </row>
    <row r="6440" spans="18:19" x14ac:dyDescent="0.25">
      <c r="R6440" s="13">
        <v>6367</v>
      </c>
      <c r="S6440" s="13">
        <v>0</v>
      </c>
    </row>
    <row r="6441" spans="18:19" x14ac:dyDescent="0.25">
      <c r="R6441" s="13">
        <v>6368</v>
      </c>
      <c r="S6441" s="13">
        <v>0</v>
      </c>
    </row>
    <row r="6442" spans="18:19" x14ac:dyDescent="0.25">
      <c r="R6442" s="13">
        <v>6369</v>
      </c>
      <c r="S6442" s="13">
        <v>0</v>
      </c>
    </row>
    <row r="6443" spans="18:19" x14ac:dyDescent="0.25">
      <c r="R6443" s="13">
        <v>6370</v>
      </c>
      <c r="S6443" s="13">
        <v>0</v>
      </c>
    </row>
    <row r="6444" spans="18:19" x14ac:dyDescent="0.25">
      <c r="R6444" s="13">
        <v>6371</v>
      </c>
      <c r="S6444" s="13">
        <v>1051024634.7388515</v>
      </c>
    </row>
    <row r="6445" spans="18:19" x14ac:dyDescent="0.25">
      <c r="R6445" s="13">
        <v>6372</v>
      </c>
      <c r="S6445" s="13">
        <v>0</v>
      </c>
    </row>
    <row r="6446" spans="18:19" x14ac:dyDescent="0.25">
      <c r="R6446" s="13">
        <v>6373</v>
      </c>
      <c r="S6446" s="13">
        <v>0</v>
      </c>
    </row>
    <row r="6447" spans="18:19" x14ac:dyDescent="0.25">
      <c r="R6447" s="13">
        <v>6374</v>
      </c>
      <c r="S6447" s="13">
        <v>0</v>
      </c>
    </row>
    <row r="6448" spans="18:19" x14ac:dyDescent="0.25">
      <c r="R6448" s="13">
        <v>6375</v>
      </c>
      <c r="S6448" s="13">
        <v>0</v>
      </c>
    </row>
    <row r="6449" spans="18:19" x14ac:dyDescent="0.25">
      <c r="R6449" s="13">
        <v>6376</v>
      </c>
      <c r="S6449" s="13">
        <v>0</v>
      </c>
    </row>
    <row r="6450" spans="18:19" x14ac:dyDescent="0.25">
      <c r="R6450" s="13">
        <v>6377</v>
      </c>
      <c r="S6450" s="13">
        <v>66905492.760444641</v>
      </c>
    </row>
    <row r="6451" spans="18:19" x14ac:dyDescent="0.25">
      <c r="R6451" s="13">
        <v>6378</v>
      </c>
      <c r="S6451" s="13">
        <v>0</v>
      </c>
    </row>
    <row r="6452" spans="18:19" x14ac:dyDescent="0.25">
      <c r="R6452" s="13">
        <v>6379</v>
      </c>
      <c r="S6452" s="13">
        <v>0</v>
      </c>
    </row>
    <row r="6453" spans="18:19" x14ac:dyDescent="0.25">
      <c r="R6453" s="13">
        <v>6380</v>
      </c>
      <c r="S6453" s="13">
        <v>28055934.445266724</v>
      </c>
    </row>
    <row r="6454" spans="18:19" x14ac:dyDescent="0.25">
      <c r="R6454" s="13">
        <v>6381</v>
      </c>
      <c r="S6454" s="13">
        <v>0</v>
      </c>
    </row>
    <row r="6455" spans="18:19" x14ac:dyDescent="0.25">
      <c r="R6455" s="13">
        <v>6382</v>
      </c>
      <c r="S6455" s="13">
        <v>0</v>
      </c>
    </row>
    <row r="6456" spans="18:19" x14ac:dyDescent="0.25">
      <c r="R6456" s="13">
        <v>6383</v>
      </c>
      <c r="S6456" s="13">
        <v>1021878489.85079</v>
      </c>
    </row>
    <row r="6457" spans="18:19" x14ac:dyDescent="0.25">
      <c r="R6457" s="13">
        <v>6384</v>
      </c>
      <c r="S6457" s="13">
        <v>0</v>
      </c>
    </row>
    <row r="6458" spans="18:19" x14ac:dyDescent="0.25">
      <c r="R6458" s="13">
        <v>6385</v>
      </c>
      <c r="S6458" s="13">
        <v>0</v>
      </c>
    </row>
    <row r="6459" spans="18:19" x14ac:dyDescent="0.25">
      <c r="R6459" s="13">
        <v>6386</v>
      </c>
      <c r="S6459" s="13">
        <v>237862710.61815643</v>
      </c>
    </row>
    <row r="6460" spans="18:19" x14ac:dyDescent="0.25">
      <c r="R6460" s="13">
        <v>6387</v>
      </c>
      <c r="S6460" s="13">
        <v>0</v>
      </c>
    </row>
    <row r="6461" spans="18:19" x14ac:dyDescent="0.25">
      <c r="R6461" s="13">
        <v>6388</v>
      </c>
      <c r="S6461" s="13">
        <v>113906802.35884857</v>
      </c>
    </row>
    <row r="6462" spans="18:19" x14ac:dyDescent="0.25">
      <c r="R6462" s="13">
        <v>6389</v>
      </c>
      <c r="S6462" s="13">
        <v>260958423.37220001</v>
      </c>
    </row>
    <row r="6463" spans="18:19" x14ac:dyDescent="0.25">
      <c r="R6463" s="13">
        <v>6390</v>
      </c>
      <c r="S6463" s="13">
        <v>0</v>
      </c>
    </row>
    <row r="6464" spans="18:19" x14ac:dyDescent="0.25">
      <c r="R6464" s="13">
        <v>6391</v>
      </c>
      <c r="S6464" s="13">
        <v>0</v>
      </c>
    </row>
    <row r="6465" spans="18:19" x14ac:dyDescent="0.25">
      <c r="R6465" s="13">
        <v>6392</v>
      </c>
      <c r="S6465" s="13">
        <v>0</v>
      </c>
    </row>
    <row r="6466" spans="18:19" x14ac:dyDescent="0.25">
      <c r="R6466" s="13">
        <v>6393</v>
      </c>
      <c r="S6466" s="13">
        <v>0</v>
      </c>
    </row>
    <row r="6467" spans="18:19" x14ac:dyDescent="0.25">
      <c r="R6467" s="13">
        <v>6394</v>
      </c>
      <c r="S6467" s="13">
        <v>0</v>
      </c>
    </row>
    <row r="6468" spans="18:19" x14ac:dyDescent="0.25">
      <c r="R6468" s="13">
        <v>6395</v>
      </c>
      <c r="S6468" s="13">
        <v>355207600.81891632</v>
      </c>
    </row>
    <row r="6469" spans="18:19" x14ac:dyDescent="0.25">
      <c r="R6469" s="13">
        <v>6396</v>
      </c>
      <c r="S6469" s="13">
        <v>0</v>
      </c>
    </row>
    <row r="6470" spans="18:19" x14ac:dyDescent="0.25">
      <c r="R6470" s="13">
        <v>6397</v>
      </c>
      <c r="S6470" s="13">
        <v>0</v>
      </c>
    </row>
    <row r="6471" spans="18:19" x14ac:dyDescent="0.25">
      <c r="R6471" s="13">
        <v>6398</v>
      </c>
      <c r="S6471" s="13">
        <v>0</v>
      </c>
    </row>
    <row r="6472" spans="18:19" x14ac:dyDescent="0.25">
      <c r="R6472" s="13">
        <v>6399</v>
      </c>
      <c r="S6472" s="13">
        <v>60994461.736528397</v>
      </c>
    </row>
    <row r="6473" spans="18:19" x14ac:dyDescent="0.25">
      <c r="R6473" s="13">
        <v>6400</v>
      </c>
      <c r="S6473" s="13">
        <v>30563130.850236893</v>
      </c>
    </row>
    <row r="6474" spans="18:19" x14ac:dyDescent="0.25">
      <c r="R6474" s="13">
        <v>6401</v>
      </c>
      <c r="S6474" s="13">
        <v>646183544.37570953</v>
      </c>
    </row>
    <row r="6475" spans="18:19" x14ac:dyDescent="0.25">
      <c r="R6475" s="13">
        <v>6402</v>
      </c>
      <c r="S6475" s="13">
        <v>0</v>
      </c>
    </row>
    <row r="6476" spans="18:19" x14ac:dyDescent="0.25">
      <c r="R6476" s="13">
        <v>6403</v>
      </c>
      <c r="S6476" s="13">
        <v>0</v>
      </c>
    </row>
    <row r="6477" spans="18:19" x14ac:dyDescent="0.25">
      <c r="R6477" s="13">
        <v>6404</v>
      </c>
      <c r="S6477" s="13">
        <v>94563126.376361847</v>
      </c>
    </row>
    <row r="6478" spans="18:19" x14ac:dyDescent="0.25">
      <c r="R6478" s="13">
        <v>6405</v>
      </c>
      <c r="S6478" s="13">
        <v>0</v>
      </c>
    </row>
    <row r="6479" spans="18:19" x14ac:dyDescent="0.25">
      <c r="R6479" s="13">
        <v>6406</v>
      </c>
      <c r="S6479" s="13">
        <v>0</v>
      </c>
    </row>
    <row r="6480" spans="18:19" x14ac:dyDescent="0.25">
      <c r="R6480" s="13">
        <v>6407</v>
      </c>
      <c r="S6480" s="13">
        <v>0</v>
      </c>
    </row>
    <row r="6481" spans="18:19" x14ac:dyDescent="0.25">
      <c r="R6481" s="13">
        <v>6408</v>
      </c>
      <c r="S6481" s="13">
        <v>0</v>
      </c>
    </row>
    <row r="6482" spans="18:19" x14ac:dyDescent="0.25">
      <c r="R6482" s="13">
        <v>6409</v>
      </c>
      <c r="S6482" s="13">
        <v>0</v>
      </c>
    </row>
    <row r="6483" spans="18:19" x14ac:dyDescent="0.25">
      <c r="R6483" s="13">
        <v>6410</v>
      </c>
      <c r="S6483" s="13">
        <v>0</v>
      </c>
    </row>
    <row r="6484" spans="18:19" x14ac:dyDescent="0.25">
      <c r="R6484" s="13">
        <v>6411</v>
      </c>
      <c r="S6484" s="13">
        <v>0</v>
      </c>
    </row>
    <row r="6485" spans="18:19" x14ac:dyDescent="0.25">
      <c r="R6485" s="13">
        <v>6412</v>
      </c>
      <c r="S6485" s="13">
        <v>324178385.13137817</v>
      </c>
    </row>
    <row r="6486" spans="18:19" x14ac:dyDescent="0.25">
      <c r="R6486" s="13">
        <v>6413</v>
      </c>
      <c r="S6486" s="13">
        <v>33447557.045434952</v>
      </c>
    </row>
    <row r="6487" spans="18:19" x14ac:dyDescent="0.25">
      <c r="R6487" s="13">
        <v>6414</v>
      </c>
      <c r="S6487" s="13">
        <v>0</v>
      </c>
    </row>
    <row r="6488" spans="18:19" x14ac:dyDescent="0.25">
      <c r="R6488" s="13">
        <v>6415</v>
      </c>
      <c r="S6488" s="13">
        <v>0</v>
      </c>
    </row>
    <row r="6489" spans="18:19" x14ac:dyDescent="0.25">
      <c r="R6489" s="13">
        <v>6416</v>
      </c>
      <c r="S6489" s="13">
        <v>0</v>
      </c>
    </row>
    <row r="6490" spans="18:19" x14ac:dyDescent="0.25">
      <c r="R6490" s="13">
        <v>6417</v>
      </c>
      <c r="S6490" s="13">
        <v>0</v>
      </c>
    </row>
    <row r="6491" spans="18:19" x14ac:dyDescent="0.25">
      <c r="R6491" s="13">
        <v>6418</v>
      </c>
      <c r="S6491" s="13">
        <v>0</v>
      </c>
    </row>
    <row r="6492" spans="18:19" x14ac:dyDescent="0.25">
      <c r="R6492" s="13">
        <v>6419</v>
      </c>
      <c r="S6492" s="13">
        <v>0</v>
      </c>
    </row>
    <row r="6493" spans="18:19" x14ac:dyDescent="0.25">
      <c r="R6493" s="13">
        <v>6420</v>
      </c>
      <c r="S6493" s="13">
        <v>0</v>
      </c>
    </row>
    <row r="6494" spans="18:19" x14ac:dyDescent="0.25">
      <c r="R6494" s="13">
        <v>6421</v>
      </c>
      <c r="S6494" s="13">
        <v>523241935.81855774</v>
      </c>
    </row>
    <row r="6495" spans="18:19" x14ac:dyDescent="0.25">
      <c r="R6495" s="13">
        <v>6422</v>
      </c>
      <c r="S6495" s="13">
        <v>231552837.63371658</v>
      </c>
    </row>
    <row r="6496" spans="18:19" x14ac:dyDescent="0.25">
      <c r="R6496" s="13">
        <v>6423</v>
      </c>
      <c r="S6496" s="13">
        <v>0</v>
      </c>
    </row>
    <row r="6497" spans="18:19" x14ac:dyDescent="0.25">
      <c r="R6497" s="13">
        <v>6424</v>
      </c>
      <c r="S6497" s="13">
        <v>965252436.69772911</v>
      </c>
    </row>
    <row r="6498" spans="18:19" x14ac:dyDescent="0.25">
      <c r="R6498" s="13">
        <v>6425</v>
      </c>
      <c r="S6498" s="13">
        <v>269162175.70287514</v>
      </c>
    </row>
    <row r="6499" spans="18:19" x14ac:dyDescent="0.25">
      <c r="R6499" s="13">
        <v>6426</v>
      </c>
      <c r="S6499" s="13">
        <v>0</v>
      </c>
    </row>
    <row r="6500" spans="18:19" x14ac:dyDescent="0.25">
      <c r="R6500" s="13">
        <v>6427</v>
      </c>
      <c r="S6500" s="13">
        <v>0</v>
      </c>
    </row>
    <row r="6501" spans="18:19" x14ac:dyDescent="0.25">
      <c r="R6501" s="13">
        <v>6428</v>
      </c>
      <c r="S6501" s="13">
        <v>0</v>
      </c>
    </row>
    <row r="6502" spans="18:19" x14ac:dyDescent="0.25">
      <c r="R6502" s="13">
        <v>6429</v>
      </c>
      <c r="S6502" s="13">
        <v>0</v>
      </c>
    </row>
    <row r="6503" spans="18:19" x14ac:dyDescent="0.25">
      <c r="R6503" s="13">
        <v>6430</v>
      </c>
      <c r="S6503" s="13">
        <v>323914938.11868095</v>
      </c>
    </row>
    <row r="6504" spans="18:19" x14ac:dyDescent="0.25">
      <c r="R6504" s="13">
        <v>6431</v>
      </c>
      <c r="S6504" s="13">
        <v>0</v>
      </c>
    </row>
    <row r="6505" spans="18:19" x14ac:dyDescent="0.25">
      <c r="R6505" s="13">
        <v>6432</v>
      </c>
      <c r="S6505" s="13">
        <v>0</v>
      </c>
    </row>
    <row r="6506" spans="18:19" x14ac:dyDescent="0.25">
      <c r="R6506" s="13">
        <v>6433</v>
      </c>
      <c r="S6506" s="13">
        <v>0</v>
      </c>
    </row>
    <row r="6507" spans="18:19" x14ac:dyDescent="0.25">
      <c r="R6507" s="13">
        <v>6434</v>
      </c>
      <c r="S6507" s="13">
        <v>0</v>
      </c>
    </row>
    <row r="6508" spans="18:19" x14ac:dyDescent="0.25">
      <c r="R6508" s="13">
        <v>6435</v>
      </c>
      <c r="S6508" s="13">
        <v>0</v>
      </c>
    </row>
    <row r="6509" spans="18:19" x14ac:dyDescent="0.25">
      <c r="R6509" s="13">
        <v>6436</v>
      </c>
      <c r="S6509" s="13">
        <v>0</v>
      </c>
    </row>
    <row r="6510" spans="18:19" x14ac:dyDescent="0.25">
      <c r="R6510" s="13">
        <v>6437</v>
      </c>
      <c r="S6510" s="13">
        <v>0</v>
      </c>
    </row>
    <row r="6511" spans="18:19" x14ac:dyDescent="0.25">
      <c r="R6511" s="13">
        <v>6438</v>
      </c>
      <c r="S6511" s="13">
        <v>0</v>
      </c>
    </row>
    <row r="6512" spans="18:19" x14ac:dyDescent="0.25">
      <c r="R6512" s="13">
        <v>6439</v>
      </c>
      <c r="S6512" s="13">
        <v>0</v>
      </c>
    </row>
    <row r="6513" spans="18:19" x14ac:dyDescent="0.25">
      <c r="R6513" s="13">
        <v>6440</v>
      </c>
      <c r="S6513" s="13">
        <v>0</v>
      </c>
    </row>
    <row r="6514" spans="18:19" x14ac:dyDescent="0.25">
      <c r="R6514" s="13">
        <v>6441</v>
      </c>
      <c r="S6514" s="13">
        <v>0</v>
      </c>
    </row>
    <row r="6515" spans="18:19" x14ac:dyDescent="0.25">
      <c r="R6515" s="13">
        <v>6442</v>
      </c>
      <c r="S6515" s="13">
        <v>0</v>
      </c>
    </row>
    <row r="6516" spans="18:19" x14ac:dyDescent="0.25">
      <c r="R6516" s="13">
        <v>6443</v>
      </c>
      <c r="S6516" s="13">
        <v>0</v>
      </c>
    </row>
    <row r="6517" spans="18:19" x14ac:dyDescent="0.25">
      <c r="R6517" s="13">
        <v>6444</v>
      </c>
      <c r="S6517" s="13">
        <v>0</v>
      </c>
    </row>
    <row r="6518" spans="18:19" x14ac:dyDescent="0.25">
      <c r="R6518" s="13">
        <v>6445</v>
      </c>
      <c r="S6518" s="13">
        <v>0</v>
      </c>
    </row>
    <row r="6519" spans="18:19" x14ac:dyDescent="0.25">
      <c r="R6519" s="13">
        <v>6446</v>
      </c>
      <c r="S6519" s="13">
        <v>0</v>
      </c>
    </row>
    <row r="6520" spans="18:19" x14ac:dyDescent="0.25">
      <c r="R6520" s="13">
        <v>6447</v>
      </c>
      <c r="S6520" s="13">
        <v>0</v>
      </c>
    </row>
    <row r="6521" spans="18:19" x14ac:dyDescent="0.25">
      <c r="R6521" s="13">
        <v>6448</v>
      </c>
      <c r="S6521" s="13">
        <v>0</v>
      </c>
    </row>
    <row r="6522" spans="18:19" x14ac:dyDescent="0.25">
      <c r="R6522" s="13">
        <v>6449</v>
      </c>
      <c r="S6522" s="13">
        <v>0</v>
      </c>
    </row>
    <row r="6523" spans="18:19" x14ac:dyDescent="0.25">
      <c r="R6523" s="13">
        <v>6450</v>
      </c>
      <c r="S6523" s="13">
        <v>0</v>
      </c>
    </row>
    <row r="6524" spans="18:19" x14ac:dyDescent="0.25">
      <c r="R6524" s="13">
        <v>6451</v>
      </c>
      <c r="S6524" s="13">
        <v>0</v>
      </c>
    </row>
    <row r="6525" spans="18:19" x14ac:dyDescent="0.25">
      <c r="R6525" s="13">
        <v>6452</v>
      </c>
      <c r="S6525" s="13">
        <v>388239811.97926903</v>
      </c>
    </row>
    <row r="6526" spans="18:19" x14ac:dyDescent="0.25">
      <c r="R6526" s="13">
        <v>6453</v>
      </c>
      <c r="S6526" s="13">
        <v>0</v>
      </c>
    </row>
    <row r="6527" spans="18:19" x14ac:dyDescent="0.25">
      <c r="R6527" s="13">
        <v>6454</v>
      </c>
      <c r="S6527" s="13">
        <v>0</v>
      </c>
    </row>
    <row r="6528" spans="18:19" x14ac:dyDescent="0.25">
      <c r="R6528" s="13">
        <v>6455</v>
      </c>
      <c r="S6528" s="13">
        <v>0</v>
      </c>
    </row>
    <row r="6529" spans="18:19" x14ac:dyDescent="0.25">
      <c r="R6529" s="13">
        <v>6456</v>
      </c>
      <c r="S6529" s="13">
        <v>0</v>
      </c>
    </row>
    <row r="6530" spans="18:19" x14ac:dyDescent="0.25">
      <c r="R6530" s="13">
        <v>6457</v>
      </c>
      <c r="S6530" s="13">
        <v>157210200.44379044</v>
      </c>
    </row>
    <row r="6531" spans="18:19" x14ac:dyDescent="0.25">
      <c r="R6531" s="13">
        <v>6458</v>
      </c>
      <c r="S6531" s="13">
        <v>44849787.214729309</v>
      </c>
    </row>
    <row r="6532" spans="18:19" x14ac:dyDescent="0.25">
      <c r="R6532" s="13">
        <v>6459</v>
      </c>
      <c r="S6532" s="13">
        <v>0</v>
      </c>
    </row>
    <row r="6533" spans="18:19" x14ac:dyDescent="0.25">
      <c r="R6533" s="13">
        <v>6460</v>
      </c>
      <c r="S6533" s="13">
        <v>235402974.0448246</v>
      </c>
    </row>
    <row r="6534" spans="18:19" x14ac:dyDescent="0.25">
      <c r="R6534" s="13">
        <v>6461</v>
      </c>
      <c r="S6534" s="13">
        <v>0</v>
      </c>
    </row>
    <row r="6535" spans="18:19" x14ac:dyDescent="0.25">
      <c r="R6535" s="13">
        <v>6462</v>
      </c>
      <c r="S6535" s="13">
        <v>0</v>
      </c>
    </row>
    <row r="6536" spans="18:19" x14ac:dyDescent="0.25">
      <c r="R6536" s="13">
        <v>6463</v>
      </c>
      <c r="S6536" s="13">
        <v>173245791.80016708</v>
      </c>
    </row>
    <row r="6537" spans="18:19" x14ac:dyDescent="0.25">
      <c r="R6537" s="13">
        <v>6464</v>
      </c>
      <c r="S6537" s="13">
        <v>0</v>
      </c>
    </row>
    <row r="6538" spans="18:19" x14ac:dyDescent="0.25">
      <c r="R6538" s="13">
        <v>6465</v>
      </c>
      <c r="S6538" s="13">
        <v>0</v>
      </c>
    </row>
    <row r="6539" spans="18:19" x14ac:dyDescent="0.25">
      <c r="R6539" s="13">
        <v>6466</v>
      </c>
      <c r="S6539" s="13">
        <v>0</v>
      </c>
    </row>
    <row r="6540" spans="18:19" x14ac:dyDescent="0.25">
      <c r="R6540" s="13">
        <v>6467</v>
      </c>
      <c r="S6540" s="13">
        <v>0</v>
      </c>
    </row>
    <row r="6541" spans="18:19" x14ac:dyDescent="0.25">
      <c r="R6541" s="13">
        <v>6468</v>
      </c>
      <c r="S6541" s="13">
        <v>351779020.42352676</v>
      </c>
    </row>
    <row r="6542" spans="18:19" x14ac:dyDescent="0.25">
      <c r="R6542" s="13">
        <v>6469</v>
      </c>
      <c r="S6542" s="13">
        <v>0</v>
      </c>
    </row>
    <row r="6543" spans="18:19" x14ac:dyDescent="0.25">
      <c r="R6543" s="13">
        <v>6470</v>
      </c>
      <c r="S6543" s="13">
        <v>754038075.62123108</v>
      </c>
    </row>
    <row r="6544" spans="18:19" x14ac:dyDescent="0.25">
      <c r="R6544" s="13">
        <v>6471</v>
      </c>
      <c r="S6544" s="13">
        <v>0</v>
      </c>
    </row>
    <row r="6545" spans="18:19" x14ac:dyDescent="0.25">
      <c r="R6545" s="13">
        <v>6472</v>
      </c>
      <c r="S6545" s="13">
        <v>299740235.09093094</v>
      </c>
    </row>
    <row r="6546" spans="18:19" x14ac:dyDescent="0.25">
      <c r="R6546" s="13">
        <v>6473</v>
      </c>
      <c r="S6546" s="13">
        <v>347407211.20141411</v>
      </c>
    </row>
    <row r="6547" spans="18:19" x14ac:dyDescent="0.25">
      <c r="R6547" s="13">
        <v>6474</v>
      </c>
      <c r="S6547" s="13">
        <v>0</v>
      </c>
    </row>
    <row r="6548" spans="18:19" x14ac:dyDescent="0.25">
      <c r="R6548" s="13">
        <v>6475</v>
      </c>
      <c r="S6548" s="13">
        <v>0</v>
      </c>
    </row>
    <row r="6549" spans="18:19" x14ac:dyDescent="0.25">
      <c r="R6549" s="13">
        <v>6476</v>
      </c>
      <c r="S6549" s="13">
        <v>0</v>
      </c>
    </row>
    <row r="6550" spans="18:19" x14ac:dyDescent="0.25">
      <c r="R6550" s="13">
        <v>6477</v>
      </c>
      <c r="S6550" s="13">
        <v>0</v>
      </c>
    </row>
    <row r="6551" spans="18:19" x14ac:dyDescent="0.25">
      <c r="R6551" s="13">
        <v>6478</v>
      </c>
      <c r="S6551" s="13">
        <v>0</v>
      </c>
    </row>
    <row r="6552" spans="18:19" x14ac:dyDescent="0.25">
      <c r="R6552" s="13">
        <v>6479</v>
      </c>
      <c r="S6552" s="13">
        <v>405944935.29258919</v>
      </c>
    </row>
    <row r="6553" spans="18:19" x14ac:dyDescent="0.25">
      <c r="R6553" s="13">
        <v>6480</v>
      </c>
      <c r="S6553" s="13">
        <v>597051095.71170616</v>
      </c>
    </row>
    <row r="6554" spans="18:19" x14ac:dyDescent="0.25">
      <c r="R6554" s="13">
        <v>6481</v>
      </c>
      <c r="S6554" s="13">
        <v>0</v>
      </c>
    </row>
    <row r="6555" spans="18:19" x14ac:dyDescent="0.25">
      <c r="R6555" s="13">
        <v>6482</v>
      </c>
      <c r="S6555" s="13">
        <v>0</v>
      </c>
    </row>
    <row r="6556" spans="18:19" x14ac:dyDescent="0.25">
      <c r="R6556" s="13">
        <v>6483</v>
      </c>
      <c r="S6556" s="13">
        <v>0</v>
      </c>
    </row>
    <row r="6557" spans="18:19" x14ac:dyDescent="0.25">
      <c r="R6557" s="13">
        <v>6484</v>
      </c>
      <c r="S6557" s="13">
        <v>0</v>
      </c>
    </row>
    <row r="6558" spans="18:19" x14ac:dyDescent="0.25">
      <c r="R6558" s="13">
        <v>6485</v>
      </c>
      <c r="S6558" s="13">
        <v>0</v>
      </c>
    </row>
    <row r="6559" spans="18:19" x14ac:dyDescent="0.25">
      <c r="R6559" s="13">
        <v>6486</v>
      </c>
      <c r="S6559" s="13">
        <v>0</v>
      </c>
    </row>
    <row r="6560" spans="18:19" x14ac:dyDescent="0.25">
      <c r="R6560" s="13">
        <v>6487</v>
      </c>
      <c r="S6560" s="13">
        <v>0</v>
      </c>
    </row>
    <row r="6561" spans="18:19" x14ac:dyDescent="0.25">
      <c r="R6561" s="13">
        <v>6488</v>
      </c>
      <c r="S6561" s="13">
        <v>0</v>
      </c>
    </row>
    <row r="6562" spans="18:19" x14ac:dyDescent="0.25">
      <c r="R6562" s="13">
        <v>6489</v>
      </c>
      <c r="S6562" s="13">
        <v>0</v>
      </c>
    </row>
    <row r="6563" spans="18:19" x14ac:dyDescent="0.25">
      <c r="R6563" s="13">
        <v>6490</v>
      </c>
      <c r="S6563" s="13">
        <v>0</v>
      </c>
    </row>
    <row r="6564" spans="18:19" x14ac:dyDescent="0.25">
      <c r="R6564" s="13">
        <v>6491</v>
      </c>
      <c r="S6564" s="13">
        <v>0</v>
      </c>
    </row>
    <row r="6565" spans="18:19" x14ac:dyDescent="0.25">
      <c r="R6565" s="13">
        <v>6492</v>
      </c>
      <c r="S6565" s="13">
        <v>0</v>
      </c>
    </row>
    <row r="6566" spans="18:19" x14ac:dyDescent="0.25">
      <c r="R6566" s="13">
        <v>6493</v>
      </c>
      <c r="S6566" s="13">
        <v>0</v>
      </c>
    </row>
    <row r="6567" spans="18:19" x14ac:dyDescent="0.25">
      <c r="R6567" s="13">
        <v>6494</v>
      </c>
      <c r="S6567" s="13">
        <v>0</v>
      </c>
    </row>
    <row r="6568" spans="18:19" x14ac:dyDescent="0.25">
      <c r="R6568" s="13">
        <v>6495</v>
      </c>
      <c r="S6568" s="13">
        <v>302768506.62205505</v>
      </c>
    </row>
    <row r="6569" spans="18:19" x14ac:dyDescent="0.25">
      <c r="R6569" s="13">
        <v>6496</v>
      </c>
      <c r="S6569" s="13">
        <v>0</v>
      </c>
    </row>
    <row r="6570" spans="18:19" x14ac:dyDescent="0.25">
      <c r="R6570" s="13">
        <v>6497</v>
      </c>
      <c r="S6570" s="13">
        <v>0</v>
      </c>
    </row>
    <row r="6571" spans="18:19" x14ac:dyDescent="0.25">
      <c r="R6571" s="13">
        <v>6498</v>
      </c>
      <c r="S6571" s="13">
        <v>183192809.32047653</v>
      </c>
    </row>
    <row r="6572" spans="18:19" x14ac:dyDescent="0.25">
      <c r="R6572" s="13">
        <v>6499</v>
      </c>
      <c r="S6572" s="13">
        <v>0</v>
      </c>
    </row>
    <row r="6573" spans="18:19" x14ac:dyDescent="0.25">
      <c r="R6573" s="13">
        <v>6500</v>
      </c>
      <c r="S6573" s="13">
        <v>0</v>
      </c>
    </row>
    <row r="6574" spans="18:19" x14ac:dyDescent="0.25">
      <c r="R6574" s="13">
        <v>6501</v>
      </c>
      <c r="S6574" s="13">
        <v>0</v>
      </c>
    </row>
    <row r="6575" spans="18:19" x14ac:dyDescent="0.25">
      <c r="R6575" s="13">
        <v>6502</v>
      </c>
      <c r="S6575" s="13">
        <v>0</v>
      </c>
    </row>
    <row r="6576" spans="18:19" x14ac:dyDescent="0.25">
      <c r="R6576" s="13">
        <v>6503</v>
      </c>
      <c r="S6576" s="13">
        <v>699543010.30128288</v>
      </c>
    </row>
    <row r="6577" spans="18:19" x14ac:dyDescent="0.25">
      <c r="R6577" s="13">
        <v>6504</v>
      </c>
      <c r="S6577" s="13">
        <v>0</v>
      </c>
    </row>
    <row r="6578" spans="18:19" x14ac:dyDescent="0.25">
      <c r="R6578" s="13">
        <v>6505</v>
      </c>
      <c r="S6578" s="13">
        <v>0</v>
      </c>
    </row>
    <row r="6579" spans="18:19" x14ac:dyDescent="0.25">
      <c r="R6579" s="13">
        <v>6506</v>
      </c>
      <c r="S6579" s="13">
        <v>0</v>
      </c>
    </row>
    <row r="6580" spans="18:19" x14ac:dyDescent="0.25">
      <c r="R6580" s="13">
        <v>6507</v>
      </c>
      <c r="S6580" s="13">
        <v>0</v>
      </c>
    </row>
    <row r="6581" spans="18:19" x14ac:dyDescent="0.25">
      <c r="R6581" s="13">
        <v>6508</v>
      </c>
      <c r="S6581" s="13">
        <v>0</v>
      </c>
    </row>
    <row r="6582" spans="18:19" x14ac:dyDescent="0.25">
      <c r="R6582" s="13">
        <v>6509</v>
      </c>
      <c r="S6582" s="13">
        <v>0</v>
      </c>
    </row>
    <row r="6583" spans="18:19" x14ac:dyDescent="0.25">
      <c r="R6583" s="13">
        <v>6510</v>
      </c>
      <c r="S6583" s="13">
        <v>0</v>
      </c>
    </row>
    <row r="6584" spans="18:19" x14ac:dyDescent="0.25">
      <c r="R6584" s="13">
        <v>6511</v>
      </c>
      <c r="S6584" s="13">
        <v>131839590.00153542</v>
      </c>
    </row>
    <row r="6585" spans="18:19" x14ac:dyDescent="0.25">
      <c r="R6585" s="13">
        <v>6512</v>
      </c>
      <c r="S6585" s="13">
        <v>0</v>
      </c>
    </row>
    <row r="6586" spans="18:19" x14ac:dyDescent="0.25">
      <c r="R6586" s="13">
        <v>6513</v>
      </c>
      <c r="S6586" s="13">
        <v>0</v>
      </c>
    </row>
    <row r="6587" spans="18:19" x14ac:dyDescent="0.25">
      <c r="R6587" s="13">
        <v>6514</v>
      </c>
      <c r="S6587" s="13">
        <v>0</v>
      </c>
    </row>
    <row r="6588" spans="18:19" x14ac:dyDescent="0.25">
      <c r="R6588" s="13">
        <v>6515</v>
      </c>
      <c r="S6588" s="13">
        <v>206778435.27060509</v>
      </c>
    </row>
    <row r="6589" spans="18:19" x14ac:dyDescent="0.25">
      <c r="R6589" s="13">
        <v>6516</v>
      </c>
      <c r="S6589" s="13">
        <v>0</v>
      </c>
    </row>
    <row r="6590" spans="18:19" x14ac:dyDescent="0.25">
      <c r="R6590" s="13">
        <v>6517</v>
      </c>
      <c r="S6590" s="13">
        <v>714256568.00325394</v>
      </c>
    </row>
    <row r="6591" spans="18:19" x14ac:dyDescent="0.25">
      <c r="R6591" s="13">
        <v>6518</v>
      </c>
      <c r="S6591" s="13">
        <v>0</v>
      </c>
    </row>
    <row r="6592" spans="18:19" x14ac:dyDescent="0.25">
      <c r="R6592" s="13">
        <v>6519</v>
      </c>
      <c r="S6592" s="13">
        <v>0</v>
      </c>
    </row>
    <row r="6593" spans="18:19" x14ac:dyDescent="0.25">
      <c r="R6593" s="13">
        <v>6520</v>
      </c>
      <c r="S6593" s="13">
        <v>565142486.38328552</v>
      </c>
    </row>
    <row r="6594" spans="18:19" x14ac:dyDescent="0.25">
      <c r="R6594" s="13">
        <v>6521</v>
      </c>
      <c r="S6594" s="13">
        <v>0</v>
      </c>
    </row>
    <row r="6595" spans="18:19" x14ac:dyDescent="0.25">
      <c r="R6595" s="13">
        <v>6522</v>
      </c>
      <c r="S6595" s="13">
        <v>0</v>
      </c>
    </row>
    <row r="6596" spans="18:19" x14ac:dyDescent="0.25">
      <c r="R6596" s="13">
        <v>6523</v>
      </c>
      <c r="S6596" s="13">
        <v>0</v>
      </c>
    </row>
    <row r="6597" spans="18:19" x14ac:dyDescent="0.25">
      <c r="R6597" s="13">
        <v>6524</v>
      </c>
      <c r="S6597" s="13">
        <v>0</v>
      </c>
    </row>
    <row r="6598" spans="18:19" x14ac:dyDescent="0.25">
      <c r="R6598" s="13">
        <v>6525</v>
      </c>
      <c r="S6598" s="13">
        <v>0</v>
      </c>
    </row>
    <row r="6599" spans="18:19" x14ac:dyDescent="0.25">
      <c r="R6599" s="13">
        <v>6526</v>
      </c>
      <c r="S6599" s="13">
        <v>0</v>
      </c>
    </row>
    <row r="6600" spans="18:19" x14ac:dyDescent="0.25">
      <c r="R6600" s="13">
        <v>6527</v>
      </c>
      <c r="S6600" s="13">
        <v>0</v>
      </c>
    </row>
    <row r="6601" spans="18:19" x14ac:dyDescent="0.25">
      <c r="R6601" s="13">
        <v>6528</v>
      </c>
      <c r="S6601" s="13">
        <v>0</v>
      </c>
    </row>
    <row r="6602" spans="18:19" x14ac:dyDescent="0.25">
      <c r="R6602" s="13">
        <v>6529</v>
      </c>
      <c r="S6602" s="13">
        <v>0</v>
      </c>
    </row>
    <row r="6603" spans="18:19" x14ac:dyDescent="0.25">
      <c r="R6603" s="13">
        <v>6530</v>
      </c>
      <c r="S6603" s="13">
        <v>0</v>
      </c>
    </row>
    <row r="6604" spans="18:19" x14ac:dyDescent="0.25">
      <c r="R6604" s="13">
        <v>6531</v>
      </c>
      <c r="S6604" s="13">
        <v>0</v>
      </c>
    </row>
    <row r="6605" spans="18:19" x14ac:dyDescent="0.25">
      <c r="R6605" s="13">
        <v>6532</v>
      </c>
      <c r="S6605" s="13">
        <v>0</v>
      </c>
    </row>
    <row r="6606" spans="18:19" x14ac:dyDescent="0.25">
      <c r="R6606" s="13">
        <v>6533</v>
      </c>
      <c r="S6606" s="13">
        <v>0</v>
      </c>
    </row>
    <row r="6607" spans="18:19" x14ac:dyDescent="0.25">
      <c r="R6607" s="13">
        <v>6534</v>
      </c>
      <c r="S6607" s="13">
        <v>0</v>
      </c>
    </row>
    <row r="6608" spans="18:19" x14ac:dyDescent="0.25">
      <c r="R6608" s="13">
        <v>6535</v>
      </c>
      <c r="S6608" s="13">
        <v>0</v>
      </c>
    </row>
    <row r="6609" spans="18:19" x14ac:dyDescent="0.25">
      <c r="R6609" s="13">
        <v>6536</v>
      </c>
      <c r="S6609" s="13">
        <v>235196620.42250633</v>
      </c>
    </row>
    <row r="6610" spans="18:19" x14ac:dyDescent="0.25">
      <c r="R6610" s="13">
        <v>6537</v>
      </c>
      <c r="S6610" s="13">
        <v>256167349.16791344</v>
      </c>
    </row>
    <row r="6611" spans="18:19" x14ac:dyDescent="0.25">
      <c r="R6611" s="13">
        <v>6538</v>
      </c>
      <c r="S6611" s="13">
        <v>0</v>
      </c>
    </row>
    <row r="6612" spans="18:19" x14ac:dyDescent="0.25">
      <c r="R6612" s="13">
        <v>6539</v>
      </c>
      <c r="S6612" s="13">
        <v>422953114.01119614</v>
      </c>
    </row>
    <row r="6613" spans="18:19" x14ac:dyDescent="0.25">
      <c r="R6613" s="13">
        <v>6540</v>
      </c>
      <c r="S6613" s="13">
        <v>0</v>
      </c>
    </row>
    <row r="6614" spans="18:19" x14ac:dyDescent="0.25">
      <c r="R6614" s="13">
        <v>6541</v>
      </c>
      <c r="S6614" s="13">
        <v>0</v>
      </c>
    </row>
    <row r="6615" spans="18:19" x14ac:dyDescent="0.25">
      <c r="R6615" s="13">
        <v>6542</v>
      </c>
      <c r="S6615" s="13">
        <v>0</v>
      </c>
    </row>
    <row r="6616" spans="18:19" x14ac:dyDescent="0.25">
      <c r="R6616" s="13">
        <v>6543</v>
      </c>
      <c r="S6616" s="13">
        <v>0</v>
      </c>
    </row>
    <row r="6617" spans="18:19" x14ac:dyDescent="0.25">
      <c r="R6617" s="13">
        <v>6544</v>
      </c>
      <c r="S6617" s="13">
        <v>0</v>
      </c>
    </row>
    <row r="6618" spans="18:19" x14ac:dyDescent="0.25">
      <c r="R6618" s="13">
        <v>6545</v>
      </c>
      <c r="S6618" s="13">
        <v>0</v>
      </c>
    </row>
    <row r="6619" spans="18:19" x14ac:dyDescent="0.25">
      <c r="R6619" s="13">
        <v>6546</v>
      </c>
      <c r="S6619" s="13">
        <v>0</v>
      </c>
    </row>
    <row r="6620" spans="18:19" x14ac:dyDescent="0.25">
      <c r="R6620" s="13">
        <v>6547</v>
      </c>
      <c r="S6620" s="13">
        <v>0</v>
      </c>
    </row>
    <row r="6621" spans="18:19" x14ac:dyDescent="0.25">
      <c r="R6621" s="13">
        <v>6548</v>
      </c>
      <c r="S6621" s="13">
        <v>0</v>
      </c>
    </row>
    <row r="6622" spans="18:19" x14ac:dyDescent="0.25">
      <c r="R6622" s="13">
        <v>6549</v>
      </c>
      <c r="S6622" s="13">
        <v>0</v>
      </c>
    </row>
    <row r="6623" spans="18:19" x14ac:dyDescent="0.25">
      <c r="R6623" s="13">
        <v>6550</v>
      </c>
      <c r="S6623" s="13">
        <v>0</v>
      </c>
    </row>
    <row r="6624" spans="18:19" x14ac:dyDescent="0.25">
      <c r="R6624" s="13">
        <v>6551</v>
      </c>
      <c r="S6624" s="13">
        <v>0</v>
      </c>
    </row>
    <row r="6625" spans="18:19" x14ac:dyDescent="0.25">
      <c r="R6625" s="13">
        <v>6552</v>
      </c>
      <c r="S6625" s="13">
        <v>445451104.84540176</v>
      </c>
    </row>
    <row r="6626" spans="18:19" x14ac:dyDescent="0.25">
      <c r="R6626" s="13">
        <v>6553</v>
      </c>
      <c r="S6626" s="13">
        <v>0</v>
      </c>
    </row>
    <row r="6627" spans="18:19" x14ac:dyDescent="0.25">
      <c r="R6627" s="13">
        <v>6554</v>
      </c>
      <c r="S6627" s="13">
        <v>510752449.35520744</v>
      </c>
    </row>
    <row r="6628" spans="18:19" x14ac:dyDescent="0.25">
      <c r="R6628" s="13">
        <v>6555</v>
      </c>
      <c r="S6628" s="13">
        <v>82655540.178998947</v>
      </c>
    </row>
    <row r="6629" spans="18:19" x14ac:dyDescent="0.25">
      <c r="R6629" s="13">
        <v>6556</v>
      </c>
      <c r="S6629" s="13">
        <v>0</v>
      </c>
    </row>
    <row r="6630" spans="18:19" x14ac:dyDescent="0.25">
      <c r="R6630" s="13">
        <v>6557</v>
      </c>
      <c r="S6630" s="13">
        <v>0</v>
      </c>
    </row>
    <row r="6631" spans="18:19" x14ac:dyDescent="0.25">
      <c r="R6631" s="13">
        <v>6558</v>
      </c>
      <c r="S6631" s="13">
        <v>0</v>
      </c>
    </row>
    <row r="6632" spans="18:19" x14ac:dyDescent="0.25">
      <c r="R6632" s="13">
        <v>6559</v>
      </c>
      <c r="S6632" s="13">
        <v>0</v>
      </c>
    </row>
    <row r="6633" spans="18:19" x14ac:dyDescent="0.25">
      <c r="R6633" s="13">
        <v>6560</v>
      </c>
      <c r="S6633" s="13">
        <v>0</v>
      </c>
    </row>
    <row r="6634" spans="18:19" x14ac:dyDescent="0.25">
      <c r="R6634" s="13">
        <v>6561</v>
      </c>
      <c r="S6634" s="13">
        <v>0</v>
      </c>
    </row>
    <row r="6635" spans="18:19" x14ac:dyDescent="0.25">
      <c r="R6635" s="13">
        <v>6562</v>
      </c>
      <c r="S6635" s="13">
        <v>0</v>
      </c>
    </row>
    <row r="6636" spans="18:19" x14ac:dyDescent="0.25">
      <c r="R6636" s="13">
        <v>6563</v>
      </c>
      <c r="S6636" s="13">
        <v>192648183.58229065</v>
      </c>
    </row>
    <row r="6637" spans="18:19" x14ac:dyDescent="0.25">
      <c r="R6637" s="13">
        <v>6564</v>
      </c>
      <c r="S6637" s="13">
        <v>70511485.724824905</v>
      </c>
    </row>
    <row r="6638" spans="18:19" x14ac:dyDescent="0.25">
      <c r="R6638" s="13">
        <v>6565</v>
      </c>
      <c r="S6638" s="13">
        <v>0</v>
      </c>
    </row>
    <row r="6639" spans="18:19" x14ac:dyDescent="0.25">
      <c r="R6639" s="13">
        <v>6566</v>
      </c>
      <c r="S6639" s="13">
        <v>0</v>
      </c>
    </row>
    <row r="6640" spans="18:19" x14ac:dyDescent="0.25">
      <c r="R6640" s="13">
        <v>6567</v>
      </c>
      <c r="S6640" s="13">
        <v>0</v>
      </c>
    </row>
    <row r="6641" spans="18:19" x14ac:dyDescent="0.25">
      <c r="R6641" s="13">
        <v>6568</v>
      </c>
      <c r="S6641" s="13">
        <v>223522590.85020256</v>
      </c>
    </row>
    <row r="6642" spans="18:19" x14ac:dyDescent="0.25">
      <c r="R6642" s="13">
        <v>6569</v>
      </c>
      <c r="S6642" s="13">
        <v>0</v>
      </c>
    </row>
    <row r="6643" spans="18:19" x14ac:dyDescent="0.25">
      <c r="R6643" s="13">
        <v>6570</v>
      </c>
      <c r="S6643" s="13">
        <v>0</v>
      </c>
    </row>
    <row r="6644" spans="18:19" x14ac:dyDescent="0.25">
      <c r="R6644" s="13">
        <v>6571</v>
      </c>
      <c r="S6644" s="13">
        <v>0</v>
      </c>
    </row>
    <row r="6645" spans="18:19" x14ac:dyDescent="0.25">
      <c r="R6645" s="13">
        <v>6572</v>
      </c>
      <c r="S6645" s="13">
        <v>0</v>
      </c>
    </row>
    <row r="6646" spans="18:19" x14ac:dyDescent="0.25">
      <c r="R6646" s="13">
        <v>6573</v>
      </c>
      <c r="S6646" s="13">
        <v>0</v>
      </c>
    </row>
    <row r="6647" spans="18:19" x14ac:dyDescent="0.25">
      <c r="R6647" s="13">
        <v>6574</v>
      </c>
      <c r="S6647" s="13">
        <v>509462824.92441559</v>
      </c>
    </row>
    <row r="6648" spans="18:19" x14ac:dyDescent="0.25">
      <c r="R6648" s="13">
        <v>6575</v>
      </c>
      <c r="S6648" s="13">
        <v>612503793.04577446</v>
      </c>
    </row>
    <row r="6649" spans="18:19" x14ac:dyDescent="0.25">
      <c r="R6649" s="13">
        <v>6576</v>
      </c>
      <c r="S6649" s="13">
        <v>0</v>
      </c>
    </row>
    <row r="6650" spans="18:19" x14ac:dyDescent="0.25">
      <c r="R6650" s="13">
        <v>6577</v>
      </c>
      <c r="S6650" s="13">
        <v>0</v>
      </c>
    </row>
    <row r="6651" spans="18:19" x14ac:dyDescent="0.25">
      <c r="R6651" s="13">
        <v>6578</v>
      </c>
      <c r="S6651" s="13">
        <v>74539558.214321136</v>
      </c>
    </row>
    <row r="6652" spans="18:19" x14ac:dyDescent="0.25">
      <c r="R6652" s="13">
        <v>6579</v>
      </c>
      <c r="S6652" s="13">
        <v>0</v>
      </c>
    </row>
    <row r="6653" spans="18:19" x14ac:dyDescent="0.25">
      <c r="R6653" s="13">
        <v>6580</v>
      </c>
      <c r="S6653" s="13">
        <v>0</v>
      </c>
    </row>
    <row r="6654" spans="18:19" x14ac:dyDescent="0.25">
      <c r="R6654" s="13">
        <v>6581</v>
      </c>
      <c r="S6654" s="13">
        <v>586376577.82389832</v>
      </c>
    </row>
    <row r="6655" spans="18:19" x14ac:dyDescent="0.25">
      <c r="R6655" s="13">
        <v>6582</v>
      </c>
      <c r="S6655" s="13">
        <v>0</v>
      </c>
    </row>
    <row r="6656" spans="18:19" x14ac:dyDescent="0.25">
      <c r="R6656" s="13">
        <v>6583</v>
      </c>
      <c r="S6656" s="13">
        <v>180351673.86802483</v>
      </c>
    </row>
    <row r="6657" spans="18:19" x14ac:dyDescent="0.25">
      <c r="R6657" s="13">
        <v>6584</v>
      </c>
      <c r="S6657" s="13">
        <v>50747613.234931946</v>
      </c>
    </row>
    <row r="6658" spans="18:19" x14ac:dyDescent="0.25">
      <c r="R6658" s="13">
        <v>6585</v>
      </c>
      <c r="S6658" s="13">
        <v>0</v>
      </c>
    </row>
    <row r="6659" spans="18:19" x14ac:dyDescent="0.25">
      <c r="R6659" s="13">
        <v>6586</v>
      </c>
      <c r="S6659" s="13">
        <v>159774529.20632172</v>
      </c>
    </row>
    <row r="6660" spans="18:19" x14ac:dyDescent="0.25">
      <c r="R6660" s="13">
        <v>6587</v>
      </c>
      <c r="S6660" s="13">
        <v>0</v>
      </c>
    </row>
    <row r="6661" spans="18:19" x14ac:dyDescent="0.25">
      <c r="R6661" s="13">
        <v>6588</v>
      </c>
      <c r="S6661" s="13">
        <v>0</v>
      </c>
    </row>
    <row r="6662" spans="18:19" x14ac:dyDescent="0.25">
      <c r="R6662" s="13">
        <v>6589</v>
      </c>
      <c r="S6662" s="13">
        <v>0</v>
      </c>
    </row>
    <row r="6663" spans="18:19" x14ac:dyDescent="0.25">
      <c r="R6663" s="13">
        <v>6590</v>
      </c>
      <c r="S6663" s="13">
        <v>534668085.19002533</v>
      </c>
    </row>
    <row r="6664" spans="18:19" x14ac:dyDescent="0.25">
      <c r="R6664" s="13">
        <v>6591</v>
      </c>
      <c r="S6664" s="13">
        <v>0</v>
      </c>
    </row>
    <row r="6665" spans="18:19" x14ac:dyDescent="0.25">
      <c r="R6665" s="13">
        <v>6592</v>
      </c>
      <c r="S6665" s="13">
        <v>0</v>
      </c>
    </row>
    <row r="6666" spans="18:19" x14ac:dyDescent="0.25">
      <c r="R6666" s="13">
        <v>6593</v>
      </c>
      <c r="S6666" s="13">
        <v>0</v>
      </c>
    </row>
    <row r="6667" spans="18:19" x14ac:dyDescent="0.25">
      <c r="R6667" s="13">
        <v>6594</v>
      </c>
      <c r="S6667" s="13">
        <v>143577770.67862701</v>
      </c>
    </row>
    <row r="6668" spans="18:19" x14ac:dyDescent="0.25">
      <c r="R6668" s="13">
        <v>6595</v>
      </c>
      <c r="S6668" s="13">
        <v>0</v>
      </c>
    </row>
    <row r="6669" spans="18:19" x14ac:dyDescent="0.25">
      <c r="R6669" s="13">
        <v>6596</v>
      </c>
      <c r="S6669" s="13">
        <v>0</v>
      </c>
    </row>
    <row r="6670" spans="18:19" x14ac:dyDescent="0.25">
      <c r="R6670" s="13">
        <v>6597</v>
      </c>
      <c r="S6670" s="13">
        <v>0</v>
      </c>
    </row>
    <row r="6671" spans="18:19" x14ac:dyDescent="0.25">
      <c r="R6671" s="13">
        <v>6598</v>
      </c>
      <c r="S6671" s="13">
        <v>0</v>
      </c>
    </row>
    <row r="6672" spans="18:19" x14ac:dyDescent="0.25">
      <c r="R6672" s="13">
        <v>6599</v>
      </c>
      <c r="S6672" s="13">
        <v>0</v>
      </c>
    </row>
    <row r="6673" spans="18:19" x14ac:dyDescent="0.25">
      <c r="R6673" s="13">
        <v>6600</v>
      </c>
      <c r="S6673" s="13">
        <v>0</v>
      </c>
    </row>
    <row r="6674" spans="18:19" x14ac:dyDescent="0.25">
      <c r="R6674" s="13">
        <v>6601</v>
      </c>
      <c r="S6674" s="13">
        <v>0</v>
      </c>
    </row>
    <row r="6675" spans="18:19" x14ac:dyDescent="0.25">
      <c r="R6675" s="13">
        <v>6602</v>
      </c>
      <c r="S6675" s="13">
        <v>0</v>
      </c>
    </row>
    <row r="6676" spans="18:19" x14ac:dyDescent="0.25">
      <c r="R6676" s="13">
        <v>6603</v>
      </c>
      <c r="S6676" s="13">
        <v>0</v>
      </c>
    </row>
    <row r="6677" spans="18:19" x14ac:dyDescent="0.25">
      <c r="R6677" s="13">
        <v>6604</v>
      </c>
      <c r="S6677" s="13">
        <v>316872783.67663002</v>
      </c>
    </row>
    <row r="6678" spans="18:19" x14ac:dyDescent="0.25">
      <c r="R6678" s="13">
        <v>6605</v>
      </c>
      <c r="S6678" s="13">
        <v>0</v>
      </c>
    </row>
    <row r="6679" spans="18:19" x14ac:dyDescent="0.25">
      <c r="R6679" s="13">
        <v>6606</v>
      </c>
      <c r="S6679" s="13">
        <v>400317198.78188324</v>
      </c>
    </row>
    <row r="6680" spans="18:19" x14ac:dyDescent="0.25">
      <c r="R6680" s="13">
        <v>6607</v>
      </c>
      <c r="S6680" s="13">
        <v>398937036.33805275</v>
      </c>
    </row>
    <row r="6681" spans="18:19" x14ac:dyDescent="0.25">
      <c r="R6681" s="13">
        <v>6608</v>
      </c>
      <c r="S6681" s="13">
        <v>0</v>
      </c>
    </row>
    <row r="6682" spans="18:19" x14ac:dyDescent="0.25">
      <c r="R6682" s="13">
        <v>6609</v>
      </c>
      <c r="S6682" s="13">
        <v>0</v>
      </c>
    </row>
    <row r="6683" spans="18:19" x14ac:dyDescent="0.25">
      <c r="R6683" s="13">
        <v>6610</v>
      </c>
      <c r="S6683" s="13">
        <v>0</v>
      </c>
    </row>
    <row r="6684" spans="18:19" x14ac:dyDescent="0.25">
      <c r="R6684" s="13">
        <v>6611</v>
      </c>
      <c r="S6684" s="13">
        <v>0</v>
      </c>
    </row>
    <row r="6685" spans="18:19" x14ac:dyDescent="0.25">
      <c r="R6685" s="13">
        <v>6612</v>
      </c>
      <c r="S6685" s="13">
        <v>502574917.15727997</v>
      </c>
    </row>
    <row r="6686" spans="18:19" x14ac:dyDescent="0.25">
      <c r="R6686" s="13">
        <v>6613</v>
      </c>
      <c r="S6686" s="13">
        <v>0</v>
      </c>
    </row>
    <row r="6687" spans="18:19" x14ac:dyDescent="0.25">
      <c r="R6687" s="13">
        <v>6614</v>
      </c>
      <c r="S6687" s="13">
        <v>0</v>
      </c>
    </row>
    <row r="6688" spans="18:19" x14ac:dyDescent="0.25">
      <c r="R6688" s="13">
        <v>6615</v>
      </c>
      <c r="S6688" s="13">
        <v>0</v>
      </c>
    </row>
    <row r="6689" spans="18:19" x14ac:dyDescent="0.25">
      <c r="R6689" s="13">
        <v>6616</v>
      </c>
      <c r="S6689" s="13">
        <v>155515124.98090935</v>
      </c>
    </row>
    <row r="6690" spans="18:19" x14ac:dyDescent="0.25">
      <c r="R6690" s="13">
        <v>6617</v>
      </c>
      <c r="S6690" s="13">
        <v>0</v>
      </c>
    </row>
    <row r="6691" spans="18:19" x14ac:dyDescent="0.25">
      <c r="R6691" s="13">
        <v>6618</v>
      </c>
      <c r="S6691" s="13">
        <v>0</v>
      </c>
    </row>
    <row r="6692" spans="18:19" x14ac:dyDescent="0.25">
      <c r="R6692" s="13">
        <v>6619</v>
      </c>
      <c r="S6692" s="13">
        <v>0</v>
      </c>
    </row>
    <row r="6693" spans="18:19" x14ac:dyDescent="0.25">
      <c r="R6693" s="13">
        <v>6620</v>
      </c>
      <c r="S6693" s="13">
        <v>0</v>
      </c>
    </row>
    <row r="6694" spans="18:19" x14ac:dyDescent="0.25">
      <c r="R6694" s="13">
        <v>6621</v>
      </c>
      <c r="S6694" s="13">
        <v>578495921.08011436</v>
      </c>
    </row>
    <row r="6695" spans="18:19" x14ac:dyDescent="0.25">
      <c r="R6695" s="13">
        <v>6622</v>
      </c>
      <c r="S6695" s="13">
        <v>0</v>
      </c>
    </row>
    <row r="6696" spans="18:19" x14ac:dyDescent="0.25">
      <c r="R6696" s="13">
        <v>6623</v>
      </c>
      <c r="S6696" s="13">
        <v>272963930.43029976</v>
      </c>
    </row>
    <row r="6697" spans="18:19" x14ac:dyDescent="0.25">
      <c r="R6697" s="13">
        <v>6624</v>
      </c>
      <c r="S6697" s="13">
        <v>0</v>
      </c>
    </row>
    <row r="6698" spans="18:19" x14ac:dyDescent="0.25">
      <c r="R6698" s="13">
        <v>6625</v>
      </c>
      <c r="S6698" s="13">
        <v>0</v>
      </c>
    </row>
    <row r="6699" spans="18:19" x14ac:dyDescent="0.25">
      <c r="R6699" s="13">
        <v>6626</v>
      </c>
      <c r="S6699" s="13">
        <v>0</v>
      </c>
    </row>
    <row r="6700" spans="18:19" x14ac:dyDescent="0.25">
      <c r="R6700" s="13">
        <v>6627</v>
      </c>
      <c r="S6700" s="13">
        <v>0</v>
      </c>
    </row>
    <row r="6701" spans="18:19" x14ac:dyDescent="0.25">
      <c r="R6701" s="13">
        <v>6628</v>
      </c>
      <c r="S6701" s="13">
        <v>0</v>
      </c>
    </row>
    <row r="6702" spans="18:19" x14ac:dyDescent="0.25">
      <c r="R6702" s="13">
        <v>6629</v>
      </c>
      <c r="S6702" s="13">
        <v>207025268.31560898</v>
      </c>
    </row>
    <row r="6703" spans="18:19" x14ac:dyDescent="0.25">
      <c r="R6703" s="13">
        <v>6630</v>
      </c>
      <c r="S6703" s="13">
        <v>0</v>
      </c>
    </row>
    <row r="6704" spans="18:19" x14ac:dyDescent="0.25">
      <c r="R6704" s="13">
        <v>6631</v>
      </c>
      <c r="S6704" s="13">
        <v>0</v>
      </c>
    </row>
    <row r="6705" spans="18:19" x14ac:dyDescent="0.25">
      <c r="R6705" s="13">
        <v>6632</v>
      </c>
      <c r="S6705" s="13">
        <v>0</v>
      </c>
    </row>
    <row r="6706" spans="18:19" x14ac:dyDescent="0.25">
      <c r="R6706" s="13">
        <v>6633</v>
      </c>
      <c r="S6706" s="13">
        <v>201481194.52258301</v>
      </c>
    </row>
    <row r="6707" spans="18:19" x14ac:dyDescent="0.25">
      <c r="R6707" s="13">
        <v>6634</v>
      </c>
      <c r="S6707" s="13">
        <v>0</v>
      </c>
    </row>
    <row r="6708" spans="18:19" x14ac:dyDescent="0.25">
      <c r="R6708" s="13">
        <v>6635</v>
      </c>
      <c r="S6708" s="13">
        <v>0</v>
      </c>
    </row>
    <row r="6709" spans="18:19" x14ac:dyDescent="0.25">
      <c r="R6709" s="13">
        <v>6636</v>
      </c>
      <c r="S6709" s="13">
        <v>0</v>
      </c>
    </row>
    <row r="6710" spans="18:19" x14ac:dyDescent="0.25">
      <c r="R6710" s="13">
        <v>6637</v>
      </c>
      <c r="S6710" s="13">
        <v>277273291.76038551</v>
      </c>
    </row>
    <row r="6711" spans="18:19" x14ac:dyDescent="0.25">
      <c r="R6711" s="13">
        <v>6638</v>
      </c>
      <c r="S6711" s="13">
        <v>0</v>
      </c>
    </row>
    <row r="6712" spans="18:19" x14ac:dyDescent="0.25">
      <c r="R6712" s="13">
        <v>6639</v>
      </c>
      <c r="S6712" s="13">
        <v>383573486.35795212</v>
      </c>
    </row>
    <row r="6713" spans="18:19" x14ac:dyDescent="0.25">
      <c r="R6713" s="13">
        <v>6640</v>
      </c>
      <c r="S6713" s="13">
        <v>0</v>
      </c>
    </row>
    <row r="6714" spans="18:19" x14ac:dyDescent="0.25">
      <c r="R6714" s="13">
        <v>6641</v>
      </c>
      <c r="S6714" s="13">
        <v>0</v>
      </c>
    </row>
    <row r="6715" spans="18:19" x14ac:dyDescent="0.25">
      <c r="R6715" s="13">
        <v>6642</v>
      </c>
      <c r="S6715" s="13">
        <v>0</v>
      </c>
    </row>
    <row r="6716" spans="18:19" x14ac:dyDescent="0.25">
      <c r="R6716" s="13">
        <v>6643</v>
      </c>
      <c r="S6716" s="13">
        <v>0</v>
      </c>
    </row>
    <row r="6717" spans="18:19" x14ac:dyDescent="0.25">
      <c r="R6717" s="13">
        <v>6644</v>
      </c>
      <c r="S6717" s="13">
        <v>1110610608.7924957</v>
      </c>
    </row>
    <row r="6718" spans="18:19" x14ac:dyDescent="0.25">
      <c r="R6718" s="13">
        <v>6645</v>
      </c>
      <c r="S6718" s="13">
        <v>0</v>
      </c>
    </row>
    <row r="6719" spans="18:19" x14ac:dyDescent="0.25">
      <c r="R6719" s="13">
        <v>6646</v>
      </c>
      <c r="S6719" s="13">
        <v>0</v>
      </c>
    </row>
    <row r="6720" spans="18:19" x14ac:dyDescent="0.25">
      <c r="R6720" s="13">
        <v>6647</v>
      </c>
      <c r="S6720" s="13">
        <v>0</v>
      </c>
    </row>
    <row r="6721" spans="18:19" x14ac:dyDescent="0.25">
      <c r="R6721" s="13">
        <v>6648</v>
      </c>
      <c r="S6721" s="13">
        <v>0</v>
      </c>
    </row>
    <row r="6722" spans="18:19" x14ac:dyDescent="0.25">
      <c r="R6722" s="13">
        <v>6649</v>
      </c>
      <c r="S6722" s="13">
        <v>0</v>
      </c>
    </row>
    <row r="6723" spans="18:19" x14ac:dyDescent="0.25">
      <c r="R6723" s="13">
        <v>6650</v>
      </c>
      <c r="S6723" s="13">
        <v>0</v>
      </c>
    </row>
    <row r="6724" spans="18:19" x14ac:dyDescent="0.25">
      <c r="R6724" s="13">
        <v>6651</v>
      </c>
      <c r="S6724" s="13">
        <v>0</v>
      </c>
    </row>
    <row r="6725" spans="18:19" x14ac:dyDescent="0.25">
      <c r="R6725" s="13">
        <v>6652</v>
      </c>
      <c r="S6725" s="13">
        <v>0</v>
      </c>
    </row>
    <row r="6726" spans="18:19" x14ac:dyDescent="0.25">
      <c r="R6726" s="13">
        <v>6653</v>
      </c>
      <c r="S6726" s="13">
        <v>0</v>
      </c>
    </row>
    <row r="6727" spans="18:19" x14ac:dyDescent="0.25">
      <c r="R6727" s="13">
        <v>6654</v>
      </c>
      <c r="S6727" s="13">
        <v>0</v>
      </c>
    </row>
    <row r="6728" spans="18:19" x14ac:dyDescent="0.25">
      <c r="R6728" s="13">
        <v>6655</v>
      </c>
      <c r="S6728" s="13">
        <v>478535194.8115139</v>
      </c>
    </row>
    <row r="6729" spans="18:19" x14ac:dyDescent="0.25">
      <c r="R6729" s="13">
        <v>6656</v>
      </c>
      <c r="S6729" s="13">
        <v>0</v>
      </c>
    </row>
    <row r="6730" spans="18:19" x14ac:dyDescent="0.25">
      <c r="R6730" s="13">
        <v>6657</v>
      </c>
      <c r="S6730" s="13">
        <v>0</v>
      </c>
    </row>
    <row r="6731" spans="18:19" x14ac:dyDescent="0.25">
      <c r="R6731" s="13">
        <v>6658</v>
      </c>
      <c r="S6731" s="13">
        <v>0</v>
      </c>
    </row>
    <row r="6732" spans="18:19" x14ac:dyDescent="0.25">
      <c r="R6732" s="13">
        <v>6659</v>
      </c>
      <c r="S6732" s="13">
        <v>0</v>
      </c>
    </row>
    <row r="6733" spans="18:19" x14ac:dyDescent="0.25">
      <c r="R6733" s="13">
        <v>6660</v>
      </c>
      <c r="S6733" s="13">
        <v>0</v>
      </c>
    </row>
    <row r="6734" spans="18:19" x14ac:dyDescent="0.25">
      <c r="R6734" s="13">
        <v>6661</v>
      </c>
      <c r="S6734" s="13">
        <v>0</v>
      </c>
    </row>
    <row r="6735" spans="18:19" x14ac:dyDescent="0.25">
      <c r="R6735" s="13">
        <v>6662</v>
      </c>
      <c r="S6735" s="13">
        <v>0</v>
      </c>
    </row>
    <row r="6736" spans="18:19" x14ac:dyDescent="0.25">
      <c r="R6736" s="13">
        <v>6663</v>
      </c>
      <c r="S6736" s="13">
        <v>0</v>
      </c>
    </row>
    <row r="6737" spans="18:19" x14ac:dyDescent="0.25">
      <c r="R6737" s="13">
        <v>6664</v>
      </c>
      <c r="S6737" s="13">
        <v>0</v>
      </c>
    </row>
    <row r="6738" spans="18:19" x14ac:dyDescent="0.25">
      <c r="R6738" s="13">
        <v>6665</v>
      </c>
      <c r="S6738" s="13">
        <v>0</v>
      </c>
    </row>
    <row r="6739" spans="18:19" x14ac:dyDescent="0.25">
      <c r="R6739" s="13">
        <v>6666</v>
      </c>
      <c r="S6739" s="13">
        <v>0</v>
      </c>
    </row>
    <row r="6740" spans="18:19" x14ac:dyDescent="0.25">
      <c r="R6740" s="13">
        <v>6667</v>
      </c>
      <c r="S6740" s="13">
        <v>0</v>
      </c>
    </row>
    <row r="6741" spans="18:19" x14ac:dyDescent="0.25">
      <c r="R6741" s="13">
        <v>6668</v>
      </c>
      <c r="S6741" s="13">
        <v>0</v>
      </c>
    </row>
    <row r="6742" spans="18:19" x14ac:dyDescent="0.25">
      <c r="R6742" s="13">
        <v>6669</v>
      </c>
      <c r="S6742" s="13">
        <v>0</v>
      </c>
    </row>
    <row r="6743" spans="18:19" x14ac:dyDescent="0.25">
      <c r="R6743" s="13">
        <v>6670</v>
      </c>
      <c r="S6743" s="13">
        <v>0</v>
      </c>
    </row>
    <row r="6744" spans="18:19" x14ac:dyDescent="0.25">
      <c r="R6744" s="13">
        <v>6671</v>
      </c>
      <c r="S6744" s="13">
        <v>0</v>
      </c>
    </row>
    <row r="6745" spans="18:19" x14ac:dyDescent="0.25">
      <c r="R6745" s="13">
        <v>6672</v>
      </c>
      <c r="S6745" s="13">
        <v>0</v>
      </c>
    </row>
    <row r="6746" spans="18:19" x14ac:dyDescent="0.25">
      <c r="R6746" s="13">
        <v>6673</v>
      </c>
      <c r="S6746" s="13">
        <v>0</v>
      </c>
    </row>
    <row r="6747" spans="18:19" x14ac:dyDescent="0.25">
      <c r="R6747" s="13">
        <v>6674</v>
      </c>
      <c r="S6747" s="13">
        <v>84454293.094564438</v>
      </c>
    </row>
    <row r="6748" spans="18:19" x14ac:dyDescent="0.25">
      <c r="R6748" s="13">
        <v>6675</v>
      </c>
      <c r="S6748" s="13">
        <v>0</v>
      </c>
    </row>
    <row r="6749" spans="18:19" x14ac:dyDescent="0.25">
      <c r="R6749" s="13">
        <v>6676</v>
      </c>
      <c r="S6749" s="13">
        <v>0</v>
      </c>
    </row>
    <row r="6750" spans="18:19" x14ac:dyDescent="0.25">
      <c r="R6750" s="13">
        <v>6677</v>
      </c>
      <c r="S6750" s="13">
        <v>0</v>
      </c>
    </row>
    <row r="6751" spans="18:19" x14ac:dyDescent="0.25">
      <c r="R6751" s="13">
        <v>6678</v>
      </c>
      <c r="S6751" s="13">
        <v>0</v>
      </c>
    </row>
    <row r="6752" spans="18:19" x14ac:dyDescent="0.25">
      <c r="R6752" s="13">
        <v>6679</v>
      </c>
      <c r="S6752" s="13">
        <v>0</v>
      </c>
    </row>
    <row r="6753" spans="18:19" x14ac:dyDescent="0.25">
      <c r="R6753" s="13">
        <v>6680</v>
      </c>
      <c r="S6753" s="13">
        <v>0</v>
      </c>
    </row>
    <row r="6754" spans="18:19" x14ac:dyDescent="0.25">
      <c r="R6754" s="13">
        <v>6681</v>
      </c>
      <c r="S6754" s="13">
        <v>144562706.60500908</v>
      </c>
    </row>
    <row r="6755" spans="18:19" x14ac:dyDescent="0.25">
      <c r="R6755" s="13">
        <v>6682</v>
      </c>
      <c r="S6755" s="13">
        <v>0</v>
      </c>
    </row>
    <row r="6756" spans="18:19" x14ac:dyDescent="0.25">
      <c r="R6756" s="13">
        <v>6683</v>
      </c>
      <c r="S6756" s="13">
        <v>797842084.01590919</v>
      </c>
    </row>
    <row r="6757" spans="18:19" x14ac:dyDescent="0.25">
      <c r="R6757" s="13">
        <v>6684</v>
      </c>
      <c r="S6757" s="13">
        <v>0</v>
      </c>
    </row>
    <row r="6758" spans="18:19" x14ac:dyDescent="0.25">
      <c r="R6758" s="13">
        <v>6685</v>
      </c>
      <c r="S6758" s="13">
        <v>371328430.31744576</v>
      </c>
    </row>
    <row r="6759" spans="18:19" x14ac:dyDescent="0.25">
      <c r="R6759" s="13">
        <v>6686</v>
      </c>
      <c r="S6759" s="13">
        <v>0</v>
      </c>
    </row>
    <row r="6760" spans="18:19" x14ac:dyDescent="0.25">
      <c r="R6760" s="13">
        <v>6687</v>
      </c>
      <c r="S6760" s="13">
        <v>0</v>
      </c>
    </row>
    <row r="6761" spans="18:19" x14ac:dyDescent="0.25">
      <c r="R6761" s="13">
        <v>6688</v>
      </c>
      <c r="S6761" s="13">
        <v>0</v>
      </c>
    </row>
    <row r="6762" spans="18:19" x14ac:dyDescent="0.25">
      <c r="R6762" s="13">
        <v>6689</v>
      </c>
      <c r="S6762" s="13">
        <v>622434354.36545944</v>
      </c>
    </row>
    <row r="6763" spans="18:19" x14ac:dyDescent="0.25">
      <c r="R6763" s="13">
        <v>6690</v>
      </c>
      <c r="S6763" s="13">
        <v>105248575.01722145</v>
      </c>
    </row>
    <row r="6764" spans="18:19" x14ac:dyDescent="0.25">
      <c r="R6764" s="13">
        <v>6691</v>
      </c>
      <c r="S6764" s="13">
        <v>0</v>
      </c>
    </row>
    <row r="6765" spans="18:19" x14ac:dyDescent="0.25">
      <c r="R6765" s="13">
        <v>6692</v>
      </c>
      <c r="S6765" s="13">
        <v>112433013.93626022</v>
      </c>
    </row>
    <row r="6766" spans="18:19" x14ac:dyDescent="0.25">
      <c r="R6766" s="13">
        <v>6693</v>
      </c>
      <c r="S6766" s="13">
        <v>35223725.915502548</v>
      </c>
    </row>
    <row r="6767" spans="18:19" x14ac:dyDescent="0.25">
      <c r="R6767" s="13">
        <v>6694</v>
      </c>
      <c r="S6767" s="13">
        <v>0</v>
      </c>
    </row>
    <row r="6768" spans="18:19" x14ac:dyDescent="0.25">
      <c r="R6768" s="13">
        <v>6695</v>
      </c>
      <c r="S6768" s="13">
        <v>0</v>
      </c>
    </row>
    <row r="6769" spans="18:19" x14ac:dyDescent="0.25">
      <c r="R6769" s="13">
        <v>6696</v>
      </c>
      <c r="S6769" s="13">
        <v>7508119.4850940704</v>
      </c>
    </row>
    <row r="6770" spans="18:19" x14ac:dyDescent="0.25">
      <c r="R6770" s="13">
        <v>6697</v>
      </c>
      <c r="S6770" s="13">
        <v>0</v>
      </c>
    </row>
    <row r="6771" spans="18:19" x14ac:dyDescent="0.25">
      <c r="R6771" s="13">
        <v>6698</v>
      </c>
      <c r="S6771" s="13">
        <v>0</v>
      </c>
    </row>
    <row r="6772" spans="18:19" x14ac:dyDescent="0.25">
      <c r="R6772" s="13">
        <v>6699</v>
      </c>
      <c r="S6772" s="13">
        <v>161026090.49310684</v>
      </c>
    </row>
    <row r="6773" spans="18:19" x14ac:dyDescent="0.25">
      <c r="R6773" s="13">
        <v>6700</v>
      </c>
      <c r="S6773" s="13">
        <v>0</v>
      </c>
    </row>
    <row r="6774" spans="18:19" x14ac:dyDescent="0.25">
      <c r="R6774" s="13">
        <v>6701</v>
      </c>
      <c r="S6774" s="13">
        <v>0</v>
      </c>
    </row>
    <row r="6775" spans="18:19" x14ac:dyDescent="0.25">
      <c r="R6775" s="13">
        <v>6702</v>
      </c>
      <c r="S6775" s="13">
        <v>0</v>
      </c>
    </row>
    <row r="6776" spans="18:19" x14ac:dyDescent="0.25">
      <c r="R6776" s="13">
        <v>6703</v>
      </c>
      <c r="S6776" s="13">
        <v>290891012.04240608</v>
      </c>
    </row>
    <row r="6777" spans="18:19" x14ac:dyDescent="0.25">
      <c r="R6777" s="13">
        <v>6704</v>
      </c>
      <c r="S6777" s="13">
        <v>275514510.41929817</v>
      </c>
    </row>
    <row r="6778" spans="18:19" x14ac:dyDescent="0.25">
      <c r="R6778" s="13">
        <v>6705</v>
      </c>
      <c r="S6778" s="13">
        <v>0</v>
      </c>
    </row>
    <row r="6779" spans="18:19" x14ac:dyDescent="0.25">
      <c r="R6779" s="13">
        <v>6706</v>
      </c>
      <c r="S6779" s="13">
        <v>0</v>
      </c>
    </row>
    <row r="6780" spans="18:19" x14ac:dyDescent="0.25">
      <c r="R6780" s="13">
        <v>6707</v>
      </c>
      <c r="S6780" s="13">
        <v>0</v>
      </c>
    </row>
    <row r="6781" spans="18:19" x14ac:dyDescent="0.25">
      <c r="R6781" s="13">
        <v>6708</v>
      </c>
      <c r="S6781" s="13">
        <v>0</v>
      </c>
    </row>
    <row r="6782" spans="18:19" x14ac:dyDescent="0.25">
      <c r="R6782" s="13">
        <v>6709</v>
      </c>
      <c r="S6782" s="13">
        <v>0</v>
      </c>
    </row>
    <row r="6783" spans="18:19" x14ac:dyDescent="0.25">
      <c r="R6783" s="13">
        <v>6710</v>
      </c>
      <c r="S6783" s="13">
        <v>0</v>
      </c>
    </row>
    <row r="6784" spans="18:19" x14ac:dyDescent="0.25">
      <c r="R6784" s="13">
        <v>6711</v>
      </c>
      <c r="S6784" s="13">
        <v>514873666.06178093</v>
      </c>
    </row>
    <row r="6785" spans="18:19" x14ac:dyDescent="0.25">
      <c r="R6785" s="13">
        <v>6712</v>
      </c>
      <c r="S6785" s="13">
        <v>271868266.9787159</v>
      </c>
    </row>
    <row r="6786" spans="18:19" x14ac:dyDescent="0.25">
      <c r="R6786" s="13">
        <v>6713</v>
      </c>
      <c r="S6786" s="13">
        <v>0</v>
      </c>
    </row>
    <row r="6787" spans="18:19" x14ac:dyDescent="0.25">
      <c r="R6787" s="13">
        <v>6714</v>
      </c>
      <c r="S6787" s="13">
        <v>0</v>
      </c>
    </row>
    <row r="6788" spans="18:19" x14ac:dyDescent="0.25">
      <c r="R6788" s="13">
        <v>6715</v>
      </c>
      <c r="S6788" s="13">
        <v>0</v>
      </c>
    </row>
    <row r="6789" spans="18:19" x14ac:dyDescent="0.25">
      <c r="R6789" s="13">
        <v>6716</v>
      </c>
      <c r="S6789" s="13">
        <v>1185994176.3334389</v>
      </c>
    </row>
    <row r="6790" spans="18:19" x14ac:dyDescent="0.25">
      <c r="R6790" s="13">
        <v>6717</v>
      </c>
      <c r="S6790" s="13">
        <v>0</v>
      </c>
    </row>
    <row r="6791" spans="18:19" x14ac:dyDescent="0.25">
      <c r="R6791" s="13">
        <v>6718</v>
      </c>
      <c r="S6791" s="13">
        <v>0</v>
      </c>
    </row>
    <row r="6792" spans="18:19" x14ac:dyDescent="0.25">
      <c r="R6792" s="13">
        <v>6719</v>
      </c>
      <c r="S6792" s="13">
        <v>0</v>
      </c>
    </row>
    <row r="6793" spans="18:19" x14ac:dyDescent="0.25">
      <c r="R6793" s="13">
        <v>6720</v>
      </c>
      <c r="S6793" s="13">
        <v>0</v>
      </c>
    </row>
    <row r="6794" spans="18:19" x14ac:dyDescent="0.25">
      <c r="R6794" s="13">
        <v>6721</v>
      </c>
      <c r="S6794" s="13">
        <v>0</v>
      </c>
    </row>
    <row r="6795" spans="18:19" x14ac:dyDescent="0.25">
      <c r="R6795" s="13">
        <v>6722</v>
      </c>
      <c r="S6795" s="13">
        <v>0</v>
      </c>
    </row>
    <row r="6796" spans="18:19" x14ac:dyDescent="0.25">
      <c r="R6796" s="13">
        <v>6723</v>
      </c>
      <c r="S6796" s="13">
        <v>0</v>
      </c>
    </row>
    <row r="6797" spans="18:19" x14ac:dyDescent="0.25">
      <c r="R6797" s="13">
        <v>6724</v>
      </c>
      <c r="S6797" s="13">
        <v>127195548.29156494</v>
      </c>
    </row>
    <row r="6798" spans="18:19" x14ac:dyDescent="0.25">
      <c r="R6798" s="13">
        <v>6725</v>
      </c>
      <c r="S6798" s="13">
        <v>0</v>
      </c>
    </row>
    <row r="6799" spans="18:19" x14ac:dyDescent="0.25">
      <c r="R6799" s="13">
        <v>6726</v>
      </c>
      <c r="S6799" s="13">
        <v>0</v>
      </c>
    </row>
    <row r="6800" spans="18:19" x14ac:dyDescent="0.25">
      <c r="R6800" s="13">
        <v>6727</v>
      </c>
      <c r="S6800" s="13">
        <v>770862650.50281334</v>
      </c>
    </row>
    <row r="6801" spans="18:19" x14ac:dyDescent="0.25">
      <c r="R6801" s="13">
        <v>6728</v>
      </c>
      <c r="S6801" s="13">
        <v>0</v>
      </c>
    </row>
    <row r="6802" spans="18:19" x14ac:dyDescent="0.25">
      <c r="R6802" s="13">
        <v>6729</v>
      </c>
      <c r="S6802" s="13">
        <v>0</v>
      </c>
    </row>
    <row r="6803" spans="18:19" x14ac:dyDescent="0.25">
      <c r="R6803" s="13">
        <v>6730</v>
      </c>
      <c r="S6803" s="13">
        <v>0</v>
      </c>
    </row>
    <row r="6804" spans="18:19" x14ac:dyDescent="0.25">
      <c r="R6804" s="13">
        <v>6731</v>
      </c>
      <c r="S6804" s="13">
        <v>0</v>
      </c>
    </row>
    <row r="6805" spans="18:19" x14ac:dyDescent="0.25">
      <c r="R6805" s="13">
        <v>6732</v>
      </c>
      <c r="S6805" s="13">
        <v>120725182.07809639</v>
      </c>
    </row>
    <row r="6806" spans="18:19" x14ac:dyDescent="0.25">
      <c r="R6806" s="13">
        <v>6733</v>
      </c>
      <c r="S6806" s="13">
        <v>0</v>
      </c>
    </row>
    <row r="6807" spans="18:19" x14ac:dyDescent="0.25">
      <c r="R6807" s="13">
        <v>6734</v>
      </c>
      <c r="S6807" s="13">
        <v>174060874.39713478</v>
      </c>
    </row>
    <row r="6808" spans="18:19" x14ac:dyDescent="0.25">
      <c r="R6808" s="13">
        <v>6735</v>
      </c>
      <c r="S6808" s="13">
        <v>0</v>
      </c>
    </row>
    <row r="6809" spans="18:19" x14ac:dyDescent="0.25">
      <c r="R6809" s="13">
        <v>6736</v>
      </c>
      <c r="S6809" s="13">
        <v>0</v>
      </c>
    </row>
    <row r="6810" spans="18:19" x14ac:dyDescent="0.25">
      <c r="R6810" s="13">
        <v>6737</v>
      </c>
      <c r="S6810" s="13">
        <v>0</v>
      </c>
    </row>
    <row r="6811" spans="18:19" x14ac:dyDescent="0.25">
      <c r="R6811" s="13">
        <v>6738</v>
      </c>
      <c r="S6811" s="13">
        <v>0</v>
      </c>
    </row>
    <row r="6812" spans="18:19" x14ac:dyDescent="0.25">
      <c r="R6812" s="13">
        <v>6739</v>
      </c>
      <c r="S6812" s="13">
        <v>33127125.07661438</v>
      </c>
    </row>
    <row r="6813" spans="18:19" x14ac:dyDescent="0.25">
      <c r="R6813" s="13">
        <v>6740</v>
      </c>
      <c r="S6813" s="13">
        <v>0</v>
      </c>
    </row>
    <row r="6814" spans="18:19" x14ac:dyDescent="0.25">
      <c r="R6814" s="13">
        <v>6741</v>
      </c>
      <c r="S6814" s="13">
        <v>0</v>
      </c>
    </row>
    <row r="6815" spans="18:19" x14ac:dyDescent="0.25">
      <c r="R6815" s="13">
        <v>6742</v>
      </c>
      <c r="S6815" s="13">
        <v>0</v>
      </c>
    </row>
    <row r="6816" spans="18:19" x14ac:dyDescent="0.25">
      <c r="R6816" s="13">
        <v>6743</v>
      </c>
      <c r="S6816" s="13">
        <v>0</v>
      </c>
    </row>
    <row r="6817" spans="18:19" x14ac:dyDescent="0.25">
      <c r="R6817" s="13">
        <v>6744</v>
      </c>
      <c r="S6817" s="13">
        <v>0</v>
      </c>
    </row>
    <row r="6818" spans="18:19" x14ac:dyDescent="0.25">
      <c r="R6818" s="13">
        <v>6745</v>
      </c>
      <c r="S6818" s="13">
        <v>0</v>
      </c>
    </row>
    <row r="6819" spans="18:19" x14ac:dyDescent="0.25">
      <c r="R6819" s="13">
        <v>6746</v>
      </c>
      <c r="S6819" s="13">
        <v>0</v>
      </c>
    </row>
    <row r="6820" spans="18:19" x14ac:dyDescent="0.25">
      <c r="R6820" s="13">
        <v>6747</v>
      </c>
      <c r="S6820" s="13">
        <v>0</v>
      </c>
    </row>
    <row r="6821" spans="18:19" x14ac:dyDescent="0.25">
      <c r="R6821" s="13">
        <v>6748</v>
      </c>
      <c r="S6821" s="13">
        <v>0</v>
      </c>
    </row>
    <row r="6822" spans="18:19" x14ac:dyDescent="0.25">
      <c r="R6822" s="13">
        <v>6749</v>
      </c>
      <c r="S6822" s="13">
        <v>0</v>
      </c>
    </row>
    <row r="6823" spans="18:19" x14ac:dyDescent="0.25">
      <c r="R6823" s="13">
        <v>6750</v>
      </c>
      <c r="S6823" s="13">
        <v>701263146.02844429</v>
      </c>
    </row>
    <row r="6824" spans="18:19" x14ac:dyDescent="0.25">
      <c r="R6824" s="13">
        <v>6751</v>
      </c>
      <c r="S6824" s="13">
        <v>0</v>
      </c>
    </row>
    <row r="6825" spans="18:19" x14ac:dyDescent="0.25">
      <c r="R6825" s="13">
        <v>6752</v>
      </c>
      <c r="S6825" s="13">
        <v>632939352.15431213</v>
      </c>
    </row>
    <row r="6826" spans="18:19" x14ac:dyDescent="0.25">
      <c r="R6826" s="13">
        <v>6753</v>
      </c>
      <c r="S6826" s="13">
        <v>116165904.94850349</v>
      </c>
    </row>
    <row r="6827" spans="18:19" x14ac:dyDescent="0.25">
      <c r="R6827" s="13">
        <v>6754</v>
      </c>
      <c r="S6827" s="13">
        <v>0</v>
      </c>
    </row>
    <row r="6828" spans="18:19" x14ac:dyDescent="0.25">
      <c r="R6828" s="13">
        <v>6755</v>
      </c>
      <c r="S6828" s="13">
        <v>0</v>
      </c>
    </row>
    <row r="6829" spans="18:19" x14ac:dyDescent="0.25">
      <c r="R6829" s="13">
        <v>6756</v>
      </c>
      <c r="S6829" s="13">
        <v>0</v>
      </c>
    </row>
    <row r="6830" spans="18:19" x14ac:dyDescent="0.25">
      <c r="R6830" s="13">
        <v>6757</v>
      </c>
      <c r="S6830" s="13">
        <v>736518876.57163239</v>
      </c>
    </row>
    <row r="6831" spans="18:19" x14ac:dyDescent="0.25">
      <c r="R6831" s="13">
        <v>6758</v>
      </c>
      <c r="S6831" s="13">
        <v>0</v>
      </c>
    </row>
    <row r="6832" spans="18:19" x14ac:dyDescent="0.25">
      <c r="R6832" s="13">
        <v>6759</v>
      </c>
      <c r="S6832" s="13">
        <v>0</v>
      </c>
    </row>
    <row r="6833" spans="18:19" x14ac:dyDescent="0.25">
      <c r="R6833" s="13">
        <v>6760</v>
      </c>
      <c r="S6833" s="13">
        <v>0</v>
      </c>
    </row>
    <row r="6834" spans="18:19" x14ac:dyDescent="0.25">
      <c r="R6834" s="13">
        <v>6761</v>
      </c>
      <c r="S6834" s="13">
        <v>0</v>
      </c>
    </row>
    <row r="6835" spans="18:19" x14ac:dyDescent="0.25">
      <c r="R6835" s="13">
        <v>6762</v>
      </c>
      <c r="S6835" s="13">
        <v>0</v>
      </c>
    </row>
    <row r="6836" spans="18:19" x14ac:dyDescent="0.25">
      <c r="R6836" s="13">
        <v>6763</v>
      </c>
      <c r="S6836" s="13">
        <v>0</v>
      </c>
    </row>
    <row r="6837" spans="18:19" x14ac:dyDescent="0.25">
      <c r="R6837" s="13">
        <v>6764</v>
      </c>
      <c r="S6837" s="13">
        <v>0</v>
      </c>
    </row>
    <row r="6838" spans="18:19" x14ac:dyDescent="0.25">
      <c r="R6838" s="13">
        <v>6765</v>
      </c>
      <c r="S6838" s="13">
        <v>0</v>
      </c>
    </row>
    <row r="6839" spans="18:19" x14ac:dyDescent="0.25">
      <c r="R6839" s="13">
        <v>6766</v>
      </c>
      <c r="S6839" s="13">
        <v>0</v>
      </c>
    </row>
    <row r="6840" spans="18:19" x14ac:dyDescent="0.25">
      <c r="R6840" s="13">
        <v>6767</v>
      </c>
      <c r="S6840" s="13">
        <v>0</v>
      </c>
    </row>
    <row r="6841" spans="18:19" x14ac:dyDescent="0.25">
      <c r="R6841" s="13">
        <v>6768</v>
      </c>
      <c r="S6841" s="13">
        <v>64025554.652177811</v>
      </c>
    </row>
    <row r="6842" spans="18:19" x14ac:dyDescent="0.25">
      <c r="R6842" s="13">
        <v>6769</v>
      </c>
      <c r="S6842" s="13">
        <v>0</v>
      </c>
    </row>
    <row r="6843" spans="18:19" x14ac:dyDescent="0.25">
      <c r="R6843" s="13">
        <v>6770</v>
      </c>
      <c r="S6843" s="13">
        <v>819529575.24780083</v>
      </c>
    </row>
    <row r="6844" spans="18:19" x14ac:dyDescent="0.25">
      <c r="R6844" s="13">
        <v>6771</v>
      </c>
      <c r="S6844" s="13">
        <v>0</v>
      </c>
    </row>
    <row r="6845" spans="18:19" x14ac:dyDescent="0.25">
      <c r="R6845" s="13">
        <v>6772</v>
      </c>
      <c r="S6845" s="13">
        <v>0</v>
      </c>
    </row>
    <row r="6846" spans="18:19" x14ac:dyDescent="0.25">
      <c r="R6846" s="13">
        <v>6773</v>
      </c>
      <c r="S6846" s="13">
        <v>177563936.75755501</v>
      </c>
    </row>
    <row r="6847" spans="18:19" x14ac:dyDescent="0.25">
      <c r="R6847" s="13">
        <v>6774</v>
      </c>
      <c r="S6847" s="13">
        <v>0</v>
      </c>
    </row>
    <row r="6848" spans="18:19" x14ac:dyDescent="0.25">
      <c r="R6848" s="13">
        <v>6775</v>
      </c>
      <c r="S6848" s="13">
        <v>1557328193.9378014</v>
      </c>
    </row>
    <row r="6849" spans="18:19" x14ac:dyDescent="0.25">
      <c r="R6849" s="13">
        <v>6776</v>
      </c>
      <c r="S6849" s="13">
        <v>0</v>
      </c>
    </row>
    <row r="6850" spans="18:19" x14ac:dyDescent="0.25">
      <c r="R6850" s="13">
        <v>6777</v>
      </c>
      <c r="S6850" s="13">
        <v>0</v>
      </c>
    </row>
    <row r="6851" spans="18:19" x14ac:dyDescent="0.25">
      <c r="R6851" s="13">
        <v>6778</v>
      </c>
      <c r="S6851" s="13">
        <v>0</v>
      </c>
    </row>
    <row r="6852" spans="18:19" x14ac:dyDescent="0.25">
      <c r="R6852" s="13">
        <v>6779</v>
      </c>
      <c r="S6852" s="13">
        <v>306192915.54038239</v>
      </c>
    </row>
    <row r="6853" spans="18:19" x14ac:dyDescent="0.25">
      <c r="R6853" s="13">
        <v>6780</v>
      </c>
      <c r="S6853" s="13">
        <v>0</v>
      </c>
    </row>
    <row r="6854" spans="18:19" x14ac:dyDescent="0.25">
      <c r="R6854" s="13">
        <v>6781</v>
      </c>
      <c r="S6854" s="13">
        <v>253855655.37388039</v>
      </c>
    </row>
    <row r="6855" spans="18:19" x14ac:dyDescent="0.25">
      <c r="R6855" s="13">
        <v>6782</v>
      </c>
      <c r="S6855" s="13">
        <v>0</v>
      </c>
    </row>
    <row r="6856" spans="18:19" x14ac:dyDescent="0.25">
      <c r="R6856" s="13">
        <v>6783</v>
      </c>
      <c r="S6856" s="13">
        <v>183535365.40648651</v>
      </c>
    </row>
    <row r="6857" spans="18:19" x14ac:dyDescent="0.25">
      <c r="R6857" s="13">
        <v>6784</v>
      </c>
      <c r="S6857" s="13">
        <v>595836314.11706543</v>
      </c>
    </row>
    <row r="6858" spans="18:19" x14ac:dyDescent="0.25">
      <c r="R6858" s="13">
        <v>6785</v>
      </c>
      <c r="S6858" s="13">
        <v>0</v>
      </c>
    </row>
    <row r="6859" spans="18:19" x14ac:dyDescent="0.25">
      <c r="R6859" s="13">
        <v>6786</v>
      </c>
      <c r="S6859" s="13">
        <v>0</v>
      </c>
    </row>
    <row r="6860" spans="18:19" x14ac:dyDescent="0.25">
      <c r="R6860" s="13">
        <v>6787</v>
      </c>
      <c r="S6860" s="13">
        <v>0</v>
      </c>
    </row>
    <row r="6861" spans="18:19" x14ac:dyDescent="0.25">
      <c r="R6861" s="13">
        <v>6788</v>
      </c>
      <c r="S6861" s="13">
        <v>31788164.175743103</v>
      </c>
    </row>
    <row r="6862" spans="18:19" x14ac:dyDescent="0.25">
      <c r="R6862" s="13">
        <v>6789</v>
      </c>
      <c r="S6862" s="13">
        <v>327654646.38224983</v>
      </c>
    </row>
    <row r="6863" spans="18:19" x14ac:dyDescent="0.25">
      <c r="R6863" s="13">
        <v>6790</v>
      </c>
      <c r="S6863" s="13">
        <v>0</v>
      </c>
    </row>
    <row r="6864" spans="18:19" x14ac:dyDescent="0.25">
      <c r="R6864" s="13">
        <v>6791</v>
      </c>
      <c r="S6864" s="13">
        <v>0</v>
      </c>
    </row>
    <row r="6865" spans="18:19" x14ac:dyDescent="0.25">
      <c r="R6865" s="13">
        <v>6792</v>
      </c>
      <c r="S6865" s="13">
        <v>0</v>
      </c>
    </row>
    <row r="6866" spans="18:19" x14ac:dyDescent="0.25">
      <c r="R6866" s="13">
        <v>6793</v>
      </c>
      <c r="S6866" s="13">
        <v>0</v>
      </c>
    </row>
    <row r="6867" spans="18:19" x14ac:dyDescent="0.25">
      <c r="R6867" s="13">
        <v>6794</v>
      </c>
      <c r="S6867" s="13">
        <v>0</v>
      </c>
    </row>
    <row r="6868" spans="18:19" x14ac:dyDescent="0.25">
      <c r="R6868" s="13">
        <v>6795</v>
      </c>
      <c r="S6868" s="13">
        <v>0</v>
      </c>
    </row>
    <row r="6869" spans="18:19" x14ac:dyDescent="0.25">
      <c r="R6869" s="13">
        <v>6796</v>
      </c>
      <c r="S6869" s="13">
        <v>0</v>
      </c>
    </row>
    <row r="6870" spans="18:19" x14ac:dyDescent="0.25">
      <c r="R6870" s="13">
        <v>6797</v>
      </c>
      <c r="S6870" s="13">
        <v>0</v>
      </c>
    </row>
    <row r="6871" spans="18:19" x14ac:dyDescent="0.25">
      <c r="R6871" s="13">
        <v>6798</v>
      </c>
      <c r="S6871" s="13">
        <v>0</v>
      </c>
    </row>
    <row r="6872" spans="18:19" x14ac:dyDescent="0.25">
      <c r="R6872" s="13">
        <v>6799</v>
      </c>
      <c r="S6872" s="13">
        <v>0</v>
      </c>
    </row>
    <row r="6873" spans="18:19" x14ac:dyDescent="0.25">
      <c r="R6873" s="13">
        <v>6800</v>
      </c>
      <c r="S6873" s="13">
        <v>0</v>
      </c>
    </row>
    <row r="6874" spans="18:19" x14ac:dyDescent="0.25">
      <c r="R6874" s="13">
        <v>6801</v>
      </c>
      <c r="S6874" s="13">
        <v>0</v>
      </c>
    </row>
    <row r="6875" spans="18:19" x14ac:dyDescent="0.25">
      <c r="R6875" s="13">
        <v>6802</v>
      </c>
      <c r="S6875" s="13">
        <v>0</v>
      </c>
    </row>
    <row r="6876" spans="18:19" x14ac:dyDescent="0.25">
      <c r="R6876" s="13">
        <v>6803</v>
      </c>
      <c r="S6876" s="13">
        <v>0</v>
      </c>
    </row>
    <row r="6877" spans="18:19" x14ac:dyDescent="0.25">
      <c r="R6877" s="13">
        <v>6804</v>
      </c>
      <c r="S6877" s="13">
        <v>0</v>
      </c>
    </row>
    <row r="6878" spans="18:19" x14ac:dyDescent="0.25">
      <c r="R6878" s="13">
        <v>6805</v>
      </c>
      <c r="S6878" s="13">
        <v>209560913.41324615</v>
      </c>
    </row>
    <row r="6879" spans="18:19" x14ac:dyDescent="0.25">
      <c r="R6879" s="13">
        <v>6806</v>
      </c>
      <c r="S6879" s="13">
        <v>0</v>
      </c>
    </row>
    <row r="6880" spans="18:19" x14ac:dyDescent="0.25">
      <c r="R6880" s="13">
        <v>6807</v>
      </c>
      <c r="S6880" s="13">
        <v>0</v>
      </c>
    </row>
    <row r="6881" spans="18:19" x14ac:dyDescent="0.25">
      <c r="R6881" s="13">
        <v>6808</v>
      </c>
      <c r="S6881" s="13">
        <v>0</v>
      </c>
    </row>
    <row r="6882" spans="18:19" x14ac:dyDescent="0.25">
      <c r="R6882" s="13">
        <v>6809</v>
      </c>
      <c r="S6882" s="13">
        <v>0</v>
      </c>
    </row>
    <row r="6883" spans="18:19" x14ac:dyDescent="0.25">
      <c r="R6883" s="13">
        <v>6810</v>
      </c>
      <c r="S6883" s="13">
        <v>0</v>
      </c>
    </row>
    <row r="6884" spans="18:19" x14ac:dyDescent="0.25">
      <c r="R6884" s="13">
        <v>6811</v>
      </c>
      <c r="S6884" s="13">
        <v>0</v>
      </c>
    </row>
    <row r="6885" spans="18:19" x14ac:dyDescent="0.25">
      <c r="R6885" s="13">
        <v>6812</v>
      </c>
      <c r="S6885" s="13">
        <v>27320660.751409531</v>
      </c>
    </row>
    <row r="6886" spans="18:19" x14ac:dyDescent="0.25">
      <c r="R6886" s="13">
        <v>6813</v>
      </c>
      <c r="S6886" s="13">
        <v>0</v>
      </c>
    </row>
    <row r="6887" spans="18:19" x14ac:dyDescent="0.25">
      <c r="R6887" s="13">
        <v>6814</v>
      </c>
      <c r="S6887" s="13">
        <v>0</v>
      </c>
    </row>
    <row r="6888" spans="18:19" x14ac:dyDescent="0.25">
      <c r="R6888" s="13">
        <v>6815</v>
      </c>
      <c r="S6888" s="13">
        <v>62798827.743486404</v>
      </c>
    </row>
    <row r="6889" spans="18:19" x14ac:dyDescent="0.25">
      <c r="R6889" s="13">
        <v>6816</v>
      </c>
      <c r="S6889" s="13">
        <v>0</v>
      </c>
    </row>
    <row r="6890" spans="18:19" x14ac:dyDescent="0.25">
      <c r="R6890" s="13">
        <v>6817</v>
      </c>
      <c r="S6890" s="13">
        <v>0</v>
      </c>
    </row>
    <row r="6891" spans="18:19" x14ac:dyDescent="0.25">
      <c r="R6891" s="13">
        <v>6818</v>
      </c>
      <c r="S6891" s="13">
        <v>0</v>
      </c>
    </row>
    <row r="6892" spans="18:19" x14ac:dyDescent="0.25">
      <c r="R6892" s="13">
        <v>6819</v>
      </c>
      <c r="S6892" s="13">
        <v>805125139.72742271</v>
      </c>
    </row>
    <row r="6893" spans="18:19" x14ac:dyDescent="0.25">
      <c r="R6893" s="13">
        <v>6820</v>
      </c>
      <c r="S6893" s="13">
        <v>0</v>
      </c>
    </row>
    <row r="6894" spans="18:19" x14ac:dyDescent="0.25">
      <c r="R6894" s="13">
        <v>6821</v>
      </c>
      <c r="S6894" s="13">
        <v>416620917.38827515</v>
      </c>
    </row>
    <row r="6895" spans="18:19" x14ac:dyDescent="0.25">
      <c r="R6895" s="13">
        <v>6822</v>
      </c>
      <c r="S6895" s="13">
        <v>0</v>
      </c>
    </row>
    <row r="6896" spans="18:19" x14ac:dyDescent="0.25">
      <c r="R6896" s="13">
        <v>6823</v>
      </c>
      <c r="S6896" s="13">
        <v>0</v>
      </c>
    </row>
    <row r="6897" spans="18:19" x14ac:dyDescent="0.25">
      <c r="R6897" s="13">
        <v>6824</v>
      </c>
      <c r="S6897" s="13">
        <v>1994929.4637203217</v>
      </c>
    </row>
    <row r="6898" spans="18:19" x14ac:dyDescent="0.25">
      <c r="R6898" s="13">
        <v>6825</v>
      </c>
      <c r="S6898" s="13">
        <v>0</v>
      </c>
    </row>
    <row r="6899" spans="18:19" x14ac:dyDescent="0.25">
      <c r="R6899" s="13">
        <v>6826</v>
      </c>
      <c r="S6899" s="13">
        <v>0</v>
      </c>
    </row>
    <row r="6900" spans="18:19" x14ac:dyDescent="0.25">
      <c r="R6900" s="13">
        <v>6827</v>
      </c>
      <c r="S6900" s="13">
        <v>649353365.22419548</v>
      </c>
    </row>
    <row r="6901" spans="18:19" x14ac:dyDescent="0.25">
      <c r="R6901" s="13">
        <v>6828</v>
      </c>
      <c r="S6901" s="13">
        <v>0</v>
      </c>
    </row>
    <row r="6902" spans="18:19" x14ac:dyDescent="0.25">
      <c r="R6902" s="13">
        <v>6829</v>
      </c>
      <c r="S6902" s="13">
        <v>0</v>
      </c>
    </row>
    <row r="6903" spans="18:19" x14ac:dyDescent="0.25">
      <c r="R6903" s="13">
        <v>6830</v>
      </c>
      <c r="S6903" s="13">
        <v>0</v>
      </c>
    </row>
    <row r="6904" spans="18:19" x14ac:dyDescent="0.25">
      <c r="R6904" s="13">
        <v>6831</v>
      </c>
      <c r="S6904" s="13">
        <v>0</v>
      </c>
    </row>
    <row r="6905" spans="18:19" x14ac:dyDescent="0.25">
      <c r="R6905" s="13">
        <v>6832</v>
      </c>
      <c r="S6905" s="13">
        <v>130825872.28876686</v>
      </c>
    </row>
    <row r="6906" spans="18:19" x14ac:dyDescent="0.25">
      <c r="R6906" s="13">
        <v>6833</v>
      </c>
      <c r="S6906" s="13">
        <v>0</v>
      </c>
    </row>
    <row r="6907" spans="18:19" x14ac:dyDescent="0.25">
      <c r="R6907" s="13">
        <v>6834</v>
      </c>
      <c r="S6907" s="13">
        <v>0</v>
      </c>
    </row>
    <row r="6908" spans="18:19" x14ac:dyDescent="0.25">
      <c r="R6908" s="13">
        <v>6835</v>
      </c>
      <c r="S6908" s="13">
        <v>0</v>
      </c>
    </row>
    <row r="6909" spans="18:19" x14ac:dyDescent="0.25">
      <c r="R6909" s="13">
        <v>6836</v>
      </c>
      <c r="S6909" s="13">
        <v>0</v>
      </c>
    </row>
    <row r="6910" spans="18:19" x14ac:dyDescent="0.25">
      <c r="R6910" s="13">
        <v>6837</v>
      </c>
      <c r="S6910" s="13">
        <v>0</v>
      </c>
    </row>
    <row r="6911" spans="18:19" x14ac:dyDescent="0.25">
      <c r="R6911" s="13">
        <v>6838</v>
      </c>
      <c r="S6911" s="13">
        <v>0</v>
      </c>
    </row>
    <row r="6912" spans="18:19" x14ac:dyDescent="0.25">
      <c r="R6912" s="13">
        <v>6839</v>
      </c>
      <c r="S6912" s="13">
        <v>0</v>
      </c>
    </row>
    <row r="6913" spans="18:19" x14ac:dyDescent="0.25">
      <c r="R6913" s="13">
        <v>6840</v>
      </c>
      <c r="S6913" s="13">
        <v>0</v>
      </c>
    </row>
    <row r="6914" spans="18:19" x14ac:dyDescent="0.25">
      <c r="R6914" s="13">
        <v>6841</v>
      </c>
      <c r="S6914" s="13">
        <v>0</v>
      </c>
    </row>
    <row r="6915" spans="18:19" x14ac:dyDescent="0.25">
      <c r="R6915" s="13">
        <v>6842</v>
      </c>
      <c r="S6915" s="13">
        <v>0</v>
      </c>
    </row>
    <row r="6916" spans="18:19" x14ac:dyDescent="0.25">
      <c r="R6916" s="13">
        <v>6843</v>
      </c>
      <c r="S6916" s="13">
        <v>0</v>
      </c>
    </row>
    <row r="6917" spans="18:19" x14ac:dyDescent="0.25">
      <c r="R6917" s="13">
        <v>6844</v>
      </c>
      <c r="S6917" s="13">
        <v>0</v>
      </c>
    </row>
    <row r="6918" spans="18:19" x14ac:dyDescent="0.25">
      <c r="R6918" s="13">
        <v>6845</v>
      </c>
      <c r="S6918" s="13">
        <v>27370364.733243942</v>
      </c>
    </row>
    <row r="6919" spans="18:19" x14ac:dyDescent="0.25">
      <c r="R6919" s="13">
        <v>6846</v>
      </c>
      <c r="S6919" s="13">
        <v>0</v>
      </c>
    </row>
    <row r="6920" spans="18:19" x14ac:dyDescent="0.25">
      <c r="R6920" s="13">
        <v>6847</v>
      </c>
      <c r="S6920" s="13">
        <v>0</v>
      </c>
    </row>
    <row r="6921" spans="18:19" x14ac:dyDescent="0.25">
      <c r="R6921" s="13">
        <v>6848</v>
      </c>
      <c r="S6921" s="13">
        <v>0</v>
      </c>
    </row>
    <row r="6922" spans="18:19" x14ac:dyDescent="0.25">
      <c r="R6922" s="13">
        <v>6849</v>
      </c>
      <c r="S6922" s="13">
        <v>0</v>
      </c>
    </row>
    <row r="6923" spans="18:19" x14ac:dyDescent="0.25">
      <c r="R6923" s="13">
        <v>6850</v>
      </c>
      <c r="S6923" s="13">
        <v>0</v>
      </c>
    </row>
    <row r="6924" spans="18:19" x14ac:dyDescent="0.25">
      <c r="R6924" s="13">
        <v>6851</v>
      </c>
      <c r="S6924" s="13">
        <v>625825554.49748993</v>
      </c>
    </row>
    <row r="6925" spans="18:19" x14ac:dyDescent="0.25">
      <c r="R6925" s="13">
        <v>6852</v>
      </c>
      <c r="S6925" s="13">
        <v>0</v>
      </c>
    </row>
    <row r="6926" spans="18:19" x14ac:dyDescent="0.25">
      <c r="R6926" s="13">
        <v>6853</v>
      </c>
      <c r="S6926" s="13">
        <v>148458677.54153442</v>
      </c>
    </row>
    <row r="6927" spans="18:19" x14ac:dyDescent="0.25">
      <c r="R6927" s="13">
        <v>6854</v>
      </c>
      <c r="S6927" s="13">
        <v>0</v>
      </c>
    </row>
    <row r="6928" spans="18:19" x14ac:dyDescent="0.25">
      <c r="R6928" s="13">
        <v>6855</v>
      </c>
      <c r="S6928" s="13">
        <v>0</v>
      </c>
    </row>
    <row r="6929" spans="18:19" x14ac:dyDescent="0.25">
      <c r="R6929" s="13">
        <v>6856</v>
      </c>
      <c r="S6929" s="13">
        <v>0</v>
      </c>
    </row>
    <row r="6930" spans="18:19" x14ac:dyDescent="0.25">
      <c r="R6930" s="13">
        <v>6857</v>
      </c>
      <c r="S6930" s="13">
        <v>0</v>
      </c>
    </row>
    <row r="6931" spans="18:19" x14ac:dyDescent="0.25">
      <c r="R6931" s="13">
        <v>6858</v>
      </c>
      <c r="S6931" s="13">
        <v>0</v>
      </c>
    </row>
    <row r="6932" spans="18:19" x14ac:dyDescent="0.25">
      <c r="R6932" s="13">
        <v>6859</v>
      </c>
      <c r="S6932" s="13">
        <v>0</v>
      </c>
    </row>
    <row r="6933" spans="18:19" x14ac:dyDescent="0.25">
      <c r="R6933" s="13">
        <v>6860</v>
      </c>
      <c r="S6933" s="13">
        <v>0</v>
      </c>
    </row>
    <row r="6934" spans="18:19" x14ac:dyDescent="0.25">
      <c r="R6934" s="13">
        <v>6861</v>
      </c>
      <c r="S6934" s="13">
        <v>0</v>
      </c>
    </row>
    <row r="6935" spans="18:19" x14ac:dyDescent="0.25">
      <c r="R6935" s="13">
        <v>6862</v>
      </c>
      <c r="S6935" s="13">
        <v>0</v>
      </c>
    </row>
    <row r="6936" spans="18:19" x14ac:dyDescent="0.25">
      <c r="R6936" s="13">
        <v>6863</v>
      </c>
      <c r="S6936" s="13">
        <v>359548485.4217968</v>
      </c>
    </row>
    <row r="6937" spans="18:19" x14ac:dyDescent="0.25">
      <c r="R6937" s="13">
        <v>6864</v>
      </c>
      <c r="S6937" s="13">
        <v>237112356.30851555</v>
      </c>
    </row>
    <row r="6938" spans="18:19" x14ac:dyDescent="0.25">
      <c r="R6938" s="13">
        <v>6865</v>
      </c>
      <c r="S6938" s="13">
        <v>0</v>
      </c>
    </row>
    <row r="6939" spans="18:19" x14ac:dyDescent="0.25">
      <c r="R6939" s="13">
        <v>6866</v>
      </c>
      <c r="S6939" s="13">
        <v>98761124.202846527</v>
      </c>
    </row>
    <row r="6940" spans="18:19" x14ac:dyDescent="0.25">
      <c r="R6940" s="13">
        <v>6867</v>
      </c>
      <c r="S6940" s="13">
        <v>0</v>
      </c>
    </row>
    <row r="6941" spans="18:19" x14ac:dyDescent="0.25">
      <c r="R6941" s="13">
        <v>6868</v>
      </c>
      <c r="S6941" s="13">
        <v>0</v>
      </c>
    </row>
    <row r="6942" spans="18:19" x14ac:dyDescent="0.25">
      <c r="R6942" s="13">
        <v>6869</v>
      </c>
      <c r="S6942" s="13">
        <v>0</v>
      </c>
    </row>
    <row r="6943" spans="18:19" x14ac:dyDescent="0.25">
      <c r="R6943" s="13">
        <v>6870</v>
      </c>
      <c r="S6943" s="13">
        <v>0</v>
      </c>
    </row>
    <row r="6944" spans="18:19" x14ac:dyDescent="0.25">
      <c r="R6944" s="13">
        <v>6871</v>
      </c>
      <c r="S6944" s="13">
        <v>0</v>
      </c>
    </row>
    <row r="6945" spans="18:19" x14ac:dyDescent="0.25">
      <c r="R6945" s="13">
        <v>6872</v>
      </c>
      <c r="S6945" s="13">
        <v>0</v>
      </c>
    </row>
    <row r="6946" spans="18:19" x14ac:dyDescent="0.25">
      <c r="R6946" s="13">
        <v>6873</v>
      </c>
      <c r="S6946" s="13">
        <v>30573667.602977753</v>
      </c>
    </row>
    <row r="6947" spans="18:19" x14ac:dyDescent="0.25">
      <c r="R6947" s="13">
        <v>6874</v>
      </c>
      <c r="S6947" s="13">
        <v>0</v>
      </c>
    </row>
    <row r="6948" spans="18:19" x14ac:dyDescent="0.25">
      <c r="R6948" s="13">
        <v>6875</v>
      </c>
      <c r="S6948" s="13">
        <v>0</v>
      </c>
    </row>
    <row r="6949" spans="18:19" x14ac:dyDescent="0.25">
      <c r="R6949" s="13">
        <v>6876</v>
      </c>
      <c r="S6949" s="13">
        <v>0</v>
      </c>
    </row>
    <row r="6950" spans="18:19" x14ac:dyDescent="0.25">
      <c r="R6950" s="13">
        <v>6877</v>
      </c>
      <c r="S6950" s="13">
        <v>331267469.4695034</v>
      </c>
    </row>
    <row r="6951" spans="18:19" x14ac:dyDescent="0.25">
      <c r="R6951" s="13">
        <v>6878</v>
      </c>
      <c r="S6951" s="13">
        <v>0</v>
      </c>
    </row>
    <row r="6952" spans="18:19" x14ac:dyDescent="0.25">
      <c r="R6952" s="13">
        <v>6879</v>
      </c>
      <c r="S6952" s="13">
        <v>0</v>
      </c>
    </row>
    <row r="6953" spans="18:19" x14ac:dyDescent="0.25">
      <c r="R6953" s="13">
        <v>6880</v>
      </c>
      <c r="S6953" s="13">
        <v>0</v>
      </c>
    </row>
    <row r="6954" spans="18:19" x14ac:dyDescent="0.25">
      <c r="R6954" s="13">
        <v>6881</v>
      </c>
      <c r="S6954" s="13">
        <v>0</v>
      </c>
    </row>
    <row r="6955" spans="18:19" x14ac:dyDescent="0.25">
      <c r="R6955" s="13">
        <v>6882</v>
      </c>
      <c r="S6955" s="13">
        <v>0</v>
      </c>
    </row>
    <row r="6956" spans="18:19" x14ac:dyDescent="0.25">
      <c r="R6956" s="13">
        <v>6883</v>
      </c>
      <c r="S6956" s="13">
        <v>0</v>
      </c>
    </row>
    <row r="6957" spans="18:19" x14ac:dyDescent="0.25">
      <c r="R6957" s="13">
        <v>6884</v>
      </c>
      <c r="S6957" s="13">
        <v>0</v>
      </c>
    </row>
    <row r="6958" spans="18:19" x14ac:dyDescent="0.25">
      <c r="R6958" s="13">
        <v>6885</v>
      </c>
      <c r="S6958" s="13">
        <v>1108918290.3125458</v>
      </c>
    </row>
    <row r="6959" spans="18:19" x14ac:dyDescent="0.25">
      <c r="R6959" s="13">
        <v>6886</v>
      </c>
      <c r="S6959" s="13">
        <v>709695090.96084595</v>
      </c>
    </row>
    <row r="6960" spans="18:19" x14ac:dyDescent="0.25">
      <c r="R6960" s="13">
        <v>6887</v>
      </c>
      <c r="S6960" s="13">
        <v>0</v>
      </c>
    </row>
    <row r="6961" spans="18:19" x14ac:dyDescent="0.25">
      <c r="R6961" s="13">
        <v>6888</v>
      </c>
      <c r="S6961" s="13">
        <v>0</v>
      </c>
    </row>
    <row r="6962" spans="18:19" x14ac:dyDescent="0.25">
      <c r="R6962" s="13">
        <v>6889</v>
      </c>
      <c r="S6962" s="13">
        <v>0</v>
      </c>
    </row>
    <row r="6963" spans="18:19" x14ac:dyDescent="0.25">
      <c r="R6963" s="13">
        <v>6890</v>
      </c>
      <c r="S6963" s="13">
        <v>0</v>
      </c>
    </row>
    <row r="6964" spans="18:19" x14ac:dyDescent="0.25">
      <c r="R6964" s="13">
        <v>6891</v>
      </c>
      <c r="S6964" s="13">
        <v>869938937.45563889</v>
      </c>
    </row>
    <row r="6965" spans="18:19" x14ac:dyDescent="0.25">
      <c r="R6965" s="13">
        <v>6892</v>
      </c>
      <c r="S6965" s="13">
        <v>0</v>
      </c>
    </row>
    <row r="6966" spans="18:19" x14ac:dyDescent="0.25">
      <c r="R6966" s="13">
        <v>6893</v>
      </c>
      <c r="S6966" s="13">
        <v>121240849.22020721</v>
      </c>
    </row>
    <row r="6967" spans="18:19" x14ac:dyDescent="0.25">
      <c r="R6967" s="13">
        <v>6894</v>
      </c>
      <c r="S6967" s="13">
        <v>0</v>
      </c>
    </row>
    <row r="6968" spans="18:19" x14ac:dyDescent="0.25">
      <c r="R6968" s="13">
        <v>6895</v>
      </c>
      <c r="S6968" s="13">
        <v>0</v>
      </c>
    </row>
    <row r="6969" spans="18:19" x14ac:dyDescent="0.25">
      <c r="R6969" s="13">
        <v>6896</v>
      </c>
      <c r="S6969" s="13">
        <v>0</v>
      </c>
    </row>
    <row r="6970" spans="18:19" x14ac:dyDescent="0.25">
      <c r="R6970" s="13">
        <v>6897</v>
      </c>
      <c r="S6970" s="13">
        <v>687070813.15530777</v>
      </c>
    </row>
    <row r="6971" spans="18:19" x14ac:dyDescent="0.25">
      <c r="R6971" s="13">
        <v>6898</v>
      </c>
      <c r="S6971" s="13">
        <v>0</v>
      </c>
    </row>
    <row r="6972" spans="18:19" x14ac:dyDescent="0.25">
      <c r="R6972" s="13">
        <v>6899</v>
      </c>
      <c r="S6972" s="13">
        <v>0</v>
      </c>
    </row>
    <row r="6973" spans="18:19" x14ac:dyDescent="0.25">
      <c r="R6973" s="13">
        <v>6900</v>
      </c>
      <c r="S6973" s="13">
        <v>0</v>
      </c>
    </row>
    <row r="6974" spans="18:19" x14ac:dyDescent="0.25">
      <c r="R6974" s="13">
        <v>6901</v>
      </c>
      <c r="S6974" s="13">
        <v>451985241.62936401</v>
      </c>
    </row>
    <row r="6975" spans="18:19" x14ac:dyDescent="0.25">
      <c r="R6975" s="13">
        <v>6902</v>
      </c>
      <c r="S6975" s="13">
        <v>0</v>
      </c>
    </row>
    <row r="6976" spans="18:19" x14ac:dyDescent="0.25">
      <c r="R6976" s="13">
        <v>6903</v>
      </c>
      <c r="S6976" s="13">
        <v>0</v>
      </c>
    </row>
    <row r="6977" spans="18:19" x14ac:dyDescent="0.25">
      <c r="R6977" s="13">
        <v>6904</v>
      </c>
      <c r="S6977" s="13">
        <v>0</v>
      </c>
    </row>
    <row r="6978" spans="18:19" x14ac:dyDescent="0.25">
      <c r="R6978" s="13">
        <v>6905</v>
      </c>
      <c r="S6978" s="13">
        <v>0</v>
      </c>
    </row>
    <row r="6979" spans="18:19" x14ac:dyDescent="0.25">
      <c r="R6979" s="13">
        <v>6906</v>
      </c>
      <c r="S6979" s="13">
        <v>106025217.56639671</v>
      </c>
    </row>
    <row r="6980" spans="18:19" x14ac:dyDescent="0.25">
      <c r="R6980" s="13">
        <v>6907</v>
      </c>
      <c r="S6980" s="13">
        <v>0</v>
      </c>
    </row>
    <row r="6981" spans="18:19" x14ac:dyDescent="0.25">
      <c r="R6981" s="13">
        <v>6908</v>
      </c>
      <c r="S6981" s="13">
        <v>0</v>
      </c>
    </row>
    <row r="6982" spans="18:19" x14ac:dyDescent="0.25">
      <c r="R6982" s="13">
        <v>6909</v>
      </c>
      <c r="S6982" s="13">
        <v>0</v>
      </c>
    </row>
    <row r="6983" spans="18:19" x14ac:dyDescent="0.25">
      <c r="R6983" s="13">
        <v>6910</v>
      </c>
      <c r="S6983" s="13">
        <v>321387383.47789192</v>
      </c>
    </row>
    <row r="6984" spans="18:19" x14ac:dyDescent="0.25">
      <c r="R6984" s="13">
        <v>6911</v>
      </c>
      <c r="S6984" s="13">
        <v>271433983.34521294</v>
      </c>
    </row>
    <row r="6985" spans="18:19" x14ac:dyDescent="0.25">
      <c r="R6985" s="13">
        <v>6912</v>
      </c>
      <c r="S6985" s="13">
        <v>0</v>
      </c>
    </row>
    <row r="6986" spans="18:19" x14ac:dyDescent="0.25">
      <c r="R6986" s="13">
        <v>6913</v>
      </c>
      <c r="S6986" s="13">
        <v>0</v>
      </c>
    </row>
    <row r="6987" spans="18:19" x14ac:dyDescent="0.25">
      <c r="R6987" s="13">
        <v>6914</v>
      </c>
      <c r="S6987" s="13">
        <v>0</v>
      </c>
    </row>
    <row r="6988" spans="18:19" x14ac:dyDescent="0.25">
      <c r="R6988" s="13">
        <v>6915</v>
      </c>
      <c r="S6988" s="13">
        <v>0</v>
      </c>
    </row>
    <row r="6989" spans="18:19" x14ac:dyDescent="0.25">
      <c r="R6989" s="13">
        <v>6916</v>
      </c>
      <c r="S6989" s="13">
        <v>702494763.90670395</v>
      </c>
    </row>
    <row r="6990" spans="18:19" x14ac:dyDescent="0.25">
      <c r="R6990" s="13">
        <v>6917</v>
      </c>
      <c r="S6990" s="13">
        <v>0</v>
      </c>
    </row>
    <row r="6991" spans="18:19" x14ac:dyDescent="0.25">
      <c r="R6991" s="13">
        <v>6918</v>
      </c>
      <c r="S6991" s="13">
        <v>0</v>
      </c>
    </row>
    <row r="6992" spans="18:19" x14ac:dyDescent="0.25">
      <c r="R6992" s="13">
        <v>6919</v>
      </c>
      <c r="S6992" s="13">
        <v>0</v>
      </c>
    </row>
    <row r="6993" spans="18:19" x14ac:dyDescent="0.25">
      <c r="R6993" s="13">
        <v>6920</v>
      </c>
      <c r="S6993" s="13">
        <v>0</v>
      </c>
    </row>
    <row r="6994" spans="18:19" x14ac:dyDescent="0.25">
      <c r="R6994" s="13">
        <v>6921</v>
      </c>
      <c r="S6994" s="13">
        <v>0</v>
      </c>
    </row>
    <row r="6995" spans="18:19" x14ac:dyDescent="0.25">
      <c r="R6995" s="13">
        <v>6922</v>
      </c>
      <c r="S6995" s="13">
        <v>0</v>
      </c>
    </row>
    <row r="6996" spans="18:19" x14ac:dyDescent="0.25">
      <c r="R6996" s="13">
        <v>6923</v>
      </c>
      <c r="S6996" s="13">
        <v>743348210.84598351</v>
      </c>
    </row>
    <row r="6997" spans="18:19" x14ac:dyDescent="0.25">
      <c r="R6997" s="13">
        <v>6924</v>
      </c>
      <c r="S6997" s="13">
        <v>0</v>
      </c>
    </row>
    <row r="6998" spans="18:19" x14ac:dyDescent="0.25">
      <c r="R6998" s="13">
        <v>6925</v>
      </c>
      <c r="S6998" s="13">
        <v>0</v>
      </c>
    </row>
    <row r="6999" spans="18:19" x14ac:dyDescent="0.25">
      <c r="R6999" s="13">
        <v>6926</v>
      </c>
      <c r="S6999" s="13">
        <v>0</v>
      </c>
    </row>
    <row r="7000" spans="18:19" x14ac:dyDescent="0.25">
      <c r="R7000" s="13">
        <v>6927</v>
      </c>
      <c r="S7000" s="13">
        <v>0</v>
      </c>
    </row>
    <row r="7001" spans="18:19" x14ac:dyDescent="0.25">
      <c r="R7001" s="13">
        <v>6928</v>
      </c>
      <c r="S7001" s="13">
        <v>0</v>
      </c>
    </row>
    <row r="7002" spans="18:19" x14ac:dyDescent="0.25">
      <c r="R7002" s="13">
        <v>6929</v>
      </c>
      <c r="S7002" s="13">
        <v>0</v>
      </c>
    </row>
    <row r="7003" spans="18:19" x14ac:dyDescent="0.25">
      <c r="R7003" s="13">
        <v>6930</v>
      </c>
      <c r="S7003" s="13">
        <v>0</v>
      </c>
    </row>
    <row r="7004" spans="18:19" x14ac:dyDescent="0.25">
      <c r="R7004" s="13">
        <v>6931</v>
      </c>
      <c r="S7004" s="13">
        <v>986012222.22928238</v>
      </c>
    </row>
    <row r="7005" spans="18:19" x14ac:dyDescent="0.25">
      <c r="R7005" s="13">
        <v>6932</v>
      </c>
      <c r="S7005" s="13">
        <v>0</v>
      </c>
    </row>
    <row r="7006" spans="18:19" x14ac:dyDescent="0.25">
      <c r="R7006" s="13">
        <v>6933</v>
      </c>
      <c r="S7006" s="13">
        <v>0</v>
      </c>
    </row>
    <row r="7007" spans="18:19" x14ac:dyDescent="0.25">
      <c r="R7007" s="13">
        <v>6934</v>
      </c>
      <c r="S7007" s="13">
        <v>226517692.47767639</v>
      </c>
    </row>
    <row r="7008" spans="18:19" x14ac:dyDescent="0.25">
      <c r="R7008" s="13">
        <v>6935</v>
      </c>
      <c r="S7008" s="13">
        <v>0</v>
      </c>
    </row>
    <row r="7009" spans="18:19" x14ac:dyDescent="0.25">
      <c r="R7009" s="13">
        <v>6936</v>
      </c>
      <c r="S7009" s="13">
        <v>0</v>
      </c>
    </row>
    <row r="7010" spans="18:19" x14ac:dyDescent="0.25">
      <c r="R7010" s="13">
        <v>6937</v>
      </c>
      <c r="S7010" s="13">
        <v>112745442.30309677</v>
      </c>
    </row>
    <row r="7011" spans="18:19" x14ac:dyDescent="0.25">
      <c r="R7011" s="13">
        <v>6938</v>
      </c>
      <c r="S7011" s="13">
        <v>83678198.110679626</v>
      </c>
    </row>
    <row r="7012" spans="18:19" x14ac:dyDescent="0.25">
      <c r="R7012" s="13">
        <v>6939</v>
      </c>
      <c r="S7012" s="13">
        <v>0</v>
      </c>
    </row>
    <row r="7013" spans="18:19" x14ac:dyDescent="0.25">
      <c r="R7013" s="13">
        <v>6940</v>
      </c>
      <c r="S7013" s="13">
        <v>0</v>
      </c>
    </row>
    <row r="7014" spans="18:19" x14ac:dyDescent="0.25">
      <c r="R7014" s="13">
        <v>6941</v>
      </c>
      <c r="S7014" s="13">
        <v>482306026.21236801</v>
      </c>
    </row>
    <row r="7015" spans="18:19" x14ac:dyDescent="0.25">
      <c r="R7015" s="13">
        <v>6942</v>
      </c>
      <c r="S7015" s="13">
        <v>546269393.99807549</v>
      </c>
    </row>
    <row r="7016" spans="18:19" x14ac:dyDescent="0.25">
      <c r="R7016" s="13">
        <v>6943</v>
      </c>
      <c r="S7016" s="13">
        <v>991426148.55380058</v>
      </c>
    </row>
    <row r="7017" spans="18:19" x14ac:dyDescent="0.25">
      <c r="R7017" s="13">
        <v>6944</v>
      </c>
      <c r="S7017" s="13">
        <v>0</v>
      </c>
    </row>
    <row r="7018" spans="18:19" x14ac:dyDescent="0.25">
      <c r="R7018" s="13">
        <v>6945</v>
      </c>
      <c r="S7018" s="13">
        <v>0</v>
      </c>
    </row>
    <row r="7019" spans="18:19" x14ac:dyDescent="0.25">
      <c r="R7019" s="13">
        <v>6946</v>
      </c>
      <c r="S7019" s="13">
        <v>0</v>
      </c>
    </row>
    <row r="7020" spans="18:19" x14ac:dyDescent="0.25">
      <c r="R7020" s="13">
        <v>6947</v>
      </c>
      <c r="S7020" s="13">
        <v>536243971.21596146</v>
      </c>
    </row>
    <row r="7021" spans="18:19" x14ac:dyDescent="0.25">
      <c r="R7021" s="13">
        <v>6948</v>
      </c>
      <c r="S7021" s="13">
        <v>0</v>
      </c>
    </row>
    <row r="7022" spans="18:19" x14ac:dyDescent="0.25">
      <c r="R7022" s="13">
        <v>6949</v>
      </c>
      <c r="S7022" s="13">
        <v>0</v>
      </c>
    </row>
    <row r="7023" spans="18:19" x14ac:dyDescent="0.25">
      <c r="R7023" s="13">
        <v>6950</v>
      </c>
      <c r="S7023" s="13">
        <v>0</v>
      </c>
    </row>
    <row r="7024" spans="18:19" x14ac:dyDescent="0.25">
      <c r="R7024" s="13">
        <v>6951</v>
      </c>
      <c r="S7024" s="13">
        <v>0</v>
      </c>
    </row>
    <row r="7025" spans="18:19" x14ac:dyDescent="0.25">
      <c r="R7025" s="13">
        <v>6952</v>
      </c>
      <c r="S7025" s="13">
        <v>0</v>
      </c>
    </row>
    <row r="7026" spans="18:19" x14ac:dyDescent="0.25">
      <c r="R7026" s="13">
        <v>6953</v>
      </c>
      <c r="S7026" s="13">
        <v>0</v>
      </c>
    </row>
    <row r="7027" spans="18:19" x14ac:dyDescent="0.25">
      <c r="R7027" s="13">
        <v>6954</v>
      </c>
      <c r="S7027" s="13">
        <v>0</v>
      </c>
    </row>
    <row r="7028" spans="18:19" x14ac:dyDescent="0.25">
      <c r="R7028" s="13">
        <v>6955</v>
      </c>
      <c r="S7028" s="13">
        <v>850109028.62850761</v>
      </c>
    </row>
    <row r="7029" spans="18:19" x14ac:dyDescent="0.25">
      <c r="R7029" s="13">
        <v>6956</v>
      </c>
      <c r="S7029" s="13">
        <v>0</v>
      </c>
    </row>
    <row r="7030" spans="18:19" x14ac:dyDescent="0.25">
      <c r="R7030" s="13">
        <v>6957</v>
      </c>
      <c r="S7030" s="13">
        <v>0</v>
      </c>
    </row>
    <row r="7031" spans="18:19" x14ac:dyDescent="0.25">
      <c r="R7031" s="13">
        <v>6958</v>
      </c>
      <c r="S7031" s="13">
        <v>950000197.08487701</v>
      </c>
    </row>
    <row r="7032" spans="18:19" x14ac:dyDescent="0.25">
      <c r="R7032" s="13">
        <v>6959</v>
      </c>
      <c r="S7032" s="13">
        <v>513011215.5152626</v>
      </c>
    </row>
    <row r="7033" spans="18:19" x14ac:dyDescent="0.25">
      <c r="R7033" s="13">
        <v>6960</v>
      </c>
      <c r="S7033" s="13">
        <v>467871219.25773621</v>
      </c>
    </row>
    <row r="7034" spans="18:19" x14ac:dyDescent="0.25">
      <c r="R7034" s="13">
        <v>6961</v>
      </c>
      <c r="S7034" s="13">
        <v>0</v>
      </c>
    </row>
    <row r="7035" spans="18:19" x14ac:dyDescent="0.25">
      <c r="R7035" s="13">
        <v>6962</v>
      </c>
      <c r="S7035" s="13">
        <v>0</v>
      </c>
    </row>
    <row r="7036" spans="18:19" x14ac:dyDescent="0.25">
      <c r="R7036" s="13">
        <v>6963</v>
      </c>
      <c r="S7036" s="13">
        <v>0</v>
      </c>
    </row>
    <row r="7037" spans="18:19" x14ac:dyDescent="0.25">
      <c r="R7037" s="13">
        <v>6964</v>
      </c>
      <c r="S7037" s="13">
        <v>721744105.86811638</v>
      </c>
    </row>
    <row r="7038" spans="18:19" x14ac:dyDescent="0.25">
      <c r="R7038" s="13">
        <v>6965</v>
      </c>
      <c r="S7038" s="13">
        <v>65310121.159353256</v>
      </c>
    </row>
    <row r="7039" spans="18:19" x14ac:dyDescent="0.25">
      <c r="R7039" s="13">
        <v>6966</v>
      </c>
      <c r="S7039" s="13">
        <v>171028398.11737442</v>
      </c>
    </row>
    <row r="7040" spans="18:19" x14ac:dyDescent="0.25">
      <c r="R7040" s="13">
        <v>6967</v>
      </c>
      <c r="S7040" s="13">
        <v>0</v>
      </c>
    </row>
    <row r="7041" spans="18:19" x14ac:dyDescent="0.25">
      <c r="R7041" s="13">
        <v>6968</v>
      </c>
      <c r="S7041" s="13">
        <v>0</v>
      </c>
    </row>
    <row r="7042" spans="18:19" x14ac:dyDescent="0.25">
      <c r="R7042" s="13">
        <v>6969</v>
      </c>
      <c r="S7042" s="13">
        <v>276241609.37398148</v>
      </c>
    </row>
    <row r="7043" spans="18:19" x14ac:dyDescent="0.25">
      <c r="R7043" s="13">
        <v>6970</v>
      </c>
      <c r="S7043" s="13">
        <v>0</v>
      </c>
    </row>
    <row r="7044" spans="18:19" x14ac:dyDescent="0.25">
      <c r="R7044" s="13">
        <v>6971</v>
      </c>
      <c r="S7044" s="13">
        <v>454436547.11856651</v>
      </c>
    </row>
    <row r="7045" spans="18:19" x14ac:dyDescent="0.25">
      <c r="R7045" s="13">
        <v>6972</v>
      </c>
      <c r="S7045" s="13">
        <v>0</v>
      </c>
    </row>
    <row r="7046" spans="18:19" x14ac:dyDescent="0.25">
      <c r="R7046" s="13">
        <v>6973</v>
      </c>
      <c r="S7046" s="13">
        <v>0</v>
      </c>
    </row>
    <row r="7047" spans="18:19" x14ac:dyDescent="0.25">
      <c r="R7047" s="13">
        <v>6974</v>
      </c>
      <c r="S7047" s="13">
        <v>0</v>
      </c>
    </row>
    <row r="7048" spans="18:19" x14ac:dyDescent="0.25">
      <c r="R7048" s="13">
        <v>6975</v>
      </c>
      <c r="S7048" s="13">
        <v>0</v>
      </c>
    </row>
    <row r="7049" spans="18:19" x14ac:dyDescent="0.25">
      <c r="R7049" s="13">
        <v>6976</v>
      </c>
      <c r="S7049" s="13">
        <v>0</v>
      </c>
    </row>
    <row r="7050" spans="18:19" x14ac:dyDescent="0.25">
      <c r="R7050" s="13">
        <v>6977</v>
      </c>
      <c r="S7050" s="13">
        <v>291593796.12721634</v>
      </c>
    </row>
    <row r="7051" spans="18:19" x14ac:dyDescent="0.25">
      <c r="R7051" s="13">
        <v>6978</v>
      </c>
      <c r="S7051" s="13">
        <v>0</v>
      </c>
    </row>
    <row r="7052" spans="18:19" x14ac:dyDescent="0.25">
      <c r="R7052" s="13">
        <v>6979</v>
      </c>
      <c r="S7052" s="13">
        <v>0</v>
      </c>
    </row>
    <row r="7053" spans="18:19" x14ac:dyDescent="0.25">
      <c r="R7053" s="13">
        <v>6980</v>
      </c>
      <c r="S7053" s="13">
        <v>0</v>
      </c>
    </row>
    <row r="7054" spans="18:19" x14ac:dyDescent="0.25">
      <c r="R7054" s="13">
        <v>6981</v>
      </c>
      <c r="S7054" s="13">
        <v>661961771.21566963</v>
      </c>
    </row>
    <row r="7055" spans="18:19" x14ac:dyDescent="0.25">
      <c r="R7055" s="13">
        <v>6982</v>
      </c>
      <c r="S7055" s="13">
        <v>0</v>
      </c>
    </row>
    <row r="7056" spans="18:19" x14ac:dyDescent="0.25">
      <c r="R7056" s="13">
        <v>6983</v>
      </c>
      <c r="S7056" s="13">
        <v>0</v>
      </c>
    </row>
    <row r="7057" spans="18:19" x14ac:dyDescent="0.25">
      <c r="R7057" s="13">
        <v>6984</v>
      </c>
      <c r="S7057" s="13">
        <v>0</v>
      </c>
    </row>
    <row r="7058" spans="18:19" x14ac:dyDescent="0.25">
      <c r="R7058" s="13">
        <v>6985</v>
      </c>
      <c r="S7058" s="13">
        <v>0</v>
      </c>
    </row>
    <row r="7059" spans="18:19" x14ac:dyDescent="0.25">
      <c r="R7059" s="13">
        <v>6986</v>
      </c>
      <c r="S7059" s="13">
        <v>0</v>
      </c>
    </row>
    <row r="7060" spans="18:19" x14ac:dyDescent="0.25">
      <c r="R7060" s="13">
        <v>6987</v>
      </c>
      <c r="S7060" s="13">
        <v>0</v>
      </c>
    </row>
    <row r="7061" spans="18:19" x14ac:dyDescent="0.25">
      <c r="R7061" s="13">
        <v>6988</v>
      </c>
      <c r="S7061" s="13">
        <v>0</v>
      </c>
    </row>
    <row r="7062" spans="18:19" x14ac:dyDescent="0.25">
      <c r="R7062" s="13">
        <v>6989</v>
      </c>
      <c r="S7062" s="13">
        <v>0</v>
      </c>
    </row>
    <row r="7063" spans="18:19" x14ac:dyDescent="0.25">
      <c r="R7063" s="13">
        <v>6990</v>
      </c>
      <c r="S7063" s="13">
        <v>0</v>
      </c>
    </row>
    <row r="7064" spans="18:19" x14ac:dyDescent="0.25">
      <c r="R7064" s="13">
        <v>6991</v>
      </c>
      <c r="S7064" s="13">
        <v>0</v>
      </c>
    </row>
    <row r="7065" spans="18:19" x14ac:dyDescent="0.25">
      <c r="R7065" s="13">
        <v>6992</v>
      </c>
      <c r="S7065" s="13">
        <v>108141159.81009293</v>
      </c>
    </row>
    <row r="7066" spans="18:19" x14ac:dyDescent="0.25">
      <c r="R7066" s="13">
        <v>6993</v>
      </c>
      <c r="S7066" s="13">
        <v>0</v>
      </c>
    </row>
    <row r="7067" spans="18:19" x14ac:dyDescent="0.25">
      <c r="R7067" s="13">
        <v>6994</v>
      </c>
      <c r="S7067" s="13">
        <v>0</v>
      </c>
    </row>
    <row r="7068" spans="18:19" x14ac:dyDescent="0.25">
      <c r="R7068" s="13">
        <v>6995</v>
      </c>
      <c r="S7068" s="13">
        <v>0</v>
      </c>
    </row>
    <row r="7069" spans="18:19" x14ac:dyDescent="0.25">
      <c r="R7069" s="13">
        <v>6996</v>
      </c>
      <c r="S7069" s="13">
        <v>0</v>
      </c>
    </row>
    <row r="7070" spans="18:19" x14ac:dyDescent="0.25">
      <c r="R7070" s="13">
        <v>6997</v>
      </c>
      <c r="S7070" s="13">
        <v>0</v>
      </c>
    </row>
    <row r="7071" spans="18:19" x14ac:dyDescent="0.25">
      <c r="R7071" s="13">
        <v>6998</v>
      </c>
      <c r="S7071" s="13">
        <v>0</v>
      </c>
    </row>
    <row r="7072" spans="18:19" x14ac:dyDescent="0.25">
      <c r="R7072" s="13">
        <v>6999</v>
      </c>
      <c r="S7072" s="13">
        <v>0</v>
      </c>
    </row>
    <row r="7073" spans="18:19" x14ac:dyDescent="0.25">
      <c r="R7073" s="13">
        <v>7000</v>
      </c>
      <c r="S7073" s="13">
        <v>0</v>
      </c>
    </row>
    <row r="7074" spans="18:19" x14ac:dyDescent="0.25">
      <c r="R7074" s="13">
        <v>7001</v>
      </c>
      <c r="S7074" s="13">
        <v>880457401.37026405</v>
      </c>
    </row>
    <row r="7075" spans="18:19" x14ac:dyDescent="0.25">
      <c r="R7075" s="13">
        <v>7002</v>
      </c>
      <c r="S7075" s="13">
        <v>0</v>
      </c>
    </row>
    <row r="7076" spans="18:19" x14ac:dyDescent="0.25">
      <c r="R7076" s="13">
        <v>7003</v>
      </c>
      <c r="S7076" s="13">
        <v>0</v>
      </c>
    </row>
    <row r="7077" spans="18:19" x14ac:dyDescent="0.25">
      <c r="R7077" s="13">
        <v>7004</v>
      </c>
      <c r="S7077" s="13">
        <v>189219781.8625412</v>
      </c>
    </row>
    <row r="7078" spans="18:19" x14ac:dyDescent="0.25">
      <c r="R7078" s="13">
        <v>7005</v>
      </c>
      <c r="S7078" s="13">
        <v>295341441.87580872</v>
      </c>
    </row>
    <row r="7079" spans="18:19" x14ac:dyDescent="0.25">
      <c r="R7079" s="13">
        <v>7006</v>
      </c>
      <c r="S7079" s="13">
        <v>127762808.03139496</v>
      </c>
    </row>
    <row r="7080" spans="18:19" x14ac:dyDescent="0.25">
      <c r="R7080" s="13">
        <v>7007</v>
      </c>
      <c r="S7080" s="13">
        <v>0</v>
      </c>
    </row>
    <row r="7081" spans="18:19" x14ac:dyDescent="0.25">
      <c r="R7081" s="13">
        <v>7008</v>
      </c>
      <c r="S7081" s="13">
        <v>0</v>
      </c>
    </row>
    <row r="7082" spans="18:19" x14ac:dyDescent="0.25">
      <c r="R7082" s="13">
        <v>7009</v>
      </c>
      <c r="S7082" s="13">
        <v>1085652048.1502266</v>
      </c>
    </row>
    <row r="7083" spans="18:19" x14ac:dyDescent="0.25">
      <c r="R7083" s="13">
        <v>7010</v>
      </c>
      <c r="S7083" s="13">
        <v>117102909.21218491</v>
      </c>
    </row>
    <row r="7084" spans="18:19" x14ac:dyDescent="0.25">
      <c r="R7084" s="13">
        <v>7011</v>
      </c>
      <c r="S7084" s="13">
        <v>35423024.259332657</v>
      </c>
    </row>
    <row r="7085" spans="18:19" x14ac:dyDescent="0.25">
      <c r="R7085" s="13">
        <v>7012</v>
      </c>
      <c r="S7085" s="13">
        <v>640757087.3767643</v>
      </c>
    </row>
    <row r="7086" spans="18:19" x14ac:dyDescent="0.25">
      <c r="R7086" s="13">
        <v>7013</v>
      </c>
      <c r="S7086" s="13">
        <v>0</v>
      </c>
    </row>
    <row r="7087" spans="18:19" x14ac:dyDescent="0.25">
      <c r="R7087" s="13">
        <v>7014</v>
      </c>
      <c r="S7087" s="13">
        <v>0</v>
      </c>
    </row>
    <row r="7088" spans="18:19" x14ac:dyDescent="0.25">
      <c r="R7088" s="13">
        <v>7015</v>
      </c>
      <c r="S7088" s="13">
        <v>0</v>
      </c>
    </row>
    <row r="7089" spans="18:19" x14ac:dyDescent="0.25">
      <c r="R7089" s="13">
        <v>7016</v>
      </c>
      <c r="S7089" s="13">
        <v>0</v>
      </c>
    </row>
    <row r="7090" spans="18:19" x14ac:dyDescent="0.25">
      <c r="R7090" s="13">
        <v>7017</v>
      </c>
      <c r="S7090" s="13">
        <v>0</v>
      </c>
    </row>
    <row r="7091" spans="18:19" x14ac:dyDescent="0.25">
      <c r="R7091" s="13">
        <v>7018</v>
      </c>
      <c r="S7091" s="13">
        <v>0</v>
      </c>
    </row>
    <row r="7092" spans="18:19" x14ac:dyDescent="0.25">
      <c r="R7092" s="13">
        <v>7019</v>
      </c>
      <c r="S7092" s="13">
        <v>0</v>
      </c>
    </row>
    <row r="7093" spans="18:19" x14ac:dyDescent="0.25">
      <c r="R7093" s="13">
        <v>7020</v>
      </c>
      <c r="S7093" s="13">
        <v>0</v>
      </c>
    </row>
    <row r="7094" spans="18:19" x14ac:dyDescent="0.25">
      <c r="R7094" s="13">
        <v>7021</v>
      </c>
      <c r="S7094" s="13">
        <v>559728636.69690323</v>
      </c>
    </row>
    <row r="7095" spans="18:19" x14ac:dyDescent="0.25">
      <c r="R7095" s="13">
        <v>7022</v>
      </c>
      <c r="S7095" s="13">
        <v>0</v>
      </c>
    </row>
    <row r="7096" spans="18:19" x14ac:dyDescent="0.25">
      <c r="R7096" s="13">
        <v>7023</v>
      </c>
      <c r="S7096" s="13">
        <v>0</v>
      </c>
    </row>
    <row r="7097" spans="18:19" x14ac:dyDescent="0.25">
      <c r="R7097" s="13">
        <v>7024</v>
      </c>
      <c r="S7097" s="13">
        <v>0</v>
      </c>
    </row>
    <row r="7098" spans="18:19" x14ac:dyDescent="0.25">
      <c r="R7098" s="13">
        <v>7025</v>
      </c>
      <c r="S7098" s="13">
        <v>86311286.666193008</v>
      </c>
    </row>
    <row r="7099" spans="18:19" x14ac:dyDescent="0.25">
      <c r="R7099" s="13">
        <v>7026</v>
      </c>
      <c r="S7099" s="13">
        <v>0</v>
      </c>
    </row>
    <row r="7100" spans="18:19" x14ac:dyDescent="0.25">
      <c r="R7100" s="13">
        <v>7027</v>
      </c>
      <c r="S7100" s="13">
        <v>631242579.94101715</v>
      </c>
    </row>
    <row r="7101" spans="18:19" x14ac:dyDescent="0.25">
      <c r="R7101" s="13">
        <v>7028</v>
      </c>
      <c r="S7101" s="13">
        <v>0</v>
      </c>
    </row>
    <row r="7102" spans="18:19" x14ac:dyDescent="0.25">
      <c r="R7102" s="13">
        <v>7029</v>
      </c>
      <c r="S7102" s="13">
        <v>0</v>
      </c>
    </row>
    <row r="7103" spans="18:19" x14ac:dyDescent="0.25">
      <c r="R7103" s="13">
        <v>7030</v>
      </c>
      <c r="S7103" s="13">
        <v>64509187.69084549</v>
      </c>
    </row>
    <row r="7104" spans="18:19" x14ac:dyDescent="0.25">
      <c r="R7104" s="13">
        <v>7031</v>
      </c>
      <c r="S7104" s="13">
        <v>408112380.35407829</v>
      </c>
    </row>
    <row r="7105" spans="18:19" x14ac:dyDescent="0.25">
      <c r="R7105" s="13">
        <v>7032</v>
      </c>
      <c r="S7105" s="13">
        <v>0</v>
      </c>
    </row>
    <row r="7106" spans="18:19" x14ac:dyDescent="0.25">
      <c r="R7106" s="13">
        <v>7033</v>
      </c>
      <c r="S7106" s="13">
        <v>0</v>
      </c>
    </row>
    <row r="7107" spans="18:19" x14ac:dyDescent="0.25">
      <c r="R7107" s="13">
        <v>7034</v>
      </c>
      <c r="S7107" s="13">
        <v>238294569.51605606</v>
      </c>
    </row>
    <row r="7108" spans="18:19" x14ac:dyDescent="0.25">
      <c r="R7108" s="13">
        <v>7035</v>
      </c>
      <c r="S7108" s="13">
        <v>0</v>
      </c>
    </row>
    <row r="7109" spans="18:19" x14ac:dyDescent="0.25">
      <c r="R7109" s="13">
        <v>7036</v>
      </c>
      <c r="S7109" s="13">
        <v>243505037.68470764</v>
      </c>
    </row>
    <row r="7110" spans="18:19" x14ac:dyDescent="0.25">
      <c r="R7110" s="13">
        <v>7037</v>
      </c>
      <c r="S7110" s="13">
        <v>0</v>
      </c>
    </row>
    <row r="7111" spans="18:19" x14ac:dyDescent="0.25">
      <c r="R7111" s="13">
        <v>7038</v>
      </c>
      <c r="S7111" s="13">
        <v>20794657.786542892</v>
      </c>
    </row>
    <row r="7112" spans="18:19" x14ac:dyDescent="0.25">
      <c r="R7112" s="13">
        <v>7039</v>
      </c>
      <c r="S7112" s="13">
        <v>0</v>
      </c>
    </row>
    <row r="7113" spans="18:19" x14ac:dyDescent="0.25">
      <c r="R7113" s="13">
        <v>7040</v>
      </c>
      <c r="S7113" s="13">
        <v>0</v>
      </c>
    </row>
    <row r="7114" spans="18:19" x14ac:dyDescent="0.25">
      <c r="R7114" s="13">
        <v>7041</v>
      </c>
      <c r="S7114" s="13">
        <v>0</v>
      </c>
    </row>
    <row r="7115" spans="18:19" x14ac:dyDescent="0.25">
      <c r="R7115" s="13">
        <v>7042</v>
      </c>
      <c r="S7115" s="13">
        <v>0</v>
      </c>
    </row>
    <row r="7116" spans="18:19" x14ac:dyDescent="0.25">
      <c r="R7116" s="13">
        <v>7043</v>
      </c>
      <c r="S7116" s="13">
        <v>0</v>
      </c>
    </row>
    <row r="7117" spans="18:19" x14ac:dyDescent="0.25">
      <c r="R7117" s="13">
        <v>7044</v>
      </c>
      <c r="S7117" s="13">
        <v>0</v>
      </c>
    </row>
    <row r="7118" spans="18:19" x14ac:dyDescent="0.25">
      <c r="R7118" s="13">
        <v>7045</v>
      </c>
      <c r="S7118" s="13">
        <v>0</v>
      </c>
    </row>
    <row r="7119" spans="18:19" x14ac:dyDescent="0.25">
      <c r="R7119" s="13">
        <v>7046</v>
      </c>
      <c r="S7119" s="13">
        <v>33660589.669734955</v>
      </c>
    </row>
    <row r="7120" spans="18:19" x14ac:dyDescent="0.25">
      <c r="R7120" s="13">
        <v>7047</v>
      </c>
      <c r="S7120" s="13">
        <v>28476495.205965042</v>
      </c>
    </row>
    <row r="7121" spans="18:19" x14ac:dyDescent="0.25">
      <c r="R7121" s="13">
        <v>7048</v>
      </c>
      <c r="S7121" s="13">
        <v>0</v>
      </c>
    </row>
    <row r="7122" spans="18:19" x14ac:dyDescent="0.25">
      <c r="R7122" s="13">
        <v>7049</v>
      </c>
      <c r="S7122" s="13">
        <v>0</v>
      </c>
    </row>
    <row r="7123" spans="18:19" x14ac:dyDescent="0.25">
      <c r="R7123" s="13">
        <v>7050</v>
      </c>
      <c r="S7123" s="13">
        <v>107208720.37800598</v>
      </c>
    </row>
    <row r="7124" spans="18:19" x14ac:dyDescent="0.25">
      <c r="R7124" s="13">
        <v>7051</v>
      </c>
      <c r="S7124" s="13">
        <v>165393883.73908615</v>
      </c>
    </row>
    <row r="7125" spans="18:19" x14ac:dyDescent="0.25">
      <c r="R7125" s="13">
        <v>7052</v>
      </c>
      <c r="S7125" s="13">
        <v>0</v>
      </c>
    </row>
    <row r="7126" spans="18:19" x14ac:dyDescent="0.25">
      <c r="R7126" s="13">
        <v>7053</v>
      </c>
      <c r="S7126" s="13">
        <v>0</v>
      </c>
    </row>
    <row r="7127" spans="18:19" x14ac:dyDescent="0.25">
      <c r="R7127" s="13">
        <v>7054</v>
      </c>
      <c r="S7127" s="13">
        <v>0</v>
      </c>
    </row>
    <row r="7128" spans="18:19" x14ac:dyDescent="0.25">
      <c r="R7128" s="13">
        <v>7055</v>
      </c>
      <c r="S7128" s="13">
        <v>0</v>
      </c>
    </row>
    <row r="7129" spans="18:19" x14ac:dyDescent="0.25">
      <c r="R7129" s="13">
        <v>7056</v>
      </c>
      <c r="S7129" s="13">
        <v>890127832.67277145</v>
      </c>
    </row>
    <row r="7130" spans="18:19" x14ac:dyDescent="0.25">
      <c r="R7130" s="13">
        <v>7057</v>
      </c>
      <c r="S7130" s="13">
        <v>993945464.15752602</v>
      </c>
    </row>
    <row r="7131" spans="18:19" x14ac:dyDescent="0.25">
      <c r="R7131" s="13">
        <v>7058</v>
      </c>
      <c r="S7131" s="13">
        <v>225328626.86890602</v>
      </c>
    </row>
    <row r="7132" spans="18:19" x14ac:dyDescent="0.25">
      <c r="R7132" s="13">
        <v>7059</v>
      </c>
      <c r="S7132" s="13">
        <v>446910809.49997902</v>
      </c>
    </row>
    <row r="7133" spans="18:19" x14ac:dyDescent="0.25">
      <c r="R7133" s="13">
        <v>7060</v>
      </c>
      <c r="S7133" s="13">
        <v>0</v>
      </c>
    </row>
    <row r="7134" spans="18:19" x14ac:dyDescent="0.25">
      <c r="R7134" s="13">
        <v>7061</v>
      </c>
      <c r="S7134" s="13">
        <v>0</v>
      </c>
    </row>
    <row r="7135" spans="18:19" x14ac:dyDescent="0.25">
      <c r="R7135" s="13">
        <v>7062</v>
      </c>
      <c r="S7135" s="13">
        <v>397705179.37334633</v>
      </c>
    </row>
    <row r="7136" spans="18:19" x14ac:dyDescent="0.25">
      <c r="R7136" s="13">
        <v>7063</v>
      </c>
      <c r="S7136" s="13">
        <v>0</v>
      </c>
    </row>
    <row r="7137" spans="18:19" x14ac:dyDescent="0.25">
      <c r="R7137" s="13">
        <v>7064</v>
      </c>
      <c r="S7137" s="13">
        <v>0</v>
      </c>
    </row>
    <row r="7138" spans="18:19" x14ac:dyDescent="0.25">
      <c r="R7138" s="13">
        <v>7065</v>
      </c>
      <c r="S7138" s="13">
        <v>0</v>
      </c>
    </row>
    <row r="7139" spans="18:19" x14ac:dyDescent="0.25">
      <c r="R7139" s="13">
        <v>7066</v>
      </c>
      <c r="S7139" s="13">
        <v>0</v>
      </c>
    </row>
    <row r="7140" spans="18:19" x14ac:dyDescent="0.25">
      <c r="R7140" s="13">
        <v>7067</v>
      </c>
      <c r="S7140" s="13">
        <v>0</v>
      </c>
    </row>
    <row r="7141" spans="18:19" x14ac:dyDescent="0.25">
      <c r="R7141" s="13">
        <v>7068</v>
      </c>
      <c r="S7141" s="13">
        <v>78457255.654016495</v>
      </c>
    </row>
    <row r="7142" spans="18:19" x14ac:dyDescent="0.25">
      <c r="R7142" s="13">
        <v>7069</v>
      </c>
      <c r="S7142" s="13">
        <v>17457808.888710022</v>
      </c>
    </row>
    <row r="7143" spans="18:19" x14ac:dyDescent="0.25">
      <c r="R7143" s="13">
        <v>7070</v>
      </c>
      <c r="S7143" s="13">
        <v>0</v>
      </c>
    </row>
    <row r="7144" spans="18:19" x14ac:dyDescent="0.25">
      <c r="R7144" s="13">
        <v>7071</v>
      </c>
      <c r="S7144" s="13">
        <v>0</v>
      </c>
    </row>
    <row r="7145" spans="18:19" x14ac:dyDescent="0.25">
      <c r="R7145" s="13">
        <v>7072</v>
      </c>
      <c r="S7145" s="13">
        <v>0</v>
      </c>
    </row>
    <row r="7146" spans="18:19" x14ac:dyDescent="0.25">
      <c r="R7146" s="13">
        <v>7073</v>
      </c>
      <c r="S7146" s="13">
        <v>0</v>
      </c>
    </row>
    <row r="7147" spans="18:19" x14ac:dyDescent="0.25">
      <c r="R7147" s="13">
        <v>7074</v>
      </c>
      <c r="S7147" s="13">
        <v>0</v>
      </c>
    </row>
    <row r="7148" spans="18:19" x14ac:dyDescent="0.25">
      <c r="R7148" s="13">
        <v>7075</v>
      </c>
      <c r="S7148" s="13">
        <v>0</v>
      </c>
    </row>
    <row r="7149" spans="18:19" x14ac:dyDescent="0.25">
      <c r="R7149" s="13">
        <v>7076</v>
      </c>
      <c r="S7149" s="13">
        <v>0</v>
      </c>
    </row>
    <row r="7150" spans="18:19" x14ac:dyDescent="0.25">
      <c r="R7150" s="13">
        <v>7077</v>
      </c>
      <c r="S7150" s="13">
        <v>0</v>
      </c>
    </row>
    <row r="7151" spans="18:19" x14ac:dyDescent="0.25">
      <c r="R7151" s="13">
        <v>7078</v>
      </c>
      <c r="S7151" s="13">
        <v>0</v>
      </c>
    </row>
    <row r="7152" spans="18:19" x14ac:dyDescent="0.25">
      <c r="R7152" s="13">
        <v>7079</v>
      </c>
      <c r="S7152" s="13">
        <v>0</v>
      </c>
    </row>
    <row r="7153" spans="18:19" x14ac:dyDescent="0.25">
      <c r="R7153" s="13">
        <v>7080</v>
      </c>
      <c r="S7153" s="13">
        <v>0</v>
      </c>
    </row>
    <row r="7154" spans="18:19" x14ac:dyDescent="0.25">
      <c r="R7154" s="13">
        <v>7081</v>
      </c>
      <c r="S7154" s="13">
        <v>0</v>
      </c>
    </row>
    <row r="7155" spans="18:19" x14ac:dyDescent="0.25">
      <c r="R7155" s="13">
        <v>7082</v>
      </c>
      <c r="S7155" s="13">
        <v>0</v>
      </c>
    </row>
    <row r="7156" spans="18:19" x14ac:dyDescent="0.25">
      <c r="R7156" s="13">
        <v>7083</v>
      </c>
      <c r="S7156" s="13">
        <v>0</v>
      </c>
    </row>
    <row r="7157" spans="18:19" x14ac:dyDescent="0.25">
      <c r="R7157" s="13">
        <v>7084</v>
      </c>
      <c r="S7157" s="13">
        <v>165088983.45602036</v>
      </c>
    </row>
    <row r="7158" spans="18:19" x14ac:dyDescent="0.25">
      <c r="R7158" s="13">
        <v>7085</v>
      </c>
      <c r="S7158" s="13">
        <v>0</v>
      </c>
    </row>
    <row r="7159" spans="18:19" x14ac:dyDescent="0.25">
      <c r="R7159" s="13">
        <v>7086</v>
      </c>
      <c r="S7159" s="13">
        <v>0</v>
      </c>
    </row>
    <row r="7160" spans="18:19" x14ac:dyDescent="0.25">
      <c r="R7160" s="13">
        <v>7087</v>
      </c>
      <c r="S7160" s="13">
        <v>0</v>
      </c>
    </row>
    <row r="7161" spans="18:19" x14ac:dyDescent="0.25">
      <c r="R7161" s="13">
        <v>7088</v>
      </c>
      <c r="S7161" s="13">
        <v>0</v>
      </c>
    </row>
    <row r="7162" spans="18:19" x14ac:dyDescent="0.25">
      <c r="R7162" s="13">
        <v>7089</v>
      </c>
      <c r="S7162" s="13">
        <v>0</v>
      </c>
    </row>
    <row r="7163" spans="18:19" x14ac:dyDescent="0.25">
      <c r="R7163" s="13">
        <v>7090</v>
      </c>
      <c r="S7163" s="13">
        <v>264818684.61366653</v>
      </c>
    </row>
    <row r="7164" spans="18:19" x14ac:dyDescent="0.25">
      <c r="R7164" s="13">
        <v>7091</v>
      </c>
      <c r="S7164" s="13">
        <v>0</v>
      </c>
    </row>
    <row r="7165" spans="18:19" x14ac:dyDescent="0.25">
      <c r="R7165" s="13">
        <v>7092</v>
      </c>
      <c r="S7165" s="13">
        <v>0</v>
      </c>
    </row>
    <row r="7166" spans="18:19" x14ac:dyDescent="0.25">
      <c r="R7166" s="13">
        <v>7093</v>
      </c>
      <c r="S7166" s="13">
        <v>0</v>
      </c>
    </row>
    <row r="7167" spans="18:19" x14ac:dyDescent="0.25">
      <c r="R7167" s="13">
        <v>7094</v>
      </c>
      <c r="S7167" s="13">
        <v>293766113.87990952</v>
      </c>
    </row>
    <row r="7168" spans="18:19" x14ac:dyDescent="0.25">
      <c r="R7168" s="13">
        <v>7095</v>
      </c>
      <c r="S7168" s="13">
        <v>0</v>
      </c>
    </row>
    <row r="7169" spans="18:19" x14ac:dyDescent="0.25">
      <c r="R7169" s="13">
        <v>7096</v>
      </c>
      <c r="S7169" s="13">
        <v>0</v>
      </c>
    </row>
    <row r="7170" spans="18:19" x14ac:dyDescent="0.25">
      <c r="R7170" s="13">
        <v>7097</v>
      </c>
      <c r="S7170" s="13">
        <v>388062261.48873711</v>
      </c>
    </row>
    <row r="7171" spans="18:19" x14ac:dyDescent="0.25">
      <c r="R7171" s="13">
        <v>7098</v>
      </c>
      <c r="S7171" s="13">
        <v>779129649.54089165</v>
      </c>
    </row>
    <row r="7172" spans="18:19" x14ac:dyDescent="0.25">
      <c r="R7172" s="13">
        <v>7099</v>
      </c>
      <c r="S7172" s="13">
        <v>216809020.44911766</v>
      </c>
    </row>
    <row r="7173" spans="18:19" x14ac:dyDescent="0.25">
      <c r="R7173" s="13">
        <v>7100</v>
      </c>
      <c r="S7173" s="13">
        <v>0</v>
      </c>
    </row>
    <row r="7174" spans="18:19" x14ac:dyDescent="0.25">
      <c r="R7174" s="13">
        <v>7101</v>
      </c>
      <c r="S7174" s="13">
        <v>0</v>
      </c>
    </row>
    <row r="7175" spans="18:19" x14ac:dyDescent="0.25">
      <c r="R7175" s="13">
        <v>7102</v>
      </c>
      <c r="S7175" s="13">
        <v>0</v>
      </c>
    </row>
    <row r="7176" spans="18:19" x14ac:dyDescent="0.25">
      <c r="R7176" s="13">
        <v>7103</v>
      </c>
      <c r="S7176" s="13">
        <v>809448604.96477127</v>
      </c>
    </row>
    <row r="7177" spans="18:19" x14ac:dyDescent="0.25">
      <c r="R7177" s="13">
        <v>7104</v>
      </c>
      <c r="S7177" s="13">
        <v>0</v>
      </c>
    </row>
    <row r="7178" spans="18:19" x14ac:dyDescent="0.25">
      <c r="R7178" s="13">
        <v>7105</v>
      </c>
      <c r="S7178" s="13">
        <v>0</v>
      </c>
    </row>
    <row r="7179" spans="18:19" x14ac:dyDescent="0.25">
      <c r="R7179" s="13">
        <v>7106</v>
      </c>
      <c r="S7179" s="13">
        <v>0</v>
      </c>
    </row>
    <row r="7180" spans="18:19" x14ac:dyDescent="0.25">
      <c r="R7180" s="13">
        <v>7107</v>
      </c>
      <c r="S7180" s="13">
        <v>0</v>
      </c>
    </row>
    <row r="7181" spans="18:19" x14ac:dyDescent="0.25">
      <c r="R7181" s="13">
        <v>7108</v>
      </c>
      <c r="S7181" s="13">
        <v>0</v>
      </c>
    </row>
    <row r="7182" spans="18:19" x14ac:dyDescent="0.25">
      <c r="R7182" s="13">
        <v>7109</v>
      </c>
      <c r="S7182" s="13">
        <v>0</v>
      </c>
    </row>
    <row r="7183" spans="18:19" x14ac:dyDescent="0.25">
      <c r="R7183" s="13">
        <v>7110</v>
      </c>
      <c r="S7183" s="13">
        <v>321497448.39937973</v>
      </c>
    </row>
    <row r="7184" spans="18:19" x14ac:dyDescent="0.25">
      <c r="R7184" s="13">
        <v>7111</v>
      </c>
      <c r="S7184" s="13">
        <v>0</v>
      </c>
    </row>
    <row r="7185" spans="18:19" x14ac:dyDescent="0.25">
      <c r="R7185" s="13">
        <v>7112</v>
      </c>
      <c r="S7185" s="13">
        <v>477143090.45648956</v>
      </c>
    </row>
    <row r="7186" spans="18:19" x14ac:dyDescent="0.25">
      <c r="R7186" s="13">
        <v>7113</v>
      </c>
      <c r="S7186" s="13">
        <v>0</v>
      </c>
    </row>
    <row r="7187" spans="18:19" x14ac:dyDescent="0.25">
      <c r="R7187" s="13">
        <v>7114</v>
      </c>
      <c r="S7187" s="13">
        <v>0</v>
      </c>
    </row>
    <row r="7188" spans="18:19" x14ac:dyDescent="0.25">
      <c r="R7188" s="13">
        <v>7115</v>
      </c>
      <c r="S7188" s="13">
        <v>0</v>
      </c>
    </row>
    <row r="7189" spans="18:19" x14ac:dyDescent="0.25">
      <c r="R7189" s="13">
        <v>7116</v>
      </c>
      <c r="S7189" s="13">
        <v>0</v>
      </c>
    </row>
    <row r="7190" spans="18:19" x14ac:dyDescent="0.25">
      <c r="R7190" s="13">
        <v>7117</v>
      </c>
      <c r="S7190" s="13">
        <v>0</v>
      </c>
    </row>
    <row r="7191" spans="18:19" x14ac:dyDescent="0.25">
      <c r="R7191" s="13">
        <v>7118</v>
      </c>
      <c r="S7191" s="13">
        <v>0</v>
      </c>
    </row>
    <row r="7192" spans="18:19" x14ac:dyDescent="0.25">
      <c r="R7192" s="13">
        <v>7119</v>
      </c>
      <c r="S7192" s="13">
        <v>0</v>
      </c>
    </row>
    <row r="7193" spans="18:19" x14ac:dyDescent="0.25">
      <c r="R7193" s="13">
        <v>7120</v>
      </c>
      <c r="S7193" s="13">
        <v>0</v>
      </c>
    </row>
    <row r="7194" spans="18:19" x14ac:dyDescent="0.25">
      <c r="R7194" s="13">
        <v>7121</v>
      </c>
      <c r="S7194" s="13">
        <v>0</v>
      </c>
    </row>
    <row r="7195" spans="18:19" x14ac:dyDescent="0.25">
      <c r="R7195" s="13">
        <v>7122</v>
      </c>
      <c r="S7195" s="13">
        <v>0</v>
      </c>
    </row>
    <row r="7196" spans="18:19" x14ac:dyDescent="0.25">
      <c r="R7196" s="13">
        <v>7123</v>
      </c>
      <c r="S7196" s="13">
        <v>0</v>
      </c>
    </row>
    <row r="7197" spans="18:19" x14ac:dyDescent="0.25">
      <c r="R7197" s="13">
        <v>7124</v>
      </c>
      <c r="S7197" s="13">
        <v>0</v>
      </c>
    </row>
    <row r="7198" spans="18:19" x14ac:dyDescent="0.25">
      <c r="R7198" s="13">
        <v>7125</v>
      </c>
      <c r="S7198" s="13">
        <v>0</v>
      </c>
    </row>
    <row r="7199" spans="18:19" x14ac:dyDescent="0.25">
      <c r="R7199" s="13">
        <v>7126</v>
      </c>
      <c r="S7199" s="13">
        <v>0</v>
      </c>
    </row>
    <row r="7200" spans="18:19" x14ac:dyDescent="0.25">
      <c r="R7200" s="13">
        <v>7127</v>
      </c>
      <c r="S7200" s="13">
        <v>0</v>
      </c>
    </row>
    <row r="7201" spans="18:19" x14ac:dyDescent="0.25">
      <c r="R7201" s="13">
        <v>7128</v>
      </c>
      <c r="S7201" s="13">
        <v>0</v>
      </c>
    </row>
    <row r="7202" spans="18:19" x14ac:dyDescent="0.25">
      <c r="R7202" s="13">
        <v>7129</v>
      </c>
      <c r="S7202" s="13">
        <v>77057747.573381424</v>
      </c>
    </row>
    <row r="7203" spans="18:19" x14ac:dyDescent="0.25">
      <c r="R7203" s="13">
        <v>7130</v>
      </c>
      <c r="S7203" s="13">
        <v>31171712.40593338</v>
      </c>
    </row>
    <row r="7204" spans="18:19" x14ac:dyDescent="0.25">
      <c r="R7204" s="13">
        <v>7131</v>
      </c>
      <c r="S7204" s="13">
        <v>356529328.44163704</v>
      </c>
    </row>
    <row r="7205" spans="18:19" x14ac:dyDescent="0.25">
      <c r="R7205" s="13">
        <v>7132</v>
      </c>
      <c r="S7205" s="13">
        <v>0</v>
      </c>
    </row>
    <row r="7206" spans="18:19" x14ac:dyDescent="0.25">
      <c r="R7206" s="13">
        <v>7133</v>
      </c>
      <c r="S7206" s="13">
        <v>0</v>
      </c>
    </row>
    <row r="7207" spans="18:19" x14ac:dyDescent="0.25">
      <c r="R7207" s="13">
        <v>7134</v>
      </c>
      <c r="S7207" s="13">
        <v>0</v>
      </c>
    </row>
    <row r="7208" spans="18:19" x14ac:dyDescent="0.25">
      <c r="R7208" s="13">
        <v>7135</v>
      </c>
      <c r="S7208" s="13">
        <v>0</v>
      </c>
    </row>
    <row r="7209" spans="18:19" x14ac:dyDescent="0.25">
      <c r="R7209" s="13">
        <v>7136</v>
      </c>
      <c r="S7209" s="13">
        <v>0</v>
      </c>
    </row>
    <row r="7210" spans="18:19" x14ac:dyDescent="0.25">
      <c r="R7210" s="13">
        <v>7137</v>
      </c>
      <c r="S7210" s="13">
        <v>220854490.43271637</v>
      </c>
    </row>
    <row r="7211" spans="18:19" x14ac:dyDescent="0.25">
      <c r="R7211" s="13">
        <v>7138</v>
      </c>
      <c r="S7211" s="13">
        <v>389270966.20432472</v>
      </c>
    </row>
    <row r="7212" spans="18:19" x14ac:dyDescent="0.25">
      <c r="R7212" s="13">
        <v>7139</v>
      </c>
      <c r="S7212" s="13">
        <v>0</v>
      </c>
    </row>
    <row r="7213" spans="18:19" x14ac:dyDescent="0.25">
      <c r="R7213" s="13">
        <v>7140</v>
      </c>
      <c r="S7213" s="13">
        <v>659134973.25271988</v>
      </c>
    </row>
    <row r="7214" spans="18:19" x14ac:dyDescent="0.25">
      <c r="R7214" s="13">
        <v>7141</v>
      </c>
      <c r="S7214" s="13">
        <v>0</v>
      </c>
    </row>
    <row r="7215" spans="18:19" x14ac:dyDescent="0.25">
      <c r="R7215" s="13">
        <v>7142</v>
      </c>
      <c r="S7215" s="13">
        <v>450360253.95794678</v>
      </c>
    </row>
    <row r="7216" spans="18:19" x14ac:dyDescent="0.25">
      <c r="R7216" s="13">
        <v>7143</v>
      </c>
      <c r="S7216" s="13">
        <v>0</v>
      </c>
    </row>
    <row r="7217" spans="18:19" x14ac:dyDescent="0.25">
      <c r="R7217" s="13">
        <v>7144</v>
      </c>
      <c r="S7217" s="13">
        <v>0</v>
      </c>
    </row>
    <row r="7218" spans="18:19" x14ac:dyDescent="0.25">
      <c r="R7218" s="13">
        <v>7145</v>
      </c>
      <c r="S7218" s="13">
        <v>0</v>
      </c>
    </row>
    <row r="7219" spans="18:19" x14ac:dyDescent="0.25">
      <c r="R7219" s="13">
        <v>7146</v>
      </c>
      <c r="S7219" s="13">
        <v>0</v>
      </c>
    </row>
    <row r="7220" spans="18:19" x14ac:dyDescent="0.25">
      <c r="R7220" s="13">
        <v>7147</v>
      </c>
      <c r="S7220" s="13">
        <v>0</v>
      </c>
    </row>
    <row r="7221" spans="18:19" x14ac:dyDescent="0.25">
      <c r="R7221" s="13">
        <v>7148</v>
      </c>
      <c r="S7221" s="13">
        <v>0</v>
      </c>
    </row>
    <row r="7222" spans="18:19" x14ac:dyDescent="0.25">
      <c r="R7222" s="13">
        <v>7149</v>
      </c>
      <c r="S7222" s="13">
        <v>0</v>
      </c>
    </row>
    <row r="7223" spans="18:19" x14ac:dyDescent="0.25">
      <c r="R7223" s="13">
        <v>7150</v>
      </c>
      <c r="S7223" s="13">
        <v>0</v>
      </c>
    </row>
    <row r="7224" spans="18:19" x14ac:dyDescent="0.25">
      <c r="R7224" s="13">
        <v>7151</v>
      </c>
      <c r="S7224" s="13">
        <v>0</v>
      </c>
    </row>
    <row r="7225" spans="18:19" x14ac:dyDescent="0.25">
      <c r="R7225" s="13">
        <v>7152</v>
      </c>
      <c r="S7225" s="13">
        <v>0</v>
      </c>
    </row>
    <row r="7226" spans="18:19" x14ac:dyDescent="0.25">
      <c r="R7226" s="13">
        <v>7153</v>
      </c>
      <c r="S7226" s="13">
        <v>135985041.73614311</v>
      </c>
    </row>
    <row r="7227" spans="18:19" x14ac:dyDescent="0.25">
      <c r="R7227" s="13">
        <v>7154</v>
      </c>
      <c r="S7227" s="13">
        <v>0</v>
      </c>
    </row>
    <row r="7228" spans="18:19" x14ac:dyDescent="0.25">
      <c r="R7228" s="13">
        <v>7155</v>
      </c>
      <c r="S7228" s="13">
        <v>0</v>
      </c>
    </row>
    <row r="7229" spans="18:19" x14ac:dyDescent="0.25">
      <c r="R7229" s="13">
        <v>7156</v>
      </c>
      <c r="S7229" s="13">
        <v>154696239.98922539</v>
      </c>
    </row>
    <row r="7230" spans="18:19" x14ac:dyDescent="0.25">
      <c r="R7230" s="13">
        <v>7157</v>
      </c>
      <c r="S7230" s="13">
        <v>0</v>
      </c>
    </row>
    <row r="7231" spans="18:19" x14ac:dyDescent="0.25">
      <c r="R7231" s="13">
        <v>7158</v>
      </c>
      <c r="S7231" s="13">
        <v>0</v>
      </c>
    </row>
    <row r="7232" spans="18:19" x14ac:dyDescent="0.25">
      <c r="R7232" s="13">
        <v>7159</v>
      </c>
      <c r="S7232" s="13">
        <v>0</v>
      </c>
    </row>
    <row r="7233" spans="18:19" x14ac:dyDescent="0.25">
      <c r="R7233" s="13">
        <v>7160</v>
      </c>
      <c r="S7233" s="13">
        <v>155855463.10480118</v>
      </c>
    </row>
    <row r="7234" spans="18:19" x14ac:dyDescent="0.25">
      <c r="R7234" s="13">
        <v>7161</v>
      </c>
      <c r="S7234" s="13">
        <v>18125159.889669418</v>
      </c>
    </row>
    <row r="7235" spans="18:19" x14ac:dyDescent="0.25">
      <c r="R7235" s="13">
        <v>7162</v>
      </c>
      <c r="S7235" s="13">
        <v>0</v>
      </c>
    </row>
    <row r="7236" spans="18:19" x14ac:dyDescent="0.25">
      <c r="R7236" s="13">
        <v>7163</v>
      </c>
      <c r="S7236" s="13">
        <v>0</v>
      </c>
    </row>
    <row r="7237" spans="18:19" x14ac:dyDescent="0.25">
      <c r="R7237" s="13">
        <v>7164</v>
      </c>
      <c r="S7237" s="13">
        <v>0</v>
      </c>
    </row>
    <row r="7238" spans="18:19" x14ac:dyDescent="0.25">
      <c r="R7238" s="13">
        <v>7165</v>
      </c>
      <c r="S7238" s="13">
        <v>0</v>
      </c>
    </row>
    <row r="7239" spans="18:19" x14ac:dyDescent="0.25">
      <c r="R7239" s="13">
        <v>7166</v>
      </c>
      <c r="S7239" s="13">
        <v>0</v>
      </c>
    </row>
    <row r="7240" spans="18:19" x14ac:dyDescent="0.25">
      <c r="R7240" s="13">
        <v>7167</v>
      </c>
      <c r="S7240" s="13">
        <v>1322222528.8185177</v>
      </c>
    </row>
    <row r="7241" spans="18:19" x14ac:dyDescent="0.25">
      <c r="R7241" s="13">
        <v>7168</v>
      </c>
      <c r="S7241" s="13">
        <v>0</v>
      </c>
    </row>
    <row r="7242" spans="18:19" x14ac:dyDescent="0.25">
      <c r="R7242" s="13">
        <v>7169</v>
      </c>
      <c r="S7242" s="13">
        <v>0</v>
      </c>
    </row>
    <row r="7243" spans="18:19" x14ac:dyDescent="0.25">
      <c r="R7243" s="13">
        <v>7170</v>
      </c>
      <c r="S7243" s="13">
        <v>0</v>
      </c>
    </row>
    <row r="7244" spans="18:19" x14ac:dyDescent="0.25">
      <c r="R7244" s="13">
        <v>7171</v>
      </c>
      <c r="S7244" s="13">
        <v>0</v>
      </c>
    </row>
    <row r="7245" spans="18:19" x14ac:dyDescent="0.25">
      <c r="R7245" s="13">
        <v>7172</v>
      </c>
      <c r="S7245" s="13">
        <v>0</v>
      </c>
    </row>
    <row r="7246" spans="18:19" x14ac:dyDescent="0.25">
      <c r="R7246" s="13">
        <v>7173</v>
      </c>
      <c r="S7246" s="13">
        <v>0</v>
      </c>
    </row>
    <row r="7247" spans="18:19" x14ac:dyDescent="0.25">
      <c r="R7247" s="13">
        <v>7174</v>
      </c>
      <c r="S7247" s="13">
        <v>346301417.53993607</v>
      </c>
    </row>
    <row r="7248" spans="18:19" x14ac:dyDescent="0.25">
      <c r="R7248" s="13">
        <v>7175</v>
      </c>
      <c r="S7248" s="13">
        <v>0</v>
      </c>
    </row>
    <row r="7249" spans="18:19" x14ac:dyDescent="0.25">
      <c r="R7249" s="13">
        <v>7176</v>
      </c>
      <c r="S7249" s="13">
        <v>0</v>
      </c>
    </row>
    <row r="7250" spans="18:19" x14ac:dyDescent="0.25">
      <c r="R7250" s="13">
        <v>7177</v>
      </c>
      <c r="S7250" s="13">
        <v>0</v>
      </c>
    </row>
    <row r="7251" spans="18:19" x14ac:dyDescent="0.25">
      <c r="R7251" s="13">
        <v>7178</v>
      </c>
      <c r="S7251" s="13">
        <v>0</v>
      </c>
    </row>
    <row r="7252" spans="18:19" x14ac:dyDescent="0.25">
      <c r="R7252" s="13">
        <v>7179</v>
      </c>
      <c r="S7252" s="13">
        <v>0</v>
      </c>
    </row>
    <row r="7253" spans="18:19" x14ac:dyDescent="0.25">
      <c r="R7253" s="13">
        <v>7180</v>
      </c>
      <c r="S7253" s="13">
        <v>0</v>
      </c>
    </row>
    <row r="7254" spans="18:19" x14ac:dyDescent="0.25">
      <c r="R7254" s="13">
        <v>7181</v>
      </c>
      <c r="S7254" s="13">
        <v>0</v>
      </c>
    </row>
    <row r="7255" spans="18:19" x14ac:dyDescent="0.25">
      <c r="R7255" s="13">
        <v>7182</v>
      </c>
      <c r="S7255" s="13">
        <v>0</v>
      </c>
    </row>
    <row r="7256" spans="18:19" x14ac:dyDescent="0.25">
      <c r="R7256" s="13">
        <v>7183</v>
      </c>
      <c r="S7256" s="13">
        <v>0</v>
      </c>
    </row>
    <row r="7257" spans="18:19" x14ac:dyDescent="0.25">
      <c r="R7257" s="13">
        <v>7184</v>
      </c>
      <c r="S7257" s="13">
        <v>0</v>
      </c>
    </row>
    <row r="7258" spans="18:19" x14ac:dyDescent="0.25">
      <c r="R7258" s="13">
        <v>7185</v>
      </c>
      <c r="S7258" s="13">
        <v>0</v>
      </c>
    </row>
    <row r="7259" spans="18:19" x14ac:dyDescent="0.25">
      <c r="R7259" s="13">
        <v>7186</v>
      </c>
      <c r="S7259" s="13">
        <v>0</v>
      </c>
    </row>
    <row r="7260" spans="18:19" x14ac:dyDescent="0.25">
      <c r="R7260" s="13">
        <v>7187</v>
      </c>
      <c r="S7260" s="13">
        <v>0</v>
      </c>
    </row>
    <row r="7261" spans="18:19" x14ac:dyDescent="0.25">
      <c r="R7261" s="13">
        <v>7188</v>
      </c>
      <c r="S7261" s="13">
        <v>0</v>
      </c>
    </row>
    <row r="7262" spans="18:19" x14ac:dyDescent="0.25">
      <c r="R7262" s="13">
        <v>7189</v>
      </c>
      <c r="S7262" s="13">
        <v>0</v>
      </c>
    </row>
    <row r="7263" spans="18:19" x14ac:dyDescent="0.25">
      <c r="R7263" s="13">
        <v>7190</v>
      </c>
      <c r="S7263" s="13">
        <v>0</v>
      </c>
    </row>
    <row r="7264" spans="18:19" x14ac:dyDescent="0.25">
      <c r="R7264" s="13">
        <v>7191</v>
      </c>
      <c r="S7264" s="13">
        <v>35781543.923194885</v>
      </c>
    </row>
    <row r="7265" spans="18:19" x14ac:dyDescent="0.25">
      <c r="R7265" s="13">
        <v>7192</v>
      </c>
      <c r="S7265" s="13">
        <v>453085105.36182404</v>
      </c>
    </row>
    <row r="7266" spans="18:19" x14ac:dyDescent="0.25">
      <c r="R7266" s="13">
        <v>7193</v>
      </c>
      <c r="S7266" s="13">
        <v>0</v>
      </c>
    </row>
    <row r="7267" spans="18:19" x14ac:dyDescent="0.25">
      <c r="R7267" s="13">
        <v>7194</v>
      </c>
      <c r="S7267" s="13">
        <v>0</v>
      </c>
    </row>
    <row r="7268" spans="18:19" x14ac:dyDescent="0.25">
      <c r="R7268" s="13">
        <v>7195</v>
      </c>
      <c r="S7268" s="13">
        <v>0</v>
      </c>
    </row>
    <row r="7269" spans="18:19" x14ac:dyDescent="0.25">
      <c r="R7269" s="13">
        <v>7196</v>
      </c>
      <c r="S7269" s="13">
        <v>0</v>
      </c>
    </row>
    <row r="7270" spans="18:19" x14ac:dyDescent="0.25">
      <c r="R7270" s="13">
        <v>7197</v>
      </c>
      <c r="S7270" s="13">
        <v>192636148.57341003</v>
      </c>
    </row>
    <row r="7271" spans="18:19" x14ac:dyDescent="0.25">
      <c r="R7271" s="13">
        <v>7198</v>
      </c>
      <c r="S7271" s="13">
        <v>0</v>
      </c>
    </row>
    <row r="7272" spans="18:19" x14ac:dyDescent="0.25">
      <c r="R7272" s="13">
        <v>7199</v>
      </c>
      <c r="S7272" s="13">
        <v>0</v>
      </c>
    </row>
    <row r="7273" spans="18:19" x14ac:dyDescent="0.25">
      <c r="R7273" s="13">
        <v>7200</v>
      </c>
      <c r="S7273" s="13">
        <v>0</v>
      </c>
    </row>
    <row r="7274" spans="18:19" x14ac:dyDescent="0.25">
      <c r="R7274" s="13">
        <v>7201</v>
      </c>
      <c r="S7274" s="13">
        <v>0</v>
      </c>
    </row>
    <row r="7275" spans="18:19" x14ac:dyDescent="0.25">
      <c r="R7275" s="13">
        <v>7202</v>
      </c>
      <c r="S7275" s="13">
        <v>0</v>
      </c>
    </row>
    <row r="7276" spans="18:19" x14ac:dyDescent="0.25">
      <c r="R7276" s="13">
        <v>7203</v>
      </c>
      <c r="S7276" s="13">
        <v>417187294.27136421</v>
      </c>
    </row>
    <row r="7277" spans="18:19" x14ac:dyDescent="0.25">
      <c r="R7277" s="13">
        <v>7204</v>
      </c>
      <c r="S7277" s="13">
        <v>0</v>
      </c>
    </row>
    <row r="7278" spans="18:19" x14ac:dyDescent="0.25">
      <c r="R7278" s="13">
        <v>7205</v>
      </c>
      <c r="S7278" s="13">
        <v>0</v>
      </c>
    </row>
    <row r="7279" spans="18:19" x14ac:dyDescent="0.25">
      <c r="R7279" s="13">
        <v>7206</v>
      </c>
      <c r="S7279" s="13">
        <v>712968545.91210175</v>
      </c>
    </row>
    <row r="7280" spans="18:19" x14ac:dyDescent="0.25">
      <c r="R7280" s="13">
        <v>7207</v>
      </c>
      <c r="S7280" s="13">
        <v>0</v>
      </c>
    </row>
    <row r="7281" spans="18:19" x14ac:dyDescent="0.25">
      <c r="R7281" s="13">
        <v>7208</v>
      </c>
      <c r="S7281" s="13">
        <v>0</v>
      </c>
    </row>
    <row r="7282" spans="18:19" x14ac:dyDescent="0.25">
      <c r="R7282" s="13">
        <v>7209</v>
      </c>
      <c r="S7282" s="13">
        <v>0</v>
      </c>
    </row>
    <row r="7283" spans="18:19" x14ac:dyDescent="0.25">
      <c r="R7283" s="13">
        <v>7210</v>
      </c>
      <c r="S7283" s="13">
        <v>617353184.96565056</v>
      </c>
    </row>
    <row r="7284" spans="18:19" x14ac:dyDescent="0.25">
      <c r="R7284" s="13">
        <v>7211</v>
      </c>
      <c r="S7284" s="13">
        <v>13598536.431066513</v>
      </c>
    </row>
    <row r="7285" spans="18:19" x14ac:dyDescent="0.25">
      <c r="R7285" s="13">
        <v>7212</v>
      </c>
      <c r="S7285" s="13">
        <v>0</v>
      </c>
    </row>
    <row r="7286" spans="18:19" x14ac:dyDescent="0.25">
      <c r="R7286" s="13">
        <v>7213</v>
      </c>
      <c r="S7286" s="13">
        <v>0</v>
      </c>
    </row>
    <row r="7287" spans="18:19" x14ac:dyDescent="0.25">
      <c r="R7287" s="13">
        <v>7214</v>
      </c>
      <c r="S7287" s="13">
        <v>0</v>
      </c>
    </row>
    <row r="7288" spans="18:19" x14ac:dyDescent="0.25">
      <c r="R7288" s="13">
        <v>7215</v>
      </c>
      <c r="S7288" s="13">
        <v>0</v>
      </c>
    </row>
    <row r="7289" spans="18:19" x14ac:dyDescent="0.25">
      <c r="R7289" s="13">
        <v>7216</v>
      </c>
      <c r="S7289" s="13">
        <v>0</v>
      </c>
    </row>
    <row r="7290" spans="18:19" x14ac:dyDescent="0.25">
      <c r="R7290" s="13">
        <v>7217</v>
      </c>
      <c r="S7290" s="13">
        <v>0</v>
      </c>
    </row>
    <row r="7291" spans="18:19" x14ac:dyDescent="0.25">
      <c r="R7291" s="13">
        <v>7218</v>
      </c>
      <c r="S7291" s="13">
        <v>55799288.702322006</v>
      </c>
    </row>
    <row r="7292" spans="18:19" x14ac:dyDescent="0.25">
      <c r="R7292" s="13">
        <v>7219</v>
      </c>
      <c r="S7292" s="13">
        <v>0</v>
      </c>
    </row>
    <row r="7293" spans="18:19" x14ac:dyDescent="0.25">
      <c r="R7293" s="13">
        <v>7220</v>
      </c>
      <c r="S7293" s="13">
        <v>0</v>
      </c>
    </row>
    <row r="7294" spans="18:19" x14ac:dyDescent="0.25">
      <c r="R7294" s="13">
        <v>7221</v>
      </c>
      <c r="S7294" s="13">
        <v>0</v>
      </c>
    </row>
    <row r="7295" spans="18:19" x14ac:dyDescent="0.25">
      <c r="R7295" s="13">
        <v>7222</v>
      </c>
      <c r="S7295" s="13">
        <v>0</v>
      </c>
    </row>
    <row r="7296" spans="18:19" x14ac:dyDescent="0.25">
      <c r="R7296" s="13">
        <v>7223</v>
      </c>
      <c r="S7296" s="13">
        <v>0</v>
      </c>
    </row>
    <row r="7297" spans="18:19" x14ac:dyDescent="0.25">
      <c r="R7297" s="13">
        <v>7224</v>
      </c>
      <c r="S7297" s="13">
        <v>0</v>
      </c>
    </row>
    <row r="7298" spans="18:19" x14ac:dyDescent="0.25">
      <c r="R7298" s="13">
        <v>7225</v>
      </c>
      <c r="S7298" s="13">
        <v>211949331.19143486</v>
      </c>
    </row>
    <row r="7299" spans="18:19" x14ac:dyDescent="0.25">
      <c r="R7299" s="13">
        <v>7226</v>
      </c>
      <c r="S7299" s="13">
        <v>0</v>
      </c>
    </row>
    <row r="7300" spans="18:19" x14ac:dyDescent="0.25">
      <c r="R7300" s="13">
        <v>7227</v>
      </c>
      <c r="S7300" s="13">
        <v>0</v>
      </c>
    </row>
    <row r="7301" spans="18:19" x14ac:dyDescent="0.25">
      <c r="R7301" s="13">
        <v>7228</v>
      </c>
      <c r="S7301" s="13">
        <v>0</v>
      </c>
    </row>
    <row r="7302" spans="18:19" x14ac:dyDescent="0.25">
      <c r="R7302" s="13">
        <v>7229</v>
      </c>
      <c r="S7302" s="13">
        <v>0</v>
      </c>
    </row>
    <row r="7303" spans="18:19" x14ac:dyDescent="0.25">
      <c r="R7303" s="13">
        <v>7230</v>
      </c>
      <c r="S7303" s="13">
        <v>0</v>
      </c>
    </row>
    <row r="7304" spans="18:19" x14ac:dyDescent="0.25">
      <c r="R7304" s="13">
        <v>7231</v>
      </c>
      <c r="S7304" s="13">
        <v>0</v>
      </c>
    </row>
    <row r="7305" spans="18:19" x14ac:dyDescent="0.25">
      <c r="R7305" s="13">
        <v>7232</v>
      </c>
      <c r="S7305" s="13">
        <v>0</v>
      </c>
    </row>
    <row r="7306" spans="18:19" x14ac:dyDescent="0.25">
      <c r="R7306" s="13">
        <v>7233</v>
      </c>
      <c r="S7306" s="13">
        <v>0</v>
      </c>
    </row>
    <row r="7307" spans="18:19" x14ac:dyDescent="0.25">
      <c r="R7307" s="13">
        <v>7234</v>
      </c>
      <c r="S7307" s="13">
        <v>0</v>
      </c>
    </row>
    <row r="7308" spans="18:19" x14ac:dyDescent="0.25">
      <c r="R7308" s="13">
        <v>7235</v>
      </c>
      <c r="S7308" s="13">
        <v>654979720.30547142</v>
      </c>
    </row>
    <row r="7309" spans="18:19" x14ac:dyDescent="0.25">
      <c r="R7309" s="13">
        <v>7236</v>
      </c>
      <c r="S7309" s="13">
        <v>0</v>
      </c>
    </row>
    <row r="7310" spans="18:19" x14ac:dyDescent="0.25">
      <c r="R7310" s="13">
        <v>7237</v>
      </c>
      <c r="S7310" s="13">
        <v>0</v>
      </c>
    </row>
    <row r="7311" spans="18:19" x14ac:dyDescent="0.25">
      <c r="R7311" s="13">
        <v>7238</v>
      </c>
      <c r="S7311" s="13">
        <v>0</v>
      </c>
    </row>
    <row r="7312" spans="18:19" x14ac:dyDescent="0.25">
      <c r="R7312" s="13">
        <v>7239</v>
      </c>
      <c r="S7312" s="13">
        <v>0</v>
      </c>
    </row>
    <row r="7313" spans="18:19" x14ac:dyDescent="0.25">
      <c r="R7313" s="13">
        <v>7240</v>
      </c>
      <c r="S7313" s="13">
        <v>0</v>
      </c>
    </row>
    <row r="7314" spans="18:19" x14ac:dyDescent="0.25">
      <c r="R7314" s="13">
        <v>7241</v>
      </c>
      <c r="S7314" s="13">
        <v>0</v>
      </c>
    </row>
    <row r="7315" spans="18:19" x14ac:dyDescent="0.25">
      <c r="R7315" s="13">
        <v>7242</v>
      </c>
      <c r="S7315" s="13">
        <v>0</v>
      </c>
    </row>
    <row r="7316" spans="18:19" x14ac:dyDescent="0.25">
      <c r="R7316" s="13">
        <v>7243</v>
      </c>
      <c r="S7316" s="13">
        <v>0</v>
      </c>
    </row>
    <row r="7317" spans="18:19" x14ac:dyDescent="0.25">
      <c r="R7317" s="13">
        <v>7244</v>
      </c>
      <c r="S7317" s="13">
        <v>430112468.2352562</v>
      </c>
    </row>
    <row r="7318" spans="18:19" x14ac:dyDescent="0.25">
      <c r="R7318" s="13">
        <v>7245</v>
      </c>
      <c r="S7318" s="13">
        <v>0</v>
      </c>
    </row>
    <row r="7319" spans="18:19" x14ac:dyDescent="0.25">
      <c r="R7319" s="13">
        <v>7246</v>
      </c>
      <c r="S7319" s="13">
        <v>230743433.96128082</v>
      </c>
    </row>
    <row r="7320" spans="18:19" x14ac:dyDescent="0.25">
      <c r="R7320" s="13">
        <v>7247</v>
      </c>
      <c r="S7320" s="13">
        <v>0</v>
      </c>
    </row>
    <row r="7321" spans="18:19" x14ac:dyDescent="0.25">
      <c r="R7321" s="13">
        <v>7248</v>
      </c>
      <c r="S7321" s="13">
        <v>0</v>
      </c>
    </row>
    <row r="7322" spans="18:19" x14ac:dyDescent="0.25">
      <c r="R7322" s="13">
        <v>7249</v>
      </c>
      <c r="S7322" s="13">
        <v>0</v>
      </c>
    </row>
    <row r="7323" spans="18:19" x14ac:dyDescent="0.25">
      <c r="R7323" s="13">
        <v>7250</v>
      </c>
      <c r="S7323" s="13">
        <v>161870061.9081192</v>
      </c>
    </row>
    <row r="7324" spans="18:19" x14ac:dyDescent="0.25">
      <c r="R7324" s="13">
        <v>7251</v>
      </c>
      <c r="S7324" s="13">
        <v>0</v>
      </c>
    </row>
    <row r="7325" spans="18:19" x14ac:dyDescent="0.25">
      <c r="R7325" s="13">
        <v>7252</v>
      </c>
      <c r="S7325" s="13">
        <v>0</v>
      </c>
    </row>
    <row r="7326" spans="18:19" x14ac:dyDescent="0.25">
      <c r="R7326" s="13">
        <v>7253</v>
      </c>
      <c r="S7326" s="13">
        <v>0</v>
      </c>
    </row>
    <row r="7327" spans="18:19" x14ac:dyDescent="0.25">
      <c r="R7327" s="13">
        <v>7254</v>
      </c>
      <c r="S7327" s="13">
        <v>0</v>
      </c>
    </row>
    <row r="7328" spans="18:19" x14ac:dyDescent="0.25">
      <c r="R7328" s="13">
        <v>7255</v>
      </c>
      <c r="S7328" s="13">
        <v>0</v>
      </c>
    </row>
    <row r="7329" spans="18:19" x14ac:dyDescent="0.25">
      <c r="R7329" s="13">
        <v>7256</v>
      </c>
      <c r="S7329" s="13">
        <v>0</v>
      </c>
    </row>
    <row r="7330" spans="18:19" x14ac:dyDescent="0.25">
      <c r="R7330" s="13">
        <v>7257</v>
      </c>
      <c r="S7330" s="13">
        <v>0</v>
      </c>
    </row>
    <row r="7331" spans="18:19" x14ac:dyDescent="0.25">
      <c r="R7331" s="13">
        <v>7258</v>
      </c>
      <c r="S7331" s="13">
        <v>0</v>
      </c>
    </row>
    <row r="7332" spans="18:19" x14ac:dyDescent="0.25">
      <c r="R7332" s="13">
        <v>7259</v>
      </c>
      <c r="S7332" s="13">
        <v>612485418.26956177</v>
      </c>
    </row>
    <row r="7333" spans="18:19" x14ac:dyDescent="0.25">
      <c r="R7333" s="13">
        <v>7260</v>
      </c>
      <c r="S7333" s="13">
        <v>182215423.79453278</v>
      </c>
    </row>
    <row r="7334" spans="18:19" x14ac:dyDescent="0.25">
      <c r="R7334" s="13">
        <v>7261</v>
      </c>
      <c r="S7334" s="13">
        <v>104819995.72578049</v>
      </c>
    </row>
    <row r="7335" spans="18:19" x14ac:dyDescent="0.25">
      <c r="R7335" s="13">
        <v>7262</v>
      </c>
      <c r="S7335" s="13">
        <v>95333797.526525497</v>
      </c>
    </row>
    <row r="7336" spans="18:19" x14ac:dyDescent="0.25">
      <c r="R7336" s="13">
        <v>7263</v>
      </c>
      <c r="S7336" s="13">
        <v>0</v>
      </c>
    </row>
    <row r="7337" spans="18:19" x14ac:dyDescent="0.25">
      <c r="R7337" s="13">
        <v>7264</v>
      </c>
      <c r="S7337" s="13">
        <v>0</v>
      </c>
    </row>
    <row r="7338" spans="18:19" x14ac:dyDescent="0.25">
      <c r="R7338" s="13">
        <v>7265</v>
      </c>
      <c r="S7338" s="13">
        <v>549131617.08185768</v>
      </c>
    </row>
    <row r="7339" spans="18:19" x14ac:dyDescent="0.25">
      <c r="R7339" s="13">
        <v>7266</v>
      </c>
      <c r="S7339" s="13">
        <v>0</v>
      </c>
    </row>
    <row r="7340" spans="18:19" x14ac:dyDescent="0.25">
      <c r="R7340" s="13">
        <v>7267</v>
      </c>
      <c r="S7340" s="13">
        <v>0</v>
      </c>
    </row>
    <row r="7341" spans="18:19" x14ac:dyDescent="0.25">
      <c r="R7341" s="13">
        <v>7268</v>
      </c>
      <c r="S7341" s="13">
        <v>0</v>
      </c>
    </row>
    <row r="7342" spans="18:19" x14ac:dyDescent="0.25">
      <c r="R7342" s="13">
        <v>7269</v>
      </c>
      <c r="S7342" s="13">
        <v>0</v>
      </c>
    </row>
    <row r="7343" spans="18:19" x14ac:dyDescent="0.25">
      <c r="R7343" s="13">
        <v>7270</v>
      </c>
      <c r="S7343" s="13">
        <v>0</v>
      </c>
    </row>
    <row r="7344" spans="18:19" x14ac:dyDescent="0.25">
      <c r="R7344" s="13">
        <v>7271</v>
      </c>
      <c r="S7344" s="13">
        <v>0</v>
      </c>
    </row>
    <row r="7345" spans="18:19" x14ac:dyDescent="0.25">
      <c r="R7345" s="13">
        <v>7272</v>
      </c>
      <c r="S7345" s="13">
        <v>0</v>
      </c>
    </row>
    <row r="7346" spans="18:19" x14ac:dyDescent="0.25">
      <c r="R7346" s="13">
        <v>7273</v>
      </c>
      <c r="S7346" s="13">
        <v>0</v>
      </c>
    </row>
    <row r="7347" spans="18:19" x14ac:dyDescent="0.25">
      <c r="R7347" s="13">
        <v>7274</v>
      </c>
      <c r="S7347" s="13">
        <v>0</v>
      </c>
    </row>
    <row r="7348" spans="18:19" x14ac:dyDescent="0.25">
      <c r="R7348" s="13">
        <v>7275</v>
      </c>
      <c r="S7348" s="13">
        <v>0</v>
      </c>
    </row>
    <row r="7349" spans="18:19" x14ac:dyDescent="0.25">
      <c r="R7349" s="13">
        <v>7276</v>
      </c>
      <c r="S7349" s="13">
        <v>0</v>
      </c>
    </row>
    <row r="7350" spans="18:19" x14ac:dyDescent="0.25">
      <c r="R7350" s="13">
        <v>7277</v>
      </c>
      <c r="S7350" s="13">
        <v>0</v>
      </c>
    </row>
    <row r="7351" spans="18:19" x14ac:dyDescent="0.25">
      <c r="R7351" s="13">
        <v>7278</v>
      </c>
      <c r="S7351" s="13">
        <v>0</v>
      </c>
    </row>
    <row r="7352" spans="18:19" x14ac:dyDescent="0.25">
      <c r="R7352" s="13">
        <v>7279</v>
      </c>
      <c r="S7352" s="13">
        <v>0</v>
      </c>
    </row>
    <row r="7353" spans="18:19" x14ac:dyDescent="0.25">
      <c r="R7353" s="13">
        <v>7280</v>
      </c>
      <c r="S7353" s="13">
        <v>0</v>
      </c>
    </row>
    <row r="7354" spans="18:19" x14ac:dyDescent="0.25">
      <c r="R7354" s="13">
        <v>7281</v>
      </c>
      <c r="S7354" s="13">
        <v>0</v>
      </c>
    </row>
    <row r="7355" spans="18:19" x14ac:dyDescent="0.25">
      <c r="R7355" s="13">
        <v>7282</v>
      </c>
      <c r="S7355" s="13">
        <v>0</v>
      </c>
    </row>
    <row r="7356" spans="18:19" x14ac:dyDescent="0.25">
      <c r="R7356" s="13">
        <v>7283</v>
      </c>
      <c r="S7356" s="13">
        <v>142973783.23267746</v>
      </c>
    </row>
    <row r="7357" spans="18:19" x14ac:dyDescent="0.25">
      <c r="R7357" s="13">
        <v>7284</v>
      </c>
      <c r="S7357" s="13">
        <v>0</v>
      </c>
    </row>
    <row r="7358" spans="18:19" x14ac:dyDescent="0.25">
      <c r="R7358" s="13">
        <v>7285</v>
      </c>
      <c r="S7358" s="13">
        <v>539343824.09459686</v>
      </c>
    </row>
    <row r="7359" spans="18:19" x14ac:dyDescent="0.25">
      <c r="R7359" s="13">
        <v>7286</v>
      </c>
      <c r="S7359" s="13">
        <v>0</v>
      </c>
    </row>
    <row r="7360" spans="18:19" x14ac:dyDescent="0.25">
      <c r="R7360" s="13">
        <v>7287</v>
      </c>
      <c r="S7360" s="13">
        <v>0</v>
      </c>
    </row>
    <row r="7361" spans="18:19" x14ac:dyDescent="0.25">
      <c r="R7361" s="13">
        <v>7288</v>
      </c>
      <c r="S7361" s="13">
        <v>0</v>
      </c>
    </row>
    <row r="7362" spans="18:19" x14ac:dyDescent="0.25">
      <c r="R7362" s="13">
        <v>7289</v>
      </c>
      <c r="S7362" s="13">
        <v>0</v>
      </c>
    </row>
    <row r="7363" spans="18:19" x14ac:dyDescent="0.25">
      <c r="R7363" s="13">
        <v>7290</v>
      </c>
      <c r="S7363" s="13">
        <v>0</v>
      </c>
    </row>
    <row r="7364" spans="18:19" x14ac:dyDescent="0.25">
      <c r="R7364" s="13">
        <v>7291</v>
      </c>
      <c r="S7364" s="13">
        <v>0</v>
      </c>
    </row>
    <row r="7365" spans="18:19" x14ac:dyDescent="0.25">
      <c r="R7365" s="13">
        <v>7292</v>
      </c>
      <c r="S7365" s="13">
        <v>962614171.94498062</v>
      </c>
    </row>
    <row r="7366" spans="18:19" x14ac:dyDescent="0.25">
      <c r="R7366" s="13">
        <v>7293</v>
      </c>
      <c r="S7366" s="13">
        <v>0</v>
      </c>
    </row>
    <row r="7367" spans="18:19" x14ac:dyDescent="0.25">
      <c r="R7367" s="13">
        <v>7294</v>
      </c>
      <c r="S7367" s="13">
        <v>0</v>
      </c>
    </row>
    <row r="7368" spans="18:19" x14ac:dyDescent="0.25">
      <c r="R7368" s="13">
        <v>7295</v>
      </c>
      <c r="S7368" s="13">
        <v>0</v>
      </c>
    </row>
    <row r="7369" spans="18:19" x14ac:dyDescent="0.25">
      <c r="R7369" s="13">
        <v>7296</v>
      </c>
      <c r="S7369" s="13">
        <v>0</v>
      </c>
    </row>
    <row r="7370" spans="18:19" x14ac:dyDescent="0.25">
      <c r="R7370" s="13">
        <v>7297</v>
      </c>
      <c r="S7370" s="13">
        <v>812903378.55810547</v>
      </c>
    </row>
    <row r="7371" spans="18:19" x14ac:dyDescent="0.25">
      <c r="R7371" s="13">
        <v>7298</v>
      </c>
      <c r="S7371" s="13">
        <v>141392100.17327118</v>
      </c>
    </row>
    <row r="7372" spans="18:19" x14ac:dyDescent="0.25">
      <c r="R7372" s="13">
        <v>7299</v>
      </c>
      <c r="S7372" s="13">
        <v>0</v>
      </c>
    </row>
    <row r="7373" spans="18:19" x14ac:dyDescent="0.25">
      <c r="R7373" s="13">
        <v>7300</v>
      </c>
      <c r="S7373" s="13">
        <v>363515690.28870392</v>
      </c>
    </row>
    <row r="7374" spans="18:19" x14ac:dyDescent="0.25">
      <c r="R7374" s="13">
        <v>7301</v>
      </c>
      <c r="S7374" s="13">
        <v>1012675769.8773441</v>
      </c>
    </row>
    <row r="7375" spans="18:19" x14ac:dyDescent="0.25">
      <c r="R7375" s="13">
        <v>7302</v>
      </c>
      <c r="S7375" s="13">
        <v>0</v>
      </c>
    </row>
    <row r="7376" spans="18:19" x14ac:dyDescent="0.25">
      <c r="R7376" s="13">
        <v>7303</v>
      </c>
      <c r="S7376" s="13">
        <v>0</v>
      </c>
    </row>
    <row r="7377" spans="18:19" x14ac:dyDescent="0.25">
      <c r="R7377" s="13">
        <v>7304</v>
      </c>
      <c r="S7377" s="13">
        <v>0</v>
      </c>
    </row>
    <row r="7378" spans="18:19" x14ac:dyDescent="0.25">
      <c r="R7378" s="13">
        <v>7305</v>
      </c>
      <c r="S7378" s="13">
        <v>0</v>
      </c>
    </row>
    <row r="7379" spans="18:19" x14ac:dyDescent="0.25">
      <c r="R7379" s="13">
        <v>7306</v>
      </c>
      <c r="S7379" s="13">
        <v>136867726.20465279</v>
      </c>
    </row>
    <row r="7380" spans="18:19" x14ac:dyDescent="0.25">
      <c r="R7380" s="13">
        <v>7307</v>
      </c>
      <c r="S7380" s="13">
        <v>0</v>
      </c>
    </row>
    <row r="7381" spans="18:19" x14ac:dyDescent="0.25">
      <c r="R7381" s="13">
        <v>7308</v>
      </c>
      <c r="S7381" s="13">
        <v>0</v>
      </c>
    </row>
    <row r="7382" spans="18:19" x14ac:dyDescent="0.25">
      <c r="R7382" s="13">
        <v>7309</v>
      </c>
      <c r="S7382" s="13">
        <v>0</v>
      </c>
    </row>
    <row r="7383" spans="18:19" x14ac:dyDescent="0.25">
      <c r="R7383" s="13">
        <v>7310</v>
      </c>
      <c r="S7383" s="13">
        <v>0</v>
      </c>
    </row>
    <row r="7384" spans="18:19" x14ac:dyDescent="0.25">
      <c r="R7384" s="13">
        <v>7311</v>
      </c>
      <c r="S7384" s="13">
        <v>0</v>
      </c>
    </row>
    <row r="7385" spans="18:19" x14ac:dyDescent="0.25">
      <c r="R7385" s="13">
        <v>7312</v>
      </c>
      <c r="S7385" s="13">
        <v>0</v>
      </c>
    </row>
    <row r="7386" spans="18:19" x14ac:dyDescent="0.25">
      <c r="R7386" s="13">
        <v>7313</v>
      </c>
      <c r="S7386" s="13">
        <v>0</v>
      </c>
    </row>
    <row r="7387" spans="18:19" x14ac:dyDescent="0.25">
      <c r="R7387" s="13">
        <v>7314</v>
      </c>
      <c r="S7387" s="13">
        <v>0</v>
      </c>
    </row>
    <row r="7388" spans="18:19" x14ac:dyDescent="0.25">
      <c r="R7388" s="13">
        <v>7315</v>
      </c>
      <c r="S7388" s="13">
        <v>0</v>
      </c>
    </row>
    <row r="7389" spans="18:19" x14ac:dyDescent="0.25">
      <c r="R7389" s="13">
        <v>7316</v>
      </c>
      <c r="S7389" s="13">
        <v>0</v>
      </c>
    </row>
    <row r="7390" spans="18:19" x14ac:dyDescent="0.25">
      <c r="R7390" s="13">
        <v>7317</v>
      </c>
      <c r="S7390" s="13">
        <v>0</v>
      </c>
    </row>
    <row r="7391" spans="18:19" x14ac:dyDescent="0.25">
      <c r="R7391" s="13">
        <v>7318</v>
      </c>
      <c r="S7391" s="13">
        <v>511493162.69423103</v>
      </c>
    </row>
    <row r="7392" spans="18:19" x14ac:dyDescent="0.25">
      <c r="R7392" s="13">
        <v>7319</v>
      </c>
      <c r="S7392" s="13">
        <v>0</v>
      </c>
    </row>
    <row r="7393" spans="18:19" x14ac:dyDescent="0.25">
      <c r="R7393" s="13">
        <v>7320</v>
      </c>
      <c r="S7393" s="13">
        <v>0</v>
      </c>
    </row>
    <row r="7394" spans="18:19" x14ac:dyDescent="0.25">
      <c r="R7394" s="13">
        <v>7321</v>
      </c>
      <c r="S7394" s="13">
        <v>0</v>
      </c>
    </row>
    <row r="7395" spans="18:19" x14ac:dyDescent="0.25">
      <c r="R7395" s="13">
        <v>7322</v>
      </c>
      <c r="S7395" s="13">
        <v>0</v>
      </c>
    </row>
    <row r="7396" spans="18:19" x14ac:dyDescent="0.25">
      <c r="R7396" s="13">
        <v>7323</v>
      </c>
      <c r="S7396" s="13">
        <v>25304526.696971893</v>
      </c>
    </row>
    <row r="7397" spans="18:19" x14ac:dyDescent="0.25">
      <c r="R7397" s="13">
        <v>7324</v>
      </c>
      <c r="S7397" s="13">
        <v>56938099.190185547</v>
      </c>
    </row>
    <row r="7398" spans="18:19" x14ac:dyDescent="0.25">
      <c r="R7398" s="13">
        <v>7325</v>
      </c>
      <c r="S7398" s="13">
        <v>0</v>
      </c>
    </row>
    <row r="7399" spans="18:19" x14ac:dyDescent="0.25">
      <c r="R7399" s="13">
        <v>7326</v>
      </c>
      <c r="S7399" s="13">
        <v>741138594.04095268</v>
      </c>
    </row>
    <row r="7400" spans="18:19" x14ac:dyDescent="0.25">
      <c r="R7400" s="13">
        <v>7327</v>
      </c>
      <c r="S7400" s="13">
        <v>0</v>
      </c>
    </row>
    <row r="7401" spans="18:19" x14ac:dyDescent="0.25">
      <c r="R7401" s="13">
        <v>7328</v>
      </c>
      <c r="S7401" s="13">
        <v>272022820.15527344</v>
      </c>
    </row>
    <row r="7402" spans="18:19" x14ac:dyDescent="0.25">
      <c r="R7402" s="13">
        <v>7329</v>
      </c>
      <c r="S7402" s="13">
        <v>0</v>
      </c>
    </row>
    <row r="7403" spans="18:19" x14ac:dyDescent="0.25">
      <c r="R7403" s="13">
        <v>7330</v>
      </c>
      <c r="S7403" s="13">
        <v>0</v>
      </c>
    </row>
    <row r="7404" spans="18:19" x14ac:dyDescent="0.25">
      <c r="R7404" s="13">
        <v>7331</v>
      </c>
      <c r="S7404" s="13">
        <v>0</v>
      </c>
    </row>
    <row r="7405" spans="18:19" x14ac:dyDescent="0.25">
      <c r="R7405" s="13">
        <v>7332</v>
      </c>
      <c r="S7405" s="13">
        <v>0</v>
      </c>
    </row>
    <row r="7406" spans="18:19" x14ac:dyDescent="0.25">
      <c r="R7406" s="13">
        <v>7333</v>
      </c>
      <c r="S7406" s="13">
        <v>0</v>
      </c>
    </row>
    <row r="7407" spans="18:19" x14ac:dyDescent="0.25">
      <c r="R7407" s="13">
        <v>7334</v>
      </c>
      <c r="S7407" s="13">
        <v>0</v>
      </c>
    </row>
    <row r="7408" spans="18:19" x14ac:dyDescent="0.25">
      <c r="R7408" s="13">
        <v>7335</v>
      </c>
      <c r="S7408" s="13">
        <v>0</v>
      </c>
    </row>
    <row r="7409" spans="18:19" x14ac:dyDescent="0.25">
      <c r="R7409" s="13">
        <v>7336</v>
      </c>
      <c r="S7409" s="13">
        <v>329126940.23705673</v>
      </c>
    </row>
    <row r="7410" spans="18:19" x14ac:dyDescent="0.25">
      <c r="R7410" s="13">
        <v>7337</v>
      </c>
      <c r="S7410" s="13">
        <v>0</v>
      </c>
    </row>
    <row r="7411" spans="18:19" x14ac:dyDescent="0.25">
      <c r="R7411" s="13">
        <v>7338</v>
      </c>
      <c r="S7411" s="13">
        <v>0</v>
      </c>
    </row>
    <row r="7412" spans="18:19" x14ac:dyDescent="0.25">
      <c r="R7412" s="13">
        <v>7339</v>
      </c>
      <c r="S7412" s="13">
        <v>0</v>
      </c>
    </row>
    <row r="7413" spans="18:19" x14ac:dyDescent="0.25">
      <c r="R7413" s="13">
        <v>7340</v>
      </c>
      <c r="S7413" s="13">
        <v>0</v>
      </c>
    </row>
    <row r="7414" spans="18:19" x14ac:dyDescent="0.25">
      <c r="R7414" s="13">
        <v>7341</v>
      </c>
      <c r="S7414" s="13">
        <v>76232257.759593964</v>
      </c>
    </row>
    <row r="7415" spans="18:19" x14ac:dyDescent="0.25">
      <c r="R7415" s="13">
        <v>7342</v>
      </c>
      <c r="S7415" s="13">
        <v>0</v>
      </c>
    </row>
    <row r="7416" spans="18:19" x14ac:dyDescent="0.25">
      <c r="R7416" s="13">
        <v>7343</v>
      </c>
      <c r="S7416" s="13">
        <v>0</v>
      </c>
    </row>
    <row r="7417" spans="18:19" x14ac:dyDescent="0.25">
      <c r="R7417" s="13">
        <v>7344</v>
      </c>
      <c r="S7417" s="13">
        <v>0</v>
      </c>
    </row>
    <row r="7418" spans="18:19" x14ac:dyDescent="0.25">
      <c r="R7418" s="13">
        <v>7345</v>
      </c>
      <c r="S7418" s="13">
        <v>0</v>
      </c>
    </row>
    <row r="7419" spans="18:19" x14ac:dyDescent="0.25">
      <c r="R7419" s="13">
        <v>7346</v>
      </c>
      <c r="S7419" s="13">
        <v>0</v>
      </c>
    </row>
    <row r="7420" spans="18:19" x14ac:dyDescent="0.25">
      <c r="R7420" s="13">
        <v>7347</v>
      </c>
      <c r="S7420" s="13">
        <v>0</v>
      </c>
    </row>
    <row r="7421" spans="18:19" x14ac:dyDescent="0.25">
      <c r="R7421" s="13">
        <v>7348</v>
      </c>
      <c r="S7421" s="13">
        <v>0</v>
      </c>
    </row>
    <row r="7422" spans="18:19" x14ac:dyDescent="0.25">
      <c r="R7422" s="13">
        <v>7349</v>
      </c>
      <c r="S7422" s="13">
        <v>267746174.39573479</v>
      </c>
    </row>
    <row r="7423" spans="18:19" x14ac:dyDescent="0.25">
      <c r="R7423" s="13">
        <v>7350</v>
      </c>
      <c r="S7423" s="13">
        <v>166649461.42989922</v>
      </c>
    </row>
    <row r="7424" spans="18:19" x14ac:dyDescent="0.25">
      <c r="R7424" s="13">
        <v>7351</v>
      </c>
      <c r="S7424" s="13">
        <v>0</v>
      </c>
    </row>
    <row r="7425" spans="18:19" x14ac:dyDescent="0.25">
      <c r="R7425" s="13">
        <v>7352</v>
      </c>
      <c r="S7425" s="13">
        <v>0</v>
      </c>
    </row>
    <row r="7426" spans="18:19" x14ac:dyDescent="0.25">
      <c r="R7426" s="13">
        <v>7353</v>
      </c>
      <c r="S7426" s="13">
        <v>0</v>
      </c>
    </row>
    <row r="7427" spans="18:19" x14ac:dyDescent="0.25">
      <c r="R7427" s="13">
        <v>7354</v>
      </c>
      <c r="S7427" s="13">
        <v>0</v>
      </c>
    </row>
    <row r="7428" spans="18:19" x14ac:dyDescent="0.25">
      <c r="R7428" s="13">
        <v>7355</v>
      </c>
      <c r="S7428" s="13">
        <v>0</v>
      </c>
    </row>
    <row r="7429" spans="18:19" x14ac:dyDescent="0.25">
      <c r="R7429" s="13">
        <v>7356</v>
      </c>
      <c r="S7429" s="13">
        <v>108970650.94744301</v>
      </c>
    </row>
    <row r="7430" spans="18:19" x14ac:dyDescent="0.25">
      <c r="R7430" s="13">
        <v>7357</v>
      </c>
      <c r="S7430" s="13">
        <v>0</v>
      </c>
    </row>
    <row r="7431" spans="18:19" x14ac:dyDescent="0.25">
      <c r="R7431" s="13">
        <v>7358</v>
      </c>
      <c r="S7431" s="13">
        <v>0</v>
      </c>
    </row>
    <row r="7432" spans="18:19" x14ac:dyDescent="0.25">
      <c r="R7432" s="13">
        <v>7359</v>
      </c>
      <c r="S7432" s="13">
        <v>0</v>
      </c>
    </row>
    <row r="7433" spans="18:19" x14ac:dyDescent="0.25">
      <c r="R7433" s="13">
        <v>7360</v>
      </c>
      <c r="S7433" s="13">
        <v>0</v>
      </c>
    </row>
    <row r="7434" spans="18:19" x14ac:dyDescent="0.25">
      <c r="R7434" s="13">
        <v>7361</v>
      </c>
      <c r="S7434" s="13">
        <v>0</v>
      </c>
    </row>
    <row r="7435" spans="18:19" x14ac:dyDescent="0.25">
      <c r="R7435" s="13">
        <v>7362</v>
      </c>
      <c r="S7435" s="13">
        <v>0</v>
      </c>
    </row>
    <row r="7436" spans="18:19" x14ac:dyDescent="0.25">
      <c r="R7436" s="13">
        <v>7363</v>
      </c>
      <c r="S7436" s="13">
        <v>12350472.39799118</v>
      </c>
    </row>
    <row r="7437" spans="18:19" x14ac:dyDescent="0.25">
      <c r="R7437" s="13">
        <v>7364</v>
      </c>
      <c r="S7437" s="13">
        <v>0</v>
      </c>
    </row>
    <row r="7438" spans="18:19" x14ac:dyDescent="0.25">
      <c r="R7438" s="13">
        <v>7365</v>
      </c>
      <c r="S7438" s="13">
        <v>0</v>
      </c>
    </row>
    <row r="7439" spans="18:19" x14ac:dyDescent="0.25">
      <c r="R7439" s="13">
        <v>7366</v>
      </c>
      <c r="S7439" s="13">
        <v>0</v>
      </c>
    </row>
    <row r="7440" spans="18:19" x14ac:dyDescent="0.25">
      <c r="R7440" s="13">
        <v>7367</v>
      </c>
      <c r="S7440" s="13">
        <v>0</v>
      </c>
    </row>
    <row r="7441" spans="18:19" x14ac:dyDescent="0.25">
      <c r="R7441" s="13">
        <v>7368</v>
      </c>
      <c r="S7441" s="13">
        <v>341259859.35293388</v>
      </c>
    </row>
    <row r="7442" spans="18:19" x14ac:dyDescent="0.25">
      <c r="R7442" s="13">
        <v>7369</v>
      </c>
      <c r="S7442" s="13">
        <v>0</v>
      </c>
    </row>
    <row r="7443" spans="18:19" x14ac:dyDescent="0.25">
      <c r="R7443" s="13">
        <v>7370</v>
      </c>
      <c r="S7443" s="13">
        <v>5199086.7416267395</v>
      </c>
    </row>
    <row r="7444" spans="18:19" x14ac:dyDescent="0.25">
      <c r="R7444" s="13">
        <v>7371</v>
      </c>
      <c r="S7444" s="13">
        <v>0</v>
      </c>
    </row>
    <row r="7445" spans="18:19" x14ac:dyDescent="0.25">
      <c r="R7445" s="13">
        <v>7372</v>
      </c>
      <c r="S7445" s="13">
        <v>0</v>
      </c>
    </row>
    <row r="7446" spans="18:19" x14ac:dyDescent="0.25">
      <c r="R7446" s="13">
        <v>7373</v>
      </c>
      <c r="S7446" s="13">
        <v>0</v>
      </c>
    </row>
    <row r="7447" spans="18:19" x14ac:dyDescent="0.25">
      <c r="R7447" s="13">
        <v>7374</v>
      </c>
      <c r="S7447" s="13">
        <v>0</v>
      </c>
    </row>
    <row r="7448" spans="18:19" x14ac:dyDescent="0.25">
      <c r="R7448" s="13">
        <v>7375</v>
      </c>
      <c r="S7448" s="13">
        <v>0</v>
      </c>
    </row>
    <row r="7449" spans="18:19" x14ac:dyDescent="0.25">
      <c r="R7449" s="13">
        <v>7376</v>
      </c>
      <c r="S7449" s="13">
        <v>0</v>
      </c>
    </row>
    <row r="7450" spans="18:19" x14ac:dyDescent="0.25">
      <c r="R7450" s="13">
        <v>7377</v>
      </c>
      <c r="S7450" s="13">
        <v>0</v>
      </c>
    </row>
    <row r="7451" spans="18:19" x14ac:dyDescent="0.25">
      <c r="R7451" s="13">
        <v>7378</v>
      </c>
      <c r="S7451" s="13">
        <v>0</v>
      </c>
    </row>
    <row r="7452" spans="18:19" x14ac:dyDescent="0.25">
      <c r="R7452" s="13">
        <v>7379</v>
      </c>
      <c r="S7452" s="13">
        <v>0</v>
      </c>
    </row>
    <row r="7453" spans="18:19" x14ac:dyDescent="0.25">
      <c r="R7453" s="13">
        <v>7380</v>
      </c>
      <c r="S7453" s="13">
        <v>266402776.79803658</v>
      </c>
    </row>
    <row r="7454" spans="18:19" x14ac:dyDescent="0.25">
      <c r="R7454" s="13">
        <v>7381</v>
      </c>
      <c r="S7454" s="13">
        <v>0</v>
      </c>
    </row>
    <row r="7455" spans="18:19" x14ac:dyDescent="0.25">
      <c r="R7455" s="13">
        <v>7382</v>
      </c>
      <c r="S7455" s="13">
        <v>0</v>
      </c>
    </row>
    <row r="7456" spans="18:19" x14ac:dyDescent="0.25">
      <c r="R7456" s="13">
        <v>7383</v>
      </c>
      <c r="S7456" s="13">
        <v>0</v>
      </c>
    </row>
    <row r="7457" spans="18:19" x14ac:dyDescent="0.25">
      <c r="R7457" s="13">
        <v>7384</v>
      </c>
      <c r="S7457" s="13">
        <v>0</v>
      </c>
    </row>
    <row r="7458" spans="18:19" x14ac:dyDescent="0.25">
      <c r="R7458" s="13">
        <v>7385</v>
      </c>
      <c r="S7458" s="13">
        <v>0</v>
      </c>
    </row>
    <row r="7459" spans="18:19" x14ac:dyDescent="0.25">
      <c r="R7459" s="13">
        <v>7386</v>
      </c>
      <c r="S7459" s="13">
        <v>0</v>
      </c>
    </row>
    <row r="7460" spans="18:19" x14ac:dyDescent="0.25">
      <c r="R7460" s="13">
        <v>7387</v>
      </c>
      <c r="S7460" s="13">
        <v>0</v>
      </c>
    </row>
    <row r="7461" spans="18:19" x14ac:dyDescent="0.25">
      <c r="R7461" s="13">
        <v>7388</v>
      </c>
      <c r="S7461" s="13">
        <v>0</v>
      </c>
    </row>
    <row r="7462" spans="18:19" x14ac:dyDescent="0.25">
      <c r="R7462" s="13">
        <v>7389</v>
      </c>
      <c r="S7462" s="13">
        <v>0</v>
      </c>
    </row>
    <row r="7463" spans="18:19" x14ac:dyDescent="0.25">
      <c r="R7463" s="13">
        <v>7390</v>
      </c>
      <c r="S7463" s="13">
        <v>0</v>
      </c>
    </row>
    <row r="7464" spans="18:19" x14ac:dyDescent="0.25">
      <c r="R7464" s="13">
        <v>7391</v>
      </c>
      <c r="S7464" s="13">
        <v>0</v>
      </c>
    </row>
    <row r="7465" spans="18:19" x14ac:dyDescent="0.25">
      <c r="R7465" s="13">
        <v>7392</v>
      </c>
      <c r="S7465" s="13">
        <v>0</v>
      </c>
    </row>
    <row r="7466" spans="18:19" x14ac:dyDescent="0.25">
      <c r="R7466" s="13">
        <v>7393</v>
      </c>
      <c r="S7466" s="13">
        <v>0</v>
      </c>
    </row>
    <row r="7467" spans="18:19" x14ac:dyDescent="0.25">
      <c r="R7467" s="13">
        <v>7394</v>
      </c>
      <c r="S7467" s="13">
        <v>0</v>
      </c>
    </row>
    <row r="7468" spans="18:19" x14ac:dyDescent="0.25">
      <c r="R7468" s="13">
        <v>7395</v>
      </c>
      <c r="S7468" s="13">
        <v>0</v>
      </c>
    </row>
    <row r="7469" spans="18:19" x14ac:dyDescent="0.25">
      <c r="R7469" s="13">
        <v>7396</v>
      </c>
      <c r="S7469" s="13">
        <v>0</v>
      </c>
    </row>
    <row r="7470" spans="18:19" x14ac:dyDescent="0.25">
      <c r="R7470" s="13">
        <v>7397</v>
      </c>
      <c r="S7470" s="13">
        <v>0</v>
      </c>
    </row>
    <row r="7471" spans="18:19" x14ac:dyDescent="0.25">
      <c r="R7471" s="13">
        <v>7398</v>
      </c>
      <c r="S7471" s="13">
        <v>304408536.45624924</v>
      </c>
    </row>
    <row r="7472" spans="18:19" x14ac:dyDescent="0.25">
      <c r="R7472" s="13">
        <v>7399</v>
      </c>
      <c r="S7472" s="13">
        <v>181459642.40148926</v>
      </c>
    </row>
    <row r="7473" spans="18:19" x14ac:dyDescent="0.25">
      <c r="R7473" s="13">
        <v>7400</v>
      </c>
      <c r="S7473" s="13">
        <v>0</v>
      </c>
    </row>
    <row r="7474" spans="18:19" x14ac:dyDescent="0.25">
      <c r="R7474" s="13">
        <v>7401</v>
      </c>
      <c r="S7474" s="13">
        <v>0</v>
      </c>
    </row>
    <row r="7475" spans="18:19" x14ac:dyDescent="0.25">
      <c r="R7475" s="13">
        <v>7402</v>
      </c>
      <c r="S7475" s="13">
        <v>0</v>
      </c>
    </row>
    <row r="7476" spans="18:19" x14ac:dyDescent="0.25">
      <c r="R7476" s="13">
        <v>7403</v>
      </c>
      <c r="S7476" s="13">
        <v>0</v>
      </c>
    </row>
    <row r="7477" spans="18:19" x14ac:dyDescent="0.25">
      <c r="R7477" s="13">
        <v>7404</v>
      </c>
      <c r="S7477" s="13">
        <v>0</v>
      </c>
    </row>
    <row r="7478" spans="18:19" x14ac:dyDescent="0.25">
      <c r="R7478" s="13">
        <v>7405</v>
      </c>
      <c r="S7478" s="13">
        <v>0</v>
      </c>
    </row>
    <row r="7479" spans="18:19" x14ac:dyDescent="0.25">
      <c r="R7479" s="13">
        <v>7406</v>
      </c>
      <c r="S7479" s="13">
        <v>0</v>
      </c>
    </row>
    <row r="7480" spans="18:19" x14ac:dyDescent="0.25">
      <c r="R7480" s="13">
        <v>7407</v>
      </c>
      <c r="S7480" s="13">
        <v>270219981.3585701</v>
      </c>
    </row>
    <row r="7481" spans="18:19" x14ac:dyDescent="0.25">
      <c r="R7481" s="13">
        <v>7408</v>
      </c>
      <c r="S7481" s="13">
        <v>0</v>
      </c>
    </row>
    <row r="7482" spans="18:19" x14ac:dyDescent="0.25">
      <c r="R7482" s="13">
        <v>7409</v>
      </c>
      <c r="S7482" s="13">
        <v>0</v>
      </c>
    </row>
    <row r="7483" spans="18:19" x14ac:dyDescent="0.25">
      <c r="R7483" s="13">
        <v>7410</v>
      </c>
      <c r="S7483" s="13">
        <v>0</v>
      </c>
    </row>
    <row r="7484" spans="18:19" x14ac:dyDescent="0.25">
      <c r="R7484" s="13">
        <v>7411</v>
      </c>
      <c r="S7484" s="13">
        <v>0</v>
      </c>
    </row>
    <row r="7485" spans="18:19" x14ac:dyDescent="0.25">
      <c r="R7485" s="13">
        <v>7412</v>
      </c>
      <c r="S7485" s="13">
        <v>0</v>
      </c>
    </row>
    <row r="7486" spans="18:19" x14ac:dyDescent="0.25">
      <c r="R7486" s="13">
        <v>7413</v>
      </c>
      <c r="S7486" s="13">
        <v>0</v>
      </c>
    </row>
    <row r="7487" spans="18:19" x14ac:dyDescent="0.25">
      <c r="R7487" s="13">
        <v>7414</v>
      </c>
      <c r="S7487" s="13">
        <v>0</v>
      </c>
    </row>
    <row r="7488" spans="18:19" x14ac:dyDescent="0.25">
      <c r="R7488" s="13">
        <v>7415</v>
      </c>
      <c r="S7488" s="13">
        <v>0</v>
      </c>
    </row>
    <row r="7489" spans="18:19" x14ac:dyDescent="0.25">
      <c r="R7489" s="13">
        <v>7416</v>
      </c>
      <c r="S7489" s="13">
        <v>562966544.39952469</v>
      </c>
    </row>
    <row r="7490" spans="18:19" x14ac:dyDescent="0.25">
      <c r="R7490" s="13">
        <v>7417</v>
      </c>
      <c r="S7490" s="13">
        <v>0</v>
      </c>
    </row>
    <row r="7491" spans="18:19" x14ac:dyDescent="0.25">
      <c r="R7491" s="13">
        <v>7418</v>
      </c>
      <c r="S7491" s="13">
        <v>0</v>
      </c>
    </row>
    <row r="7492" spans="18:19" x14ac:dyDescent="0.25">
      <c r="R7492" s="13">
        <v>7419</v>
      </c>
      <c r="S7492" s="13">
        <v>916544855.5322876</v>
      </c>
    </row>
    <row r="7493" spans="18:19" x14ac:dyDescent="0.25">
      <c r="R7493" s="13">
        <v>7420</v>
      </c>
      <c r="S7493" s="13">
        <v>293871548.40983963</v>
      </c>
    </row>
    <row r="7494" spans="18:19" x14ac:dyDescent="0.25">
      <c r="R7494" s="13">
        <v>7421</v>
      </c>
      <c r="S7494" s="13">
        <v>0</v>
      </c>
    </row>
    <row r="7495" spans="18:19" x14ac:dyDescent="0.25">
      <c r="R7495" s="13">
        <v>7422</v>
      </c>
      <c r="S7495" s="13">
        <v>0</v>
      </c>
    </row>
    <row r="7496" spans="18:19" x14ac:dyDescent="0.25">
      <c r="R7496" s="13">
        <v>7423</v>
      </c>
      <c r="S7496" s="13">
        <v>0</v>
      </c>
    </row>
    <row r="7497" spans="18:19" x14ac:dyDescent="0.25">
      <c r="R7497" s="13">
        <v>7424</v>
      </c>
      <c r="S7497" s="13">
        <v>368147314.72293663</v>
      </c>
    </row>
    <row r="7498" spans="18:19" x14ac:dyDescent="0.25">
      <c r="R7498" s="13">
        <v>7425</v>
      </c>
      <c r="S7498" s="13">
        <v>0</v>
      </c>
    </row>
    <row r="7499" spans="18:19" x14ac:dyDescent="0.25">
      <c r="R7499" s="13">
        <v>7426</v>
      </c>
      <c r="S7499" s="13">
        <v>3331574.0122833252</v>
      </c>
    </row>
    <row r="7500" spans="18:19" x14ac:dyDescent="0.25">
      <c r="R7500" s="13">
        <v>7427</v>
      </c>
      <c r="S7500" s="13">
        <v>162368381.39341354</v>
      </c>
    </row>
    <row r="7501" spans="18:19" x14ac:dyDescent="0.25">
      <c r="R7501" s="13">
        <v>7428</v>
      </c>
      <c r="S7501" s="13">
        <v>0</v>
      </c>
    </row>
    <row r="7502" spans="18:19" x14ac:dyDescent="0.25">
      <c r="R7502" s="13">
        <v>7429</v>
      </c>
      <c r="S7502" s="13">
        <v>593681757.89315987</v>
      </c>
    </row>
    <row r="7503" spans="18:19" x14ac:dyDescent="0.25">
      <c r="R7503" s="13">
        <v>7430</v>
      </c>
      <c r="S7503" s="13">
        <v>0</v>
      </c>
    </row>
    <row r="7504" spans="18:19" x14ac:dyDescent="0.25">
      <c r="R7504" s="13">
        <v>7431</v>
      </c>
      <c r="S7504" s="13">
        <v>0</v>
      </c>
    </row>
    <row r="7505" spans="18:19" x14ac:dyDescent="0.25">
      <c r="R7505" s="13">
        <v>7432</v>
      </c>
      <c r="S7505" s="13">
        <v>0</v>
      </c>
    </row>
    <row r="7506" spans="18:19" x14ac:dyDescent="0.25">
      <c r="R7506" s="13">
        <v>7433</v>
      </c>
      <c r="S7506" s="13">
        <v>0</v>
      </c>
    </row>
    <row r="7507" spans="18:19" x14ac:dyDescent="0.25">
      <c r="R7507" s="13">
        <v>7434</v>
      </c>
      <c r="S7507" s="13">
        <v>0</v>
      </c>
    </row>
    <row r="7508" spans="18:19" x14ac:dyDescent="0.25">
      <c r="R7508" s="13">
        <v>7435</v>
      </c>
      <c r="S7508" s="13">
        <v>0</v>
      </c>
    </row>
    <row r="7509" spans="18:19" x14ac:dyDescent="0.25">
      <c r="R7509" s="13">
        <v>7436</v>
      </c>
      <c r="S7509" s="13">
        <v>454152708.08113289</v>
      </c>
    </row>
    <row r="7510" spans="18:19" x14ac:dyDescent="0.25">
      <c r="R7510" s="13">
        <v>7437</v>
      </c>
      <c r="S7510" s="13">
        <v>0</v>
      </c>
    </row>
    <row r="7511" spans="18:19" x14ac:dyDescent="0.25">
      <c r="R7511" s="13">
        <v>7438</v>
      </c>
      <c r="S7511" s="13">
        <v>0</v>
      </c>
    </row>
    <row r="7512" spans="18:19" x14ac:dyDescent="0.25">
      <c r="R7512" s="13">
        <v>7439</v>
      </c>
      <c r="S7512" s="13">
        <v>0</v>
      </c>
    </row>
    <row r="7513" spans="18:19" x14ac:dyDescent="0.25">
      <c r="R7513" s="13">
        <v>7440</v>
      </c>
      <c r="S7513" s="13">
        <v>0</v>
      </c>
    </row>
    <row r="7514" spans="18:19" x14ac:dyDescent="0.25">
      <c r="R7514" s="13">
        <v>7441</v>
      </c>
      <c r="S7514" s="13">
        <v>0</v>
      </c>
    </row>
    <row r="7515" spans="18:19" x14ac:dyDescent="0.25">
      <c r="R7515" s="13">
        <v>7442</v>
      </c>
      <c r="S7515" s="13">
        <v>0</v>
      </c>
    </row>
    <row r="7516" spans="18:19" x14ac:dyDescent="0.25">
      <c r="R7516" s="13">
        <v>7443</v>
      </c>
      <c r="S7516" s="13">
        <v>0</v>
      </c>
    </row>
    <row r="7517" spans="18:19" x14ac:dyDescent="0.25">
      <c r="R7517" s="13">
        <v>7444</v>
      </c>
      <c r="S7517" s="13">
        <v>0</v>
      </c>
    </row>
    <row r="7518" spans="18:19" x14ac:dyDescent="0.25">
      <c r="R7518" s="13">
        <v>7445</v>
      </c>
      <c r="S7518" s="13">
        <v>0</v>
      </c>
    </row>
    <row r="7519" spans="18:19" x14ac:dyDescent="0.25">
      <c r="R7519" s="13">
        <v>7446</v>
      </c>
      <c r="S7519" s="13">
        <v>0</v>
      </c>
    </row>
    <row r="7520" spans="18:19" x14ac:dyDescent="0.25">
      <c r="R7520" s="13">
        <v>7447</v>
      </c>
      <c r="S7520" s="13">
        <v>0</v>
      </c>
    </row>
    <row r="7521" spans="18:19" x14ac:dyDescent="0.25">
      <c r="R7521" s="13">
        <v>7448</v>
      </c>
      <c r="S7521" s="13">
        <v>0</v>
      </c>
    </row>
    <row r="7522" spans="18:19" x14ac:dyDescent="0.25">
      <c r="R7522" s="13">
        <v>7449</v>
      </c>
      <c r="S7522" s="13">
        <v>407618455.2672081</v>
      </c>
    </row>
    <row r="7523" spans="18:19" x14ac:dyDescent="0.25">
      <c r="R7523" s="13">
        <v>7450</v>
      </c>
      <c r="S7523" s="13">
        <v>0</v>
      </c>
    </row>
    <row r="7524" spans="18:19" x14ac:dyDescent="0.25">
      <c r="R7524" s="13">
        <v>7451</v>
      </c>
      <c r="S7524" s="13">
        <v>0</v>
      </c>
    </row>
    <row r="7525" spans="18:19" x14ac:dyDescent="0.25">
      <c r="R7525" s="13">
        <v>7452</v>
      </c>
      <c r="S7525" s="13">
        <v>0</v>
      </c>
    </row>
    <row r="7526" spans="18:19" x14ac:dyDescent="0.25">
      <c r="R7526" s="13">
        <v>7453</v>
      </c>
      <c r="S7526" s="13">
        <v>0</v>
      </c>
    </row>
    <row r="7527" spans="18:19" x14ac:dyDescent="0.25">
      <c r="R7527" s="13">
        <v>7454</v>
      </c>
      <c r="S7527" s="13">
        <v>0</v>
      </c>
    </row>
    <row r="7528" spans="18:19" x14ac:dyDescent="0.25">
      <c r="R7528" s="13">
        <v>7455</v>
      </c>
      <c r="S7528" s="13">
        <v>0</v>
      </c>
    </row>
    <row r="7529" spans="18:19" x14ac:dyDescent="0.25">
      <c r="R7529" s="13">
        <v>7456</v>
      </c>
      <c r="S7529" s="13">
        <v>142064376.27615356</v>
      </c>
    </row>
    <row r="7530" spans="18:19" x14ac:dyDescent="0.25">
      <c r="R7530" s="13">
        <v>7457</v>
      </c>
      <c r="S7530" s="13">
        <v>0</v>
      </c>
    </row>
    <row r="7531" spans="18:19" x14ac:dyDescent="0.25">
      <c r="R7531" s="13">
        <v>7458</v>
      </c>
      <c r="S7531" s="13">
        <v>0</v>
      </c>
    </row>
    <row r="7532" spans="18:19" x14ac:dyDescent="0.25">
      <c r="R7532" s="13">
        <v>7459</v>
      </c>
      <c r="S7532" s="13">
        <v>0</v>
      </c>
    </row>
    <row r="7533" spans="18:19" x14ac:dyDescent="0.25">
      <c r="R7533" s="13">
        <v>7460</v>
      </c>
      <c r="S7533" s="13">
        <v>0</v>
      </c>
    </row>
    <row r="7534" spans="18:19" x14ac:dyDescent="0.25">
      <c r="R7534" s="13">
        <v>7461</v>
      </c>
      <c r="S7534" s="13">
        <v>185597132.83219719</v>
      </c>
    </row>
    <row r="7535" spans="18:19" x14ac:dyDescent="0.25">
      <c r="R7535" s="13">
        <v>7462</v>
      </c>
      <c r="S7535" s="13">
        <v>0</v>
      </c>
    </row>
    <row r="7536" spans="18:19" x14ac:dyDescent="0.25">
      <c r="R7536" s="13">
        <v>7463</v>
      </c>
      <c r="S7536" s="13">
        <v>0</v>
      </c>
    </row>
    <row r="7537" spans="18:19" x14ac:dyDescent="0.25">
      <c r="R7537" s="13">
        <v>7464</v>
      </c>
      <c r="S7537" s="13">
        <v>0</v>
      </c>
    </row>
    <row r="7538" spans="18:19" x14ac:dyDescent="0.25">
      <c r="R7538" s="13">
        <v>7465</v>
      </c>
      <c r="S7538" s="13">
        <v>0</v>
      </c>
    </row>
    <row r="7539" spans="18:19" x14ac:dyDescent="0.25">
      <c r="R7539" s="13">
        <v>7466</v>
      </c>
      <c r="S7539" s="13">
        <v>0</v>
      </c>
    </row>
    <row r="7540" spans="18:19" x14ac:dyDescent="0.25">
      <c r="R7540" s="13">
        <v>7467</v>
      </c>
      <c r="S7540" s="13">
        <v>0</v>
      </c>
    </row>
    <row r="7541" spans="18:19" x14ac:dyDescent="0.25">
      <c r="R7541" s="13">
        <v>7468</v>
      </c>
      <c r="S7541" s="13">
        <v>0</v>
      </c>
    </row>
    <row r="7542" spans="18:19" x14ac:dyDescent="0.25">
      <c r="R7542" s="13">
        <v>7469</v>
      </c>
      <c r="S7542" s="13">
        <v>0</v>
      </c>
    </row>
    <row r="7543" spans="18:19" x14ac:dyDescent="0.25">
      <c r="R7543" s="13">
        <v>7470</v>
      </c>
      <c r="S7543" s="13">
        <v>340072729.8850975</v>
      </c>
    </row>
    <row r="7544" spans="18:19" x14ac:dyDescent="0.25">
      <c r="R7544" s="13">
        <v>7471</v>
      </c>
      <c r="S7544" s="13">
        <v>0</v>
      </c>
    </row>
    <row r="7545" spans="18:19" x14ac:dyDescent="0.25">
      <c r="R7545" s="13">
        <v>7472</v>
      </c>
      <c r="S7545" s="13">
        <v>0</v>
      </c>
    </row>
    <row r="7546" spans="18:19" x14ac:dyDescent="0.25">
      <c r="R7546" s="13">
        <v>7473</v>
      </c>
      <c r="S7546" s="13">
        <v>0</v>
      </c>
    </row>
    <row r="7547" spans="18:19" x14ac:dyDescent="0.25">
      <c r="R7547" s="13">
        <v>7474</v>
      </c>
      <c r="S7547" s="13">
        <v>1158789055.1850662</v>
      </c>
    </row>
    <row r="7548" spans="18:19" x14ac:dyDescent="0.25">
      <c r="R7548" s="13">
        <v>7475</v>
      </c>
      <c r="S7548" s="13">
        <v>0</v>
      </c>
    </row>
    <row r="7549" spans="18:19" x14ac:dyDescent="0.25">
      <c r="R7549" s="13">
        <v>7476</v>
      </c>
      <c r="S7549" s="13">
        <v>553580156.23945808</v>
      </c>
    </row>
    <row r="7550" spans="18:19" x14ac:dyDescent="0.25">
      <c r="R7550" s="13">
        <v>7477</v>
      </c>
      <c r="S7550" s="13">
        <v>0</v>
      </c>
    </row>
    <row r="7551" spans="18:19" x14ac:dyDescent="0.25">
      <c r="R7551" s="13">
        <v>7478</v>
      </c>
      <c r="S7551" s="13">
        <v>0</v>
      </c>
    </row>
    <row r="7552" spans="18:19" x14ac:dyDescent="0.25">
      <c r="R7552" s="13">
        <v>7479</v>
      </c>
      <c r="S7552" s="13">
        <v>0</v>
      </c>
    </row>
    <row r="7553" spans="18:19" x14ac:dyDescent="0.25">
      <c r="R7553" s="13">
        <v>7480</v>
      </c>
      <c r="S7553" s="13">
        <v>447409181.95166016</v>
      </c>
    </row>
    <row r="7554" spans="18:19" x14ac:dyDescent="0.25">
      <c r="R7554" s="13">
        <v>7481</v>
      </c>
      <c r="S7554" s="13">
        <v>0</v>
      </c>
    </row>
    <row r="7555" spans="18:19" x14ac:dyDescent="0.25">
      <c r="R7555" s="13">
        <v>7482</v>
      </c>
      <c r="S7555" s="13">
        <v>0</v>
      </c>
    </row>
    <row r="7556" spans="18:19" x14ac:dyDescent="0.25">
      <c r="R7556" s="13">
        <v>7483</v>
      </c>
      <c r="S7556" s="13">
        <v>0</v>
      </c>
    </row>
    <row r="7557" spans="18:19" x14ac:dyDescent="0.25">
      <c r="R7557" s="13">
        <v>7484</v>
      </c>
      <c r="S7557" s="13">
        <v>0</v>
      </c>
    </row>
    <row r="7558" spans="18:19" x14ac:dyDescent="0.25">
      <c r="R7558" s="13">
        <v>7485</v>
      </c>
      <c r="S7558" s="13">
        <v>0</v>
      </c>
    </row>
    <row r="7559" spans="18:19" x14ac:dyDescent="0.25">
      <c r="R7559" s="13">
        <v>7486</v>
      </c>
      <c r="S7559" s="13">
        <v>0</v>
      </c>
    </row>
    <row r="7560" spans="18:19" x14ac:dyDescent="0.25">
      <c r="R7560" s="13">
        <v>7487</v>
      </c>
      <c r="S7560" s="13">
        <v>0</v>
      </c>
    </row>
    <row r="7561" spans="18:19" x14ac:dyDescent="0.25">
      <c r="R7561" s="13">
        <v>7488</v>
      </c>
      <c r="S7561" s="13">
        <v>0</v>
      </c>
    </row>
    <row r="7562" spans="18:19" x14ac:dyDescent="0.25">
      <c r="R7562" s="13">
        <v>7489</v>
      </c>
      <c r="S7562" s="13">
        <v>0</v>
      </c>
    </row>
    <row r="7563" spans="18:19" x14ac:dyDescent="0.25">
      <c r="R7563" s="13">
        <v>7490</v>
      </c>
      <c r="S7563" s="13">
        <v>0</v>
      </c>
    </row>
    <row r="7564" spans="18:19" x14ac:dyDescent="0.25">
      <c r="R7564" s="13">
        <v>7491</v>
      </c>
      <c r="S7564" s="13">
        <v>0</v>
      </c>
    </row>
    <row r="7565" spans="18:19" x14ac:dyDescent="0.25">
      <c r="R7565" s="13">
        <v>7492</v>
      </c>
      <c r="S7565" s="13">
        <v>0</v>
      </c>
    </row>
    <row r="7566" spans="18:19" x14ac:dyDescent="0.25">
      <c r="R7566" s="13">
        <v>7493</v>
      </c>
      <c r="S7566" s="13">
        <v>0</v>
      </c>
    </row>
    <row r="7567" spans="18:19" x14ac:dyDescent="0.25">
      <c r="R7567" s="13">
        <v>7494</v>
      </c>
      <c r="S7567" s="13">
        <v>253075679.05547333</v>
      </c>
    </row>
    <row r="7568" spans="18:19" x14ac:dyDescent="0.25">
      <c r="R7568" s="13">
        <v>7495</v>
      </c>
      <c r="S7568" s="13">
        <v>0</v>
      </c>
    </row>
    <row r="7569" spans="18:19" x14ac:dyDescent="0.25">
      <c r="R7569" s="13">
        <v>7496</v>
      </c>
      <c r="S7569" s="13">
        <v>0</v>
      </c>
    </row>
    <row r="7570" spans="18:19" x14ac:dyDescent="0.25">
      <c r="R7570" s="13">
        <v>7497</v>
      </c>
      <c r="S7570" s="13">
        <v>0</v>
      </c>
    </row>
    <row r="7571" spans="18:19" x14ac:dyDescent="0.25">
      <c r="R7571" s="13">
        <v>7498</v>
      </c>
      <c r="S7571" s="13">
        <v>0</v>
      </c>
    </row>
    <row r="7572" spans="18:19" x14ac:dyDescent="0.25">
      <c r="R7572" s="13">
        <v>7499</v>
      </c>
      <c r="S7572" s="13">
        <v>0</v>
      </c>
    </row>
    <row r="7573" spans="18:19" x14ac:dyDescent="0.25">
      <c r="R7573" s="13">
        <v>7500</v>
      </c>
      <c r="S7573" s="13">
        <v>0</v>
      </c>
    </row>
    <row r="7574" spans="18:19" x14ac:dyDescent="0.25">
      <c r="R7574" s="13">
        <v>7501</v>
      </c>
      <c r="S7574" s="13">
        <v>0</v>
      </c>
    </row>
    <row r="7575" spans="18:19" x14ac:dyDescent="0.25">
      <c r="R7575" s="13">
        <v>7502</v>
      </c>
      <c r="S7575" s="13">
        <v>0</v>
      </c>
    </row>
    <row r="7576" spans="18:19" x14ac:dyDescent="0.25">
      <c r="R7576" s="13">
        <v>7503</v>
      </c>
      <c r="S7576" s="13">
        <v>0</v>
      </c>
    </row>
    <row r="7577" spans="18:19" x14ac:dyDescent="0.25">
      <c r="R7577" s="13">
        <v>7504</v>
      </c>
      <c r="S7577" s="13">
        <v>1046663332.0501385</v>
      </c>
    </row>
    <row r="7578" spans="18:19" x14ac:dyDescent="0.25">
      <c r="R7578" s="13">
        <v>7505</v>
      </c>
      <c r="S7578" s="13">
        <v>311655879.37350845</v>
      </c>
    </row>
    <row r="7579" spans="18:19" x14ac:dyDescent="0.25">
      <c r="R7579" s="13">
        <v>7506</v>
      </c>
      <c r="S7579" s="13">
        <v>169062454.260746</v>
      </c>
    </row>
    <row r="7580" spans="18:19" x14ac:dyDescent="0.25">
      <c r="R7580" s="13">
        <v>7507</v>
      </c>
      <c r="S7580" s="13">
        <v>0</v>
      </c>
    </row>
    <row r="7581" spans="18:19" x14ac:dyDescent="0.25">
      <c r="R7581" s="13">
        <v>7508</v>
      </c>
      <c r="S7581" s="13">
        <v>0</v>
      </c>
    </row>
    <row r="7582" spans="18:19" x14ac:dyDescent="0.25">
      <c r="R7582" s="13">
        <v>7509</v>
      </c>
      <c r="S7582" s="13">
        <v>393762856.5359478</v>
      </c>
    </row>
    <row r="7583" spans="18:19" x14ac:dyDescent="0.25">
      <c r="R7583" s="13">
        <v>7510</v>
      </c>
      <c r="S7583" s="13">
        <v>0</v>
      </c>
    </row>
    <row r="7584" spans="18:19" x14ac:dyDescent="0.25">
      <c r="R7584" s="13">
        <v>7511</v>
      </c>
      <c r="S7584" s="13">
        <v>0</v>
      </c>
    </row>
    <row r="7585" spans="18:19" x14ac:dyDescent="0.25">
      <c r="R7585" s="13">
        <v>7512</v>
      </c>
      <c r="S7585" s="13">
        <v>0</v>
      </c>
    </row>
    <row r="7586" spans="18:19" x14ac:dyDescent="0.25">
      <c r="R7586" s="13">
        <v>7513</v>
      </c>
      <c r="S7586" s="13">
        <v>0</v>
      </c>
    </row>
    <row r="7587" spans="18:19" x14ac:dyDescent="0.25">
      <c r="R7587" s="13">
        <v>7514</v>
      </c>
      <c r="S7587" s="13">
        <v>0</v>
      </c>
    </row>
    <row r="7588" spans="18:19" x14ac:dyDescent="0.25">
      <c r="R7588" s="13">
        <v>7515</v>
      </c>
      <c r="S7588" s="13">
        <v>0</v>
      </c>
    </row>
    <row r="7589" spans="18:19" x14ac:dyDescent="0.25">
      <c r="R7589" s="13">
        <v>7516</v>
      </c>
      <c r="S7589" s="13">
        <v>0</v>
      </c>
    </row>
    <row r="7590" spans="18:19" x14ac:dyDescent="0.25">
      <c r="R7590" s="13">
        <v>7517</v>
      </c>
      <c r="S7590" s="13">
        <v>0</v>
      </c>
    </row>
    <row r="7591" spans="18:19" x14ac:dyDescent="0.25">
      <c r="R7591" s="13">
        <v>7518</v>
      </c>
      <c r="S7591" s="13">
        <v>0</v>
      </c>
    </row>
    <row r="7592" spans="18:19" x14ac:dyDescent="0.25">
      <c r="R7592" s="13">
        <v>7519</v>
      </c>
      <c r="S7592" s="13">
        <v>272968457.52052689</v>
      </c>
    </row>
    <row r="7593" spans="18:19" x14ac:dyDescent="0.25">
      <c r="R7593" s="13">
        <v>7520</v>
      </c>
      <c r="S7593" s="13">
        <v>0</v>
      </c>
    </row>
    <row r="7594" spans="18:19" x14ac:dyDescent="0.25">
      <c r="R7594" s="13">
        <v>7521</v>
      </c>
      <c r="S7594" s="13">
        <v>0</v>
      </c>
    </row>
    <row r="7595" spans="18:19" x14ac:dyDescent="0.25">
      <c r="R7595" s="13">
        <v>7522</v>
      </c>
      <c r="S7595" s="13">
        <v>0</v>
      </c>
    </row>
    <row r="7596" spans="18:19" x14ac:dyDescent="0.25">
      <c r="R7596" s="13">
        <v>7523</v>
      </c>
      <c r="S7596" s="13">
        <v>0</v>
      </c>
    </row>
    <row r="7597" spans="18:19" x14ac:dyDescent="0.25">
      <c r="R7597" s="13">
        <v>7524</v>
      </c>
      <c r="S7597" s="13">
        <v>0</v>
      </c>
    </row>
    <row r="7598" spans="18:19" x14ac:dyDescent="0.25">
      <c r="R7598" s="13">
        <v>7525</v>
      </c>
      <c r="S7598" s="13">
        <v>0</v>
      </c>
    </row>
    <row r="7599" spans="18:19" x14ac:dyDescent="0.25">
      <c r="R7599" s="13">
        <v>7526</v>
      </c>
      <c r="S7599" s="13">
        <v>181945705.70738602</v>
      </c>
    </row>
    <row r="7600" spans="18:19" x14ac:dyDescent="0.25">
      <c r="R7600" s="13">
        <v>7527</v>
      </c>
      <c r="S7600" s="13">
        <v>0</v>
      </c>
    </row>
    <row r="7601" spans="18:19" x14ac:dyDescent="0.25">
      <c r="R7601" s="13">
        <v>7528</v>
      </c>
      <c r="S7601" s="13">
        <v>0</v>
      </c>
    </row>
    <row r="7602" spans="18:19" x14ac:dyDescent="0.25">
      <c r="R7602" s="13">
        <v>7529</v>
      </c>
      <c r="S7602" s="13">
        <v>321373330.89024353</v>
      </c>
    </row>
    <row r="7603" spans="18:19" x14ac:dyDescent="0.25">
      <c r="R7603" s="13">
        <v>7530</v>
      </c>
      <c r="S7603" s="13">
        <v>0</v>
      </c>
    </row>
    <row r="7604" spans="18:19" x14ac:dyDescent="0.25">
      <c r="R7604" s="13">
        <v>7531</v>
      </c>
      <c r="S7604" s="13">
        <v>0</v>
      </c>
    </row>
    <row r="7605" spans="18:19" x14ac:dyDescent="0.25">
      <c r="R7605" s="13">
        <v>7532</v>
      </c>
      <c r="S7605" s="13">
        <v>0</v>
      </c>
    </row>
    <row r="7606" spans="18:19" x14ac:dyDescent="0.25">
      <c r="R7606" s="13">
        <v>7533</v>
      </c>
      <c r="S7606" s="13">
        <v>0</v>
      </c>
    </row>
    <row r="7607" spans="18:19" x14ac:dyDescent="0.25">
      <c r="R7607" s="13">
        <v>7534</v>
      </c>
      <c r="S7607" s="13">
        <v>0</v>
      </c>
    </row>
    <row r="7608" spans="18:19" x14ac:dyDescent="0.25">
      <c r="R7608" s="13">
        <v>7535</v>
      </c>
      <c r="S7608" s="13">
        <v>0</v>
      </c>
    </row>
    <row r="7609" spans="18:19" x14ac:dyDescent="0.25">
      <c r="R7609" s="13">
        <v>7536</v>
      </c>
      <c r="S7609" s="13">
        <v>0</v>
      </c>
    </row>
    <row r="7610" spans="18:19" x14ac:dyDescent="0.25">
      <c r="R7610" s="13">
        <v>7537</v>
      </c>
      <c r="S7610" s="13">
        <v>0</v>
      </c>
    </row>
    <row r="7611" spans="18:19" x14ac:dyDescent="0.25">
      <c r="R7611" s="13">
        <v>7538</v>
      </c>
      <c r="S7611" s="13">
        <v>353746015.09925652</v>
      </c>
    </row>
    <row r="7612" spans="18:19" x14ac:dyDescent="0.25">
      <c r="R7612" s="13">
        <v>7539</v>
      </c>
      <c r="S7612" s="13">
        <v>0</v>
      </c>
    </row>
    <row r="7613" spans="18:19" x14ac:dyDescent="0.25">
      <c r="R7613" s="13">
        <v>7540</v>
      </c>
      <c r="S7613" s="13">
        <v>0</v>
      </c>
    </row>
    <row r="7614" spans="18:19" x14ac:dyDescent="0.25">
      <c r="R7614" s="13">
        <v>7541</v>
      </c>
      <c r="S7614" s="13">
        <v>0</v>
      </c>
    </row>
    <row r="7615" spans="18:19" x14ac:dyDescent="0.25">
      <c r="R7615" s="13">
        <v>7542</v>
      </c>
      <c r="S7615" s="13">
        <v>0</v>
      </c>
    </row>
    <row r="7616" spans="18:19" x14ac:dyDescent="0.25">
      <c r="R7616" s="13">
        <v>7543</v>
      </c>
      <c r="S7616" s="13">
        <v>0</v>
      </c>
    </row>
    <row r="7617" spans="18:19" x14ac:dyDescent="0.25">
      <c r="R7617" s="13">
        <v>7544</v>
      </c>
      <c r="S7617" s="13">
        <v>165503493.13768196</v>
      </c>
    </row>
    <row r="7618" spans="18:19" x14ac:dyDescent="0.25">
      <c r="R7618" s="13">
        <v>7545</v>
      </c>
      <c r="S7618" s="13">
        <v>0</v>
      </c>
    </row>
    <row r="7619" spans="18:19" x14ac:dyDescent="0.25">
      <c r="R7619" s="13">
        <v>7546</v>
      </c>
      <c r="S7619" s="13">
        <v>111748273.06161118</v>
      </c>
    </row>
    <row r="7620" spans="18:19" x14ac:dyDescent="0.25">
      <c r="R7620" s="13">
        <v>7547</v>
      </c>
      <c r="S7620" s="13">
        <v>0</v>
      </c>
    </row>
    <row r="7621" spans="18:19" x14ac:dyDescent="0.25">
      <c r="R7621" s="13">
        <v>7548</v>
      </c>
      <c r="S7621" s="13">
        <v>0</v>
      </c>
    </row>
    <row r="7622" spans="18:19" x14ac:dyDescent="0.25">
      <c r="R7622" s="13">
        <v>7549</v>
      </c>
      <c r="S7622" s="13">
        <v>0</v>
      </c>
    </row>
    <row r="7623" spans="18:19" x14ac:dyDescent="0.25">
      <c r="R7623" s="13">
        <v>7550</v>
      </c>
      <c r="S7623" s="13">
        <v>114384487.87127876</v>
      </c>
    </row>
    <row r="7624" spans="18:19" x14ac:dyDescent="0.25">
      <c r="R7624" s="13">
        <v>7551</v>
      </c>
      <c r="S7624" s="13">
        <v>0</v>
      </c>
    </row>
    <row r="7625" spans="18:19" x14ac:dyDescent="0.25">
      <c r="R7625" s="13">
        <v>7552</v>
      </c>
      <c r="S7625" s="13">
        <v>0</v>
      </c>
    </row>
    <row r="7626" spans="18:19" x14ac:dyDescent="0.25">
      <c r="R7626" s="13">
        <v>7553</v>
      </c>
      <c r="S7626" s="13">
        <v>0</v>
      </c>
    </row>
    <row r="7627" spans="18:19" x14ac:dyDescent="0.25">
      <c r="R7627" s="13">
        <v>7554</v>
      </c>
      <c r="S7627" s="13">
        <v>0</v>
      </c>
    </row>
    <row r="7628" spans="18:19" x14ac:dyDescent="0.25">
      <c r="R7628" s="13">
        <v>7555</v>
      </c>
      <c r="S7628" s="13">
        <v>0</v>
      </c>
    </row>
    <row r="7629" spans="18:19" x14ac:dyDescent="0.25">
      <c r="R7629" s="13">
        <v>7556</v>
      </c>
      <c r="S7629" s="13">
        <v>0</v>
      </c>
    </row>
    <row r="7630" spans="18:19" x14ac:dyDescent="0.25">
      <c r="R7630" s="13">
        <v>7557</v>
      </c>
      <c r="S7630" s="13">
        <v>0</v>
      </c>
    </row>
    <row r="7631" spans="18:19" x14ac:dyDescent="0.25">
      <c r="R7631" s="13">
        <v>7558</v>
      </c>
      <c r="S7631" s="13">
        <v>0</v>
      </c>
    </row>
    <row r="7632" spans="18:19" x14ac:dyDescent="0.25">
      <c r="R7632" s="13">
        <v>7559</v>
      </c>
      <c r="S7632" s="13">
        <v>0</v>
      </c>
    </row>
    <row r="7633" spans="18:19" x14ac:dyDescent="0.25">
      <c r="R7633" s="13">
        <v>7560</v>
      </c>
      <c r="S7633" s="13">
        <v>0</v>
      </c>
    </row>
    <row r="7634" spans="18:19" x14ac:dyDescent="0.25">
      <c r="R7634" s="13">
        <v>7561</v>
      </c>
      <c r="S7634" s="13">
        <v>0</v>
      </c>
    </row>
    <row r="7635" spans="18:19" x14ac:dyDescent="0.25">
      <c r="R7635" s="13">
        <v>7562</v>
      </c>
      <c r="S7635" s="13">
        <v>1198023686.1606293</v>
      </c>
    </row>
    <row r="7636" spans="18:19" x14ac:dyDescent="0.25">
      <c r="R7636" s="13">
        <v>7563</v>
      </c>
      <c r="S7636" s="13">
        <v>0</v>
      </c>
    </row>
    <row r="7637" spans="18:19" x14ac:dyDescent="0.25">
      <c r="R7637" s="13">
        <v>7564</v>
      </c>
      <c r="S7637" s="13">
        <v>0</v>
      </c>
    </row>
    <row r="7638" spans="18:19" x14ac:dyDescent="0.25">
      <c r="R7638" s="13">
        <v>7565</v>
      </c>
      <c r="S7638" s="13">
        <v>0</v>
      </c>
    </row>
    <row r="7639" spans="18:19" x14ac:dyDescent="0.25">
      <c r="R7639" s="13">
        <v>7566</v>
      </c>
      <c r="S7639" s="13">
        <v>0</v>
      </c>
    </row>
    <row r="7640" spans="18:19" x14ac:dyDescent="0.25">
      <c r="R7640" s="13">
        <v>7567</v>
      </c>
      <c r="S7640" s="13">
        <v>0</v>
      </c>
    </row>
    <row r="7641" spans="18:19" x14ac:dyDescent="0.25">
      <c r="R7641" s="13">
        <v>7568</v>
      </c>
      <c r="S7641" s="13">
        <v>0</v>
      </c>
    </row>
    <row r="7642" spans="18:19" x14ac:dyDescent="0.25">
      <c r="R7642" s="13">
        <v>7569</v>
      </c>
      <c r="S7642" s="13">
        <v>0</v>
      </c>
    </row>
    <row r="7643" spans="18:19" x14ac:dyDescent="0.25">
      <c r="R7643" s="13">
        <v>7570</v>
      </c>
      <c r="S7643" s="13">
        <v>0</v>
      </c>
    </row>
    <row r="7644" spans="18:19" x14ac:dyDescent="0.25">
      <c r="R7644" s="13">
        <v>7571</v>
      </c>
      <c r="S7644" s="13">
        <v>0</v>
      </c>
    </row>
    <row r="7645" spans="18:19" x14ac:dyDescent="0.25">
      <c r="R7645" s="13">
        <v>7572</v>
      </c>
      <c r="S7645" s="13">
        <v>0</v>
      </c>
    </row>
    <row r="7646" spans="18:19" x14ac:dyDescent="0.25">
      <c r="R7646" s="13">
        <v>7573</v>
      </c>
      <c r="S7646" s="13">
        <v>0</v>
      </c>
    </row>
    <row r="7647" spans="18:19" x14ac:dyDescent="0.25">
      <c r="R7647" s="13">
        <v>7574</v>
      </c>
      <c r="S7647" s="13">
        <v>0</v>
      </c>
    </row>
    <row r="7648" spans="18:19" x14ac:dyDescent="0.25">
      <c r="R7648" s="13">
        <v>7575</v>
      </c>
      <c r="S7648" s="13">
        <v>0</v>
      </c>
    </row>
    <row r="7649" spans="18:19" x14ac:dyDescent="0.25">
      <c r="R7649" s="13">
        <v>7576</v>
      </c>
      <c r="S7649" s="13">
        <v>0</v>
      </c>
    </row>
    <row r="7650" spans="18:19" x14ac:dyDescent="0.25">
      <c r="R7650" s="13">
        <v>7577</v>
      </c>
      <c r="S7650" s="13">
        <v>338206418.07950592</v>
      </c>
    </row>
    <row r="7651" spans="18:19" x14ac:dyDescent="0.25">
      <c r="R7651" s="13">
        <v>7578</v>
      </c>
      <c r="S7651" s="13">
        <v>0</v>
      </c>
    </row>
    <row r="7652" spans="18:19" x14ac:dyDescent="0.25">
      <c r="R7652" s="13">
        <v>7579</v>
      </c>
      <c r="S7652" s="13">
        <v>0</v>
      </c>
    </row>
    <row r="7653" spans="18:19" x14ac:dyDescent="0.25">
      <c r="R7653" s="13">
        <v>7580</v>
      </c>
      <c r="S7653" s="13">
        <v>0</v>
      </c>
    </row>
    <row r="7654" spans="18:19" x14ac:dyDescent="0.25">
      <c r="R7654" s="13">
        <v>7581</v>
      </c>
      <c r="S7654" s="13">
        <v>0</v>
      </c>
    </row>
    <row r="7655" spans="18:19" x14ac:dyDescent="0.25">
      <c r="R7655" s="13">
        <v>7582</v>
      </c>
      <c r="S7655" s="13">
        <v>0</v>
      </c>
    </row>
    <row r="7656" spans="18:19" x14ac:dyDescent="0.25">
      <c r="R7656" s="13">
        <v>7583</v>
      </c>
      <c r="S7656" s="13">
        <v>0</v>
      </c>
    </row>
    <row r="7657" spans="18:19" x14ac:dyDescent="0.25">
      <c r="R7657" s="13">
        <v>7584</v>
      </c>
      <c r="S7657" s="13">
        <v>0</v>
      </c>
    </row>
    <row r="7658" spans="18:19" x14ac:dyDescent="0.25">
      <c r="R7658" s="13">
        <v>7585</v>
      </c>
      <c r="S7658" s="13">
        <v>0</v>
      </c>
    </row>
    <row r="7659" spans="18:19" x14ac:dyDescent="0.25">
      <c r="R7659" s="13">
        <v>7586</v>
      </c>
      <c r="S7659" s="13">
        <v>53508139.03178215</v>
      </c>
    </row>
    <row r="7660" spans="18:19" x14ac:dyDescent="0.25">
      <c r="R7660" s="13">
        <v>7587</v>
      </c>
      <c r="S7660" s="13">
        <v>0</v>
      </c>
    </row>
    <row r="7661" spans="18:19" x14ac:dyDescent="0.25">
      <c r="R7661" s="13">
        <v>7588</v>
      </c>
      <c r="S7661" s="13">
        <v>0</v>
      </c>
    </row>
    <row r="7662" spans="18:19" x14ac:dyDescent="0.25">
      <c r="R7662" s="13">
        <v>7589</v>
      </c>
      <c r="S7662" s="13">
        <v>0</v>
      </c>
    </row>
    <row r="7663" spans="18:19" x14ac:dyDescent="0.25">
      <c r="R7663" s="13">
        <v>7590</v>
      </c>
      <c r="S7663" s="13">
        <v>0</v>
      </c>
    </row>
    <row r="7664" spans="18:19" x14ac:dyDescent="0.25">
      <c r="R7664" s="13">
        <v>7591</v>
      </c>
      <c r="S7664" s="13">
        <v>0</v>
      </c>
    </row>
    <row r="7665" spans="18:19" x14ac:dyDescent="0.25">
      <c r="R7665" s="13">
        <v>7592</v>
      </c>
      <c r="S7665" s="13">
        <v>15746110.655344009</v>
      </c>
    </row>
    <row r="7666" spans="18:19" x14ac:dyDescent="0.25">
      <c r="R7666" s="13">
        <v>7593</v>
      </c>
      <c r="S7666" s="13">
        <v>0</v>
      </c>
    </row>
    <row r="7667" spans="18:19" x14ac:dyDescent="0.25">
      <c r="R7667" s="13">
        <v>7594</v>
      </c>
      <c r="S7667" s="13">
        <v>0</v>
      </c>
    </row>
    <row r="7668" spans="18:19" x14ac:dyDescent="0.25">
      <c r="R7668" s="13">
        <v>7595</v>
      </c>
      <c r="S7668" s="13">
        <v>0</v>
      </c>
    </row>
    <row r="7669" spans="18:19" x14ac:dyDescent="0.25">
      <c r="R7669" s="13">
        <v>7596</v>
      </c>
      <c r="S7669" s="13">
        <v>0</v>
      </c>
    </row>
    <row r="7670" spans="18:19" x14ac:dyDescent="0.25">
      <c r="R7670" s="13">
        <v>7597</v>
      </c>
      <c r="S7670" s="13">
        <v>0</v>
      </c>
    </row>
    <row r="7671" spans="18:19" x14ac:dyDescent="0.25">
      <c r="R7671" s="13">
        <v>7598</v>
      </c>
      <c r="S7671" s="13">
        <v>0</v>
      </c>
    </row>
    <row r="7672" spans="18:19" x14ac:dyDescent="0.25">
      <c r="R7672" s="13">
        <v>7599</v>
      </c>
      <c r="S7672" s="13">
        <v>0</v>
      </c>
    </row>
    <row r="7673" spans="18:19" x14ac:dyDescent="0.25">
      <c r="R7673" s="13">
        <v>7600</v>
      </c>
      <c r="S7673" s="13">
        <v>0</v>
      </c>
    </row>
    <row r="7674" spans="18:19" x14ac:dyDescent="0.25">
      <c r="R7674" s="13">
        <v>7601</v>
      </c>
      <c r="S7674" s="13">
        <v>0</v>
      </c>
    </row>
    <row r="7675" spans="18:19" x14ac:dyDescent="0.25">
      <c r="R7675" s="13">
        <v>7602</v>
      </c>
      <c r="S7675" s="13">
        <v>58400590.066560745</v>
      </c>
    </row>
    <row r="7676" spans="18:19" x14ac:dyDescent="0.25">
      <c r="R7676" s="13">
        <v>7603</v>
      </c>
      <c r="S7676" s="13">
        <v>0</v>
      </c>
    </row>
    <row r="7677" spans="18:19" x14ac:dyDescent="0.25">
      <c r="R7677" s="13">
        <v>7604</v>
      </c>
      <c r="S7677" s="13">
        <v>0</v>
      </c>
    </row>
    <row r="7678" spans="18:19" x14ac:dyDescent="0.25">
      <c r="R7678" s="13">
        <v>7605</v>
      </c>
      <c r="S7678" s="13">
        <v>0</v>
      </c>
    </row>
    <row r="7679" spans="18:19" x14ac:dyDescent="0.25">
      <c r="R7679" s="13">
        <v>7606</v>
      </c>
      <c r="S7679" s="13">
        <v>0</v>
      </c>
    </row>
    <row r="7680" spans="18:19" x14ac:dyDescent="0.25">
      <c r="R7680" s="13">
        <v>7607</v>
      </c>
      <c r="S7680" s="13">
        <v>0</v>
      </c>
    </row>
    <row r="7681" spans="18:19" x14ac:dyDescent="0.25">
      <c r="R7681" s="13">
        <v>7608</v>
      </c>
      <c r="S7681" s="13">
        <v>725370299.46873856</v>
      </c>
    </row>
    <row r="7682" spans="18:19" x14ac:dyDescent="0.25">
      <c r="R7682" s="13">
        <v>7609</v>
      </c>
      <c r="S7682" s="13">
        <v>0</v>
      </c>
    </row>
    <row r="7683" spans="18:19" x14ac:dyDescent="0.25">
      <c r="R7683" s="13">
        <v>7610</v>
      </c>
      <c r="S7683" s="13">
        <v>0</v>
      </c>
    </row>
    <row r="7684" spans="18:19" x14ac:dyDescent="0.25">
      <c r="R7684" s="13">
        <v>7611</v>
      </c>
      <c r="S7684" s="13">
        <v>0</v>
      </c>
    </row>
    <row r="7685" spans="18:19" x14ac:dyDescent="0.25">
      <c r="R7685" s="13">
        <v>7612</v>
      </c>
      <c r="S7685" s="13">
        <v>0</v>
      </c>
    </row>
    <row r="7686" spans="18:19" x14ac:dyDescent="0.25">
      <c r="R7686" s="13">
        <v>7613</v>
      </c>
      <c r="S7686" s="13">
        <v>0</v>
      </c>
    </row>
    <row r="7687" spans="18:19" x14ac:dyDescent="0.25">
      <c r="R7687" s="13">
        <v>7614</v>
      </c>
      <c r="S7687" s="13">
        <v>0</v>
      </c>
    </row>
    <row r="7688" spans="18:19" x14ac:dyDescent="0.25">
      <c r="R7688" s="13">
        <v>7615</v>
      </c>
      <c r="S7688" s="13">
        <v>0</v>
      </c>
    </row>
    <row r="7689" spans="18:19" x14ac:dyDescent="0.25">
      <c r="R7689" s="13">
        <v>7616</v>
      </c>
      <c r="S7689" s="13">
        <v>0</v>
      </c>
    </row>
    <row r="7690" spans="18:19" x14ac:dyDescent="0.25">
      <c r="R7690" s="13">
        <v>7617</v>
      </c>
      <c r="S7690" s="13">
        <v>0</v>
      </c>
    </row>
    <row r="7691" spans="18:19" x14ac:dyDescent="0.25">
      <c r="R7691" s="13">
        <v>7618</v>
      </c>
      <c r="S7691" s="13">
        <v>0</v>
      </c>
    </row>
    <row r="7692" spans="18:19" x14ac:dyDescent="0.25">
      <c r="R7692" s="13">
        <v>7619</v>
      </c>
      <c r="S7692" s="13">
        <v>0</v>
      </c>
    </row>
    <row r="7693" spans="18:19" x14ac:dyDescent="0.25">
      <c r="R7693" s="13">
        <v>7620</v>
      </c>
      <c r="S7693" s="13">
        <v>0</v>
      </c>
    </row>
    <row r="7694" spans="18:19" x14ac:dyDescent="0.25">
      <c r="R7694" s="13">
        <v>7621</v>
      </c>
      <c r="S7694" s="13">
        <v>0</v>
      </c>
    </row>
    <row r="7695" spans="18:19" x14ac:dyDescent="0.25">
      <c r="R7695" s="13">
        <v>7622</v>
      </c>
      <c r="S7695" s="13">
        <v>0</v>
      </c>
    </row>
    <row r="7696" spans="18:19" x14ac:dyDescent="0.25">
      <c r="R7696" s="13">
        <v>7623</v>
      </c>
      <c r="S7696" s="13">
        <v>0</v>
      </c>
    </row>
    <row r="7697" spans="18:19" x14ac:dyDescent="0.25">
      <c r="R7697" s="13">
        <v>7624</v>
      </c>
      <c r="S7697" s="13">
        <v>0</v>
      </c>
    </row>
    <row r="7698" spans="18:19" x14ac:dyDescent="0.25">
      <c r="R7698" s="13">
        <v>7625</v>
      </c>
      <c r="S7698" s="13">
        <v>0</v>
      </c>
    </row>
    <row r="7699" spans="18:19" x14ac:dyDescent="0.25">
      <c r="R7699" s="13">
        <v>7626</v>
      </c>
      <c r="S7699" s="13">
        <v>0</v>
      </c>
    </row>
    <row r="7700" spans="18:19" x14ac:dyDescent="0.25">
      <c r="R7700" s="13">
        <v>7627</v>
      </c>
      <c r="S7700" s="13">
        <v>611696903.07141495</v>
      </c>
    </row>
    <row r="7701" spans="18:19" x14ac:dyDescent="0.25">
      <c r="R7701" s="13">
        <v>7628</v>
      </c>
      <c r="S7701" s="13">
        <v>0</v>
      </c>
    </row>
    <row r="7702" spans="18:19" x14ac:dyDescent="0.25">
      <c r="R7702" s="13">
        <v>7629</v>
      </c>
      <c r="S7702" s="13">
        <v>0</v>
      </c>
    </row>
    <row r="7703" spans="18:19" x14ac:dyDescent="0.25">
      <c r="R7703" s="13">
        <v>7630</v>
      </c>
      <c r="S7703" s="13">
        <v>0</v>
      </c>
    </row>
    <row r="7704" spans="18:19" x14ac:dyDescent="0.25">
      <c r="R7704" s="13">
        <v>7631</v>
      </c>
      <c r="S7704" s="13">
        <v>0</v>
      </c>
    </row>
    <row r="7705" spans="18:19" x14ac:dyDescent="0.25">
      <c r="R7705" s="13">
        <v>7632</v>
      </c>
      <c r="S7705" s="13">
        <v>0</v>
      </c>
    </row>
    <row r="7706" spans="18:19" x14ac:dyDescent="0.25">
      <c r="R7706" s="13">
        <v>7633</v>
      </c>
      <c r="S7706" s="13">
        <v>0</v>
      </c>
    </row>
    <row r="7707" spans="18:19" x14ac:dyDescent="0.25">
      <c r="R7707" s="13">
        <v>7634</v>
      </c>
      <c r="S7707" s="13">
        <v>0</v>
      </c>
    </row>
    <row r="7708" spans="18:19" x14ac:dyDescent="0.25">
      <c r="R7708" s="13">
        <v>7635</v>
      </c>
      <c r="S7708" s="13">
        <v>0</v>
      </c>
    </row>
    <row r="7709" spans="18:19" x14ac:dyDescent="0.25">
      <c r="R7709" s="13">
        <v>7636</v>
      </c>
      <c r="S7709" s="13">
        <v>0</v>
      </c>
    </row>
    <row r="7710" spans="18:19" x14ac:dyDescent="0.25">
      <c r="R7710" s="13">
        <v>7637</v>
      </c>
      <c r="S7710" s="13">
        <v>0</v>
      </c>
    </row>
    <row r="7711" spans="18:19" x14ac:dyDescent="0.25">
      <c r="R7711" s="13">
        <v>7638</v>
      </c>
      <c r="S7711" s="13">
        <v>0</v>
      </c>
    </row>
    <row r="7712" spans="18:19" x14ac:dyDescent="0.25">
      <c r="R7712" s="13">
        <v>7639</v>
      </c>
      <c r="S7712" s="13">
        <v>0</v>
      </c>
    </row>
    <row r="7713" spans="18:19" x14ac:dyDescent="0.25">
      <c r="R7713" s="13">
        <v>7640</v>
      </c>
      <c r="S7713" s="13">
        <v>0</v>
      </c>
    </row>
    <row r="7714" spans="18:19" x14ac:dyDescent="0.25">
      <c r="R7714" s="13">
        <v>7641</v>
      </c>
      <c r="S7714" s="13">
        <v>2351386.1578273773</v>
      </c>
    </row>
    <row r="7715" spans="18:19" x14ac:dyDescent="0.25">
      <c r="R7715" s="13">
        <v>7642</v>
      </c>
      <c r="S7715" s="13">
        <v>0</v>
      </c>
    </row>
    <row r="7716" spans="18:19" x14ac:dyDescent="0.25">
      <c r="R7716" s="13">
        <v>7643</v>
      </c>
      <c r="S7716" s="13">
        <v>0</v>
      </c>
    </row>
    <row r="7717" spans="18:19" x14ac:dyDescent="0.25">
      <c r="R7717" s="13">
        <v>7644</v>
      </c>
      <c r="S7717" s="13">
        <v>0</v>
      </c>
    </row>
    <row r="7718" spans="18:19" x14ac:dyDescent="0.25">
      <c r="R7718" s="13">
        <v>7645</v>
      </c>
      <c r="S7718" s="13">
        <v>0</v>
      </c>
    </row>
    <row r="7719" spans="18:19" x14ac:dyDescent="0.25">
      <c r="R7719" s="13">
        <v>7646</v>
      </c>
      <c r="S7719" s="13">
        <v>0</v>
      </c>
    </row>
    <row r="7720" spans="18:19" x14ac:dyDescent="0.25">
      <c r="R7720" s="13">
        <v>7647</v>
      </c>
      <c r="S7720" s="13">
        <v>0</v>
      </c>
    </row>
    <row r="7721" spans="18:19" x14ac:dyDescent="0.25">
      <c r="R7721" s="13">
        <v>7648</v>
      </c>
      <c r="S7721" s="13">
        <v>0</v>
      </c>
    </row>
    <row r="7722" spans="18:19" x14ac:dyDescent="0.25">
      <c r="R7722" s="13">
        <v>7649</v>
      </c>
      <c r="S7722" s="13">
        <v>0</v>
      </c>
    </row>
    <row r="7723" spans="18:19" x14ac:dyDescent="0.25">
      <c r="R7723" s="13">
        <v>7650</v>
      </c>
      <c r="S7723" s="13">
        <v>0</v>
      </c>
    </row>
    <row r="7724" spans="18:19" x14ac:dyDescent="0.25">
      <c r="R7724" s="13">
        <v>7651</v>
      </c>
      <c r="S7724" s="13">
        <v>639517883.1500473</v>
      </c>
    </row>
    <row r="7725" spans="18:19" x14ac:dyDescent="0.25">
      <c r="R7725" s="13">
        <v>7652</v>
      </c>
      <c r="S7725" s="13">
        <v>0</v>
      </c>
    </row>
    <row r="7726" spans="18:19" x14ac:dyDescent="0.25">
      <c r="R7726" s="13">
        <v>7653</v>
      </c>
      <c r="S7726" s="13">
        <v>0</v>
      </c>
    </row>
    <row r="7727" spans="18:19" x14ac:dyDescent="0.25">
      <c r="R7727" s="13">
        <v>7654</v>
      </c>
      <c r="S7727" s="13">
        <v>31464778.539962769</v>
      </c>
    </row>
    <row r="7728" spans="18:19" x14ac:dyDescent="0.25">
      <c r="R7728" s="13">
        <v>7655</v>
      </c>
      <c r="S7728" s="13">
        <v>0</v>
      </c>
    </row>
    <row r="7729" spans="18:19" x14ac:dyDescent="0.25">
      <c r="R7729" s="13">
        <v>7656</v>
      </c>
      <c r="S7729" s="13">
        <v>0</v>
      </c>
    </row>
    <row r="7730" spans="18:19" x14ac:dyDescent="0.25">
      <c r="R7730" s="13">
        <v>7657</v>
      </c>
      <c r="S7730" s="13">
        <v>0</v>
      </c>
    </row>
    <row r="7731" spans="18:19" x14ac:dyDescent="0.25">
      <c r="R7731" s="13">
        <v>7658</v>
      </c>
      <c r="S7731" s="13">
        <v>0</v>
      </c>
    </row>
    <row r="7732" spans="18:19" x14ac:dyDescent="0.25">
      <c r="R7732" s="13">
        <v>7659</v>
      </c>
      <c r="S7732" s="13">
        <v>0</v>
      </c>
    </row>
    <row r="7733" spans="18:19" x14ac:dyDescent="0.25">
      <c r="R7733" s="13">
        <v>7660</v>
      </c>
      <c r="S7733" s="13">
        <v>0</v>
      </c>
    </row>
    <row r="7734" spans="18:19" x14ac:dyDescent="0.25">
      <c r="R7734" s="13">
        <v>7661</v>
      </c>
      <c r="S7734" s="13">
        <v>0</v>
      </c>
    </row>
    <row r="7735" spans="18:19" x14ac:dyDescent="0.25">
      <c r="R7735" s="13">
        <v>7662</v>
      </c>
      <c r="S7735" s="13">
        <v>0</v>
      </c>
    </row>
    <row r="7736" spans="18:19" x14ac:dyDescent="0.25">
      <c r="R7736" s="13">
        <v>7663</v>
      </c>
      <c r="S7736" s="13">
        <v>0</v>
      </c>
    </row>
    <row r="7737" spans="18:19" x14ac:dyDescent="0.25">
      <c r="R7737" s="13">
        <v>7664</v>
      </c>
      <c r="S7737" s="13">
        <v>0</v>
      </c>
    </row>
    <row r="7738" spans="18:19" x14ac:dyDescent="0.25">
      <c r="R7738" s="13">
        <v>7665</v>
      </c>
      <c r="S7738" s="13">
        <v>0</v>
      </c>
    </row>
    <row r="7739" spans="18:19" x14ac:dyDescent="0.25">
      <c r="R7739" s="13">
        <v>7666</v>
      </c>
      <c r="S7739" s="13">
        <v>0</v>
      </c>
    </row>
    <row r="7740" spans="18:19" x14ac:dyDescent="0.25">
      <c r="R7740" s="13">
        <v>7667</v>
      </c>
      <c r="S7740" s="13">
        <v>0</v>
      </c>
    </row>
    <row r="7741" spans="18:19" x14ac:dyDescent="0.25">
      <c r="R7741" s="13">
        <v>7668</v>
      </c>
      <c r="S7741" s="13">
        <v>0</v>
      </c>
    </row>
    <row r="7742" spans="18:19" x14ac:dyDescent="0.25">
      <c r="R7742" s="13">
        <v>7669</v>
      </c>
      <c r="S7742" s="13">
        <v>0</v>
      </c>
    </row>
    <row r="7743" spans="18:19" x14ac:dyDescent="0.25">
      <c r="R7743" s="13">
        <v>7670</v>
      </c>
      <c r="S7743" s="13">
        <v>0</v>
      </c>
    </row>
    <row r="7744" spans="18:19" x14ac:dyDescent="0.25">
      <c r="R7744" s="13">
        <v>7671</v>
      </c>
      <c r="S7744" s="13">
        <v>244270688.05770493</v>
      </c>
    </row>
    <row r="7745" spans="18:19" x14ac:dyDescent="0.25">
      <c r="R7745" s="13">
        <v>7672</v>
      </c>
      <c r="S7745" s="13">
        <v>46313293.503404617</v>
      </c>
    </row>
    <row r="7746" spans="18:19" x14ac:dyDescent="0.25">
      <c r="R7746" s="13">
        <v>7673</v>
      </c>
      <c r="S7746" s="13">
        <v>292695835.83806038</v>
      </c>
    </row>
    <row r="7747" spans="18:19" x14ac:dyDescent="0.25">
      <c r="R7747" s="13">
        <v>7674</v>
      </c>
      <c r="S7747" s="13">
        <v>0</v>
      </c>
    </row>
    <row r="7748" spans="18:19" x14ac:dyDescent="0.25">
      <c r="R7748" s="13">
        <v>7675</v>
      </c>
      <c r="S7748" s="13">
        <v>0</v>
      </c>
    </row>
    <row r="7749" spans="18:19" x14ac:dyDescent="0.25">
      <c r="R7749" s="13">
        <v>7676</v>
      </c>
      <c r="S7749" s="13">
        <v>0</v>
      </c>
    </row>
    <row r="7750" spans="18:19" x14ac:dyDescent="0.25">
      <c r="R7750" s="13">
        <v>7677</v>
      </c>
      <c r="S7750" s="13">
        <v>0</v>
      </c>
    </row>
    <row r="7751" spans="18:19" x14ac:dyDescent="0.25">
      <c r="R7751" s="13">
        <v>7678</v>
      </c>
      <c r="S7751" s="13">
        <v>0</v>
      </c>
    </row>
    <row r="7752" spans="18:19" x14ac:dyDescent="0.25">
      <c r="R7752" s="13">
        <v>7679</v>
      </c>
      <c r="S7752" s="13">
        <v>0</v>
      </c>
    </row>
    <row r="7753" spans="18:19" x14ac:dyDescent="0.25">
      <c r="R7753" s="13">
        <v>7680</v>
      </c>
      <c r="S7753" s="13">
        <v>0</v>
      </c>
    </row>
    <row r="7754" spans="18:19" x14ac:dyDescent="0.25">
      <c r="R7754" s="13">
        <v>7681</v>
      </c>
      <c r="S7754" s="13">
        <v>0</v>
      </c>
    </row>
    <row r="7755" spans="18:19" x14ac:dyDescent="0.25">
      <c r="R7755" s="13">
        <v>7682</v>
      </c>
      <c r="S7755" s="13">
        <v>0</v>
      </c>
    </row>
    <row r="7756" spans="18:19" x14ac:dyDescent="0.25">
      <c r="R7756" s="13">
        <v>7683</v>
      </c>
      <c r="S7756" s="13">
        <v>306529271.89978027</v>
      </c>
    </row>
    <row r="7757" spans="18:19" x14ac:dyDescent="0.25">
      <c r="R7757" s="13">
        <v>7684</v>
      </c>
      <c r="S7757" s="13">
        <v>279263970.75281906</v>
      </c>
    </row>
    <row r="7758" spans="18:19" x14ac:dyDescent="0.25">
      <c r="R7758" s="13">
        <v>7685</v>
      </c>
      <c r="S7758" s="13">
        <v>0</v>
      </c>
    </row>
    <row r="7759" spans="18:19" x14ac:dyDescent="0.25">
      <c r="R7759" s="13">
        <v>7686</v>
      </c>
      <c r="S7759" s="13">
        <v>492995272.69709396</v>
      </c>
    </row>
    <row r="7760" spans="18:19" x14ac:dyDescent="0.25">
      <c r="R7760" s="13">
        <v>7687</v>
      </c>
      <c r="S7760" s="13">
        <v>808735550.47245979</v>
      </c>
    </row>
    <row r="7761" spans="18:19" x14ac:dyDescent="0.25">
      <c r="R7761" s="13">
        <v>7688</v>
      </c>
      <c r="S7761" s="13">
        <v>0</v>
      </c>
    </row>
    <row r="7762" spans="18:19" x14ac:dyDescent="0.25">
      <c r="R7762" s="13">
        <v>7689</v>
      </c>
      <c r="S7762" s="13">
        <v>0</v>
      </c>
    </row>
    <row r="7763" spans="18:19" x14ac:dyDescent="0.25">
      <c r="R7763" s="13">
        <v>7690</v>
      </c>
      <c r="S7763" s="13">
        <v>0</v>
      </c>
    </row>
    <row r="7764" spans="18:19" x14ac:dyDescent="0.25">
      <c r="R7764" s="13">
        <v>7691</v>
      </c>
      <c r="S7764" s="13">
        <v>0</v>
      </c>
    </row>
    <row r="7765" spans="18:19" x14ac:dyDescent="0.25">
      <c r="R7765" s="13">
        <v>7692</v>
      </c>
      <c r="S7765" s="13">
        <v>510589555.89777756</v>
      </c>
    </row>
    <row r="7766" spans="18:19" x14ac:dyDescent="0.25">
      <c r="R7766" s="13">
        <v>7693</v>
      </c>
      <c r="S7766" s="13">
        <v>0</v>
      </c>
    </row>
    <row r="7767" spans="18:19" x14ac:dyDescent="0.25">
      <c r="R7767" s="13">
        <v>7694</v>
      </c>
      <c r="S7767" s="13">
        <v>0</v>
      </c>
    </row>
    <row r="7768" spans="18:19" x14ac:dyDescent="0.25">
      <c r="R7768" s="13">
        <v>7695</v>
      </c>
      <c r="S7768" s="13">
        <v>112809156.80343056</v>
      </c>
    </row>
    <row r="7769" spans="18:19" x14ac:dyDescent="0.25">
      <c r="R7769" s="13">
        <v>7696</v>
      </c>
      <c r="S7769" s="13">
        <v>0</v>
      </c>
    </row>
    <row r="7770" spans="18:19" x14ac:dyDescent="0.25">
      <c r="R7770" s="13">
        <v>7697</v>
      </c>
      <c r="S7770" s="13">
        <v>0</v>
      </c>
    </row>
    <row r="7771" spans="18:19" x14ac:dyDescent="0.25">
      <c r="R7771" s="13">
        <v>7698</v>
      </c>
      <c r="S7771" s="13">
        <v>0</v>
      </c>
    </row>
    <row r="7772" spans="18:19" x14ac:dyDescent="0.25">
      <c r="R7772" s="13">
        <v>7699</v>
      </c>
      <c r="S7772" s="13">
        <v>0</v>
      </c>
    </row>
    <row r="7773" spans="18:19" x14ac:dyDescent="0.25">
      <c r="R7773" s="13">
        <v>7700</v>
      </c>
      <c r="S7773" s="13">
        <v>0</v>
      </c>
    </row>
    <row r="7774" spans="18:19" x14ac:dyDescent="0.25">
      <c r="R7774" s="13">
        <v>7701</v>
      </c>
      <c r="S7774" s="13">
        <v>196854674.95299149</v>
      </c>
    </row>
    <row r="7775" spans="18:19" x14ac:dyDescent="0.25">
      <c r="R7775" s="13">
        <v>7702</v>
      </c>
      <c r="S7775" s="13">
        <v>0</v>
      </c>
    </row>
    <row r="7776" spans="18:19" x14ac:dyDescent="0.25">
      <c r="R7776" s="13">
        <v>7703</v>
      </c>
      <c r="S7776" s="13">
        <v>0</v>
      </c>
    </row>
    <row r="7777" spans="18:19" x14ac:dyDescent="0.25">
      <c r="R7777" s="13">
        <v>7704</v>
      </c>
      <c r="S7777" s="13">
        <v>0</v>
      </c>
    </row>
    <row r="7778" spans="18:19" x14ac:dyDescent="0.25">
      <c r="R7778" s="13">
        <v>7705</v>
      </c>
      <c r="S7778" s="13">
        <v>0</v>
      </c>
    </row>
    <row r="7779" spans="18:19" x14ac:dyDescent="0.25">
      <c r="R7779" s="13">
        <v>7706</v>
      </c>
      <c r="S7779" s="13">
        <v>0</v>
      </c>
    </row>
    <row r="7780" spans="18:19" x14ac:dyDescent="0.25">
      <c r="R7780" s="13">
        <v>7707</v>
      </c>
      <c r="S7780" s="13">
        <v>501915594.97764587</v>
      </c>
    </row>
    <row r="7781" spans="18:19" x14ac:dyDescent="0.25">
      <c r="R7781" s="13">
        <v>7708</v>
      </c>
      <c r="S7781" s="13">
        <v>885332676.52513695</v>
      </c>
    </row>
    <row r="7782" spans="18:19" x14ac:dyDescent="0.25">
      <c r="R7782" s="13">
        <v>7709</v>
      </c>
      <c r="S7782" s="13">
        <v>0</v>
      </c>
    </row>
    <row r="7783" spans="18:19" x14ac:dyDescent="0.25">
      <c r="R7783" s="13">
        <v>7710</v>
      </c>
      <c r="S7783" s="13">
        <v>0</v>
      </c>
    </row>
    <row r="7784" spans="18:19" x14ac:dyDescent="0.25">
      <c r="R7784" s="13">
        <v>7711</v>
      </c>
      <c r="S7784" s="13">
        <v>194481505.07416916</v>
      </c>
    </row>
    <row r="7785" spans="18:19" x14ac:dyDescent="0.25">
      <c r="R7785" s="13">
        <v>7712</v>
      </c>
      <c r="S7785" s="13">
        <v>0</v>
      </c>
    </row>
    <row r="7786" spans="18:19" x14ac:dyDescent="0.25">
      <c r="R7786" s="13">
        <v>7713</v>
      </c>
      <c r="S7786" s="13">
        <v>0</v>
      </c>
    </row>
    <row r="7787" spans="18:19" x14ac:dyDescent="0.25">
      <c r="R7787" s="13">
        <v>7714</v>
      </c>
      <c r="S7787" s="13">
        <v>0</v>
      </c>
    </row>
    <row r="7788" spans="18:19" x14ac:dyDescent="0.25">
      <c r="R7788" s="13">
        <v>7715</v>
      </c>
      <c r="S7788" s="13">
        <v>0</v>
      </c>
    </row>
    <row r="7789" spans="18:19" x14ac:dyDescent="0.25">
      <c r="R7789" s="13">
        <v>7716</v>
      </c>
      <c r="S7789" s="13">
        <v>1012593100.5297222</v>
      </c>
    </row>
    <row r="7790" spans="18:19" x14ac:dyDescent="0.25">
      <c r="R7790" s="13">
        <v>7717</v>
      </c>
      <c r="S7790" s="13">
        <v>843157125.7477169</v>
      </c>
    </row>
    <row r="7791" spans="18:19" x14ac:dyDescent="0.25">
      <c r="R7791" s="13">
        <v>7718</v>
      </c>
      <c r="S7791" s="13">
        <v>0</v>
      </c>
    </row>
    <row r="7792" spans="18:19" x14ac:dyDescent="0.25">
      <c r="R7792" s="13">
        <v>7719</v>
      </c>
      <c r="S7792" s="13">
        <v>0</v>
      </c>
    </row>
    <row r="7793" spans="18:19" x14ac:dyDescent="0.25">
      <c r="R7793" s="13">
        <v>7720</v>
      </c>
      <c r="S7793" s="13">
        <v>0</v>
      </c>
    </row>
    <row r="7794" spans="18:19" x14ac:dyDescent="0.25">
      <c r="R7794" s="13">
        <v>7721</v>
      </c>
      <c r="S7794" s="13">
        <v>0</v>
      </c>
    </row>
    <row r="7795" spans="18:19" x14ac:dyDescent="0.25">
      <c r="R7795" s="13">
        <v>7722</v>
      </c>
      <c r="S7795" s="13">
        <v>0</v>
      </c>
    </row>
    <row r="7796" spans="18:19" x14ac:dyDescent="0.25">
      <c r="R7796" s="13">
        <v>7723</v>
      </c>
      <c r="S7796" s="13">
        <v>0</v>
      </c>
    </row>
    <row r="7797" spans="18:19" x14ac:dyDescent="0.25">
      <c r="R7797" s="13">
        <v>7724</v>
      </c>
      <c r="S7797" s="13">
        <v>308557684.98020172</v>
      </c>
    </row>
    <row r="7798" spans="18:19" x14ac:dyDescent="0.25">
      <c r="R7798" s="13">
        <v>7725</v>
      </c>
      <c r="S7798" s="13">
        <v>0</v>
      </c>
    </row>
    <row r="7799" spans="18:19" x14ac:dyDescent="0.25">
      <c r="R7799" s="13">
        <v>7726</v>
      </c>
      <c r="S7799" s="13">
        <v>0</v>
      </c>
    </row>
    <row r="7800" spans="18:19" x14ac:dyDescent="0.25">
      <c r="R7800" s="13">
        <v>7727</v>
      </c>
      <c r="S7800" s="13">
        <v>336800043.82255363</v>
      </c>
    </row>
    <row r="7801" spans="18:19" x14ac:dyDescent="0.25">
      <c r="R7801" s="13">
        <v>7728</v>
      </c>
      <c r="S7801" s="13">
        <v>0</v>
      </c>
    </row>
    <row r="7802" spans="18:19" x14ac:dyDescent="0.25">
      <c r="R7802" s="13">
        <v>7729</v>
      </c>
      <c r="S7802" s="13">
        <v>0</v>
      </c>
    </row>
    <row r="7803" spans="18:19" x14ac:dyDescent="0.25">
      <c r="R7803" s="13">
        <v>7730</v>
      </c>
      <c r="S7803" s="13">
        <v>0</v>
      </c>
    </row>
    <row r="7804" spans="18:19" x14ac:dyDescent="0.25">
      <c r="R7804" s="13">
        <v>7731</v>
      </c>
      <c r="S7804" s="13">
        <v>0</v>
      </c>
    </row>
    <row r="7805" spans="18:19" x14ac:dyDescent="0.25">
      <c r="R7805" s="13">
        <v>7732</v>
      </c>
      <c r="S7805" s="13">
        <v>0</v>
      </c>
    </row>
    <row r="7806" spans="18:19" x14ac:dyDescent="0.25">
      <c r="R7806" s="13">
        <v>7733</v>
      </c>
      <c r="S7806" s="13">
        <v>0</v>
      </c>
    </row>
    <row r="7807" spans="18:19" x14ac:dyDescent="0.25">
      <c r="R7807" s="13">
        <v>7734</v>
      </c>
      <c r="S7807" s="13">
        <v>0</v>
      </c>
    </row>
    <row r="7808" spans="18:19" x14ac:dyDescent="0.25">
      <c r="R7808" s="13">
        <v>7735</v>
      </c>
      <c r="S7808" s="13">
        <v>0</v>
      </c>
    </row>
    <row r="7809" spans="18:19" x14ac:dyDescent="0.25">
      <c r="R7809" s="13">
        <v>7736</v>
      </c>
      <c r="S7809" s="13">
        <v>655609964.42001343</v>
      </c>
    </row>
    <row r="7810" spans="18:19" x14ac:dyDescent="0.25">
      <c r="R7810" s="13">
        <v>7737</v>
      </c>
      <c r="S7810" s="13">
        <v>0</v>
      </c>
    </row>
    <row r="7811" spans="18:19" x14ac:dyDescent="0.25">
      <c r="R7811" s="13">
        <v>7738</v>
      </c>
      <c r="S7811" s="13">
        <v>0</v>
      </c>
    </row>
    <row r="7812" spans="18:19" x14ac:dyDescent="0.25">
      <c r="R7812" s="13">
        <v>7739</v>
      </c>
      <c r="S7812" s="13">
        <v>0</v>
      </c>
    </row>
    <row r="7813" spans="18:19" x14ac:dyDescent="0.25">
      <c r="R7813" s="13">
        <v>7740</v>
      </c>
      <c r="S7813" s="13">
        <v>235629181.89377403</v>
      </c>
    </row>
    <row r="7814" spans="18:19" x14ac:dyDescent="0.25">
      <c r="R7814" s="13">
        <v>7741</v>
      </c>
      <c r="S7814" s="13">
        <v>0</v>
      </c>
    </row>
    <row r="7815" spans="18:19" x14ac:dyDescent="0.25">
      <c r="R7815" s="13">
        <v>7742</v>
      </c>
      <c r="S7815" s="13">
        <v>0</v>
      </c>
    </row>
    <row r="7816" spans="18:19" x14ac:dyDescent="0.25">
      <c r="R7816" s="13">
        <v>7743</v>
      </c>
      <c r="S7816" s="13">
        <v>0</v>
      </c>
    </row>
    <row r="7817" spans="18:19" x14ac:dyDescent="0.25">
      <c r="R7817" s="13">
        <v>7744</v>
      </c>
      <c r="S7817" s="13">
        <v>161425919.95686722</v>
      </c>
    </row>
    <row r="7818" spans="18:19" x14ac:dyDescent="0.25">
      <c r="R7818" s="13">
        <v>7745</v>
      </c>
      <c r="S7818" s="13">
        <v>1145097366.2362099</v>
      </c>
    </row>
    <row r="7819" spans="18:19" x14ac:dyDescent="0.25">
      <c r="R7819" s="13">
        <v>7746</v>
      </c>
      <c r="S7819" s="13">
        <v>0</v>
      </c>
    </row>
    <row r="7820" spans="18:19" x14ac:dyDescent="0.25">
      <c r="R7820" s="13">
        <v>7747</v>
      </c>
      <c r="S7820" s="13">
        <v>0</v>
      </c>
    </row>
    <row r="7821" spans="18:19" x14ac:dyDescent="0.25">
      <c r="R7821" s="13">
        <v>7748</v>
      </c>
      <c r="S7821" s="13">
        <v>404062837.91724586</v>
      </c>
    </row>
    <row r="7822" spans="18:19" x14ac:dyDescent="0.25">
      <c r="R7822" s="13">
        <v>7749</v>
      </c>
      <c r="S7822" s="13">
        <v>445987002.18276215</v>
      </c>
    </row>
    <row r="7823" spans="18:19" x14ac:dyDescent="0.25">
      <c r="R7823" s="13">
        <v>7750</v>
      </c>
      <c r="S7823" s="13">
        <v>97381702.875076294</v>
      </c>
    </row>
    <row r="7824" spans="18:19" x14ac:dyDescent="0.25">
      <c r="R7824" s="13">
        <v>7751</v>
      </c>
      <c r="S7824" s="13">
        <v>0</v>
      </c>
    </row>
    <row r="7825" spans="18:19" x14ac:dyDescent="0.25">
      <c r="R7825" s="13">
        <v>7752</v>
      </c>
      <c r="S7825" s="13">
        <v>445355019.60870743</v>
      </c>
    </row>
    <row r="7826" spans="18:19" x14ac:dyDescent="0.25">
      <c r="R7826" s="13">
        <v>7753</v>
      </c>
      <c r="S7826" s="13">
        <v>30675170.661911011</v>
      </c>
    </row>
    <row r="7827" spans="18:19" x14ac:dyDescent="0.25">
      <c r="R7827" s="13">
        <v>7754</v>
      </c>
      <c r="S7827" s="13">
        <v>0</v>
      </c>
    </row>
    <row r="7828" spans="18:19" x14ac:dyDescent="0.25">
      <c r="R7828" s="13">
        <v>7755</v>
      </c>
      <c r="S7828" s="13">
        <v>0</v>
      </c>
    </row>
    <row r="7829" spans="18:19" x14ac:dyDescent="0.25">
      <c r="R7829" s="13">
        <v>7756</v>
      </c>
      <c r="S7829" s="13">
        <v>1129799910.165266</v>
      </c>
    </row>
    <row r="7830" spans="18:19" x14ac:dyDescent="0.25">
      <c r="R7830" s="13">
        <v>7757</v>
      </c>
      <c r="S7830" s="13">
        <v>0</v>
      </c>
    </row>
    <row r="7831" spans="18:19" x14ac:dyDescent="0.25">
      <c r="R7831" s="13">
        <v>7758</v>
      </c>
      <c r="S7831" s="13">
        <v>0</v>
      </c>
    </row>
    <row r="7832" spans="18:19" x14ac:dyDescent="0.25">
      <c r="R7832" s="13">
        <v>7759</v>
      </c>
      <c r="S7832" s="13">
        <v>16613534.611070633</v>
      </c>
    </row>
    <row r="7833" spans="18:19" x14ac:dyDescent="0.25">
      <c r="R7833" s="13">
        <v>7760</v>
      </c>
      <c r="S7833" s="13">
        <v>0</v>
      </c>
    </row>
    <row r="7834" spans="18:19" x14ac:dyDescent="0.25">
      <c r="R7834" s="13">
        <v>7761</v>
      </c>
      <c r="S7834" s="13">
        <v>0</v>
      </c>
    </row>
    <row r="7835" spans="18:19" x14ac:dyDescent="0.25">
      <c r="R7835" s="13">
        <v>7762</v>
      </c>
      <c r="S7835" s="13">
        <v>0</v>
      </c>
    </row>
    <row r="7836" spans="18:19" x14ac:dyDescent="0.25">
      <c r="R7836" s="13">
        <v>7763</v>
      </c>
      <c r="S7836" s="13">
        <v>50704051.693836212</v>
      </c>
    </row>
    <row r="7837" spans="18:19" x14ac:dyDescent="0.25">
      <c r="R7837" s="13">
        <v>7764</v>
      </c>
      <c r="S7837" s="13">
        <v>0</v>
      </c>
    </row>
    <row r="7838" spans="18:19" x14ac:dyDescent="0.25">
      <c r="R7838" s="13">
        <v>7765</v>
      </c>
      <c r="S7838" s="13">
        <v>0</v>
      </c>
    </row>
    <row r="7839" spans="18:19" x14ac:dyDescent="0.25">
      <c r="R7839" s="13">
        <v>7766</v>
      </c>
      <c r="S7839" s="13">
        <v>0</v>
      </c>
    </row>
    <row r="7840" spans="18:19" x14ac:dyDescent="0.25">
      <c r="R7840" s="13">
        <v>7767</v>
      </c>
      <c r="S7840" s="13">
        <v>0</v>
      </c>
    </row>
    <row r="7841" spans="18:19" x14ac:dyDescent="0.25">
      <c r="R7841" s="13">
        <v>7768</v>
      </c>
      <c r="S7841" s="13">
        <v>0</v>
      </c>
    </row>
    <row r="7842" spans="18:19" x14ac:dyDescent="0.25">
      <c r="R7842" s="13">
        <v>7769</v>
      </c>
      <c r="S7842" s="13">
        <v>399728164.71052742</v>
      </c>
    </row>
    <row r="7843" spans="18:19" x14ac:dyDescent="0.25">
      <c r="R7843" s="13">
        <v>7770</v>
      </c>
      <c r="S7843" s="13">
        <v>0</v>
      </c>
    </row>
    <row r="7844" spans="18:19" x14ac:dyDescent="0.25">
      <c r="R7844" s="13">
        <v>7771</v>
      </c>
      <c r="S7844" s="13">
        <v>0</v>
      </c>
    </row>
    <row r="7845" spans="18:19" x14ac:dyDescent="0.25">
      <c r="R7845" s="13">
        <v>7772</v>
      </c>
      <c r="S7845" s="13">
        <v>0</v>
      </c>
    </row>
    <row r="7846" spans="18:19" x14ac:dyDescent="0.25">
      <c r="R7846" s="13">
        <v>7773</v>
      </c>
      <c r="S7846" s="13">
        <v>0</v>
      </c>
    </row>
    <row r="7847" spans="18:19" x14ac:dyDescent="0.25">
      <c r="R7847" s="13">
        <v>7774</v>
      </c>
      <c r="S7847" s="13">
        <v>0</v>
      </c>
    </row>
    <row r="7848" spans="18:19" x14ac:dyDescent="0.25">
      <c r="R7848" s="13">
        <v>7775</v>
      </c>
      <c r="S7848" s="13">
        <v>881126252.92621422</v>
      </c>
    </row>
    <row r="7849" spans="18:19" x14ac:dyDescent="0.25">
      <c r="R7849" s="13">
        <v>7776</v>
      </c>
      <c r="S7849" s="13">
        <v>0</v>
      </c>
    </row>
    <row r="7850" spans="18:19" x14ac:dyDescent="0.25">
      <c r="R7850" s="13">
        <v>7777</v>
      </c>
      <c r="S7850" s="13">
        <v>22501823.226978302</v>
      </c>
    </row>
    <row r="7851" spans="18:19" x14ac:dyDescent="0.25">
      <c r="R7851" s="13">
        <v>7778</v>
      </c>
      <c r="S7851" s="13">
        <v>292230869.98852921</v>
      </c>
    </row>
    <row r="7852" spans="18:19" x14ac:dyDescent="0.25">
      <c r="R7852" s="13">
        <v>7779</v>
      </c>
      <c r="S7852" s="13">
        <v>1197374371.3178635</v>
      </c>
    </row>
    <row r="7853" spans="18:19" x14ac:dyDescent="0.25">
      <c r="R7853" s="13">
        <v>7780</v>
      </c>
      <c r="S7853" s="13">
        <v>227233834.16438866</v>
      </c>
    </row>
    <row r="7854" spans="18:19" x14ac:dyDescent="0.25">
      <c r="R7854" s="13">
        <v>7781</v>
      </c>
      <c r="S7854" s="13">
        <v>0</v>
      </c>
    </row>
    <row r="7855" spans="18:19" x14ac:dyDescent="0.25">
      <c r="R7855" s="13">
        <v>7782</v>
      </c>
      <c r="S7855" s="13">
        <v>0</v>
      </c>
    </row>
    <row r="7856" spans="18:19" x14ac:dyDescent="0.25">
      <c r="R7856" s="13">
        <v>7783</v>
      </c>
      <c r="S7856" s="13">
        <v>284953158.86857605</v>
      </c>
    </row>
    <row r="7857" spans="18:19" x14ac:dyDescent="0.25">
      <c r="R7857" s="13">
        <v>7784</v>
      </c>
      <c r="S7857" s="13">
        <v>0</v>
      </c>
    </row>
    <row r="7858" spans="18:19" x14ac:dyDescent="0.25">
      <c r="R7858" s="13">
        <v>7785</v>
      </c>
      <c r="S7858" s="13">
        <v>0</v>
      </c>
    </row>
    <row r="7859" spans="18:19" x14ac:dyDescent="0.25">
      <c r="R7859" s="13">
        <v>7786</v>
      </c>
      <c r="S7859" s="13">
        <v>0</v>
      </c>
    </row>
    <row r="7860" spans="18:19" x14ac:dyDescent="0.25">
      <c r="R7860" s="13">
        <v>7787</v>
      </c>
      <c r="S7860" s="13">
        <v>0</v>
      </c>
    </row>
    <row r="7861" spans="18:19" x14ac:dyDescent="0.25">
      <c r="R7861" s="13">
        <v>7788</v>
      </c>
      <c r="S7861" s="13">
        <v>0</v>
      </c>
    </row>
    <row r="7862" spans="18:19" x14ac:dyDescent="0.25">
      <c r="R7862" s="13">
        <v>7789</v>
      </c>
      <c r="S7862" s="13">
        <v>124605063.96242714</v>
      </c>
    </row>
    <row r="7863" spans="18:19" x14ac:dyDescent="0.25">
      <c r="R7863" s="13">
        <v>7790</v>
      </c>
      <c r="S7863" s="13">
        <v>0</v>
      </c>
    </row>
    <row r="7864" spans="18:19" x14ac:dyDescent="0.25">
      <c r="R7864" s="13">
        <v>7791</v>
      </c>
      <c r="S7864" s="13">
        <v>68857577.967889786</v>
      </c>
    </row>
    <row r="7865" spans="18:19" x14ac:dyDescent="0.25">
      <c r="R7865" s="13">
        <v>7792</v>
      </c>
      <c r="S7865" s="13">
        <v>0</v>
      </c>
    </row>
    <row r="7866" spans="18:19" x14ac:dyDescent="0.25">
      <c r="R7866" s="13">
        <v>7793</v>
      </c>
      <c r="S7866" s="13">
        <v>318937524.57278442</v>
      </c>
    </row>
    <row r="7867" spans="18:19" x14ac:dyDescent="0.25">
      <c r="R7867" s="13">
        <v>7794</v>
      </c>
      <c r="S7867" s="13">
        <v>0</v>
      </c>
    </row>
    <row r="7868" spans="18:19" x14ac:dyDescent="0.25">
      <c r="R7868" s="13">
        <v>7795</v>
      </c>
      <c r="S7868" s="13">
        <v>0</v>
      </c>
    </row>
    <row r="7869" spans="18:19" x14ac:dyDescent="0.25">
      <c r="R7869" s="13">
        <v>7796</v>
      </c>
      <c r="S7869" s="13">
        <v>0</v>
      </c>
    </row>
    <row r="7870" spans="18:19" x14ac:dyDescent="0.25">
      <c r="R7870" s="13">
        <v>7797</v>
      </c>
      <c r="S7870" s="13">
        <v>0</v>
      </c>
    </row>
    <row r="7871" spans="18:19" x14ac:dyDescent="0.25">
      <c r="R7871" s="13">
        <v>7798</v>
      </c>
      <c r="S7871" s="13">
        <v>292052084.23641968</v>
      </c>
    </row>
    <row r="7872" spans="18:19" x14ac:dyDescent="0.25">
      <c r="R7872" s="13">
        <v>7799</v>
      </c>
      <c r="S7872" s="13">
        <v>0</v>
      </c>
    </row>
    <row r="7873" spans="18:19" x14ac:dyDescent="0.25">
      <c r="R7873" s="13">
        <v>7800</v>
      </c>
      <c r="S7873" s="13">
        <v>0</v>
      </c>
    </row>
    <row r="7874" spans="18:19" x14ac:dyDescent="0.25">
      <c r="R7874" s="13">
        <v>7801</v>
      </c>
      <c r="S7874" s="13">
        <v>0</v>
      </c>
    </row>
    <row r="7875" spans="18:19" x14ac:dyDescent="0.25">
      <c r="R7875" s="13">
        <v>7802</v>
      </c>
      <c r="S7875" s="13">
        <v>0</v>
      </c>
    </row>
    <row r="7876" spans="18:19" x14ac:dyDescent="0.25">
      <c r="R7876" s="13">
        <v>7803</v>
      </c>
      <c r="S7876" s="13">
        <v>0</v>
      </c>
    </row>
    <row r="7877" spans="18:19" x14ac:dyDescent="0.25">
      <c r="R7877" s="13">
        <v>7804</v>
      </c>
      <c r="S7877" s="13">
        <v>0</v>
      </c>
    </row>
    <row r="7878" spans="18:19" x14ac:dyDescent="0.25">
      <c r="R7878" s="13">
        <v>7805</v>
      </c>
      <c r="S7878" s="13">
        <v>0</v>
      </c>
    </row>
    <row r="7879" spans="18:19" x14ac:dyDescent="0.25">
      <c r="R7879" s="13">
        <v>7806</v>
      </c>
      <c r="S7879" s="13">
        <v>488979677.51351547</v>
      </c>
    </row>
    <row r="7880" spans="18:19" x14ac:dyDescent="0.25">
      <c r="R7880" s="13">
        <v>7807</v>
      </c>
      <c r="S7880" s="13">
        <v>354826726.481987</v>
      </c>
    </row>
    <row r="7881" spans="18:19" x14ac:dyDescent="0.25">
      <c r="R7881" s="13">
        <v>7808</v>
      </c>
      <c r="S7881" s="13">
        <v>0</v>
      </c>
    </row>
    <row r="7882" spans="18:19" x14ac:dyDescent="0.25">
      <c r="R7882" s="13">
        <v>7809</v>
      </c>
      <c r="S7882" s="13">
        <v>0</v>
      </c>
    </row>
    <row r="7883" spans="18:19" x14ac:dyDescent="0.25">
      <c r="R7883" s="13">
        <v>7810</v>
      </c>
      <c r="S7883" s="13">
        <v>0</v>
      </c>
    </row>
    <row r="7884" spans="18:19" x14ac:dyDescent="0.25">
      <c r="R7884" s="13">
        <v>7811</v>
      </c>
      <c r="S7884" s="13">
        <v>510180401.66842651</v>
      </c>
    </row>
    <row r="7885" spans="18:19" x14ac:dyDescent="0.25">
      <c r="R7885" s="13">
        <v>7812</v>
      </c>
      <c r="S7885" s="13">
        <v>0</v>
      </c>
    </row>
    <row r="7886" spans="18:19" x14ac:dyDescent="0.25">
      <c r="R7886" s="13">
        <v>7813</v>
      </c>
      <c r="S7886" s="13">
        <v>548308665.08946609</v>
      </c>
    </row>
    <row r="7887" spans="18:19" x14ac:dyDescent="0.25">
      <c r="R7887" s="13">
        <v>7814</v>
      </c>
      <c r="S7887" s="13">
        <v>0</v>
      </c>
    </row>
    <row r="7888" spans="18:19" x14ac:dyDescent="0.25">
      <c r="R7888" s="13">
        <v>7815</v>
      </c>
      <c r="S7888" s="13">
        <v>0</v>
      </c>
    </row>
    <row r="7889" spans="18:19" x14ac:dyDescent="0.25">
      <c r="R7889" s="13">
        <v>7816</v>
      </c>
      <c r="S7889" s="13">
        <v>0</v>
      </c>
    </row>
    <row r="7890" spans="18:19" x14ac:dyDescent="0.25">
      <c r="R7890" s="13">
        <v>7817</v>
      </c>
      <c r="S7890" s="13">
        <v>576677979.28911591</v>
      </c>
    </row>
    <row r="7891" spans="18:19" x14ac:dyDescent="0.25">
      <c r="R7891" s="13">
        <v>7818</v>
      </c>
      <c r="S7891" s="13">
        <v>0</v>
      </c>
    </row>
    <row r="7892" spans="18:19" x14ac:dyDescent="0.25">
      <c r="R7892" s="13">
        <v>7819</v>
      </c>
      <c r="S7892" s="13">
        <v>0</v>
      </c>
    </row>
    <row r="7893" spans="18:19" x14ac:dyDescent="0.25">
      <c r="R7893" s="13">
        <v>7820</v>
      </c>
      <c r="S7893" s="13">
        <v>0</v>
      </c>
    </row>
    <row r="7894" spans="18:19" x14ac:dyDescent="0.25">
      <c r="R7894" s="13">
        <v>7821</v>
      </c>
      <c r="S7894" s="13">
        <v>0</v>
      </c>
    </row>
    <row r="7895" spans="18:19" x14ac:dyDescent="0.25">
      <c r="R7895" s="13">
        <v>7822</v>
      </c>
      <c r="S7895" s="13">
        <v>0</v>
      </c>
    </row>
    <row r="7896" spans="18:19" x14ac:dyDescent="0.25">
      <c r="R7896" s="13">
        <v>7823</v>
      </c>
      <c r="S7896" s="13">
        <v>940885366.9255619</v>
      </c>
    </row>
    <row r="7897" spans="18:19" x14ac:dyDescent="0.25">
      <c r="R7897" s="13">
        <v>7824</v>
      </c>
      <c r="S7897" s="13">
        <v>708462907.8188858</v>
      </c>
    </row>
    <row r="7898" spans="18:19" x14ac:dyDescent="0.25">
      <c r="R7898" s="13">
        <v>7825</v>
      </c>
      <c r="S7898" s="13">
        <v>0</v>
      </c>
    </row>
    <row r="7899" spans="18:19" x14ac:dyDescent="0.25">
      <c r="R7899" s="13">
        <v>7826</v>
      </c>
      <c r="S7899" s="13">
        <v>155592452.34581757</v>
      </c>
    </row>
    <row r="7900" spans="18:19" x14ac:dyDescent="0.25">
      <c r="R7900" s="13">
        <v>7827</v>
      </c>
      <c r="S7900" s="13">
        <v>226090455.01740265</v>
      </c>
    </row>
    <row r="7901" spans="18:19" x14ac:dyDescent="0.25">
      <c r="R7901" s="13">
        <v>7828</v>
      </c>
      <c r="S7901" s="13">
        <v>0</v>
      </c>
    </row>
    <row r="7902" spans="18:19" x14ac:dyDescent="0.25">
      <c r="R7902" s="13">
        <v>7829</v>
      </c>
      <c r="S7902" s="13">
        <v>0</v>
      </c>
    </row>
    <row r="7903" spans="18:19" x14ac:dyDescent="0.25">
      <c r="R7903" s="13">
        <v>7830</v>
      </c>
      <c r="S7903" s="13">
        <v>0</v>
      </c>
    </row>
    <row r="7904" spans="18:19" x14ac:dyDescent="0.25">
      <c r="R7904" s="13">
        <v>7831</v>
      </c>
      <c r="S7904" s="13">
        <v>0</v>
      </c>
    </row>
    <row r="7905" spans="18:19" x14ac:dyDescent="0.25">
      <c r="R7905" s="13">
        <v>7832</v>
      </c>
      <c r="S7905" s="13">
        <v>0</v>
      </c>
    </row>
    <row r="7906" spans="18:19" x14ac:dyDescent="0.25">
      <c r="R7906" s="13">
        <v>7833</v>
      </c>
      <c r="S7906" s="13">
        <v>0</v>
      </c>
    </row>
    <row r="7907" spans="18:19" x14ac:dyDescent="0.25">
      <c r="R7907" s="13">
        <v>7834</v>
      </c>
      <c r="S7907" s="13">
        <v>0</v>
      </c>
    </row>
    <row r="7908" spans="18:19" x14ac:dyDescent="0.25">
      <c r="R7908" s="13">
        <v>7835</v>
      </c>
      <c r="S7908" s="13">
        <v>0</v>
      </c>
    </row>
    <row r="7909" spans="18:19" x14ac:dyDescent="0.25">
      <c r="R7909" s="13">
        <v>7836</v>
      </c>
      <c r="S7909" s="13">
        <v>0</v>
      </c>
    </row>
    <row r="7910" spans="18:19" x14ac:dyDescent="0.25">
      <c r="R7910" s="13">
        <v>7837</v>
      </c>
      <c r="S7910" s="13">
        <v>0</v>
      </c>
    </row>
    <row r="7911" spans="18:19" x14ac:dyDescent="0.25">
      <c r="R7911" s="13">
        <v>7838</v>
      </c>
      <c r="S7911" s="13">
        <v>0</v>
      </c>
    </row>
    <row r="7912" spans="18:19" x14ac:dyDescent="0.25">
      <c r="R7912" s="13">
        <v>7839</v>
      </c>
      <c r="S7912" s="13">
        <v>0</v>
      </c>
    </row>
    <row r="7913" spans="18:19" x14ac:dyDescent="0.25">
      <c r="R7913" s="13">
        <v>7840</v>
      </c>
      <c r="S7913" s="13">
        <v>289388204.69293785</v>
      </c>
    </row>
    <row r="7914" spans="18:19" x14ac:dyDescent="0.25">
      <c r="R7914" s="13">
        <v>7841</v>
      </c>
      <c r="S7914" s="13">
        <v>0</v>
      </c>
    </row>
    <row r="7915" spans="18:19" x14ac:dyDescent="0.25">
      <c r="R7915" s="13">
        <v>7842</v>
      </c>
      <c r="S7915" s="13">
        <v>0</v>
      </c>
    </row>
    <row r="7916" spans="18:19" x14ac:dyDescent="0.25">
      <c r="R7916" s="13">
        <v>7843</v>
      </c>
      <c r="S7916" s="13">
        <v>0</v>
      </c>
    </row>
    <row r="7917" spans="18:19" x14ac:dyDescent="0.25">
      <c r="R7917" s="13">
        <v>7844</v>
      </c>
      <c r="S7917" s="13">
        <v>0</v>
      </c>
    </row>
    <row r="7918" spans="18:19" x14ac:dyDescent="0.25">
      <c r="R7918" s="13">
        <v>7845</v>
      </c>
      <c r="S7918" s="13">
        <v>38536755.938179016</v>
      </c>
    </row>
    <row r="7919" spans="18:19" x14ac:dyDescent="0.25">
      <c r="R7919" s="13">
        <v>7846</v>
      </c>
      <c r="S7919" s="13">
        <v>585140855.03844643</v>
      </c>
    </row>
    <row r="7920" spans="18:19" x14ac:dyDescent="0.25">
      <c r="R7920" s="13">
        <v>7847</v>
      </c>
      <c r="S7920" s="13">
        <v>0</v>
      </c>
    </row>
    <row r="7921" spans="18:19" x14ac:dyDescent="0.25">
      <c r="R7921" s="13">
        <v>7848</v>
      </c>
      <c r="S7921" s="13">
        <v>551376783.80993462</v>
      </c>
    </row>
    <row r="7922" spans="18:19" x14ac:dyDescent="0.25">
      <c r="R7922" s="13">
        <v>7849</v>
      </c>
      <c r="S7922" s="13">
        <v>0</v>
      </c>
    </row>
    <row r="7923" spans="18:19" x14ac:dyDescent="0.25">
      <c r="R7923" s="13">
        <v>7850</v>
      </c>
      <c r="S7923" s="13">
        <v>426705882.16908455</v>
      </c>
    </row>
    <row r="7924" spans="18:19" x14ac:dyDescent="0.25">
      <c r="R7924" s="13">
        <v>7851</v>
      </c>
      <c r="S7924" s="13">
        <v>177711264.59274101</v>
      </c>
    </row>
    <row r="7925" spans="18:19" x14ac:dyDescent="0.25">
      <c r="R7925" s="13">
        <v>7852</v>
      </c>
      <c r="S7925" s="13">
        <v>0</v>
      </c>
    </row>
    <row r="7926" spans="18:19" x14ac:dyDescent="0.25">
      <c r="R7926" s="13">
        <v>7853</v>
      </c>
      <c r="S7926" s="13">
        <v>0</v>
      </c>
    </row>
    <row r="7927" spans="18:19" x14ac:dyDescent="0.25">
      <c r="R7927" s="13">
        <v>7854</v>
      </c>
      <c r="S7927" s="13">
        <v>0</v>
      </c>
    </row>
    <row r="7928" spans="18:19" x14ac:dyDescent="0.25">
      <c r="R7928" s="13">
        <v>7855</v>
      </c>
      <c r="S7928" s="13">
        <v>436476305.03251076</v>
      </c>
    </row>
    <row r="7929" spans="18:19" x14ac:dyDescent="0.25">
      <c r="R7929" s="13">
        <v>7856</v>
      </c>
      <c r="S7929" s="13">
        <v>0</v>
      </c>
    </row>
    <row r="7930" spans="18:19" x14ac:dyDescent="0.25">
      <c r="R7930" s="13">
        <v>7857</v>
      </c>
      <c r="S7930" s="13">
        <v>0</v>
      </c>
    </row>
    <row r="7931" spans="18:19" x14ac:dyDescent="0.25">
      <c r="R7931" s="13">
        <v>7858</v>
      </c>
      <c r="S7931" s="13">
        <v>0</v>
      </c>
    </row>
    <row r="7932" spans="18:19" x14ac:dyDescent="0.25">
      <c r="R7932" s="13">
        <v>7859</v>
      </c>
      <c r="S7932" s="13">
        <v>0</v>
      </c>
    </row>
    <row r="7933" spans="18:19" x14ac:dyDescent="0.25">
      <c r="R7933" s="13">
        <v>7860</v>
      </c>
      <c r="S7933" s="13">
        <v>0</v>
      </c>
    </row>
    <row r="7934" spans="18:19" x14ac:dyDescent="0.25">
      <c r="R7934" s="13">
        <v>7861</v>
      </c>
      <c r="S7934" s="13">
        <v>0</v>
      </c>
    </row>
    <row r="7935" spans="18:19" x14ac:dyDescent="0.25">
      <c r="R7935" s="13">
        <v>7862</v>
      </c>
      <c r="S7935" s="13">
        <v>0</v>
      </c>
    </row>
    <row r="7936" spans="18:19" x14ac:dyDescent="0.25">
      <c r="R7936" s="13">
        <v>7863</v>
      </c>
      <c r="S7936" s="13">
        <v>0</v>
      </c>
    </row>
    <row r="7937" spans="18:19" x14ac:dyDescent="0.25">
      <c r="R7937" s="13">
        <v>7864</v>
      </c>
      <c r="S7937" s="13">
        <v>0</v>
      </c>
    </row>
    <row r="7938" spans="18:19" x14ac:dyDescent="0.25">
      <c r="R7938" s="13">
        <v>7865</v>
      </c>
      <c r="S7938" s="13">
        <v>0</v>
      </c>
    </row>
    <row r="7939" spans="18:19" x14ac:dyDescent="0.25">
      <c r="R7939" s="13">
        <v>7866</v>
      </c>
      <c r="S7939" s="13">
        <v>0</v>
      </c>
    </row>
    <row r="7940" spans="18:19" x14ac:dyDescent="0.25">
      <c r="R7940" s="13">
        <v>7867</v>
      </c>
      <c r="S7940" s="13">
        <v>0</v>
      </c>
    </row>
    <row r="7941" spans="18:19" x14ac:dyDescent="0.25">
      <c r="R7941" s="13">
        <v>7868</v>
      </c>
      <c r="S7941" s="13">
        <v>349236741.81322479</v>
      </c>
    </row>
    <row r="7942" spans="18:19" x14ac:dyDescent="0.25">
      <c r="R7942" s="13">
        <v>7869</v>
      </c>
      <c r="S7942" s="13">
        <v>0</v>
      </c>
    </row>
    <row r="7943" spans="18:19" x14ac:dyDescent="0.25">
      <c r="R7943" s="13">
        <v>7870</v>
      </c>
      <c r="S7943" s="13">
        <v>376881058.52731705</v>
      </c>
    </row>
    <row r="7944" spans="18:19" x14ac:dyDescent="0.25">
      <c r="R7944" s="13">
        <v>7871</v>
      </c>
      <c r="S7944" s="13">
        <v>0</v>
      </c>
    </row>
    <row r="7945" spans="18:19" x14ac:dyDescent="0.25">
      <c r="R7945" s="13">
        <v>7872</v>
      </c>
      <c r="S7945" s="13">
        <v>0</v>
      </c>
    </row>
    <row r="7946" spans="18:19" x14ac:dyDescent="0.25">
      <c r="R7946" s="13">
        <v>7873</v>
      </c>
      <c r="S7946" s="13">
        <v>0</v>
      </c>
    </row>
    <row r="7947" spans="18:19" x14ac:dyDescent="0.25">
      <c r="R7947" s="13">
        <v>7874</v>
      </c>
      <c r="S7947" s="13">
        <v>0</v>
      </c>
    </row>
    <row r="7948" spans="18:19" x14ac:dyDescent="0.25">
      <c r="R7948" s="13">
        <v>7875</v>
      </c>
      <c r="S7948" s="13">
        <v>2234805.749080658</v>
      </c>
    </row>
    <row r="7949" spans="18:19" x14ac:dyDescent="0.25">
      <c r="R7949" s="13">
        <v>7876</v>
      </c>
      <c r="S7949" s="13">
        <v>0</v>
      </c>
    </row>
    <row r="7950" spans="18:19" x14ac:dyDescent="0.25">
      <c r="R7950" s="13">
        <v>7877</v>
      </c>
      <c r="S7950" s="13">
        <v>909382863.30541039</v>
      </c>
    </row>
    <row r="7951" spans="18:19" x14ac:dyDescent="0.25">
      <c r="R7951" s="13">
        <v>7878</v>
      </c>
      <c r="S7951" s="13">
        <v>0</v>
      </c>
    </row>
    <row r="7952" spans="18:19" x14ac:dyDescent="0.25">
      <c r="R7952" s="13">
        <v>7879</v>
      </c>
      <c r="S7952" s="13">
        <v>0</v>
      </c>
    </row>
    <row r="7953" spans="18:19" x14ac:dyDescent="0.25">
      <c r="R7953" s="13">
        <v>7880</v>
      </c>
      <c r="S7953" s="13">
        <v>117211101.77094269</v>
      </c>
    </row>
    <row r="7954" spans="18:19" x14ac:dyDescent="0.25">
      <c r="R7954" s="13">
        <v>7881</v>
      </c>
      <c r="S7954" s="13">
        <v>166940176.87961197</v>
      </c>
    </row>
    <row r="7955" spans="18:19" x14ac:dyDescent="0.25">
      <c r="R7955" s="13">
        <v>7882</v>
      </c>
      <c r="S7955" s="13">
        <v>0</v>
      </c>
    </row>
    <row r="7956" spans="18:19" x14ac:dyDescent="0.25">
      <c r="R7956" s="13">
        <v>7883</v>
      </c>
      <c r="S7956" s="13">
        <v>0</v>
      </c>
    </row>
    <row r="7957" spans="18:19" x14ac:dyDescent="0.25">
      <c r="R7957" s="13">
        <v>7884</v>
      </c>
      <c r="S7957" s="13">
        <v>0</v>
      </c>
    </row>
    <row r="7958" spans="18:19" x14ac:dyDescent="0.25">
      <c r="R7958" s="13">
        <v>7885</v>
      </c>
      <c r="S7958" s="13">
        <v>0</v>
      </c>
    </row>
    <row r="7959" spans="18:19" x14ac:dyDescent="0.25">
      <c r="R7959" s="13">
        <v>7886</v>
      </c>
      <c r="S7959" s="13">
        <v>0</v>
      </c>
    </row>
    <row r="7960" spans="18:19" x14ac:dyDescent="0.25">
      <c r="R7960" s="13">
        <v>7887</v>
      </c>
      <c r="S7960" s="13">
        <v>0</v>
      </c>
    </row>
    <row r="7961" spans="18:19" x14ac:dyDescent="0.25">
      <c r="R7961" s="13">
        <v>7888</v>
      </c>
      <c r="S7961" s="13">
        <v>28054476.933084488</v>
      </c>
    </row>
    <row r="7962" spans="18:19" x14ac:dyDescent="0.25">
      <c r="R7962" s="13">
        <v>7889</v>
      </c>
      <c r="S7962" s="13">
        <v>0</v>
      </c>
    </row>
    <row r="7963" spans="18:19" x14ac:dyDescent="0.25">
      <c r="R7963" s="13">
        <v>7890</v>
      </c>
      <c r="S7963" s="13">
        <v>0</v>
      </c>
    </row>
    <row r="7964" spans="18:19" x14ac:dyDescent="0.25">
      <c r="R7964" s="13">
        <v>7891</v>
      </c>
      <c r="S7964" s="13">
        <v>465193131.85801697</v>
      </c>
    </row>
    <row r="7965" spans="18:19" x14ac:dyDescent="0.25">
      <c r="R7965" s="13">
        <v>7892</v>
      </c>
      <c r="S7965" s="13">
        <v>98203601.986505508</v>
      </c>
    </row>
    <row r="7966" spans="18:19" x14ac:dyDescent="0.25">
      <c r="R7966" s="13">
        <v>7893</v>
      </c>
      <c r="S7966" s="13">
        <v>0</v>
      </c>
    </row>
    <row r="7967" spans="18:19" x14ac:dyDescent="0.25">
      <c r="R7967" s="13">
        <v>7894</v>
      </c>
      <c r="S7967" s="13">
        <v>0</v>
      </c>
    </row>
    <row r="7968" spans="18:19" x14ac:dyDescent="0.25">
      <c r="R7968" s="13">
        <v>7895</v>
      </c>
      <c r="S7968" s="13">
        <v>0</v>
      </c>
    </row>
    <row r="7969" spans="18:19" x14ac:dyDescent="0.25">
      <c r="R7969" s="13">
        <v>7896</v>
      </c>
      <c r="S7969" s="13">
        <v>0</v>
      </c>
    </row>
    <row r="7970" spans="18:19" x14ac:dyDescent="0.25">
      <c r="R7970" s="13">
        <v>7897</v>
      </c>
      <c r="S7970" s="13">
        <v>0</v>
      </c>
    </row>
    <row r="7971" spans="18:19" x14ac:dyDescent="0.25">
      <c r="R7971" s="13">
        <v>7898</v>
      </c>
      <c r="S7971" s="13">
        <v>0</v>
      </c>
    </row>
    <row r="7972" spans="18:19" x14ac:dyDescent="0.25">
      <c r="R7972" s="13">
        <v>7899</v>
      </c>
      <c r="S7972" s="13">
        <v>65307068.378679276</v>
      </c>
    </row>
    <row r="7973" spans="18:19" x14ac:dyDescent="0.25">
      <c r="R7973" s="13">
        <v>7900</v>
      </c>
      <c r="S7973" s="13">
        <v>0</v>
      </c>
    </row>
    <row r="7974" spans="18:19" x14ac:dyDescent="0.25">
      <c r="R7974" s="13">
        <v>7901</v>
      </c>
      <c r="S7974" s="13">
        <v>0</v>
      </c>
    </row>
    <row r="7975" spans="18:19" x14ac:dyDescent="0.25">
      <c r="R7975" s="13">
        <v>7902</v>
      </c>
      <c r="S7975" s="13">
        <v>0</v>
      </c>
    </row>
    <row r="7976" spans="18:19" x14ac:dyDescent="0.25">
      <c r="R7976" s="13">
        <v>7903</v>
      </c>
      <c r="S7976" s="13">
        <v>250687468.3013401</v>
      </c>
    </row>
    <row r="7977" spans="18:19" x14ac:dyDescent="0.25">
      <c r="R7977" s="13">
        <v>7904</v>
      </c>
      <c r="S7977" s="13">
        <v>0</v>
      </c>
    </row>
    <row r="7978" spans="18:19" x14ac:dyDescent="0.25">
      <c r="R7978" s="13">
        <v>7905</v>
      </c>
      <c r="S7978" s="13">
        <v>0</v>
      </c>
    </row>
    <row r="7979" spans="18:19" x14ac:dyDescent="0.25">
      <c r="R7979" s="13">
        <v>7906</v>
      </c>
      <c r="S7979" s="13">
        <v>0</v>
      </c>
    </row>
    <row r="7980" spans="18:19" x14ac:dyDescent="0.25">
      <c r="R7980" s="13">
        <v>7907</v>
      </c>
      <c r="S7980" s="13">
        <v>0</v>
      </c>
    </row>
    <row r="7981" spans="18:19" x14ac:dyDescent="0.25">
      <c r="R7981" s="13">
        <v>7908</v>
      </c>
      <c r="S7981" s="13">
        <v>0</v>
      </c>
    </row>
    <row r="7982" spans="18:19" x14ac:dyDescent="0.25">
      <c r="R7982" s="13">
        <v>7909</v>
      </c>
      <c r="S7982" s="13">
        <v>295235023.49518585</v>
      </c>
    </row>
    <row r="7983" spans="18:19" x14ac:dyDescent="0.25">
      <c r="R7983" s="13">
        <v>7910</v>
      </c>
      <c r="S7983" s="13">
        <v>86245756.733455658</v>
      </c>
    </row>
    <row r="7984" spans="18:19" x14ac:dyDescent="0.25">
      <c r="R7984" s="13">
        <v>7911</v>
      </c>
      <c r="S7984" s="13">
        <v>0</v>
      </c>
    </row>
    <row r="7985" spans="18:19" x14ac:dyDescent="0.25">
      <c r="R7985" s="13">
        <v>7912</v>
      </c>
      <c r="S7985" s="13">
        <v>0</v>
      </c>
    </row>
    <row r="7986" spans="18:19" x14ac:dyDescent="0.25">
      <c r="R7986" s="13">
        <v>7913</v>
      </c>
      <c r="S7986" s="13">
        <v>0</v>
      </c>
    </row>
    <row r="7987" spans="18:19" x14ac:dyDescent="0.25">
      <c r="R7987" s="13">
        <v>7914</v>
      </c>
      <c r="S7987" s="13">
        <v>0</v>
      </c>
    </row>
    <row r="7988" spans="18:19" x14ac:dyDescent="0.25">
      <c r="R7988" s="13">
        <v>7915</v>
      </c>
      <c r="S7988" s="13">
        <v>408761412.26630783</v>
      </c>
    </row>
    <row r="7989" spans="18:19" x14ac:dyDescent="0.25">
      <c r="R7989" s="13">
        <v>7916</v>
      </c>
      <c r="S7989" s="13">
        <v>0</v>
      </c>
    </row>
    <row r="7990" spans="18:19" x14ac:dyDescent="0.25">
      <c r="R7990" s="13">
        <v>7917</v>
      </c>
      <c r="S7990" s="13">
        <v>0</v>
      </c>
    </row>
    <row r="7991" spans="18:19" x14ac:dyDescent="0.25">
      <c r="R7991" s="13">
        <v>7918</v>
      </c>
      <c r="S7991" s="13">
        <v>0</v>
      </c>
    </row>
    <row r="7992" spans="18:19" x14ac:dyDescent="0.25">
      <c r="R7992" s="13">
        <v>7919</v>
      </c>
      <c r="S7992" s="13">
        <v>0</v>
      </c>
    </row>
    <row r="7993" spans="18:19" x14ac:dyDescent="0.25">
      <c r="R7993" s="13">
        <v>7920</v>
      </c>
      <c r="S7993" s="13">
        <v>0</v>
      </c>
    </row>
    <row r="7994" spans="18:19" x14ac:dyDescent="0.25">
      <c r="R7994" s="13">
        <v>7921</v>
      </c>
      <c r="S7994" s="13">
        <v>0</v>
      </c>
    </row>
    <row r="7995" spans="18:19" x14ac:dyDescent="0.25">
      <c r="R7995" s="13">
        <v>7922</v>
      </c>
      <c r="S7995" s="13">
        <v>41317396.847423553</v>
      </c>
    </row>
    <row r="7996" spans="18:19" x14ac:dyDescent="0.25">
      <c r="R7996" s="13">
        <v>7923</v>
      </c>
      <c r="S7996" s="13">
        <v>0</v>
      </c>
    </row>
    <row r="7997" spans="18:19" x14ac:dyDescent="0.25">
      <c r="R7997" s="13">
        <v>7924</v>
      </c>
      <c r="S7997" s="13">
        <v>0</v>
      </c>
    </row>
    <row r="7998" spans="18:19" x14ac:dyDescent="0.25">
      <c r="R7998" s="13">
        <v>7925</v>
      </c>
      <c r="S7998" s="13">
        <v>251590186.78204536</v>
      </c>
    </row>
    <row r="7999" spans="18:19" x14ac:dyDescent="0.25">
      <c r="R7999" s="13">
        <v>7926</v>
      </c>
      <c r="S7999" s="13">
        <v>0</v>
      </c>
    </row>
    <row r="8000" spans="18:19" x14ac:dyDescent="0.25">
      <c r="R8000" s="13">
        <v>7927</v>
      </c>
      <c r="S8000" s="13">
        <v>0</v>
      </c>
    </row>
    <row r="8001" spans="18:19" x14ac:dyDescent="0.25">
      <c r="R8001" s="13">
        <v>7928</v>
      </c>
      <c r="S8001" s="13">
        <v>417835863.93814278</v>
      </c>
    </row>
    <row r="8002" spans="18:19" x14ac:dyDescent="0.25">
      <c r="R8002" s="13">
        <v>7929</v>
      </c>
      <c r="S8002" s="13">
        <v>0</v>
      </c>
    </row>
    <row r="8003" spans="18:19" x14ac:dyDescent="0.25">
      <c r="R8003" s="13">
        <v>7930</v>
      </c>
      <c r="S8003" s="13">
        <v>0</v>
      </c>
    </row>
    <row r="8004" spans="18:19" x14ac:dyDescent="0.25">
      <c r="R8004" s="13">
        <v>7931</v>
      </c>
      <c r="S8004" s="13">
        <v>579589648.16827774</v>
      </c>
    </row>
    <row r="8005" spans="18:19" x14ac:dyDescent="0.25">
      <c r="R8005" s="13">
        <v>7932</v>
      </c>
      <c r="S8005" s="13">
        <v>0</v>
      </c>
    </row>
    <row r="8006" spans="18:19" x14ac:dyDescent="0.25">
      <c r="R8006" s="13">
        <v>7933</v>
      </c>
      <c r="S8006" s="13">
        <v>174176341.37658691</v>
      </c>
    </row>
    <row r="8007" spans="18:19" x14ac:dyDescent="0.25">
      <c r="R8007" s="13">
        <v>7934</v>
      </c>
      <c r="S8007" s="13">
        <v>0</v>
      </c>
    </row>
    <row r="8008" spans="18:19" x14ac:dyDescent="0.25">
      <c r="R8008" s="13">
        <v>7935</v>
      </c>
      <c r="S8008" s="13">
        <v>0</v>
      </c>
    </row>
    <row r="8009" spans="18:19" x14ac:dyDescent="0.25">
      <c r="R8009" s="13">
        <v>7936</v>
      </c>
      <c r="S8009" s="13">
        <v>0</v>
      </c>
    </row>
    <row r="8010" spans="18:19" x14ac:dyDescent="0.25">
      <c r="R8010" s="13">
        <v>7937</v>
      </c>
      <c r="S8010" s="13">
        <v>391542289.56619453</v>
      </c>
    </row>
    <row r="8011" spans="18:19" x14ac:dyDescent="0.25">
      <c r="R8011" s="13">
        <v>7938</v>
      </c>
      <c r="S8011" s="13">
        <v>579151585.313591</v>
      </c>
    </row>
    <row r="8012" spans="18:19" x14ac:dyDescent="0.25">
      <c r="R8012" s="13">
        <v>7939</v>
      </c>
      <c r="S8012" s="13">
        <v>93491296.934841156</v>
      </c>
    </row>
    <row r="8013" spans="18:19" x14ac:dyDescent="0.25">
      <c r="R8013" s="13">
        <v>7940</v>
      </c>
      <c r="S8013" s="13">
        <v>0</v>
      </c>
    </row>
    <row r="8014" spans="18:19" x14ac:dyDescent="0.25">
      <c r="R8014" s="13">
        <v>7941</v>
      </c>
      <c r="S8014" s="13">
        <v>20001882.971820831</v>
      </c>
    </row>
    <row r="8015" spans="18:19" x14ac:dyDescent="0.25">
      <c r="R8015" s="13">
        <v>7942</v>
      </c>
      <c r="S8015" s="13">
        <v>0</v>
      </c>
    </row>
    <row r="8016" spans="18:19" x14ac:dyDescent="0.25">
      <c r="R8016" s="13">
        <v>7943</v>
      </c>
      <c r="S8016" s="13">
        <v>0</v>
      </c>
    </row>
    <row r="8017" spans="18:19" x14ac:dyDescent="0.25">
      <c r="R8017" s="13">
        <v>7944</v>
      </c>
      <c r="S8017" s="13">
        <v>0</v>
      </c>
    </row>
    <row r="8018" spans="18:19" x14ac:dyDescent="0.25">
      <c r="R8018" s="13">
        <v>7945</v>
      </c>
      <c r="S8018" s="13">
        <v>0</v>
      </c>
    </row>
    <row r="8019" spans="18:19" x14ac:dyDescent="0.25">
      <c r="R8019" s="13">
        <v>7946</v>
      </c>
      <c r="S8019" s="13">
        <v>0</v>
      </c>
    </row>
    <row r="8020" spans="18:19" x14ac:dyDescent="0.25">
      <c r="R8020" s="13">
        <v>7947</v>
      </c>
      <c r="S8020" s="13">
        <v>0</v>
      </c>
    </row>
    <row r="8021" spans="18:19" x14ac:dyDescent="0.25">
      <c r="R8021" s="13">
        <v>7948</v>
      </c>
      <c r="S8021" s="13">
        <v>3052105.1604537964</v>
      </c>
    </row>
    <row r="8022" spans="18:19" x14ac:dyDescent="0.25">
      <c r="R8022" s="13">
        <v>7949</v>
      </c>
      <c r="S8022" s="13">
        <v>0</v>
      </c>
    </row>
    <row r="8023" spans="18:19" x14ac:dyDescent="0.25">
      <c r="R8023" s="13">
        <v>7950</v>
      </c>
      <c r="S8023" s="13">
        <v>0</v>
      </c>
    </row>
    <row r="8024" spans="18:19" x14ac:dyDescent="0.25">
      <c r="R8024" s="13">
        <v>7951</v>
      </c>
      <c r="S8024" s="13">
        <v>0</v>
      </c>
    </row>
    <row r="8025" spans="18:19" x14ac:dyDescent="0.25">
      <c r="R8025" s="13">
        <v>7952</v>
      </c>
      <c r="S8025" s="13">
        <v>0</v>
      </c>
    </row>
    <row r="8026" spans="18:19" x14ac:dyDescent="0.25">
      <c r="R8026" s="13">
        <v>7953</v>
      </c>
      <c r="S8026" s="13">
        <v>41256598.302276611</v>
      </c>
    </row>
    <row r="8027" spans="18:19" x14ac:dyDescent="0.25">
      <c r="R8027" s="13">
        <v>7954</v>
      </c>
      <c r="S8027" s="13">
        <v>0</v>
      </c>
    </row>
    <row r="8028" spans="18:19" x14ac:dyDescent="0.25">
      <c r="R8028" s="13">
        <v>7955</v>
      </c>
      <c r="S8028" s="13">
        <v>0</v>
      </c>
    </row>
    <row r="8029" spans="18:19" x14ac:dyDescent="0.25">
      <c r="R8029" s="13">
        <v>7956</v>
      </c>
      <c r="S8029" s="13">
        <v>0</v>
      </c>
    </row>
    <row r="8030" spans="18:19" x14ac:dyDescent="0.25">
      <c r="R8030" s="13">
        <v>7957</v>
      </c>
      <c r="S8030" s="13">
        <v>0</v>
      </c>
    </row>
    <row r="8031" spans="18:19" x14ac:dyDescent="0.25">
      <c r="R8031" s="13">
        <v>7958</v>
      </c>
      <c r="S8031" s="13">
        <v>0</v>
      </c>
    </row>
    <row r="8032" spans="18:19" x14ac:dyDescent="0.25">
      <c r="R8032" s="13">
        <v>7959</v>
      </c>
      <c r="S8032" s="13">
        <v>687438179.91692924</v>
      </c>
    </row>
    <row r="8033" spans="18:19" x14ac:dyDescent="0.25">
      <c r="R8033" s="13">
        <v>7960</v>
      </c>
      <c r="S8033" s="13">
        <v>0</v>
      </c>
    </row>
    <row r="8034" spans="18:19" x14ac:dyDescent="0.25">
      <c r="R8034" s="13">
        <v>7961</v>
      </c>
      <c r="S8034" s="13">
        <v>0</v>
      </c>
    </row>
    <row r="8035" spans="18:19" x14ac:dyDescent="0.25">
      <c r="R8035" s="13">
        <v>7962</v>
      </c>
      <c r="S8035" s="13">
        <v>0</v>
      </c>
    </row>
    <row r="8036" spans="18:19" x14ac:dyDescent="0.25">
      <c r="R8036" s="13">
        <v>7963</v>
      </c>
      <c r="S8036" s="13">
        <v>0</v>
      </c>
    </row>
    <row r="8037" spans="18:19" x14ac:dyDescent="0.25">
      <c r="R8037" s="13">
        <v>7964</v>
      </c>
      <c r="S8037" s="13">
        <v>0</v>
      </c>
    </row>
    <row r="8038" spans="18:19" x14ac:dyDescent="0.25">
      <c r="R8038" s="13">
        <v>7965</v>
      </c>
      <c r="S8038" s="13">
        <v>0</v>
      </c>
    </row>
    <row r="8039" spans="18:19" x14ac:dyDescent="0.25">
      <c r="R8039" s="13">
        <v>7966</v>
      </c>
      <c r="S8039" s="13">
        <v>292755275.05147362</v>
      </c>
    </row>
    <row r="8040" spans="18:19" x14ac:dyDescent="0.25">
      <c r="R8040" s="13">
        <v>7967</v>
      </c>
      <c r="S8040" s="13">
        <v>0</v>
      </c>
    </row>
    <row r="8041" spans="18:19" x14ac:dyDescent="0.25">
      <c r="R8041" s="13">
        <v>7968</v>
      </c>
      <c r="S8041" s="13">
        <v>0</v>
      </c>
    </row>
    <row r="8042" spans="18:19" x14ac:dyDescent="0.25">
      <c r="R8042" s="13">
        <v>7969</v>
      </c>
      <c r="S8042" s="13">
        <v>0</v>
      </c>
    </row>
    <row r="8043" spans="18:19" x14ac:dyDescent="0.25">
      <c r="R8043" s="13">
        <v>7970</v>
      </c>
      <c r="S8043" s="13">
        <v>0</v>
      </c>
    </row>
    <row r="8044" spans="18:19" x14ac:dyDescent="0.25">
      <c r="R8044" s="13">
        <v>7971</v>
      </c>
      <c r="S8044" s="13">
        <v>757035237.86593628</v>
      </c>
    </row>
    <row r="8045" spans="18:19" x14ac:dyDescent="0.25">
      <c r="R8045" s="13">
        <v>7972</v>
      </c>
      <c r="S8045" s="13">
        <v>0</v>
      </c>
    </row>
    <row r="8046" spans="18:19" x14ac:dyDescent="0.25">
      <c r="R8046" s="13">
        <v>7973</v>
      </c>
      <c r="S8046" s="13">
        <v>0</v>
      </c>
    </row>
    <row r="8047" spans="18:19" x14ac:dyDescent="0.25">
      <c r="R8047" s="13">
        <v>7974</v>
      </c>
      <c r="S8047" s="13">
        <v>0</v>
      </c>
    </row>
    <row r="8048" spans="18:19" x14ac:dyDescent="0.25">
      <c r="R8048" s="13">
        <v>7975</v>
      </c>
      <c r="S8048" s="13">
        <v>0</v>
      </c>
    </row>
    <row r="8049" spans="18:19" x14ac:dyDescent="0.25">
      <c r="R8049" s="13">
        <v>7976</v>
      </c>
      <c r="S8049" s="13">
        <v>565254290.20331001</v>
      </c>
    </row>
    <row r="8050" spans="18:19" x14ac:dyDescent="0.25">
      <c r="R8050" s="13">
        <v>7977</v>
      </c>
      <c r="S8050" s="13">
        <v>227006175.1692009</v>
      </c>
    </row>
    <row r="8051" spans="18:19" x14ac:dyDescent="0.25">
      <c r="R8051" s="13">
        <v>7978</v>
      </c>
      <c r="S8051" s="13">
        <v>0</v>
      </c>
    </row>
    <row r="8052" spans="18:19" x14ac:dyDescent="0.25">
      <c r="R8052" s="13">
        <v>7979</v>
      </c>
      <c r="S8052" s="13">
        <v>0</v>
      </c>
    </row>
    <row r="8053" spans="18:19" x14ac:dyDescent="0.25">
      <c r="R8053" s="13">
        <v>7980</v>
      </c>
      <c r="S8053" s="13">
        <v>0</v>
      </c>
    </row>
    <row r="8054" spans="18:19" x14ac:dyDescent="0.25">
      <c r="R8054" s="13">
        <v>7981</v>
      </c>
      <c r="S8054" s="13">
        <v>0</v>
      </c>
    </row>
    <row r="8055" spans="18:19" x14ac:dyDescent="0.25">
      <c r="R8055" s="13">
        <v>7982</v>
      </c>
      <c r="S8055" s="13">
        <v>0</v>
      </c>
    </row>
    <row r="8056" spans="18:19" x14ac:dyDescent="0.25">
      <c r="R8056" s="13">
        <v>7983</v>
      </c>
      <c r="S8056" s="13">
        <v>0</v>
      </c>
    </row>
    <row r="8057" spans="18:19" x14ac:dyDescent="0.25">
      <c r="R8057" s="13">
        <v>7984</v>
      </c>
      <c r="S8057" s="13">
        <v>0</v>
      </c>
    </row>
    <row r="8058" spans="18:19" x14ac:dyDescent="0.25">
      <c r="R8058" s="13">
        <v>7985</v>
      </c>
      <c r="S8058" s="13">
        <v>297947970.11110306</v>
      </c>
    </row>
    <row r="8059" spans="18:19" x14ac:dyDescent="0.25">
      <c r="R8059" s="13">
        <v>7986</v>
      </c>
      <c r="S8059" s="13">
        <v>0</v>
      </c>
    </row>
    <row r="8060" spans="18:19" x14ac:dyDescent="0.25">
      <c r="R8060" s="13">
        <v>7987</v>
      </c>
      <c r="S8060" s="13">
        <v>0</v>
      </c>
    </row>
    <row r="8061" spans="18:19" x14ac:dyDescent="0.25">
      <c r="R8061" s="13">
        <v>7988</v>
      </c>
      <c r="S8061" s="13">
        <v>0</v>
      </c>
    </row>
    <row r="8062" spans="18:19" x14ac:dyDescent="0.25">
      <c r="R8062" s="13">
        <v>7989</v>
      </c>
      <c r="S8062" s="13">
        <v>0</v>
      </c>
    </row>
    <row r="8063" spans="18:19" x14ac:dyDescent="0.25">
      <c r="R8063" s="13">
        <v>7990</v>
      </c>
      <c r="S8063" s="13">
        <v>0</v>
      </c>
    </row>
    <row r="8064" spans="18:19" x14ac:dyDescent="0.25">
      <c r="R8064" s="13">
        <v>7991</v>
      </c>
      <c r="S8064" s="13">
        <v>0</v>
      </c>
    </row>
    <row r="8065" spans="18:19" x14ac:dyDescent="0.25">
      <c r="R8065" s="13">
        <v>7992</v>
      </c>
      <c r="S8065" s="13">
        <v>666259253.72794914</v>
      </c>
    </row>
    <row r="8066" spans="18:19" x14ac:dyDescent="0.25">
      <c r="R8066" s="13">
        <v>7993</v>
      </c>
      <c r="S8066" s="13">
        <v>0</v>
      </c>
    </row>
    <row r="8067" spans="18:19" x14ac:dyDescent="0.25">
      <c r="R8067" s="13">
        <v>7994</v>
      </c>
      <c r="S8067" s="13">
        <v>0</v>
      </c>
    </row>
    <row r="8068" spans="18:19" x14ac:dyDescent="0.25">
      <c r="R8068" s="13">
        <v>7995</v>
      </c>
      <c r="S8068" s="13">
        <v>66860011.065284729</v>
      </c>
    </row>
    <row r="8069" spans="18:19" x14ac:dyDescent="0.25">
      <c r="R8069" s="13">
        <v>7996</v>
      </c>
      <c r="S8069" s="13">
        <v>0</v>
      </c>
    </row>
    <row r="8070" spans="18:19" x14ac:dyDescent="0.25">
      <c r="R8070" s="13">
        <v>7997</v>
      </c>
      <c r="S8070" s="13">
        <v>0</v>
      </c>
    </row>
    <row r="8071" spans="18:19" x14ac:dyDescent="0.25">
      <c r="R8071" s="13">
        <v>7998</v>
      </c>
      <c r="S8071" s="13">
        <v>47480640.097085953</v>
      </c>
    </row>
    <row r="8072" spans="18:19" x14ac:dyDescent="0.25">
      <c r="R8072" s="13">
        <v>7999</v>
      </c>
      <c r="S8072" s="13">
        <v>0</v>
      </c>
    </row>
    <row r="8073" spans="18:19" x14ac:dyDescent="0.25">
      <c r="R8073" s="13">
        <v>8000</v>
      </c>
      <c r="S8073" s="13">
        <v>476163948.7565403</v>
      </c>
    </row>
    <row r="8074" spans="18:19" x14ac:dyDescent="0.25">
      <c r="R8074" s="13">
        <v>8001</v>
      </c>
      <c r="S8074" s="13">
        <v>0</v>
      </c>
    </row>
    <row r="8075" spans="18:19" x14ac:dyDescent="0.25">
      <c r="R8075" s="13">
        <v>8002</v>
      </c>
      <c r="S8075" s="13">
        <v>0</v>
      </c>
    </row>
    <row r="8076" spans="18:19" x14ac:dyDescent="0.25">
      <c r="R8076" s="13">
        <v>8003</v>
      </c>
      <c r="S8076" s="13">
        <v>526535862.3411541</v>
      </c>
    </row>
    <row r="8077" spans="18:19" x14ac:dyDescent="0.25">
      <c r="R8077" s="13">
        <v>8004</v>
      </c>
      <c r="S8077" s="13">
        <v>0</v>
      </c>
    </row>
    <row r="8078" spans="18:19" x14ac:dyDescent="0.25">
      <c r="R8078" s="13">
        <v>8005</v>
      </c>
      <c r="S8078" s="13">
        <v>0</v>
      </c>
    </row>
    <row r="8079" spans="18:19" x14ac:dyDescent="0.25">
      <c r="R8079" s="13">
        <v>8006</v>
      </c>
      <c r="S8079" s="13">
        <v>855960654.58231354</v>
      </c>
    </row>
    <row r="8080" spans="18:19" x14ac:dyDescent="0.25">
      <c r="R8080" s="13">
        <v>8007</v>
      </c>
      <c r="S8080" s="13">
        <v>0</v>
      </c>
    </row>
    <row r="8081" spans="18:19" x14ac:dyDescent="0.25">
      <c r="R8081" s="13">
        <v>8008</v>
      </c>
      <c r="S8081" s="13">
        <v>0</v>
      </c>
    </row>
    <row r="8082" spans="18:19" x14ac:dyDescent="0.25">
      <c r="R8082" s="13">
        <v>8009</v>
      </c>
      <c r="S8082" s="13">
        <v>0</v>
      </c>
    </row>
    <row r="8083" spans="18:19" x14ac:dyDescent="0.25">
      <c r="R8083" s="13">
        <v>8010</v>
      </c>
      <c r="S8083" s="13">
        <v>11612991.535188675</v>
      </c>
    </row>
    <row r="8084" spans="18:19" x14ac:dyDescent="0.25">
      <c r="R8084" s="13">
        <v>8011</v>
      </c>
      <c r="S8084" s="13">
        <v>0</v>
      </c>
    </row>
    <row r="8085" spans="18:19" x14ac:dyDescent="0.25">
      <c r="R8085" s="13">
        <v>8012</v>
      </c>
      <c r="S8085" s="13">
        <v>0</v>
      </c>
    </row>
    <row r="8086" spans="18:19" x14ac:dyDescent="0.25">
      <c r="R8086" s="13">
        <v>8013</v>
      </c>
      <c r="S8086" s="13">
        <v>0</v>
      </c>
    </row>
    <row r="8087" spans="18:19" x14ac:dyDescent="0.25">
      <c r="R8087" s="13">
        <v>8014</v>
      </c>
      <c r="S8087" s="13">
        <v>1096113872.6799278</v>
      </c>
    </row>
    <row r="8088" spans="18:19" x14ac:dyDescent="0.25">
      <c r="R8088" s="13">
        <v>8015</v>
      </c>
      <c r="S8088" s="13">
        <v>0</v>
      </c>
    </row>
    <row r="8089" spans="18:19" x14ac:dyDescent="0.25">
      <c r="R8089" s="13">
        <v>8016</v>
      </c>
      <c r="S8089" s="13">
        <v>206061985.31683731</v>
      </c>
    </row>
    <row r="8090" spans="18:19" x14ac:dyDescent="0.25">
      <c r="R8090" s="13">
        <v>8017</v>
      </c>
      <c r="S8090" s="13">
        <v>0</v>
      </c>
    </row>
    <row r="8091" spans="18:19" x14ac:dyDescent="0.25">
      <c r="R8091" s="13">
        <v>8018</v>
      </c>
      <c r="S8091" s="13">
        <v>0</v>
      </c>
    </row>
    <row r="8092" spans="18:19" x14ac:dyDescent="0.25">
      <c r="R8092" s="13">
        <v>8019</v>
      </c>
      <c r="S8092" s="13">
        <v>0</v>
      </c>
    </row>
    <row r="8093" spans="18:19" x14ac:dyDescent="0.25">
      <c r="R8093" s="13">
        <v>8020</v>
      </c>
      <c r="S8093" s="13">
        <v>0</v>
      </c>
    </row>
    <row r="8094" spans="18:19" x14ac:dyDescent="0.25">
      <c r="R8094" s="13">
        <v>8021</v>
      </c>
      <c r="S8094" s="13">
        <v>0</v>
      </c>
    </row>
    <row r="8095" spans="18:19" x14ac:dyDescent="0.25">
      <c r="R8095" s="13">
        <v>8022</v>
      </c>
      <c r="S8095" s="13">
        <v>0</v>
      </c>
    </row>
    <row r="8096" spans="18:19" x14ac:dyDescent="0.25">
      <c r="R8096" s="13">
        <v>8023</v>
      </c>
      <c r="S8096" s="13">
        <v>0</v>
      </c>
    </row>
    <row r="8097" spans="18:19" x14ac:dyDescent="0.25">
      <c r="R8097" s="13">
        <v>8024</v>
      </c>
      <c r="S8097" s="13">
        <v>0</v>
      </c>
    </row>
    <row r="8098" spans="18:19" x14ac:dyDescent="0.25">
      <c r="R8098" s="13">
        <v>8025</v>
      </c>
      <c r="S8098" s="13">
        <v>191942199.73194885</v>
      </c>
    </row>
    <row r="8099" spans="18:19" x14ac:dyDescent="0.25">
      <c r="R8099" s="13">
        <v>8026</v>
      </c>
      <c r="S8099" s="13">
        <v>35231738.529457092</v>
      </c>
    </row>
    <row r="8100" spans="18:19" x14ac:dyDescent="0.25">
      <c r="R8100" s="13">
        <v>8027</v>
      </c>
      <c r="S8100" s="13">
        <v>0</v>
      </c>
    </row>
    <row r="8101" spans="18:19" x14ac:dyDescent="0.25">
      <c r="R8101" s="13">
        <v>8028</v>
      </c>
      <c r="S8101" s="13">
        <v>0</v>
      </c>
    </row>
    <row r="8102" spans="18:19" x14ac:dyDescent="0.25">
      <c r="R8102" s="13">
        <v>8029</v>
      </c>
      <c r="S8102" s="13">
        <v>0</v>
      </c>
    </row>
    <row r="8103" spans="18:19" x14ac:dyDescent="0.25">
      <c r="R8103" s="13">
        <v>8030</v>
      </c>
      <c r="S8103" s="13">
        <v>0</v>
      </c>
    </row>
    <row r="8104" spans="18:19" x14ac:dyDescent="0.25">
      <c r="R8104" s="13">
        <v>8031</v>
      </c>
      <c r="S8104" s="13">
        <v>0</v>
      </c>
    </row>
    <row r="8105" spans="18:19" x14ac:dyDescent="0.25">
      <c r="R8105" s="13">
        <v>8032</v>
      </c>
      <c r="S8105" s="13">
        <v>0</v>
      </c>
    </row>
    <row r="8106" spans="18:19" x14ac:dyDescent="0.25">
      <c r="R8106" s="13">
        <v>8033</v>
      </c>
      <c r="S8106" s="13">
        <v>0</v>
      </c>
    </row>
    <row r="8107" spans="18:19" x14ac:dyDescent="0.25">
      <c r="R8107" s="13">
        <v>8034</v>
      </c>
      <c r="S8107" s="13">
        <v>0</v>
      </c>
    </row>
    <row r="8108" spans="18:19" x14ac:dyDescent="0.25">
      <c r="R8108" s="13">
        <v>8035</v>
      </c>
      <c r="S8108" s="13">
        <v>0</v>
      </c>
    </row>
    <row r="8109" spans="18:19" x14ac:dyDescent="0.25">
      <c r="R8109" s="13">
        <v>8036</v>
      </c>
      <c r="S8109" s="13">
        <v>0</v>
      </c>
    </row>
    <row r="8110" spans="18:19" x14ac:dyDescent="0.25">
      <c r="R8110" s="13">
        <v>8037</v>
      </c>
      <c r="S8110" s="13">
        <v>0</v>
      </c>
    </row>
    <row r="8111" spans="18:19" x14ac:dyDescent="0.25">
      <c r="R8111" s="13">
        <v>8038</v>
      </c>
      <c r="S8111" s="13">
        <v>216859647.43128586</v>
      </c>
    </row>
    <row r="8112" spans="18:19" x14ac:dyDescent="0.25">
      <c r="R8112" s="13">
        <v>8039</v>
      </c>
      <c r="S8112" s="13">
        <v>0</v>
      </c>
    </row>
    <row r="8113" spans="18:19" x14ac:dyDescent="0.25">
      <c r="R8113" s="13">
        <v>8040</v>
      </c>
      <c r="S8113" s="13">
        <v>0</v>
      </c>
    </row>
    <row r="8114" spans="18:19" x14ac:dyDescent="0.25">
      <c r="R8114" s="13">
        <v>8041</v>
      </c>
      <c r="S8114" s="13">
        <v>0</v>
      </c>
    </row>
    <row r="8115" spans="18:19" x14ac:dyDescent="0.25">
      <c r="R8115" s="13">
        <v>8042</v>
      </c>
      <c r="S8115" s="13">
        <v>0</v>
      </c>
    </row>
    <row r="8116" spans="18:19" x14ac:dyDescent="0.25">
      <c r="R8116" s="13">
        <v>8043</v>
      </c>
      <c r="S8116" s="13">
        <v>0</v>
      </c>
    </row>
    <row r="8117" spans="18:19" x14ac:dyDescent="0.25">
      <c r="R8117" s="13">
        <v>8044</v>
      </c>
      <c r="S8117" s="13">
        <v>0</v>
      </c>
    </row>
    <row r="8118" spans="18:19" x14ac:dyDescent="0.25">
      <c r="R8118" s="13">
        <v>8045</v>
      </c>
      <c r="S8118" s="13">
        <v>0</v>
      </c>
    </row>
    <row r="8119" spans="18:19" x14ac:dyDescent="0.25">
      <c r="R8119" s="13">
        <v>8046</v>
      </c>
      <c r="S8119" s="13">
        <v>273571681.4992218</v>
      </c>
    </row>
    <row r="8120" spans="18:19" x14ac:dyDescent="0.25">
      <c r="R8120" s="13">
        <v>8047</v>
      </c>
      <c r="S8120" s="13">
        <v>478182300.60785866</v>
      </c>
    </row>
    <row r="8121" spans="18:19" x14ac:dyDescent="0.25">
      <c r="R8121" s="13">
        <v>8048</v>
      </c>
      <c r="S8121" s="13">
        <v>219405416.1378479</v>
      </c>
    </row>
    <row r="8122" spans="18:19" x14ac:dyDescent="0.25">
      <c r="R8122" s="13">
        <v>8049</v>
      </c>
      <c r="S8122" s="13">
        <v>0</v>
      </c>
    </row>
    <row r="8123" spans="18:19" x14ac:dyDescent="0.25">
      <c r="R8123" s="13">
        <v>8050</v>
      </c>
      <c r="S8123" s="13">
        <v>0</v>
      </c>
    </row>
    <row r="8124" spans="18:19" x14ac:dyDescent="0.25">
      <c r="R8124" s="13">
        <v>8051</v>
      </c>
      <c r="S8124" s="13">
        <v>0</v>
      </c>
    </row>
    <row r="8125" spans="18:19" x14ac:dyDescent="0.25">
      <c r="R8125" s="13">
        <v>8052</v>
      </c>
      <c r="S8125" s="13">
        <v>0</v>
      </c>
    </row>
    <row r="8126" spans="18:19" x14ac:dyDescent="0.25">
      <c r="R8126" s="13">
        <v>8053</v>
      </c>
      <c r="S8126" s="13">
        <v>0</v>
      </c>
    </row>
    <row r="8127" spans="18:19" x14ac:dyDescent="0.25">
      <c r="R8127" s="13">
        <v>8054</v>
      </c>
      <c r="S8127" s="13">
        <v>0</v>
      </c>
    </row>
    <row r="8128" spans="18:19" x14ac:dyDescent="0.25">
      <c r="R8128" s="13">
        <v>8055</v>
      </c>
      <c r="S8128" s="13">
        <v>0</v>
      </c>
    </row>
    <row r="8129" spans="18:19" x14ac:dyDescent="0.25">
      <c r="R8129" s="13">
        <v>8056</v>
      </c>
      <c r="S8129" s="13">
        <v>0</v>
      </c>
    </row>
    <row r="8130" spans="18:19" x14ac:dyDescent="0.25">
      <c r="R8130" s="13">
        <v>8057</v>
      </c>
      <c r="S8130" s="13">
        <v>0</v>
      </c>
    </row>
    <row r="8131" spans="18:19" x14ac:dyDescent="0.25">
      <c r="R8131" s="13">
        <v>8058</v>
      </c>
      <c r="S8131" s="13">
        <v>166806936.00730324</v>
      </c>
    </row>
    <row r="8132" spans="18:19" x14ac:dyDescent="0.25">
      <c r="R8132" s="13">
        <v>8059</v>
      </c>
      <c r="S8132" s="13">
        <v>0</v>
      </c>
    </row>
    <row r="8133" spans="18:19" x14ac:dyDescent="0.25">
      <c r="R8133" s="13">
        <v>8060</v>
      </c>
      <c r="S8133" s="13">
        <v>0</v>
      </c>
    </row>
    <row r="8134" spans="18:19" x14ac:dyDescent="0.25">
      <c r="R8134" s="13">
        <v>8061</v>
      </c>
      <c r="S8134" s="13">
        <v>1012420801.5337639</v>
      </c>
    </row>
    <row r="8135" spans="18:19" x14ac:dyDescent="0.25">
      <c r="R8135" s="13">
        <v>8062</v>
      </c>
      <c r="S8135" s="13">
        <v>0</v>
      </c>
    </row>
    <row r="8136" spans="18:19" x14ac:dyDescent="0.25">
      <c r="R8136" s="13">
        <v>8063</v>
      </c>
      <c r="S8136" s="13">
        <v>0</v>
      </c>
    </row>
    <row r="8137" spans="18:19" x14ac:dyDescent="0.25">
      <c r="R8137" s="13">
        <v>8064</v>
      </c>
      <c r="S8137" s="13">
        <v>0</v>
      </c>
    </row>
    <row r="8138" spans="18:19" x14ac:dyDescent="0.25">
      <c r="R8138" s="13">
        <v>8065</v>
      </c>
      <c r="S8138" s="13">
        <v>0</v>
      </c>
    </row>
    <row r="8139" spans="18:19" x14ac:dyDescent="0.25">
      <c r="R8139" s="13">
        <v>8066</v>
      </c>
      <c r="S8139" s="13">
        <v>0</v>
      </c>
    </row>
    <row r="8140" spans="18:19" x14ac:dyDescent="0.25">
      <c r="R8140" s="13">
        <v>8067</v>
      </c>
      <c r="S8140" s="13">
        <v>0</v>
      </c>
    </row>
    <row r="8141" spans="18:19" x14ac:dyDescent="0.25">
      <c r="R8141" s="13">
        <v>8068</v>
      </c>
      <c r="S8141" s="13">
        <v>173822421.53961563</v>
      </c>
    </row>
    <row r="8142" spans="18:19" x14ac:dyDescent="0.25">
      <c r="R8142" s="13">
        <v>8069</v>
      </c>
      <c r="S8142" s="13">
        <v>0</v>
      </c>
    </row>
    <row r="8143" spans="18:19" x14ac:dyDescent="0.25">
      <c r="R8143" s="13">
        <v>8070</v>
      </c>
      <c r="S8143" s="13">
        <v>0</v>
      </c>
    </row>
    <row r="8144" spans="18:19" x14ac:dyDescent="0.25">
      <c r="R8144" s="13">
        <v>8071</v>
      </c>
      <c r="S8144" s="13">
        <v>598203023.52112579</v>
      </c>
    </row>
    <row r="8145" spans="18:19" x14ac:dyDescent="0.25">
      <c r="R8145" s="13">
        <v>8072</v>
      </c>
      <c r="S8145" s="13">
        <v>0</v>
      </c>
    </row>
    <row r="8146" spans="18:19" x14ac:dyDescent="0.25">
      <c r="R8146" s="13">
        <v>8073</v>
      </c>
      <c r="S8146" s="13">
        <v>0</v>
      </c>
    </row>
    <row r="8147" spans="18:19" x14ac:dyDescent="0.25">
      <c r="R8147" s="13">
        <v>8074</v>
      </c>
      <c r="S8147" s="13">
        <v>165736020.3753643</v>
      </c>
    </row>
    <row r="8148" spans="18:19" x14ac:dyDescent="0.25">
      <c r="R8148" s="13">
        <v>8075</v>
      </c>
      <c r="S8148" s="13">
        <v>0</v>
      </c>
    </row>
    <row r="8149" spans="18:19" x14ac:dyDescent="0.25">
      <c r="R8149" s="13">
        <v>8076</v>
      </c>
      <c r="S8149" s="13">
        <v>0</v>
      </c>
    </row>
    <row r="8150" spans="18:19" x14ac:dyDescent="0.25">
      <c r="R8150" s="13">
        <v>8077</v>
      </c>
      <c r="S8150" s="13">
        <v>0</v>
      </c>
    </row>
    <row r="8151" spans="18:19" x14ac:dyDescent="0.25">
      <c r="R8151" s="13">
        <v>8078</v>
      </c>
      <c r="S8151" s="13">
        <v>0</v>
      </c>
    </row>
    <row r="8152" spans="18:19" x14ac:dyDescent="0.25">
      <c r="R8152" s="13">
        <v>8079</v>
      </c>
      <c r="S8152" s="13">
        <v>0</v>
      </c>
    </row>
    <row r="8153" spans="18:19" x14ac:dyDescent="0.25">
      <c r="R8153" s="13">
        <v>8080</v>
      </c>
      <c r="S8153" s="13">
        <v>0</v>
      </c>
    </row>
    <row r="8154" spans="18:19" x14ac:dyDescent="0.25">
      <c r="R8154" s="13">
        <v>8081</v>
      </c>
      <c r="S8154" s="13">
        <v>0</v>
      </c>
    </row>
    <row r="8155" spans="18:19" x14ac:dyDescent="0.25">
      <c r="R8155" s="13">
        <v>8082</v>
      </c>
      <c r="S8155" s="13">
        <v>0</v>
      </c>
    </row>
    <row r="8156" spans="18:19" x14ac:dyDescent="0.25">
      <c r="R8156" s="13">
        <v>8083</v>
      </c>
      <c r="S8156" s="13">
        <v>352169275.73289871</v>
      </c>
    </row>
    <row r="8157" spans="18:19" x14ac:dyDescent="0.25">
      <c r="R8157" s="13">
        <v>8084</v>
      </c>
      <c r="S8157" s="13">
        <v>188014984.37498283</v>
      </c>
    </row>
    <row r="8158" spans="18:19" x14ac:dyDescent="0.25">
      <c r="R8158" s="13">
        <v>8085</v>
      </c>
      <c r="S8158" s="13">
        <v>0</v>
      </c>
    </row>
    <row r="8159" spans="18:19" x14ac:dyDescent="0.25">
      <c r="R8159" s="13">
        <v>8086</v>
      </c>
      <c r="S8159" s="13">
        <v>0</v>
      </c>
    </row>
    <row r="8160" spans="18:19" x14ac:dyDescent="0.25">
      <c r="R8160" s="13">
        <v>8087</v>
      </c>
      <c r="S8160" s="13">
        <v>450956725.45371246</v>
      </c>
    </row>
    <row r="8161" spans="18:19" x14ac:dyDescent="0.25">
      <c r="R8161" s="13">
        <v>8088</v>
      </c>
      <c r="S8161" s="13">
        <v>240353269.17615318</v>
      </c>
    </row>
    <row r="8162" spans="18:19" x14ac:dyDescent="0.25">
      <c r="R8162" s="13">
        <v>8089</v>
      </c>
      <c r="S8162" s="13">
        <v>0</v>
      </c>
    </row>
    <row r="8163" spans="18:19" x14ac:dyDescent="0.25">
      <c r="R8163" s="13">
        <v>8090</v>
      </c>
      <c r="S8163" s="13">
        <v>175298237.47694206</v>
      </c>
    </row>
    <row r="8164" spans="18:19" x14ac:dyDescent="0.25">
      <c r="R8164" s="13">
        <v>8091</v>
      </c>
      <c r="S8164" s="13">
        <v>0</v>
      </c>
    </row>
    <row r="8165" spans="18:19" x14ac:dyDescent="0.25">
      <c r="R8165" s="13">
        <v>8092</v>
      </c>
      <c r="S8165" s="13">
        <v>0</v>
      </c>
    </row>
    <row r="8166" spans="18:19" x14ac:dyDescent="0.25">
      <c r="R8166" s="13">
        <v>8093</v>
      </c>
      <c r="S8166" s="13">
        <v>0</v>
      </c>
    </row>
    <row r="8167" spans="18:19" x14ac:dyDescent="0.25">
      <c r="R8167" s="13">
        <v>8094</v>
      </c>
      <c r="S8167" s="13">
        <v>847805034.94024658</v>
      </c>
    </row>
    <row r="8168" spans="18:19" x14ac:dyDescent="0.25">
      <c r="R8168" s="13">
        <v>8095</v>
      </c>
      <c r="S8168" s="13">
        <v>0</v>
      </c>
    </row>
    <row r="8169" spans="18:19" x14ac:dyDescent="0.25">
      <c r="R8169" s="13">
        <v>8096</v>
      </c>
      <c r="S8169" s="13">
        <v>0</v>
      </c>
    </row>
    <row r="8170" spans="18:19" x14ac:dyDescent="0.25">
      <c r="R8170" s="13">
        <v>8097</v>
      </c>
      <c r="S8170" s="13">
        <v>0</v>
      </c>
    </row>
    <row r="8171" spans="18:19" x14ac:dyDescent="0.25">
      <c r="R8171" s="13">
        <v>8098</v>
      </c>
      <c r="S8171" s="13">
        <v>0</v>
      </c>
    </row>
    <row r="8172" spans="18:19" x14ac:dyDescent="0.25">
      <c r="R8172" s="13">
        <v>8099</v>
      </c>
      <c r="S8172" s="13">
        <v>0</v>
      </c>
    </row>
    <row r="8173" spans="18:19" x14ac:dyDescent="0.25">
      <c r="R8173" s="13">
        <v>8100</v>
      </c>
      <c r="S8173" s="13">
        <v>238918823.57375717</v>
      </c>
    </row>
    <row r="8174" spans="18:19" x14ac:dyDescent="0.25">
      <c r="R8174" s="13">
        <v>8101</v>
      </c>
      <c r="S8174" s="13">
        <v>937438331.81344604</v>
      </c>
    </row>
    <row r="8175" spans="18:19" x14ac:dyDescent="0.25">
      <c r="R8175" s="13">
        <v>8102</v>
      </c>
      <c r="S8175" s="13">
        <v>0</v>
      </c>
    </row>
    <row r="8176" spans="18:19" x14ac:dyDescent="0.25">
      <c r="R8176" s="13">
        <v>8103</v>
      </c>
      <c r="S8176" s="13">
        <v>0</v>
      </c>
    </row>
    <row r="8177" spans="18:19" x14ac:dyDescent="0.25">
      <c r="R8177" s="13">
        <v>8104</v>
      </c>
      <c r="S8177" s="13">
        <v>0</v>
      </c>
    </row>
    <row r="8178" spans="18:19" x14ac:dyDescent="0.25">
      <c r="R8178" s="13">
        <v>8105</v>
      </c>
      <c r="S8178" s="13">
        <v>10556832.876243591</v>
      </c>
    </row>
    <row r="8179" spans="18:19" x14ac:dyDescent="0.25">
      <c r="R8179" s="13">
        <v>8106</v>
      </c>
      <c r="S8179" s="13">
        <v>0</v>
      </c>
    </row>
    <row r="8180" spans="18:19" x14ac:dyDescent="0.25">
      <c r="R8180" s="13">
        <v>8107</v>
      </c>
      <c r="S8180" s="13">
        <v>0</v>
      </c>
    </row>
    <row r="8181" spans="18:19" x14ac:dyDescent="0.25">
      <c r="R8181" s="13">
        <v>8108</v>
      </c>
      <c r="S8181" s="13">
        <v>0</v>
      </c>
    </row>
    <row r="8182" spans="18:19" x14ac:dyDescent="0.25">
      <c r="R8182" s="13">
        <v>8109</v>
      </c>
      <c r="S8182" s="13">
        <v>0</v>
      </c>
    </row>
    <row r="8183" spans="18:19" x14ac:dyDescent="0.25">
      <c r="R8183" s="13">
        <v>8110</v>
      </c>
      <c r="S8183" s="13">
        <v>0</v>
      </c>
    </row>
    <row r="8184" spans="18:19" x14ac:dyDescent="0.25">
      <c r="R8184" s="13">
        <v>8111</v>
      </c>
      <c r="S8184" s="13">
        <v>0</v>
      </c>
    </row>
    <row r="8185" spans="18:19" x14ac:dyDescent="0.25">
      <c r="R8185" s="13">
        <v>8112</v>
      </c>
      <c r="S8185" s="13">
        <v>0</v>
      </c>
    </row>
    <row r="8186" spans="18:19" x14ac:dyDescent="0.25">
      <c r="R8186" s="13">
        <v>8113</v>
      </c>
      <c r="S8186" s="13">
        <v>0</v>
      </c>
    </row>
    <row r="8187" spans="18:19" x14ac:dyDescent="0.25">
      <c r="R8187" s="13">
        <v>8114</v>
      </c>
      <c r="S8187" s="13">
        <v>0</v>
      </c>
    </row>
    <row r="8188" spans="18:19" x14ac:dyDescent="0.25">
      <c r="R8188" s="13">
        <v>8115</v>
      </c>
      <c r="S8188" s="13">
        <v>0</v>
      </c>
    </row>
    <row r="8189" spans="18:19" x14ac:dyDescent="0.25">
      <c r="R8189" s="13">
        <v>8116</v>
      </c>
      <c r="S8189" s="13">
        <v>0</v>
      </c>
    </row>
    <row r="8190" spans="18:19" x14ac:dyDescent="0.25">
      <c r="R8190" s="13">
        <v>8117</v>
      </c>
      <c r="S8190" s="13">
        <v>0</v>
      </c>
    </row>
    <row r="8191" spans="18:19" x14ac:dyDescent="0.25">
      <c r="R8191" s="13">
        <v>8118</v>
      </c>
      <c r="S8191" s="13">
        <v>0</v>
      </c>
    </row>
    <row r="8192" spans="18:19" x14ac:dyDescent="0.25">
      <c r="R8192" s="13">
        <v>8119</v>
      </c>
      <c r="S8192" s="13">
        <v>0</v>
      </c>
    </row>
    <row r="8193" spans="18:19" x14ac:dyDescent="0.25">
      <c r="R8193" s="13">
        <v>8120</v>
      </c>
      <c r="S8193" s="13">
        <v>0</v>
      </c>
    </row>
    <row r="8194" spans="18:19" x14ac:dyDescent="0.25">
      <c r="R8194" s="13">
        <v>8121</v>
      </c>
      <c r="S8194" s="13">
        <v>0</v>
      </c>
    </row>
    <row r="8195" spans="18:19" x14ac:dyDescent="0.25">
      <c r="R8195" s="13">
        <v>8122</v>
      </c>
      <c r="S8195" s="13">
        <v>0</v>
      </c>
    </row>
    <row r="8196" spans="18:19" x14ac:dyDescent="0.25">
      <c r="R8196" s="13">
        <v>8123</v>
      </c>
      <c r="S8196" s="13">
        <v>0</v>
      </c>
    </row>
    <row r="8197" spans="18:19" x14ac:dyDescent="0.25">
      <c r="R8197" s="13">
        <v>8124</v>
      </c>
      <c r="S8197" s="13">
        <v>0</v>
      </c>
    </row>
    <row r="8198" spans="18:19" x14ac:dyDescent="0.25">
      <c r="R8198" s="13">
        <v>8125</v>
      </c>
      <c r="S8198" s="13">
        <v>0</v>
      </c>
    </row>
    <row r="8199" spans="18:19" x14ac:dyDescent="0.25">
      <c r="R8199" s="13">
        <v>8126</v>
      </c>
      <c r="S8199" s="13">
        <v>0</v>
      </c>
    </row>
    <row r="8200" spans="18:19" x14ac:dyDescent="0.25">
      <c r="R8200" s="13">
        <v>8127</v>
      </c>
      <c r="S8200" s="13">
        <v>176670323.62273026</v>
      </c>
    </row>
    <row r="8201" spans="18:19" x14ac:dyDescent="0.25">
      <c r="R8201" s="13">
        <v>8128</v>
      </c>
      <c r="S8201" s="13">
        <v>0</v>
      </c>
    </row>
    <row r="8202" spans="18:19" x14ac:dyDescent="0.25">
      <c r="R8202" s="13">
        <v>8129</v>
      </c>
      <c r="S8202" s="13">
        <v>0</v>
      </c>
    </row>
    <row r="8203" spans="18:19" x14ac:dyDescent="0.25">
      <c r="R8203" s="13">
        <v>8130</v>
      </c>
      <c r="S8203" s="13">
        <v>0</v>
      </c>
    </row>
    <row r="8204" spans="18:19" x14ac:dyDescent="0.25">
      <c r="R8204" s="13">
        <v>8131</v>
      </c>
      <c r="S8204" s="13">
        <v>0</v>
      </c>
    </row>
    <row r="8205" spans="18:19" x14ac:dyDescent="0.25">
      <c r="R8205" s="13">
        <v>8132</v>
      </c>
      <c r="S8205" s="13">
        <v>0</v>
      </c>
    </row>
    <row r="8206" spans="18:19" x14ac:dyDescent="0.25">
      <c r="R8206" s="13">
        <v>8133</v>
      </c>
      <c r="S8206" s="13">
        <v>0</v>
      </c>
    </row>
    <row r="8207" spans="18:19" x14ac:dyDescent="0.25">
      <c r="R8207" s="13">
        <v>8134</v>
      </c>
      <c r="S8207" s="13">
        <v>243580864.76870918</v>
      </c>
    </row>
    <row r="8208" spans="18:19" x14ac:dyDescent="0.25">
      <c r="R8208" s="13">
        <v>8135</v>
      </c>
      <c r="S8208" s="13">
        <v>0</v>
      </c>
    </row>
    <row r="8209" spans="18:19" x14ac:dyDescent="0.25">
      <c r="R8209" s="13">
        <v>8136</v>
      </c>
      <c r="S8209" s="13">
        <v>0</v>
      </c>
    </row>
    <row r="8210" spans="18:19" x14ac:dyDescent="0.25">
      <c r="R8210" s="13">
        <v>8137</v>
      </c>
      <c r="S8210" s="13">
        <v>130380223.31655502</v>
      </c>
    </row>
    <row r="8211" spans="18:19" x14ac:dyDescent="0.25">
      <c r="R8211" s="13">
        <v>8138</v>
      </c>
      <c r="S8211" s="13">
        <v>0</v>
      </c>
    </row>
    <row r="8212" spans="18:19" x14ac:dyDescent="0.25">
      <c r="R8212" s="13">
        <v>8139</v>
      </c>
      <c r="S8212" s="13">
        <v>0</v>
      </c>
    </row>
    <row r="8213" spans="18:19" x14ac:dyDescent="0.25">
      <c r="R8213" s="13">
        <v>8140</v>
      </c>
      <c r="S8213" s="13">
        <v>0</v>
      </c>
    </row>
    <row r="8214" spans="18:19" x14ac:dyDescent="0.25">
      <c r="R8214" s="13">
        <v>8141</v>
      </c>
      <c r="S8214" s="13">
        <v>0</v>
      </c>
    </row>
    <row r="8215" spans="18:19" x14ac:dyDescent="0.25">
      <c r="R8215" s="13">
        <v>8142</v>
      </c>
      <c r="S8215" s="13">
        <v>0</v>
      </c>
    </row>
    <row r="8216" spans="18:19" x14ac:dyDescent="0.25">
      <c r="R8216" s="13">
        <v>8143</v>
      </c>
      <c r="S8216" s="13">
        <v>0</v>
      </c>
    </row>
    <row r="8217" spans="18:19" x14ac:dyDescent="0.25">
      <c r="R8217" s="13">
        <v>8144</v>
      </c>
      <c r="S8217" s="13">
        <v>0</v>
      </c>
    </row>
    <row r="8218" spans="18:19" x14ac:dyDescent="0.25">
      <c r="R8218" s="13">
        <v>8145</v>
      </c>
      <c r="S8218" s="13">
        <v>0</v>
      </c>
    </row>
    <row r="8219" spans="18:19" x14ac:dyDescent="0.25">
      <c r="R8219" s="13">
        <v>8146</v>
      </c>
      <c r="S8219" s="13">
        <v>0</v>
      </c>
    </row>
    <row r="8220" spans="18:19" x14ac:dyDescent="0.25">
      <c r="R8220" s="13">
        <v>8147</v>
      </c>
      <c r="S8220" s="13">
        <v>0</v>
      </c>
    </row>
    <row r="8221" spans="18:19" x14ac:dyDescent="0.25">
      <c r="R8221" s="13">
        <v>8148</v>
      </c>
      <c r="S8221" s="13">
        <v>0</v>
      </c>
    </row>
    <row r="8222" spans="18:19" x14ac:dyDescent="0.25">
      <c r="R8222" s="13">
        <v>8149</v>
      </c>
      <c r="S8222" s="13">
        <v>0</v>
      </c>
    </row>
    <row r="8223" spans="18:19" x14ac:dyDescent="0.25">
      <c r="R8223" s="13">
        <v>8150</v>
      </c>
      <c r="S8223" s="13">
        <v>0</v>
      </c>
    </row>
    <row r="8224" spans="18:19" x14ac:dyDescent="0.25">
      <c r="R8224" s="13">
        <v>8151</v>
      </c>
      <c r="S8224" s="13">
        <v>0</v>
      </c>
    </row>
    <row r="8225" spans="18:19" x14ac:dyDescent="0.25">
      <c r="R8225" s="13">
        <v>8152</v>
      </c>
      <c r="S8225" s="13">
        <v>0</v>
      </c>
    </row>
    <row r="8226" spans="18:19" x14ac:dyDescent="0.25">
      <c r="R8226" s="13">
        <v>8153</v>
      </c>
      <c r="S8226" s="13">
        <v>0</v>
      </c>
    </row>
    <row r="8227" spans="18:19" x14ac:dyDescent="0.25">
      <c r="R8227" s="13">
        <v>8154</v>
      </c>
      <c r="S8227" s="13">
        <v>184564531.25631142</v>
      </c>
    </row>
    <row r="8228" spans="18:19" x14ac:dyDescent="0.25">
      <c r="R8228" s="13">
        <v>8155</v>
      </c>
      <c r="S8228" s="13">
        <v>0</v>
      </c>
    </row>
    <row r="8229" spans="18:19" x14ac:dyDescent="0.25">
      <c r="R8229" s="13">
        <v>8156</v>
      </c>
      <c r="S8229" s="13">
        <v>0</v>
      </c>
    </row>
    <row r="8230" spans="18:19" x14ac:dyDescent="0.25">
      <c r="R8230" s="13">
        <v>8157</v>
      </c>
      <c r="S8230" s="13">
        <v>0</v>
      </c>
    </row>
    <row r="8231" spans="18:19" x14ac:dyDescent="0.25">
      <c r="R8231" s="13">
        <v>8158</v>
      </c>
      <c r="S8231" s="13">
        <v>166047693.07578278</v>
      </c>
    </row>
    <row r="8232" spans="18:19" x14ac:dyDescent="0.25">
      <c r="R8232" s="13">
        <v>8159</v>
      </c>
      <c r="S8232" s="13">
        <v>0</v>
      </c>
    </row>
    <row r="8233" spans="18:19" x14ac:dyDescent="0.25">
      <c r="R8233" s="13">
        <v>8160</v>
      </c>
      <c r="S8233" s="13">
        <v>0</v>
      </c>
    </row>
    <row r="8234" spans="18:19" x14ac:dyDescent="0.25">
      <c r="R8234" s="13">
        <v>8161</v>
      </c>
      <c r="S8234" s="13">
        <v>0</v>
      </c>
    </row>
    <row r="8235" spans="18:19" x14ac:dyDescent="0.25">
      <c r="R8235" s="13">
        <v>8162</v>
      </c>
      <c r="S8235" s="13">
        <v>0</v>
      </c>
    </row>
    <row r="8236" spans="18:19" x14ac:dyDescent="0.25">
      <c r="R8236" s="13">
        <v>8163</v>
      </c>
      <c r="S8236" s="13">
        <v>0</v>
      </c>
    </row>
    <row r="8237" spans="18:19" x14ac:dyDescent="0.25">
      <c r="R8237" s="13">
        <v>8164</v>
      </c>
      <c r="S8237" s="13">
        <v>234580216.30506897</v>
      </c>
    </row>
    <row r="8238" spans="18:19" x14ac:dyDescent="0.25">
      <c r="R8238" s="13">
        <v>8165</v>
      </c>
      <c r="S8238" s="13">
        <v>98114661.683254242</v>
      </c>
    </row>
    <row r="8239" spans="18:19" x14ac:dyDescent="0.25">
      <c r="R8239" s="13">
        <v>8166</v>
      </c>
      <c r="S8239" s="13">
        <v>90345315.517333984</v>
      </c>
    </row>
    <row r="8240" spans="18:19" x14ac:dyDescent="0.25">
      <c r="R8240" s="13">
        <v>8167</v>
      </c>
      <c r="S8240" s="13">
        <v>0</v>
      </c>
    </row>
    <row r="8241" spans="18:19" x14ac:dyDescent="0.25">
      <c r="R8241" s="13">
        <v>8168</v>
      </c>
      <c r="S8241" s="13">
        <v>0</v>
      </c>
    </row>
    <row r="8242" spans="18:19" x14ac:dyDescent="0.25">
      <c r="R8242" s="13">
        <v>8169</v>
      </c>
      <c r="S8242" s="13">
        <v>0</v>
      </c>
    </row>
    <row r="8243" spans="18:19" x14ac:dyDescent="0.25">
      <c r="R8243" s="13">
        <v>8170</v>
      </c>
      <c r="S8243" s="13">
        <v>0</v>
      </c>
    </row>
    <row r="8244" spans="18:19" x14ac:dyDescent="0.25">
      <c r="R8244" s="13">
        <v>8171</v>
      </c>
      <c r="S8244" s="13">
        <v>0</v>
      </c>
    </row>
    <row r="8245" spans="18:19" x14ac:dyDescent="0.25">
      <c r="R8245" s="13">
        <v>8172</v>
      </c>
      <c r="S8245" s="13">
        <v>0</v>
      </c>
    </row>
    <row r="8246" spans="18:19" x14ac:dyDescent="0.25">
      <c r="R8246" s="13">
        <v>8173</v>
      </c>
      <c r="S8246" s="13">
        <v>0</v>
      </c>
    </row>
    <row r="8247" spans="18:19" x14ac:dyDescent="0.25">
      <c r="R8247" s="13">
        <v>8174</v>
      </c>
      <c r="S8247" s="13">
        <v>75117497.806663513</v>
      </c>
    </row>
    <row r="8248" spans="18:19" x14ac:dyDescent="0.25">
      <c r="R8248" s="13">
        <v>8175</v>
      </c>
      <c r="S8248" s="13">
        <v>0</v>
      </c>
    </row>
    <row r="8249" spans="18:19" x14ac:dyDescent="0.25">
      <c r="R8249" s="13">
        <v>8176</v>
      </c>
      <c r="S8249" s="13">
        <v>0</v>
      </c>
    </row>
    <row r="8250" spans="18:19" x14ac:dyDescent="0.25">
      <c r="R8250" s="13">
        <v>8177</v>
      </c>
      <c r="S8250" s="13">
        <v>0</v>
      </c>
    </row>
    <row r="8251" spans="18:19" x14ac:dyDescent="0.25">
      <c r="R8251" s="13">
        <v>8178</v>
      </c>
      <c r="S8251" s="13">
        <v>278036803.30437469</v>
      </c>
    </row>
    <row r="8252" spans="18:19" x14ac:dyDescent="0.25">
      <c r="R8252" s="13">
        <v>8179</v>
      </c>
      <c r="S8252" s="13">
        <v>0</v>
      </c>
    </row>
    <row r="8253" spans="18:19" x14ac:dyDescent="0.25">
      <c r="R8253" s="13">
        <v>8180</v>
      </c>
      <c r="S8253" s="13">
        <v>0</v>
      </c>
    </row>
    <row r="8254" spans="18:19" x14ac:dyDescent="0.25">
      <c r="R8254" s="13">
        <v>8181</v>
      </c>
      <c r="S8254" s="13">
        <v>0</v>
      </c>
    </row>
    <row r="8255" spans="18:19" x14ac:dyDescent="0.25">
      <c r="R8255" s="13">
        <v>8182</v>
      </c>
      <c r="S8255" s="13">
        <v>0</v>
      </c>
    </row>
    <row r="8256" spans="18:19" x14ac:dyDescent="0.25">
      <c r="R8256" s="13">
        <v>8183</v>
      </c>
      <c r="S8256" s="13">
        <v>0</v>
      </c>
    </row>
    <row r="8257" spans="18:19" x14ac:dyDescent="0.25">
      <c r="R8257" s="13">
        <v>8184</v>
      </c>
      <c r="S8257" s="13">
        <v>0</v>
      </c>
    </row>
    <row r="8258" spans="18:19" x14ac:dyDescent="0.25">
      <c r="R8258" s="13">
        <v>8185</v>
      </c>
      <c r="S8258" s="13">
        <v>0</v>
      </c>
    </row>
    <row r="8259" spans="18:19" x14ac:dyDescent="0.25">
      <c r="R8259" s="13">
        <v>8186</v>
      </c>
      <c r="S8259" s="13">
        <v>136758002.31892395</v>
      </c>
    </row>
    <row r="8260" spans="18:19" x14ac:dyDescent="0.25">
      <c r="R8260" s="13">
        <v>8187</v>
      </c>
      <c r="S8260" s="13">
        <v>0</v>
      </c>
    </row>
    <row r="8261" spans="18:19" x14ac:dyDescent="0.25">
      <c r="R8261" s="13">
        <v>8188</v>
      </c>
      <c r="S8261" s="13">
        <v>0</v>
      </c>
    </row>
    <row r="8262" spans="18:19" x14ac:dyDescent="0.25">
      <c r="R8262" s="13">
        <v>8189</v>
      </c>
      <c r="S8262" s="13">
        <v>101748391.96629906</v>
      </c>
    </row>
    <row r="8263" spans="18:19" x14ac:dyDescent="0.25">
      <c r="R8263" s="13">
        <v>8190</v>
      </c>
      <c r="S8263" s="13">
        <v>898254842.31443214</v>
      </c>
    </row>
    <row r="8264" spans="18:19" x14ac:dyDescent="0.25">
      <c r="R8264" s="13">
        <v>8191</v>
      </c>
      <c r="S8264" s="13">
        <v>0</v>
      </c>
    </row>
    <row r="8265" spans="18:19" x14ac:dyDescent="0.25">
      <c r="R8265" s="13">
        <v>8192</v>
      </c>
      <c r="S8265" s="13">
        <v>153125721.14777565</v>
      </c>
    </row>
    <row r="8266" spans="18:19" x14ac:dyDescent="0.25">
      <c r="R8266" s="13">
        <v>8193</v>
      </c>
      <c r="S8266" s="13">
        <v>0</v>
      </c>
    </row>
    <row r="8267" spans="18:19" x14ac:dyDescent="0.25">
      <c r="R8267" s="13">
        <v>8194</v>
      </c>
      <c r="S8267" s="13">
        <v>0</v>
      </c>
    </row>
    <row r="8268" spans="18:19" x14ac:dyDescent="0.25">
      <c r="R8268" s="13">
        <v>8195</v>
      </c>
      <c r="S8268" s="13">
        <v>0</v>
      </c>
    </row>
    <row r="8269" spans="18:19" x14ac:dyDescent="0.25">
      <c r="R8269" s="13">
        <v>8196</v>
      </c>
      <c r="S8269" s="13">
        <v>215244753.68141365</v>
      </c>
    </row>
    <row r="8270" spans="18:19" x14ac:dyDescent="0.25">
      <c r="R8270" s="13">
        <v>8197</v>
      </c>
      <c r="S8270" s="13">
        <v>0</v>
      </c>
    </row>
    <row r="8271" spans="18:19" x14ac:dyDescent="0.25">
      <c r="R8271" s="13">
        <v>8198</v>
      </c>
      <c r="S8271" s="13">
        <v>0</v>
      </c>
    </row>
    <row r="8272" spans="18:19" x14ac:dyDescent="0.25">
      <c r="R8272" s="13">
        <v>8199</v>
      </c>
      <c r="S8272" s="13">
        <v>0</v>
      </c>
    </row>
    <row r="8273" spans="18:19" x14ac:dyDescent="0.25">
      <c r="R8273" s="13">
        <v>8200</v>
      </c>
      <c r="S8273" s="13">
        <v>0</v>
      </c>
    </row>
    <row r="8274" spans="18:19" x14ac:dyDescent="0.25">
      <c r="R8274" s="13">
        <v>8201</v>
      </c>
      <c r="S8274" s="13">
        <v>0</v>
      </c>
    </row>
    <row r="8275" spans="18:19" x14ac:dyDescent="0.25">
      <c r="R8275" s="13">
        <v>8202</v>
      </c>
      <c r="S8275" s="13">
        <v>0</v>
      </c>
    </row>
    <row r="8276" spans="18:19" x14ac:dyDescent="0.25">
      <c r="R8276" s="13">
        <v>8203</v>
      </c>
      <c r="S8276" s="13">
        <v>0</v>
      </c>
    </row>
    <row r="8277" spans="18:19" x14ac:dyDescent="0.25">
      <c r="R8277" s="13">
        <v>8204</v>
      </c>
      <c r="S8277" s="13">
        <v>113212399.94214249</v>
      </c>
    </row>
    <row r="8278" spans="18:19" x14ac:dyDescent="0.25">
      <c r="R8278" s="13">
        <v>8205</v>
      </c>
      <c r="S8278" s="13">
        <v>0</v>
      </c>
    </row>
    <row r="8279" spans="18:19" x14ac:dyDescent="0.25">
      <c r="R8279" s="13">
        <v>8206</v>
      </c>
      <c r="S8279" s="13">
        <v>210902098.68979073</v>
      </c>
    </row>
    <row r="8280" spans="18:19" x14ac:dyDescent="0.25">
      <c r="R8280" s="13">
        <v>8207</v>
      </c>
      <c r="S8280" s="13">
        <v>0</v>
      </c>
    </row>
    <row r="8281" spans="18:19" x14ac:dyDescent="0.25">
      <c r="R8281" s="13">
        <v>8208</v>
      </c>
      <c r="S8281" s="13">
        <v>296802784.96256828</v>
      </c>
    </row>
    <row r="8282" spans="18:19" x14ac:dyDescent="0.25">
      <c r="R8282" s="13">
        <v>8209</v>
      </c>
      <c r="S8282" s="13">
        <v>0</v>
      </c>
    </row>
    <row r="8283" spans="18:19" x14ac:dyDescent="0.25">
      <c r="R8283" s="13">
        <v>8210</v>
      </c>
      <c r="S8283" s="13">
        <v>0</v>
      </c>
    </row>
    <row r="8284" spans="18:19" x14ac:dyDescent="0.25">
      <c r="R8284" s="13">
        <v>8211</v>
      </c>
      <c r="S8284" s="13">
        <v>0</v>
      </c>
    </row>
    <row r="8285" spans="18:19" x14ac:dyDescent="0.25">
      <c r="R8285" s="13">
        <v>8212</v>
      </c>
      <c r="S8285" s="13">
        <v>0</v>
      </c>
    </row>
    <row r="8286" spans="18:19" x14ac:dyDescent="0.25">
      <c r="R8286" s="13">
        <v>8213</v>
      </c>
      <c r="S8286" s="13">
        <v>119539422.24747467</v>
      </c>
    </row>
    <row r="8287" spans="18:19" x14ac:dyDescent="0.25">
      <c r="R8287" s="13">
        <v>8214</v>
      </c>
      <c r="S8287" s="13">
        <v>0</v>
      </c>
    </row>
    <row r="8288" spans="18:19" x14ac:dyDescent="0.25">
      <c r="R8288" s="13">
        <v>8215</v>
      </c>
      <c r="S8288" s="13">
        <v>130051504.79638481</v>
      </c>
    </row>
    <row r="8289" spans="18:19" x14ac:dyDescent="0.25">
      <c r="R8289" s="13">
        <v>8216</v>
      </c>
      <c r="S8289" s="13">
        <v>0</v>
      </c>
    </row>
    <row r="8290" spans="18:19" x14ac:dyDescent="0.25">
      <c r="R8290" s="13">
        <v>8217</v>
      </c>
      <c r="S8290" s="13">
        <v>0</v>
      </c>
    </row>
    <row r="8291" spans="18:19" x14ac:dyDescent="0.25">
      <c r="R8291" s="13">
        <v>8218</v>
      </c>
      <c r="S8291" s="13">
        <v>0</v>
      </c>
    </row>
    <row r="8292" spans="18:19" x14ac:dyDescent="0.25">
      <c r="R8292" s="13">
        <v>8219</v>
      </c>
      <c r="S8292" s="13">
        <v>0</v>
      </c>
    </row>
    <row r="8293" spans="18:19" x14ac:dyDescent="0.25">
      <c r="R8293" s="13">
        <v>8220</v>
      </c>
      <c r="S8293" s="13">
        <v>0</v>
      </c>
    </row>
    <row r="8294" spans="18:19" x14ac:dyDescent="0.25">
      <c r="R8294" s="13">
        <v>8221</v>
      </c>
      <c r="S8294" s="13">
        <v>0</v>
      </c>
    </row>
    <row r="8295" spans="18:19" x14ac:dyDescent="0.25">
      <c r="R8295" s="13">
        <v>8222</v>
      </c>
      <c r="S8295" s="13">
        <v>0</v>
      </c>
    </row>
    <row r="8296" spans="18:19" x14ac:dyDescent="0.25">
      <c r="R8296" s="13">
        <v>8223</v>
      </c>
      <c r="S8296" s="13">
        <v>0</v>
      </c>
    </row>
    <row r="8297" spans="18:19" x14ac:dyDescent="0.25">
      <c r="R8297" s="13">
        <v>8224</v>
      </c>
      <c r="S8297" s="13">
        <v>633633843.3647213</v>
      </c>
    </row>
    <row r="8298" spans="18:19" x14ac:dyDescent="0.25">
      <c r="R8298" s="13">
        <v>8225</v>
      </c>
      <c r="S8298" s="13">
        <v>0</v>
      </c>
    </row>
    <row r="8299" spans="18:19" x14ac:dyDescent="0.25">
      <c r="R8299" s="13">
        <v>8226</v>
      </c>
      <c r="S8299" s="13">
        <v>0</v>
      </c>
    </row>
    <row r="8300" spans="18:19" x14ac:dyDescent="0.25">
      <c r="R8300" s="13">
        <v>8227</v>
      </c>
      <c r="S8300" s="13">
        <v>0</v>
      </c>
    </row>
    <row r="8301" spans="18:19" x14ac:dyDescent="0.25">
      <c r="R8301" s="13">
        <v>8228</v>
      </c>
      <c r="S8301" s="13">
        <v>1363279299.8787575</v>
      </c>
    </row>
    <row r="8302" spans="18:19" x14ac:dyDescent="0.25">
      <c r="R8302" s="13">
        <v>8229</v>
      </c>
      <c r="S8302" s="13">
        <v>0</v>
      </c>
    </row>
    <row r="8303" spans="18:19" x14ac:dyDescent="0.25">
      <c r="R8303" s="13">
        <v>8230</v>
      </c>
      <c r="S8303" s="13">
        <v>0</v>
      </c>
    </row>
    <row r="8304" spans="18:19" x14ac:dyDescent="0.25">
      <c r="R8304" s="13">
        <v>8231</v>
      </c>
      <c r="S8304" s="13">
        <v>0</v>
      </c>
    </row>
    <row r="8305" spans="18:19" x14ac:dyDescent="0.25">
      <c r="R8305" s="13">
        <v>8232</v>
      </c>
      <c r="S8305" s="13">
        <v>0</v>
      </c>
    </row>
    <row r="8306" spans="18:19" x14ac:dyDescent="0.25">
      <c r="R8306" s="13">
        <v>8233</v>
      </c>
      <c r="S8306" s="13">
        <v>0</v>
      </c>
    </row>
    <row r="8307" spans="18:19" x14ac:dyDescent="0.25">
      <c r="R8307" s="13">
        <v>8234</v>
      </c>
      <c r="S8307" s="13">
        <v>0</v>
      </c>
    </row>
    <row r="8308" spans="18:19" x14ac:dyDescent="0.25">
      <c r="R8308" s="13">
        <v>8235</v>
      </c>
      <c r="S8308" s="13">
        <v>0</v>
      </c>
    </row>
    <row r="8309" spans="18:19" x14ac:dyDescent="0.25">
      <c r="R8309" s="13">
        <v>8236</v>
      </c>
      <c r="S8309" s="13">
        <v>411139345.5741291</v>
      </c>
    </row>
    <row r="8310" spans="18:19" x14ac:dyDescent="0.25">
      <c r="R8310" s="13">
        <v>8237</v>
      </c>
      <c r="S8310" s="13">
        <v>0</v>
      </c>
    </row>
    <row r="8311" spans="18:19" x14ac:dyDescent="0.25">
      <c r="R8311" s="13">
        <v>8238</v>
      </c>
      <c r="S8311" s="13">
        <v>0</v>
      </c>
    </row>
    <row r="8312" spans="18:19" x14ac:dyDescent="0.25">
      <c r="R8312" s="13">
        <v>8239</v>
      </c>
      <c r="S8312" s="13">
        <v>0</v>
      </c>
    </row>
    <row r="8313" spans="18:19" x14ac:dyDescent="0.25">
      <c r="R8313" s="13">
        <v>8240</v>
      </c>
      <c r="S8313" s="13">
        <v>0</v>
      </c>
    </row>
    <row r="8314" spans="18:19" x14ac:dyDescent="0.25">
      <c r="R8314" s="13">
        <v>8241</v>
      </c>
      <c r="S8314" s="13">
        <v>0</v>
      </c>
    </row>
    <row r="8315" spans="18:19" x14ac:dyDescent="0.25">
      <c r="R8315" s="13">
        <v>8242</v>
      </c>
      <c r="S8315" s="13">
        <v>393475445.51726532</v>
      </c>
    </row>
    <row r="8316" spans="18:19" x14ac:dyDescent="0.25">
      <c r="R8316" s="13">
        <v>8243</v>
      </c>
      <c r="S8316" s="13">
        <v>115662633.03554344</v>
      </c>
    </row>
    <row r="8317" spans="18:19" x14ac:dyDescent="0.25">
      <c r="R8317" s="13">
        <v>8244</v>
      </c>
      <c r="S8317" s="13">
        <v>0</v>
      </c>
    </row>
    <row r="8318" spans="18:19" x14ac:dyDescent="0.25">
      <c r="R8318" s="13">
        <v>8245</v>
      </c>
      <c r="S8318" s="13">
        <v>0</v>
      </c>
    </row>
    <row r="8319" spans="18:19" x14ac:dyDescent="0.25">
      <c r="R8319" s="13">
        <v>8246</v>
      </c>
      <c r="S8319" s="13">
        <v>370835299.53380013</v>
      </c>
    </row>
    <row r="8320" spans="18:19" x14ac:dyDescent="0.25">
      <c r="R8320" s="13">
        <v>8247</v>
      </c>
      <c r="S8320" s="13">
        <v>0</v>
      </c>
    </row>
    <row r="8321" spans="18:19" x14ac:dyDescent="0.25">
      <c r="R8321" s="13">
        <v>8248</v>
      </c>
      <c r="S8321" s="13">
        <v>0</v>
      </c>
    </row>
    <row r="8322" spans="18:19" x14ac:dyDescent="0.25">
      <c r="R8322" s="13">
        <v>8249</v>
      </c>
      <c r="S8322" s="13">
        <v>0</v>
      </c>
    </row>
    <row r="8323" spans="18:19" x14ac:dyDescent="0.25">
      <c r="R8323" s="13">
        <v>8250</v>
      </c>
      <c r="S8323" s="13">
        <v>0</v>
      </c>
    </row>
    <row r="8324" spans="18:19" x14ac:dyDescent="0.25">
      <c r="R8324" s="13">
        <v>8251</v>
      </c>
      <c r="S8324" s="13">
        <v>0</v>
      </c>
    </row>
    <row r="8325" spans="18:19" x14ac:dyDescent="0.25">
      <c r="R8325" s="13">
        <v>8252</v>
      </c>
      <c r="S8325" s="13">
        <v>0</v>
      </c>
    </row>
    <row r="8326" spans="18:19" x14ac:dyDescent="0.25">
      <c r="R8326" s="13">
        <v>8253</v>
      </c>
      <c r="S8326" s="13">
        <v>0</v>
      </c>
    </row>
    <row r="8327" spans="18:19" x14ac:dyDescent="0.25">
      <c r="R8327" s="13">
        <v>8254</v>
      </c>
      <c r="S8327" s="13">
        <v>0</v>
      </c>
    </row>
    <row r="8328" spans="18:19" x14ac:dyDescent="0.25">
      <c r="R8328" s="13">
        <v>8255</v>
      </c>
      <c r="S8328" s="13">
        <v>0</v>
      </c>
    </row>
    <row r="8329" spans="18:19" x14ac:dyDescent="0.25">
      <c r="R8329" s="13">
        <v>8256</v>
      </c>
      <c r="S8329" s="13">
        <v>26319021.493442535</v>
      </c>
    </row>
    <row r="8330" spans="18:19" x14ac:dyDescent="0.25">
      <c r="R8330" s="13">
        <v>8257</v>
      </c>
      <c r="S8330" s="13">
        <v>0</v>
      </c>
    </row>
    <row r="8331" spans="18:19" x14ac:dyDescent="0.25">
      <c r="R8331" s="13">
        <v>8258</v>
      </c>
      <c r="S8331" s="13">
        <v>0</v>
      </c>
    </row>
    <row r="8332" spans="18:19" x14ac:dyDescent="0.25">
      <c r="R8332" s="13">
        <v>8259</v>
      </c>
      <c r="S8332" s="13">
        <v>0</v>
      </c>
    </row>
    <row r="8333" spans="18:19" x14ac:dyDescent="0.25">
      <c r="R8333" s="13">
        <v>8260</v>
      </c>
      <c r="S8333" s="13">
        <v>263414050.76772308</v>
      </c>
    </row>
    <row r="8334" spans="18:19" x14ac:dyDescent="0.25">
      <c r="R8334" s="13">
        <v>8261</v>
      </c>
      <c r="S8334" s="13">
        <v>0</v>
      </c>
    </row>
    <row r="8335" spans="18:19" x14ac:dyDescent="0.25">
      <c r="R8335" s="13">
        <v>8262</v>
      </c>
      <c r="S8335" s="13">
        <v>441935893.77415276</v>
      </c>
    </row>
    <row r="8336" spans="18:19" x14ac:dyDescent="0.25">
      <c r="R8336" s="13">
        <v>8263</v>
      </c>
      <c r="S8336" s="13">
        <v>0</v>
      </c>
    </row>
    <row r="8337" spans="18:19" x14ac:dyDescent="0.25">
      <c r="R8337" s="13">
        <v>8264</v>
      </c>
      <c r="S8337" s="13">
        <v>0</v>
      </c>
    </row>
    <row r="8338" spans="18:19" x14ac:dyDescent="0.25">
      <c r="R8338" s="13">
        <v>8265</v>
      </c>
      <c r="S8338" s="13">
        <v>0</v>
      </c>
    </row>
    <row r="8339" spans="18:19" x14ac:dyDescent="0.25">
      <c r="R8339" s="13">
        <v>8266</v>
      </c>
      <c r="S8339" s="13">
        <v>0</v>
      </c>
    </row>
    <row r="8340" spans="18:19" x14ac:dyDescent="0.25">
      <c r="R8340" s="13">
        <v>8267</v>
      </c>
      <c r="S8340" s="13">
        <v>0</v>
      </c>
    </row>
    <row r="8341" spans="18:19" x14ac:dyDescent="0.25">
      <c r="R8341" s="13">
        <v>8268</v>
      </c>
      <c r="S8341" s="13">
        <v>0</v>
      </c>
    </row>
    <row r="8342" spans="18:19" x14ac:dyDescent="0.25">
      <c r="R8342" s="13">
        <v>8269</v>
      </c>
      <c r="S8342" s="13">
        <v>14828025.631385803</v>
      </c>
    </row>
    <row r="8343" spans="18:19" x14ac:dyDescent="0.25">
      <c r="R8343" s="13">
        <v>8270</v>
      </c>
      <c r="S8343" s="13">
        <v>0</v>
      </c>
    </row>
    <row r="8344" spans="18:19" x14ac:dyDescent="0.25">
      <c r="R8344" s="13">
        <v>8271</v>
      </c>
      <c r="S8344" s="13">
        <v>0</v>
      </c>
    </row>
    <row r="8345" spans="18:19" x14ac:dyDescent="0.25">
      <c r="R8345" s="13">
        <v>8272</v>
      </c>
      <c r="S8345" s="13">
        <v>0</v>
      </c>
    </row>
    <row r="8346" spans="18:19" x14ac:dyDescent="0.25">
      <c r="R8346" s="13">
        <v>8273</v>
      </c>
      <c r="S8346" s="13">
        <v>0</v>
      </c>
    </row>
    <row r="8347" spans="18:19" x14ac:dyDescent="0.25">
      <c r="R8347" s="13">
        <v>8274</v>
      </c>
      <c r="S8347" s="13">
        <v>0</v>
      </c>
    </row>
    <row r="8348" spans="18:19" x14ac:dyDescent="0.25">
      <c r="R8348" s="13">
        <v>8275</v>
      </c>
      <c r="S8348" s="13">
        <v>0</v>
      </c>
    </row>
    <row r="8349" spans="18:19" x14ac:dyDescent="0.25">
      <c r="R8349" s="13">
        <v>8276</v>
      </c>
      <c r="S8349" s="13">
        <v>0</v>
      </c>
    </row>
    <row r="8350" spans="18:19" x14ac:dyDescent="0.25">
      <c r="R8350" s="13">
        <v>8277</v>
      </c>
      <c r="S8350" s="13">
        <v>0</v>
      </c>
    </row>
    <row r="8351" spans="18:19" x14ac:dyDescent="0.25">
      <c r="R8351" s="13">
        <v>8278</v>
      </c>
      <c r="S8351" s="13">
        <v>0</v>
      </c>
    </row>
    <row r="8352" spans="18:19" x14ac:dyDescent="0.25">
      <c r="R8352" s="13">
        <v>8279</v>
      </c>
      <c r="S8352" s="13">
        <v>0</v>
      </c>
    </row>
    <row r="8353" spans="18:19" x14ac:dyDescent="0.25">
      <c r="R8353" s="13">
        <v>8280</v>
      </c>
      <c r="S8353" s="13">
        <v>0</v>
      </c>
    </row>
    <row r="8354" spans="18:19" x14ac:dyDescent="0.25">
      <c r="R8354" s="13">
        <v>8281</v>
      </c>
      <c r="S8354" s="13">
        <v>0</v>
      </c>
    </row>
    <row r="8355" spans="18:19" x14ac:dyDescent="0.25">
      <c r="R8355" s="13">
        <v>8282</v>
      </c>
      <c r="S8355" s="13">
        <v>0</v>
      </c>
    </row>
    <row r="8356" spans="18:19" x14ac:dyDescent="0.25">
      <c r="R8356" s="13">
        <v>8283</v>
      </c>
      <c r="S8356" s="13">
        <v>0</v>
      </c>
    </row>
    <row r="8357" spans="18:19" x14ac:dyDescent="0.25">
      <c r="R8357" s="13">
        <v>8284</v>
      </c>
      <c r="S8357" s="13">
        <v>0</v>
      </c>
    </row>
    <row r="8358" spans="18:19" x14ac:dyDescent="0.25">
      <c r="R8358" s="13">
        <v>8285</v>
      </c>
      <c r="S8358" s="13">
        <v>0</v>
      </c>
    </row>
    <row r="8359" spans="18:19" x14ac:dyDescent="0.25">
      <c r="R8359" s="13">
        <v>8286</v>
      </c>
      <c r="S8359" s="13">
        <v>0</v>
      </c>
    </row>
    <row r="8360" spans="18:19" x14ac:dyDescent="0.25">
      <c r="R8360" s="13">
        <v>8287</v>
      </c>
      <c r="S8360" s="13">
        <v>0</v>
      </c>
    </row>
    <row r="8361" spans="18:19" x14ac:dyDescent="0.25">
      <c r="R8361" s="13">
        <v>8288</v>
      </c>
      <c r="S8361" s="13">
        <v>0</v>
      </c>
    </row>
    <row r="8362" spans="18:19" x14ac:dyDescent="0.25">
      <c r="R8362" s="13">
        <v>8289</v>
      </c>
      <c r="S8362" s="13">
        <v>863583547.75193024</v>
      </c>
    </row>
    <row r="8363" spans="18:19" x14ac:dyDescent="0.25">
      <c r="R8363" s="13">
        <v>8290</v>
      </c>
      <c r="S8363" s="13">
        <v>0</v>
      </c>
    </row>
    <row r="8364" spans="18:19" x14ac:dyDescent="0.25">
      <c r="R8364" s="13">
        <v>8291</v>
      </c>
      <c r="S8364" s="13">
        <v>687835129.56217384</v>
      </c>
    </row>
    <row r="8365" spans="18:19" x14ac:dyDescent="0.25">
      <c r="R8365" s="13">
        <v>8292</v>
      </c>
      <c r="S8365" s="13">
        <v>0</v>
      </c>
    </row>
    <row r="8366" spans="18:19" x14ac:dyDescent="0.25">
      <c r="R8366" s="13">
        <v>8293</v>
      </c>
      <c r="S8366" s="13">
        <v>323952189.8942337</v>
      </c>
    </row>
    <row r="8367" spans="18:19" x14ac:dyDescent="0.25">
      <c r="R8367" s="13">
        <v>8294</v>
      </c>
      <c r="S8367" s="13">
        <v>0</v>
      </c>
    </row>
    <row r="8368" spans="18:19" x14ac:dyDescent="0.25">
      <c r="R8368" s="13">
        <v>8295</v>
      </c>
      <c r="S8368" s="13">
        <v>0</v>
      </c>
    </row>
    <row r="8369" spans="18:19" x14ac:dyDescent="0.25">
      <c r="R8369" s="13">
        <v>8296</v>
      </c>
      <c r="S8369" s="13">
        <v>0</v>
      </c>
    </row>
    <row r="8370" spans="18:19" x14ac:dyDescent="0.25">
      <c r="R8370" s="13">
        <v>8297</v>
      </c>
      <c r="S8370" s="13">
        <v>0</v>
      </c>
    </row>
    <row r="8371" spans="18:19" x14ac:dyDescent="0.25">
      <c r="R8371" s="13">
        <v>8298</v>
      </c>
      <c r="S8371" s="13">
        <v>0</v>
      </c>
    </row>
    <row r="8372" spans="18:19" x14ac:dyDescent="0.25">
      <c r="R8372" s="13">
        <v>8299</v>
      </c>
      <c r="S8372" s="13">
        <v>1251294232.3895817</v>
      </c>
    </row>
    <row r="8373" spans="18:19" x14ac:dyDescent="0.25">
      <c r="R8373" s="13">
        <v>8300</v>
      </c>
      <c r="S8373" s="13">
        <v>0</v>
      </c>
    </row>
    <row r="8374" spans="18:19" x14ac:dyDescent="0.25">
      <c r="R8374" s="13">
        <v>8301</v>
      </c>
      <c r="S8374" s="13">
        <v>0</v>
      </c>
    </row>
    <row r="8375" spans="18:19" x14ac:dyDescent="0.25">
      <c r="R8375" s="13">
        <v>8302</v>
      </c>
      <c r="S8375" s="13">
        <v>0</v>
      </c>
    </row>
    <row r="8376" spans="18:19" x14ac:dyDescent="0.25">
      <c r="R8376" s="13">
        <v>8303</v>
      </c>
      <c r="S8376" s="13">
        <v>0</v>
      </c>
    </row>
    <row r="8377" spans="18:19" x14ac:dyDescent="0.25">
      <c r="R8377" s="13">
        <v>8304</v>
      </c>
      <c r="S8377" s="13">
        <v>0</v>
      </c>
    </row>
    <row r="8378" spans="18:19" x14ac:dyDescent="0.25">
      <c r="R8378" s="13">
        <v>8305</v>
      </c>
      <c r="S8378" s="13">
        <v>0</v>
      </c>
    </row>
    <row r="8379" spans="18:19" x14ac:dyDescent="0.25">
      <c r="R8379" s="13">
        <v>8306</v>
      </c>
      <c r="S8379" s="13">
        <v>0</v>
      </c>
    </row>
    <row r="8380" spans="18:19" x14ac:dyDescent="0.25">
      <c r="R8380" s="13">
        <v>8307</v>
      </c>
      <c r="S8380" s="13">
        <v>733024780.23966217</v>
      </c>
    </row>
    <row r="8381" spans="18:19" x14ac:dyDescent="0.25">
      <c r="R8381" s="13">
        <v>8308</v>
      </c>
      <c r="S8381" s="13">
        <v>0</v>
      </c>
    </row>
    <row r="8382" spans="18:19" x14ac:dyDescent="0.25">
      <c r="R8382" s="13">
        <v>8309</v>
      </c>
      <c r="S8382" s="13">
        <v>0</v>
      </c>
    </row>
    <row r="8383" spans="18:19" x14ac:dyDescent="0.25">
      <c r="R8383" s="13">
        <v>8310</v>
      </c>
      <c r="S8383" s="13">
        <v>0</v>
      </c>
    </row>
    <row r="8384" spans="18:19" x14ac:dyDescent="0.25">
      <c r="R8384" s="13">
        <v>8311</v>
      </c>
      <c r="S8384" s="13">
        <v>0</v>
      </c>
    </row>
    <row r="8385" spans="18:19" x14ac:dyDescent="0.25">
      <c r="R8385" s="13">
        <v>8312</v>
      </c>
      <c r="S8385" s="13">
        <v>0</v>
      </c>
    </row>
    <row r="8386" spans="18:19" x14ac:dyDescent="0.25">
      <c r="R8386" s="13">
        <v>8313</v>
      </c>
      <c r="S8386" s="13">
        <v>0</v>
      </c>
    </row>
    <row r="8387" spans="18:19" x14ac:dyDescent="0.25">
      <c r="R8387" s="13">
        <v>8314</v>
      </c>
      <c r="S8387" s="13">
        <v>100714212.87655258</v>
      </c>
    </row>
    <row r="8388" spans="18:19" x14ac:dyDescent="0.25">
      <c r="R8388" s="13">
        <v>8315</v>
      </c>
      <c r="S8388" s="13">
        <v>35815875.771635056</v>
      </c>
    </row>
    <row r="8389" spans="18:19" x14ac:dyDescent="0.25">
      <c r="R8389" s="13">
        <v>8316</v>
      </c>
      <c r="S8389" s="13">
        <v>0</v>
      </c>
    </row>
    <row r="8390" spans="18:19" x14ac:dyDescent="0.25">
      <c r="R8390" s="13">
        <v>8317</v>
      </c>
      <c r="S8390" s="13">
        <v>0</v>
      </c>
    </row>
    <row r="8391" spans="18:19" x14ac:dyDescent="0.25">
      <c r="R8391" s="13">
        <v>8318</v>
      </c>
      <c r="S8391" s="13">
        <v>0</v>
      </c>
    </row>
    <row r="8392" spans="18:19" x14ac:dyDescent="0.25">
      <c r="R8392" s="13">
        <v>8319</v>
      </c>
      <c r="S8392" s="13">
        <v>0</v>
      </c>
    </row>
    <row r="8393" spans="18:19" x14ac:dyDescent="0.25">
      <c r="R8393" s="13">
        <v>8320</v>
      </c>
      <c r="S8393" s="13">
        <v>0</v>
      </c>
    </row>
    <row r="8394" spans="18:19" x14ac:dyDescent="0.25">
      <c r="R8394" s="13">
        <v>8321</v>
      </c>
      <c r="S8394" s="13">
        <v>0</v>
      </c>
    </row>
    <row r="8395" spans="18:19" x14ac:dyDescent="0.25">
      <c r="R8395" s="13">
        <v>8322</v>
      </c>
      <c r="S8395" s="13">
        <v>0</v>
      </c>
    </row>
    <row r="8396" spans="18:19" x14ac:dyDescent="0.25">
      <c r="R8396" s="13">
        <v>8323</v>
      </c>
      <c r="S8396" s="13">
        <v>0</v>
      </c>
    </row>
    <row r="8397" spans="18:19" x14ac:dyDescent="0.25">
      <c r="R8397" s="13">
        <v>8324</v>
      </c>
      <c r="S8397" s="13">
        <v>0</v>
      </c>
    </row>
    <row r="8398" spans="18:19" x14ac:dyDescent="0.25">
      <c r="R8398" s="13">
        <v>8325</v>
      </c>
      <c r="S8398" s="13">
        <v>0</v>
      </c>
    </row>
    <row r="8399" spans="18:19" x14ac:dyDescent="0.25">
      <c r="R8399" s="13">
        <v>8326</v>
      </c>
      <c r="S8399" s="13">
        <v>0</v>
      </c>
    </row>
    <row r="8400" spans="18:19" x14ac:dyDescent="0.25">
      <c r="R8400" s="13">
        <v>8327</v>
      </c>
      <c r="S8400" s="13">
        <v>0</v>
      </c>
    </row>
    <row r="8401" spans="18:19" x14ac:dyDescent="0.25">
      <c r="R8401" s="13">
        <v>8328</v>
      </c>
      <c r="S8401" s="13">
        <v>0</v>
      </c>
    </row>
    <row r="8402" spans="18:19" x14ac:dyDescent="0.25">
      <c r="R8402" s="13">
        <v>8329</v>
      </c>
      <c r="S8402" s="13">
        <v>0</v>
      </c>
    </row>
    <row r="8403" spans="18:19" x14ac:dyDescent="0.25">
      <c r="R8403" s="13">
        <v>8330</v>
      </c>
      <c r="S8403" s="13">
        <v>0</v>
      </c>
    </row>
    <row r="8404" spans="18:19" x14ac:dyDescent="0.25">
      <c r="R8404" s="13">
        <v>8331</v>
      </c>
      <c r="S8404" s="13">
        <v>0</v>
      </c>
    </row>
    <row r="8405" spans="18:19" x14ac:dyDescent="0.25">
      <c r="R8405" s="13">
        <v>8332</v>
      </c>
      <c r="S8405" s="13">
        <v>0</v>
      </c>
    </row>
    <row r="8406" spans="18:19" x14ac:dyDescent="0.25">
      <c r="R8406" s="13">
        <v>8333</v>
      </c>
      <c r="S8406" s="13">
        <v>0</v>
      </c>
    </row>
    <row r="8407" spans="18:19" x14ac:dyDescent="0.25">
      <c r="R8407" s="13">
        <v>8334</v>
      </c>
      <c r="S8407" s="13">
        <v>0</v>
      </c>
    </row>
    <row r="8408" spans="18:19" x14ac:dyDescent="0.25">
      <c r="R8408" s="13">
        <v>8335</v>
      </c>
      <c r="S8408" s="13">
        <v>0</v>
      </c>
    </row>
    <row r="8409" spans="18:19" x14ac:dyDescent="0.25">
      <c r="R8409" s="13">
        <v>8336</v>
      </c>
      <c r="S8409" s="13">
        <v>209749146.18113899</v>
      </c>
    </row>
    <row r="8410" spans="18:19" x14ac:dyDescent="0.25">
      <c r="R8410" s="13">
        <v>8337</v>
      </c>
      <c r="S8410" s="13">
        <v>656747416.31874657</v>
      </c>
    </row>
    <row r="8411" spans="18:19" x14ac:dyDescent="0.25">
      <c r="R8411" s="13">
        <v>8338</v>
      </c>
      <c r="S8411" s="13">
        <v>509428330.56602097</v>
      </c>
    </row>
    <row r="8412" spans="18:19" x14ac:dyDescent="0.25">
      <c r="R8412" s="13">
        <v>8339</v>
      </c>
      <c r="S8412" s="13">
        <v>0</v>
      </c>
    </row>
    <row r="8413" spans="18:19" x14ac:dyDescent="0.25">
      <c r="R8413" s="13">
        <v>8340</v>
      </c>
      <c r="S8413" s="13">
        <v>573629839.79395103</v>
      </c>
    </row>
    <row r="8414" spans="18:19" x14ac:dyDescent="0.25">
      <c r="R8414" s="13">
        <v>8341</v>
      </c>
      <c r="S8414" s="13">
        <v>0</v>
      </c>
    </row>
    <row r="8415" spans="18:19" x14ac:dyDescent="0.25">
      <c r="R8415" s="13">
        <v>8342</v>
      </c>
      <c r="S8415" s="13">
        <v>0</v>
      </c>
    </row>
    <row r="8416" spans="18:19" x14ac:dyDescent="0.25">
      <c r="R8416" s="13">
        <v>8343</v>
      </c>
      <c r="S8416" s="13">
        <v>16891955.178812027</v>
      </c>
    </row>
    <row r="8417" spans="18:19" x14ac:dyDescent="0.25">
      <c r="R8417" s="13">
        <v>8344</v>
      </c>
      <c r="S8417" s="13">
        <v>0</v>
      </c>
    </row>
    <row r="8418" spans="18:19" x14ac:dyDescent="0.25">
      <c r="R8418" s="13">
        <v>8345</v>
      </c>
      <c r="S8418" s="13">
        <v>0</v>
      </c>
    </row>
    <row r="8419" spans="18:19" x14ac:dyDescent="0.25">
      <c r="R8419" s="13">
        <v>8346</v>
      </c>
      <c r="S8419" s="13">
        <v>0</v>
      </c>
    </row>
    <row r="8420" spans="18:19" x14ac:dyDescent="0.25">
      <c r="R8420" s="13">
        <v>8347</v>
      </c>
      <c r="S8420" s="13">
        <v>0</v>
      </c>
    </row>
    <row r="8421" spans="18:19" x14ac:dyDescent="0.25">
      <c r="R8421" s="13">
        <v>8348</v>
      </c>
      <c r="S8421" s="13">
        <v>30639756.550958633</v>
      </c>
    </row>
    <row r="8422" spans="18:19" x14ac:dyDescent="0.25">
      <c r="R8422" s="13">
        <v>8349</v>
      </c>
      <c r="S8422" s="13">
        <v>0</v>
      </c>
    </row>
    <row r="8423" spans="18:19" x14ac:dyDescent="0.25">
      <c r="R8423" s="13">
        <v>8350</v>
      </c>
      <c r="S8423" s="13">
        <v>0</v>
      </c>
    </row>
    <row r="8424" spans="18:19" x14ac:dyDescent="0.25">
      <c r="R8424" s="13">
        <v>8351</v>
      </c>
      <c r="S8424" s="13">
        <v>0</v>
      </c>
    </row>
    <row r="8425" spans="18:19" x14ac:dyDescent="0.25">
      <c r="R8425" s="13">
        <v>8352</v>
      </c>
      <c r="S8425" s="13">
        <v>0</v>
      </c>
    </row>
    <row r="8426" spans="18:19" x14ac:dyDescent="0.25">
      <c r="R8426" s="13">
        <v>8353</v>
      </c>
      <c r="S8426" s="13">
        <v>0</v>
      </c>
    </row>
    <row r="8427" spans="18:19" x14ac:dyDescent="0.25">
      <c r="R8427" s="13">
        <v>8354</v>
      </c>
      <c r="S8427" s="13">
        <v>0</v>
      </c>
    </row>
    <row r="8428" spans="18:19" x14ac:dyDescent="0.25">
      <c r="R8428" s="13">
        <v>8355</v>
      </c>
      <c r="S8428" s="13">
        <v>0</v>
      </c>
    </row>
    <row r="8429" spans="18:19" x14ac:dyDescent="0.25">
      <c r="R8429" s="13">
        <v>8356</v>
      </c>
      <c r="S8429" s="13">
        <v>0</v>
      </c>
    </row>
    <row r="8430" spans="18:19" x14ac:dyDescent="0.25">
      <c r="R8430" s="13">
        <v>8357</v>
      </c>
      <c r="S8430" s="13">
        <v>0</v>
      </c>
    </row>
    <row r="8431" spans="18:19" x14ac:dyDescent="0.25">
      <c r="R8431" s="13">
        <v>8358</v>
      </c>
      <c r="S8431" s="13">
        <v>0</v>
      </c>
    </row>
    <row r="8432" spans="18:19" x14ac:dyDescent="0.25">
      <c r="R8432" s="13">
        <v>8359</v>
      </c>
      <c r="S8432" s="13">
        <v>0</v>
      </c>
    </row>
    <row r="8433" spans="18:19" x14ac:dyDescent="0.25">
      <c r="R8433" s="13">
        <v>8360</v>
      </c>
      <c r="S8433" s="13">
        <v>0</v>
      </c>
    </row>
    <row r="8434" spans="18:19" x14ac:dyDescent="0.25">
      <c r="R8434" s="13">
        <v>8361</v>
      </c>
      <c r="S8434" s="13">
        <v>289915354.21671677</v>
      </c>
    </row>
    <row r="8435" spans="18:19" x14ac:dyDescent="0.25">
      <c r="R8435" s="13">
        <v>8362</v>
      </c>
      <c r="S8435" s="13">
        <v>0</v>
      </c>
    </row>
    <row r="8436" spans="18:19" x14ac:dyDescent="0.25">
      <c r="R8436" s="13">
        <v>8363</v>
      </c>
      <c r="S8436" s="13">
        <v>0</v>
      </c>
    </row>
    <row r="8437" spans="18:19" x14ac:dyDescent="0.25">
      <c r="R8437" s="13">
        <v>8364</v>
      </c>
      <c r="S8437" s="13">
        <v>0</v>
      </c>
    </row>
    <row r="8438" spans="18:19" x14ac:dyDescent="0.25">
      <c r="R8438" s="13">
        <v>8365</v>
      </c>
      <c r="S8438" s="13">
        <v>0</v>
      </c>
    </row>
    <row r="8439" spans="18:19" x14ac:dyDescent="0.25">
      <c r="R8439" s="13">
        <v>8366</v>
      </c>
      <c r="S8439" s="13">
        <v>0</v>
      </c>
    </row>
    <row r="8440" spans="18:19" x14ac:dyDescent="0.25">
      <c r="R8440" s="13">
        <v>8367</v>
      </c>
      <c r="S8440" s="13">
        <v>0</v>
      </c>
    </row>
    <row r="8441" spans="18:19" x14ac:dyDescent="0.25">
      <c r="R8441" s="13">
        <v>8368</v>
      </c>
      <c r="S8441" s="13">
        <v>1091904876.1250229</v>
      </c>
    </row>
    <row r="8442" spans="18:19" x14ac:dyDescent="0.25">
      <c r="R8442" s="13">
        <v>8369</v>
      </c>
      <c r="S8442" s="13">
        <v>276386407.50409126</v>
      </c>
    </row>
    <row r="8443" spans="18:19" x14ac:dyDescent="0.25">
      <c r="R8443" s="13">
        <v>8370</v>
      </c>
      <c r="S8443" s="13">
        <v>324242747.04134178</v>
      </c>
    </row>
    <row r="8444" spans="18:19" x14ac:dyDescent="0.25">
      <c r="R8444" s="13">
        <v>8371</v>
      </c>
      <c r="S8444" s="13">
        <v>0</v>
      </c>
    </row>
    <row r="8445" spans="18:19" x14ac:dyDescent="0.25">
      <c r="R8445" s="13">
        <v>8372</v>
      </c>
      <c r="S8445" s="13">
        <v>0</v>
      </c>
    </row>
    <row r="8446" spans="18:19" x14ac:dyDescent="0.25">
      <c r="R8446" s="13">
        <v>8373</v>
      </c>
      <c r="S8446" s="13">
        <v>0</v>
      </c>
    </row>
    <row r="8447" spans="18:19" x14ac:dyDescent="0.25">
      <c r="R8447" s="13">
        <v>8374</v>
      </c>
      <c r="S8447" s="13">
        <v>0</v>
      </c>
    </row>
    <row r="8448" spans="18:19" x14ac:dyDescent="0.25">
      <c r="R8448" s="13">
        <v>8375</v>
      </c>
      <c r="S8448" s="13">
        <v>0</v>
      </c>
    </row>
    <row r="8449" spans="18:19" x14ac:dyDescent="0.25">
      <c r="R8449" s="13">
        <v>8376</v>
      </c>
      <c r="S8449" s="13">
        <v>0</v>
      </c>
    </row>
    <row r="8450" spans="18:19" x14ac:dyDescent="0.25">
      <c r="R8450" s="13">
        <v>8377</v>
      </c>
      <c r="S8450" s="13">
        <v>0</v>
      </c>
    </row>
    <row r="8451" spans="18:19" x14ac:dyDescent="0.25">
      <c r="R8451" s="13">
        <v>8378</v>
      </c>
      <c r="S8451" s="13">
        <v>0</v>
      </c>
    </row>
    <row r="8452" spans="18:19" x14ac:dyDescent="0.25">
      <c r="R8452" s="13">
        <v>8379</v>
      </c>
      <c r="S8452" s="13">
        <v>0</v>
      </c>
    </row>
    <row r="8453" spans="18:19" x14ac:dyDescent="0.25">
      <c r="R8453" s="13">
        <v>8380</v>
      </c>
      <c r="S8453" s="13">
        <v>0</v>
      </c>
    </row>
    <row r="8454" spans="18:19" x14ac:dyDescent="0.25">
      <c r="R8454" s="13">
        <v>8381</v>
      </c>
      <c r="S8454" s="13">
        <v>0</v>
      </c>
    </row>
    <row r="8455" spans="18:19" x14ac:dyDescent="0.25">
      <c r="R8455" s="13">
        <v>8382</v>
      </c>
      <c r="S8455" s="13">
        <v>0</v>
      </c>
    </row>
    <row r="8456" spans="18:19" x14ac:dyDescent="0.25">
      <c r="R8456" s="13">
        <v>8383</v>
      </c>
      <c r="S8456" s="13">
        <v>0</v>
      </c>
    </row>
    <row r="8457" spans="18:19" x14ac:dyDescent="0.25">
      <c r="R8457" s="13">
        <v>8384</v>
      </c>
      <c r="S8457" s="13">
        <v>0</v>
      </c>
    </row>
    <row r="8458" spans="18:19" x14ac:dyDescent="0.25">
      <c r="R8458" s="13">
        <v>8385</v>
      </c>
      <c r="S8458" s="13">
        <v>16735744.077192307</v>
      </c>
    </row>
    <row r="8459" spans="18:19" x14ac:dyDescent="0.25">
      <c r="R8459" s="13">
        <v>8386</v>
      </c>
      <c r="S8459" s="13">
        <v>0</v>
      </c>
    </row>
    <row r="8460" spans="18:19" x14ac:dyDescent="0.25">
      <c r="R8460" s="13">
        <v>8387</v>
      </c>
      <c r="S8460" s="13">
        <v>0</v>
      </c>
    </row>
    <row r="8461" spans="18:19" x14ac:dyDescent="0.25">
      <c r="R8461" s="13">
        <v>8388</v>
      </c>
      <c r="S8461" s="13">
        <v>0</v>
      </c>
    </row>
    <row r="8462" spans="18:19" x14ac:dyDescent="0.25">
      <c r="R8462" s="13">
        <v>8389</v>
      </c>
      <c r="S8462" s="13">
        <v>0</v>
      </c>
    </row>
    <row r="8463" spans="18:19" x14ac:dyDescent="0.25">
      <c r="R8463" s="13">
        <v>8390</v>
      </c>
      <c r="S8463" s="13">
        <v>0</v>
      </c>
    </row>
    <row r="8464" spans="18:19" x14ac:dyDescent="0.25">
      <c r="R8464" s="13">
        <v>8391</v>
      </c>
      <c r="S8464" s="13">
        <v>0</v>
      </c>
    </row>
    <row r="8465" spans="18:19" x14ac:dyDescent="0.25">
      <c r="R8465" s="13">
        <v>8392</v>
      </c>
      <c r="S8465" s="13">
        <v>0</v>
      </c>
    </row>
    <row r="8466" spans="18:19" x14ac:dyDescent="0.25">
      <c r="R8466" s="13">
        <v>8393</v>
      </c>
      <c r="S8466" s="13">
        <v>0</v>
      </c>
    </row>
    <row r="8467" spans="18:19" x14ac:dyDescent="0.25">
      <c r="R8467" s="13">
        <v>8394</v>
      </c>
      <c r="S8467" s="13">
        <v>0</v>
      </c>
    </row>
    <row r="8468" spans="18:19" x14ac:dyDescent="0.25">
      <c r="R8468" s="13">
        <v>8395</v>
      </c>
      <c r="S8468" s="13">
        <v>1051832861.1753979</v>
      </c>
    </row>
    <row r="8469" spans="18:19" x14ac:dyDescent="0.25">
      <c r="R8469" s="13">
        <v>8396</v>
      </c>
      <c r="S8469" s="13">
        <v>0</v>
      </c>
    </row>
    <row r="8470" spans="18:19" x14ac:dyDescent="0.25">
      <c r="R8470" s="13">
        <v>8397</v>
      </c>
      <c r="S8470" s="13">
        <v>0</v>
      </c>
    </row>
    <row r="8471" spans="18:19" x14ac:dyDescent="0.25">
      <c r="R8471" s="13">
        <v>8398</v>
      </c>
      <c r="S8471" s="13">
        <v>0</v>
      </c>
    </row>
    <row r="8472" spans="18:19" x14ac:dyDescent="0.25">
      <c r="R8472" s="13">
        <v>8399</v>
      </c>
      <c r="S8472" s="13">
        <v>0</v>
      </c>
    </row>
    <row r="8473" spans="18:19" x14ac:dyDescent="0.25">
      <c r="R8473" s="13">
        <v>8400</v>
      </c>
      <c r="S8473" s="13">
        <v>0</v>
      </c>
    </row>
    <row r="8474" spans="18:19" x14ac:dyDescent="0.25">
      <c r="R8474" s="13">
        <v>8401</v>
      </c>
      <c r="S8474" s="13">
        <v>120964565.3300705</v>
      </c>
    </row>
    <row r="8475" spans="18:19" x14ac:dyDescent="0.25">
      <c r="R8475" s="13">
        <v>8402</v>
      </c>
      <c r="S8475" s="13">
        <v>0</v>
      </c>
    </row>
    <row r="8476" spans="18:19" x14ac:dyDescent="0.25">
      <c r="R8476" s="13">
        <v>8403</v>
      </c>
      <c r="S8476" s="13">
        <v>0</v>
      </c>
    </row>
    <row r="8477" spans="18:19" x14ac:dyDescent="0.25">
      <c r="R8477" s="13">
        <v>8404</v>
      </c>
      <c r="S8477" s="13">
        <v>0</v>
      </c>
    </row>
    <row r="8478" spans="18:19" x14ac:dyDescent="0.25">
      <c r="R8478" s="13">
        <v>8405</v>
      </c>
      <c r="S8478" s="13">
        <v>0</v>
      </c>
    </row>
    <row r="8479" spans="18:19" x14ac:dyDescent="0.25">
      <c r="R8479" s="13">
        <v>8406</v>
      </c>
      <c r="S8479" s="13">
        <v>0</v>
      </c>
    </row>
    <row r="8480" spans="18:19" x14ac:dyDescent="0.25">
      <c r="R8480" s="13">
        <v>8407</v>
      </c>
      <c r="S8480" s="13">
        <v>0</v>
      </c>
    </row>
    <row r="8481" spans="18:19" x14ac:dyDescent="0.25">
      <c r="R8481" s="13">
        <v>8408</v>
      </c>
      <c r="S8481" s="13">
        <v>0</v>
      </c>
    </row>
    <row r="8482" spans="18:19" x14ac:dyDescent="0.25">
      <c r="R8482" s="13">
        <v>8409</v>
      </c>
      <c r="S8482" s="13">
        <v>0</v>
      </c>
    </row>
    <row r="8483" spans="18:19" x14ac:dyDescent="0.25">
      <c r="R8483" s="13">
        <v>8410</v>
      </c>
      <c r="S8483" s="13">
        <v>0</v>
      </c>
    </row>
    <row r="8484" spans="18:19" x14ac:dyDescent="0.25">
      <c r="R8484" s="13">
        <v>8411</v>
      </c>
      <c r="S8484" s="13">
        <v>0</v>
      </c>
    </row>
    <row r="8485" spans="18:19" x14ac:dyDescent="0.25">
      <c r="R8485" s="13">
        <v>8412</v>
      </c>
      <c r="S8485" s="13">
        <v>0</v>
      </c>
    </row>
    <row r="8486" spans="18:19" x14ac:dyDescent="0.25">
      <c r="R8486" s="13">
        <v>8413</v>
      </c>
      <c r="S8486" s="13">
        <v>0</v>
      </c>
    </row>
    <row r="8487" spans="18:19" x14ac:dyDescent="0.25">
      <c r="R8487" s="13">
        <v>8414</v>
      </c>
      <c r="S8487" s="13">
        <v>0</v>
      </c>
    </row>
    <row r="8488" spans="18:19" x14ac:dyDescent="0.25">
      <c r="R8488" s="13">
        <v>8415</v>
      </c>
      <c r="S8488" s="13">
        <v>0</v>
      </c>
    </row>
    <row r="8489" spans="18:19" x14ac:dyDescent="0.25">
      <c r="R8489" s="13">
        <v>8416</v>
      </c>
      <c r="S8489" s="13">
        <v>374917280.97530174</v>
      </c>
    </row>
    <row r="8490" spans="18:19" x14ac:dyDescent="0.25">
      <c r="R8490" s="13">
        <v>8417</v>
      </c>
      <c r="S8490" s="13">
        <v>0</v>
      </c>
    </row>
    <row r="8491" spans="18:19" x14ac:dyDescent="0.25">
      <c r="R8491" s="13">
        <v>8418</v>
      </c>
      <c r="S8491" s="13">
        <v>122685027.42762947</v>
      </c>
    </row>
    <row r="8492" spans="18:19" x14ac:dyDescent="0.25">
      <c r="R8492" s="13">
        <v>8419</v>
      </c>
      <c r="S8492" s="13">
        <v>0</v>
      </c>
    </row>
    <row r="8493" spans="18:19" x14ac:dyDescent="0.25">
      <c r="R8493" s="13">
        <v>8420</v>
      </c>
      <c r="S8493" s="13">
        <v>0</v>
      </c>
    </row>
    <row r="8494" spans="18:19" x14ac:dyDescent="0.25">
      <c r="R8494" s="13">
        <v>8421</v>
      </c>
      <c r="S8494" s="13">
        <v>0</v>
      </c>
    </row>
    <row r="8495" spans="18:19" x14ac:dyDescent="0.25">
      <c r="R8495" s="13">
        <v>8422</v>
      </c>
      <c r="S8495" s="13">
        <v>0</v>
      </c>
    </row>
    <row r="8496" spans="18:19" x14ac:dyDescent="0.25">
      <c r="R8496" s="13">
        <v>8423</v>
      </c>
      <c r="S8496" s="13">
        <v>0</v>
      </c>
    </row>
    <row r="8497" spans="18:19" x14ac:dyDescent="0.25">
      <c r="R8497" s="13">
        <v>8424</v>
      </c>
      <c r="S8497" s="13">
        <v>0</v>
      </c>
    </row>
    <row r="8498" spans="18:19" x14ac:dyDescent="0.25">
      <c r="R8498" s="13">
        <v>8425</v>
      </c>
      <c r="S8498" s="13">
        <v>214763005.01634407</v>
      </c>
    </row>
    <row r="8499" spans="18:19" x14ac:dyDescent="0.25">
      <c r="R8499" s="13">
        <v>8426</v>
      </c>
      <c r="S8499" s="13">
        <v>0</v>
      </c>
    </row>
    <row r="8500" spans="18:19" x14ac:dyDescent="0.25">
      <c r="R8500" s="13">
        <v>8427</v>
      </c>
      <c r="S8500" s="13">
        <v>0</v>
      </c>
    </row>
    <row r="8501" spans="18:19" x14ac:dyDescent="0.25">
      <c r="R8501" s="13">
        <v>8428</v>
      </c>
      <c r="S8501" s="13">
        <v>0</v>
      </c>
    </row>
    <row r="8502" spans="18:19" x14ac:dyDescent="0.25">
      <c r="R8502" s="13">
        <v>8429</v>
      </c>
      <c r="S8502" s="13">
        <v>0</v>
      </c>
    </row>
    <row r="8503" spans="18:19" x14ac:dyDescent="0.25">
      <c r="R8503" s="13">
        <v>8430</v>
      </c>
      <c r="S8503" s="13">
        <v>396160531.99868774</v>
      </c>
    </row>
    <row r="8504" spans="18:19" x14ac:dyDescent="0.25">
      <c r="R8504" s="13">
        <v>8431</v>
      </c>
      <c r="S8504" s="13">
        <v>0</v>
      </c>
    </row>
    <row r="8505" spans="18:19" x14ac:dyDescent="0.25">
      <c r="R8505" s="13">
        <v>8432</v>
      </c>
      <c r="S8505" s="13">
        <v>0</v>
      </c>
    </row>
    <row r="8506" spans="18:19" x14ac:dyDescent="0.25">
      <c r="R8506" s="13">
        <v>8433</v>
      </c>
      <c r="S8506" s="13">
        <v>0</v>
      </c>
    </row>
    <row r="8507" spans="18:19" x14ac:dyDescent="0.25">
      <c r="R8507" s="13">
        <v>8434</v>
      </c>
      <c r="S8507" s="13">
        <v>0</v>
      </c>
    </row>
    <row r="8508" spans="18:19" x14ac:dyDescent="0.25">
      <c r="R8508" s="13">
        <v>8435</v>
      </c>
      <c r="S8508" s="13">
        <v>0</v>
      </c>
    </row>
    <row r="8509" spans="18:19" x14ac:dyDescent="0.25">
      <c r="R8509" s="13">
        <v>8436</v>
      </c>
      <c r="S8509" s="13">
        <v>0</v>
      </c>
    </row>
    <row r="8510" spans="18:19" x14ac:dyDescent="0.25">
      <c r="R8510" s="13">
        <v>8437</v>
      </c>
      <c r="S8510" s="13">
        <v>0</v>
      </c>
    </row>
    <row r="8511" spans="18:19" x14ac:dyDescent="0.25">
      <c r="R8511" s="13">
        <v>8438</v>
      </c>
      <c r="S8511" s="13">
        <v>607756640.96246338</v>
      </c>
    </row>
    <row r="8512" spans="18:19" x14ac:dyDescent="0.25">
      <c r="R8512" s="13">
        <v>8439</v>
      </c>
      <c r="S8512" s="13">
        <v>0</v>
      </c>
    </row>
    <row r="8513" spans="18:19" x14ac:dyDescent="0.25">
      <c r="R8513" s="13">
        <v>8440</v>
      </c>
      <c r="S8513" s="13">
        <v>0</v>
      </c>
    </row>
    <row r="8514" spans="18:19" x14ac:dyDescent="0.25">
      <c r="R8514" s="13">
        <v>8441</v>
      </c>
      <c r="S8514" s="13">
        <v>0</v>
      </c>
    </row>
    <row r="8515" spans="18:19" x14ac:dyDescent="0.25">
      <c r="R8515" s="13">
        <v>8442</v>
      </c>
      <c r="S8515" s="13">
        <v>0</v>
      </c>
    </row>
    <row r="8516" spans="18:19" x14ac:dyDescent="0.25">
      <c r="R8516" s="13">
        <v>8443</v>
      </c>
      <c r="S8516" s="13">
        <v>18199554.648269653</v>
      </c>
    </row>
    <row r="8517" spans="18:19" x14ac:dyDescent="0.25">
      <c r="R8517" s="13">
        <v>8444</v>
      </c>
      <c r="S8517" s="13">
        <v>0</v>
      </c>
    </row>
    <row r="8518" spans="18:19" x14ac:dyDescent="0.25">
      <c r="R8518" s="13">
        <v>8445</v>
      </c>
      <c r="S8518" s="13">
        <v>29053617.091754913</v>
      </c>
    </row>
    <row r="8519" spans="18:19" x14ac:dyDescent="0.25">
      <c r="R8519" s="13">
        <v>8446</v>
      </c>
      <c r="S8519" s="13">
        <v>0</v>
      </c>
    </row>
    <row r="8520" spans="18:19" x14ac:dyDescent="0.25">
      <c r="R8520" s="13">
        <v>8447</v>
      </c>
      <c r="S8520" s="13">
        <v>0</v>
      </c>
    </row>
    <row r="8521" spans="18:19" x14ac:dyDescent="0.25">
      <c r="R8521" s="13">
        <v>8448</v>
      </c>
      <c r="S8521" s="13">
        <v>1005984171.7743835</v>
      </c>
    </row>
    <row r="8522" spans="18:19" x14ac:dyDescent="0.25">
      <c r="R8522" s="13">
        <v>8449</v>
      </c>
      <c r="S8522" s="13">
        <v>0</v>
      </c>
    </row>
    <row r="8523" spans="18:19" x14ac:dyDescent="0.25">
      <c r="R8523" s="13">
        <v>8450</v>
      </c>
      <c r="S8523" s="13">
        <v>0</v>
      </c>
    </row>
    <row r="8524" spans="18:19" x14ac:dyDescent="0.25">
      <c r="R8524" s="13">
        <v>8451</v>
      </c>
      <c r="S8524" s="13">
        <v>0</v>
      </c>
    </row>
    <row r="8525" spans="18:19" x14ac:dyDescent="0.25">
      <c r="R8525" s="13">
        <v>8452</v>
      </c>
      <c r="S8525" s="13">
        <v>0</v>
      </c>
    </row>
    <row r="8526" spans="18:19" x14ac:dyDescent="0.25">
      <c r="R8526" s="13">
        <v>8453</v>
      </c>
      <c r="S8526" s="13">
        <v>465072043.22362137</v>
      </c>
    </row>
    <row r="8527" spans="18:19" x14ac:dyDescent="0.25">
      <c r="R8527" s="13">
        <v>8454</v>
      </c>
      <c r="S8527" s="13">
        <v>57083619.78531456</v>
      </c>
    </row>
    <row r="8528" spans="18:19" x14ac:dyDescent="0.25">
      <c r="R8528" s="13">
        <v>8455</v>
      </c>
      <c r="S8528" s="13">
        <v>0</v>
      </c>
    </row>
    <row r="8529" spans="18:19" x14ac:dyDescent="0.25">
      <c r="R8529" s="13">
        <v>8456</v>
      </c>
      <c r="S8529" s="13">
        <v>0</v>
      </c>
    </row>
    <row r="8530" spans="18:19" x14ac:dyDescent="0.25">
      <c r="R8530" s="13">
        <v>8457</v>
      </c>
      <c r="S8530" s="13">
        <v>0</v>
      </c>
    </row>
    <row r="8531" spans="18:19" x14ac:dyDescent="0.25">
      <c r="R8531" s="13">
        <v>8458</v>
      </c>
      <c r="S8531" s="13">
        <v>0</v>
      </c>
    </row>
    <row r="8532" spans="18:19" x14ac:dyDescent="0.25">
      <c r="R8532" s="13">
        <v>8459</v>
      </c>
      <c r="S8532" s="13">
        <v>1062677102.2436199</v>
      </c>
    </row>
    <row r="8533" spans="18:19" x14ac:dyDescent="0.25">
      <c r="R8533" s="13">
        <v>8460</v>
      </c>
      <c r="S8533" s="13">
        <v>0</v>
      </c>
    </row>
    <row r="8534" spans="18:19" x14ac:dyDescent="0.25">
      <c r="R8534" s="13">
        <v>8461</v>
      </c>
      <c r="S8534" s="13">
        <v>686216731.89892578</v>
      </c>
    </row>
    <row r="8535" spans="18:19" x14ac:dyDescent="0.25">
      <c r="R8535" s="13">
        <v>8462</v>
      </c>
      <c r="S8535" s="13">
        <v>0</v>
      </c>
    </row>
    <row r="8536" spans="18:19" x14ac:dyDescent="0.25">
      <c r="R8536" s="13">
        <v>8463</v>
      </c>
      <c r="S8536" s="13">
        <v>38123487.276929855</v>
      </c>
    </row>
    <row r="8537" spans="18:19" x14ac:dyDescent="0.25">
      <c r="R8537" s="13">
        <v>8464</v>
      </c>
      <c r="S8537" s="13">
        <v>878585691.50605202</v>
      </c>
    </row>
    <row r="8538" spans="18:19" x14ac:dyDescent="0.25">
      <c r="R8538" s="13">
        <v>8465</v>
      </c>
      <c r="S8538" s="13">
        <v>0</v>
      </c>
    </row>
    <row r="8539" spans="18:19" x14ac:dyDescent="0.25">
      <c r="R8539" s="13">
        <v>8466</v>
      </c>
      <c r="S8539" s="13">
        <v>0</v>
      </c>
    </row>
    <row r="8540" spans="18:19" x14ac:dyDescent="0.25">
      <c r="R8540" s="13">
        <v>8467</v>
      </c>
      <c r="S8540" s="13">
        <v>0</v>
      </c>
    </row>
    <row r="8541" spans="18:19" x14ac:dyDescent="0.25">
      <c r="R8541" s="13">
        <v>8468</v>
      </c>
      <c r="S8541" s="13">
        <v>0</v>
      </c>
    </row>
    <row r="8542" spans="18:19" x14ac:dyDescent="0.25">
      <c r="R8542" s="13">
        <v>8469</v>
      </c>
      <c r="S8542" s="13">
        <v>192028574.38773918</v>
      </c>
    </row>
    <row r="8543" spans="18:19" x14ac:dyDescent="0.25">
      <c r="R8543" s="13">
        <v>8470</v>
      </c>
      <c r="S8543" s="13">
        <v>129075017.2532196</v>
      </c>
    </row>
    <row r="8544" spans="18:19" x14ac:dyDescent="0.25">
      <c r="R8544" s="13">
        <v>8471</v>
      </c>
      <c r="S8544" s="13">
        <v>423301214.29301834</v>
      </c>
    </row>
    <row r="8545" spans="18:19" x14ac:dyDescent="0.25">
      <c r="R8545" s="13">
        <v>8472</v>
      </c>
      <c r="S8545" s="13">
        <v>243685227.50370026</v>
      </c>
    </row>
    <row r="8546" spans="18:19" x14ac:dyDescent="0.25">
      <c r="R8546" s="13">
        <v>8473</v>
      </c>
      <c r="S8546" s="13">
        <v>0</v>
      </c>
    </row>
    <row r="8547" spans="18:19" x14ac:dyDescent="0.25">
      <c r="R8547" s="13">
        <v>8474</v>
      </c>
      <c r="S8547" s="13">
        <v>0</v>
      </c>
    </row>
    <row r="8548" spans="18:19" x14ac:dyDescent="0.25">
      <c r="R8548" s="13">
        <v>8475</v>
      </c>
      <c r="S8548" s="13">
        <v>135210740.11074448</v>
      </c>
    </row>
    <row r="8549" spans="18:19" x14ac:dyDescent="0.25">
      <c r="R8549" s="13">
        <v>8476</v>
      </c>
      <c r="S8549" s="13">
        <v>0</v>
      </c>
    </row>
    <row r="8550" spans="18:19" x14ac:dyDescent="0.25">
      <c r="R8550" s="13">
        <v>8477</v>
      </c>
      <c r="S8550" s="13">
        <v>0</v>
      </c>
    </row>
    <row r="8551" spans="18:19" x14ac:dyDescent="0.25">
      <c r="R8551" s="13">
        <v>8478</v>
      </c>
      <c r="S8551" s="13">
        <v>0</v>
      </c>
    </row>
    <row r="8552" spans="18:19" x14ac:dyDescent="0.25">
      <c r="R8552" s="13">
        <v>8479</v>
      </c>
      <c r="S8552" s="13">
        <v>278974638.27407074</v>
      </c>
    </row>
    <row r="8553" spans="18:19" x14ac:dyDescent="0.25">
      <c r="R8553" s="13">
        <v>8480</v>
      </c>
      <c r="S8553" s="13">
        <v>0</v>
      </c>
    </row>
    <row r="8554" spans="18:19" x14ac:dyDescent="0.25">
      <c r="R8554" s="13">
        <v>8481</v>
      </c>
      <c r="S8554" s="13">
        <v>0</v>
      </c>
    </row>
    <row r="8555" spans="18:19" x14ac:dyDescent="0.25">
      <c r="R8555" s="13">
        <v>8482</v>
      </c>
      <c r="S8555" s="13">
        <v>0</v>
      </c>
    </row>
    <row r="8556" spans="18:19" x14ac:dyDescent="0.25">
      <c r="R8556" s="13">
        <v>8483</v>
      </c>
      <c r="S8556" s="13">
        <v>0</v>
      </c>
    </row>
    <row r="8557" spans="18:19" x14ac:dyDescent="0.25">
      <c r="R8557" s="13">
        <v>8484</v>
      </c>
      <c r="S8557" s="13">
        <v>0</v>
      </c>
    </row>
    <row r="8558" spans="18:19" x14ac:dyDescent="0.25">
      <c r="R8558" s="13">
        <v>8485</v>
      </c>
      <c r="S8558" s="13">
        <v>0</v>
      </c>
    </row>
    <row r="8559" spans="18:19" x14ac:dyDescent="0.25">
      <c r="R8559" s="13">
        <v>8486</v>
      </c>
      <c r="S8559" s="13">
        <v>0</v>
      </c>
    </row>
    <row r="8560" spans="18:19" x14ac:dyDescent="0.25">
      <c r="R8560" s="13">
        <v>8487</v>
      </c>
      <c r="S8560" s="13">
        <v>0</v>
      </c>
    </row>
    <row r="8561" spans="18:19" x14ac:dyDescent="0.25">
      <c r="R8561" s="13">
        <v>8488</v>
      </c>
      <c r="S8561" s="13">
        <v>0</v>
      </c>
    </row>
    <row r="8562" spans="18:19" x14ac:dyDescent="0.25">
      <c r="R8562" s="13">
        <v>8489</v>
      </c>
      <c r="S8562" s="13">
        <v>0</v>
      </c>
    </row>
    <row r="8563" spans="18:19" x14ac:dyDescent="0.25">
      <c r="R8563" s="13">
        <v>8490</v>
      </c>
      <c r="S8563" s="13">
        <v>0</v>
      </c>
    </row>
    <row r="8564" spans="18:19" x14ac:dyDescent="0.25">
      <c r="R8564" s="13">
        <v>8491</v>
      </c>
      <c r="S8564" s="13">
        <v>0</v>
      </c>
    </row>
    <row r="8565" spans="18:19" x14ac:dyDescent="0.25">
      <c r="R8565" s="13">
        <v>8492</v>
      </c>
      <c r="S8565" s="13">
        <v>0</v>
      </c>
    </row>
    <row r="8566" spans="18:19" x14ac:dyDescent="0.25">
      <c r="R8566" s="13">
        <v>8493</v>
      </c>
      <c r="S8566" s="13">
        <v>0</v>
      </c>
    </row>
    <row r="8567" spans="18:19" x14ac:dyDescent="0.25">
      <c r="R8567" s="13">
        <v>8494</v>
      </c>
      <c r="S8567" s="13">
        <v>0</v>
      </c>
    </row>
    <row r="8568" spans="18:19" x14ac:dyDescent="0.25">
      <c r="R8568" s="13">
        <v>8495</v>
      </c>
      <c r="S8568" s="13">
        <v>109592992.6613884</v>
      </c>
    </row>
    <row r="8569" spans="18:19" x14ac:dyDescent="0.25">
      <c r="R8569" s="13">
        <v>8496</v>
      </c>
      <c r="S8569" s="13">
        <v>0</v>
      </c>
    </row>
    <row r="8570" spans="18:19" x14ac:dyDescent="0.25">
      <c r="R8570" s="13">
        <v>8497</v>
      </c>
      <c r="S8570" s="13">
        <v>0</v>
      </c>
    </row>
    <row r="8571" spans="18:19" x14ac:dyDescent="0.25">
      <c r="R8571" s="13">
        <v>8498</v>
      </c>
      <c r="S8571" s="13">
        <v>0</v>
      </c>
    </row>
    <row r="8572" spans="18:19" x14ac:dyDescent="0.25">
      <c r="R8572" s="13">
        <v>8499</v>
      </c>
      <c r="S8572" s="13">
        <v>0</v>
      </c>
    </row>
    <row r="8573" spans="18:19" x14ac:dyDescent="0.25">
      <c r="R8573" s="13">
        <v>8500</v>
      </c>
      <c r="S8573" s="13">
        <v>0</v>
      </c>
    </row>
    <row r="8574" spans="18:19" x14ac:dyDescent="0.25">
      <c r="R8574" s="13">
        <v>8501</v>
      </c>
      <c r="S8574" s="13">
        <v>0</v>
      </c>
    </row>
    <row r="8575" spans="18:19" x14ac:dyDescent="0.25">
      <c r="R8575" s="13">
        <v>8502</v>
      </c>
      <c r="S8575" s="13">
        <v>0</v>
      </c>
    </row>
    <row r="8576" spans="18:19" x14ac:dyDescent="0.25">
      <c r="R8576" s="13">
        <v>8503</v>
      </c>
      <c r="S8576" s="13">
        <v>572697919.9314537</v>
      </c>
    </row>
    <row r="8577" spans="18:19" x14ac:dyDescent="0.25">
      <c r="R8577" s="13">
        <v>8504</v>
      </c>
      <c r="S8577" s="13">
        <v>0</v>
      </c>
    </row>
    <row r="8578" spans="18:19" x14ac:dyDescent="0.25">
      <c r="R8578" s="13">
        <v>8505</v>
      </c>
      <c r="S8578" s="13">
        <v>0</v>
      </c>
    </row>
    <row r="8579" spans="18:19" x14ac:dyDescent="0.25">
      <c r="R8579" s="13">
        <v>8506</v>
      </c>
      <c r="S8579" s="13">
        <v>0</v>
      </c>
    </row>
    <row r="8580" spans="18:19" x14ac:dyDescent="0.25">
      <c r="R8580" s="13">
        <v>8507</v>
      </c>
      <c r="S8580" s="13">
        <v>0</v>
      </c>
    </row>
    <row r="8581" spans="18:19" x14ac:dyDescent="0.25">
      <c r="R8581" s="13">
        <v>8508</v>
      </c>
      <c r="S8581" s="13">
        <v>135413400.30686378</v>
      </c>
    </row>
    <row r="8582" spans="18:19" x14ac:dyDescent="0.25">
      <c r="R8582" s="13">
        <v>8509</v>
      </c>
      <c r="S8582" s="13">
        <v>1208574058.513546</v>
      </c>
    </row>
    <row r="8583" spans="18:19" x14ac:dyDescent="0.25">
      <c r="R8583" s="13">
        <v>8510</v>
      </c>
      <c r="S8583" s="13">
        <v>0</v>
      </c>
    </row>
    <row r="8584" spans="18:19" x14ac:dyDescent="0.25">
      <c r="R8584" s="13">
        <v>8511</v>
      </c>
      <c r="S8584" s="13">
        <v>223495550.08866692</v>
      </c>
    </row>
    <row r="8585" spans="18:19" x14ac:dyDescent="0.25">
      <c r="R8585" s="13">
        <v>8512</v>
      </c>
      <c r="S8585" s="13">
        <v>0</v>
      </c>
    </row>
    <row r="8586" spans="18:19" x14ac:dyDescent="0.25">
      <c r="R8586" s="13">
        <v>8513</v>
      </c>
      <c r="S8586" s="13">
        <v>151631579.07469749</v>
      </c>
    </row>
    <row r="8587" spans="18:19" x14ac:dyDescent="0.25">
      <c r="R8587" s="13">
        <v>8514</v>
      </c>
      <c r="S8587" s="13">
        <v>0</v>
      </c>
    </row>
    <row r="8588" spans="18:19" x14ac:dyDescent="0.25">
      <c r="R8588" s="13">
        <v>8515</v>
      </c>
      <c r="S8588" s="13">
        <v>0</v>
      </c>
    </row>
    <row r="8589" spans="18:19" x14ac:dyDescent="0.25">
      <c r="R8589" s="13">
        <v>8516</v>
      </c>
      <c r="S8589" s="13">
        <v>0</v>
      </c>
    </row>
    <row r="8590" spans="18:19" x14ac:dyDescent="0.25">
      <c r="R8590" s="13">
        <v>8517</v>
      </c>
      <c r="S8590" s="13">
        <v>0</v>
      </c>
    </row>
    <row r="8591" spans="18:19" x14ac:dyDescent="0.25">
      <c r="R8591" s="13">
        <v>8518</v>
      </c>
      <c r="S8591" s="13">
        <v>0</v>
      </c>
    </row>
    <row r="8592" spans="18:19" x14ac:dyDescent="0.25">
      <c r="R8592" s="13">
        <v>8519</v>
      </c>
      <c r="S8592" s="13">
        <v>0</v>
      </c>
    </row>
    <row r="8593" spans="18:19" x14ac:dyDescent="0.25">
      <c r="R8593" s="13">
        <v>8520</v>
      </c>
      <c r="S8593" s="13">
        <v>0</v>
      </c>
    </row>
    <row r="8594" spans="18:19" x14ac:dyDescent="0.25">
      <c r="R8594" s="13">
        <v>8521</v>
      </c>
      <c r="S8594" s="13">
        <v>0</v>
      </c>
    </row>
    <row r="8595" spans="18:19" x14ac:dyDescent="0.25">
      <c r="R8595" s="13">
        <v>8522</v>
      </c>
      <c r="S8595" s="13">
        <v>120915686.35922241</v>
      </c>
    </row>
    <row r="8596" spans="18:19" x14ac:dyDescent="0.25">
      <c r="R8596" s="13">
        <v>8523</v>
      </c>
      <c r="S8596" s="13">
        <v>0</v>
      </c>
    </row>
    <row r="8597" spans="18:19" x14ac:dyDescent="0.25">
      <c r="R8597" s="13">
        <v>8524</v>
      </c>
      <c r="S8597" s="13">
        <v>0</v>
      </c>
    </row>
    <row r="8598" spans="18:19" x14ac:dyDescent="0.25">
      <c r="R8598" s="13">
        <v>8525</v>
      </c>
      <c r="S8598" s="13">
        <v>0</v>
      </c>
    </row>
    <row r="8599" spans="18:19" x14ac:dyDescent="0.25">
      <c r="R8599" s="13">
        <v>8526</v>
      </c>
      <c r="S8599" s="13">
        <v>0</v>
      </c>
    </row>
    <row r="8600" spans="18:19" x14ac:dyDescent="0.25">
      <c r="R8600" s="13">
        <v>8527</v>
      </c>
      <c r="S8600" s="13">
        <v>0</v>
      </c>
    </row>
    <row r="8601" spans="18:19" x14ac:dyDescent="0.25">
      <c r="R8601" s="13">
        <v>8528</v>
      </c>
      <c r="S8601" s="13">
        <v>519714857.17362976</v>
      </c>
    </row>
    <row r="8602" spans="18:19" x14ac:dyDescent="0.25">
      <c r="R8602" s="13">
        <v>8529</v>
      </c>
      <c r="S8602" s="13">
        <v>460096582.76758385</v>
      </c>
    </row>
    <row r="8603" spans="18:19" x14ac:dyDescent="0.25">
      <c r="R8603" s="13">
        <v>8530</v>
      </c>
      <c r="S8603" s="13">
        <v>0</v>
      </c>
    </row>
    <row r="8604" spans="18:19" x14ac:dyDescent="0.25">
      <c r="R8604" s="13">
        <v>8531</v>
      </c>
      <c r="S8604" s="13">
        <v>520322797.69986916</v>
      </c>
    </row>
    <row r="8605" spans="18:19" x14ac:dyDescent="0.25">
      <c r="R8605" s="13">
        <v>8532</v>
      </c>
      <c r="S8605" s="13">
        <v>89456850.871997833</v>
      </c>
    </row>
    <row r="8606" spans="18:19" x14ac:dyDescent="0.25">
      <c r="R8606" s="13">
        <v>8533</v>
      </c>
      <c r="S8606" s="13">
        <v>562013969.76563072</v>
      </c>
    </row>
    <row r="8607" spans="18:19" x14ac:dyDescent="0.25">
      <c r="R8607" s="13">
        <v>8534</v>
      </c>
      <c r="S8607" s="13">
        <v>0</v>
      </c>
    </row>
    <row r="8608" spans="18:19" x14ac:dyDescent="0.25">
      <c r="R8608" s="13">
        <v>8535</v>
      </c>
      <c r="S8608" s="13">
        <v>0</v>
      </c>
    </row>
    <row r="8609" spans="18:19" x14ac:dyDescent="0.25">
      <c r="R8609" s="13">
        <v>8536</v>
      </c>
      <c r="S8609" s="13">
        <v>0</v>
      </c>
    </row>
    <row r="8610" spans="18:19" x14ac:dyDescent="0.25">
      <c r="R8610" s="13">
        <v>8537</v>
      </c>
      <c r="S8610" s="13">
        <v>0</v>
      </c>
    </row>
    <row r="8611" spans="18:19" x14ac:dyDescent="0.25">
      <c r="R8611" s="13">
        <v>8538</v>
      </c>
      <c r="S8611" s="13">
        <v>952053607.3992424</v>
      </c>
    </row>
    <row r="8612" spans="18:19" x14ac:dyDescent="0.25">
      <c r="R8612" s="13">
        <v>8539</v>
      </c>
      <c r="S8612" s="13">
        <v>0</v>
      </c>
    </row>
    <row r="8613" spans="18:19" x14ac:dyDescent="0.25">
      <c r="R8613" s="13">
        <v>8540</v>
      </c>
      <c r="S8613" s="13">
        <v>0</v>
      </c>
    </row>
    <row r="8614" spans="18:19" x14ac:dyDescent="0.25">
      <c r="R8614" s="13">
        <v>8541</v>
      </c>
      <c r="S8614" s="13">
        <v>0</v>
      </c>
    </row>
    <row r="8615" spans="18:19" x14ac:dyDescent="0.25">
      <c r="R8615" s="13">
        <v>8542</v>
      </c>
      <c r="S8615" s="13">
        <v>0</v>
      </c>
    </row>
    <row r="8616" spans="18:19" x14ac:dyDescent="0.25">
      <c r="R8616" s="13">
        <v>8543</v>
      </c>
      <c r="S8616" s="13">
        <v>0</v>
      </c>
    </row>
    <row r="8617" spans="18:19" x14ac:dyDescent="0.25">
      <c r="R8617" s="13">
        <v>8544</v>
      </c>
      <c r="S8617" s="13">
        <v>1185713233.1837616</v>
      </c>
    </row>
    <row r="8618" spans="18:19" x14ac:dyDescent="0.25">
      <c r="R8618" s="13">
        <v>8545</v>
      </c>
      <c r="S8618" s="13">
        <v>0</v>
      </c>
    </row>
    <row r="8619" spans="18:19" x14ac:dyDescent="0.25">
      <c r="R8619" s="13">
        <v>8546</v>
      </c>
      <c r="S8619" s="13">
        <v>0</v>
      </c>
    </row>
    <row r="8620" spans="18:19" x14ac:dyDescent="0.25">
      <c r="R8620" s="13">
        <v>8547</v>
      </c>
      <c r="S8620" s="13">
        <v>0</v>
      </c>
    </row>
    <row r="8621" spans="18:19" x14ac:dyDescent="0.25">
      <c r="R8621" s="13">
        <v>8548</v>
      </c>
      <c r="S8621" s="13">
        <v>0</v>
      </c>
    </row>
    <row r="8622" spans="18:19" x14ac:dyDescent="0.25">
      <c r="R8622" s="13">
        <v>8549</v>
      </c>
      <c r="S8622" s="13">
        <v>0</v>
      </c>
    </row>
    <row r="8623" spans="18:19" x14ac:dyDescent="0.25">
      <c r="R8623" s="13">
        <v>8550</v>
      </c>
      <c r="S8623" s="13">
        <v>244917949.08985519</v>
      </c>
    </row>
    <row r="8624" spans="18:19" x14ac:dyDescent="0.25">
      <c r="R8624" s="13">
        <v>8551</v>
      </c>
      <c r="S8624" s="13">
        <v>0</v>
      </c>
    </row>
    <row r="8625" spans="18:19" x14ac:dyDescent="0.25">
      <c r="R8625" s="13">
        <v>8552</v>
      </c>
      <c r="S8625" s="13">
        <v>0</v>
      </c>
    </row>
    <row r="8626" spans="18:19" x14ac:dyDescent="0.25">
      <c r="R8626" s="13">
        <v>8553</v>
      </c>
      <c r="S8626" s="13">
        <v>0</v>
      </c>
    </row>
    <row r="8627" spans="18:19" x14ac:dyDescent="0.25">
      <c r="R8627" s="13">
        <v>8554</v>
      </c>
      <c r="S8627" s="13">
        <v>0</v>
      </c>
    </row>
    <row r="8628" spans="18:19" x14ac:dyDescent="0.25">
      <c r="R8628" s="13">
        <v>8555</v>
      </c>
      <c r="S8628" s="13">
        <v>499414409.70772171</v>
      </c>
    </row>
    <row r="8629" spans="18:19" x14ac:dyDescent="0.25">
      <c r="R8629" s="13">
        <v>8556</v>
      </c>
      <c r="S8629" s="13">
        <v>0</v>
      </c>
    </row>
    <row r="8630" spans="18:19" x14ac:dyDescent="0.25">
      <c r="R8630" s="13">
        <v>8557</v>
      </c>
      <c r="S8630" s="13">
        <v>0</v>
      </c>
    </row>
    <row r="8631" spans="18:19" x14ac:dyDescent="0.25">
      <c r="R8631" s="13">
        <v>8558</v>
      </c>
      <c r="S8631" s="13">
        <v>543499583.9587841</v>
      </c>
    </row>
    <row r="8632" spans="18:19" x14ac:dyDescent="0.25">
      <c r="R8632" s="13">
        <v>8559</v>
      </c>
      <c r="S8632" s="13">
        <v>0</v>
      </c>
    </row>
    <row r="8633" spans="18:19" x14ac:dyDescent="0.25">
      <c r="R8633" s="13">
        <v>8560</v>
      </c>
      <c r="S8633" s="13">
        <v>0</v>
      </c>
    </row>
    <row r="8634" spans="18:19" x14ac:dyDescent="0.25">
      <c r="R8634" s="13">
        <v>8561</v>
      </c>
      <c r="S8634" s="13">
        <v>0</v>
      </c>
    </row>
    <row r="8635" spans="18:19" x14ac:dyDescent="0.25">
      <c r="R8635" s="13">
        <v>8562</v>
      </c>
      <c r="S8635" s="13">
        <v>0</v>
      </c>
    </row>
    <row r="8636" spans="18:19" x14ac:dyDescent="0.25">
      <c r="R8636" s="13">
        <v>8563</v>
      </c>
      <c r="S8636" s="13">
        <v>0</v>
      </c>
    </row>
    <row r="8637" spans="18:19" x14ac:dyDescent="0.25">
      <c r="R8637" s="13">
        <v>8564</v>
      </c>
      <c r="S8637" s="13">
        <v>0</v>
      </c>
    </row>
    <row r="8638" spans="18:19" x14ac:dyDescent="0.25">
      <c r="R8638" s="13">
        <v>8565</v>
      </c>
      <c r="S8638" s="13">
        <v>0</v>
      </c>
    </row>
    <row r="8639" spans="18:19" x14ac:dyDescent="0.25">
      <c r="R8639" s="13">
        <v>8566</v>
      </c>
      <c r="S8639" s="13">
        <v>0</v>
      </c>
    </row>
    <row r="8640" spans="18:19" x14ac:dyDescent="0.25">
      <c r="R8640" s="13">
        <v>8567</v>
      </c>
      <c r="S8640" s="13">
        <v>0</v>
      </c>
    </row>
    <row r="8641" spans="18:19" x14ac:dyDescent="0.25">
      <c r="R8641" s="13">
        <v>8568</v>
      </c>
      <c r="S8641" s="13">
        <v>1194816246.5555153</v>
      </c>
    </row>
    <row r="8642" spans="18:19" x14ac:dyDescent="0.25">
      <c r="R8642" s="13">
        <v>8569</v>
      </c>
      <c r="S8642" s="13">
        <v>0</v>
      </c>
    </row>
    <row r="8643" spans="18:19" x14ac:dyDescent="0.25">
      <c r="R8643" s="13">
        <v>8570</v>
      </c>
      <c r="S8643" s="13">
        <v>179845754.22211838</v>
      </c>
    </row>
    <row r="8644" spans="18:19" x14ac:dyDescent="0.25">
      <c r="R8644" s="13">
        <v>8571</v>
      </c>
      <c r="S8644" s="13">
        <v>0</v>
      </c>
    </row>
    <row r="8645" spans="18:19" x14ac:dyDescent="0.25">
      <c r="R8645" s="13">
        <v>8572</v>
      </c>
      <c r="S8645" s="13">
        <v>0</v>
      </c>
    </row>
    <row r="8646" spans="18:19" x14ac:dyDescent="0.25">
      <c r="R8646" s="13">
        <v>8573</v>
      </c>
      <c r="S8646" s="13">
        <v>1361775561.3795319</v>
      </c>
    </row>
    <row r="8647" spans="18:19" x14ac:dyDescent="0.25">
      <c r="R8647" s="13">
        <v>8574</v>
      </c>
      <c r="S8647" s="13">
        <v>0</v>
      </c>
    </row>
    <row r="8648" spans="18:19" x14ac:dyDescent="0.25">
      <c r="R8648" s="13">
        <v>8575</v>
      </c>
      <c r="S8648" s="13">
        <v>0</v>
      </c>
    </row>
    <row r="8649" spans="18:19" x14ac:dyDescent="0.25">
      <c r="R8649" s="13">
        <v>8576</v>
      </c>
      <c r="S8649" s="13">
        <v>0</v>
      </c>
    </row>
    <row r="8650" spans="18:19" x14ac:dyDescent="0.25">
      <c r="R8650" s="13">
        <v>8577</v>
      </c>
      <c r="S8650" s="13">
        <v>0</v>
      </c>
    </row>
    <row r="8651" spans="18:19" x14ac:dyDescent="0.25">
      <c r="R8651" s="13">
        <v>8578</v>
      </c>
      <c r="S8651" s="13">
        <v>0</v>
      </c>
    </row>
    <row r="8652" spans="18:19" x14ac:dyDescent="0.25">
      <c r="R8652" s="13">
        <v>8579</v>
      </c>
      <c r="S8652" s="13">
        <v>420688800.35617256</v>
      </c>
    </row>
    <row r="8653" spans="18:19" x14ac:dyDescent="0.25">
      <c r="R8653" s="13">
        <v>8580</v>
      </c>
      <c r="S8653" s="13">
        <v>0</v>
      </c>
    </row>
    <row r="8654" spans="18:19" x14ac:dyDescent="0.25">
      <c r="R8654" s="13">
        <v>8581</v>
      </c>
      <c r="S8654" s="13">
        <v>0</v>
      </c>
    </row>
    <row r="8655" spans="18:19" x14ac:dyDescent="0.25">
      <c r="R8655" s="13">
        <v>8582</v>
      </c>
      <c r="S8655" s="13">
        <v>0</v>
      </c>
    </row>
    <row r="8656" spans="18:19" x14ac:dyDescent="0.25">
      <c r="R8656" s="13">
        <v>8583</v>
      </c>
      <c r="S8656" s="13">
        <v>0</v>
      </c>
    </row>
    <row r="8657" spans="18:19" x14ac:dyDescent="0.25">
      <c r="R8657" s="13">
        <v>8584</v>
      </c>
      <c r="S8657" s="13">
        <v>0</v>
      </c>
    </row>
    <row r="8658" spans="18:19" x14ac:dyDescent="0.25">
      <c r="R8658" s="13">
        <v>8585</v>
      </c>
      <c r="S8658" s="13">
        <v>167063306.07199478</v>
      </c>
    </row>
    <row r="8659" spans="18:19" x14ac:dyDescent="0.25">
      <c r="R8659" s="13">
        <v>8586</v>
      </c>
      <c r="S8659" s="13">
        <v>0</v>
      </c>
    </row>
    <row r="8660" spans="18:19" x14ac:dyDescent="0.25">
      <c r="R8660" s="13">
        <v>8587</v>
      </c>
      <c r="S8660" s="13">
        <v>0</v>
      </c>
    </row>
    <row r="8661" spans="18:19" x14ac:dyDescent="0.25">
      <c r="R8661" s="13">
        <v>8588</v>
      </c>
      <c r="S8661" s="13">
        <v>0</v>
      </c>
    </row>
    <row r="8662" spans="18:19" x14ac:dyDescent="0.25">
      <c r="R8662" s="13">
        <v>8589</v>
      </c>
      <c r="S8662" s="13">
        <v>0</v>
      </c>
    </row>
    <row r="8663" spans="18:19" x14ac:dyDescent="0.25">
      <c r="R8663" s="13">
        <v>8590</v>
      </c>
      <c r="S8663" s="13">
        <v>0</v>
      </c>
    </row>
    <row r="8664" spans="18:19" x14ac:dyDescent="0.25">
      <c r="R8664" s="13">
        <v>8591</v>
      </c>
      <c r="S8664" s="13">
        <v>300443260.24196434</v>
      </c>
    </row>
    <row r="8665" spans="18:19" x14ac:dyDescent="0.25">
      <c r="R8665" s="13">
        <v>8592</v>
      </c>
      <c r="S8665" s="13">
        <v>0</v>
      </c>
    </row>
    <row r="8666" spans="18:19" x14ac:dyDescent="0.25">
      <c r="R8666" s="13">
        <v>8593</v>
      </c>
      <c r="S8666" s="13">
        <v>0</v>
      </c>
    </row>
    <row r="8667" spans="18:19" x14ac:dyDescent="0.25">
      <c r="R8667" s="13">
        <v>8594</v>
      </c>
      <c r="S8667" s="13">
        <v>0</v>
      </c>
    </row>
    <row r="8668" spans="18:19" x14ac:dyDescent="0.25">
      <c r="R8668" s="13">
        <v>8595</v>
      </c>
      <c r="S8668" s="13">
        <v>0</v>
      </c>
    </row>
    <row r="8669" spans="18:19" x14ac:dyDescent="0.25">
      <c r="R8669" s="13">
        <v>8596</v>
      </c>
      <c r="S8669" s="13">
        <v>0</v>
      </c>
    </row>
    <row r="8670" spans="18:19" x14ac:dyDescent="0.25">
      <c r="R8670" s="13">
        <v>8597</v>
      </c>
      <c r="S8670" s="13">
        <v>0</v>
      </c>
    </row>
    <row r="8671" spans="18:19" x14ac:dyDescent="0.25">
      <c r="R8671" s="13">
        <v>8598</v>
      </c>
      <c r="S8671" s="13">
        <v>0</v>
      </c>
    </row>
    <row r="8672" spans="18:19" x14ac:dyDescent="0.25">
      <c r="R8672" s="13">
        <v>8599</v>
      </c>
      <c r="S8672" s="13">
        <v>0</v>
      </c>
    </row>
    <row r="8673" spans="18:19" x14ac:dyDescent="0.25">
      <c r="R8673" s="13">
        <v>8600</v>
      </c>
      <c r="S8673" s="13">
        <v>0</v>
      </c>
    </row>
    <row r="8674" spans="18:19" x14ac:dyDescent="0.25">
      <c r="R8674" s="13">
        <v>8601</v>
      </c>
      <c r="S8674" s="13">
        <v>0</v>
      </c>
    </row>
    <row r="8675" spans="18:19" x14ac:dyDescent="0.25">
      <c r="R8675" s="13">
        <v>8602</v>
      </c>
      <c r="S8675" s="13">
        <v>0</v>
      </c>
    </row>
    <row r="8676" spans="18:19" x14ac:dyDescent="0.25">
      <c r="R8676" s="13">
        <v>8603</v>
      </c>
      <c r="S8676" s="13">
        <v>0</v>
      </c>
    </row>
    <row r="8677" spans="18:19" x14ac:dyDescent="0.25">
      <c r="R8677" s="13">
        <v>8604</v>
      </c>
      <c r="S8677" s="13">
        <v>384863376.24150467</v>
      </c>
    </row>
    <row r="8678" spans="18:19" x14ac:dyDescent="0.25">
      <c r="R8678" s="13">
        <v>8605</v>
      </c>
      <c r="S8678" s="13">
        <v>0</v>
      </c>
    </row>
    <row r="8679" spans="18:19" x14ac:dyDescent="0.25">
      <c r="R8679" s="13">
        <v>8606</v>
      </c>
      <c r="S8679" s="13">
        <v>108521564.43054581</v>
      </c>
    </row>
    <row r="8680" spans="18:19" x14ac:dyDescent="0.25">
      <c r="R8680" s="13">
        <v>8607</v>
      </c>
      <c r="S8680" s="13">
        <v>664760085.61592674</v>
      </c>
    </row>
    <row r="8681" spans="18:19" x14ac:dyDescent="0.25">
      <c r="R8681" s="13">
        <v>8608</v>
      </c>
      <c r="S8681" s="13">
        <v>0</v>
      </c>
    </row>
    <row r="8682" spans="18:19" x14ac:dyDescent="0.25">
      <c r="R8682" s="13">
        <v>8609</v>
      </c>
      <c r="S8682" s="13">
        <v>0</v>
      </c>
    </row>
    <row r="8683" spans="18:19" x14ac:dyDescent="0.25">
      <c r="R8683" s="13">
        <v>8610</v>
      </c>
      <c r="S8683" s="13">
        <v>0</v>
      </c>
    </row>
    <row r="8684" spans="18:19" x14ac:dyDescent="0.25">
      <c r="R8684" s="13">
        <v>8611</v>
      </c>
      <c r="S8684" s="13">
        <v>0</v>
      </c>
    </row>
    <row r="8685" spans="18:19" x14ac:dyDescent="0.25">
      <c r="R8685" s="13">
        <v>8612</v>
      </c>
      <c r="S8685" s="13">
        <v>0</v>
      </c>
    </row>
    <row r="8686" spans="18:19" x14ac:dyDescent="0.25">
      <c r="R8686" s="13">
        <v>8613</v>
      </c>
      <c r="S8686" s="13">
        <v>0</v>
      </c>
    </row>
    <row r="8687" spans="18:19" x14ac:dyDescent="0.25">
      <c r="R8687" s="13">
        <v>8614</v>
      </c>
      <c r="S8687" s="13">
        <v>0</v>
      </c>
    </row>
    <row r="8688" spans="18:19" x14ac:dyDescent="0.25">
      <c r="R8688" s="13">
        <v>8615</v>
      </c>
      <c r="S8688" s="13">
        <v>0</v>
      </c>
    </row>
    <row r="8689" spans="18:19" x14ac:dyDescent="0.25">
      <c r="R8689" s="13">
        <v>8616</v>
      </c>
      <c r="S8689" s="13">
        <v>0</v>
      </c>
    </row>
    <row r="8690" spans="18:19" x14ac:dyDescent="0.25">
      <c r="R8690" s="13">
        <v>8617</v>
      </c>
      <c r="S8690" s="13">
        <v>0</v>
      </c>
    </row>
    <row r="8691" spans="18:19" x14ac:dyDescent="0.25">
      <c r="R8691" s="13">
        <v>8618</v>
      </c>
      <c r="S8691" s="13">
        <v>0</v>
      </c>
    </row>
    <row r="8692" spans="18:19" x14ac:dyDescent="0.25">
      <c r="R8692" s="13">
        <v>8619</v>
      </c>
      <c r="S8692" s="13">
        <v>602390297.42711067</v>
      </c>
    </row>
    <row r="8693" spans="18:19" x14ac:dyDescent="0.25">
      <c r="R8693" s="13">
        <v>8620</v>
      </c>
      <c r="S8693" s="13">
        <v>271359725.66403389</v>
      </c>
    </row>
    <row r="8694" spans="18:19" x14ac:dyDescent="0.25">
      <c r="R8694" s="13">
        <v>8621</v>
      </c>
      <c r="S8694" s="13">
        <v>0</v>
      </c>
    </row>
    <row r="8695" spans="18:19" x14ac:dyDescent="0.25">
      <c r="R8695" s="13">
        <v>8622</v>
      </c>
      <c r="S8695" s="13">
        <v>0</v>
      </c>
    </row>
    <row r="8696" spans="18:19" x14ac:dyDescent="0.25">
      <c r="R8696" s="13">
        <v>8623</v>
      </c>
      <c r="S8696" s="13">
        <v>0</v>
      </c>
    </row>
    <row r="8697" spans="18:19" x14ac:dyDescent="0.25">
      <c r="R8697" s="13">
        <v>8624</v>
      </c>
      <c r="S8697" s="13">
        <v>0</v>
      </c>
    </row>
    <row r="8698" spans="18:19" x14ac:dyDescent="0.25">
      <c r="R8698" s="13">
        <v>8625</v>
      </c>
      <c r="S8698" s="13">
        <v>0</v>
      </c>
    </row>
    <row r="8699" spans="18:19" x14ac:dyDescent="0.25">
      <c r="R8699" s="13">
        <v>8626</v>
      </c>
      <c r="S8699" s="13">
        <v>0</v>
      </c>
    </row>
    <row r="8700" spans="18:19" x14ac:dyDescent="0.25">
      <c r="R8700" s="13">
        <v>8627</v>
      </c>
      <c r="S8700" s="13">
        <v>0</v>
      </c>
    </row>
    <row r="8701" spans="18:19" x14ac:dyDescent="0.25">
      <c r="R8701" s="13">
        <v>8628</v>
      </c>
      <c r="S8701" s="13">
        <v>0</v>
      </c>
    </row>
    <row r="8702" spans="18:19" x14ac:dyDescent="0.25">
      <c r="R8702" s="13">
        <v>8629</v>
      </c>
      <c r="S8702" s="13">
        <v>0</v>
      </c>
    </row>
    <row r="8703" spans="18:19" x14ac:dyDescent="0.25">
      <c r="R8703" s="13">
        <v>8630</v>
      </c>
      <c r="S8703" s="13">
        <v>75981183.941425323</v>
      </c>
    </row>
    <row r="8704" spans="18:19" x14ac:dyDescent="0.25">
      <c r="R8704" s="13">
        <v>8631</v>
      </c>
      <c r="S8704" s="13">
        <v>0</v>
      </c>
    </row>
    <row r="8705" spans="18:19" x14ac:dyDescent="0.25">
      <c r="R8705" s="13">
        <v>8632</v>
      </c>
      <c r="S8705" s="13">
        <v>0</v>
      </c>
    </row>
    <row r="8706" spans="18:19" x14ac:dyDescent="0.25">
      <c r="R8706" s="13">
        <v>8633</v>
      </c>
      <c r="S8706" s="13">
        <v>374224472.47079659</v>
      </c>
    </row>
    <row r="8707" spans="18:19" x14ac:dyDescent="0.25">
      <c r="R8707" s="13">
        <v>8634</v>
      </c>
      <c r="S8707" s="13">
        <v>0</v>
      </c>
    </row>
    <row r="8708" spans="18:19" x14ac:dyDescent="0.25">
      <c r="R8708" s="13">
        <v>8635</v>
      </c>
      <c r="S8708" s="13">
        <v>332297148.99092674</v>
      </c>
    </row>
    <row r="8709" spans="18:19" x14ac:dyDescent="0.25">
      <c r="R8709" s="13">
        <v>8636</v>
      </c>
      <c r="S8709" s="13">
        <v>0</v>
      </c>
    </row>
    <row r="8710" spans="18:19" x14ac:dyDescent="0.25">
      <c r="R8710" s="13">
        <v>8637</v>
      </c>
      <c r="S8710" s="13">
        <v>0</v>
      </c>
    </row>
    <row r="8711" spans="18:19" x14ac:dyDescent="0.25">
      <c r="R8711" s="13">
        <v>8638</v>
      </c>
      <c r="S8711" s="13">
        <v>0</v>
      </c>
    </row>
    <row r="8712" spans="18:19" x14ac:dyDescent="0.25">
      <c r="R8712" s="13">
        <v>8639</v>
      </c>
      <c r="S8712" s="13">
        <v>0</v>
      </c>
    </row>
    <row r="8713" spans="18:19" x14ac:dyDescent="0.25">
      <c r="R8713" s="13">
        <v>8640</v>
      </c>
      <c r="S8713" s="13">
        <v>0</v>
      </c>
    </row>
    <row r="8714" spans="18:19" x14ac:dyDescent="0.25">
      <c r="R8714" s="13">
        <v>8641</v>
      </c>
      <c r="S8714" s="13">
        <v>428763290.12350082</v>
      </c>
    </row>
    <row r="8715" spans="18:19" x14ac:dyDescent="0.25">
      <c r="R8715" s="13">
        <v>8642</v>
      </c>
      <c r="S8715" s="13">
        <v>919570907.47416115</v>
      </c>
    </row>
    <row r="8716" spans="18:19" x14ac:dyDescent="0.25">
      <c r="R8716" s="13">
        <v>8643</v>
      </c>
      <c r="S8716" s="13">
        <v>0</v>
      </c>
    </row>
    <row r="8717" spans="18:19" x14ac:dyDescent="0.25">
      <c r="R8717" s="13">
        <v>8644</v>
      </c>
      <c r="S8717" s="13">
        <v>699322833.77280807</v>
      </c>
    </row>
    <row r="8718" spans="18:19" x14ac:dyDescent="0.25">
      <c r="R8718" s="13">
        <v>8645</v>
      </c>
      <c r="S8718" s="13">
        <v>0</v>
      </c>
    </row>
    <row r="8719" spans="18:19" x14ac:dyDescent="0.25">
      <c r="R8719" s="13">
        <v>8646</v>
      </c>
      <c r="S8719" s="13">
        <v>0</v>
      </c>
    </row>
    <row r="8720" spans="18:19" x14ac:dyDescent="0.25">
      <c r="R8720" s="13">
        <v>8647</v>
      </c>
      <c r="S8720" s="13">
        <v>0</v>
      </c>
    </row>
    <row r="8721" spans="18:19" x14ac:dyDescent="0.25">
      <c r="R8721" s="13">
        <v>8648</v>
      </c>
      <c r="S8721" s="13">
        <v>0</v>
      </c>
    </row>
    <row r="8722" spans="18:19" x14ac:dyDescent="0.25">
      <c r="R8722" s="13">
        <v>8649</v>
      </c>
      <c r="S8722" s="13">
        <v>0</v>
      </c>
    </row>
    <row r="8723" spans="18:19" x14ac:dyDescent="0.25">
      <c r="R8723" s="13">
        <v>8650</v>
      </c>
      <c r="S8723" s="13">
        <v>0</v>
      </c>
    </row>
    <row r="8724" spans="18:19" x14ac:dyDescent="0.25">
      <c r="R8724" s="13">
        <v>8651</v>
      </c>
      <c r="S8724" s="13">
        <v>0</v>
      </c>
    </row>
    <row r="8725" spans="18:19" x14ac:dyDescent="0.25">
      <c r="R8725" s="13">
        <v>8652</v>
      </c>
      <c r="S8725" s="13">
        <v>161032109.10710144</v>
      </c>
    </row>
    <row r="8726" spans="18:19" x14ac:dyDescent="0.25">
      <c r="R8726" s="13">
        <v>8653</v>
      </c>
      <c r="S8726" s="13">
        <v>0</v>
      </c>
    </row>
    <row r="8727" spans="18:19" x14ac:dyDescent="0.25">
      <c r="R8727" s="13">
        <v>8654</v>
      </c>
      <c r="S8727" s="13">
        <v>0</v>
      </c>
    </row>
    <row r="8728" spans="18:19" x14ac:dyDescent="0.25">
      <c r="R8728" s="13">
        <v>8655</v>
      </c>
      <c r="S8728" s="13">
        <v>0</v>
      </c>
    </row>
    <row r="8729" spans="18:19" x14ac:dyDescent="0.25">
      <c r="R8729" s="13">
        <v>8656</v>
      </c>
      <c r="S8729" s="13">
        <v>0</v>
      </c>
    </row>
    <row r="8730" spans="18:19" x14ac:dyDescent="0.25">
      <c r="R8730" s="13">
        <v>8657</v>
      </c>
      <c r="S8730" s="13">
        <v>299472714.72493362</v>
      </c>
    </row>
    <row r="8731" spans="18:19" x14ac:dyDescent="0.25">
      <c r="R8731" s="13">
        <v>8658</v>
      </c>
      <c r="S8731" s="13">
        <v>0</v>
      </c>
    </row>
    <row r="8732" spans="18:19" x14ac:dyDescent="0.25">
      <c r="R8732" s="13">
        <v>8659</v>
      </c>
      <c r="S8732" s="13">
        <v>0</v>
      </c>
    </row>
    <row r="8733" spans="18:19" x14ac:dyDescent="0.25">
      <c r="R8733" s="13">
        <v>8660</v>
      </c>
      <c r="S8733" s="13">
        <v>290927696.09006119</v>
      </c>
    </row>
    <row r="8734" spans="18:19" x14ac:dyDescent="0.25">
      <c r="R8734" s="13">
        <v>8661</v>
      </c>
      <c r="S8734" s="13">
        <v>0</v>
      </c>
    </row>
    <row r="8735" spans="18:19" x14ac:dyDescent="0.25">
      <c r="R8735" s="13">
        <v>8662</v>
      </c>
      <c r="S8735" s="13">
        <v>0</v>
      </c>
    </row>
    <row r="8736" spans="18:19" x14ac:dyDescent="0.25">
      <c r="R8736" s="13">
        <v>8663</v>
      </c>
      <c r="S8736" s="13">
        <v>0</v>
      </c>
    </row>
    <row r="8737" spans="18:19" x14ac:dyDescent="0.25">
      <c r="R8737" s="13">
        <v>8664</v>
      </c>
      <c r="S8737" s="13">
        <v>0</v>
      </c>
    </row>
    <row r="8738" spans="18:19" x14ac:dyDescent="0.25">
      <c r="R8738" s="13">
        <v>8665</v>
      </c>
      <c r="S8738" s="13">
        <v>41564184.515911102</v>
      </c>
    </row>
    <row r="8739" spans="18:19" x14ac:dyDescent="0.25">
      <c r="R8739" s="13">
        <v>8666</v>
      </c>
      <c r="S8739" s="13">
        <v>0</v>
      </c>
    </row>
    <row r="8740" spans="18:19" x14ac:dyDescent="0.25">
      <c r="R8740" s="13">
        <v>8667</v>
      </c>
      <c r="S8740" s="13">
        <v>0</v>
      </c>
    </row>
    <row r="8741" spans="18:19" x14ac:dyDescent="0.25">
      <c r="R8741" s="13">
        <v>8668</v>
      </c>
      <c r="S8741" s="13">
        <v>0</v>
      </c>
    </row>
    <row r="8742" spans="18:19" x14ac:dyDescent="0.25">
      <c r="R8742" s="13">
        <v>8669</v>
      </c>
      <c r="S8742" s="13">
        <v>0</v>
      </c>
    </row>
    <row r="8743" spans="18:19" x14ac:dyDescent="0.25">
      <c r="R8743" s="13">
        <v>8670</v>
      </c>
      <c r="S8743" s="13">
        <v>0</v>
      </c>
    </row>
    <row r="8744" spans="18:19" x14ac:dyDescent="0.25">
      <c r="R8744" s="13">
        <v>8671</v>
      </c>
      <c r="S8744" s="13">
        <v>184592199.26717377</v>
      </c>
    </row>
    <row r="8745" spans="18:19" x14ac:dyDescent="0.25">
      <c r="R8745" s="13">
        <v>8672</v>
      </c>
      <c r="S8745" s="13">
        <v>0</v>
      </c>
    </row>
    <row r="8746" spans="18:19" x14ac:dyDescent="0.25">
      <c r="R8746" s="13">
        <v>8673</v>
      </c>
      <c r="S8746" s="13">
        <v>0</v>
      </c>
    </row>
    <row r="8747" spans="18:19" x14ac:dyDescent="0.25">
      <c r="R8747" s="13">
        <v>8674</v>
      </c>
      <c r="S8747" s="13">
        <v>0</v>
      </c>
    </row>
    <row r="8748" spans="18:19" x14ac:dyDescent="0.25">
      <c r="R8748" s="13">
        <v>8675</v>
      </c>
      <c r="S8748" s="13">
        <v>273362816.34417915</v>
      </c>
    </row>
    <row r="8749" spans="18:19" x14ac:dyDescent="0.25">
      <c r="R8749" s="13">
        <v>8676</v>
      </c>
      <c r="S8749" s="13">
        <v>0</v>
      </c>
    </row>
    <row r="8750" spans="18:19" x14ac:dyDescent="0.25">
      <c r="R8750" s="13">
        <v>8677</v>
      </c>
      <c r="S8750" s="13">
        <v>0</v>
      </c>
    </row>
    <row r="8751" spans="18:19" x14ac:dyDescent="0.25">
      <c r="R8751" s="13">
        <v>8678</v>
      </c>
      <c r="S8751" s="13">
        <v>0</v>
      </c>
    </row>
    <row r="8752" spans="18:19" x14ac:dyDescent="0.25">
      <c r="R8752" s="13">
        <v>8679</v>
      </c>
      <c r="S8752" s="13">
        <v>0</v>
      </c>
    </row>
    <row r="8753" spans="18:19" x14ac:dyDescent="0.25">
      <c r="R8753" s="13">
        <v>8680</v>
      </c>
      <c r="S8753" s="13">
        <v>0</v>
      </c>
    </row>
    <row r="8754" spans="18:19" x14ac:dyDescent="0.25">
      <c r="R8754" s="13">
        <v>8681</v>
      </c>
      <c r="S8754" s="13">
        <v>0</v>
      </c>
    </row>
    <row r="8755" spans="18:19" x14ac:dyDescent="0.25">
      <c r="R8755" s="13">
        <v>8682</v>
      </c>
      <c r="S8755" s="13">
        <v>0</v>
      </c>
    </row>
    <row r="8756" spans="18:19" x14ac:dyDescent="0.25">
      <c r="R8756" s="13">
        <v>8683</v>
      </c>
      <c r="S8756" s="13">
        <v>555449319.03380775</v>
      </c>
    </row>
    <row r="8757" spans="18:19" x14ac:dyDescent="0.25">
      <c r="R8757" s="13">
        <v>8684</v>
      </c>
      <c r="S8757" s="13">
        <v>0</v>
      </c>
    </row>
    <row r="8758" spans="18:19" x14ac:dyDescent="0.25">
      <c r="R8758" s="13">
        <v>8685</v>
      </c>
      <c r="S8758" s="13">
        <v>0</v>
      </c>
    </row>
    <row r="8759" spans="18:19" x14ac:dyDescent="0.25">
      <c r="R8759" s="13">
        <v>8686</v>
      </c>
      <c r="S8759" s="13">
        <v>0</v>
      </c>
    </row>
    <row r="8760" spans="18:19" x14ac:dyDescent="0.25">
      <c r="R8760" s="13">
        <v>8687</v>
      </c>
      <c r="S8760" s="13">
        <v>0</v>
      </c>
    </row>
    <row r="8761" spans="18:19" x14ac:dyDescent="0.25">
      <c r="R8761" s="13">
        <v>8688</v>
      </c>
      <c r="S8761" s="13">
        <v>257244772.03169632</v>
      </c>
    </row>
    <row r="8762" spans="18:19" x14ac:dyDescent="0.25">
      <c r="R8762" s="13">
        <v>8689</v>
      </c>
      <c r="S8762" s="13">
        <v>0</v>
      </c>
    </row>
    <row r="8763" spans="18:19" x14ac:dyDescent="0.25">
      <c r="R8763" s="13">
        <v>8690</v>
      </c>
      <c r="S8763" s="13">
        <v>0</v>
      </c>
    </row>
    <row r="8764" spans="18:19" x14ac:dyDescent="0.25">
      <c r="R8764" s="13">
        <v>8691</v>
      </c>
      <c r="S8764" s="13">
        <v>342676260.19280052</v>
      </c>
    </row>
    <row r="8765" spans="18:19" x14ac:dyDescent="0.25">
      <c r="R8765" s="13">
        <v>8692</v>
      </c>
      <c r="S8765" s="13">
        <v>0</v>
      </c>
    </row>
    <row r="8766" spans="18:19" x14ac:dyDescent="0.25">
      <c r="R8766" s="13">
        <v>8693</v>
      </c>
      <c r="S8766" s="13">
        <v>0</v>
      </c>
    </row>
    <row r="8767" spans="18:19" x14ac:dyDescent="0.25">
      <c r="R8767" s="13">
        <v>8694</v>
      </c>
      <c r="S8767" s="13">
        <v>644789922.36243248</v>
      </c>
    </row>
    <row r="8768" spans="18:19" x14ac:dyDescent="0.25">
      <c r="R8768" s="13">
        <v>8695</v>
      </c>
      <c r="S8768" s="13">
        <v>785666955.70617485</v>
      </c>
    </row>
    <row r="8769" spans="18:19" x14ac:dyDescent="0.25">
      <c r="R8769" s="13">
        <v>8696</v>
      </c>
      <c r="S8769" s="13">
        <v>453885251.1104126</v>
      </c>
    </row>
    <row r="8770" spans="18:19" x14ac:dyDescent="0.25">
      <c r="R8770" s="13">
        <v>8697</v>
      </c>
      <c r="S8770" s="13">
        <v>0</v>
      </c>
    </row>
    <row r="8771" spans="18:19" x14ac:dyDescent="0.25">
      <c r="R8771" s="13">
        <v>8698</v>
      </c>
      <c r="S8771" s="13">
        <v>0</v>
      </c>
    </row>
    <row r="8772" spans="18:19" x14ac:dyDescent="0.25">
      <c r="R8772" s="13">
        <v>8699</v>
      </c>
      <c r="S8772" s="13">
        <v>93460943.633285522</v>
      </c>
    </row>
    <row r="8773" spans="18:19" x14ac:dyDescent="0.25">
      <c r="R8773" s="13">
        <v>8700</v>
      </c>
      <c r="S8773" s="13">
        <v>0</v>
      </c>
    </row>
    <row r="8774" spans="18:19" x14ac:dyDescent="0.25">
      <c r="R8774" s="13">
        <v>8701</v>
      </c>
      <c r="S8774" s="13">
        <v>0</v>
      </c>
    </row>
    <row r="8775" spans="18:19" x14ac:dyDescent="0.25">
      <c r="R8775" s="13">
        <v>8702</v>
      </c>
      <c r="S8775" s="13">
        <v>0</v>
      </c>
    </row>
    <row r="8776" spans="18:19" x14ac:dyDescent="0.25">
      <c r="R8776" s="13">
        <v>8703</v>
      </c>
      <c r="S8776" s="13">
        <v>0</v>
      </c>
    </row>
    <row r="8777" spans="18:19" x14ac:dyDescent="0.25">
      <c r="R8777" s="13">
        <v>8704</v>
      </c>
      <c r="S8777" s="13">
        <v>0</v>
      </c>
    </row>
    <row r="8778" spans="18:19" x14ac:dyDescent="0.25">
      <c r="R8778" s="13">
        <v>8705</v>
      </c>
      <c r="S8778" s="13">
        <v>0</v>
      </c>
    </row>
    <row r="8779" spans="18:19" x14ac:dyDescent="0.25">
      <c r="R8779" s="13">
        <v>8706</v>
      </c>
      <c r="S8779" s="13">
        <v>0</v>
      </c>
    </row>
    <row r="8780" spans="18:19" x14ac:dyDescent="0.25">
      <c r="R8780" s="13">
        <v>8707</v>
      </c>
      <c r="S8780" s="13">
        <v>0</v>
      </c>
    </row>
    <row r="8781" spans="18:19" x14ac:dyDescent="0.25">
      <c r="R8781" s="13">
        <v>8708</v>
      </c>
      <c r="S8781" s="13">
        <v>0</v>
      </c>
    </row>
    <row r="8782" spans="18:19" x14ac:dyDescent="0.25">
      <c r="R8782" s="13">
        <v>8709</v>
      </c>
      <c r="S8782" s="13">
        <v>0</v>
      </c>
    </row>
    <row r="8783" spans="18:19" x14ac:dyDescent="0.25">
      <c r="R8783" s="13">
        <v>8710</v>
      </c>
      <c r="S8783" s="13">
        <v>0</v>
      </c>
    </row>
    <row r="8784" spans="18:19" x14ac:dyDescent="0.25">
      <c r="R8784" s="13">
        <v>8711</v>
      </c>
      <c r="S8784" s="13">
        <v>0</v>
      </c>
    </row>
    <row r="8785" spans="18:19" x14ac:dyDescent="0.25">
      <c r="R8785" s="13">
        <v>8712</v>
      </c>
      <c r="S8785" s="13">
        <v>0</v>
      </c>
    </row>
    <row r="8786" spans="18:19" x14ac:dyDescent="0.25">
      <c r="R8786" s="13">
        <v>8713</v>
      </c>
      <c r="S8786" s="13">
        <v>0</v>
      </c>
    </row>
    <row r="8787" spans="18:19" x14ac:dyDescent="0.25">
      <c r="R8787" s="13">
        <v>8714</v>
      </c>
      <c r="S8787" s="13">
        <v>0</v>
      </c>
    </row>
    <row r="8788" spans="18:19" x14ac:dyDescent="0.25">
      <c r="R8788" s="13">
        <v>8715</v>
      </c>
      <c r="S8788" s="13">
        <v>0</v>
      </c>
    </row>
    <row r="8789" spans="18:19" x14ac:dyDescent="0.25">
      <c r="R8789" s="13">
        <v>8716</v>
      </c>
      <c r="S8789" s="13">
        <v>0</v>
      </c>
    </row>
    <row r="8790" spans="18:19" x14ac:dyDescent="0.25">
      <c r="R8790" s="13">
        <v>8717</v>
      </c>
      <c r="S8790" s="13">
        <v>0</v>
      </c>
    </row>
    <row r="8791" spans="18:19" x14ac:dyDescent="0.25">
      <c r="R8791" s="13">
        <v>8718</v>
      </c>
      <c r="S8791" s="13">
        <v>0</v>
      </c>
    </row>
    <row r="8792" spans="18:19" x14ac:dyDescent="0.25">
      <c r="R8792" s="13">
        <v>8719</v>
      </c>
      <c r="S8792" s="13">
        <v>260656935.6524868</v>
      </c>
    </row>
    <row r="8793" spans="18:19" x14ac:dyDescent="0.25">
      <c r="R8793" s="13">
        <v>8720</v>
      </c>
      <c r="S8793" s="13">
        <v>121249578.01101685</v>
      </c>
    </row>
    <row r="8794" spans="18:19" x14ac:dyDescent="0.25">
      <c r="R8794" s="13">
        <v>8721</v>
      </c>
      <c r="S8794" s="13">
        <v>1209286185.7121964</v>
      </c>
    </row>
    <row r="8795" spans="18:19" x14ac:dyDescent="0.25">
      <c r="R8795" s="13">
        <v>8722</v>
      </c>
      <c r="S8795" s="13">
        <v>0</v>
      </c>
    </row>
    <row r="8796" spans="18:19" x14ac:dyDescent="0.25">
      <c r="R8796" s="13">
        <v>8723</v>
      </c>
      <c r="S8796" s="13">
        <v>38150481.597106934</v>
      </c>
    </row>
    <row r="8797" spans="18:19" x14ac:dyDescent="0.25">
      <c r="R8797" s="13">
        <v>8724</v>
      </c>
      <c r="S8797" s="13">
        <v>0</v>
      </c>
    </row>
    <row r="8798" spans="18:19" x14ac:dyDescent="0.25">
      <c r="R8798" s="13">
        <v>8725</v>
      </c>
      <c r="S8798" s="13">
        <v>0</v>
      </c>
    </row>
    <row r="8799" spans="18:19" x14ac:dyDescent="0.25">
      <c r="R8799" s="13">
        <v>8726</v>
      </c>
      <c r="S8799" s="13">
        <v>0</v>
      </c>
    </row>
    <row r="8800" spans="18:19" x14ac:dyDescent="0.25">
      <c r="R8800" s="13">
        <v>8727</v>
      </c>
      <c r="S8800" s="13">
        <v>0</v>
      </c>
    </row>
    <row r="8801" spans="18:19" x14ac:dyDescent="0.25">
      <c r="R8801" s="13">
        <v>8728</v>
      </c>
      <c r="S8801" s="13">
        <v>0</v>
      </c>
    </row>
    <row r="8802" spans="18:19" x14ac:dyDescent="0.25">
      <c r="R8802" s="13">
        <v>8729</v>
      </c>
      <c r="S8802" s="13">
        <v>0</v>
      </c>
    </row>
    <row r="8803" spans="18:19" x14ac:dyDescent="0.25">
      <c r="R8803" s="13">
        <v>8730</v>
      </c>
      <c r="S8803" s="13">
        <v>0</v>
      </c>
    </row>
    <row r="8804" spans="18:19" x14ac:dyDescent="0.25">
      <c r="R8804" s="13">
        <v>8731</v>
      </c>
      <c r="S8804" s="13">
        <v>0</v>
      </c>
    </row>
    <row r="8805" spans="18:19" x14ac:dyDescent="0.25">
      <c r="R8805" s="13">
        <v>8732</v>
      </c>
      <c r="S8805" s="13">
        <v>0</v>
      </c>
    </row>
    <row r="8806" spans="18:19" x14ac:dyDescent="0.25">
      <c r="R8806" s="13">
        <v>8733</v>
      </c>
      <c r="S8806" s="13">
        <v>239194403.37553596</v>
      </c>
    </row>
    <row r="8807" spans="18:19" x14ac:dyDescent="0.25">
      <c r="R8807" s="13">
        <v>8734</v>
      </c>
      <c r="S8807" s="13">
        <v>0</v>
      </c>
    </row>
    <row r="8808" spans="18:19" x14ac:dyDescent="0.25">
      <c r="R8808" s="13">
        <v>8735</v>
      </c>
      <c r="S8808" s="13">
        <v>818913019.07067299</v>
      </c>
    </row>
    <row r="8809" spans="18:19" x14ac:dyDescent="0.25">
      <c r="R8809" s="13">
        <v>8736</v>
      </c>
      <c r="S8809" s="13">
        <v>0</v>
      </c>
    </row>
    <row r="8810" spans="18:19" x14ac:dyDescent="0.25">
      <c r="R8810" s="13">
        <v>8737</v>
      </c>
      <c r="S8810" s="13">
        <v>0</v>
      </c>
    </row>
    <row r="8811" spans="18:19" x14ac:dyDescent="0.25">
      <c r="R8811" s="13">
        <v>8738</v>
      </c>
      <c r="S8811" s="13">
        <v>0</v>
      </c>
    </row>
    <row r="8812" spans="18:19" x14ac:dyDescent="0.25">
      <c r="R8812" s="13">
        <v>8739</v>
      </c>
      <c r="S8812" s="13">
        <v>0</v>
      </c>
    </row>
    <row r="8813" spans="18:19" x14ac:dyDescent="0.25">
      <c r="R8813" s="13">
        <v>8740</v>
      </c>
      <c r="S8813" s="13">
        <v>0</v>
      </c>
    </row>
    <row r="8814" spans="18:19" x14ac:dyDescent="0.25">
      <c r="R8814" s="13">
        <v>8741</v>
      </c>
      <c r="S8814" s="13">
        <v>0</v>
      </c>
    </row>
    <row r="8815" spans="18:19" x14ac:dyDescent="0.25">
      <c r="R8815" s="13">
        <v>8742</v>
      </c>
      <c r="S8815" s="13">
        <v>307672776.57103729</v>
      </c>
    </row>
    <row r="8816" spans="18:19" x14ac:dyDescent="0.25">
      <c r="R8816" s="13">
        <v>8743</v>
      </c>
      <c r="S8816" s="13">
        <v>249571087.83718491</v>
      </c>
    </row>
    <row r="8817" spans="18:19" x14ac:dyDescent="0.25">
      <c r="R8817" s="13">
        <v>8744</v>
      </c>
      <c r="S8817" s="13">
        <v>0</v>
      </c>
    </row>
    <row r="8818" spans="18:19" x14ac:dyDescent="0.25">
      <c r="R8818" s="13">
        <v>8745</v>
      </c>
      <c r="S8818" s="13">
        <v>0</v>
      </c>
    </row>
    <row r="8819" spans="18:19" x14ac:dyDescent="0.25">
      <c r="R8819" s="13">
        <v>8746</v>
      </c>
      <c r="S8819" s="13">
        <v>0</v>
      </c>
    </row>
    <row r="8820" spans="18:19" x14ac:dyDescent="0.25">
      <c r="R8820" s="13">
        <v>8747</v>
      </c>
      <c r="S8820" s="13">
        <v>0</v>
      </c>
    </row>
    <row r="8821" spans="18:19" x14ac:dyDescent="0.25">
      <c r="R8821" s="13">
        <v>8748</v>
      </c>
      <c r="S8821" s="13">
        <v>0</v>
      </c>
    </row>
    <row r="8822" spans="18:19" x14ac:dyDescent="0.25">
      <c r="R8822" s="13">
        <v>8749</v>
      </c>
      <c r="S8822" s="13">
        <v>0</v>
      </c>
    </row>
    <row r="8823" spans="18:19" x14ac:dyDescent="0.25">
      <c r="R8823" s="13">
        <v>8750</v>
      </c>
      <c r="S8823" s="13">
        <v>0</v>
      </c>
    </row>
    <row r="8824" spans="18:19" x14ac:dyDescent="0.25">
      <c r="R8824" s="13">
        <v>8751</v>
      </c>
      <c r="S8824" s="13">
        <v>484397648.37331009</v>
      </c>
    </row>
    <row r="8825" spans="18:19" x14ac:dyDescent="0.25">
      <c r="R8825" s="13">
        <v>8752</v>
      </c>
      <c r="S8825" s="13">
        <v>0</v>
      </c>
    </row>
    <row r="8826" spans="18:19" x14ac:dyDescent="0.25">
      <c r="R8826" s="13">
        <v>8753</v>
      </c>
      <c r="S8826" s="13">
        <v>3615005.372127533</v>
      </c>
    </row>
    <row r="8827" spans="18:19" x14ac:dyDescent="0.25">
      <c r="R8827" s="13">
        <v>8754</v>
      </c>
      <c r="S8827" s="13">
        <v>0</v>
      </c>
    </row>
    <row r="8828" spans="18:19" x14ac:dyDescent="0.25">
      <c r="R8828" s="13">
        <v>8755</v>
      </c>
      <c r="S8828" s="13">
        <v>0</v>
      </c>
    </row>
    <row r="8829" spans="18:19" x14ac:dyDescent="0.25">
      <c r="R8829" s="13">
        <v>8756</v>
      </c>
      <c r="S8829" s="13">
        <v>0</v>
      </c>
    </row>
    <row r="8830" spans="18:19" x14ac:dyDescent="0.25">
      <c r="R8830" s="13">
        <v>8757</v>
      </c>
      <c r="S8830" s="13">
        <v>0</v>
      </c>
    </row>
    <row r="8831" spans="18:19" x14ac:dyDescent="0.25">
      <c r="R8831" s="13">
        <v>8758</v>
      </c>
      <c r="S8831" s="13">
        <v>0</v>
      </c>
    </row>
    <row r="8832" spans="18:19" x14ac:dyDescent="0.25">
      <c r="R8832" s="13">
        <v>8759</v>
      </c>
      <c r="S8832" s="13">
        <v>163817244.03845978</v>
      </c>
    </row>
    <row r="8833" spans="18:19" x14ac:dyDescent="0.25">
      <c r="R8833" s="13">
        <v>8760</v>
      </c>
      <c r="S8833" s="13">
        <v>221784896.00885201</v>
      </c>
    </row>
    <row r="8834" spans="18:19" x14ac:dyDescent="0.25">
      <c r="R8834" s="13">
        <v>8761</v>
      </c>
      <c r="S8834" s="13">
        <v>0</v>
      </c>
    </row>
    <row r="8835" spans="18:19" x14ac:dyDescent="0.25">
      <c r="R8835" s="13">
        <v>8762</v>
      </c>
      <c r="S8835" s="13">
        <v>0</v>
      </c>
    </row>
    <row r="8836" spans="18:19" x14ac:dyDescent="0.25">
      <c r="R8836" s="13">
        <v>8763</v>
      </c>
      <c r="S8836" s="13">
        <v>0</v>
      </c>
    </row>
    <row r="8837" spans="18:19" x14ac:dyDescent="0.25">
      <c r="R8837" s="13">
        <v>8764</v>
      </c>
      <c r="S8837" s="13">
        <v>0</v>
      </c>
    </row>
    <row r="8838" spans="18:19" x14ac:dyDescent="0.25">
      <c r="R8838" s="13">
        <v>8765</v>
      </c>
      <c r="S8838" s="13">
        <v>0</v>
      </c>
    </row>
    <row r="8839" spans="18:19" x14ac:dyDescent="0.25">
      <c r="R8839" s="13">
        <v>8766</v>
      </c>
      <c r="S8839" s="13">
        <v>0</v>
      </c>
    </row>
    <row r="8840" spans="18:19" x14ac:dyDescent="0.25">
      <c r="R8840" s="13">
        <v>8767</v>
      </c>
      <c r="S8840" s="13">
        <v>10245020.594358444</v>
      </c>
    </row>
    <row r="8841" spans="18:19" x14ac:dyDescent="0.25">
      <c r="R8841" s="13">
        <v>8768</v>
      </c>
      <c r="S8841" s="13">
        <v>116685915.74764824</v>
      </c>
    </row>
    <row r="8842" spans="18:19" x14ac:dyDescent="0.25">
      <c r="R8842" s="13">
        <v>8769</v>
      </c>
      <c r="S8842" s="13">
        <v>0</v>
      </c>
    </row>
    <row r="8843" spans="18:19" x14ac:dyDescent="0.25">
      <c r="R8843" s="13">
        <v>8770</v>
      </c>
      <c r="S8843" s="13">
        <v>0</v>
      </c>
    </row>
    <row r="8844" spans="18:19" x14ac:dyDescent="0.25">
      <c r="R8844" s="13">
        <v>8771</v>
      </c>
      <c r="S8844" s="13">
        <v>0</v>
      </c>
    </row>
    <row r="8845" spans="18:19" x14ac:dyDescent="0.25">
      <c r="R8845" s="13">
        <v>8772</v>
      </c>
      <c r="S8845" s="13">
        <v>101744478.97512627</v>
      </c>
    </row>
    <row r="8846" spans="18:19" x14ac:dyDescent="0.25">
      <c r="R8846" s="13">
        <v>8773</v>
      </c>
      <c r="S8846" s="13">
        <v>0</v>
      </c>
    </row>
    <row r="8847" spans="18:19" x14ac:dyDescent="0.25">
      <c r="R8847" s="13">
        <v>8774</v>
      </c>
      <c r="S8847" s="13">
        <v>0</v>
      </c>
    </row>
    <row r="8848" spans="18:19" x14ac:dyDescent="0.25">
      <c r="R8848" s="13">
        <v>8775</v>
      </c>
      <c r="S8848" s="13">
        <v>0</v>
      </c>
    </row>
    <row r="8849" spans="18:19" x14ac:dyDescent="0.25">
      <c r="R8849" s="13">
        <v>8776</v>
      </c>
      <c r="S8849" s="13">
        <v>0</v>
      </c>
    </row>
    <row r="8850" spans="18:19" x14ac:dyDescent="0.25">
      <c r="R8850" s="13">
        <v>8777</v>
      </c>
      <c r="S8850" s="13">
        <v>0</v>
      </c>
    </row>
    <row r="8851" spans="18:19" x14ac:dyDescent="0.25">
      <c r="R8851" s="13">
        <v>8778</v>
      </c>
      <c r="S8851" s="13">
        <v>0</v>
      </c>
    </row>
    <row r="8852" spans="18:19" x14ac:dyDescent="0.25">
      <c r="R8852" s="13">
        <v>8779</v>
      </c>
      <c r="S8852" s="13">
        <v>0</v>
      </c>
    </row>
    <row r="8853" spans="18:19" x14ac:dyDescent="0.25">
      <c r="R8853" s="13">
        <v>8780</v>
      </c>
      <c r="S8853" s="13">
        <v>143532293.24729156</v>
      </c>
    </row>
    <row r="8854" spans="18:19" x14ac:dyDescent="0.25">
      <c r="R8854" s="13">
        <v>8781</v>
      </c>
      <c r="S8854" s="13">
        <v>0</v>
      </c>
    </row>
    <row r="8855" spans="18:19" x14ac:dyDescent="0.25">
      <c r="R8855" s="13">
        <v>8782</v>
      </c>
      <c r="S8855" s="13">
        <v>0</v>
      </c>
    </row>
    <row r="8856" spans="18:19" x14ac:dyDescent="0.25">
      <c r="R8856" s="13">
        <v>8783</v>
      </c>
      <c r="S8856" s="13">
        <v>340724608.16068649</v>
      </c>
    </row>
    <row r="8857" spans="18:19" x14ac:dyDescent="0.25">
      <c r="R8857" s="13">
        <v>8784</v>
      </c>
      <c r="S8857" s="13">
        <v>0</v>
      </c>
    </row>
    <row r="8858" spans="18:19" x14ac:dyDescent="0.25">
      <c r="R8858" s="13">
        <v>8785</v>
      </c>
      <c r="S8858" s="13">
        <v>0</v>
      </c>
    </row>
    <row r="8859" spans="18:19" x14ac:dyDescent="0.25">
      <c r="R8859" s="13">
        <v>8786</v>
      </c>
      <c r="S8859" s="13">
        <v>0</v>
      </c>
    </row>
    <row r="8860" spans="18:19" x14ac:dyDescent="0.25">
      <c r="R8860" s="13">
        <v>8787</v>
      </c>
      <c r="S8860" s="13">
        <v>0</v>
      </c>
    </row>
    <row r="8861" spans="18:19" x14ac:dyDescent="0.25">
      <c r="R8861" s="13">
        <v>8788</v>
      </c>
      <c r="S8861" s="13">
        <v>0</v>
      </c>
    </row>
    <row r="8862" spans="18:19" x14ac:dyDescent="0.25">
      <c r="R8862" s="13">
        <v>8789</v>
      </c>
      <c r="S8862" s="13">
        <v>0</v>
      </c>
    </row>
    <row r="8863" spans="18:19" x14ac:dyDescent="0.25">
      <c r="R8863" s="13">
        <v>8790</v>
      </c>
      <c r="S8863" s="13">
        <v>237084674.88557053</v>
      </c>
    </row>
    <row r="8864" spans="18:19" x14ac:dyDescent="0.25">
      <c r="R8864" s="13">
        <v>8791</v>
      </c>
      <c r="S8864" s="13">
        <v>0</v>
      </c>
    </row>
    <row r="8865" spans="18:19" x14ac:dyDescent="0.25">
      <c r="R8865" s="13">
        <v>8792</v>
      </c>
      <c r="S8865" s="13">
        <v>32376371.81124115</v>
      </c>
    </row>
    <row r="8866" spans="18:19" x14ac:dyDescent="0.25">
      <c r="R8866" s="13">
        <v>8793</v>
      </c>
      <c r="S8866" s="13">
        <v>0</v>
      </c>
    </row>
    <row r="8867" spans="18:19" x14ac:dyDescent="0.25">
      <c r="R8867" s="13">
        <v>8794</v>
      </c>
      <c r="S8867" s="13">
        <v>0</v>
      </c>
    </row>
    <row r="8868" spans="18:19" x14ac:dyDescent="0.25">
      <c r="R8868" s="13">
        <v>8795</v>
      </c>
      <c r="S8868" s="13">
        <v>0</v>
      </c>
    </row>
    <row r="8869" spans="18:19" x14ac:dyDescent="0.25">
      <c r="R8869" s="13">
        <v>8796</v>
      </c>
      <c r="S8869" s="13">
        <v>0</v>
      </c>
    </row>
    <row r="8870" spans="18:19" x14ac:dyDescent="0.25">
      <c r="R8870" s="13">
        <v>8797</v>
      </c>
      <c r="S8870" s="13">
        <v>0</v>
      </c>
    </row>
    <row r="8871" spans="18:19" x14ac:dyDescent="0.25">
      <c r="R8871" s="13">
        <v>8798</v>
      </c>
      <c r="S8871" s="13">
        <v>285267502.63506317</v>
      </c>
    </row>
    <row r="8872" spans="18:19" x14ac:dyDescent="0.25">
      <c r="R8872" s="13">
        <v>8799</v>
      </c>
      <c r="S8872" s="13">
        <v>0</v>
      </c>
    </row>
    <row r="8873" spans="18:19" x14ac:dyDescent="0.25">
      <c r="R8873" s="13">
        <v>8800</v>
      </c>
      <c r="S8873" s="13">
        <v>0</v>
      </c>
    </row>
    <row r="8874" spans="18:19" x14ac:dyDescent="0.25">
      <c r="R8874" s="13">
        <v>8801</v>
      </c>
      <c r="S8874" s="13">
        <v>0</v>
      </c>
    </row>
    <row r="8875" spans="18:19" x14ac:dyDescent="0.25">
      <c r="R8875" s="13">
        <v>8802</v>
      </c>
      <c r="S8875" s="13">
        <v>0</v>
      </c>
    </row>
    <row r="8876" spans="18:19" x14ac:dyDescent="0.25">
      <c r="R8876" s="13">
        <v>8803</v>
      </c>
      <c r="S8876" s="13">
        <v>0</v>
      </c>
    </row>
    <row r="8877" spans="18:19" x14ac:dyDescent="0.25">
      <c r="R8877" s="13">
        <v>8804</v>
      </c>
      <c r="S8877" s="13">
        <v>474366130.93403244</v>
      </c>
    </row>
    <row r="8878" spans="18:19" x14ac:dyDescent="0.25">
      <c r="R8878" s="13">
        <v>8805</v>
      </c>
      <c r="S8878" s="13">
        <v>0</v>
      </c>
    </row>
    <row r="8879" spans="18:19" x14ac:dyDescent="0.25">
      <c r="R8879" s="13">
        <v>8806</v>
      </c>
      <c r="S8879" s="13">
        <v>0</v>
      </c>
    </row>
    <row r="8880" spans="18:19" x14ac:dyDescent="0.25">
      <c r="R8880" s="13">
        <v>8807</v>
      </c>
      <c r="S8880" s="13">
        <v>0</v>
      </c>
    </row>
    <row r="8881" spans="18:19" x14ac:dyDescent="0.25">
      <c r="R8881" s="13">
        <v>8808</v>
      </c>
      <c r="S8881" s="13">
        <v>0</v>
      </c>
    </row>
    <row r="8882" spans="18:19" x14ac:dyDescent="0.25">
      <c r="R8882" s="13">
        <v>8809</v>
      </c>
      <c r="S8882" s="13">
        <v>404451220.79872704</v>
      </c>
    </row>
    <row r="8883" spans="18:19" x14ac:dyDescent="0.25">
      <c r="R8883" s="13">
        <v>8810</v>
      </c>
      <c r="S8883" s="13">
        <v>354155899.35896301</v>
      </c>
    </row>
    <row r="8884" spans="18:19" x14ac:dyDescent="0.25">
      <c r="R8884" s="13">
        <v>8811</v>
      </c>
      <c r="S8884" s="13">
        <v>0</v>
      </c>
    </row>
    <row r="8885" spans="18:19" x14ac:dyDescent="0.25">
      <c r="R8885" s="13">
        <v>8812</v>
      </c>
      <c r="S8885" s="13">
        <v>229048430.14762688</v>
      </c>
    </row>
    <row r="8886" spans="18:19" x14ac:dyDescent="0.25">
      <c r="R8886" s="13">
        <v>8813</v>
      </c>
      <c r="S8886" s="13">
        <v>0</v>
      </c>
    </row>
    <row r="8887" spans="18:19" x14ac:dyDescent="0.25">
      <c r="R8887" s="13">
        <v>8814</v>
      </c>
      <c r="S8887" s="13">
        <v>0</v>
      </c>
    </row>
    <row r="8888" spans="18:19" x14ac:dyDescent="0.25">
      <c r="R8888" s="13">
        <v>8815</v>
      </c>
      <c r="S8888" s="13">
        <v>0</v>
      </c>
    </row>
    <row r="8889" spans="18:19" x14ac:dyDescent="0.25">
      <c r="R8889" s="13">
        <v>8816</v>
      </c>
      <c r="S8889" s="13">
        <v>0</v>
      </c>
    </row>
    <row r="8890" spans="18:19" x14ac:dyDescent="0.25">
      <c r="R8890" s="13">
        <v>8817</v>
      </c>
      <c r="S8890" s="13">
        <v>0</v>
      </c>
    </row>
    <row r="8891" spans="18:19" x14ac:dyDescent="0.25">
      <c r="R8891" s="13">
        <v>8818</v>
      </c>
      <c r="S8891" s="13">
        <v>0</v>
      </c>
    </row>
    <row r="8892" spans="18:19" x14ac:dyDescent="0.25">
      <c r="R8892" s="13">
        <v>8819</v>
      </c>
      <c r="S8892" s="13">
        <v>0</v>
      </c>
    </row>
    <row r="8893" spans="18:19" x14ac:dyDescent="0.25">
      <c r="R8893" s="13">
        <v>8820</v>
      </c>
      <c r="S8893" s="13">
        <v>0</v>
      </c>
    </row>
    <row r="8894" spans="18:19" x14ac:dyDescent="0.25">
      <c r="R8894" s="13">
        <v>8821</v>
      </c>
      <c r="S8894" s="13">
        <v>428901002.59166145</v>
      </c>
    </row>
    <row r="8895" spans="18:19" x14ac:dyDescent="0.25">
      <c r="R8895" s="13">
        <v>8822</v>
      </c>
      <c r="S8895" s="13">
        <v>0</v>
      </c>
    </row>
    <row r="8896" spans="18:19" x14ac:dyDescent="0.25">
      <c r="R8896" s="13">
        <v>8823</v>
      </c>
      <c r="S8896" s="13">
        <v>0</v>
      </c>
    </row>
    <row r="8897" spans="18:19" x14ac:dyDescent="0.25">
      <c r="R8897" s="13">
        <v>8824</v>
      </c>
      <c r="S8897" s="13">
        <v>181814637.80803871</v>
      </c>
    </row>
    <row r="8898" spans="18:19" x14ac:dyDescent="0.25">
      <c r="R8898" s="13">
        <v>8825</v>
      </c>
      <c r="S8898" s="13">
        <v>0</v>
      </c>
    </row>
    <row r="8899" spans="18:19" x14ac:dyDescent="0.25">
      <c r="R8899" s="13">
        <v>8826</v>
      </c>
      <c r="S8899" s="13">
        <v>0</v>
      </c>
    </row>
    <row r="8900" spans="18:19" x14ac:dyDescent="0.25">
      <c r="R8900" s="13">
        <v>8827</v>
      </c>
      <c r="S8900" s="13">
        <v>0</v>
      </c>
    </row>
    <row r="8901" spans="18:19" x14ac:dyDescent="0.25">
      <c r="R8901" s="13">
        <v>8828</v>
      </c>
      <c r="S8901" s="13">
        <v>0</v>
      </c>
    </row>
    <row r="8902" spans="18:19" x14ac:dyDescent="0.25">
      <c r="R8902" s="13">
        <v>8829</v>
      </c>
      <c r="S8902" s="13">
        <v>0</v>
      </c>
    </row>
    <row r="8903" spans="18:19" x14ac:dyDescent="0.25">
      <c r="R8903" s="13">
        <v>8830</v>
      </c>
      <c r="S8903" s="13">
        <v>0</v>
      </c>
    </row>
    <row r="8904" spans="18:19" x14ac:dyDescent="0.25">
      <c r="R8904" s="13">
        <v>8831</v>
      </c>
      <c r="S8904" s="13">
        <v>0</v>
      </c>
    </row>
    <row r="8905" spans="18:19" x14ac:dyDescent="0.25">
      <c r="R8905" s="13">
        <v>8832</v>
      </c>
      <c r="S8905" s="13">
        <v>0</v>
      </c>
    </row>
    <row r="8906" spans="18:19" x14ac:dyDescent="0.25">
      <c r="R8906" s="13">
        <v>8833</v>
      </c>
      <c r="S8906" s="13">
        <v>0</v>
      </c>
    </row>
    <row r="8907" spans="18:19" x14ac:dyDescent="0.25">
      <c r="R8907" s="13">
        <v>8834</v>
      </c>
      <c r="S8907" s="13">
        <v>0</v>
      </c>
    </row>
    <row r="8908" spans="18:19" x14ac:dyDescent="0.25">
      <c r="R8908" s="13">
        <v>8835</v>
      </c>
      <c r="S8908" s="13">
        <v>0</v>
      </c>
    </row>
    <row r="8909" spans="18:19" x14ac:dyDescent="0.25">
      <c r="R8909" s="13">
        <v>8836</v>
      </c>
      <c r="S8909" s="13">
        <v>0</v>
      </c>
    </row>
    <row r="8910" spans="18:19" x14ac:dyDescent="0.25">
      <c r="R8910" s="13">
        <v>8837</v>
      </c>
      <c r="S8910" s="13">
        <v>0</v>
      </c>
    </row>
    <row r="8911" spans="18:19" x14ac:dyDescent="0.25">
      <c r="R8911" s="13">
        <v>8838</v>
      </c>
      <c r="S8911" s="13">
        <v>69554073.510677338</v>
      </c>
    </row>
    <row r="8912" spans="18:19" x14ac:dyDescent="0.25">
      <c r="R8912" s="13">
        <v>8839</v>
      </c>
      <c r="S8912" s="13">
        <v>0</v>
      </c>
    </row>
    <row r="8913" spans="18:19" x14ac:dyDescent="0.25">
      <c r="R8913" s="13">
        <v>8840</v>
      </c>
      <c r="S8913" s="13">
        <v>488684654.69711304</v>
      </c>
    </row>
    <row r="8914" spans="18:19" x14ac:dyDescent="0.25">
      <c r="R8914" s="13">
        <v>8841</v>
      </c>
      <c r="S8914" s="13">
        <v>0</v>
      </c>
    </row>
    <row r="8915" spans="18:19" x14ac:dyDescent="0.25">
      <c r="R8915" s="13">
        <v>8842</v>
      </c>
      <c r="S8915" s="13">
        <v>0</v>
      </c>
    </row>
    <row r="8916" spans="18:19" x14ac:dyDescent="0.25">
      <c r="R8916" s="13">
        <v>8843</v>
      </c>
      <c r="S8916" s="13">
        <v>0</v>
      </c>
    </row>
    <row r="8917" spans="18:19" x14ac:dyDescent="0.25">
      <c r="R8917" s="13">
        <v>8844</v>
      </c>
      <c r="S8917" s="13">
        <v>97466730.655261993</v>
      </c>
    </row>
    <row r="8918" spans="18:19" x14ac:dyDescent="0.25">
      <c r="R8918" s="13">
        <v>8845</v>
      </c>
      <c r="S8918" s="13">
        <v>0</v>
      </c>
    </row>
    <row r="8919" spans="18:19" x14ac:dyDescent="0.25">
      <c r="R8919" s="13">
        <v>8846</v>
      </c>
      <c r="S8919" s="13">
        <v>0</v>
      </c>
    </row>
    <row r="8920" spans="18:19" x14ac:dyDescent="0.25">
      <c r="R8920" s="13">
        <v>8847</v>
      </c>
      <c r="S8920" s="13">
        <v>723393883.64386559</v>
      </c>
    </row>
    <row r="8921" spans="18:19" x14ac:dyDescent="0.25">
      <c r="R8921" s="13">
        <v>8848</v>
      </c>
      <c r="S8921" s="13">
        <v>0</v>
      </c>
    </row>
    <row r="8922" spans="18:19" x14ac:dyDescent="0.25">
      <c r="R8922" s="13">
        <v>8849</v>
      </c>
      <c r="S8922" s="13">
        <v>0</v>
      </c>
    </row>
    <row r="8923" spans="18:19" x14ac:dyDescent="0.25">
      <c r="R8923" s="13">
        <v>8850</v>
      </c>
      <c r="S8923" s="13">
        <v>0</v>
      </c>
    </row>
    <row r="8924" spans="18:19" x14ac:dyDescent="0.25">
      <c r="R8924" s="13">
        <v>8851</v>
      </c>
      <c r="S8924" s="13">
        <v>0</v>
      </c>
    </row>
    <row r="8925" spans="18:19" x14ac:dyDescent="0.25">
      <c r="R8925" s="13">
        <v>8852</v>
      </c>
      <c r="S8925" s="13">
        <v>0</v>
      </c>
    </row>
    <row r="8926" spans="18:19" x14ac:dyDescent="0.25">
      <c r="R8926" s="13">
        <v>8853</v>
      </c>
      <c r="S8926" s="13">
        <v>0</v>
      </c>
    </row>
    <row r="8927" spans="18:19" x14ac:dyDescent="0.25">
      <c r="R8927" s="13">
        <v>8854</v>
      </c>
      <c r="S8927" s="13">
        <v>0</v>
      </c>
    </row>
    <row r="8928" spans="18:19" x14ac:dyDescent="0.25">
      <c r="R8928" s="13">
        <v>8855</v>
      </c>
      <c r="S8928" s="13">
        <v>0</v>
      </c>
    </row>
    <row r="8929" spans="18:19" x14ac:dyDescent="0.25">
      <c r="R8929" s="13">
        <v>8856</v>
      </c>
      <c r="S8929" s="13">
        <v>0</v>
      </c>
    </row>
    <row r="8930" spans="18:19" x14ac:dyDescent="0.25">
      <c r="R8930" s="13">
        <v>8857</v>
      </c>
      <c r="S8930" s="13">
        <v>0</v>
      </c>
    </row>
    <row r="8931" spans="18:19" x14ac:dyDescent="0.25">
      <c r="R8931" s="13">
        <v>8858</v>
      </c>
      <c r="S8931" s="13">
        <v>0</v>
      </c>
    </row>
    <row r="8932" spans="18:19" x14ac:dyDescent="0.25">
      <c r="R8932" s="13">
        <v>8859</v>
      </c>
      <c r="S8932" s="13">
        <v>0</v>
      </c>
    </row>
    <row r="8933" spans="18:19" x14ac:dyDescent="0.25">
      <c r="R8933" s="13">
        <v>8860</v>
      </c>
      <c r="S8933" s="13">
        <v>0</v>
      </c>
    </row>
    <row r="8934" spans="18:19" x14ac:dyDescent="0.25">
      <c r="R8934" s="13">
        <v>8861</v>
      </c>
      <c r="S8934" s="13">
        <v>403715224.11422729</v>
      </c>
    </row>
    <row r="8935" spans="18:19" x14ac:dyDescent="0.25">
      <c r="R8935" s="13">
        <v>8862</v>
      </c>
      <c r="S8935" s="13">
        <v>0</v>
      </c>
    </row>
    <row r="8936" spans="18:19" x14ac:dyDescent="0.25">
      <c r="R8936" s="13">
        <v>8863</v>
      </c>
      <c r="S8936" s="13">
        <v>0</v>
      </c>
    </row>
    <row r="8937" spans="18:19" x14ac:dyDescent="0.25">
      <c r="R8937" s="13">
        <v>8864</v>
      </c>
      <c r="S8937" s="13">
        <v>0</v>
      </c>
    </row>
    <row r="8938" spans="18:19" x14ac:dyDescent="0.25">
      <c r="R8938" s="13">
        <v>8865</v>
      </c>
      <c r="S8938" s="13">
        <v>379967667.59715843</v>
      </c>
    </row>
    <row r="8939" spans="18:19" x14ac:dyDescent="0.25">
      <c r="R8939" s="13">
        <v>8866</v>
      </c>
      <c r="S8939" s="13">
        <v>0</v>
      </c>
    </row>
    <row r="8940" spans="18:19" x14ac:dyDescent="0.25">
      <c r="R8940" s="13">
        <v>8867</v>
      </c>
      <c r="S8940" s="13">
        <v>316288670.91776085</v>
      </c>
    </row>
    <row r="8941" spans="18:19" x14ac:dyDescent="0.25">
      <c r="R8941" s="13">
        <v>8868</v>
      </c>
      <c r="S8941" s="13">
        <v>0</v>
      </c>
    </row>
    <row r="8942" spans="18:19" x14ac:dyDescent="0.25">
      <c r="R8942" s="13">
        <v>8869</v>
      </c>
      <c r="S8942" s="13">
        <v>0</v>
      </c>
    </row>
    <row r="8943" spans="18:19" x14ac:dyDescent="0.25">
      <c r="R8943" s="13">
        <v>8870</v>
      </c>
      <c r="S8943" s="13">
        <v>0</v>
      </c>
    </row>
    <row r="8944" spans="18:19" x14ac:dyDescent="0.25">
      <c r="R8944" s="13">
        <v>8871</v>
      </c>
      <c r="S8944" s="13">
        <v>821976110.61607742</v>
      </c>
    </row>
    <row r="8945" spans="18:19" x14ac:dyDescent="0.25">
      <c r="R8945" s="13">
        <v>8872</v>
      </c>
      <c r="S8945" s="13">
        <v>0</v>
      </c>
    </row>
    <row r="8946" spans="18:19" x14ac:dyDescent="0.25">
      <c r="R8946" s="13">
        <v>8873</v>
      </c>
      <c r="S8946" s="13">
        <v>0</v>
      </c>
    </row>
    <row r="8947" spans="18:19" x14ac:dyDescent="0.25">
      <c r="R8947" s="13">
        <v>8874</v>
      </c>
      <c r="S8947" s="13">
        <v>0</v>
      </c>
    </row>
    <row r="8948" spans="18:19" x14ac:dyDescent="0.25">
      <c r="R8948" s="13">
        <v>8875</v>
      </c>
      <c r="S8948" s="13">
        <v>0</v>
      </c>
    </row>
    <row r="8949" spans="18:19" x14ac:dyDescent="0.25">
      <c r="R8949" s="13">
        <v>8876</v>
      </c>
      <c r="S8949" s="13">
        <v>352995130.90539742</v>
      </c>
    </row>
    <row r="8950" spans="18:19" x14ac:dyDescent="0.25">
      <c r="R8950" s="13">
        <v>8877</v>
      </c>
      <c r="S8950" s="13">
        <v>0</v>
      </c>
    </row>
    <row r="8951" spans="18:19" x14ac:dyDescent="0.25">
      <c r="R8951" s="13">
        <v>8878</v>
      </c>
      <c r="S8951" s="13">
        <v>0</v>
      </c>
    </row>
    <row r="8952" spans="18:19" x14ac:dyDescent="0.25">
      <c r="R8952" s="13">
        <v>8879</v>
      </c>
      <c r="S8952" s="13">
        <v>0</v>
      </c>
    </row>
    <row r="8953" spans="18:19" x14ac:dyDescent="0.25">
      <c r="R8953" s="13">
        <v>8880</v>
      </c>
      <c r="S8953" s="13">
        <v>283474579.01246262</v>
      </c>
    </row>
    <row r="8954" spans="18:19" x14ac:dyDescent="0.25">
      <c r="R8954" s="13">
        <v>8881</v>
      </c>
      <c r="S8954" s="13">
        <v>0</v>
      </c>
    </row>
    <row r="8955" spans="18:19" x14ac:dyDescent="0.25">
      <c r="R8955" s="13">
        <v>8882</v>
      </c>
      <c r="S8955" s="13">
        <v>0</v>
      </c>
    </row>
    <row r="8956" spans="18:19" x14ac:dyDescent="0.25">
      <c r="R8956" s="13">
        <v>8883</v>
      </c>
      <c r="S8956" s="13">
        <v>0</v>
      </c>
    </row>
    <row r="8957" spans="18:19" x14ac:dyDescent="0.25">
      <c r="R8957" s="13">
        <v>8884</v>
      </c>
      <c r="S8957" s="13">
        <v>0</v>
      </c>
    </row>
    <row r="8958" spans="18:19" x14ac:dyDescent="0.25">
      <c r="R8958" s="13">
        <v>8885</v>
      </c>
      <c r="S8958" s="13">
        <v>0</v>
      </c>
    </row>
    <row r="8959" spans="18:19" x14ac:dyDescent="0.25">
      <c r="R8959" s="13">
        <v>8886</v>
      </c>
      <c r="S8959" s="13">
        <v>0</v>
      </c>
    </row>
    <row r="8960" spans="18:19" x14ac:dyDescent="0.25">
      <c r="R8960" s="13">
        <v>8887</v>
      </c>
      <c r="S8960" s="13">
        <v>472745395.84000778</v>
      </c>
    </row>
    <row r="8961" spans="18:19" x14ac:dyDescent="0.25">
      <c r="R8961" s="13">
        <v>8888</v>
      </c>
      <c r="S8961" s="13">
        <v>0</v>
      </c>
    </row>
    <row r="8962" spans="18:19" x14ac:dyDescent="0.25">
      <c r="R8962" s="13">
        <v>8889</v>
      </c>
      <c r="S8962" s="13">
        <v>0</v>
      </c>
    </row>
    <row r="8963" spans="18:19" x14ac:dyDescent="0.25">
      <c r="R8963" s="13">
        <v>8890</v>
      </c>
      <c r="S8963" s="13">
        <v>0</v>
      </c>
    </row>
    <row r="8964" spans="18:19" x14ac:dyDescent="0.25">
      <c r="R8964" s="13">
        <v>8891</v>
      </c>
      <c r="S8964" s="13">
        <v>0</v>
      </c>
    </row>
    <row r="8965" spans="18:19" x14ac:dyDescent="0.25">
      <c r="R8965" s="13">
        <v>8892</v>
      </c>
      <c r="S8965" s="13">
        <v>0</v>
      </c>
    </row>
    <row r="8966" spans="18:19" x14ac:dyDescent="0.25">
      <c r="R8966" s="13">
        <v>8893</v>
      </c>
      <c r="S8966" s="13">
        <v>0</v>
      </c>
    </row>
    <row r="8967" spans="18:19" x14ac:dyDescent="0.25">
      <c r="R8967" s="13">
        <v>8894</v>
      </c>
      <c r="S8967" s="13">
        <v>104590782.66685104</v>
      </c>
    </row>
    <row r="8968" spans="18:19" x14ac:dyDescent="0.25">
      <c r="R8968" s="13">
        <v>8895</v>
      </c>
      <c r="S8968" s="13">
        <v>0</v>
      </c>
    </row>
    <row r="8969" spans="18:19" x14ac:dyDescent="0.25">
      <c r="R8969" s="13">
        <v>8896</v>
      </c>
      <c r="S8969" s="13">
        <v>51917341.336824417</v>
      </c>
    </row>
    <row r="8970" spans="18:19" x14ac:dyDescent="0.25">
      <c r="R8970" s="13">
        <v>8897</v>
      </c>
      <c r="S8970" s="13">
        <v>0</v>
      </c>
    </row>
    <row r="8971" spans="18:19" x14ac:dyDescent="0.25">
      <c r="R8971" s="13">
        <v>8898</v>
      </c>
      <c r="S8971" s="13">
        <v>0</v>
      </c>
    </row>
    <row r="8972" spans="18:19" x14ac:dyDescent="0.25">
      <c r="R8972" s="13">
        <v>8899</v>
      </c>
      <c r="S8972" s="13">
        <v>0</v>
      </c>
    </row>
    <row r="8973" spans="18:19" x14ac:dyDescent="0.25">
      <c r="R8973" s="13">
        <v>8900</v>
      </c>
      <c r="S8973" s="13">
        <v>352957338.6422863</v>
      </c>
    </row>
    <row r="8974" spans="18:19" x14ac:dyDescent="0.25">
      <c r="R8974" s="13">
        <v>8901</v>
      </c>
      <c r="S8974" s="13">
        <v>0</v>
      </c>
    </row>
    <row r="8975" spans="18:19" x14ac:dyDescent="0.25">
      <c r="R8975" s="13">
        <v>8902</v>
      </c>
      <c r="S8975" s="13">
        <v>0</v>
      </c>
    </row>
    <row r="8976" spans="18:19" x14ac:dyDescent="0.25">
      <c r="R8976" s="13">
        <v>8903</v>
      </c>
      <c r="S8976" s="13">
        <v>453938677.59131241</v>
      </c>
    </row>
    <row r="8977" spans="18:19" x14ac:dyDescent="0.25">
      <c r="R8977" s="13">
        <v>8904</v>
      </c>
      <c r="S8977" s="13">
        <v>0</v>
      </c>
    </row>
    <row r="8978" spans="18:19" x14ac:dyDescent="0.25">
      <c r="R8978" s="13">
        <v>8905</v>
      </c>
      <c r="S8978" s="13">
        <v>0</v>
      </c>
    </row>
    <row r="8979" spans="18:19" x14ac:dyDescent="0.25">
      <c r="R8979" s="13">
        <v>8906</v>
      </c>
      <c r="S8979" s="13">
        <v>0</v>
      </c>
    </row>
    <row r="8980" spans="18:19" x14ac:dyDescent="0.25">
      <c r="R8980" s="13">
        <v>8907</v>
      </c>
      <c r="S8980" s="13">
        <v>0</v>
      </c>
    </row>
    <row r="8981" spans="18:19" x14ac:dyDescent="0.25">
      <c r="R8981" s="13">
        <v>8908</v>
      </c>
      <c r="S8981" s="13">
        <v>0</v>
      </c>
    </row>
    <row r="8982" spans="18:19" x14ac:dyDescent="0.25">
      <c r="R8982" s="13">
        <v>8909</v>
      </c>
      <c r="S8982" s="13">
        <v>0</v>
      </c>
    </row>
    <row r="8983" spans="18:19" x14ac:dyDescent="0.25">
      <c r="R8983" s="13">
        <v>8910</v>
      </c>
      <c r="S8983" s="13">
        <v>0</v>
      </c>
    </row>
    <row r="8984" spans="18:19" x14ac:dyDescent="0.25">
      <c r="R8984" s="13">
        <v>8911</v>
      </c>
      <c r="S8984" s="13">
        <v>0</v>
      </c>
    </row>
    <row r="8985" spans="18:19" x14ac:dyDescent="0.25">
      <c r="R8985" s="13">
        <v>8912</v>
      </c>
      <c r="S8985" s="13">
        <v>0</v>
      </c>
    </row>
    <row r="8986" spans="18:19" x14ac:dyDescent="0.25">
      <c r="R8986" s="13">
        <v>8913</v>
      </c>
      <c r="S8986" s="13">
        <v>343975650.2876339</v>
      </c>
    </row>
    <row r="8987" spans="18:19" x14ac:dyDescent="0.25">
      <c r="R8987" s="13">
        <v>8914</v>
      </c>
      <c r="S8987" s="13">
        <v>295075946.67796707</v>
      </c>
    </row>
    <row r="8988" spans="18:19" x14ac:dyDescent="0.25">
      <c r="R8988" s="13">
        <v>8915</v>
      </c>
      <c r="S8988" s="13">
        <v>0</v>
      </c>
    </row>
    <row r="8989" spans="18:19" x14ac:dyDescent="0.25">
      <c r="R8989" s="13">
        <v>8916</v>
      </c>
      <c r="S8989" s="13">
        <v>242074435.62223434</v>
      </c>
    </row>
    <row r="8990" spans="18:19" x14ac:dyDescent="0.25">
      <c r="R8990" s="13">
        <v>8917</v>
      </c>
      <c r="S8990" s="13">
        <v>0</v>
      </c>
    </row>
    <row r="8991" spans="18:19" x14ac:dyDescent="0.25">
      <c r="R8991" s="13">
        <v>8918</v>
      </c>
      <c r="S8991" s="13">
        <v>161913745.28314018</v>
      </c>
    </row>
    <row r="8992" spans="18:19" x14ac:dyDescent="0.25">
      <c r="R8992" s="13">
        <v>8919</v>
      </c>
      <c r="S8992" s="13">
        <v>0</v>
      </c>
    </row>
    <row r="8993" spans="18:19" x14ac:dyDescent="0.25">
      <c r="R8993" s="13">
        <v>8920</v>
      </c>
      <c r="S8993" s="13">
        <v>0</v>
      </c>
    </row>
    <row r="8994" spans="18:19" x14ac:dyDescent="0.25">
      <c r="R8994" s="13">
        <v>8921</v>
      </c>
      <c r="S8994" s="13">
        <v>0</v>
      </c>
    </row>
    <row r="8995" spans="18:19" x14ac:dyDescent="0.25">
      <c r="R8995" s="13">
        <v>8922</v>
      </c>
      <c r="S8995" s="13">
        <v>0</v>
      </c>
    </row>
    <row r="8996" spans="18:19" x14ac:dyDescent="0.25">
      <c r="R8996" s="13">
        <v>8923</v>
      </c>
      <c r="S8996" s="13">
        <v>0</v>
      </c>
    </row>
    <row r="8997" spans="18:19" x14ac:dyDescent="0.25">
      <c r="R8997" s="13">
        <v>8924</v>
      </c>
      <c r="S8997" s="13">
        <v>0</v>
      </c>
    </row>
    <row r="8998" spans="18:19" x14ac:dyDescent="0.25">
      <c r="R8998" s="13">
        <v>8925</v>
      </c>
      <c r="S8998" s="13">
        <v>235661008.45726776</v>
      </c>
    </row>
    <row r="8999" spans="18:19" x14ac:dyDescent="0.25">
      <c r="R8999" s="13">
        <v>8926</v>
      </c>
      <c r="S8999" s="13">
        <v>230272165.92457008</v>
      </c>
    </row>
    <row r="9000" spans="18:19" x14ac:dyDescent="0.25">
      <c r="R9000" s="13">
        <v>8927</v>
      </c>
      <c r="S9000" s="13">
        <v>0</v>
      </c>
    </row>
    <row r="9001" spans="18:19" x14ac:dyDescent="0.25">
      <c r="R9001" s="13">
        <v>8928</v>
      </c>
      <c r="S9001" s="13">
        <v>664413992.80684853</v>
      </c>
    </row>
    <row r="9002" spans="18:19" x14ac:dyDescent="0.25">
      <c r="R9002" s="13">
        <v>8929</v>
      </c>
      <c r="S9002" s="13">
        <v>0</v>
      </c>
    </row>
    <row r="9003" spans="18:19" x14ac:dyDescent="0.25">
      <c r="R9003" s="13">
        <v>8930</v>
      </c>
      <c r="S9003" s="13">
        <v>0</v>
      </c>
    </row>
    <row r="9004" spans="18:19" x14ac:dyDescent="0.25">
      <c r="R9004" s="13">
        <v>8931</v>
      </c>
      <c r="S9004" s="13">
        <v>0</v>
      </c>
    </row>
    <row r="9005" spans="18:19" x14ac:dyDescent="0.25">
      <c r="R9005" s="13">
        <v>8932</v>
      </c>
      <c r="S9005" s="13">
        <v>1243270991.9276714</v>
      </c>
    </row>
    <row r="9006" spans="18:19" x14ac:dyDescent="0.25">
      <c r="R9006" s="13">
        <v>8933</v>
      </c>
      <c r="S9006" s="13">
        <v>0</v>
      </c>
    </row>
    <row r="9007" spans="18:19" x14ac:dyDescent="0.25">
      <c r="R9007" s="13">
        <v>8934</v>
      </c>
      <c r="S9007" s="13">
        <v>0</v>
      </c>
    </row>
    <row r="9008" spans="18:19" x14ac:dyDescent="0.25">
      <c r="R9008" s="13">
        <v>8935</v>
      </c>
      <c r="S9008" s="13">
        <v>0</v>
      </c>
    </row>
    <row r="9009" spans="18:19" x14ac:dyDescent="0.25">
      <c r="R9009" s="13">
        <v>8936</v>
      </c>
      <c r="S9009" s="13">
        <v>0</v>
      </c>
    </row>
    <row r="9010" spans="18:19" x14ac:dyDescent="0.25">
      <c r="R9010" s="13">
        <v>8937</v>
      </c>
      <c r="S9010" s="13">
        <v>0</v>
      </c>
    </row>
    <row r="9011" spans="18:19" x14ac:dyDescent="0.25">
      <c r="R9011" s="13">
        <v>8938</v>
      </c>
      <c r="S9011" s="13">
        <v>0</v>
      </c>
    </row>
    <row r="9012" spans="18:19" x14ac:dyDescent="0.25">
      <c r="R9012" s="13">
        <v>8939</v>
      </c>
      <c r="S9012" s="13">
        <v>234652754.79003716</v>
      </c>
    </row>
    <row r="9013" spans="18:19" x14ac:dyDescent="0.25">
      <c r="R9013" s="13">
        <v>8940</v>
      </c>
      <c r="S9013" s="13">
        <v>542074722.33892441</v>
      </c>
    </row>
    <row r="9014" spans="18:19" x14ac:dyDescent="0.25">
      <c r="R9014" s="13">
        <v>8941</v>
      </c>
      <c r="S9014" s="13">
        <v>0</v>
      </c>
    </row>
    <row r="9015" spans="18:19" x14ac:dyDescent="0.25">
      <c r="R9015" s="13">
        <v>8942</v>
      </c>
      <c r="S9015" s="13">
        <v>238501466.19530487</v>
      </c>
    </row>
    <row r="9016" spans="18:19" x14ac:dyDescent="0.25">
      <c r="R9016" s="13">
        <v>8943</v>
      </c>
      <c r="S9016" s="13">
        <v>0</v>
      </c>
    </row>
    <row r="9017" spans="18:19" x14ac:dyDescent="0.25">
      <c r="R9017" s="13">
        <v>8944</v>
      </c>
      <c r="S9017" s="13">
        <v>0</v>
      </c>
    </row>
    <row r="9018" spans="18:19" x14ac:dyDescent="0.25">
      <c r="R9018" s="13">
        <v>8945</v>
      </c>
      <c r="S9018" s="13">
        <v>255344093.89275169</v>
      </c>
    </row>
    <row r="9019" spans="18:19" x14ac:dyDescent="0.25">
      <c r="R9019" s="13">
        <v>8946</v>
      </c>
      <c r="S9019" s="13">
        <v>0</v>
      </c>
    </row>
    <row r="9020" spans="18:19" x14ac:dyDescent="0.25">
      <c r="R9020" s="13">
        <v>8947</v>
      </c>
      <c r="S9020" s="13">
        <v>0</v>
      </c>
    </row>
    <row r="9021" spans="18:19" x14ac:dyDescent="0.25">
      <c r="R9021" s="13">
        <v>8948</v>
      </c>
      <c r="S9021" s="13">
        <v>0</v>
      </c>
    </row>
    <row r="9022" spans="18:19" x14ac:dyDescent="0.25">
      <c r="R9022" s="13">
        <v>8949</v>
      </c>
      <c r="S9022" s="13">
        <v>214364958.61640739</v>
      </c>
    </row>
    <row r="9023" spans="18:19" x14ac:dyDescent="0.25">
      <c r="R9023" s="13">
        <v>8950</v>
      </c>
      <c r="S9023" s="13">
        <v>0</v>
      </c>
    </row>
    <row r="9024" spans="18:19" x14ac:dyDescent="0.25">
      <c r="R9024" s="13">
        <v>8951</v>
      </c>
      <c r="S9024" s="13">
        <v>0</v>
      </c>
    </row>
    <row r="9025" spans="18:19" x14ac:dyDescent="0.25">
      <c r="R9025" s="13">
        <v>8952</v>
      </c>
      <c r="S9025" s="13">
        <v>0</v>
      </c>
    </row>
    <row r="9026" spans="18:19" x14ac:dyDescent="0.25">
      <c r="R9026" s="13">
        <v>8953</v>
      </c>
      <c r="S9026" s="13">
        <v>0</v>
      </c>
    </row>
    <row r="9027" spans="18:19" x14ac:dyDescent="0.25">
      <c r="R9027" s="13">
        <v>8954</v>
      </c>
      <c r="S9027" s="13">
        <v>0</v>
      </c>
    </row>
    <row r="9028" spans="18:19" x14ac:dyDescent="0.25">
      <c r="R9028" s="13">
        <v>8955</v>
      </c>
      <c r="S9028" s="13">
        <v>0</v>
      </c>
    </row>
    <row r="9029" spans="18:19" x14ac:dyDescent="0.25">
      <c r="R9029" s="13">
        <v>8956</v>
      </c>
      <c r="S9029" s="13">
        <v>0</v>
      </c>
    </row>
    <row r="9030" spans="18:19" x14ac:dyDescent="0.25">
      <c r="R9030" s="13">
        <v>8957</v>
      </c>
      <c r="S9030" s="13">
        <v>0</v>
      </c>
    </row>
    <row r="9031" spans="18:19" x14ac:dyDescent="0.25">
      <c r="R9031" s="13">
        <v>8958</v>
      </c>
      <c r="S9031" s="13">
        <v>0</v>
      </c>
    </row>
    <row r="9032" spans="18:19" x14ac:dyDescent="0.25">
      <c r="R9032" s="13">
        <v>8959</v>
      </c>
      <c r="S9032" s="13">
        <v>187719275.27251816</v>
      </c>
    </row>
    <row r="9033" spans="18:19" x14ac:dyDescent="0.25">
      <c r="R9033" s="13">
        <v>8960</v>
      </c>
      <c r="S9033" s="13">
        <v>0</v>
      </c>
    </row>
    <row r="9034" spans="18:19" x14ac:dyDescent="0.25">
      <c r="R9034" s="13">
        <v>8961</v>
      </c>
      <c r="S9034" s="13">
        <v>0</v>
      </c>
    </row>
    <row r="9035" spans="18:19" x14ac:dyDescent="0.25">
      <c r="R9035" s="13">
        <v>8962</v>
      </c>
      <c r="S9035" s="13">
        <v>0</v>
      </c>
    </row>
    <row r="9036" spans="18:19" x14ac:dyDescent="0.25">
      <c r="R9036" s="13">
        <v>8963</v>
      </c>
      <c r="S9036" s="13">
        <v>0</v>
      </c>
    </row>
    <row r="9037" spans="18:19" x14ac:dyDescent="0.25">
      <c r="R9037" s="13">
        <v>8964</v>
      </c>
      <c r="S9037" s="13">
        <v>436798430.9276638</v>
      </c>
    </row>
    <row r="9038" spans="18:19" x14ac:dyDescent="0.25">
      <c r="R9038" s="13">
        <v>8965</v>
      </c>
      <c r="S9038" s="13">
        <v>0</v>
      </c>
    </row>
    <row r="9039" spans="18:19" x14ac:dyDescent="0.25">
      <c r="R9039" s="13">
        <v>8966</v>
      </c>
      <c r="S9039" s="13">
        <v>0</v>
      </c>
    </row>
    <row r="9040" spans="18:19" x14ac:dyDescent="0.25">
      <c r="R9040" s="13">
        <v>8967</v>
      </c>
      <c r="S9040" s="13">
        <v>0</v>
      </c>
    </row>
    <row r="9041" spans="18:19" x14ac:dyDescent="0.25">
      <c r="R9041" s="13">
        <v>8968</v>
      </c>
      <c r="S9041" s="13">
        <v>0</v>
      </c>
    </row>
    <row r="9042" spans="18:19" x14ac:dyDescent="0.25">
      <c r="R9042" s="13">
        <v>8969</v>
      </c>
      <c r="S9042" s="13">
        <v>0</v>
      </c>
    </row>
    <row r="9043" spans="18:19" x14ac:dyDescent="0.25">
      <c r="R9043" s="13">
        <v>8970</v>
      </c>
      <c r="S9043" s="13">
        <v>0</v>
      </c>
    </row>
    <row r="9044" spans="18:19" x14ac:dyDescent="0.25">
      <c r="R9044" s="13">
        <v>8971</v>
      </c>
      <c r="S9044" s="13">
        <v>1299325158.8766651</v>
      </c>
    </row>
    <row r="9045" spans="18:19" x14ac:dyDescent="0.25">
      <c r="R9045" s="13">
        <v>8972</v>
      </c>
      <c r="S9045" s="13">
        <v>0</v>
      </c>
    </row>
    <row r="9046" spans="18:19" x14ac:dyDescent="0.25">
      <c r="R9046" s="13">
        <v>8973</v>
      </c>
      <c r="S9046" s="13">
        <v>0</v>
      </c>
    </row>
    <row r="9047" spans="18:19" x14ac:dyDescent="0.25">
      <c r="R9047" s="13">
        <v>8974</v>
      </c>
      <c r="S9047" s="13">
        <v>0</v>
      </c>
    </row>
    <row r="9048" spans="18:19" x14ac:dyDescent="0.25">
      <c r="R9048" s="13">
        <v>8975</v>
      </c>
      <c r="S9048" s="13">
        <v>168824902.20185089</v>
      </c>
    </row>
    <row r="9049" spans="18:19" x14ac:dyDescent="0.25">
      <c r="R9049" s="13">
        <v>8976</v>
      </c>
      <c r="S9049" s="13">
        <v>0</v>
      </c>
    </row>
    <row r="9050" spans="18:19" x14ac:dyDescent="0.25">
      <c r="R9050" s="13">
        <v>8977</v>
      </c>
      <c r="S9050" s="13">
        <v>0</v>
      </c>
    </row>
    <row r="9051" spans="18:19" x14ac:dyDescent="0.25">
      <c r="R9051" s="13">
        <v>8978</v>
      </c>
      <c r="S9051" s="13">
        <v>361193770.99116135</v>
      </c>
    </row>
    <row r="9052" spans="18:19" x14ac:dyDescent="0.25">
      <c r="R9052" s="13">
        <v>8979</v>
      </c>
      <c r="S9052" s="13">
        <v>0</v>
      </c>
    </row>
    <row r="9053" spans="18:19" x14ac:dyDescent="0.25">
      <c r="R9053" s="13">
        <v>8980</v>
      </c>
      <c r="S9053" s="13">
        <v>0</v>
      </c>
    </row>
    <row r="9054" spans="18:19" x14ac:dyDescent="0.25">
      <c r="R9054" s="13">
        <v>8981</v>
      </c>
      <c r="S9054" s="13">
        <v>0</v>
      </c>
    </row>
    <row r="9055" spans="18:19" x14ac:dyDescent="0.25">
      <c r="R9055" s="13">
        <v>8982</v>
      </c>
      <c r="S9055" s="13">
        <v>303066404.50857544</v>
      </c>
    </row>
    <row r="9056" spans="18:19" x14ac:dyDescent="0.25">
      <c r="R9056" s="13">
        <v>8983</v>
      </c>
      <c r="S9056" s="13">
        <v>0</v>
      </c>
    </row>
    <row r="9057" spans="18:19" x14ac:dyDescent="0.25">
      <c r="R9057" s="13">
        <v>8984</v>
      </c>
      <c r="S9057" s="13">
        <v>316192176.31529236</v>
      </c>
    </row>
    <row r="9058" spans="18:19" x14ac:dyDescent="0.25">
      <c r="R9058" s="13">
        <v>8985</v>
      </c>
      <c r="S9058" s="13">
        <v>0</v>
      </c>
    </row>
    <row r="9059" spans="18:19" x14ac:dyDescent="0.25">
      <c r="R9059" s="13">
        <v>8986</v>
      </c>
      <c r="S9059" s="13">
        <v>317937187.2523098</v>
      </c>
    </row>
    <row r="9060" spans="18:19" x14ac:dyDescent="0.25">
      <c r="R9060" s="13">
        <v>8987</v>
      </c>
      <c r="S9060" s="13">
        <v>0</v>
      </c>
    </row>
    <row r="9061" spans="18:19" x14ac:dyDescent="0.25">
      <c r="R9061" s="13">
        <v>8988</v>
      </c>
      <c r="S9061" s="13">
        <v>85559476.153419495</v>
      </c>
    </row>
    <row r="9062" spans="18:19" x14ac:dyDescent="0.25">
      <c r="R9062" s="13">
        <v>8989</v>
      </c>
      <c r="S9062" s="13">
        <v>0</v>
      </c>
    </row>
    <row r="9063" spans="18:19" x14ac:dyDescent="0.25">
      <c r="R9063" s="13">
        <v>8990</v>
      </c>
      <c r="S9063" s="13">
        <v>0</v>
      </c>
    </row>
    <row r="9064" spans="18:19" x14ac:dyDescent="0.25">
      <c r="R9064" s="13">
        <v>8991</v>
      </c>
      <c r="S9064" s="13">
        <v>0</v>
      </c>
    </row>
    <row r="9065" spans="18:19" x14ac:dyDescent="0.25">
      <c r="R9065" s="13">
        <v>8992</v>
      </c>
      <c r="S9065" s="13">
        <v>661736109.02436829</v>
      </c>
    </row>
    <row r="9066" spans="18:19" x14ac:dyDescent="0.25">
      <c r="R9066" s="13">
        <v>8993</v>
      </c>
      <c r="S9066" s="13">
        <v>0</v>
      </c>
    </row>
    <row r="9067" spans="18:19" x14ac:dyDescent="0.25">
      <c r="R9067" s="13">
        <v>8994</v>
      </c>
      <c r="S9067" s="13">
        <v>0</v>
      </c>
    </row>
    <row r="9068" spans="18:19" x14ac:dyDescent="0.25">
      <c r="R9068" s="13">
        <v>8995</v>
      </c>
      <c r="S9068" s="13">
        <v>0</v>
      </c>
    </row>
    <row r="9069" spans="18:19" x14ac:dyDescent="0.25">
      <c r="R9069" s="13">
        <v>8996</v>
      </c>
      <c r="S9069" s="13">
        <v>0</v>
      </c>
    </row>
    <row r="9070" spans="18:19" x14ac:dyDescent="0.25">
      <c r="R9070" s="13">
        <v>8997</v>
      </c>
      <c r="S9070" s="13">
        <v>0</v>
      </c>
    </row>
    <row r="9071" spans="18:19" x14ac:dyDescent="0.25">
      <c r="R9071" s="13">
        <v>8998</v>
      </c>
      <c r="S9071" s="13">
        <v>0</v>
      </c>
    </row>
    <row r="9072" spans="18:19" x14ac:dyDescent="0.25">
      <c r="R9072" s="13">
        <v>8999</v>
      </c>
      <c r="S9072" s="13">
        <v>209271015.92885017</v>
      </c>
    </row>
    <row r="9073" spans="18:19" x14ac:dyDescent="0.25">
      <c r="R9073" s="13">
        <v>9000</v>
      </c>
      <c r="S9073" s="13">
        <v>431708978.32258987</v>
      </c>
    </row>
    <row r="9074" spans="18:19" x14ac:dyDescent="0.25">
      <c r="R9074" s="13">
        <v>9001</v>
      </c>
      <c r="S9074" s="13">
        <v>0</v>
      </c>
    </row>
    <row r="9075" spans="18:19" x14ac:dyDescent="0.25">
      <c r="R9075" s="13">
        <v>9002</v>
      </c>
      <c r="S9075" s="13">
        <v>0</v>
      </c>
    </row>
    <row r="9076" spans="18:19" x14ac:dyDescent="0.25">
      <c r="R9076" s="13">
        <v>9003</v>
      </c>
      <c r="S9076" s="13">
        <v>0</v>
      </c>
    </row>
    <row r="9077" spans="18:19" x14ac:dyDescent="0.25">
      <c r="R9077" s="13">
        <v>9004</v>
      </c>
      <c r="S9077" s="13">
        <v>1222747823.7841511</v>
      </c>
    </row>
    <row r="9078" spans="18:19" x14ac:dyDescent="0.25">
      <c r="R9078" s="13">
        <v>9005</v>
      </c>
      <c r="S9078" s="13">
        <v>0</v>
      </c>
    </row>
    <row r="9079" spans="18:19" x14ac:dyDescent="0.25">
      <c r="R9079" s="13">
        <v>9006</v>
      </c>
      <c r="S9079" s="13">
        <v>0</v>
      </c>
    </row>
    <row r="9080" spans="18:19" x14ac:dyDescent="0.25">
      <c r="R9080" s="13">
        <v>9007</v>
      </c>
      <c r="S9080" s="13">
        <v>0</v>
      </c>
    </row>
    <row r="9081" spans="18:19" x14ac:dyDescent="0.25">
      <c r="R9081" s="13">
        <v>9008</v>
      </c>
      <c r="S9081" s="13">
        <v>0</v>
      </c>
    </row>
    <row r="9082" spans="18:19" x14ac:dyDescent="0.25">
      <c r="R9082" s="13">
        <v>9009</v>
      </c>
      <c r="S9082" s="13">
        <v>0</v>
      </c>
    </row>
    <row r="9083" spans="18:19" x14ac:dyDescent="0.25">
      <c r="R9083" s="13">
        <v>9010</v>
      </c>
      <c r="S9083" s="13">
        <v>0</v>
      </c>
    </row>
    <row r="9084" spans="18:19" x14ac:dyDescent="0.25">
      <c r="R9084" s="13">
        <v>9011</v>
      </c>
      <c r="S9084" s="13">
        <v>0</v>
      </c>
    </row>
    <row r="9085" spans="18:19" x14ac:dyDescent="0.25">
      <c r="R9085" s="13">
        <v>9012</v>
      </c>
      <c r="S9085" s="13">
        <v>205773464.99243355</v>
      </c>
    </row>
    <row r="9086" spans="18:19" x14ac:dyDescent="0.25">
      <c r="R9086" s="13">
        <v>9013</v>
      </c>
      <c r="S9086" s="13">
        <v>0</v>
      </c>
    </row>
    <row r="9087" spans="18:19" x14ac:dyDescent="0.25">
      <c r="R9087" s="13">
        <v>9014</v>
      </c>
      <c r="S9087" s="13">
        <v>236425795.14497566</v>
      </c>
    </row>
    <row r="9088" spans="18:19" x14ac:dyDescent="0.25">
      <c r="R9088" s="13">
        <v>9015</v>
      </c>
      <c r="S9088" s="13">
        <v>0</v>
      </c>
    </row>
    <row r="9089" spans="18:19" x14ac:dyDescent="0.25">
      <c r="R9089" s="13">
        <v>9016</v>
      </c>
      <c r="S9089" s="13">
        <v>0</v>
      </c>
    </row>
    <row r="9090" spans="18:19" x14ac:dyDescent="0.25">
      <c r="R9090" s="13">
        <v>9017</v>
      </c>
      <c r="S9090" s="13">
        <v>0</v>
      </c>
    </row>
    <row r="9091" spans="18:19" x14ac:dyDescent="0.25">
      <c r="R9091" s="13">
        <v>9018</v>
      </c>
      <c r="S9091" s="13">
        <v>0</v>
      </c>
    </row>
    <row r="9092" spans="18:19" x14ac:dyDescent="0.25">
      <c r="R9092" s="13">
        <v>9019</v>
      </c>
      <c r="S9092" s="13">
        <v>304146589.00547218</v>
      </c>
    </row>
    <row r="9093" spans="18:19" x14ac:dyDescent="0.25">
      <c r="R9093" s="13">
        <v>9020</v>
      </c>
      <c r="S9093" s="13">
        <v>0</v>
      </c>
    </row>
    <row r="9094" spans="18:19" x14ac:dyDescent="0.25">
      <c r="R9094" s="13">
        <v>9021</v>
      </c>
      <c r="S9094" s="13">
        <v>0</v>
      </c>
    </row>
    <row r="9095" spans="18:19" x14ac:dyDescent="0.25">
      <c r="R9095" s="13">
        <v>9022</v>
      </c>
      <c r="S9095" s="13">
        <v>0</v>
      </c>
    </row>
    <row r="9096" spans="18:19" x14ac:dyDescent="0.25">
      <c r="R9096" s="13">
        <v>9023</v>
      </c>
      <c r="S9096" s="13">
        <v>0</v>
      </c>
    </row>
    <row r="9097" spans="18:19" x14ac:dyDescent="0.25">
      <c r="R9097" s="13">
        <v>9024</v>
      </c>
      <c r="S9097" s="13">
        <v>0</v>
      </c>
    </row>
    <row r="9098" spans="18:19" x14ac:dyDescent="0.25">
      <c r="R9098" s="13">
        <v>9025</v>
      </c>
      <c r="S9098" s="13">
        <v>0</v>
      </c>
    </row>
    <row r="9099" spans="18:19" x14ac:dyDescent="0.25">
      <c r="R9099" s="13">
        <v>9026</v>
      </c>
      <c r="S9099" s="13">
        <v>0</v>
      </c>
    </row>
    <row r="9100" spans="18:19" x14ac:dyDescent="0.25">
      <c r="R9100" s="13">
        <v>9027</v>
      </c>
      <c r="S9100" s="13">
        <v>0</v>
      </c>
    </row>
    <row r="9101" spans="18:19" x14ac:dyDescent="0.25">
      <c r="R9101" s="13">
        <v>9028</v>
      </c>
      <c r="S9101" s="13">
        <v>0</v>
      </c>
    </row>
    <row r="9102" spans="18:19" x14ac:dyDescent="0.25">
      <c r="R9102" s="13">
        <v>9029</v>
      </c>
      <c r="S9102" s="13">
        <v>0</v>
      </c>
    </row>
    <row r="9103" spans="18:19" x14ac:dyDescent="0.25">
      <c r="R9103" s="13">
        <v>9030</v>
      </c>
      <c r="S9103" s="13">
        <v>0</v>
      </c>
    </row>
    <row r="9104" spans="18:19" x14ac:dyDescent="0.25">
      <c r="R9104" s="13">
        <v>9031</v>
      </c>
      <c r="S9104" s="13">
        <v>0</v>
      </c>
    </row>
    <row r="9105" spans="18:19" x14ac:dyDescent="0.25">
      <c r="R9105" s="13">
        <v>9032</v>
      </c>
      <c r="S9105" s="13">
        <v>0</v>
      </c>
    </row>
    <row r="9106" spans="18:19" x14ac:dyDescent="0.25">
      <c r="R9106" s="13">
        <v>9033</v>
      </c>
      <c r="S9106" s="13">
        <v>0</v>
      </c>
    </row>
    <row r="9107" spans="18:19" x14ac:dyDescent="0.25">
      <c r="R9107" s="13">
        <v>9034</v>
      </c>
      <c r="S9107" s="13">
        <v>750050480.13252258</v>
      </c>
    </row>
    <row r="9108" spans="18:19" x14ac:dyDescent="0.25">
      <c r="R9108" s="13">
        <v>9035</v>
      </c>
      <c r="S9108" s="13">
        <v>43956294.069757462</v>
      </c>
    </row>
    <row r="9109" spans="18:19" x14ac:dyDescent="0.25">
      <c r="R9109" s="13">
        <v>9036</v>
      </c>
      <c r="S9109" s="13">
        <v>0</v>
      </c>
    </row>
    <row r="9110" spans="18:19" x14ac:dyDescent="0.25">
      <c r="R9110" s="13">
        <v>9037</v>
      </c>
      <c r="S9110" s="13">
        <v>0</v>
      </c>
    </row>
    <row r="9111" spans="18:19" x14ac:dyDescent="0.25">
      <c r="R9111" s="13">
        <v>9038</v>
      </c>
      <c r="S9111" s="13">
        <v>0</v>
      </c>
    </row>
    <row r="9112" spans="18:19" x14ac:dyDescent="0.25">
      <c r="R9112" s="13">
        <v>9039</v>
      </c>
      <c r="S9112" s="13">
        <v>838312915.227314</v>
      </c>
    </row>
    <row r="9113" spans="18:19" x14ac:dyDescent="0.25">
      <c r="R9113" s="13">
        <v>9040</v>
      </c>
      <c r="S9113" s="13">
        <v>0</v>
      </c>
    </row>
    <row r="9114" spans="18:19" x14ac:dyDescent="0.25">
      <c r="R9114" s="13">
        <v>9041</v>
      </c>
      <c r="S9114" s="13">
        <v>0</v>
      </c>
    </row>
    <row r="9115" spans="18:19" x14ac:dyDescent="0.25">
      <c r="R9115" s="13">
        <v>9042</v>
      </c>
      <c r="S9115" s="13">
        <v>0</v>
      </c>
    </row>
    <row r="9116" spans="18:19" x14ac:dyDescent="0.25">
      <c r="R9116" s="13">
        <v>9043</v>
      </c>
      <c r="S9116" s="13">
        <v>0</v>
      </c>
    </row>
    <row r="9117" spans="18:19" x14ac:dyDescent="0.25">
      <c r="R9117" s="13">
        <v>9044</v>
      </c>
      <c r="S9117" s="13">
        <v>0</v>
      </c>
    </row>
    <row r="9118" spans="18:19" x14ac:dyDescent="0.25">
      <c r="R9118" s="13">
        <v>9045</v>
      </c>
      <c r="S9118" s="13">
        <v>532900.44202423096</v>
      </c>
    </row>
    <row r="9119" spans="18:19" x14ac:dyDescent="0.25">
      <c r="R9119" s="13">
        <v>9046</v>
      </c>
      <c r="S9119" s="13">
        <v>0</v>
      </c>
    </row>
    <row r="9120" spans="18:19" x14ac:dyDescent="0.25">
      <c r="R9120" s="13">
        <v>9047</v>
      </c>
      <c r="S9120" s="13">
        <v>0</v>
      </c>
    </row>
    <row r="9121" spans="18:19" x14ac:dyDescent="0.25">
      <c r="R9121" s="13">
        <v>9048</v>
      </c>
      <c r="S9121" s="13">
        <v>187340163.88401794</v>
      </c>
    </row>
    <row r="9122" spans="18:19" x14ac:dyDescent="0.25">
      <c r="R9122" s="13">
        <v>9049</v>
      </c>
      <c r="S9122" s="13">
        <v>0</v>
      </c>
    </row>
    <row r="9123" spans="18:19" x14ac:dyDescent="0.25">
      <c r="R9123" s="13">
        <v>9050</v>
      </c>
      <c r="S9123" s="13">
        <v>0</v>
      </c>
    </row>
    <row r="9124" spans="18:19" x14ac:dyDescent="0.25">
      <c r="R9124" s="13">
        <v>9051</v>
      </c>
      <c r="S9124" s="13">
        <v>0</v>
      </c>
    </row>
    <row r="9125" spans="18:19" x14ac:dyDescent="0.25">
      <c r="R9125" s="13">
        <v>9052</v>
      </c>
      <c r="S9125" s="13">
        <v>0</v>
      </c>
    </row>
    <row r="9126" spans="18:19" x14ac:dyDescent="0.25">
      <c r="R9126" s="13">
        <v>9053</v>
      </c>
      <c r="S9126" s="13">
        <v>0</v>
      </c>
    </row>
    <row r="9127" spans="18:19" x14ac:dyDescent="0.25">
      <c r="R9127" s="13">
        <v>9054</v>
      </c>
      <c r="S9127" s="13">
        <v>0</v>
      </c>
    </row>
    <row r="9128" spans="18:19" x14ac:dyDescent="0.25">
      <c r="R9128" s="13">
        <v>9055</v>
      </c>
      <c r="S9128" s="13">
        <v>0</v>
      </c>
    </row>
    <row r="9129" spans="18:19" x14ac:dyDescent="0.25">
      <c r="R9129" s="13">
        <v>9056</v>
      </c>
      <c r="S9129" s="13">
        <v>0</v>
      </c>
    </row>
    <row r="9130" spans="18:19" x14ac:dyDescent="0.25">
      <c r="R9130" s="13">
        <v>9057</v>
      </c>
      <c r="S9130" s="13">
        <v>0</v>
      </c>
    </row>
    <row r="9131" spans="18:19" x14ac:dyDescent="0.25">
      <c r="R9131" s="13">
        <v>9058</v>
      </c>
      <c r="S9131" s="13">
        <v>65885669.467607498</v>
      </c>
    </row>
    <row r="9132" spans="18:19" x14ac:dyDescent="0.25">
      <c r="R9132" s="13">
        <v>9059</v>
      </c>
      <c r="S9132" s="13">
        <v>0</v>
      </c>
    </row>
    <row r="9133" spans="18:19" x14ac:dyDescent="0.25">
      <c r="R9133" s="13">
        <v>9060</v>
      </c>
      <c r="S9133" s="13">
        <v>0</v>
      </c>
    </row>
    <row r="9134" spans="18:19" x14ac:dyDescent="0.25">
      <c r="R9134" s="13">
        <v>9061</v>
      </c>
      <c r="S9134" s="13">
        <v>133558091.46968651</v>
      </c>
    </row>
    <row r="9135" spans="18:19" x14ac:dyDescent="0.25">
      <c r="R9135" s="13">
        <v>9062</v>
      </c>
      <c r="S9135" s="13">
        <v>0</v>
      </c>
    </row>
    <row r="9136" spans="18:19" x14ac:dyDescent="0.25">
      <c r="R9136" s="13">
        <v>9063</v>
      </c>
      <c r="S9136" s="13">
        <v>0</v>
      </c>
    </row>
    <row r="9137" spans="18:19" x14ac:dyDescent="0.25">
      <c r="R9137" s="13">
        <v>9064</v>
      </c>
      <c r="S9137" s="13">
        <v>0</v>
      </c>
    </row>
    <row r="9138" spans="18:19" x14ac:dyDescent="0.25">
      <c r="R9138" s="13">
        <v>9065</v>
      </c>
      <c r="S9138" s="13">
        <v>0</v>
      </c>
    </row>
    <row r="9139" spans="18:19" x14ac:dyDescent="0.25">
      <c r="R9139" s="13">
        <v>9066</v>
      </c>
      <c r="S9139" s="13">
        <v>0</v>
      </c>
    </row>
    <row r="9140" spans="18:19" x14ac:dyDescent="0.25">
      <c r="R9140" s="13">
        <v>9067</v>
      </c>
      <c r="S9140" s="13">
        <v>0</v>
      </c>
    </row>
    <row r="9141" spans="18:19" x14ac:dyDescent="0.25">
      <c r="R9141" s="13">
        <v>9068</v>
      </c>
      <c r="S9141" s="13">
        <v>0</v>
      </c>
    </row>
    <row r="9142" spans="18:19" x14ac:dyDescent="0.25">
      <c r="R9142" s="13">
        <v>9069</v>
      </c>
      <c r="S9142" s="13">
        <v>0</v>
      </c>
    </row>
    <row r="9143" spans="18:19" x14ac:dyDescent="0.25">
      <c r="R9143" s="13">
        <v>9070</v>
      </c>
      <c r="S9143" s="13">
        <v>0</v>
      </c>
    </row>
    <row r="9144" spans="18:19" x14ac:dyDescent="0.25">
      <c r="R9144" s="13">
        <v>9071</v>
      </c>
      <c r="S9144" s="13">
        <v>0</v>
      </c>
    </row>
    <row r="9145" spans="18:19" x14ac:dyDescent="0.25">
      <c r="R9145" s="13">
        <v>9072</v>
      </c>
      <c r="S9145" s="13">
        <v>0</v>
      </c>
    </row>
    <row r="9146" spans="18:19" x14ac:dyDescent="0.25">
      <c r="R9146" s="13">
        <v>9073</v>
      </c>
      <c r="S9146" s="13">
        <v>535368049.76350403</v>
      </c>
    </row>
    <row r="9147" spans="18:19" x14ac:dyDescent="0.25">
      <c r="R9147" s="13">
        <v>9074</v>
      </c>
      <c r="S9147" s="13">
        <v>252481900.95405579</v>
      </c>
    </row>
    <row r="9148" spans="18:19" x14ac:dyDescent="0.25">
      <c r="R9148" s="13">
        <v>9075</v>
      </c>
      <c r="S9148" s="13">
        <v>3761669.7953166962</v>
      </c>
    </row>
    <row r="9149" spans="18:19" x14ac:dyDescent="0.25">
      <c r="R9149" s="13">
        <v>9076</v>
      </c>
      <c r="S9149" s="13">
        <v>0</v>
      </c>
    </row>
    <row r="9150" spans="18:19" x14ac:dyDescent="0.25">
      <c r="R9150" s="13">
        <v>9077</v>
      </c>
      <c r="S9150" s="13">
        <v>0</v>
      </c>
    </row>
    <row r="9151" spans="18:19" x14ac:dyDescent="0.25">
      <c r="R9151" s="13">
        <v>9078</v>
      </c>
      <c r="S9151" s="13">
        <v>0</v>
      </c>
    </row>
    <row r="9152" spans="18:19" x14ac:dyDescent="0.25">
      <c r="R9152" s="13">
        <v>9079</v>
      </c>
      <c r="S9152" s="13">
        <v>0</v>
      </c>
    </row>
    <row r="9153" spans="18:19" x14ac:dyDescent="0.25">
      <c r="R9153" s="13">
        <v>9080</v>
      </c>
      <c r="S9153" s="13">
        <v>0</v>
      </c>
    </row>
    <row r="9154" spans="18:19" x14ac:dyDescent="0.25">
      <c r="R9154" s="13">
        <v>9081</v>
      </c>
      <c r="S9154" s="13">
        <v>0</v>
      </c>
    </row>
    <row r="9155" spans="18:19" x14ac:dyDescent="0.25">
      <c r="R9155" s="13">
        <v>9082</v>
      </c>
      <c r="S9155" s="13">
        <v>0</v>
      </c>
    </row>
    <row r="9156" spans="18:19" x14ac:dyDescent="0.25">
      <c r="R9156" s="13">
        <v>9083</v>
      </c>
      <c r="S9156" s="13">
        <v>201422403.40580559</v>
      </c>
    </row>
    <row r="9157" spans="18:19" x14ac:dyDescent="0.25">
      <c r="R9157" s="13">
        <v>9084</v>
      </c>
      <c r="S9157" s="13">
        <v>0</v>
      </c>
    </row>
    <row r="9158" spans="18:19" x14ac:dyDescent="0.25">
      <c r="R9158" s="13">
        <v>9085</v>
      </c>
      <c r="S9158" s="13">
        <v>0</v>
      </c>
    </row>
    <row r="9159" spans="18:19" x14ac:dyDescent="0.25">
      <c r="R9159" s="13">
        <v>9086</v>
      </c>
      <c r="S9159" s="13">
        <v>0</v>
      </c>
    </row>
    <row r="9160" spans="18:19" x14ac:dyDescent="0.25">
      <c r="R9160" s="13">
        <v>9087</v>
      </c>
      <c r="S9160" s="13">
        <v>0</v>
      </c>
    </row>
    <row r="9161" spans="18:19" x14ac:dyDescent="0.25">
      <c r="R9161" s="13">
        <v>9088</v>
      </c>
      <c r="S9161" s="13">
        <v>0</v>
      </c>
    </row>
    <row r="9162" spans="18:19" x14ac:dyDescent="0.25">
      <c r="R9162" s="13">
        <v>9089</v>
      </c>
      <c r="S9162" s="13">
        <v>110614787.63041306</v>
      </c>
    </row>
    <row r="9163" spans="18:19" x14ac:dyDescent="0.25">
      <c r="R9163" s="13">
        <v>9090</v>
      </c>
      <c r="S9163" s="13">
        <v>0</v>
      </c>
    </row>
    <row r="9164" spans="18:19" x14ac:dyDescent="0.25">
      <c r="R9164" s="13">
        <v>9091</v>
      </c>
      <c r="S9164" s="13">
        <v>947003777.89827728</v>
      </c>
    </row>
    <row r="9165" spans="18:19" x14ac:dyDescent="0.25">
      <c r="R9165" s="13">
        <v>9092</v>
      </c>
      <c r="S9165" s="13">
        <v>0</v>
      </c>
    </row>
    <row r="9166" spans="18:19" x14ac:dyDescent="0.25">
      <c r="R9166" s="13">
        <v>9093</v>
      </c>
      <c r="S9166" s="13">
        <v>0</v>
      </c>
    </row>
    <row r="9167" spans="18:19" x14ac:dyDescent="0.25">
      <c r="R9167" s="13">
        <v>9094</v>
      </c>
      <c r="S9167" s="13">
        <v>0</v>
      </c>
    </row>
    <row r="9168" spans="18:19" x14ac:dyDescent="0.25">
      <c r="R9168" s="13">
        <v>9095</v>
      </c>
      <c r="S9168" s="13">
        <v>392097836.99676895</v>
      </c>
    </row>
    <row r="9169" spans="18:19" x14ac:dyDescent="0.25">
      <c r="R9169" s="13">
        <v>9096</v>
      </c>
      <c r="S9169" s="13">
        <v>0</v>
      </c>
    </row>
    <row r="9170" spans="18:19" x14ac:dyDescent="0.25">
      <c r="R9170" s="13">
        <v>9097</v>
      </c>
      <c r="S9170" s="13">
        <v>0</v>
      </c>
    </row>
    <row r="9171" spans="18:19" x14ac:dyDescent="0.25">
      <c r="R9171" s="13">
        <v>9098</v>
      </c>
      <c r="S9171" s="13">
        <v>957751581.96030426</v>
      </c>
    </row>
    <row r="9172" spans="18:19" x14ac:dyDescent="0.25">
      <c r="R9172" s="13">
        <v>9099</v>
      </c>
      <c r="S9172" s="13">
        <v>0</v>
      </c>
    </row>
    <row r="9173" spans="18:19" x14ac:dyDescent="0.25">
      <c r="R9173" s="13">
        <v>9100</v>
      </c>
      <c r="S9173" s="13">
        <v>0</v>
      </c>
    </row>
    <row r="9174" spans="18:19" x14ac:dyDescent="0.25">
      <c r="R9174" s="13">
        <v>9101</v>
      </c>
      <c r="S9174" s="13">
        <v>939701131.06917953</v>
      </c>
    </row>
    <row r="9175" spans="18:19" x14ac:dyDescent="0.25">
      <c r="R9175" s="13">
        <v>9102</v>
      </c>
      <c r="S9175" s="13">
        <v>0</v>
      </c>
    </row>
    <row r="9176" spans="18:19" x14ac:dyDescent="0.25">
      <c r="R9176" s="13">
        <v>9103</v>
      </c>
      <c r="S9176" s="13">
        <v>104350405.73168182</v>
      </c>
    </row>
    <row r="9177" spans="18:19" x14ac:dyDescent="0.25">
      <c r="R9177" s="13">
        <v>9104</v>
      </c>
      <c r="S9177" s="13">
        <v>0</v>
      </c>
    </row>
    <row r="9178" spans="18:19" x14ac:dyDescent="0.25">
      <c r="R9178" s="13">
        <v>9105</v>
      </c>
      <c r="S9178" s="13">
        <v>237138364.76832008</v>
      </c>
    </row>
    <row r="9179" spans="18:19" x14ac:dyDescent="0.25">
      <c r="R9179" s="13">
        <v>9106</v>
      </c>
      <c r="S9179" s="13">
        <v>0</v>
      </c>
    </row>
    <row r="9180" spans="18:19" x14ac:dyDescent="0.25">
      <c r="R9180" s="13">
        <v>9107</v>
      </c>
      <c r="S9180" s="13">
        <v>0</v>
      </c>
    </row>
    <row r="9181" spans="18:19" x14ac:dyDescent="0.25">
      <c r="R9181" s="13">
        <v>9108</v>
      </c>
      <c r="S9181" s="13">
        <v>0</v>
      </c>
    </row>
    <row r="9182" spans="18:19" x14ac:dyDescent="0.25">
      <c r="R9182" s="13">
        <v>9109</v>
      </c>
      <c r="S9182" s="13">
        <v>0</v>
      </c>
    </row>
    <row r="9183" spans="18:19" x14ac:dyDescent="0.25">
      <c r="R9183" s="13">
        <v>9110</v>
      </c>
      <c r="S9183" s="13">
        <v>404897764.83051109</v>
      </c>
    </row>
    <row r="9184" spans="18:19" x14ac:dyDescent="0.25">
      <c r="R9184" s="13">
        <v>9111</v>
      </c>
      <c r="S9184" s="13">
        <v>0</v>
      </c>
    </row>
    <row r="9185" spans="18:19" x14ac:dyDescent="0.25">
      <c r="R9185" s="13">
        <v>9112</v>
      </c>
      <c r="S9185" s="13">
        <v>0</v>
      </c>
    </row>
    <row r="9186" spans="18:19" x14ac:dyDescent="0.25">
      <c r="R9186" s="13">
        <v>9113</v>
      </c>
      <c r="S9186" s="13">
        <v>0</v>
      </c>
    </row>
    <row r="9187" spans="18:19" x14ac:dyDescent="0.25">
      <c r="R9187" s="13">
        <v>9114</v>
      </c>
      <c r="S9187" s="13">
        <v>0</v>
      </c>
    </row>
    <row r="9188" spans="18:19" x14ac:dyDescent="0.25">
      <c r="R9188" s="13">
        <v>9115</v>
      </c>
      <c r="S9188" s="13">
        <v>0</v>
      </c>
    </row>
    <row r="9189" spans="18:19" x14ac:dyDescent="0.25">
      <c r="R9189" s="13">
        <v>9116</v>
      </c>
      <c r="S9189" s="13">
        <v>0</v>
      </c>
    </row>
    <row r="9190" spans="18:19" x14ac:dyDescent="0.25">
      <c r="R9190" s="13">
        <v>9117</v>
      </c>
      <c r="S9190" s="13">
        <v>0</v>
      </c>
    </row>
    <row r="9191" spans="18:19" x14ac:dyDescent="0.25">
      <c r="R9191" s="13">
        <v>9118</v>
      </c>
      <c r="S9191" s="13">
        <v>0</v>
      </c>
    </row>
    <row r="9192" spans="18:19" x14ac:dyDescent="0.25">
      <c r="R9192" s="13">
        <v>9119</v>
      </c>
      <c r="S9192" s="13">
        <v>0</v>
      </c>
    </row>
    <row r="9193" spans="18:19" x14ac:dyDescent="0.25">
      <c r="R9193" s="13">
        <v>9120</v>
      </c>
      <c r="S9193" s="13">
        <v>0</v>
      </c>
    </row>
    <row r="9194" spans="18:19" x14ac:dyDescent="0.25">
      <c r="R9194" s="13">
        <v>9121</v>
      </c>
      <c r="S9194" s="13">
        <v>0</v>
      </c>
    </row>
    <row r="9195" spans="18:19" x14ac:dyDescent="0.25">
      <c r="R9195" s="13">
        <v>9122</v>
      </c>
      <c r="S9195" s="13">
        <v>0</v>
      </c>
    </row>
    <row r="9196" spans="18:19" x14ac:dyDescent="0.25">
      <c r="R9196" s="13">
        <v>9123</v>
      </c>
      <c r="S9196" s="13">
        <v>0</v>
      </c>
    </row>
    <row r="9197" spans="18:19" x14ac:dyDescent="0.25">
      <c r="R9197" s="13">
        <v>9124</v>
      </c>
      <c r="S9197" s="13">
        <v>0</v>
      </c>
    </row>
    <row r="9198" spans="18:19" x14ac:dyDescent="0.25">
      <c r="R9198" s="13">
        <v>9125</v>
      </c>
      <c r="S9198" s="13">
        <v>217401300.15976715</v>
      </c>
    </row>
    <row r="9199" spans="18:19" x14ac:dyDescent="0.25">
      <c r="R9199" s="13">
        <v>9126</v>
      </c>
      <c r="S9199" s="13">
        <v>0</v>
      </c>
    </row>
    <row r="9200" spans="18:19" x14ac:dyDescent="0.25">
      <c r="R9200" s="13">
        <v>9127</v>
      </c>
      <c r="S9200" s="13">
        <v>0</v>
      </c>
    </row>
    <row r="9201" spans="18:19" x14ac:dyDescent="0.25">
      <c r="R9201" s="13">
        <v>9128</v>
      </c>
      <c r="S9201" s="13">
        <v>0</v>
      </c>
    </row>
    <row r="9202" spans="18:19" x14ac:dyDescent="0.25">
      <c r="R9202" s="13">
        <v>9129</v>
      </c>
      <c r="S9202" s="13">
        <v>0</v>
      </c>
    </row>
    <row r="9203" spans="18:19" x14ac:dyDescent="0.25">
      <c r="R9203" s="13">
        <v>9130</v>
      </c>
      <c r="S9203" s="13">
        <v>0</v>
      </c>
    </row>
    <row r="9204" spans="18:19" x14ac:dyDescent="0.25">
      <c r="R9204" s="13">
        <v>9131</v>
      </c>
      <c r="S9204" s="13">
        <v>0</v>
      </c>
    </row>
    <row r="9205" spans="18:19" x14ac:dyDescent="0.25">
      <c r="R9205" s="13">
        <v>9132</v>
      </c>
      <c r="S9205" s="13">
        <v>0</v>
      </c>
    </row>
    <row r="9206" spans="18:19" x14ac:dyDescent="0.25">
      <c r="R9206" s="13">
        <v>9133</v>
      </c>
      <c r="S9206" s="13">
        <v>0</v>
      </c>
    </row>
    <row r="9207" spans="18:19" x14ac:dyDescent="0.25">
      <c r="R9207" s="13">
        <v>9134</v>
      </c>
      <c r="S9207" s="13">
        <v>0</v>
      </c>
    </row>
    <row r="9208" spans="18:19" x14ac:dyDescent="0.25">
      <c r="R9208" s="13">
        <v>9135</v>
      </c>
      <c r="S9208" s="13">
        <v>247333663.40283775</v>
      </c>
    </row>
    <row r="9209" spans="18:19" x14ac:dyDescent="0.25">
      <c r="R9209" s="13">
        <v>9136</v>
      </c>
      <c r="S9209" s="13">
        <v>0</v>
      </c>
    </row>
    <row r="9210" spans="18:19" x14ac:dyDescent="0.25">
      <c r="R9210" s="13">
        <v>9137</v>
      </c>
      <c r="S9210" s="13">
        <v>0</v>
      </c>
    </row>
    <row r="9211" spans="18:19" x14ac:dyDescent="0.25">
      <c r="R9211" s="13">
        <v>9138</v>
      </c>
      <c r="S9211" s="13">
        <v>0</v>
      </c>
    </row>
    <row r="9212" spans="18:19" x14ac:dyDescent="0.25">
      <c r="R9212" s="13">
        <v>9139</v>
      </c>
      <c r="S9212" s="13">
        <v>0</v>
      </c>
    </row>
    <row r="9213" spans="18:19" x14ac:dyDescent="0.25">
      <c r="R9213" s="13">
        <v>9140</v>
      </c>
      <c r="S9213" s="13">
        <v>0</v>
      </c>
    </row>
    <row r="9214" spans="18:19" x14ac:dyDescent="0.25">
      <c r="R9214" s="13">
        <v>9141</v>
      </c>
      <c r="S9214" s="13">
        <v>132878578.49580383</v>
      </c>
    </row>
    <row r="9215" spans="18:19" x14ac:dyDescent="0.25">
      <c r="R9215" s="13">
        <v>9142</v>
      </c>
      <c r="S9215" s="13">
        <v>0</v>
      </c>
    </row>
    <row r="9216" spans="18:19" x14ac:dyDescent="0.25">
      <c r="R9216" s="13">
        <v>9143</v>
      </c>
      <c r="S9216" s="13">
        <v>0</v>
      </c>
    </row>
    <row r="9217" spans="18:19" x14ac:dyDescent="0.25">
      <c r="R9217" s="13">
        <v>9144</v>
      </c>
      <c r="S9217" s="13">
        <v>0</v>
      </c>
    </row>
    <row r="9218" spans="18:19" x14ac:dyDescent="0.25">
      <c r="R9218" s="13">
        <v>9145</v>
      </c>
      <c r="S9218" s="13">
        <v>0</v>
      </c>
    </row>
    <row r="9219" spans="18:19" x14ac:dyDescent="0.25">
      <c r="R9219" s="13">
        <v>9146</v>
      </c>
      <c r="S9219" s="13">
        <v>0</v>
      </c>
    </row>
    <row r="9220" spans="18:19" x14ac:dyDescent="0.25">
      <c r="R9220" s="13">
        <v>9147</v>
      </c>
      <c r="S9220" s="13">
        <v>0</v>
      </c>
    </row>
    <row r="9221" spans="18:19" x14ac:dyDescent="0.25">
      <c r="R9221" s="13">
        <v>9148</v>
      </c>
      <c r="S9221" s="13">
        <v>0</v>
      </c>
    </row>
    <row r="9222" spans="18:19" x14ac:dyDescent="0.25">
      <c r="R9222" s="13">
        <v>9149</v>
      </c>
      <c r="S9222" s="13">
        <v>0</v>
      </c>
    </row>
    <row r="9223" spans="18:19" x14ac:dyDescent="0.25">
      <c r="R9223" s="13">
        <v>9150</v>
      </c>
      <c r="S9223" s="13">
        <v>130569407.93776131</v>
      </c>
    </row>
    <row r="9224" spans="18:19" x14ac:dyDescent="0.25">
      <c r="R9224" s="13">
        <v>9151</v>
      </c>
      <c r="S9224" s="13">
        <v>447901898.3166256</v>
      </c>
    </row>
    <row r="9225" spans="18:19" x14ac:dyDescent="0.25">
      <c r="R9225" s="13">
        <v>9152</v>
      </c>
      <c r="S9225" s="13">
        <v>0</v>
      </c>
    </row>
    <row r="9226" spans="18:19" x14ac:dyDescent="0.25">
      <c r="R9226" s="13">
        <v>9153</v>
      </c>
      <c r="S9226" s="13">
        <v>0</v>
      </c>
    </row>
    <row r="9227" spans="18:19" x14ac:dyDescent="0.25">
      <c r="R9227" s="13">
        <v>9154</v>
      </c>
      <c r="S9227" s="13">
        <v>0</v>
      </c>
    </row>
    <row r="9228" spans="18:19" x14ac:dyDescent="0.25">
      <c r="R9228" s="13">
        <v>9155</v>
      </c>
      <c r="S9228" s="13">
        <v>0</v>
      </c>
    </row>
    <row r="9229" spans="18:19" x14ac:dyDescent="0.25">
      <c r="R9229" s="13">
        <v>9156</v>
      </c>
      <c r="S9229" s="13">
        <v>692247812.0729084</v>
      </c>
    </row>
    <row r="9230" spans="18:19" x14ac:dyDescent="0.25">
      <c r="R9230" s="13">
        <v>9157</v>
      </c>
      <c r="S9230" s="13">
        <v>0</v>
      </c>
    </row>
    <row r="9231" spans="18:19" x14ac:dyDescent="0.25">
      <c r="R9231" s="13">
        <v>9158</v>
      </c>
      <c r="S9231" s="13">
        <v>0</v>
      </c>
    </row>
    <row r="9232" spans="18:19" x14ac:dyDescent="0.25">
      <c r="R9232" s="13">
        <v>9159</v>
      </c>
      <c r="S9232" s="13">
        <v>0</v>
      </c>
    </row>
    <row r="9233" spans="18:19" x14ac:dyDescent="0.25">
      <c r="R9233" s="13">
        <v>9160</v>
      </c>
      <c r="S9233" s="13">
        <v>0</v>
      </c>
    </row>
    <row r="9234" spans="18:19" x14ac:dyDescent="0.25">
      <c r="R9234" s="13">
        <v>9161</v>
      </c>
      <c r="S9234" s="13">
        <v>0</v>
      </c>
    </row>
    <row r="9235" spans="18:19" x14ac:dyDescent="0.25">
      <c r="R9235" s="13">
        <v>9162</v>
      </c>
      <c r="S9235" s="13">
        <v>0</v>
      </c>
    </row>
    <row r="9236" spans="18:19" x14ac:dyDescent="0.25">
      <c r="R9236" s="13">
        <v>9163</v>
      </c>
      <c r="S9236" s="13">
        <v>663415362.42511749</v>
      </c>
    </row>
    <row r="9237" spans="18:19" x14ac:dyDescent="0.25">
      <c r="R9237" s="13">
        <v>9164</v>
      </c>
      <c r="S9237" s="13">
        <v>68916192.121706009</v>
      </c>
    </row>
    <row r="9238" spans="18:19" x14ac:dyDescent="0.25">
      <c r="R9238" s="13">
        <v>9165</v>
      </c>
      <c r="S9238" s="13">
        <v>0</v>
      </c>
    </row>
    <row r="9239" spans="18:19" x14ac:dyDescent="0.25">
      <c r="R9239" s="13">
        <v>9166</v>
      </c>
      <c r="S9239" s="13">
        <v>232623271.0442524</v>
      </c>
    </row>
    <row r="9240" spans="18:19" x14ac:dyDescent="0.25">
      <c r="R9240" s="13">
        <v>9167</v>
      </c>
      <c r="S9240" s="13">
        <v>0</v>
      </c>
    </row>
    <row r="9241" spans="18:19" x14ac:dyDescent="0.25">
      <c r="R9241" s="13">
        <v>9168</v>
      </c>
      <c r="S9241" s="13">
        <v>0</v>
      </c>
    </row>
    <row r="9242" spans="18:19" x14ac:dyDescent="0.25">
      <c r="R9242" s="13">
        <v>9169</v>
      </c>
      <c r="S9242" s="13">
        <v>0</v>
      </c>
    </row>
    <row r="9243" spans="18:19" x14ac:dyDescent="0.25">
      <c r="R9243" s="13">
        <v>9170</v>
      </c>
      <c r="S9243" s="13">
        <v>0</v>
      </c>
    </row>
    <row r="9244" spans="18:19" x14ac:dyDescent="0.25">
      <c r="R9244" s="13">
        <v>9171</v>
      </c>
      <c r="S9244" s="13">
        <v>0</v>
      </c>
    </row>
    <row r="9245" spans="18:19" x14ac:dyDescent="0.25">
      <c r="R9245" s="13">
        <v>9172</v>
      </c>
      <c r="S9245" s="13">
        <v>0</v>
      </c>
    </row>
    <row r="9246" spans="18:19" x14ac:dyDescent="0.25">
      <c r="R9246" s="13">
        <v>9173</v>
      </c>
      <c r="S9246" s="13">
        <v>0</v>
      </c>
    </row>
    <row r="9247" spans="18:19" x14ac:dyDescent="0.25">
      <c r="R9247" s="13">
        <v>9174</v>
      </c>
      <c r="S9247" s="13">
        <v>258080330.22580147</v>
      </c>
    </row>
    <row r="9248" spans="18:19" x14ac:dyDescent="0.25">
      <c r="R9248" s="13">
        <v>9175</v>
      </c>
      <c r="S9248" s="13">
        <v>0</v>
      </c>
    </row>
    <row r="9249" spans="18:19" x14ac:dyDescent="0.25">
      <c r="R9249" s="13">
        <v>9176</v>
      </c>
      <c r="S9249" s="13">
        <v>241594385.93613243</v>
      </c>
    </row>
    <row r="9250" spans="18:19" x14ac:dyDescent="0.25">
      <c r="R9250" s="13">
        <v>9177</v>
      </c>
      <c r="S9250" s="13">
        <v>0</v>
      </c>
    </row>
    <row r="9251" spans="18:19" x14ac:dyDescent="0.25">
      <c r="R9251" s="13">
        <v>9178</v>
      </c>
      <c r="S9251" s="13">
        <v>204507144.80063248</v>
      </c>
    </row>
    <row r="9252" spans="18:19" x14ac:dyDescent="0.25">
      <c r="R9252" s="13">
        <v>9179</v>
      </c>
      <c r="S9252" s="13">
        <v>0</v>
      </c>
    </row>
    <row r="9253" spans="18:19" x14ac:dyDescent="0.25">
      <c r="R9253" s="13">
        <v>9180</v>
      </c>
      <c r="S9253" s="13">
        <v>0</v>
      </c>
    </row>
    <row r="9254" spans="18:19" x14ac:dyDescent="0.25">
      <c r="R9254" s="13">
        <v>9181</v>
      </c>
      <c r="S9254" s="13">
        <v>414579251.71440887</v>
      </c>
    </row>
    <row r="9255" spans="18:19" x14ac:dyDescent="0.25">
      <c r="R9255" s="13">
        <v>9182</v>
      </c>
      <c r="S9255" s="13">
        <v>0</v>
      </c>
    </row>
    <row r="9256" spans="18:19" x14ac:dyDescent="0.25">
      <c r="R9256" s="13">
        <v>9183</v>
      </c>
      <c r="S9256" s="13">
        <v>77410400.459072113</v>
      </c>
    </row>
    <row r="9257" spans="18:19" x14ac:dyDescent="0.25">
      <c r="R9257" s="13">
        <v>9184</v>
      </c>
      <c r="S9257" s="13">
        <v>0</v>
      </c>
    </row>
    <row r="9258" spans="18:19" x14ac:dyDescent="0.25">
      <c r="R9258" s="13">
        <v>9185</v>
      </c>
      <c r="S9258" s="13">
        <v>0</v>
      </c>
    </row>
    <row r="9259" spans="18:19" x14ac:dyDescent="0.25">
      <c r="R9259" s="13">
        <v>9186</v>
      </c>
      <c r="S9259" s="13">
        <v>0</v>
      </c>
    </row>
    <row r="9260" spans="18:19" x14ac:dyDescent="0.25">
      <c r="R9260" s="13">
        <v>9187</v>
      </c>
      <c r="S9260" s="13">
        <v>0</v>
      </c>
    </row>
    <row r="9261" spans="18:19" x14ac:dyDescent="0.25">
      <c r="R9261" s="13">
        <v>9188</v>
      </c>
      <c r="S9261" s="13">
        <v>482930222.04481888</v>
      </c>
    </row>
    <row r="9262" spans="18:19" x14ac:dyDescent="0.25">
      <c r="R9262" s="13">
        <v>9189</v>
      </c>
      <c r="S9262" s="13">
        <v>0</v>
      </c>
    </row>
    <row r="9263" spans="18:19" x14ac:dyDescent="0.25">
      <c r="R9263" s="13">
        <v>9190</v>
      </c>
      <c r="S9263" s="13">
        <v>0</v>
      </c>
    </row>
    <row r="9264" spans="18:19" x14ac:dyDescent="0.25">
      <c r="R9264" s="13">
        <v>9191</v>
      </c>
      <c r="S9264" s="13">
        <v>138308873.45739555</v>
      </c>
    </row>
    <row r="9265" spans="18:19" x14ac:dyDescent="0.25">
      <c r="R9265" s="13">
        <v>9192</v>
      </c>
      <c r="S9265" s="13">
        <v>0</v>
      </c>
    </row>
    <row r="9266" spans="18:19" x14ac:dyDescent="0.25">
      <c r="R9266" s="13">
        <v>9193</v>
      </c>
      <c r="S9266" s="13">
        <v>816557264.31369781</v>
      </c>
    </row>
    <row r="9267" spans="18:19" x14ac:dyDescent="0.25">
      <c r="R9267" s="13">
        <v>9194</v>
      </c>
      <c r="S9267" s="13">
        <v>0</v>
      </c>
    </row>
    <row r="9268" spans="18:19" x14ac:dyDescent="0.25">
      <c r="R9268" s="13">
        <v>9195</v>
      </c>
      <c r="S9268" s="13">
        <v>1009872714.6868439</v>
      </c>
    </row>
    <row r="9269" spans="18:19" x14ac:dyDescent="0.25">
      <c r="R9269" s="13">
        <v>9196</v>
      </c>
      <c r="S9269" s="13">
        <v>0</v>
      </c>
    </row>
    <row r="9270" spans="18:19" x14ac:dyDescent="0.25">
      <c r="R9270" s="13">
        <v>9197</v>
      </c>
      <c r="S9270" s="13">
        <v>0</v>
      </c>
    </row>
    <row r="9271" spans="18:19" x14ac:dyDescent="0.25">
      <c r="R9271" s="13">
        <v>9198</v>
      </c>
      <c r="S9271" s="13">
        <v>0</v>
      </c>
    </row>
    <row r="9272" spans="18:19" x14ac:dyDescent="0.25">
      <c r="R9272" s="13">
        <v>9199</v>
      </c>
      <c r="S9272" s="13">
        <v>0</v>
      </c>
    </row>
    <row r="9273" spans="18:19" x14ac:dyDescent="0.25">
      <c r="R9273" s="13">
        <v>9200</v>
      </c>
      <c r="S9273" s="13">
        <v>0</v>
      </c>
    </row>
    <row r="9274" spans="18:19" x14ac:dyDescent="0.25">
      <c r="R9274" s="13">
        <v>9201</v>
      </c>
      <c r="S9274" s="13">
        <v>0</v>
      </c>
    </row>
    <row r="9275" spans="18:19" x14ac:dyDescent="0.25">
      <c r="R9275" s="13">
        <v>9202</v>
      </c>
      <c r="S9275" s="13">
        <v>0</v>
      </c>
    </row>
    <row r="9276" spans="18:19" x14ac:dyDescent="0.25">
      <c r="R9276" s="13">
        <v>9203</v>
      </c>
      <c r="S9276" s="13">
        <v>0</v>
      </c>
    </row>
    <row r="9277" spans="18:19" x14ac:dyDescent="0.25">
      <c r="R9277" s="13">
        <v>9204</v>
      </c>
      <c r="S9277" s="13">
        <v>0</v>
      </c>
    </row>
    <row r="9278" spans="18:19" x14ac:dyDescent="0.25">
      <c r="R9278" s="13">
        <v>9205</v>
      </c>
      <c r="S9278" s="13">
        <v>0</v>
      </c>
    </row>
    <row r="9279" spans="18:19" x14ac:dyDescent="0.25">
      <c r="R9279" s="13">
        <v>9206</v>
      </c>
      <c r="S9279" s="13">
        <v>0</v>
      </c>
    </row>
    <row r="9280" spans="18:19" x14ac:dyDescent="0.25">
      <c r="R9280" s="13">
        <v>9207</v>
      </c>
      <c r="S9280" s="13">
        <v>0</v>
      </c>
    </row>
    <row r="9281" spans="18:19" x14ac:dyDescent="0.25">
      <c r="R9281" s="13">
        <v>9208</v>
      </c>
      <c r="S9281" s="13">
        <v>0</v>
      </c>
    </row>
    <row r="9282" spans="18:19" x14ac:dyDescent="0.25">
      <c r="R9282" s="13">
        <v>9209</v>
      </c>
      <c r="S9282" s="13">
        <v>0</v>
      </c>
    </row>
    <row r="9283" spans="18:19" x14ac:dyDescent="0.25">
      <c r="R9283" s="13">
        <v>9210</v>
      </c>
      <c r="S9283" s="13">
        <v>0</v>
      </c>
    </row>
    <row r="9284" spans="18:19" x14ac:dyDescent="0.25">
      <c r="R9284" s="13">
        <v>9211</v>
      </c>
      <c r="S9284" s="13">
        <v>0</v>
      </c>
    </row>
    <row r="9285" spans="18:19" x14ac:dyDescent="0.25">
      <c r="R9285" s="13">
        <v>9212</v>
      </c>
      <c r="S9285" s="13">
        <v>0</v>
      </c>
    </row>
    <row r="9286" spans="18:19" x14ac:dyDescent="0.25">
      <c r="R9286" s="13">
        <v>9213</v>
      </c>
      <c r="S9286" s="13">
        <v>0</v>
      </c>
    </row>
    <row r="9287" spans="18:19" x14ac:dyDescent="0.25">
      <c r="R9287" s="13">
        <v>9214</v>
      </c>
      <c r="S9287" s="13">
        <v>0</v>
      </c>
    </row>
    <row r="9288" spans="18:19" x14ac:dyDescent="0.25">
      <c r="R9288" s="13">
        <v>9215</v>
      </c>
      <c r="S9288" s="13">
        <v>0</v>
      </c>
    </row>
    <row r="9289" spans="18:19" x14ac:dyDescent="0.25">
      <c r="R9289" s="13">
        <v>9216</v>
      </c>
      <c r="S9289" s="13">
        <v>0</v>
      </c>
    </row>
    <row r="9290" spans="18:19" x14ac:dyDescent="0.25">
      <c r="R9290" s="13">
        <v>9217</v>
      </c>
      <c r="S9290" s="13">
        <v>0</v>
      </c>
    </row>
    <row r="9291" spans="18:19" x14ac:dyDescent="0.25">
      <c r="R9291" s="13">
        <v>9218</v>
      </c>
      <c r="S9291" s="13">
        <v>0</v>
      </c>
    </row>
    <row r="9292" spans="18:19" x14ac:dyDescent="0.25">
      <c r="R9292" s="13">
        <v>9219</v>
      </c>
      <c r="S9292" s="13">
        <v>0</v>
      </c>
    </row>
    <row r="9293" spans="18:19" x14ac:dyDescent="0.25">
      <c r="R9293" s="13">
        <v>9220</v>
      </c>
      <c r="S9293" s="13">
        <v>681691523.13062668</v>
      </c>
    </row>
    <row r="9294" spans="18:19" x14ac:dyDescent="0.25">
      <c r="R9294" s="13">
        <v>9221</v>
      </c>
      <c r="S9294" s="13">
        <v>0</v>
      </c>
    </row>
    <row r="9295" spans="18:19" x14ac:dyDescent="0.25">
      <c r="R9295" s="13">
        <v>9222</v>
      </c>
      <c r="S9295" s="13">
        <v>0</v>
      </c>
    </row>
    <row r="9296" spans="18:19" x14ac:dyDescent="0.25">
      <c r="R9296" s="13">
        <v>9223</v>
      </c>
      <c r="S9296" s="13">
        <v>0</v>
      </c>
    </row>
    <row r="9297" spans="18:19" x14ac:dyDescent="0.25">
      <c r="R9297" s="13">
        <v>9224</v>
      </c>
      <c r="S9297" s="13">
        <v>0</v>
      </c>
    </row>
    <row r="9298" spans="18:19" x14ac:dyDescent="0.25">
      <c r="R9298" s="13">
        <v>9225</v>
      </c>
      <c r="S9298" s="13">
        <v>0</v>
      </c>
    </row>
    <row r="9299" spans="18:19" x14ac:dyDescent="0.25">
      <c r="R9299" s="13">
        <v>9226</v>
      </c>
      <c r="S9299" s="13">
        <v>454296173.87188339</v>
      </c>
    </row>
    <row r="9300" spans="18:19" x14ac:dyDescent="0.25">
      <c r="R9300" s="13">
        <v>9227</v>
      </c>
      <c r="S9300" s="13">
        <v>0</v>
      </c>
    </row>
    <row r="9301" spans="18:19" x14ac:dyDescent="0.25">
      <c r="R9301" s="13">
        <v>9228</v>
      </c>
      <c r="S9301" s="13">
        <v>0</v>
      </c>
    </row>
    <row r="9302" spans="18:19" x14ac:dyDescent="0.25">
      <c r="R9302" s="13">
        <v>9229</v>
      </c>
      <c r="S9302" s="13">
        <v>0</v>
      </c>
    </row>
    <row r="9303" spans="18:19" x14ac:dyDescent="0.25">
      <c r="R9303" s="13">
        <v>9230</v>
      </c>
      <c r="S9303" s="13">
        <v>0</v>
      </c>
    </row>
    <row r="9304" spans="18:19" x14ac:dyDescent="0.25">
      <c r="R9304" s="13">
        <v>9231</v>
      </c>
      <c r="S9304" s="13">
        <v>610598000.78116798</v>
      </c>
    </row>
    <row r="9305" spans="18:19" x14ac:dyDescent="0.25">
      <c r="R9305" s="13">
        <v>9232</v>
      </c>
      <c r="S9305" s="13">
        <v>0</v>
      </c>
    </row>
    <row r="9306" spans="18:19" x14ac:dyDescent="0.25">
      <c r="R9306" s="13">
        <v>9233</v>
      </c>
      <c r="S9306" s="13">
        <v>0</v>
      </c>
    </row>
    <row r="9307" spans="18:19" x14ac:dyDescent="0.25">
      <c r="R9307" s="13">
        <v>9234</v>
      </c>
      <c r="S9307" s="13">
        <v>0</v>
      </c>
    </row>
    <row r="9308" spans="18:19" x14ac:dyDescent="0.25">
      <c r="R9308" s="13">
        <v>9235</v>
      </c>
      <c r="S9308" s="13">
        <v>0</v>
      </c>
    </row>
    <row r="9309" spans="18:19" x14ac:dyDescent="0.25">
      <c r="R9309" s="13">
        <v>9236</v>
      </c>
      <c r="S9309" s="13">
        <v>0</v>
      </c>
    </row>
    <row r="9310" spans="18:19" x14ac:dyDescent="0.25">
      <c r="R9310" s="13">
        <v>9237</v>
      </c>
      <c r="S9310" s="13">
        <v>0</v>
      </c>
    </row>
    <row r="9311" spans="18:19" x14ac:dyDescent="0.25">
      <c r="R9311" s="13">
        <v>9238</v>
      </c>
      <c r="S9311" s="13">
        <v>295106155.97385788</v>
      </c>
    </row>
    <row r="9312" spans="18:19" x14ac:dyDescent="0.25">
      <c r="R9312" s="13">
        <v>9239</v>
      </c>
      <c r="S9312" s="13">
        <v>0</v>
      </c>
    </row>
    <row r="9313" spans="18:19" x14ac:dyDescent="0.25">
      <c r="R9313" s="13">
        <v>9240</v>
      </c>
      <c r="S9313" s="13">
        <v>0</v>
      </c>
    </row>
    <row r="9314" spans="18:19" x14ac:dyDescent="0.25">
      <c r="R9314" s="13">
        <v>9241</v>
      </c>
      <c r="S9314" s="13">
        <v>0</v>
      </c>
    </row>
    <row r="9315" spans="18:19" x14ac:dyDescent="0.25">
      <c r="R9315" s="13">
        <v>9242</v>
      </c>
      <c r="S9315" s="13">
        <v>0</v>
      </c>
    </row>
    <row r="9316" spans="18:19" x14ac:dyDescent="0.25">
      <c r="R9316" s="13">
        <v>9243</v>
      </c>
      <c r="S9316" s="13">
        <v>0</v>
      </c>
    </row>
    <row r="9317" spans="18:19" x14ac:dyDescent="0.25">
      <c r="R9317" s="13">
        <v>9244</v>
      </c>
      <c r="S9317" s="13">
        <v>0</v>
      </c>
    </row>
    <row r="9318" spans="18:19" x14ac:dyDescent="0.25">
      <c r="R9318" s="13">
        <v>9245</v>
      </c>
      <c r="S9318" s="13">
        <v>0</v>
      </c>
    </row>
    <row r="9319" spans="18:19" x14ac:dyDescent="0.25">
      <c r="R9319" s="13">
        <v>9246</v>
      </c>
      <c r="S9319" s="13">
        <v>8953530.3682880402</v>
      </c>
    </row>
    <row r="9320" spans="18:19" x14ac:dyDescent="0.25">
      <c r="R9320" s="13">
        <v>9247</v>
      </c>
      <c r="S9320" s="13">
        <v>0</v>
      </c>
    </row>
    <row r="9321" spans="18:19" x14ac:dyDescent="0.25">
      <c r="R9321" s="13">
        <v>9248</v>
      </c>
      <c r="S9321" s="13">
        <v>0</v>
      </c>
    </row>
    <row r="9322" spans="18:19" x14ac:dyDescent="0.25">
      <c r="R9322" s="13">
        <v>9249</v>
      </c>
      <c r="S9322" s="13">
        <v>259395627.26820374</v>
      </c>
    </row>
    <row r="9323" spans="18:19" x14ac:dyDescent="0.25">
      <c r="R9323" s="13">
        <v>9250</v>
      </c>
      <c r="S9323" s="13">
        <v>0</v>
      </c>
    </row>
    <row r="9324" spans="18:19" x14ac:dyDescent="0.25">
      <c r="R9324" s="13">
        <v>9251</v>
      </c>
      <c r="S9324" s="13">
        <v>0</v>
      </c>
    </row>
    <row r="9325" spans="18:19" x14ac:dyDescent="0.25">
      <c r="R9325" s="13">
        <v>9252</v>
      </c>
      <c r="S9325" s="13">
        <v>0</v>
      </c>
    </row>
    <row r="9326" spans="18:19" x14ac:dyDescent="0.25">
      <c r="R9326" s="13">
        <v>9253</v>
      </c>
      <c r="S9326" s="13">
        <v>0</v>
      </c>
    </row>
    <row r="9327" spans="18:19" x14ac:dyDescent="0.25">
      <c r="R9327" s="13">
        <v>9254</v>
      </c>
      <c r="S9327" s="13">
        <v>0</v>
      </c>
    </row>
    <row r="9328" spans="18:19" x14ac:dyDescent="0.25">
      <c r="R9328" s="13">
        <v>9255</v>
      </c>
      <c r="S9328" s="13">
        <v>0</v>
      </c>
    </row>
    <row r="9329" spans="18:19" x14ac:dyDescent="0.25">
      <c r="R9329" s="13">
        <v>9256</v>
      </c>
      <c r="S9329" s="13">
        <v>0</v>
      </c>
    </row>
    <row r="9330" spans="18:19" x14ac:dyDescent="0.25">
      <c r="R9330" s="13">
        <v>9257</v>
      </c>
      <c r="S9330" s="13">
        <v>0</v>
      </c>
    </row>
    <row r="9331" spans="18:19" x14ac:dyDescent="0.25">
      <c r="R9331" s="13">
        <v>9258</v>
      </c>
      <c r="S9331" s="13">
        <v>227441855.45674133</v>
      </c>
    </row>
    <row r="9332" spans="18:19" x14ac:dyDescent="0.25">
      <c r="R9332" s="13">
        <v>9259</v>
      </c>
      <c r="S9332" s="13">
        <v>0</v>
      </c>
    </row>
    <row r="9333" spans="18:19" x14ac:dyDescent="0.25">
      <c r="R9333" s="13">
        <v>9260</v>
      </c>
      <c r="S9333" s="13">
        <v>0</v>
      </c>
    </row>
    <row r="9334" spans="18:19" x14ac:dyDescent="0.25">
      <c r="R9334" s="13">
        <v>9261</v>
      </c>
      <c r="S9334" s="13">
        <v>192644127.63605309</v>
      </c>
    </row>
    <row r="9335" spans="18:19" x14ac:dyDescent="0.25">
      <c r="R9335" s="13">
        <v>9262</v>
      </c>
      <c r="S9335" s="13">
        <v>0</v>
      </c>
    </row>
    <row r="9336" spans="18:19" x14ac:dyDescent="0.25">
      <c r="R9336" s="13">
        <v>9263</v>
      </c>
      <c r="S9336" s="13">
        <v>0</v>
      </c>
    </row>
    <row r="9337" spans="18:19" x14ac:dyDescent="0.25">
      <c r="R9337" s="13">
        <v>9264</v>
      </c>
      <c r="S9337" s="13">
        <v>0</v>
      </c>
    </row>
    <row r="9338" spans="18:19" x14ac:dyDescent="0.25">
      <c r="R9338" s="13">
        <v>9265</v>
      </c>
      <c r="S9338" s="13">
        <v>0</v>
      </c>
    </row>
    <row r="9339" spans="18:19" x14ac:dyDescent="0.25">
      <c r="R9339" s="13">
        <v>9266</v>
      </c>
      <c r="S9339" s="13">
        <v>0</v>
      </c>
    </row>
    <row r="9340" spans="18:19" x14ac:dyDescent="0.25">
      <c r="R9340" s="13">
        <v>9267</v>
      </c>
      <c r="S9340" s="13">
        <v>0</v>
      </c>
    </row>
    <row r="9341" spans="18:19" x14ac:dyDescent="0.25">
      <c r="R9341" s="13">
        <v>9268</v>
      </c>
      <c r="S9341" s="13">
        <v>0</v>
      </c>
    </row>
    <row r="9342" spans="18:19" x14ac:dyDescent="0.25">
      <c r="R9342" s="13">
        <v>9269</v>
      </c>
      <c r="S9342" s="13">
        <v>0</v>
      </c>
    </row>
    <row r="9343" spans="18:19" x14ac:dyDescent="0.25">
      <c r="R9343" s="13">
        <v>9270</v>
      </c>
      <c r="S9343" s="13">
        <v>847184622.48706436</v>
      </c>
    </row>
    <row r="9344" spans="18:19" x14ac:dyDescent="0.25">
      <c r="R9344" s="13">
        <v>9271</v>
      </c>
      <c r="S9344" s="13">
        <v>0</v>
      </c>
    </row>
    <row r="9345" spans="18:19" x14ac:dyDescent="0.25">
      <c r="R9345" s="13">
        <v>9272</v>
      </c>
      <c r="S9345" s="13">
        <v>0</v>
      </c>
    </row>
    <row r="9346" spans="18:19" x14ac:dyDescent="0.25">
      <c r="R9346" s="13">
        <v>9273</v>
      </c>
      <c r="S9346" s="13">
        <v>0</v>
      </c>
    </row>
    <row r="9347" spans="18:19" x14ac:dyDescent="0.25">
      <c r="R9347" s="13">
        <v>9274</v>
      </c>
      <c r="S9347" s="13">
        <v>0</v>
      </c>
    </row>
    <row r="9348" spans="18:19" x14ac:dyDescent="0.25">
      <c r="R9348" s="13">
        <v>9275</v>
      </c>
      <c r="S9348" s="13">
        <v>0</v>
      </c>
    </row>
    <row r="9349" spans="18:19" x14ac:dyDescent="0.25">
      <c r="R9349" s="13">
        <v>9276</v>
      </c>
      <c r="S9349" s="13">
        <v>0</v>
      </c>
    </row>
    <row r="9350" spans="18:19" x14ac:dyDescent="0.25">
      <c r="R9350" s="13">
        <v>9277</v>
      </c>
      <c r="S9350" s="13">
        <v>0</v>
      </c>
    </row>
    <row r="9351" spans="18:19" x14ac:dyDescent="0.25">
      <c r="R9351" s="13">
        <v>9278</v>
      </c>
      <c r="S9351" s="13">
        <v>0</v>
      </c>
    </row>
    <row r="9352" spans="18:19" x14ac:dyDescent="0.25">
      <c r="R9352" s="13">
        <v>9279</v>
      </c>
      <c r="S9352" s="13">
        <v>0</v>
      </c>
    </row>
    <row r="9353" spans="18:19" x14ac:dyDescent="0.25">
      <c r="R9353" s="13">
        <v>9280</v>
      </c>
      <c r="S9353" s="13">
        <v>0</v>
      </c>
    </row>
    <row r="9354" spans="18:19" x14ac:dyDescent="0.25">
      <c r="R9354" s="13">
        <v>9281</v>
      </c>
      <c r="S9354" s="13">
        <v>0</v>
      </c>
    </row>
    <row r="9355" spans="18:19" x14ac:dyDescent="0.25">
      <c r="R9355" s="13">
        <v>9282</v>
      </c>
      <c r="S9355" s="13">
        <v>0</v>
      </c>
    </row>
    <row r="9356" spans="18:19" x14ac:dyDescent="0.25">
      <c r="R9356" s="13">
        <v>9283</v>
      </c>
      <c r="S9356" s="13">
        <v>0</v>
      </c>
    </row>
    <row r="9357" spans="18:19" x14ac:dyDescent="0.25">
      <c r="R9357" s="13">
        <v>9284</v>
      </c>
      <c r="S9357" s="13">
        <v>0</v>
      </c>
    </row>
    <row r="9358" spans="18:19" x14ac:dyDescent="0.25">
      <c r="R9358" s="13">
        <v>9285</v>
      </c>
      <c r="S9358" s="13">
        <v>379532112.26021004</v>
      </c>
    </row>
    <row r="9359" spans="18:19" x14ac:dyDescent="0.25">
      <c r="R9359" s="13">
        <v>9286</v>
      </c>
      <c r="S9359" s="13">
        <v>0</v>
      </c>
    </row>
    <row r="9360" spans="18:19" x14ac:dyDescent="0.25">
      <c r="R9360" s="13">
        <v>9287</v>
      </c>
      <c r="S9360" s="13">
        <v>0</v>
      </c>
    </row>
    <row r="9361" spans="18:19" x14ac:dyDescent="0.25">
      <c r="R9361" s="13">
        <v>9288</v>
      </c>
      <c r="S9361" s="13">
        <v>0</v>
      </c>
    </row>
    <row r="9362" spans="18:19" x14ac:dyDescent="0.25">
      <c r="R9362" s="13">
        <v>9289</v>
      </c>
      <c r="S9362" s="13">
        <v>0</v>
      </c>
    </row>
    <row r="9363" spans="18:19" x14ac:dyDescent="0.25">
      <c r="R9363" s="13">
        <v>9290</v>
      </c>
      <c r="S9363" s="13">
        <v>0</v>
      </c>
    </row>
    <row r="9364" spans="18:19" x14ac:dyDescent="0.25">
      <c r="R9364" s="13">
        <v>9291</v>
      </c>
      <c r="S9364" s="13">
        <v>0</v>
      </c>
    </row>
    <row r="9365" spans="18:19" x14ac:dyDescent="0.25">
      <c r="R9365" s="13">
        <v>9292</v>
      </c>
      <c r="S9365" s="13">
        <v>0</v>
      </c>
    </row>
    <row r="9366" spans="18:19" x14ac:dyDescent="0.25">
      <c r="R9366" s="13">
        <v>9293</v>
      </c>
      <c r="S9366" s="13">
        <v>0</v>
      </c>
    </row>
    <row r="9367" spans="18:19" x14ac:dyDescent="0.25">
      <c r="R9367" s="13">
        <v>9294</v>
      </c>
      <c r="S9367" s="13">
        <v>0</v>
      </c>
    </row>
    <row r="9368" spans="18:19" x14ac:dyDescent="0.25">
      <c r="R9368" s="13">
        <v>9295</v>
      </c>
      <c r="S9368" s="13">
        <v>0</v>
      </c>
    </row>
    <row r="9369" spans="18:19" x14ac:dyDescent="0.25">
      <c r="R9369" s="13">
        <v>9296</v>
      </c>
      <c r="S9369" s="13">
        <v>0</v>
      </c>
    </row>
    <row r="9370" spans="18:19" x14ac:dyDescent="0.25">
      <c r="R9370" s="13">
        <v>9297</v>
      </c>
      <c r="S9370" s="13">
        <v>0</v>
      </c>
    </row>
    <row r="9371" spans="18:19" x14ac:dyDescent="0.25">
      <c r="R9371" s="13">
        <v>9298</v>
      </c>
      <c r="S9371" s="13">
        <v>328340834.5972538</v>
      </c>
    </row>
    <row r="9372" spans="18:19" x14ac:dyDescent="0.25">
      <c r="R9372" s="13">
        <v>9299</v>
      </c>
      <c r="S9372" s="13">
        <v>653982510.55582428</v>
      </c>
    </row>
    <row r="9373" spans="18:19" x14ac:dyDescent="0.25">
      <c r="R9373" s="13">
        <v>9300</v>
      </c>
      <c r="S9373" s="13">
        <v>0</v>
      </c>
    </row>
    <row r="9374" spans="18:19" x14ac:dyDescent="0.25">
      <c r="R9374" s="13">
        <v>9301</v>
      </c>
      <c r="S9374" s="13">
        <v>0</v>
      </c>
    </row>
    <row r="9375" spans="18:19" x14ac:dyDescent="0.25">
      <c r="R9375" s="13">
        <v>9302</v>
      </c>
      <c r="S9375" s="13">
        <v>0</v>
      </c>
    </row>
    <row r="9376" spans="18:19" x14ac:dyDescent="0.25">
      <c r="R9376" s="13">
        <v>9303</v>
      </c>
      <c r="S9376" s="13">
        <v>0</v>
      </c>
    </row>
    <row r="9377" spans="18:19" x14ac:dyDescent="0.25">
      <c r="R9377" s="13">
        <v>9304</v>
      </c>
      <c r="S9377" s="13">
        <v>0</v>
      </c>
    </row>
    <row r="9378" spans="18:19" x14ac:dyDescent="0.25">
      <c r="R9378" s="13">
        <v>9305</v>
      </c>
      <c r="S9378" s="13">
        <v>0</v>
      </c>
    </row>
    <row r="9379" spans="18:19" x14ac:dyDescent="0.25">
      <c r="R9379" s="13">
        <v>9306</v>
      </c>
      <c r="S9379" s="13">
        <v>157143275.80111504</v>
      </c>
    </row>
    <row r="9380" spans="18:19" x14ac:dyDescent="0.25">
      <c r="R9380" s="13">
        <v>9307</v>
      </c>
      <c r="S9380" s="13">
        <v>0</v>
      </c>
    </row>
    <row r="9381" spans="18:19" x14ac:dyDescent="0.25">
      <c r="R9381" s="13">
        <v>9308</v>
      </c>
      <c r="S9381" s="13">
        <v>546580016.16415405</v>
      </c>
    </row>
    <row r="9382" spans="18:19" x14ac:dyDescent="0.25">
      <c r="R9382" s="13">
        <v>9309</v>
      </c>
      <c r="S9382" s="13">
        <v>0</v>
      </c>
    </row>
    <row r="9383" spans="18:19" x14ac:dyDescent="0.25">
      <c r="R9383" s="13">
        <v>9310</v>
      </c>
      <c r="S9383" s="13">
        <v>0</v>
      </c>
    </row>
    <row r="9384" spans="18:19" x14ac:dyDescent="0.25">
      <c r="R9384" s="13">
        <v>9311</v>
      </c>
      <c r="S9384" s="13">
        <v>0</v>
      </c>
    </row>
    <row r="9385" spans="18:19" x14ac:dyDescent="0.25">
      <c r="R9385" s="13">
        <v>9312</v>
      </c>
      <c r="S9385" s="13">
        <v>0</v>
      </c>
    </row>
    <row r="9386" spans="18:19" x14ac:dyDescent="0.25">
      <c r="R9386" s="13">
        <v>9313</v>
      </c>
      <c r="S9386" s="13">
        <v>0</v>
      </c>
    </row>
    <row r="9387" spans="18:19" x14ac:dyDescent="0.25">
      <c r="R9387" s="13">
        <v>9314</v>
      </c>
      <c r="S9387" s="13">
        <v>0</v>
      </c>
    </row>
    <row r="9388" spans="18:19" x14ac:dyDescent="0.25">
      <c r="R9388" s="13">
        <v>9315</v>
      </c>
      <c r="S9388" s="13">
        <v>0</v>
      </c>
    </row>
    <row r="9389" spans="18:19" x14ac:dyDescent="0.25">
      <c r="R9389" s="13">
        <v>9316</v>
      </c>
      <c r="S9389" s="13">
        <v>0</v>
      </c>
    </row>
    <row r="9390" spans="18:19" x14ac:dyDescent="0.25">
      <c r="R9390" s="13">
        <v>9317</v>
      </c>
      <c r="S9390" s="13">
        <v>0</v>
      </c>
    </row>
    <row r="9391" spans="18:19" x14ac:dyDescent="0.25">
      <c r="R9391" s="13">
        <v>9318</v>
      </c>
      <c r="S9391" s="13">
        <v>0</v>
      </c>
    </row>
    <row r="9392" spans="18:19" x14ac:dyDescent="0.25">
      <c r="R9392" s="13">
        <v>9319</v>
      </c>
      <c r="S9392" s="13">
        <v>0</v>
      </c>
    </row>
    <row r="9393" spans="18:19" x14ac:dyDescent="0.25">
      <c r="R9393" s="13">
        <v>9320</v>
      </c>
      <c r="S9393" s="13">
        <v>0</v>
      </c>
    </row>
    <row r="9394" spans="18:19" x14ac:dyDescent="0.25">
      <c r="R9394" s="13">
        <v>9321</v>
      </c>
      <c r="S9394" s="13">
        <v>0</v>
      </c>
    </row>
    <row r="9395" spans="18:19" x14ac:dyDescent="0.25">
      <c r="R9395" s="13">
        <v>9322</v>
      </c>
      <c r="S9395" s="13">
        <v>0</v>
      </c>
    </row>
    <row r="9396" spans="18:19" x14ac:dyDescent="0.25">
      <c r="R9396" s="13">
        <v>9323</v>
      </c>
      <c r="S9396" s="13">
        <v>0</v>
      </c>
    </row>
    <row r="9397" spans="18:19" x14ac:dyDescent="0.25">
      <c r="R9397" s="13">
        <v>9324</v>
      </c>
      <c r="S9397" s="13">
        <v>113256333.2429924</v>
      </c>
    </row>
    <row r="9398" spans="18:19" x14ac:dyDescent="0.25">
      <c r="R9398" s="13">
        <v>9325</v>
      </c>
      <c r="S9398" s="13">
        <v>0</v>
      </c>
    </row>
    <row r="9399" spans="18:19" x14ac:dyDescent="0.25">
      <c r="R9399" s="13">
        <v>9326</v>
      </c>
      <c r="S9399" s="13">
        <v>0</v>
      </c>
    </row>
    <row r="9400" spans="18:19" x14ac:dyDescent="0.25">
      <c r="R9400" s="13">
        <v>9327</v>
      </c>
      <c r="S9400" s="13">
        <v>0</v>
      </c>
    </row>
    <row r="9401" spans="18:19" x14ac:dyDescent="0.25">
      <c r="R9401" s="13">
        <v>9328</v>
      </c>
      <c r="S9401" s="13">
        <v>0</v>
      </c>
    </row>
    <row r="9402" spans="18:19" x14ac:dyDescent="0.25">
      <c r="R9402" s="13">
        <v>9329</v>
      </c>
      <c r="S9402" s="13">
        <v>0</v>
      </c>
    </row>
    <row r="9403" spans="18:19" x14ac:dyDescent="0.25">
      <c r="R9403" s="13">
        <v>9330</v>
      </c>
      <c r="S9403" s="13">
        <v>121399612.9183712</v>
      </c>
    </row>
    <row r="9404" spans="18:19" x14ac:dyDescent="0.25">
      <c r="R9404" s="13">
        <v>9331</v>
      </c>
      <c r="S9404" s="13">
        <v>0</v>
      </c>
    </row>
    <row r="9405" spans="18:19" x14ac:dyDescent="0.25">
      <c r="R9405" s="13">
        <v>9332</v>
      </c>
      <c r="S9405" s="13">
        <v>366266163.1964283</v>
      </c>
    </row>
    <row r="9406" spans="18:19" x14ac:dyDescent="0.25">
      <c r="R9406" s="13">
        <v>9333</v>
      </c>
      <c r="S9406" s="13">
        <v>0</v>
      </c>
    </row>
    <row r="9407" spans="18:19" x14ac:dyDescent="0.25">
      <c r="R9407" s="13">
        <v>9334</v>
      </c>
      <c r="S9407" s="13">
        <v>0</v>
      </c>
    </row>
    <row r="9408" spans="18:19" x14ac:dyDescent="0.25">
      <c r="R9408" s="13">
        <v>9335</v>
      </c>
      <c r="S9408" s="13">
        <v>0</v>
      </c>
    </row>
    <row r="9409" spans="18:19" x14ac:dyDescent="0.25">
      <c r="R9409" s="13">
        <v>9336</v>
      </c>
      <c r="S9409" s="13">
        <v>0</v>
      </c>
    </row>
    <row r="9410" spans="18:19" x14ac:dyDescent="0.25">
      <c r="R9410" s="13">
        <v>9337</v>
      </c>
      <c r="S9410" s="13">
        <v>0</v>
      </c>
    </row>
    <row r="9411" spans="18:19" x14ac:dyDescent="0.25">
      <c r="R9411" s="13">
        <v>9338</v>
      </c>
      <c r="S9411" s="13">
        <v>415840027.21038437</v>
      </c>
    </row>
    <row r="9412" spans="18:19" x14ac:dyDescent="0.25">
      <c r="R9412" s="13">
        <v>9339</v>
      </c>
      <c r="S9412" s="13">
        <v>0</v>
      </c>
    </row>
    <row r="9413" spans="18:19" x14ac:dyDescent="0.25">
      <c r="R9413" s="13">
        <v>9340</v>
      </c>
      <c r="S9413" s="13">
        <v>0</v>
      </c>
    </row>
    <row r="9414" spans="18:19" x14ac:dyDescent="0.25">
      <c r="R9414" s="13">
        <v>9341</v>
      </c>
      <c r="S9414" s="13">
        <v>0</v>
      </c>
    </row>
    <row r="9415" spans="18:19" x14ac:dyDescent="0.25">
      <c r="R9415" s="13">
        <v>9342</v>
      </c>
      <c r="S9415" s="13">
        <v>516506116.29358673</v>
      </c>
    </row>
    <row r="9416" spans="18:19" x14ac:dyDescent="0.25">
      <c r="R9416" s="13">
        <v>9343</v>
      </c>
      <c r="S9416" s="13">
        <v>554229084.09356689</v>
      </c>
    </row>
    <row r="9417" spans="18:19" x14ac:dyDescent="0.25">
      <c r="R9417" s="13">
        <v>9344</v>
      </c>
      <c r="S9417" s="13">
        <v>0</v>
      </c>
    </row>
    <row r="9418" spans="18:19" x14ac:dyDescent="0.25">
      <c r="R9418" s="13">
        <v>9345</v>
      </c>
      <c r="S9418" s="13">
        <v>87520962.640802383</v>
      </c>
    </row>
    <row r="9419" spans="18:19" x14ac:dyDescent="0.25">
      <c r="R9419" s="13">
        <v>9346</v>
      </c>
      <c r="S9419" s="13">
        <v>0</v>
      </c>
    </row>
    <row r="9420" spans="18:19" x14ac:dyDescent="0.25">
      <c r="R9420" s="13">
        <v>9347</v>
      </c>
      <c r="S9420" s="13">
        <v>99248556.761957169</v>
      </c>
    </row>
    <row r="9421" spans="18:19" x14ac:dyDescent="0.25">
      <c r="R9421" s="13">
        <v>9348</v>
      </c>
      <c r="S9421" s="13">
        <v>206840429.81285477</v>
      </c>
    </row>
    <row r="9422" spans="18:19" x14ac:dyDescent="0.25">
      <c r="R9422" s="13">
        <v>9349</v>
      </c>
      <c r="S9422" s="13">
        <v>0</v>
      </c>
    </row>
    <row r="9423" spans="18:19" x14ac:dyDescent="0.25">
      <c r="R9423" s="13">
        <v>9350</v>
      </c>
      <c r="S9423" s="13">
        <v>0</v>
      </c>
    </row>
    <row r="9424" spans="18:19" x14ac:dyDescent="0.25">
      <c r="R9424" s="13">
        <v>9351</v>
      </c>
      <c r="S9424" s="13">
        <v>0</v>
      </c>
    </row>
    <row r="9425" spans="18:19" x14ac:dyDescent="0.25">
      <c r="R9425" s="13">
        <v>9352</v>
      </c>
      <c r="S9425" s="13">
        <v>585902993.97212601</v>
      </c>
    </row>
    <row r="9426" spans="18:19" x14ac:dyDescent="0.25">
      <c r="R9426" s="13">
        <v>9353</v>
      </c>
      <c r="S9426" s="13">
        <v>198550678.72817039</v>
      </c>
    </row>
    <row r="9427" spans="18:19" x14ac:dyDescent="0.25">
      <c r="R9427" s="13">
        <v>9354</v>
      </c>
      <c r="S9427" s="13">
        <v>0</v>
      </c>
    </row>
    <row r="9428" spans="18:19" x14ac:dyDescent="0.25">
      <c r="R9428" s="13">
        <v>9355</v>
      </c>
      <c r="S9428" s="13">
        <v>0</v>
      </c>
    </row>
    <row r="9429" spans="18:19" x14ac:dyDescent="0.25">
      <c r="R9429" s="13">
        <v>9356</v>
      </c>
      <c r="S9429" s="13">
        <v>0</v>
      </c>
    </row>
    <row r="9430" spans="18:19" x14ac:dyDescent="0.25">
      <c r="R9430" s="13">
        <v>9357</v>
      </c>
      <c r="S9430" s="13">
        <v>0</v>
      </c>
    </row>
    <row r="9431" spans="18:19" x14ac:dyDescent="0.25">
      <c r="R9431" s="13">
        <v>9358</v>
      </c>
      <c r="S9431" s="13">
        <v>0</v>
      </c>
    </row>
    <row r="9432" spans="18:19" x14ac:dyDescent="0.25">
      <c r="R9432" s="13">
        <v>9359</v>
      </c>
      <c r="S9432" s="13">
        <v>0</v>
      </c>
    </row>
    <row r="9433" spans="18:19" x14ac:dyDescent="0.25">
      <c r="R9433" s="13">
        <v>9360</v>
      </c>
      <c r="S9433" s="13">
        <v>0</v>
      </c>
    </row>
    <row r="9434" spans="18:19" x14ac:dyDescent="0.25">
      <c r="R9434" s="13">
        <v>9361</v>
      </c>
      <c r="S9434" s="13">
        <v>0</v>
      </c>
    </row>
    <row r="9435" spans="18:19" x14ac:dyDescent="0.25">
      <c r="R9435" s="13">
        <v>9362</v>
      </c>
      <c r="S9435" s="13">
        <v>0</v>
      </c>
    </row>
    <row r="9436" spans="18:19" x14ac:dyDescent="0.25">
      <c r="R9436" s="13">
        <v>9363</v>
      </c>
      <c r="S9436" s="13">
        <v>0</v>
      </c>
    </row>
    <row r="9437" spans="18:19" x14ac:dyDescent="0.25">
      <c r="R9437" s="13">
        <v>9364</v>
      </c>
      <c r="S9437" s="13">
        <v>0</v>
      </c>
    </row>
    <row r="9438" spans="18:19" x14ac:dyDescent="0.25">
      <c r="R9438" s="13">
        <v>9365</v>
      </c>
      <c r="S9438" s="13">
        <v>0</v>
      </c>
    </row>
    <row r="9439" spans="18:19" x14ac:dyDescent="0.25">
      <c r="R9439" s="13">
        <v>9366</v>
      </c>
      <c r="S9439" s="13">
        <v>0</v>
      </c>
    </row>
    <row r="9440" spans="18:19" x14ac:dyDescent="0.25">
      <c r="R9440" s="13">
        <v>9367</v>
      </c>
      <c r="S9440" s="13">
        <v>0</v>
      </c>
    </row>
    <row r="9441" spans="18:19" x14ac:dyDescent="0.25">
      <c r="R9441" s="13">
        <v>9368</v>
      </c>
      <c r="S9441" s="13">
        <v>270794276.06729698</v>
      </c>
    </row>
    <row r="9442" spans="18:19" x14ac:dyDescent="0.25">
      <c r="R9442" s="13">
        <v>9369</v>
      </c>
      <c r="S9442" s="13">
        <v>249502984.41428757</v>
      </c>
    </row>
    <row r="9443" spans="18:19" x14ac:dyDescent="0.25">
      <c r="R9443" s="13">
        <v>9370</v>
      </c>
      <c r="S9443" s="13">
        <v>88851699.278938293</v>
      </c>
    </row>
    <row r="9444" spans="18:19" x14ac:dyDescent="0.25">
      <c r="R9444" s="13">
        <v>9371</v>
      </c>
      <c r="S9444" s="13">
        <v>0</v>
      </c>
    </row>
    <row r="9445" spans="18:19" x14ac:dyDescent="0.25">
      <c r="R9445" s="13">
        <v>9372</v>
      </c>
      <c r="S9445" s="13">
        <v>0</v>
      </c>
    </row>
    <row r="9446" spans="18:19" x14ac:dyDescent="0.25">
      <c r="R9446" s="13">
        <v>9373</v>
      </c>
      <c r="S9446" s="13">
        <v>770921101.168396</v>
      </c>
    </row>
    <row r="9447" spans="18:19" x14ac:dyDescent="0.25">
      <c r="R9447" s="13">
        <v>9374</v>
      </c>
      <c r="S9447" s="13">
        <v>14066488.170711517</v>
      </c>
    </row>
    <row r="9448" spans="18:19" x14ac:dyDescent="0.25">
      <c r="R9448" s="13">
        <v>9375</v>
      </c>
      <c r="S9448" s="13">
        <v>0</v>
      </c>
    </row>
    <row r="9449" spans="18:19" x14ac:dyDescent="0.25">
      <c r="R9449" s="13">
        <v>9376</v>
      </c>
      <c r="S9449" s="13">
        <v>128996106.36683655</v>
      </c>
    </row>
    <row r="9450" spans="18:19" x14ac:dyDescent="0.25">
      <c r="R9450" s="13">
        <v>9377</v>
      </c>
      <c r="S9450" s="13">
        <v>0</v>
      </c>
    </row>
    <row r="9451" spans="18:19" x14ac:dyDescent="0.25">
      <c r="R9451" s="13">
        <v>9378</v>
      </c>
      <c r="S9451" s="13">
        <v>0</v>
      </c>
    </row>
    <row r="9452" spans="18:19" x14ac:dyDescent="0.25">
      <c r="R9452" s="13">
        <v>9379</v>
      </c>
      <c r="S9452" s="13">
        <v>0</v>
      </c>
    </row>
    <row r="9453" spans="18:19" x14ac:dyDescent="0.25">
      <c r="R9453" s="13">
        <v>9380</v>
      </c>
      <c r="S9453" s="13">
        <v>645585435.49019051</v>
      </c>
    </row>
    <row r="9454" spans="18:19" x14ac:dyDescent="0.25">
      <c r="R9454" s="13">
        <v>9381</v>
      </c>
      <c r="S9454" s="13">
        <v>0</v>
      </c>
    </row>
    <row r="9455" spans="18:19" x14ac:dyDescent="0.25">
      <c r="R9455" s="13">
        <v>9382</v>
      </c>
      <c r="S9455" s="13">
        <v>0</v>
      </c>
    </row>
    <row r="9456" spans="18:19" x14ac:dyDescent="0.25">
      <c r="R9456" s="13">
        <v>9383</v>
      </c>
      <c r="S9456" s="13">
        <v>0</v>
      </c>
    </row>
    <row r="9457" spans="18:19" x14ac:dyDescent="0.25">
      <c r="R9457" s="13">
        <v>9384</v>
      </c>
      <c r="S9457" s="13">
        <v>0</v>
      </c>
    </row>
    <row r="9458" spans="18:19" x14ac:dyDescent="0.25">
      <c r="R9458" s="13">
        <v>9385</v>
      </c>
      <c r="S9458" s="13">
        <v>252133276.22972679</v>
      </c>
    </row>
    <row r="9459" spans="18:19" x14ac:dyDescent="0.25">
      <c r="R9459" s="13">
        <v>9386</v>
      </c>
      <c r="S9459" s="13">
        <v>417770427.54702377</v>
      </c>
    </row>
    <row r="9460" spans="18:19" x14ac:dyDescent="0.25">
      <c r="R9460" s="13">
        <v>9387</v>
      </c>
      <c r="S9460" s="13">
        <v>0</v>
      </c>
    </row>
    <row r="9461" spans="18:19" x14ac:dyDescent="0.25">
      <c r="R9461" s="13">
        <v>9388</v>
      </c>
      <c r="S9461" s="13">
        <v>455084767.7556057</v>
      </c>
    </row>
    <row r="9462" spans="18:19" x14ac:dyDescent="0.25">
      <c r="R9462" s="13">
        <v>9389</v>
      </c>
      <c r="S9462" s="13">
        <v>259011026.11587906</v>
      </c>
    </row>
    <row r="9463" spans="18:19" x14ac:dyDescent="0.25">
      <c r="R9463" s="13">
        <v>9390</v>
      </c>
      <c r="S9463" s="13">
        <v>350971047.78274155</v>
      </c>
    </row>
    <row r="9464" spans="18:19" x14ac:dyDescent="0.25">
      <c r="R9464" s="13">
        <v>9391</v>
      </c>
      <c r="S9464" s="13">
        <v>0</v>
      </c>
    </row>
    <row r="9465" spans="18:19" x14ac:dyDescent="0.25">
      <c r="R9465" s="13">
        <v>9392</v>
      </c>
      <c r="S9465" s="13">
        <v>0</v>
      </c>
    </row>
    <row r="9466" spans="18:19" x14ac:dyDescent="0.25">
      <c r="R9466" s="13">
        <v>9393</v>
      </c>
      <c r="S9466" s="13">
        <v>0</v>
      </c>
    </row>
    <row r="9467" spans="18:19" x14ac:dyDescent="0.25">
      <c r="R9467" s="13">
        <v>9394</v>
      </c>
      <c r="S9467" s="13">
        <v>338386424.07694435</v>
      </c>
    </row>
    <row r="9468" spans="18:19" x14ac:dyDescent="0.25">
      <c r="R9468" s="13">
        <v>9395</v>
      </c>
      <c r="S9468" s="13">
        <v>0</v>
      </c>
    </row>
    <row r="9469" spans="18:19" x14ac:dyDescent="0.25">
      <c r="R9469" s="13">
        <v>9396</v>
      </c>
      <c r="S9469" s="13">
        <v>391388990.41319466</v>
      </c>
    </row>
    <row r="9470" spans="18:19" x14ac:dyDescent="0.25">
      <c r="R9470" s="13">
        <v>9397</v>
      </c>
      <c r="S9470" s="13">
        <v>0</v>
      </c>
    </row>
    <row r="9471" spans="18:19" x14ac:dyDescent="0.25">
      <c r="R9471" s="13">
        <v>9398</v>
      </c>
      <c r="S9471" s="13">
        <v>0</v>
      </c>
    </row>
    <row r="9472" spans="18:19" x14ac:dyDescent="0.25">
      <c r="R9472" s="13">
        <v>9399</v>
      </c>
      <c r="S9472" s="13">
        <v>368080939.1764183</v>
      </c>
    </row>
    <row r="9473" spans="18:19" x14ac:dyDescent="0.25">
      <c r="R9473" s="13">
        <v>9400</v>
      </c>
      <c r="S9473" s="13">
        <v>0</v>
      </c>
    </row>
    <row r="9474" spans="18:19" x14ac:dyDescent="0.25">
      <c r="R9474" s="13">
        <v>9401</v>
      </c>
      <c r="S9474" s="13">
        <v>0</v>
      </c>
    </row>
    <row r="9475" spans="18:19" x14ac:dyDescent="0.25">
      <c r="R9475" s="13">
        <v>9402</v>
      </c>
      <c r="S9475" s="13">
        <v>0</v>
      </c>
    </row>
    <row r="9476" spans="18:19" x14ac:dyDescent="0.25">
      <c r="R9476" s="13">
        <v>9403</v>
      </c>
      <c r="S9476" s="13">
        <v>0</v>
      </c>
    </row>
    <row r="9477" spans="18:19" x14ac:dyDescent="0.25">
      <c r="R9477" s="13">
        <v>9404</v>
      </c>
      <c r="S9477" s="13">
        <v>0</v>
      </c>
    </row>
    <row r="9478" spans="18:19" x14ac:dyDescent="0.25">
      <c r="R9478" s="13">
        <v>9405</v>
      </c>
      <c r="S9478" s="13">
        <v>0</v>
      </c>
    </row>
    <row r="9479" spans="18:19" x14ac:dyDescent="0.25">
      <c r="R9479" s="13">
        <v>9406</v>
      </c>
      <c r="S9479" s="13">
        <v>0</v>
      </c>
    </row>
    <row r="9480" spans="18:19" x14ac:dyDescent="0.25">
      <c r="R9480" s="13">
        <v>9407</v>
      </c>
      <c r="S9480" s="13">
        <v>0</v>
      </c>
    </row>
    <row r="9481" spans="18:19" x14ac:dyDescent="0.25">
      <c r="R9481" s="13">
        <v>9408</v>
      </c>
      <c r="S9481" s="13">
        <v>0</v>
      </c>
    </row>
    <row r="9482" spans="18:19" x14ac:dyDescent="0.25">
      <c r="R9482" s="13">
        <v>9409</v>
      </c>
      <c r="S9482" s="13">
        <v>0</v>
      </c>
    </row>
    <row r="9483" spans="18:19" x14ac:dyDescent="0.25">
      <c r="R9483" s="13">
        <v>9410</v>
      </c>
      <c r="S9483" s="13">
        <v>0</v>
      </c>
    </row>
    <row r="9484" spans="18:19" x14ac:dyDescent="0.25">
      <c r="R9484" s="13">
        <v>9411</v>
      </c>
      <c r="S9484" s="13">
        <v>0</v>
      </c>
    </row>
    <row r="9485" spans="18:19" x14ac:dyDescent="0.25">
      <c r="R9485" s="13">
        <v>9412</v>
      </c>
      <c r="S9485" s="13">
        <v>0</v>
      </c>
    </row>
    <row r="9486" spans="18:19" x14ac:dyDescent="0.25">
      <c r="R9486" s="13">
        <v>9413</v>
      </c>
      <c r="S9486" s="13">
        <v>0</v>
      </c>
    </row>
    <row r="9487" spans="18:19" x14ac:dyDescent="0.25">
      <c r="R9487" s="13">
        <v>9414</v>
      </c>
      <c r="S9487" s="13">
        <v>0</v>
      </c>
    </row>
    <row r="9488" spans="18:19" x14ac:dyDescent="0.25">
      <c r="R9488" s="13">
        <v>9415</v>
      </c>
      <c r="S9488" s="13">
        <v>0</v>
      </c>
    </row>
    <row r="9489" spans="18:19" x14ac:dyDescent="0.25">
      <c r="R9489" s="13">
        <v>9416</v>
      </c>
      <c r="S9489" s="13">
        <v>0</v>
      </c>
    </row>
    <row r="9490" spans="18:19" x14ac:dyDescent="0.25">
      <c r="R9490" s="13">
        <v>9417</v>
      </c>
      <c r="S9490" s="13">
        <v>0</v>
      </c>
    </row>
    <row r="9491" spans="18:19" x14ac:dyDescent="0.25">
      <c r="R9491" s="13">
        <v>9418</v>
      </c>
      <c r="S9491" s="13">
        <v>0</v>
      </c>
    </row>
    <row r="9492" spans="18:19" x14ac:dyDescent="0.25">
      <c r="R9492" s="13">
        <v>9419</v>
      </c>
      <c r="S9492" s="13">
        <v>0</v>
      </c>
    </row>
    <row r="9493" spans="18:19" x14ac:dyDescent="0.25">
      <c r="R9493" s="13">
        <v>9420</v>
      </c>
      <c r="S9493" s="13">
        <v>0</v>
      </c>
    </row>
    <row r="9494" spans="18:19" x14ac:dyDescent="0.25">
      <c r="R9494" s="13">
        <v>9421</v>
      </c>
      <c r="S9494" s="13">
        <v>221153404.3356266</v>
      </c>
    </row>
    <row r="9495" spans="18:19" x14ac:dyDescent="0.25">
      <c r="R9495" s="13">
        <v>9422</v>
      </c>
      <c r="S9495" s="13">
        <v>0</v>
      </c>
    </row>
    <row r="9496" spans="18:19" x14ac:dyDescent="0.25">
      <c r="R9496" s="13">
        <v>9423</v>
      </c>
      <c r="S9496" s="13">
        <v>0</v>
      </c>
    </row>
    <row r="9497" spans="18:19" x14ac:dyDescent="0.25">
      <c r="R9497" s="13">
        <v>9424</v>
      </c>
      <c r="S9497" s="13">
        <v>0</v>
      </c>
    </row>
    <row r="9498" spans="18:19" x14ac:dyDescent="0.25">
      <c r="R9498" s="13">
        <v>9425</v>
      </c>
      <c r="S9498" s="13">
        <v>182243315.88832855</v>
      </c>
    </row>
    <row r="9499" spans="18:19" x14ac:dyDescent="0.25">
      <c r="R9499" s="13">
        <v>9426</v>
      </c>
      <c r="S9499" s="13">
        <v>0</v>
      </c>
    </row>
    <row r="9500" spans="18:19" x14ac:dyDescent="0.25">
      <c r="R9500" s="13">
        <v>9427</v>
      </c>
      <c r="S9500" s="13">
        <v>176117060.51276398</v>
      </c>
    </row>
    <row r="9501" spans="18:19" x14ac:dyDescent="0.25">
      <c r="R9501" s="13">
        <v>9428</v>
      </c>
      <c r="S9501" s="13">
        <v>0</v>
      </c>
    </row>
    <row r="9502" spans="18:19" x14ac:dyDescent="0.25">
      <c r="R9502" s="13">
        <v>9429</v>
      </c>
      <c r="S9502" s="13">
        <v>193726688.236866</v>
      </c>
    </row>
    <row r="9503" spans="18:19" x14ac:dyDescent="0.25">
      <c r="R9503" s="13">
        <v>9430</v>
      </c>
      <c r="S9503" s="13">
        <v>249723885.44253731</v>
      </c>
    </row>
    <row r="9504" spans="18:19" x14ac:dyDescent="0.25">
      <c r="R9504" s="13">
        <v>9431</v>
      </c>
      <c r="S9504" s="13">
        <v>0</v>
      </c>
    </row>
    <row r="9505" spans="18:19" x14ac:dyDescent="0.25">
      <c r="R9505" s="13">
        <v>9432</v>
      </c>
      <c r="S9505" s="13">
        <v>0</v>
      </c>
    </row>
    <row r="9506" spans="18:19" x14ac:dyDescent="0.25">
      <c r="R9506" s="13">
        <v>9433</v>
      </c>
      <c r="S9506" s="13">
        <v>0</v>
      </c>
    </row>
    <row r="9507" spans="18:19" x14ac:dyDescent="0.25">
      <c r="R9507" s="13">
        <v>9434</v>
      </c>
      <c r="S9507" s="13">
        <v>0</v>
      </c>
    </row>
    <row r="9508" spans="18:19" x14ac:dyDescent="0.25">
      <c r="R9508" s="13">
        <v>9435</v>
      </c>
      <c r="S9508" s="13">
        <v>0</v>
      </c>
    </row>
    <row r="9509" spans="18:19" x14ac:dyDescent="0.25">
      <c r="R9509" s="13">
        <v>9436</v>
      </c>
      <c r="S9509" s="13">
        <v>0</v>
      </c>
    </row>
    <row r="9510" spans="18:19" x14ac:dyDescent="0.25">
      <c r="R9510" s="13">
        <v>9437</v>
      </c>
      <c r="S9510" s="13">
        <v>0</v>
      </c>
    </row>
    <row r="9511" spans="18:19" x14ac:dyDescent="0.25">
      <c r="R9511" s="13">
        <v>9438</v>
      </c>
      <c r="S9511" s="13">
        <v>0</v>
      </c>
    </row>
    <row r="9512" spans="18:19" x14ac:dyDescent="0.25">
      <c r="R9512" s="13">
        <v>9439</v>
      </c>
      <c r="S9512" s="13">
        <v>0</v>
      </c>
    </row>
    <row r="9513" spans="18:19" x14ac:dyDescent="0.25">
      <c r="R9513" s="13">
        <v>9440</v>
      </c>
      <c r="S9513" s="13">
        <v>0</v>
      </c>
    </row>
    <row r="9514" spans="18:19" x14ac:dyDescent="0.25">
      <c r="R9514" s="13">
        <v>9441</v>
      </c>
      <c r="S9514" s="13">
        <v>0</v>
      </c>
    </row>
    <row r="9515" spans="18:19" x14ac:dyDescent="0.25">
      <c r="R9515" s="13">
        <v>9442</v>
      </c>
      <c r="S9515" s="13">
        <v>630419172.04640961</v>
      </c>
    </row>
    <row r="9516" spans="18:19" x14ac:dyDescent="0.25">
      <c r="R9516" s="13">
        <v>9443</v>
      </c>
      <c r="S9516" s="13">
        <v>0</v>
      </c>
    </row>
    <row r="9517" spans="18:19" x14ac:dyDescent="0.25">
      <c r="R9517" s="13">
        <v>9444</v>
      </c>
      <c r="S9517" s="13">
        <v>0</v>
      </c>
    </row>
    <row r="9518" spans="18:19" x14ac:dyDescent="0.25">
      <c r="R9518" s="13">
        <v>9445</v>
      </c>
      <c r="S9518" s="13">
        <v>0</v>
      </c>
    </row>
    <row r="9519" spans="18:19" x14ac:dyDescent="0.25">
      <c r="R9519" s="13">
        <v>9446</v>
      </c>
      <c r="S9519" s="13">
        <v>0</v>
      </c>
    </row>
    <row r="9520" spans="18:19" x14ac:dyDescent="0.25">
      <c r="R9520" s="13">
        <v>9447</v>
      </c>
      <c r="S9520" s="13">
        <v>0</v>
      </c>
    </row>
    <row r="9521" spans="18:19" x14ac:dyDescent="0.25">
      <c r="R9521" s="13">
        <v>9448</v>
      </c>
      <c r="S9521" s="13">
        <v>0</v>
      </c>
    </row>
    <row r="9522" spans="18:19" x14ac:dyDescent="0.25">
      <c r="R9522" s="13">
        <v>9449</v>
      </c>
      <c r="S9522" s="13">
        <v>0</v>
      </c>
    </row>
    <row r="9523" spans="18:19" x14ac:dyDescent="0.25">
      <c r="R9523" s="13">
        <v>9450</v>
      </c>
      <c r="S9523" s="13">
        <v>44294171.453210831</v>
      </c>
    </row>
    <row r="9524" spans="18:19" x14ac:dyDescent="0.25">
      <c r="R9524" s="13">
        <v>9451</v>
      </c>
      <c r="S9524" s="13">
        <v>453750202.89541817</v>
      </c>
    </row>
    <row r="9525" spans="18:19" x14ac:dyDescent="0.25">
      <c r="R9525" s="13">
        <v>9452</v>
      </c>
      <c r="S9525" s="13">
        <v>50298637.918073654</v>
      </c>
    </row>
    <row r="9526" spans="18:19" x14ac:dyDescent="0.25">
      <c r="R9526" s="13">
        <v>9453</v>
      </c>
      <c r="S9526" s="13">
        <v>12833368.148433685</v>
      </c>
    </row>
    <row r="9527" spans="18:19" x14ac:dyDescent="0.25">
      <c r="R9527" s="13">
        <v>9454</v>
      </c>
      <c r="S9527" s="13">
        <v>0</v>
      </c>
    </row>
    <row r="9528" spans="18:19" x14ac:dyDescent="0.25">
      <c r="R9528" s="13">
        <v>9455</v>
      </c>
      <c r="S9528" s="13">
        <v>390539565.83737755</v>
      </c>
    </row>
    <row r="9529" spans="18:19" x14ac:dyDescent="0.25">
      <c r="R9529" s="13">
        <v>9456</v>
      </c>
      <c r="S9529" s="13">
        <v>590660208.03105354</v>
      </c>
    </row>
    <row r="9530" spans="18:19" x14ac:dyDescent="0.25">
      <c r="R9530" s="13">
        <v>9457</v>
      </c>
      <c r="S9530" s="13">
        <v>0</v>
      </c>
    </row>
    <row r="9531" spans="18:19" x14ac:dyDescent="0.25">
      <c r="R9531" s="13">
        <v>9458</v>
      </c>
      <c r="S9531" s="13">
        <v>1152865126.6342087</v>
      </c>
    </row>
    <row r="9532" spans="18:19" x14ac:dyDescent="0.25">
      <c r="R9532" s="13">
        <v>9459</v>
      </c>
      <c r="S9532" s="13">
        <v>0</v>
      </c>
    </row>
    <row r="9533" spans="18:19" x14ac:dyDescent="0.25">
      <c r="R9533" s="13">
        <v>9460</v>
      </c>
      <c r="S9533" s="13">
        <v>0</v>
      </c>
    </row>
    <row r="9534" spans="18:19" x14ac:dyDescent="0.25">
      <c r="R9534" s="13">
        <v>9461</v>
      </c>
      <c r="S9534" s="13">
        <v>0</v>
      </c>
    </row>
    <row r="9535" spans="18:19" x14ac:dyDescent="0.25">
      <c r="R9535" s="13">
        <v>9462</v>
      </c>
      <c r="S9535" s="13">
        <v>455392527.74384499</v>
      </c>
    </row>
    <row r="9536" spans="18:19" x14ac:dyDescent="0.25">
      <c r="R9536" s="13">
        <v>9463</v>
      </c>
      <c r="S9536" s="13">
        <v>0</v>
      </c>
    </row>
    <row r="9537" spans="18:19" x14ac:dyDescent="0.25">
      <c r="R9537" s="13">
        <v>9464</v>
      </c>
      <c r="S9537" s="13">
        <v>0</v>
      </c>
    </row>
    <row r="9538" spans="18:19" x14ac:dyDescent="0.25">
      <c r="R9538" s="13">
        <v>9465</v>
      </c>
      <c r="S9538" s="13">
        <v>637055088.94958687</v>
      </c>
    </row>
    <row r="9539" spans="18:19" x14ac:dyDescent="0.25">
      <c r="R9539" s="13">
        <v>9466</v>
      </c>
      <c r="S9539" s="13">
        <v>380349812.502985</v>
      </c>
    </row>
    <row r="9540" spans="18:19" x14ac:dyDescent="0.25">
      <c r="R9540" s="13">
        <v>9467</v>
      </c>
      <c r="S9540" s="13">
        <v>58264654.201486588</v>
      </c>
    </row>
    <row r="9541" spans="18:19" x14ac:dyDescent="0.25">
      <c r="R9541" s="13">
        <v>9468</v>
      </c>
      <c r="S9541" s="13">
        <v>0</v>
      </c>
    </row>
    <row r="9542" spans="18:19" x14ac:dyDescent="0.25">
      <c r="R9542" s="13">
        <v>9469</v>
      </c>
      <c r="S9542" s="13">
        <v>0</v>
      </c>
    </row>
    <row r="9543" spans="18:19" x14ac:dyDescent="0.25">
      <c r="R9543" s="13">
        <v>9470</v>
      </c>
      <c r="S9543" s="13">
        <v>0</v>
      </c>
    </row>
    <row r="9544" spans="18:19" x14ac:dyDescent="0.25">
      <c r="R9544" s="13">
        <v>9471</v>
      </c>
      <c r="S9544" s="13">
        <v>0</v>
      </c>
    </row>
    <row r="9545" spans="18:19" x14ac:dyDescent="0.25">
      <c r="R9545" s="13">
        <v>9472</v>
      </c>
      <c r="S9545" s="13">
        <v>0</v>
      </c>
    </row>
    <row r="9546" spans="18:19" x14ac:dyDescent="0.25">
      <c r="R9546" s="13">
        <v>9473</v>
      </c>
      <c r="S9546" s="13">
        <v>0</v>
      </c>
    </row>
    <row r="9547" spans="18:19" x14ac:dyDescent="0.25">
      <c r="R9547" s="13">
        <v>9474</v>
      </c>
      <c r="S9547" s="13">
        <v>0</v>
      </c>
    </row>
    <row r="9548" spans="18:19" x14ac:dyDescent="0.25">
      <c r="R9548" s="13">
        <v>9475</v>
      </c>
      <c r="S9548" s="13">
        <v>0</v>
      </c>
    </row>
    <row r="9549" spans="18:19" x14ac:dyDescent="0.25">
      <c r="R9549" s="13">
        <v>9476</v>
      </c>
      <c r="S9549" s="13">
        <v>542229010.01548195</v>
      </c>
    </row>
    <row r="9550" spans="18:19" x14ac:dyDescent="0.25">
      <c r="R9550" s="13">
        <v>9477</v>
      </c>
      <c r="S9550" s="13">
        <v>0</v>
      </c>
    </row>
    <row r="9551" spans="18:19" x14ac:dyDescent="0.25">
      <c r="R9551" s="13">
        <v>9478</v>
      </c>
      <c r="S9551" s="13">
        <v>0</v>
      </c>
    </row>
    <row r="9552" spans="18:19" x14ac:dyDescent="0.25">
      <c r="R9552" s="13">
        <v>9479</v>
      </c>
      <c r="S9552" s="13">
        <v>0</v>
      </c>
    </row>
    <row r="9553" spans="18:19" x14ac:dyDescent="0.25">
      <c r="R9553" s="13">
        <v>9480</v>
      </c>
      <c r="S9553" s="13">
        <v>0</v>
      </c>
    </row>
    <row r="9554" spans="18:19" x14ac:dyDescent="0.25">
      <c r="R9554" s="13">
        <v>9481</v>
      </c>
      <c r="S9554" s="13">
        <v>0</v>
      </c>
    </row>
    <row r="9555" spans="18:19" x14ac:dyDescent="0.25">
      <c r="R9555" s="13">
        <v>9482</v>
      </c>
      <c r="S9555" s="13">
        <v>0</v>
      </c>
    </row>
    <row r="9556" spans="18:19" x14ac:dyDescent="0.25">
      <c r="R9556" s="13">
        <v>9483</v>
      </c>
      <c r="S9556" s="13">
        <v>0</v>
      </c>
    </row>
    <row r="9557" spans="18:19" x14ac:dyDescent="0.25">
      <c r="R9557" s="13">
        <v>9484</v>
      </c>
      <c r="S9557" s="13">
        <v>0</v>
      </c>
    </row>
    <row r="9558" spans="18:19" x14ac:dyDescent="0.25">
      <c r="R9558" s="13">
        <v>9485</v>
      </c>
      <c r="S9558" s="13">
        <v>0</v>
      </c>
    </row>
    <row r="9559" spans="18:19" x14ac:dyDescent="0.25">
      <c r="R9559" s="13">
        <v>9486</v>
      </c>
      <c r="S9559" s="13">
        <v>522525919.17245483</v>
      </c>
    </row>
    <row r="9560" spans="18:19" x14ac:dyDescent="0.25">
      <c r="R9560" s="13">
        <v>9487</v>
      </c>
      <c r="S9560" s="13">
        <v>0</v>
      </c>
    </row>
    <row r="9561" spans="18:19" x14ac:dyDescent="0.25">
      <c r="R9561" s="13">
        <v>9488</v>
      </c>
      <c r="S9561" s="13">
        <v>176933191.15820503</v>
      </c>
    </row>
    <row r="9562" spans="18:19" x14ac:dyDescent="0.25">
      <c r="R9562" s="13">
        <v>9489</v>
      </c>
      <c r="S9562" s="13">
        <v>0</v>
      </c>
    </row>
    <row r="9563" spans="18:19" x14ac:dyDescent="0.25">
      <c r="R9563" s="13">
        <v>9490</v>
      </c>
      <c r="S9563" s="13">
        <v>214800233.31140518</v>
      </c>
    </row>
    <row r="9564" spans="18:19" x14ac:dyDescent="0.25">
      <c r="R9564" s="13">
        <v>9491</v>
      </c>
      <c r="S9564" s="13">
        <v>0</v>
      </c>
    </row>
    <row r="9565" spans="18:19" x14ac:dyDescent="0.25">
      <c r="R9565" s="13">
        <v>9492</v>
      </c>
      <c r="S9565" s="13">
        <v>0</v>
      </c>
    </row>
    <row r="9566" spans="18:19" x14ac:dyDescent="0.25">
      <c r="R9566" s="13">
        <v>9493</v>
      </c>
      <c r="S9566" s="13">
        <v>464784620.47867393</v>
      </c>
    </row>
    <row r="9567" spans="18:19" x14ac:dyDescent="0.25">
      <c r="R9567" s="13">
        <v>9494</v>
      </c>
      <c r="S9567" s="13">
        <v>0</v>
      </c>
    </row>
    <row r="9568" spans="18:19" x14ac:dyDescent="0.25">
      <c r="R9568" s="13">
        <v>9495</v>
      </c>
      <c r="S9568" s="13">
        <v>446879032.87099075</v>
      </c>
    </row>
    <row r="9569" spans="18:19" x14ac:dyDescent="0.25">
      <c r="R9569" s="13">
        <v>9496</v>
      </c>
      <c r="S9569" s="13">
        <v>131286012.92902374</v>
      </c>
    </row>
    <row r="9570" spans="18:19" x14ac:dyDescent="0.25">
      <c r="R9570" s="13">
        <v>9497</v>
      </c>
      <c r="S9570" s="13">
        <v>0</v>
      </c>
    </row>
    <row r="9571" spans="18:19" x14ac:dyDescent="0.25">
      <c r="R9571" s="13">
        <v>9498</v>
      </c>
      <c r="S9571" s="13">
        <v>0</v>
      </c>
    </row>
    <row r="9572" spans="18:19" x14ac:dyDescent="0.25">
      <c r="R9572" s="13">
        <v>9499</v>
      </c>
      <c r="S9572" s="13">
        <v>0</v>
      </c>
    </row>
    <row r="9573" spans="18:19" x14ac:dyDescent="0.25">
      <c r="R9573" s="13">
        <v>9500</v>
      </c>
      <c r="S9573" s="13">
        <v>0</v>
      </c>
    </row>
    <row r="9574" spans="18:19" x14ac:dyDescent="0.25">
      <c r="R9574" s="13">
        <v>9501</v>
      </c>
      <c r="S9574" s="13">
        <v>0</v>
      </c>
    </row>
    <row r="9575" spans="18:19" x14ac:dyDescent="0.25">
      <c r="R9575" s="13">
        <v>9502</v>
      </c>
      <c r="S9575" s="13">
        <v>0</v>
      </c>
    </row>
    <row r="9576" spans="18:19" x14ac:dyDescent="0.25">
      <c r="R9576" s="13">
        <v>9503</v>
      </c>
      <c r="S9576" s="13">
        <v>0</v>
      </c>
    </row>
    <row r="9577" spans="18:19" x14ac:dyDescent="0.25">
      <c r="R9577" s="13">
        <v>9504</v>
      </c>
      <c r="S9577" s="13">
        <v>0</v>
      </c>
    </row>
    <row r="9578" spans="18:19" x14ac:dyDescent="0.25">
      <c r="R9578" s="13">
        <v>9505</v>
      </c>
      <c r="S9578" s="13">
        <v>109203089.34453583</v>
      </c>
    </row>
    <row r="9579" spans="18:19" x14ac:dyDescent="0.25">
      <c r="R9579" s="13">
        <v>9506</v>
      </c>
      <c r="S9579" s="13">
        <v>0</v>
      </c>
    </row>
    <row r="9580" spans="18:19" x14ac:dyDescent="0.25">
      <c r="R9580" s="13">
        <v>9507</v>
      </c>
      <c r="S9580" s="13">
        <v>0</v>
      </c>
    </row>
    <row r="9581" spans="18:19" x14ac:dyDescent="0.25">
      <c r="R9581" s="13">
        <v>9508</v>
      </c>
      <c r="S9581" s="13">
        <v>0</v>
      </c>
    </row>
    <row r="9582" spans="18:19" x14ac:dyDescent="0.25">
      <c r="R9582" s="13">
        <v>9509</v>
      </c>
      <c r="S9582" s="13">
        <v>725008276.91474342</v>
      </c>
    </row>
    <row r="9583" spans="18:19" x14ac:dyDescent="0.25">
      <c r="R9583" s="13">
        <v>9510</v>
      </c>
      <c r="S9583" s="13">
        <v>924210761.12953186</v>
      </c>
    </row>
    <row r="9584" spans="18:19" x14ac:dyDescent="0.25">
      <c r="R9584" s="13">
        <v>9511</v>
      </c>
      <c r="S9584" s="13">
        <v>624627401.26115799</v>
      </c>
    </row>
    <row r="9585" spans="18:19" x14ac:dyDescent="0.25">
      <c r="R9585" s="13">
        <v>9512</v>
      </c>
      <c r="S9585" s="13">
        <v>0</v>
      </c>
    </row>
    <row r="9586" spans="18:19" x14ac:dyDescent="0.25">
      <c r="R9586" s="13">
        <v>9513</v>
      </c>
      <c r="S9586" s="13">
        <v>705106256.14487457</v>
      </c>
    </row>
    <row r="9587" spans="18:19" x14ac:dyDescent="0.25">
      <c r="R9587" s="13">
        <v>9514</v>
      </c>
      <c r="S9587" s="13">
        <v>0</v>
      </c>
    </row>
    <row r="9588" spans="18:19" x14ac:dyDescent="0.25">
      <c r="R9588" s="13">
        <v>9515</v>
      </c>
      <c r="S9588" s="13">
        <v>0</v>
      </c>
    </row>
    <row r="9589" spans="18:19" x14ac:dyDescent="0.25">
      <c r="R9589" s="13">
        <v>9516</v>
      </c>
      <c r="S9589" s="13">
        <v>0</v>
      </c>
    </row>
    <row r="9590" spans="18:19" x14ac:dyDescent="0.25">
      <c r="R9590" s="13">
        <v>9517</v>
      </c>
      <c r="S9590" s="13">
        <v>0</v>
      </c>
    </row>
    <row r="9591" spans="18:19" x14ac:dyDescent="0.25">
      <c r="R9591" s="13">
        <v>9518</v>
      </c>
      <c r="S9591" s="13">
        <v>0</v>
      </c>
    </row>
    <row r="9592" spans="18:19" x14ac:dyDescent="0.25">
      <c r="R9592" s="13">
        <v>9519</v>
      </c>
      <c r="S9592" s="13">
        <v>0</v>
      </c>
    </row>
    <row r="9593" spans="18:19" x14ac:dyDescent="0.25">
      <c r="R9593" s="13">
        <v>9520</v>
      </c>
      <c r="S9593" s="13">
        <v>270440776.71767998</v>
      </c>
    </row>
    <row r="9594" spans="18:19" x14ac:dyDescent="0.25">
      <c r="R9594" s="13">
        <v>9521</v>
      </c>
      <c r="S9594" s="13">
        <v>305479919.01233292</v>
      </c>
    </row>
    <row r="9595" spans="18:19" x14ac:dyDescent="0.25">
      <c r="R9595" s="13">
        <v>9522</v>
      </c>
      <c r="S9595" s="13">
        <v>0</v>
      </c>
    </row>
    <row r="9596" spans="18:19" x14ac:dyDescent="0.25">
      <c r="R9596" s="13">
        <v>9523</v>
      </c>
      <c r="S9596" s="13">
        <v>0</v>
      </c>
    </row>
    <row r="9597" spans="18:19" x14ac:dyDescent="0.25">
      <c r="R9597" s="13">
        <v>9524</v>
      </c>
      <c r="S9597" s="13">
        <v>0</v>
      </c>
    </row>
    <row r="9598" spans="18:19" x14ac:dyDescent="0.25">
      <c r="R9598" s="13">
        <v>9525</v>
      </c>
      <c r="S9598" s="13">
        <v>0</v>
      </c>
    </row>
    <row r="9599" spans="18:19" x14ac:dyDescent="0.25">
      <c r="R9599" s="13">
        <v>9526</v>
      </c>
      <c r="S9599" s="13">
        <v>0</v>
      </c>
    </row>
    <row r="9600" spans="18:19" x14ac:dyDescent="0.25">
      <c r="R9600" s="13">
        <v>9527</v>
      </c>
      <c r="S9600" s="13">
        <v>0</v>
      </c>
    </row>
    <row r="9601" spans="18:19" x14ac:dyDescent="0.25">
      <c r="R9601" s="13">
        <v>9528</v>
      </c>
      <c r="S9601" s="13">
        <v>0</v>
      </c>
    </row>
    <row r="9602" spans="18:19" x14ac:dyDescent="0.25">
      <c r="R9602" s="13">
        <v>9529</v>
      </c>
      <c r="S9602" s="13">
        <v>0</v>
      </c>
    </row>
    <row r="9603" spans="18:19" x14ac:dyDescent="0.25">
      <c r="R9603" s="13">
        <v>9530</v>
      </c>
      <c r="S9603" s="13">
        <v>0</v>
      </c>
    </row>
    <row r="9604" spans="18:19" x14ac:dyDescent="0.25">
      <c r="R9604" s="13">
        <v>9531</v>
      </c>
      <c r="S9604" s="13">
        <v>0</v>
      </c>
    </row>
    <row r="9605" spans="18:19" x14ac:dyDescent="0.25">
      <c r="R9605" s="13">
        <v>9532</v>
      </c>
      <c r="S9605" s="13">
        <v>0</v>
      </c>
    </row>
    <row r="9606" spans="18:19" x14ac:dyDescent="0.25">
      <c r="R9606" s="13">
        <v>9533</v>
      </c>
      <c r="S9606" s="13">
        <v>0</v>
      </c>
    </row>
    <row r="9607" spans="18:19" x14ac:dyDescent="0.25">
      <c r="R9607" s="13">
        <v>9534</v>
      </c>
      <c r="S9607" s="13">
        <v>0</v>
      </c>
    </row>
    <row r="9608" spans="18:19" x14ac:dyDescent="0.25">
      <c r="R9608" s="13">
        <v>9535</v>
      </c>
      <c r="S9608" s="13">
        <v>0</v>
      </c>
    </row>
    <row r="9609" spans="18:19" x14ac:dyDescent="0.25">
      <c r="R9609" s="13">
        <v>9536</v>
      </c>
      <c r="S9609" s="13">
        <v>0</v>
      </c>
    </row>
    <row r="9610" spans="18:19" x14ac:dyDescent="0.25">
      <c r="R9610" s="13">
        <v>9537</v>
      </c>
      <c r="S9610" s="13">
        <v>0</v>
      </c>
    </row>
    <row r="9611" spans="18:19" x14ac:dyDescent="0.25">
      <c r="R9611" s="13">
        <v>9538</v>
      </c>
      <c r="S9611" s="13">
        <v>0</v>
      </c>
    </row>
    <row r="9612" spans="18:19" x14ac:dyDescent="0.25">
      <c r="R9612" s="13">
        <v>9539</v>
      </c>
      <c r="S9612" s="13">
        <v>0</v>
      </c>
    </row>
    <row r="9613" spans="18:19" x14ac:dyDescent="0.25">
      <c r="R9613" s="13">
        <v>9540</v>
      </c>
      <c r="S9613" s="13">
        <v>0</v>
      </c>
    </row>
    <row r="9614" spans="18:19" x14ac:dyDescent="0.25">
      <c r="R9614" s="13">
        <v>9541</v>
      </c>
      <c r="S9614" s="13">
        <v>0</v>
      </c>
    </row>
    <row r="9615" spans="18:19" x14ac:dyDescent="0.25">
      <c r="R9615" s="13">
        <v>9542</v>
      </c>
      <c r="S9615" s="13">
        <v>0</v>
      </c>
    </row>
    <row r="9616" spans="18:19" x14ac:dyDescent="0.25">
      <c r="R9616" s="13">
        <v>9543</v>
      </c>
      <c r="S9616" s="13">
        <v>0</v>
      </c>
    </row>
    <row r="9617" spans="18:19" x14ac:dyDescent="0.25">
      <c r="R9617" s="13">
        <v>9544</v>
      </c>
      <c r="S9617" s="13">
        <v>0</v>
      </c>
    </row>
    <row r="9618" spans="18:19" x14ac:dyDescent="0.25">
      <c r="R9618" s="13">
        <v>9545</v>
      </c>
      <c r="S9618" s="13">
        <v>0</v>
      </c>
    </row>
    <row r="9619" spans="18:19" x14ac:dyDescent="0.25">
      <c r="R9619" s="13">
        <v>9546</v>
      </c>
      <c r="S9619" s="13">
        <v>0</v>
      </c>
    </row>
    <row r="9620" spans="18:19" x14ac:dyDescent="0.25">
      <c r="R9620" s="13">
        <v>9547</v>
      </c>
      <c r="S9620" s="13">
        <v>95337269.746383667</v>
      </c>
    </row>
    <row r="9621" spans="18:19" x14ac:dyDescent="0.25">
      <c r="R9621" s="13">
        <v>9548</v>
      </c>
      <c r="S9621" s="13">
        <v>0</v>
      </c>
    </row>
    <row r="9622" spans="18:19" x14ac:dyDescent="0.25">
      <c r="R9622" s="13">
        <v>9549</v>
      </c>
      <c r="S9622" s="13">
        <v>0</v>
      </c>
    </row>
    <row r="9623" spans="18:19" x14ac:dyDescent="0.25">
      <c r="R9623" s="13">
        <v>9550</v>
      </c>
      <c r="S9623" s="13">
        <v>0</v>
      </c>
    </row>
    <row r="9624" spans="18:19" x14ac:dyDescent="0.25">
      <c r="R9624" s="13">
        <v>9551</v>
      </c>
      <c r="S9624" s="13">
        <v>0</v>
      </c>
    </row>
    <row r="9625" spans="18:19" x14ac:dyDescent="0.25">
      <c r="R9625" s="13">
        <v>9552</v>
      </c>
      <c r="S9625" s="13">
        <v>0</v>
      </c>
    </row>
    <row r="9626" spans="18:19" x14ac:dyDescent="0.25">
      <c r="R9626" s="13">
        <v>9553</v>
      </c>
      <c r="S9626" s="13">
        <v>0</v>
      </c>
    </row>
    <row r="9627" spans="18:19" x14ac:dyDescent="0.25">
      <c r="R9627" s="13">
        <v>9554</v>
      </c>
      <c r="S9627" s="13">
        <v>0</v>
      </c>
    </row>
    <row r="9628" spans="18:19" x14ac:dyDescent="0.25">
      <c r="R9628" s="13">
        <v>9555</v>
      </c>
      <c r="S9628" s="13">
        <v>502935589.26274872</v>
      </c>
    </row>
    <row r="9629" spans="18:19" x14ac:dyDescent="0.25">
      <c r="R9629" s="13">
        <v>9556</v>
      </c>
      <c r="S9629" s="13">
        <v>19640856.911327362</v>
      </c>
    </row>
    <row r="9630" spans="18:19" x14ac:dyDescent="0.25">
      <c r="R9630" s="13">
        <v>9557</v>
      </c>
      <c r="S9630" s="13">
        <v>0</v>
      </c>
    </row>
    <row r="9631" spans="18:19" x14ac:dyDescent="0.25">
      <c r="R9631" s="13">
        <v>9558</v>
      </c>
      <c r="S9631" s="13">
        <v>363113177.07939529</v>
      </c>
    </row>
    <row r="9632" spans="18:19" x14ac:dyDescent="0.25">
      <c r="R9632" s="13">
        <v>9559</v>
      </c>
      <c r="S9632" s="13">
        <v>0</v>
      </c>
    </row>
    <row r="9633" spans="18:19" x14ac:dyDescent="0.25">
      <c r="R9633" s="13">
        <v>9560</v>
      </c>
      <c r="S9633" s="13">
        <v>0</v>
      </c>
    </row>
    <row r="9634" spans="18:19" x14ac:dyDescent="0.25">
      <c r="R9634" s="13">
        <v>9561</v>
      </c>
      <c r="S9634" s="13">
        <v>0</v>
      </c>
    </row>
    <row r="9635" spans="18:19" x14ac:dyDescent="0.25">
      <c r="R9635" s="13">
        <v>9562</v>
      </c>
      <c r="S9635" s="13">
        <v>0</v>
      </c>
    </row>
    <row r="9636" spans="18:19" x14ac:dyDescent="0.25">
      <c r="R9636" s="13">
        <v>9563</v>
      </c>
      <c r="S9636" s="13">
        <v>1064647247.4623165</v>
      </c>
    </row>
    <row r="9637" spans="18:19" x14ac:dyDescent="0.25">
      <c r="R9637" s="13">
        <v>9564</v>
      </c>
      <c r="S9637" s="13">
        <v>0</v>
      </c>
    </row>
    <row r="9638" spans="18:19" x14ac:dyDescent="0.25">
      <c r="R9638" s="13">
        <v>9565</v>
      </c>
      <c r="S9638" s="13">
        <v>0</v>
      </c>
    </row>
    <row r="9639" spans="18:19" x14ac:dyDescent="0.25">
      <c r="R9639" s="13">
        <v>9566</v>
      </c>
      <c r="S9639" s="13">
        <v>0</v>
      </c>
    </row>
    <row r="9640" spans="18:19" x14ac:dyDescent="0.25">
      <c r="R9640" s="13">
        <v>9567</v>
      </c>
      <c r="S9640" s="13">
        <v>0</v>
      </c>
    </row>
    <row r="9641" spans="18:19" x14ac:dyDescent="0.25">
      <c r="R9641" s="13">
        <v>9568</v>
      </c>
      <c r="S9641" s="13">
        <v>0</v>
      </c>
    </row>
    <row r="9642" spans="18:19" x14ac:dyDescent="0.25">
      <c r="R9642" s="13">
        <v>9569</v>
      </c>
      <c r="S9642" s="13">
        <v>0</v>
      </c>
    </row>
    <row r="9643" spans="18:19" x14ac:dyDescent="0.25">
      <c r="R9643" s="13">
        <v>9570</v>
      </c>
      <c r="S9643" s="13">
        <v>0</v>
      </c>
    </row>
    <row r="9644" spans="18:19" x14ac:dyDescent="0.25">
      <c r="R9644" s="13">
        <v>9571</v>
      </c>
      <c r="S9644" s="13">
        <v>0</v>
      </c>
    </row>
    <row r="9645" spans="18:19" x14ac:dyDescent="0.25">
      <c r="R9645" s="13">
        <v>9572</v>
      </c>
      <c r="S9645" s="13">
        <v>0</v>
      </c>
    </row>
    <row r="9646" spans="18:19" x14ac:dyDescent="0.25">
      <c r="R9646" s="13">
        <v>9573</v>
      </c>
      <c r="S9646" s="13">
        <v>0</v>
      </c>
    </row>
    <row r="9647" spans="18:19" x14ac:dyDescent="0.25">
      <c r="R9647" s="13">
        <v>9574</v>
      </c>
      <c r="S9647" s="13">
        <v>0</v>
      </c>
    </row>
    <row r="9648" spans="18:19" x14ac:dyDescent="0.25">
      <c r="R9648" s="13">
        <v>9575</v>
      </c>
      <c r="S9648" s="13">
        <v>0</v>
      </c>
    </row>
    <row r="9649" spans="18:19" x14ac:dyDescent="0.25">
      <c r="R9649" s="13">
        <v>9576</v>
      </c>
      <c r="S9649" s="13">
        <v>0</v>
      </c>
    </row>
    <row r="9650" spans="18:19" x14ac:dyDescent="0.25">
      <c r="R9650" s="13">
        <v>9577</v>
      </c>
      <c r="S9650" s="13">
        <v>0</v>
      </c>
    </row>
    <row r="9651" spans="18:19" x14ac:dyDescent="0.25">
      <c r="R9651" s="13">
        <v>9578</v>
      </c>
      <c r="S9651" s="13">
        <v>0</v>
      </c>
    </row>
    <row r="9652" spans="18:19" x14ac:dyDescent="0.25">
      <c r="R9652" s="13">
        <v>9579</v>
      </c>
      <c r="S9652" s="13">
        <v>0</v>
      </c>
    </row>
    <row r="9653" spans="18:19" x14ac:dyDescent="0.25">
      <c r="R9653" s="13">
        <v>9580</v>
      </c>
      <c r="S9653" s="13">
        <v>0</v>
      </c>
    </row>
    <row r="9654" spans="18:19" x14ac:dyDescent="0.25">
      <c r="R9654" s="13">
        <v>9581</v>
      </c>
      <c r="S9654" s="13">
        <v>0</v>
      </c>
    </row>
    <row r="9655" spans="18:19" x14ac:dyDescent="0.25">
      <c r="R9655" s="13">
        <v>9582</v>
      </c>
      <c r="S9655" s="13">
        <v>0</v>
      </c>
    </row>
    <row r="9656" spans="18:19" x14ac:dyDescent="0.25">
      <c r="R9656" s="13">
        <v>9583</v>
      </c>
      <c r="S9656" s="13">
        <v>291679409.85598564</v>
      </c>
    </row>
    <row r="9657" spans="18:19" x14ac:dyDescent="0.25">
      <c r="R9657" s="13">
        <v>9584</v>
      </c>
      <c r="S9657" s="13">
        <v>0</v>
      </c>
    </row>
    <row r="9658" spans="18:19" x14ac:dyDescent="0.25">
      <c r="R9658" s="13">
        <v>9585</v>
      </c>
      <c r="S9658" s="13">
        <v>0</v>
      </c>
    </row>
    <row r="9659" spans="18:19" x14ac:dyDescent="0.25">
      <c r="R9659" s="13">
        <v>9586</v>
      </c>
      <c r="S9659" s="13">
        <v>0</v>
      </c>
    </row>
    <row r="9660" spans="18:19" x14ac:dyDescent="0.25">
      <c r="R9660" s="13">
        <v>9587</v>
      </c>
      <c r="S9660" s="13">
        <v>0</v>
      </c>
    </row>
    <row r="9661" spans="18:19" x14ac:dyDescent="0.25">
      <c r="R9661" s="13">
        <v>9588</v>
      </c>
      <c r="S9661" s="13">
        <v>0</v>
      </c>
    </row>
    <row r="9662" spans="18:19" x14ac:dyDescent="0.25">
      <c r="R9662" s="13">
        <v>9589</v>
      </c>
      <c r="S9662" s="13">
        <v>0</v>
      </c>
    </row>
    <row r="9663" spans="18:19" x14ac:dyDescent="0.25">
      <c r="R9663" s="13">
        <v>9590</v>
      </c>
      <c r="S9663" s="13">
        <v>969195683.75657463</v>
      </c>
    </row>
    <row r="9664" spans="18:19" x14ac:dyDescent="0.25">
      <c r="R9664" s="13">
        <v>9591</v>
      </c>
      <c r="S9664" s="13">
        <v>0</v>
      </c>
    </row>
    <row r="9665" spans="18:19" x14ac:dyDescent="0.25">
      <c r="R9665" s="13">
        <v>9592</v>
      </c>
      <c r="S9665" s="13">
        <v>0</v>
      </c>
    </row>
    <row r="9666" spans="18:19" x14ac:dyDescent="0.25">
      <c r="R9666" s="13">
        <v>9593</v>
      </c>
      <c r="S9666" s="13">
        <v>0</v>
      </c>
    </row>
    <row r="9667" spans="18:19" x14ac:dyDescent="0.25">
      <c r="R9667" s="13">
        <v>9594</v>
      </c>
      <c r="S9667" s="13">
        <v>0</v>
      </c>
    </row>
    <row r="9668" spans="18:19" x14ac:dyDescent="0.25">
      <c r="R9668" s="13">
        <v>9595</v>
      </c>
      <c r="S9668" s="13">
        <v>0</v>
      </c>
    </row>
    <row r="9669" spans="18:19" x14ac:dyDescent="0.25">
      <c r="R9669" s="13">
        <v>9596</v>
      </c>
      <c r="S9669" s="13">
        <v>0</v>
      </c>
    </row>
    <row r="9670" spans="18:19" x14ac:dyDescent="0.25">
      <c r="R9670" s="13">
        <v>9597</v>
      </c>
      <c r="S9670" s="13">
        <v>0</v>
      </c>
    </row>
    <row r="9671" spans="18:19" x14ac:dyDescent="0.25">
      <c r="R9671" s="13">
        <v>9598</v>
      </c>
      <c r="S9671" s="13">
        <v>0</v>
      </c>
    </row>
    <row r="9672" spans="18:19" x14ac:dyDescent="0.25">
      <c r="R9672" s="13">
        <v>9599</v>
      </c>
      <c r="S9672" s="13">
        <v>0</v>
      </c>
    </row>
    <row r="9673" spans="18:19" x14ac:dyDescent="0.25">
      <c r="R9673" s="13">
        <v>9600</v>
      </c>
      <c r="S9673" s="13">
        <v>652166434.17631912</v>
      </c>
    </row>
    <row r="9674" spans="18:19" x14ac:dyDescent="0.25">
      <c r="R9674" s="13">
        <v>9601</v>
      </c>
      <c r="S9674" s="13">
        <v>0</v>
      </c>
    </row>
    <row r="9675" spans="18:19" x14ac:dyDescent="0.25">
      <c r="R9675" s="13">
        <v>9602</v>
      </c>
      <c r="S9675" s="13">
        <v>0</v>
      </c>
    </row>
    <row r="9676" spans="18:19" x14ac:dyDescent="0.25">
      <c r="R9676" s="13">
        <v>9603</v>
      </c>
      <c r="S9676" s="13">
        <v>0</v>
      </c>
    </row>
    <row r="9677" spans="18:19" x14ac:dyDescent="0.25">
      <c r="R9677" s="13">
        <v>9604</v>
      </c>
      <c r="S9677" s="13">
        <v>0</v>
      </c>
    </row>
    <row r="9678" spans="18:19" x14ac:dyDescent="0.25">
      <c r="R9678" s="13">
        <v>9605</v>
      </c>
      <c r="S9678" s="13">
        <v>0</v>
      </c>
    </row>
    <row r="9679" spans="18:19" x14ac:dyDescent="0.25">
      <c r="R9679" s="13">
        <v>9606</v>
      </c>
      <c r="S9679" s="13">
        <v>313261148.10078621</v>
      </c>
    </row>
    <row r="9680" spans="18:19" x14ac:dyDescent="0.25">
      <c r="R9680" s="13">
        <v>9607</v>
      </c>
      <c r="S9680" s="13">
        <v>0</v>
      </c>
    </row>
    <row r="9681" spans="18:19" x14ac:dyDescent="0.25">
      <c r="R9681" s="13">
        <v>9608</v>
      </c>
      <c r="S9681" s="13">
        <v>1699793.144241333</v>
      </c>
    </row>
    <row r="9682" spans="18:19" x14ac:dyDescent="0.25">
      <c r="R9682" s="13">
        <v>9609</v>
      </c>
      <c r="S9682" s="13">
        <v>0</v>
      </c>
    </row>
    <row r="9683" spans="18:19" x14ac:dyDescent="0.25">
      <c r="R9683" s="13">
        <v>9610</v>
      </c>
      <c r="S9683" s="13">
        <v>405757110.55965614</v>
      </c>
    </row>
    <row r="9684" spans="18:19" x14ac:dyDescent="0.25">
      <c r="R9684" s="13">
        <v>9611</v>
      </c>
      <c r="S9684" s="13">
        <v>0</v>
      </c>
    </row>
    <row r="9685" spans="18:19" x14ac:dyDescent="0.25">
      <c r="R9685" s="13">
        <v>9612</v>
      </c>
      <c r="S9685" s="13">
        <v>280403369.67547607</v>
      </c>
    </row>
    <row r="9686" spans="18:19" x14ac:dyDescent="0.25">
      <c r="R9686" s="13">
        <v>9613</v>
      </c>
      <c r="S9686" s="13">
        <v>0</v>
      </c>
    </row>
    <row r="9687" spans="18:19" x14ac:dyDescent="0.25">
      <c r="R9687" s="13">
        <v>9614</v>
      </c>
      <c r="S9687" s="13">
        <v>0</v>
      </c>
    </row>
    <row r="9688" spans="18:19" x14ac:dyDescent="0.25">
      <c r="R9688" s="13">
        <v>9615</v>
      </c>
      <c r="S9688" s="13">
        <v>0</v>
      </c>
    </row>
    <row r="9689" spans="18:19" x14ac:dyDescent="0.25">
      <c r="R9689" s="13">
        <v>9616</v>
      </c>
      <c r="S9689" s="13">
        <v>0</v>
      </c>
    </row>
    <row r="9690" spans="18:19" x14ac:dyDescent="0.25">
      <c r="R9690" s="13">
        <v>9617</v>
      </c>
      <c r="S9690" s="13">
        <v>60542625.517770767</v>
      </c>
    </row>
    <row r="9691" spans="18:19" x14ac:dyDescent="0.25">
      <c r="R9691" s="13">
        <v>9618</v>
      </c>
      <c r="S9691" s="13">
        <v>0</v>
      </c>
    </row>
    <row r="9692" spans="18:19" x14ac:dyDescent="0.25">
      <c r="R9692" s="13">
        <v>9619</v>
      </c>
      <c r="S9692" s="13">
        <v>0</v>
      </c>
    </row>
    <row r="9693" spans="18:19" x14ac:dyDescent="0.25">
      <c r="R9693" s="13">
        <v>9620</v>
      </c>
      <c r="S9693" s="13">
        <v>217213106.87481689</v>
      </c>
    </row>
    <row r="9694" spans="18:19" x14ac:dyDescent="0.25">
      <c r="R9694" s="13">
        <v>9621</v>
      </c>
      <c r="S9694" s="13">
        <v>0</v>
      </c>
    </row>
    <row r="9695" spans="18:19" x14ac:dyDescent="0.25">
      <c r="R9695" s="13">
        <v>9622</v>
      </c>
      <c r="S9695" s="13">
        <v>0</v>
      </c>
    </row>
    <row r="9696" spans="18:19" x14ac:dyDescent="0.25">
      <c r="R9696" s="13">
        <v>9623</v>
      </c>
      <c r="S9696" s="13">
        <v>0</v>
      </c>
    </row>
    <row r="9697" spans="18:19" x14ac:dyDescent="0.25">
      <c r="R9697" s="13">
        <v>9624</v>
      </c>
      <c r="S9697" s="13">
        <v>0</v>
      </c>
    </row>
    <row r="9698" spans="18:19" x14ac:dyDescent="0.25">
      <c r="R9698" s="13">
        <v>9625</v>
      </c>
      <c r="S9698" s="13">
        <v>396832942.96770096</v>
      </c>
    </row>
    <row r="9699" spans="18:19" x14ac:dyDescent="0.25">
      <c r="R9699" s="13">
        <v>9626</v>
      </c>
      <c r="S9699" s="13">
        <v>0</v>
      </c>
    </row>
    <row r="9700" spans="18:19" x14ac:dyDescent="0.25">
      <c r="R9700" s="13">
        <v>9627</v>
      </c>
      <c r="S9700" s="13">
        <v>419300120.94231224</v>
      </c>
    </row>
    <row r="9701" spans="18:19" x14ac:dyDescent="0.25">
      <c r="R9701" s="13">
        <v>9628</v>
      </c>
      <c r="S9701" s="13">
        <v>0</v>
      </c>
    </row>
    <row r="9702" spans="18:19" x14ac:dyDescent="0.25">
      <c r="R9702" s="13">
        <v>9629</v>
      </c>
      <c r="S9702" s="13">
        <v>0</v>
      </c>
    </row>
    <row r="9703" spans="18:19" x14ac:dyDescent="0.25">
      <c r="R9703" s="13">
        <v>9630</v>
      </c>
      <c r="S9703" s="13">
        <v>0</v>
      </c>
    </row>
    <row r="9704" spans="18:19" x14ac:dyDescent="0.25">
      <c r="R9704" s="13">
        <v>9631</v>
      </c>
      <c r="S9704" s="13">
        <v>0</v>
      </c>
    </row>
    <row r="9705" spans="18:19" x14ac:dyDescent="0.25">
      <c r="R9705" s="13">
        <v>9632</v>
      </c>
      <c r="S9705" s="13">
        <v>34024762.998907089</v>
      </c>
    </row>
    <row r="9706" spans="18:19" x14ac:dyDescent="0.25">
      <c r="R9706" s="13">
        <v>9633</v>
      </c>
      <c r="S9706" s="13">
        <v>290960906.58462143</v>
      </c>
    </row>
    <row r="9707" spans="18:19" x14ac:dyDescent="0.25">
      <c r="R9707" s="13">
        <v>9634</v>
      </c>
      <c r="S9707" s="13">
        <v>10770840.372560501</v>
      </c>
    </row>
    <row r="9708" spans="18:19" x14ac:dyDescent="0.25">
      <c r="R9708" s="13">
        <v>9635</v>
      </c>
      <c r="S9708" s="13">
        <v>0</v>
      </c>
    </row>
    <row r="9709" spans="18:19" x14ac:dyDescent="0.25">
      <c r="R9709" s="13">
        <v>9636</v>
      </c>
      <c r="S9709" s="13">
        <v>0</v>
      </c>
    </row>
    <row r="9710" spans="18:19" x14ac:dyDescent="0.25">
      <c r="R9710" s="13">
        <v>9637</v>
      </c>
      <c r="S9710" s="13">
        <v>0</v>
      </c>
    </row>
    <row r="9711" spans="18:19" x14ac:dyDescent="0.25">
      <c r="R9711" s="13">
        <v>9638</v>
      </c>
      <c r="S9711" s="13">
        <v>0</v>
      </c>
    </row>
    <row r="9712" spans="18:19" x14ac:dyDescent="0.25">
      <c r="R9712" s="13">
        <v>9639</v>
      </c>
      <c r="S9712" s="13">
        <v>0</v>
      </c>
    </row>
    <row r="9713" spans="18:19" x14ac:dyDescent="0.25">
      <c r="R9713" s="13">
        <v>9640</v>
      </c>
      <c r="S9713" s="13">
        <v>0</v>
      </c>
    </row>
    <row r="9714" spans="18:19" x14ac:dyDescent="0.25">
      <c r="R9714" s="13">
        <v>9641</v>
      </c>
      <c r="S9714" s="13">
        <v>155463961.62559128</v>
      </c>
    </row>
    <row r="9715" spans="18:19" x14ac:dyDescent="0.25">
      <c r="R9715" s="13">
        <v>9642</v>
      </c>
      <c r="S9715" s="13">
        <v>639459128.41148949</v>
      </c>
    </row>
    <row r="9716" spans="18:19" x14ac:dyDescent="0.25">
      <c r="R9716" s="13">
        <v>9643</v>
      </c>
      <c r="S9716" s="13">
        <v>0</v>
      </c>
    </row>
    <row r="9717" spans="18:19" x14ac:dyDescent="0.25">
      <c r="R9717" s="13">
        <v>9644</v>
      </c>
      <c r="S9717" s="13">
        <v>0</v>
      </c>
    </row>
    <row r="9718" spans="18:19" x14ac:dyDescent="0.25">
      <c r="R9718" s="13">
        <v>9645</v>
      </c>
      <c r="S9718" s="13">
        <v>0</v>
      </c>
    </row>
    <row r="9719" spans="18:19" x14ac:dyDescent="0.25">
      <c r="R9719" s="13">
        <v>9646</v>
      </c>
      <c r="S9719" s="13">
        <v>248945554.54467201</v>
      </c>
    </row>
    <row r="9720" spans="18:19" x14ac:dyDescent="0.25">
      <c r="R9720" s="13">
        <v>9647</v>
      </c>
      <c r="S9720" s="13">
        <v>132488747.96123123</v>
      </c>
    </row>
    <row r="9721" spans="18:19" x14ac:dyDescent="0.25">
      <c r="R9721" s="13">
        <v>9648</v>
      </c>
      <c r="S9721" s="13">
        <v>0</v>
      </c>
    </row>
    <row r="9722" spans="18:19" x14ac:dyDescent="0.25">
      <c r="R9722" s="13">
        <v>9649</v>
      </c>
      <c r="S9722" s="13">
        <v>0</v>
      </c>
    </row>
    <row r="9723" spans="18:19" x14ac:dyDescent="0.25">
      <c r="R9723" s="13">
        <v>9650</v>
      </c>
      <c r="S9723" s="13">
        <v>0</v>
      </c>
    </row>
    <row r="9724" spans="18:19" x14ac:dyDescent="0.25">
      <c r="R9724" s="13">
        <v>9651</v>
      </c>
      <c r="S9724" s="13">
        <v>0</v>
      </c>
    </row>
    <row r="9725" spans="18:19" x14ac:dyDescent="0.25">
      <c r="R9725" s="13">
        <v>9652</v>
      </c>
      <c r="S9725" s="13">
        <v>0</v>
      </c>
    </row>
    <row r="9726" spans="18:19" x14ac:dyDescent="0.25">
      <c r="R9726" s="13">
        <v>9653</v>
      </c>
      <c r="S9726" s="13">
        <v>560143071.81237602</v>
      </c>
    </row>
    <row r="9727" spans="18:19" x14ac:dyDescent="0.25">
      <c r="R9727" s="13">
        <v>9654</v>
      </c>
      <c r="S9727" s="13">
        <v>0</v>
      </c>
    </row>
    <row r="9728" spans="18:19" x14ac:dyDescent="0.25">
      <c r="R9728" s="13">
        <v>9655</v>
      </c>
      <c r="S9728" s="13">
        <v>0</v>
      </c>
    </row>
    <row r="9729" spans="18:19" x14ac:dyDescent="0.25">
      <c r="R9729" s="13">
        <v>9656</v>
      </c>
      <c r="S9729" s="13">
        <v>0</v>
      </c>
    </row>
    <row r="9730" spans="18:19" x14ac:dyDescent="0.25">
      <c r="R9730" s="13">
        <v>9657</v>
      </c>
      <c r="S9730" s="13">
        <v>0</v>
      </c>
    </row>
    <row r="9731" spans="18:19" x14ac:dyDescent="0.25">
      <c r="R9731" s="13">
        <v>9658</v>
      </c>
      <c r="S9731" s="13">
        <v>24429301.95457077</v>
      </c>
    </row>
    <row r="9732" spans="18:19" x14ac:dyDescent="0.25">
      <c r="R9732" s="13">
        <v>9659</v>
      </c>
      <c r="S9732" s="13">
        <v>0</v>
      </c>
    </row>
    <row r="9733" spans="18:19" x14ac:dyDescent="0.25">
      <c r="R9733" s="13">
        <v>9660</v>
      </c>
      <c r="S9733" s="13">
        <v>0</v>
      </c>
    </row>
    <row r="9734" spans="18:19" x14ac:dyDescent="0.25">
      <c r="R9734" s="13">
        <v>9661</v>
      </c>
      <c r="S9734" s="13">
        <v>0</v>
      </c>
    </row>
    <row r="9735" spans="18:19" x14ac:dyDescent="0.25">
      <c r="R9735" s="13">
        <v>9662</v>
      </c>
      <c r="S9735" s="13">
        <v>103142299.85103607</v>
      </c>
    </row>
    <row r="9736" spans="18:19" x14ac:dyDescent="0.25">
      <c r="R9736" s="13">
        <v>9663</v>
      </c>
      <c r="S9736" s="13">
        <v>1055307580.4683952</v>
      </c>
    </row>
    <row r="9737" spans="18:19" x14ac:dyDescent="0.25">
      <c r="R9737" s="13">
        <v>9664</v>
      </c>
      <c r="S9737" s="13">
        <v>828266681.87745094</v>
      </c>
    </row>
    <row r="9738" spans="18:19" x14ac:dyDescent="0.25">
      <c r="R9738" s="13">
        <v>9665</v>
      </c>
      <c r="S9738" s="13">
        <v>0</v>
      </c>
    </row>
    <row r="9739" spans="18:19" x14ac:dyDescent="0.25">
      <c r="R9739" s="13">
        <v>9666</v>
      </c>
      <c r="S9739" s="13">
        <v>474118712.20566177</v>
      </c>
    </row>
    <row r="9740" spans="18:19" x14ac:dyDescent="0.25">
      <c r="R9740" s="13">
        <v>9667</v>
      </c>
      <c r="S9740" s="13">
        <v>0</v>
      </c>
    </row>
    <row r="9741" spans="18:19" x14ac:dyDescent="0.25">
      <c r="R9741" s="13">
        <v>9668</v>
      </c>
      <c r="S9741" s="13">
        <v>520214017.23390007</v>
      </c>
    </row>
    <row r="9742" spans="18:19" x14ac:dyDescent="0.25">
      <c r="R9742" s="13">
        <v>9669</v>
      </c>
      <c r="S9742" s="13">
        <v>0</v>
      </c>
    </row>
    <row r="9743" spans="18:19" x14ac:dyDescent="0.25">
      <c r="R9743" s="13">
        <v>9670</v>
      </c>
      <c r="S9743" s="13">
        <v>35066671.555898666</v>
      </c>
    </row>
    <row r="9744" spans="18:19" x14ac:dyDescent="0.25">
      <c r="R9744" s="13">
        <v>9671</v>
      </c>
      <c r="S9744" s="13">
        <v>0</v>
      </c>
    </row>
    <row r="9745" spans="18:19" x14ac:dyDescent="0.25">
      <c r="R9745" s="13">
        <v>9672</v>
      </c>
      <c r="S9745" s="13">
        <v>0</v>
      </c>
    </row>
    <row r="9746" spans="18:19" x14ac:dyDescent="0.25">
      <c r="R9746" s="13">
        <v>9673</v>
      </c>
      <c r="S9746" s="13">
        <v>0</v>
      </c>
    </row>
    <row r="9747" spans="18:19" x14ac:dyDescent="0.25">
      <c r="R9747" s="13">
        <v>9674</v>
      </c>
      <c r="S9747" s="13">
        <v>82865286.698608398</v>
      </c>
    </row>
    <row r="9748" spans="18:19" x14ac:dyDescent="0.25">
      <c r="R9748" s="13">
        <v>9675</v>
      </c>
      <c r="S9748" s="13">
        <v>0</v>
      </c>
    </row>
    <row r="9749" spans="18:19" x14ac:dyDescent="0.25">
      <c r="R9749" s="13">
        <v>9676</v>
      </c>
      <c r="S9749" s="13">
        <v>0</v>
      </c>
    </row>
    <row r="9750" spans="18:19" x14ac:dyDescent="0.25">
      <c r="R9750" s="13">
        <v>9677</v>
      </c>
      <c r="S9750" s="13">
        <v>212794963.23706055</v>
      </c>
    </row>
    <row r="9751" spans="18:19" x14ac:dyDescent="0.25">
      <c r="R9751" s="13">
        <v>9678</v>
      </c>
      <c r="S9751" s="13">
        <v>646590472.28417969</v>
      </c>
    </row>
    <row r="9752" spans="18:19" x14ac:dyDescent="0.25">
      <c r="R9752" s="13">
        <v>9679</v>
      </c>
      <c r="S9752" s="13">
        <v>0</v>
      </c>
    </row>
    <row r="9753" spans="18:19" x14ac:dyDescent="0.25">
      <c r="R9753" s="13">
        <v>9680</v>
      </c>
      <c r="S9753" s="13">
        <v>0</v>
      </c>
    </row>
    <row r="9754" spans="18:19" x14ac:dyDescent="0.25">
      <c r="R9754" s="13">
        <v>9681</v>
      </c>
      <c r="S9754" s="13">
        <v>0</v>
      </c>
    </row>
    <row r="9755" spans="18:19" x14ac:dyDescent="0.25">
      <c r="R9755" s="13">
        <v>9682</v>
      </c>
      <c r="S9755" s="13">
        <v>0</v>
      </c>
    </row>
    <row r="9756" spans="18:19" x14ac:dyDescent="0.25">
      <c r="R9756" s="13">
        <v>9683</v>
      </c>
      <c r="S9756" s="13">
        <v>0</v>
      </c>
    </row>
    <row r="9757" spans="18:19" x14ac:dyDescent="0.25">
      <c r="R9757" s="13">
        <v>9684</v>
      </c>
      <c r="S9757" s="13">
        <v>0</v>
      </c>
    </row>
    <row r="9758" spans="18:19" x14ac:dyDescent="0.25">
      <c r="R9758" s="13">
        <v>9685</v>
      </c>
      <c r="S9758" s="13">
        <v>0</v>
      </c>
    </row>
    <row r="9759" spans="18:19" x14ac:dyDescent="0.25">
      <c r="R9759" s="13">
        <v>9686</v>
      </c>
      <c r="S9759" s="13">
        <v>354047216.32626915</v>
      </c>
    </row>
    <row r="9760" spans="18:19" x14ac:dyDescent="0.25">
      <c r="R9760" s="13">
        <v>9687</v>
      </c>
      <c r="S9760" s="13">
        <v>322140893.11155319</v>
      </c>
    </row>
    <row r="9761" spans="18:19" x14ac:dyDescent="0.25">
      <c r="R9761" s="13">
        <v>9688</v>
      </c>
      <c r="S9761" s="13">
        <v>0</v>
      </c>
    </row>
    <row r="9762" spans="18:19" x14ac:dyDescent="0.25">
      <c r="R9762" s="13">
        <v>9689</v>
      </c>
      <c r="S9762" s="13">
        <v>0</v>
      </c>
    </row>
    <row r="9763" spans="18:19" x14ac:dyDescent="0.25">
      <c r="R9763" s="13">
        <v>9690</v>
      </c>
      <c r="S9763" s="13">
        <v>0</v>
      </c>
    </row>
    <row r="9764" spans="18:19" x14ac:dyDescent="0.25">
      <c r="R9764" s="13">
        <v>9691</v>
      </c>
      <c r="S9764" s="13">
        <v>0</v>
      </c>
    </row>
    <row r="9765" spans="18:19" x14ac:dyDescent="0.25">
      <c r="R9765" s="13">
        <v>9692</v>
      </c>
      <c r="S9765" s="13">
        <v>0</v>
      </c>
    </row>
    <row r="9766" spans="18:19" x14ac:dyDescent="0.25">
      <c r="R9766" s="13">
        <v>9693</v>
      </c>
      <c r="S9766" s="13">
        <v>0</v>
      </c>
    </row>
    <row r="9767" spans="18:19" x14ac:dyDescent="0.25">
      <c r="R9767" s="13">
        <v>9694</v>
      </c>
      <c r="S9767" s="13">
        <v>0</v>
      </c>
    </row>
    <row r="9768" spans="18:19" x14ac:dyDescent="0.25">
      <c r="R9768" s="13">
        <v>9695</v>
      </c>
      <c r="S9768" s="13">
        <v>0</v>
      </c>
    </row>
    <row r="9769" spans="18:19" x14ac:dyDescent="0.25">
      <c r="R9769" s="13">
        <v>9696</v>
      </c>
      <c r="S9769" s="13">
        <v>0</v>
      </c>
    </row>
    <row r="9770" spans="18:19" x14ac:dyDescent="0.25">
      <c r="R9770" s="13">
        <v>9697</v>
      </c>
      <c r="S9770" s="13">
        <v>0</v>
      </c>
    </row>
    <row r="9771" spans="18:19" x14ac:dyDescent="0.25">
      <c r="R9771" s="13">
        <v>9698</v>
      </c>
      <c r="S9771" s="13">
        <v>0</v>
      </c>
    </row>
    <row r="9772" spans="18:19" x14ac:dyDescent="0.25">
      <c r="R9772" s="13">
        <v>9699</v>
      </c>
      <c r="S9772" s="13">
        <v>0</v>
      </c>
    </row>
    <row r="9773" spans="18:19" x14ac:dyDescent="0.25">
      <c r="R9773" s="13">
        <v>9700</v>
      </c>
      <c r="S9773" s="13">
        <v>0</v>
      </c>
    </row>
    <row r="9774" spans="18:19" x14ac:dyDescent="0.25">
      <c r="R9774" s="13">
        <v>9701</v>
      </c>
      <c r="S9774" s="13">
        <v>0</v>
      </c>
    </row>
    <row r="9775" spans="18:19" x14ac:dyDescent="0.25">
      <c r="R9775" s="13">
        <v>9702</v>
      </c>
      <c r="S9775" s="13">
        <v>0</v>
      </c>
    </row>
    <row r="9776" spans="18:19" x14ac:dyDescent="0.25">
      <c r="R9776" s="13">
        <v>9703</v>
      </c>
      <c r="S9776" s="13">
        <v>0</v>
      </c>
    </row>
    <row r="9777" spans="18:19" x14ac:dyDescent="0.25">
      <c r="R9777" s="13">
        <v>9704</v>
      </c>
      <c r="S9777" s="13">
        <v>0</v>
      </c>
    </row>
    <row r="9778" spans="18:19" x14ac:dyDescent="0.25">
      <c r="R9778" s="13">
        <v>9705</v>
      </c>
      <c r="S9778" s="13">
        <v>0</v>
      </c>
    </row>
    <row r="9779" spans="18:19" x14ac:dyDescent="0.25">
      <c r="R9779" s="13">
        <v>9706</v>
      </c>
      <c r="S9779" s="13">
        <v>0</v>
      </c>
    </row>
    <row r="9780" spans="18:19" x14ac:dyDescent="0.25">
      <c r="R9780" s="13">
        <v>9707</v>
      </c>
      <c r="S9780" s="13">
        <v>0</v>
      </c>
    </row>
    <row r="9781" spans="18:19" x14ac:dyDescent="0.25">
      <c r="R9781" s="13">
        <v>9708</v>
      </c>
      <c r="S9781" s="13">
        <v>757139328.11179543</v>
      </c>
    </row>
    <row r="9782" spans="18:19" x14ac:dyDescent="0.25">
      <c r="R9782" s="13">
        <v>9709</v>
      </c>
      <c r="S9782" s="13">
        <v>0</v>
      </c>
    </row>
    <row r="9783" spans="18:19" x14ac:dyDescent="0.25">
      <c r="R9783" s="13">
        <v>9710</v>
      </c>
      <c r="S9783" s="13">
        <v>0</v>
      </c>
    </row>
    <row r="9784" spans="18:19" x14ac:dyDescent="0.25">
      <c r="R9784" s="13">
        <v>9711</v>
      </c>
      <c r="S9784" s="13">
        <v>0</v>
      </c>
    </row>
    <row r="9785" spans="18:19" x14ac:dyDescent="0.25">
      <c r="R9785" s="13">
        <v>9712</v>
      </c>
      <c r="S9785" s="13">
        <v>0</v>
      </c>
    </row>
    <row r="9786" spans="18:19" x14ac:dyDescent="0.25">
      <c r="R9786" s="13">
        <v>9713</v>
      </c>
      <c r="S9786" s="13">
        <v>103663463.52635002</v>
      </c>
    </row>
    <row r="9787" spans="18:19" x14ac:dyDescent="0.25">
      <c r="R9787" s="13">
        <v>9714</v>
      </c>
      <c r="S9787" s="13">
        <v>0</v>
      </c>
    </row>
    <row r="9788" spans="18:19" x14ac:dyDescent="0.25">
      <c r="R9788" s="13">
        <v>9715</v>
      </c>
      <c r="S9788" s="13">
        <v>72431701.43903923</v>
      </c>
    </row>
    <row r="9789" spans="18:19" x14ac:dyDescent="0.25">
      <c r="R9789" s="13">
        <v>9716</v>
      </c>
      <c r="S9789" s="13">
        <v>0</v>
      </c>
    </row>
    <row r="9790" spans="18:19" x14ac:dyDescent="0.25">
      <c r="R9790" s="13">
        <v>9717</v>
      </c>
      <c r="S9790" s="13">
        <v>0</v>
      </c>
    </row>
    <row r="9791" spans="18:19" x14ac:dyDescent="0.25">
      <c r="R9791" s="13">
        <v>9718</v>
      </c>
      <c r="S9791" s="13">
        <v>71318043.626794815</v>
      </c>
    </row>
    <row r="9792" spans="18:19" x14ac:dyDescent="0.25">
      <c r="R9792" s="13">
        <v>9719</v>
      </c>
      <c r="S9792" s="13">
        <v>0</v>
      </c>
    </row>
    <row r="9793" spans="18:19" x14ac:dyDescent="0.25">
      <c r="R9793" s="13">
        <v>9720</v>
      </c>
      <c r="S9793" s="13">
        <v>0</v>
      </c>
    </row>
    <row r="9794" spans="18:19" x14ac:dyDescent="0.25">
      <c r="R9794" s="13">
        <v>9721</v>
      </c>
      <c r="S9794" s="13">
        <v>93490324.306348801</v>
      </c>
    </row>
    <row r="9795" spans="18:19" x14ac:dyDescent="0.25">
      <c r="R9795" s="13">
        <v>9722</v>
      </c>
      <c r="S9795" s="13">
        <v>0</v>
      </c>
    </row>
    <row r="9796" spans="18:19" x14ac:dyDescent="0.25">
      <c r="R9796" s="13">
        <v>9723</v>
      </c>
      <c r="S9796" s="13">
        <v>0</v>
      </c>
    </row>
    <row r="9797" spans="18:19" x14ac:dyDescent="0.25">
      <c r="R9797" s="13">
        <v>9724</v>
      </c>
      <c r="S9797" s="13">
        <v>0</v>
      </c>
    </row>
    <row r="9798" spans="18:19" x14ac:dyDescent="0.25">
      <c r="R9798" s="13">
        <v>9725</v>
      </c>
      <c r="S9798" s="13">
        <v>0</v>
      </c>
    </row>
    <row r="9799" spans="18:19" x14ac:dyDescent="0.25">
      <c r="R9799" s="13">
        <v>9726</v>
      </c>
      <c r="S9799" s="13">
        <v>0</v>
      </c>
    </row>
    <row r="9800" spans="18:19" x14ac:dyDescent="0.25">
      <c r="R9800" s="13">
        <v>9727</v>
      </c>
      <c r="S9800" s="13">
        <v>0</v>
      </c>
    </row>
    <row r="9801" spans="18:19" x14ac:dyDescent="0.25">
      <c r="R9801" s="13">
        <v>9728</v>
      </c>
      <c r="S9801" s="13">
        <v>1053181581.6522141</v>
      </c>
    </row>
    <row r="9802" spans="18:19" x14ac:dyDescent="0.25">
      <c r="R9802" s="13">
        <v>9729</v>
      </c>
      <c r="S9802" s="13">
        <v>0</v>
      </c>
    </row>
    <row r="9803" spans="18:19" x14ac:dyDescent="0.25">
      <c r="R9803" s="13">
        <v>9730</v>
      </c>
      <c r="S9803" s="13">
        <v>0</v>
      </c>
    </row>
    <row r="9804" spans="18:19" x14ac:dyDescent="0.25">
      <c r="R9804" s="13">
        <v>9731</v>
      </c>
      <c r="S9804" s="13">
        <v>0</v>
      </c>
    </row>
    <row r="9805" spans="18:19" x14ac:dyDescent="0.25">
      <c r="R9805" s="13">
        <v>9732</v>
      </c>
      <c r="S9805" s="13">
        <v>0</v>
      </c>
    </row>
    <row r="9806" spans="18:19" x14ac:dyDescent="0.25">
      <c r="R9806" s="13">
        <v>9733</v>
      </c>
      <c r="S9806" s="13">
        <v>0</v>
      </c>
    </row>
    <row r="9807" spans="18:19" x14ac:dyDescent="0.25">
      <c r="R9807" s="13">
        <v>9734</v>
      </c>
      <c r="S9807" s="13">
        <v>300891287.37889862</v>
      </c>
    </row>
    <row r="9808" spans="18:19" x14ac:dyDescent="0.25">
      <c r="R9808" s="13">
        <v>9735</v>
      </c>
      <c r="S9808" s="13">
        <v>0</v>
      </c>
    </row>
    <row r="9809" spans="18:19" x14ac:dyDescent="0.25">
      <c r="R9809" s="13">
        <v>9736</v>
      </c>
      <c r="S9809" s="13">
        <v>0</v>
      </c>
    </row>
    <row r="9810" spans="18:19" x14ac:dyDescent="0.25">
      <c r="R9810" s="13">
        <v>9737</v>
      </c>
      <c r="S9810" s="13">
        <v>0</v>
      </c>
    </row>
    <row r="9811" spans="18:19" x14ac:dyDescent="0.25">
      <c r="R9811" s="13">
        <v>9738</v>
      </c>
      <c r="S9811" s="13">
        <v>0</v>
      </c>
    </row>
    <row r="9812" spans="18:19" x14ac:dyDescent="0.25">
      <c r="R9812" s="13">
        <v>9739</v>
      </c>
      <c r="S9812" s="13">
        <v>0</v>
      </c>
    </row>
    <row r="9813" spans="18:19" x14ac:dyDescent="0.25">
      <c r="R9813" s="13">
        <v>9740</v>
      </c>
      <c r="S9813" s="13">
        <v>490322021.36660194</v>
      </c>
    </row>
    <row r="9814" spans="18:19" x14ac:dyDescent="0.25">
      <c r="R9814" s="13">
        <v>9741</v>
      </c>
      <c r="S9814" s="13">
        <v>0</v>
      </c>
    </row>
    <row r="9815" spans="18:19" x14ac:dyDescent="0.25">
      <c r="R9815" s="13">
        <v>9742</v>
      </c>
      <c r="S9815" s="13">
        <v>31343277.009689331</v>
      </c>
    </row>
    <row r="9816" spans="18:19" x14ac:dyDescent="0.25">
      <c r="R9816" s="13">
        <v>9743</v>
      </c>
      <c r="S9816" s="13">
        <v>0</v>
      </c>
    </row>
    <row r="9817" spans="18:19" x14ac:dyDescent="0.25">
      <c r="R9817" s="13">
        <v>9744</v>
      </c>
      <c r="S9817" s="13">
        <v>0</v>
      </c>
    </row>
    <row r="9818" spans="18:19" x14ac:dyDescent="0.25">
      <c r="R9818" s="13">
        <v>9745</v>
      </c>
      <c r="S9818" s="13">
        <v>0</v>
      </c>
    </row>
    <row r="9819" spans="18:19" x14ac:dyDescent="0.25">
      <c r="R9819" s="13">
        <v>9746</v>
      </c>
      <c r="S9819" s="13">
        <v>0</v>
      </c>
    </row>
    <row r="9820" spans="18:19" x14ac:dyDescent="0.25">
      <c r="R9820" s="13">
        <v>9747</v>
      </c>
      <c r="S9820" s="13">
        <v>0</v>
      </c>
    </row>
    <row r="9821" spans="18:19" x14ac:dyDescent="0.25">
      <c r="R9821" s="13">
        <v>9748</v>
      </c>
      <c r="S9821" s="13">
        <v>0</v>
      </c>
    </row>
    <row r="9822" spans="18:19" x14ac:dyDescent="0.25">
      <c r="R9822" s="13">
        <v>9749</v>
      </c>
      <c r="S9822" s="13">
        <v>640402793.35329819</v>
      </c>
    </row>
    <row r="9823" spans="18:19" x14ac:dyDescent="0.25">
      <c r="R9823" s="13">
        <v>9750</v>
      </c>
      <c r="S9823" s="13">
        <v>0</v>
      </c>
    </row>
    <row r="9824" spans="18:19" x14ac:dyDescent="0.25">
      <c r="R9824" s="13">
        <v>9751</v>
      </c>
      <c r="S9824" s="13">
        <v>0</v>
      </c>
    </row>
    <row r="9825" spans="18:19" x14ac:dyDescent="0.25">
      <c r="R9825" s="13">
        <v>9752</v>
      </c>
      <c r="S9825" s="13">
        <v>0</v>
      </c>
    </row>
    <row r="9826" spans="18:19" x14ac:dyDescent="0.25">
      <c r="R9826" s="13">
        <v>9753</v>
      </c>
      <c r="S9826" s="13">
        <v>181533294.13764763</v>
      </c>
    </row>
    <row r="9827" spans="18:19" x14ac:dyDescent="0.25">
      <c r="R9827" s="13">
        <v>9754</v>
      </c>
      <c r="S9827" s="13">
        <v>0</v>
      </c>
    </row>
    <row r="9828" spans="18:19" x14ac:dyDescent="0.25">
      <c r="R9828" s="13">
        <v>9755</v>
      </c>
      <c r="S9828" s="13">
        <v>957806477.18622589</v>
      </c>
    </row>
    <row r="9829" spans="18:19" x14ac:dyDescent="0.25">
      <c r="R9829" s="13">
        <v>9756</v>
      </c>
      <c r="S9829" s="13">
        <v>0</v>
      </c>
    </row>
    <row r="9830" spans="18:19" x14ac:dyDescent="0.25">
      <c r="R9830" s="13">
        <v>9757</v>
      </c>
      <c r="S9830" s="13">
        <v>0</v>
      </c>
    </row>
    <row r="9831" spans="18:19" x14ac:dyDescent="0.25">
      <c r="R9831" s="13">
        <v>9758</v>
      </c>
      <c r="S9831" s="13">
        <v>706316091.56196785</v>
      </c>
    </row>
    <row r="9832" spans="18:19" x14ac:dyDescent="0.25">
      <c r="R9832" s="13">
        <v>9759</v>
      </c>
      <c r="S9832" s="13">
        <v>0</v>
      </c>
    </row>
    <row r="9833" spans="18:19" x14ac:dyDescent="0.25">
      <c r="R9833" s="13">
        <v>9760</v>
      </c>
      <c r="S9833" s="13">
        <v>0</v>
      </c>
    </row>
    <row r="9834" spans="18:19" x14ac:dyDescent="0.25">
      <c r="R9834" s="13">
        <v>9761</v>
      </c>
      <c r="S9834" s="13">
        <v>642271852.32657623</v>
      </c>
    </row>
    <row r="9835" spans="18:19" x14ac:dyDescent="0.25">
      <c r="R9835" s="13">
        <v>9762</v>
      </c>
      <c r="S9835" s="13">
        <v>0</v>
      </c>
    </row>
    <row r="9836" spans="18:19" x14ac:dyDescent="0.25">
      <c r="R9836" s="13">
        <v>9763</v>
      </c>
      <c r="S9836" s="13">
        <v>71280470.527708054</v>
      </c>
    </row>
    <row r="9837" spans="18:19" x14ac:dyDescent="0.25">
      <c r="R9837" s="13">
        <v>9764</v>
      </c>
      <c r="S9837" s="13">
        <v>0</v>
      </c>
    </row>
    <row r="9838" spans="18:19" x14ac:dyDescent="0.25">
      <c r="R9838" s="13">
        <v>9765</v>
      </c>
      <c r="S9838" s="13">
        <v>148709946.80846405</v>
      </c>
    </row>
    <row r="9839" spans="18:19" x14ac:dyDescent="0.25">
      <c r="R9839" s="13">
        <v>9766</v>
      </c>
      <c r="S9839" s="13">
        <v>40296955.410205841</v>
      </c>
    </row>
    <row r="9840" spans="18:19" x14ac:dyDescent="0.25">
      <c r="R9840" s="13">
        <v>9767</v>
      </c>
      <c r="S9840" s="13">
        <v>0</v>
      </c>
    </row>
    <row r="9841" spans="18:19" x14ac:dyDescent="0.25">
      <c r="R9841" s="13">
        <v>9768</v>
      </c>
      <c r="S9841" s="13">
        <v>0</v>
      </c>
    </row>
    <row r="9842" spans="18:19" x14ac:dyDescent="0.25">
      <c r="R9842" s="13">
        <v>9769</v>
      </c>
      <c r="S9842" s="13">
        <v>0</v>
      </c>
    </row>
    <row r="9843" spans="18:19" x14ac:dyDescent="0.25">
      <c r="R9843" s="13">
        <v>9770</v>
      </c>
      <c r="S9843" s="13">
        <v>0</v>
      </c>
    </row>
    <row r="9844" spans="18:19" x14ac:dyDescent="0.25">
      <c r="R9844" s="13">
        <v>9771</v>
      </c>
      <c r="S9844" s="13">
        <v>0</v>
      </c>
    </row>
    <row r="9845" spans="18:19" x14ac:dyDescent="0.25">
      <c r="R9845" s="13">
        <v>9772</v>
      </c>
      <c r="S9845" s="13">
        <v>0</v>
      </c>
    </row>
    <row r="9846" spans="18:19" x14ac:dyDescent="0.25">
      <c r="R9846" s="13">
        <v>9773</v>
      </c>
      <c r="S9846" s="13">
        <v>0</v>
      </c>
    </row>
    <row r="9847" spans="18:19" x14ac:dyDescent="0.25">
      <c r="R9847" s="13">
        <v>9774</v>
      </c>
      <c r="S9847" s="13">
        <v>8018791.265253067</v>
      </c>
    </row>
    <row r="9848" spans="18:19" x14ac:dyDescent="0.25">
      <c r="R9848" s="13">
        <v>9775</v>
      </c>
      <c r="S9848" s="13">
        <v>0</v>
      </c>
    </row>
    <row r="9849" spans="18:19" x14ac:dyDescent="0.25">
      <c r="R9849" s="13">
        <v>9776</v>
      </c>
      <c r="S9849" s="13">
        <v>0</v>
      </c>
    </row>
    <row r="9850" spans="18:19" x14ac:dyDescent="0.25">
      <c r="R9850" s="13">
        <v>9777</v>
      </c>
      <c r="S9850" s="13">
        <v>0</v>
      </c>
    </row>
    <row r="9851" spans="18:19" x14ac:dyDescent="0.25">
      <c r="R9851" s="13">
        <v>9778</v>
      </c>
      <c r="S9851" s="13">
        <v>0</v>
      </c>
    </row>
    <row r="9852" spans="18:19" x14ac:dyDescent="0.25">
      <c r="R9852" s="13">
        <v>9779</v>
      </c>
      <c r="S9852" s="13">
        <v>0</v>
      </c>
    </row>
    <row r="9853" spans="18:19" x14ac:dyDescent="0.25">
      <c r="R9853" s="13">
        <v>9780</v>
      </c>
      <c r="S9853" s="13">
        <v>0</v>
      </c>
    </row>
    <row r="9854" spans="18:19" x14ac:dyDescent="0.25">
      <c r="R9854" s="13">
        <v>9781</v>
      </c>
      <c r="S9854" s="13">
        <v>0</v>
      </c>
    </row>
    <row r="9855" spans="18:19" x14ac:dyDescent="0.25">
      <c r="R9855" s="13">
        <v>9782</v>
      </c>
      <c r="S9855" s="13">
        <v>0</v>
      </c>
    </row>
    <row r="9856" spans="18:19" x14ac:dyDescent="0.25">
      <c r="R9856" s="13">
        <v>9783</v>
      </c>
      <c r="S9856" s="13">
        <v>0</v>
      </c>
    </row>
    <row r="9857" spans="18:19" x14ac:dyDescent="0.25">
      <c r="R9857" s="13">
        <v>9784</v>
      </c>
      <c r="S9857" s="13">
        <v>0</v>
      </c>
    </row>
    <row r="9858" spans="18:19" x14ac:dyDescent="0.25">
      <c r="R9858" s="13">
        <v>9785</v>
      </c>
      <c r="S9858" s="13">
        <v>0</v>
      </c>
    </row>
    <row r="9859" spans="18:19" x14ac:dyDescent="0.25">
      <c r="R9859" s="13">
        <v>9786</v>
      </c>
      <c r="S9859" s="13">
        <v>0</v>
      </c>
    </row>
    <row r="9860" spans="18:19" x14ac:dyDescent="0.25">
      <c r="R9860" s="13">
        <v>9787</v>
      </c>
      <c r="S9860" s="13">
        <v>19330196.294128418</v>
      </c>
    </row>
    <row r="9861" spans="18:19" x14ac:dyDescent="0.25">
      <c r="R9861" s="13">
        <v>9788</v>
      </c>
      <c r="S9861" s="13">
        <v>46866367.302654266</v>
      </c>
    </row>
    <row r="9862" spans="18:19" x14ac:dyDescent="0.25">
      <c r="R9862" s="13">
        <v>9789</v>
      </c>
      <c r="S9862" s="13">
        <v>0</v>
      </c>
    </row>
    <row r="9863" spans="18:19" x14ac:dyDescent="0.25">
      <c r="R9863" s="13">
        <v>9790</v>
      </c>
      <c r="S9863" s="13">
        <v>0</v>
      </c>
    </row>
    <row r="9864" spans="18:19" x14ac:dyDescent="0.25">
      <c r="R9864" s="13">
        <v>9791</v>
      </c>
      <c r="S9864" s="13">
        <v>0</v>
      </c>
    </row>
    <row r="9865" spans="18:19" x14ac:dyDescent="0.25">
      <c r="R9865" s="13">
        <v>9792</v>
      </c>
      <c r="S9865" s="13">
        <v>0</v>
      </c>
    </row>
    <row r="9866" spans="18:19" x14ac:dyDescent="0.25">
      <c r="R9866" s="13">
        <v>9793</v>
      </c>
      <c r="S9866" s="13">
        <v>0</v>
      </c>
    </row>
    <row r="9867" spans="18:19" x14ac:dyDescent="0.25">
      <c r="R9867" s="13">
        <v>9794</v>
      </c>
      <c r="S9867" s="13">
        <v>418798426.26741409</v>
      </c>
    </row>
    <row r="9868" spans="18:19" x14ac:dyDescent="0.25">
      <c r="R9868" s="13">
        <v>9795</v>
      </c>
      <c r="S9868" s="13">
        <v>0</v>
      </c>
    </row>
    <row r="9869" spans="18:19" x14ac:dyDescent="0.25">
      <c r="R9869" s="13">
        <v>9796</v>
      </c>
      <c r="S9869" s="13">
        <v>0</v>
      </c>
    </row>
    <row r="9870" spans="18:19" x14ac:dyDescent="0.25">
      <c r="R9870" s="13">
        <v>9797</v>
      </c>
      <c r="S9870" s="13">
        <v>0</v>
      </c>
    </row>
    <row r="9871" spans="18:19" x14ac:dyDescent="0.25">
      <c r="R9871" s="13">
        <v>9798</v>
      </c>
      <c r="S9871" s="13">
        <v>497185266.29529381</v>
      </c>
    </row>
    <row r="9872" spans="18:19" x14ac:dyDescent="0.25">
      <c r="R9872" s="13">
        <v>9799</v>
      </c>
      <c r="S9872" s="13">
        <v>0</v>
      </c>
    </row>
    <row r="9873" spans="18:19" x14ac:dyDescent="0.25">
      <c r="R9873" s="13">
        <v>9800</v>
      </c>
      <c r="S9873" s="13">
        <v>649896912.50443459</v>
      </c>
    </row>
    <row r="9874" spans="18:19" x14ac:dyDescent="0.25">
      <c r="R9874" s="13">
        <v>9801</v>
      </c>
      <c r="S9874" s="13">
        <v>0</v>
      </c>
    </row>
    <row r="9875" spans="18:19" x14ac:dyDescent="0.25">
      <c r="R9875" s="13">
        <v>9802</v>
      </c>
      <c r="S9875" s="13">
        <v>714808318.94566154</v>
      </c>
    </row>
    <row r="9876" spans="18:19" x14ac:dyDescent="0.25">
      <c r="R9876" s="13">
        <v>9803</v>
      </c>
      <c r="S9876" s="13">
        <v>340918677.31476593</v>
      </c>
    </row>
    <row r="9877" spans="18:19" x14ac:dyDescent="0.25">
      <c r="R9877" s="13">
        <v>9804</v>
      </c>
      <c r="S9877" s="13">
        <v>0</v>
      </c>
    </row>
    <row r="9878" spans="18:19" x14ac:dyDescent="0.25">
      <c r="R9878" s="13">
        <v>9805</v>
      </c>
      <c r="S9878" s="13">
        <v>0</v>
      </c>
    </row>
    <row r="9879" spans="18:19" x14ac:dyDescent="0.25">
      <c r="R9879" s="13">
        <v>9806</v>
      </c>
      <c r="S9879" s="13">
        <v>0</v>
      </c>
    </row>
    <row r="9880" spans="18:19" x14ac:dyDescent="0.25">
      <c r="R9880" s="13">
        <v>9807</v>
      </c>
      <c r="S9880" s="13">
        <v>0</v>
      </c>
    </row>
    <row r="9881" spans="18:19" x14ac:dyDescent="0.25">
      <c r="R9881" s="13">
        <v>9808</v>
      </c>
      <c r="S9881" s="13">
        <v>0</v>
      </c>
    </row>
    <row r="9882" spans="18:19" x14ac:dyDescent="0.25">
      <c r="R9882" s="13">
        <v>9809</v>
      </c>
      <c r="S9882" s="13">
        <v>0</v>
      </c>
    </row>
    <row r="9883" spans="18:19" x14ac:dyDescent="0.25">
      <c r="R9883" s="13">
        <v>9810</v>
      </c>
      <c r="S9883" s="13">
        <v>0</v>
      </c>
    </row>
    <row r="9884" spans="18:19" x14ac:dyDescent="0.25">
      <c r="R9884" s="13">
        <v>9811</v>
      </c>
      <c r="S9884" s="13">
        <v>0</v>
      </c>
    </row>
    <row r="9885" spans="18:19" x14ac:dyDescent="0.25">
      <c r="R9885" s="13">
        <v>9812</v>
      </c>
      <c r="S9885" s="13">
        <v>0</v>
      </c>
    </row>
    <row r="9886" spans="18:19" x14ac:dyDescent="0.25">
      <c r="R9886" s="13">
        <v>9813</v>
      </c>
      <c r="S9886" s="13">
        <v>0</v>
      </c>
    </row>
    <row r="9887" spans="18:19" x14ac:dyDescent="0.25">
      <c r="R9887" s="13">
        <v>9814</v>
      </c>
      <c r="S9887" s="13">
        <v>0</v>
      </c>
    </row>
    <row r="9888" spans="18:19" x14ac:dyDescent="0.25">
      <c r="R9888" s="13">
        <v>9815</v>
      </c>
      <c r="S9888" s="13">
        <v>0</v>
      </c>
    </row>
    <row r="9889" spans="18:19" x14ac:dyDescent="0.25">
      <c r="R9889" s="13">
        <v>9816</v>
      </c>
      <c r="S9889" s="13">
        <v>2692339.812713623</v>
      </c>
    </row>
    <row r="9890" spans="18:19" x14ac:dyDescent="0.25">
      <c r="R9890" s="13">
        <v>9817</v>
      </c>
      <c r="S9890" s="13">
        <v>0</v>
      </c>
    </row>
    <row r="9891" spans="18:19" x14ac:dyDescent="0.25">
      <c r="R9891" s="13">
        <v>9818</v>
      </c>
      <c r="S9891" s="13">
        <v>0</v>
      </c>
    </row>
    <row r="9892" spans="18:19" x14ac:dyDescent="0.25">
      <c r="R9892" s="13">
        <v>9819</v>
      </c>
      <c r="S9892" s="13">
        <v>0</v>
      </c>
    </row>
    <row r="9893" spans="18:19" x14ac:dyDescent="0.25">
      <c r="R9893" s="13">
        <v>9820</v>
      </c>
      <c r="S9893" s="13">
        <v>380645495.61866188</v>
      </c>
    </row>
    <row r="9894" spans="18:19" x14ac:dyDescent="0.25">
      <c r="R9894" s="13">
        <v>9821</v>
      </c>
      <c r="S9894" s="13">
        <v>0</v>
      </c>
    </row>
    <row r="9895" spans="18:19" x14ac:dyDescent="0.25">
      <c r="R9895" s="13">
        <v>9822</v>
      </c>
      <c r="S9895" s="13">
        <v>0</v>
      </c>
    </row>
    <row r="9896" spans="18:19" x14ac:dyDescent="0.25">
      <c r="R9896" s="13">
        <v>9823</v>
      </c>
      <c r="S9896" s="13">
        <v>0</v>
      </c>
    </row>
    <row r="9897" spans="18:19" x14ac:dyDescent="0.25">
      <c r="R9897" s="13">
        <v>9824</v>
      </c>
      <c r="S9897" s="13">
        <v>0</v>
      </c>
    </row>
    <row r="9898" spans="18:19" x14ac:dyDescent="0.25">
      <c r="R9898" s="13">
        <v>9825</v>
      </c>
      <c r="S9898" s="13">
        <v>0</v>
      </c>
    </row>
    <row r="9899" spans="18:19" x14ac:dyDescent="0.25">
      <c r="R9899" s="13">
        <v>9826</v>
      </c>
      <c r="S9899" s="13">
        <v>117706501.9728775</v>
      </c>
    </row>
    <row r="9900" spans="18:19" x14ac:dyDescent="0.25">
      <c r="R9900" s="13">
        <v>9827</v>
      </c>
      <c r="S9900" s="13">
        <v>264239457.69741821</v>
      </c>
    </row>
    <row r="9901" spans="18:19" x14ac:dyDescent="0.25">
      <c r="R9901" s="13">
        <v>9828</v>
      </c>
      <c r="S9901" s="13">
        <v>0</v>
      </c>
    </row>
    <row r="9902" spans="18:19" x14ac:dyDescent="0.25">
      <c r="R9902" s="13">
        <v>9829</v>
      </c>
      <c r="S9902" s="13">
        <v>0</v>
      </c>
    </row>
    <row r="9903" spans="18:19" x14ac:dyDescent="0.25">
      <c r="R9903" s="13">
        <v>9830</v>
      </c>
      <c r="S9903" s="13">
        <v>0</v>
      </c>
    </row>
    <row r="9904" spans="18:19" x14ac:dyDescent="0.25">
      <c r="R9904" s="13">
        <v>9831</v>
      </c>
      <c r="S9904" s="13">
        <v>0</v>
      </c>
    </row>
    <row r="9905" spans="18:19" x14ac:dyDescent="0.25">
      <c r="R9905" s="13">
        <v>9832</v>
      </c>
      <c r="S9905" s="13">
        <v>0</v>
      </c>
    </row>
    <row r="9906" spans="18:19" x14ac:dyDescent="0.25">
      <c r="R9906" s="13">
        <v>9833</v>
      </c>
      <c r="S9906" s="13">
        <v>0</v>
      </c>
    </row>
    <row r="9907" spans="18:19" x14ac:dyDescent="0.25">
      <c r="R9907" s="13">
        <v>9834</v>
      </c>
      <c r="S9907" s="13">
        <v>90551325.576709747</v>
      </c>
    </row>
    <row r="9908" spans="18:19" x14ac:dyDescent="0.25">
      <c r="R9908" s="13">
        <v>9835</v>
      </c>
      <c r="S9908" s="13">
        <v>917338479.84325027</v>
      </c>
    </row>
    <row r="9909" spans="18:19" x14ac:dyDescent="0.25">
      <c r="R9909" s="13">
        <v>9836</v>
      </c>
      <c r="S9909" s="13">
        <v>0</v>
      </c>
    </row>
    <row r="9910" spans="18:19" x14ac:dyDescent="0.25">
      <c r="R9910" s="13">
        <v>9837</v>
      </c>
      <c r="S9910" s="13">
        <v>0</v>
      </c>
    </row>
    <row r="9911" spans="18:19" x14ac:dyDescent="0.25">
      <c r="R9911" s="13">
        <v>9838</v>
      </c>
      <c r="S9911" s="13">
        <v>0</v>
      </c>
    </row>
    <row r="9912" spans="18:19" x14ac:dyDescent="0.25">
      <c r="R9912" s="13">
        <v>9839</v>
      </c>
      <c r="S9912" s="13">
        <v>0</v>
      </c>
    </row>
    <row r="9913" spans="18:19" x14ac:dyDescent="0.25">
      <c r="R9913" s="13">
        <v>9840</v>
      </c>
      <c r="S9913" s="13">
        <v>0</v>
      </c>
    </row>
    <row r="9914" spans="18:19" x14ac:dyDescent="0.25">
      <c r="R9914" s="13">
        <v>9841</v>
      </c>
      <c r="S9914" s="13">
        <v>0</v>
      </c>
    </row>
    <row r="9915" spans="18:19" x14ac:dyDescent="0.25">
      <c r="R9915" s="13">
        <v>9842</v>
      </c>
      <c r="S9915" s="13">
        <v>0</v>
      </c>
    </row>
    <row r="9916" spans="18:19" x14ac:dyDescent="0.25">
      <c r="R9916" s="13">
        <v>9843</v>
      </c>
      <c r="S9916" s="13">
        <v>1178839128.380888</v>
      </c>
    </row>
    <row r="9917" spans="18:19" x14ac:dyDescent="0.25">
      <c r="R9917" s="13">
        <v>9844</v>
      </c>
      <c r="S9917" s="13">
        <v>0</v>
      </c>
    </row>
    <row r="9918" spans="18:19" x14ac:dyDescent="0.25">
      <c r="R9918" s="13">
        <v>9845</v>
      </c>
      <c r="S9918" s="13">
        <v>0</v>
      </c>
    </row>
    <row r="9919" spans="18:19" x14ac:dyDescent="0.25">
      <c r="R9919" s="13">
        <v>9846</v>
      </c>
      <c r="S9919" s="13">
        <v>0</v>
      </c>
    </row>
    <row r="9920" spans="18:19" x14ac:dyDescent="0.25">
      <c r="R9920" s="13">
        <v>9847</v>
      </c>
      <c r="S9920" s="13">
        <v>0</v>
      </c>
    </row>
    <row r="9921" spans="18:19" x14ac:dyDescent="0.25">
      <c r="R9921" s="13">
        <v>9848</v>
      </c>
      <c r="S9921" s="13">
        <v>0</v>
      </c>
    </row>
    <row r="9922" spans="18:19" x14ac:dyDescent="0.25">
      <c r="R9922" s="13">
        <v>9849</v>
      </c>
      <c r="S9922" s="13">
        <v>0</v>
      </c>
    </row>
    <row r="9923" spans="18:19" x14ac:dyDescent="0.25">
      <c r="R9923" s="13">
        <v>9850</v>
      </c>
      <c r="S9923" s="13">
        <v>0</v>
      </c>
    </row>
    <row r="9924" spans="18:19" x14ac:dyDescent="0.25">
      <c r="R9924" s="13">
        <v>9851</v>
      </c>
      <c r="S9924" s="13">
        <v>0</v>
      </c>
    </row>
    <row r="9925" spans="18:19" x14ac:dyDescent="0.25">
      <c r="R9925" s="13">
        <v>9852</v>
      </c>
      <c r="S9925" s="13">
        <v>349018999.17151642</v>
      </c>
    </row>
    <row r="9926" spans="18:19" x14ac:dyDescent="0.25">
      <c r="R9926" s="13">
        <v>9853</v>
      </c>
      <c r="S9926" s="13">
        <v>520591354.9810524</v>
      </c>
    </row>
    <row r="9927" spans="18:19" x14ac:dyDescent="0.25">
      <c r="R9927" s="13">
        <v>9854</v>
      </c>
      <c r="S9927" s="13">
        <v>48632159.494121552</v>
      </c>
    </row>
    <row r="9928" spans="18:19" x14ac:dyDescent="0.25">
      <c r="R9928" s="13">
        <v>9855</v>
      </c>
      <c r="S9928" s="13">
        <v>172588602.19384575</v>
      </c>
    </row>
    <row r="9929" spans="18:19" x14ac:dyDescent="0.25">
      <c r="R9929" s="13">
        <v>9856</v>
      </c>
      <c r="S9929" s="13">
        <v>0</v>
      </c>
    </row>
    <row r="9930" spans="18:19" x14ac:dyDescent="0.25">
      <c r="R9930" s="13">
        <v>9857</v>
      </c>
      <c r="S9930" s="13">
        <v>1278445743.1105461</v>
      </c>
    </row>
    <row r="9931" spans="18:19" x14ac:dyDescent="0.25">
      <c r="R9931" s="13">
        <v>9858</v>
      </c>
      <c r="S9931" s="13">
        <v>0</v>
      </c>
    </row>
    <row r="9932" spans="18:19" x14ac:dyDescent="0.25">
      <c r="R9932" s="13">
        <v>9859</v>
      </c>
      <c r="S9932" s="13">
        <v>0</v>
      </c>
    </row>
    <row r="9933" spans="18:19" x14ac:dyDescent="0.25">
      <c r="R9933" s="13">
        <v>9860</v>
      </c>
      <c r="S9933" s="13">
        <v>0</v>
      </c>
    </row>
    <row r="9934" spans="18:19" x14ac:dyDescent="0.25">
      <c r="R9934" s="13">
        <v>9861</v>
      </c>
      <c r="S9934" s="13">
        <v>0</v>
      </c>
    </row>
    <row r="9935" spans="18:19" x14ac:dyDescent="0.25">
      <c r="R9935" s="13">
        <v>9862</v>
      </c>
      <c r="S9935" s="13">
        <v>0</v>
      </c>
    </row>
    <row r="9936" spans="18:19" x14ac:dyDescent="0.25">
      <c r="R9936" s="13">
        <v>9863</v>
      </c>
      <c r="S9936" s="13">
        <v>0</v>
      </c>
    </row>
    <row r="9937" spans="18:19" x14ac:dyDescent="0.25">
      <c r="R9937" s="13">
        <v>9864</v>
      </c>
      <c r="S9937" s="13">
        <v>0</v>
      </c>
    </row>
    <row r="9938" spans="18:19" x14ac:dyDescent="0.25">
      <c r="R9938" s="13">
        <v>9865</v>
      </c>
      <c r="S9938" s="13">
        <v>0</v>
      </c>
    </row>
    <row r="9939" spans="18:19" x14ac:dyDescent="0.25">
      <c r="R9939" s="13">
        <v>9866</v>
      </c>
      <c r="S9939" s="13">
        <v>0</v>
      </c>
    </row>
    <row r="9940" spans="18:19" x14ac:dyDescent="0.25">
      <c r="R9940" s="13">
        <v>9867</v>
      </c>
      <c r="S9940" s="13">
        <v>0</v>
      </c>
    </row>
    <row r="9941" spans="18:19" x14ac:dyDescent="0.25">
      <c r="R9941" s="13">
        <v>9868</v>
      </c>
      <c r="S9941" s="13">
        <v>0</v>
      </c>
    </row>
    <row r="9942" spans="18:19" x14ac:dyDescent="0.25">
      <c r="R9942" s="13">
        <v>9869</v>
      </c>
      <c r="S9942" s="13">
        <v>0</v>
      </c>
    </row>
    <row r="9943" spans="18:19" x14ac:dyDescent="0.25">
      <c r="R9943" s="13">
        <v>9870</v>
      </c>
      <c r="S9943" s="13">
        <v>0</v>
      </c>
    </row>
    <row r="9944" spans="18:19" x14ac:dyDescent="0.25">
      <c r="R9944" s="13">
        <v>9871</v>
      </c>
      <c r="S9944" s="13">
        <v>1345147603.4306927</v>
      </c>
    </row>
    <row r="9945" spans="18:19" x14ac:dyDescent="0.25">
      <c r="R9945" s="13">
        <v>9872</v>
      </c>
      <c r="S9945" s="13">
        <v>0</v>
      </c>
    </row>
    <row r="9946" spans="18:19" x14ac:dyDescent="0.25">
      <c r="R9946" s="13">
        <v>9873</v>
      </c>
      <c r="S9946" s="13">
        <v>0</v>
      </c>
    </row>
    <row r="9947" spans="18:19" x14ac:dyDescent="0.25">
      <c r="R9947" s="13">
        <v>9874</v>
      </c>
      <c r="S9947" s="13">
        <v>0</v>
      </c>
    </row>
    <row r="9948" spans="18:19" x14ac:dyDescent="0.25">
      <c r="R9948" s="13">
        <v>9875</v>
      </c>
      <c r="S9948" s="13">
        <v>0</v>
      </c>
    </row>
    <row r="9949" spans="18:19" x14ac:dyDescent="0.25">
      <c r="R9949" s="13">
        <v>9876</v>
      </c>
      <c r="S9949" s="13">
        <v>419642547.17660904</v>
      </c>
    </row>
    <row r="9950" spans="18:19" x14ac:dyDescent="0.25">
      <c r="R9950" s="13">
        <v>9877</v>
      </c>
      <c r="S9950" s="13">
        <v>0</v>
      </c>
    </row>
    <row r="9951" spans="18:19" x14ac:dyDescent="0.25">
      <c r="R9951" s="13">
        <v>9878</v>
      </c>
      <c r="S9951" s="13">
        <v>0</v>
      </c>
    </row>
    <row r="9952" spans="18:19" x14ac:dyDescent="0.25">
      <c r="R9952" s="13">
        <v>9879</v>
      </c>
      <c r="S9952" s="13">
        <v>0</v>
      </c>
    </row>
    <row r="9953" spans="18:19" x14ac:dyDescent="0.25">
      <c r="R9953" s="13">
        <v>9880</v>
      </c>
      <c r="S9953" s="13">
        <v>0</v>
      </c>
    </row>
    <row r="9954" spans="18:19" x14ac:dyDescent="0.25">
      <c r="R9954" s="13">
        <v>9881</v>
      </c>
      <c r="S9954" s="13">
        <v>839019903.4416275</v>
      </c>
    </row>
    <row r="9955" spans="18:19" x14ac:dyDescent="0.25">
      <c r="R9955" s="13">
        <v>9882</v>
      </c>
      <c r="S9955" s="13">
        <v>0</v>
      </c>
    </row>
    <row r="9956" spans="18:19" x14ac:dyDescent="0.25">
      <c r="R9956" s="13">
        <v>9883</v>
      </c>
      <c r="S9956" s="13">
        <v>0</v>
      </c>
    </row>
    <row r="9957" spans="18:19" x14ac:dyDescent="0.25">
      <c r="R9957" s="13">
        <v>9884</v>
      </c>
      <c r="S9957" s="13">
        <v>28068472.867181778</v>
      </c>
    </row>
    <row r="9958" spans="18:19" x14ac:dyDescent="0.25">
      <c r="R9958" s="13">
        <v>9885</v>
      </c>
      <c r="S9958" s="13">
        <v>125170390.99259949</v>
      </c>
    </row>
    <row r="9959" spans="18:19" x14ac:dyDescent="0.25">
      <c r="R9959" s="13">
        <v>9886</v>
      </c>
      <c r="S9959" s="13">
        <v>0</v>
      </c>
    </row>
    <row r="9960" spans="18:19" x14ac:dyDescent="0.25">
      <c r="R9960" s="13">
        <v>9887</v>
      </c>
      <c r="S9960" s="13">
        <v>0</v>
      </c>
    </row>
    <row r="9961" spans="18:19" x14ac:dyDescent="0.25">
      <c r="R9961" s="13">
        <v>9888</v>
      </c>
      <c r="S9961" s="13">
        <v>0</v>
      </c>
    </row>
    <row r="9962" spans="18:19" x14ac:dyDescent="0.25">
      <c r="R9962" s="13">
        <v>9889</v>
      </c>
      <c r="S9962" s="13">
        <v>294520265.83276558</v>
      </c>
    </row>
    <row r="9963" spans="18:19" x14ac:dyDescent="0.25">
      <c r="R9963" s="13">
        <v>9890</v>
      </c>
      <c r="S9963" s="13">
        <v>0</v>
      </c>
    </row>
    <row r="9964" spans="18:19" x14ac:dyDescent="0.25">
      <c r="R9964" s="13">
        <v>9891</v>
      </c>
      <c r="S9964" s="13">
        <v>0</v>
      </c>
    </row>
    <row r="9965" spans="18:19" x14ac:dyDescent="0.25">
      <c r="R9965" s="13">
        <v>9892</v>
      </c>
      <c r="S9965" s="13">
        <v>0</v>
      </c>
    </row>
    <row r="9966" spans="18:19" x14ac:dyDescent="0.25">
      <c r="R9966" s="13">
        <v>9893</v>
      </c>
      <c r="S9966" s="13">
        <v>0</v>
      </c>
    </row>
    <row r="9967" spans="18:19" x14ac:dyDescent="0.25">
      <c r="R9967" s="13">
        <v>9894</v>
      </c>
      <c r="S9967" s="13">
        <v>0</v>
      </c>
    </row>
    <row r="9968" spans="18:19" x14ac:dyDescent="0.25">
      <c r="R9968" s="13">
        <v>9895</v>
      </c>
      <c r="S9968" s="13">
        <v>0</v>
      </c>
    </row>
    <row r="9969" spans="18:19" x14ac:dyDescent="0.25">
      <c r="R9969" s="13">
        <v>9896</v>
      </c>
      <c r="S9969" s="13">
        <v>0</v>
      </c>
    </row>
    <row r="9970" spans="18:19" x14ac:dyDescent="0.25">
      <c r="R9970" s="13">
        <v>9897</v>
      </c>
      <c r="S9970" s="13">
        <v>0</v>
      </c>
    </row>
    <row r="9971" spans="18:19" x14ac:dyDescent="0.25">
      <c r="R9971" s="13">
        <v>9898</v>
      </c>
      <c r="S9971" s="13">
        <v>0</v>
      </c>
    </row>
    <row r="9972" spans="18:19" x14ac:dyDescent="0.25">
      <c r="R9972" s="13">
        <v>9899</v>
      </c>
      <c r="S9972" s="13">
        <v>0</v>
      </c>
    </row>
    <row r="9973" spans="18:19" x14ac:dyDescent="0.25">
      <c r="R9973" s="13">
        <v>9900</v>
      </c>
      <c r="S9973" s="13">
        <v>196786561.51206207</v>
      </c>
    </row>
    <row r="9974" spans="18:19" x14ac:dyDescent="0.25">
      <c r="R9974" s="13">
        <v>9901</v>
      </c>
      <c r="S9974" s="13">
        <v>0</v>
      </c>
    </row>
    <row r="9975" spans="18:19" x14ac:dyDescent="0.25">
      <c r="R9975" s="13">
        <v>9902</v>
      </c>
      <c r="S9975" s="13">
        <v>0</v>
      </c>
    </row>
    <row r="9976" spans="18:19" x14ac:dyDescent="0.25">
      <c r="R9976" s="13">
        <v>9903</v>
      </c>
      <c r="S9976" s="13">
        <v>0</v>
      </c>
    </row>
    <row r="9977" spans="18:19" x14ac:dyDescent="0.25">
      <c r="R9977" s="13">
        <v>9904</v>
      </c>
      <c r="S9977" s="13">
        <v>0</v>
      </c>
    </row>
    <row r="9978" spans="18:19" x14ac:dyDescent="0.25">
      <c r="R9978" s="13">
        <v>9905</v>
      </c>
      <c r="S9978" s="13">
        <v>0</v>
      </c>
    </row>
    <row r="9979" spans="18:19" x14ac:dyDescent="0.25">
      <c r="R9979" s="13">
        <v>9906</v>
      </c>
      <c r="S9979" s="13">
        <v>0</v>
      </c>
    </row>
    <row r="9980" spans="18:19" x14ac:dyDescent="0.25">
      <c r="R9980" s="13">
        <v>9907</v>
      </c>
      <c r="S9980" s="13">
        <v>0</v>
      </c>
    </row>
    <row r="9981" spans="18:19" x14ac:dyDescent="0.25">
      <c r="R9981" s="13">
        <v>9908</v>
      </c>
      <c r="S9981" s="13">
        <v>942435425.71178818</v>
      </c>
    </row>
    <row r="9982" spans="18:19" x14ac:dyDescent="0.25">
      <c r="R9982" s="13">
        <v>9909</v>
      </c>
      <c r="S9982" s="13">
        <v>311165206.38396072</v>
      </c>
    </row>
    <row r="9983" spans="18:19" x14ac:dyDescent="0.25">
      <c r="R9983" s="13">
        <v>9910</v>
      </c>
      <c r="S9983" s="13">
        <v>0</v>
      </c>
    </row>
    <row r="9984" spans="18:19" x14ac:dyDescent="0.25">
      <c r="R9984" s="13">
        <v>9911</v>
      </c>
      <c r="S9984" s="13">
        <v>0</v>
      </c>
    </row>
    <row r="9985" spans="18:19" x14ac:dyDescent="0.25">
      <c r="R9985" s="13">
        <v>9912</v>
      </c>
      <c r="S9985" s="13">
        <v>0</v>
      </c>
    </row>
    <row r="9986" spans="18:19" x14ac:dyDescent="0.25">
      <c r="R9986" s="13">
        <v>9913</v>
      </c>
      <c r="S9986" s="13">
        <v>22954920.352508545</v>
      </c>
    </row>
    <row r="9987" spans="18:19" x14ac:dyDescent="0.25">
      <c r="R9987" s="13">
        <v>9914</v>
      </c>
      <c r="S9987" s="13">
        <v>0</v>
      </c>
    </row>
    <row r="9988" spans="18:19" x14ac:dyDescent="0.25">
      <c r="R9988" s="13">
        <v>9915</v>
      </c>
      <c r="S9988" s="13">
        <v>0</v>
      </c>
    </row>
    <row r="9989" spans="18:19" x14ac:dyDescent="0.25">
      <c r="R9989" s="13">
        <v>9916</v>
      </c>
      <c r="S9989" s="13">
        <v>0</v>
      </c>
    </row>
    <row r="9990" spans="18:19" x14ac:dyDescent="0.25">
      <c r="R9990" s="13">
        <v>9917</v>
      </c>
      <c r="S9990" s="13">
        <v>0</v>
      </c>
    </row>
    <row r="9991" spans="18:19" x14ac:dyDescent="0.25">
      <c r="R9991" s="13">
        <v>9918</v>
      </c>
      <c r="S9991" s="13">
        <v>216727987.8705349</v>
      </c>
    </row>
    <row r="9992" spans="18:19" x14ac:dyDescent="0.25">
      <c r="R9992" s="13">
        <v>9919</v>
      </c>
      <c r="S9992" s="13">
        <v>882534674.85770988</v>
      </c>
    </row>
    <row r="9993" spans="18:19" x14ac:dyDescent="0.25">
      <c r="R9993" s="13">
        <v>9920</v>
      </c>
      <c r="S9993" s="13">
        <v>0</v>
      </c>
    </row>
    <row r="9994" spans="18:19" x14ac:dyDescent="0.25">
      <c r="R9994" s="13">
        <v>9921</v>
      </c>
      <c r="S9994" s="13">
        <v>0</v>
      </c>
    </row>
    <row r="9995" spans="18:19" x14ac:dyDescent="0.25">
      <c r="R9995" s="13">
        <v>9922</v>
      </c>
      <c r="S9995" s="13">
        <v>0</v>
      </c>
    </row>
    <row r="9996" spans="18:19" x14ac:dyDescent="0.25">
      <c r="R9996" s="13">
        <v>9923</v>
      </c>
      <c r="S9996" s="13">
        <v>0</v>
      </c>
    </row>
    <row r="9997" spans="18:19" x14ac:dyDescent="0.25">
      <c r="R9997" s="13">
        <v>9924</v>
      </c>
      <c r="S9997" s="13">
        <v>0</v>
      </c>
    </row>
    <row r="9998" spans="18:19" x14ac:dyDescent="0.25">
      <c r="R9998" s="13">
        <v>9925</v>
      </c>
      <c r="S9998" s="13">
        <v>0</v>
      </c>
    </row>
    <row r="9999" spans="18:19" x14ac:dyDescent="0.25">
      <c r="R9999" s="13">
        <v>9926</v>
      </c>
      <c r="S9999" s="13">
        <v>4610256.4229564667</v>
      </c>
    </row>
    <row r="10000" spans="18:19" x14ac:dyDescent="0.25">
      <c r="R10000" s="13">
        <v>9927</v>
      </c>
      <c r="S10000" s="13">
        <v>0</v>
      </c>
    </row>
    <row r="10001" spans="18:19" x14ac:dyDescent="0.25">
      <c r="R10001" s="13">
        <v>9928</v>
      </c>
      <c r="S10001" s="13">
        <v>0</v>
      </c>
    </row>
    <row r="10002" spans="18:19" x14ac:dyDescent="0.25">
      <c r="R10002" s="13">
        <v>9929</v>
      </c>
      <c r="S10002" s="13">
        <v>13475873.852945328</v>
      </c>
    </row>
    <row r="10003" spans="18:19" x14ac:dyDescent="0.25">
      <c r="R10003" s="13">
        <v>9930</v>
      </c>
      <c r="S10003" s="13">
        <v>9830034.7986526489</v>
      </c>
    </row>
    <row r="10004" spans="18:19" x14ac:dyDescent="0.25">
      <c r="R10004" s="13">
        <v>9931</v>
      </c>
      <c r="S10004" s="13">
        <v>0</v>
      </c>
    </row>
    <row r="10005" spans="18:19" x14ac:dyDescent="0.25">
      <c r="R10005" s="13">
        <v>9932</v>
      </c>
      <c r="S10005" s="13">
        <v>0</v>
      </c>
    </row>
    <row r="10006" spans="18:19" x14ac:dyDescent="0.25">
      <c r="R10006" s="13">
        <v>9933</v>
      </c>
      <c r="S10006" s="13">
        <v>333366132.5055275</v>
      </c>
    </row>
    <row r="10007" spans="18:19" x14ac:dyDescent="0.25">
      <c r="R10007" s="13">
        <v>9934</v>
      </c>
      <c r="S10007" s="13">
        <v>24312260.058935165</v>
      </c>
    </row>
    <row r="10008" spans="18:19" x14ac:dyDescent="0.25">
      <c r="R10008" s="13">
        <v>9935</v>
      </c>
      <c r="S10008" s="13">
        <v>0</v>
      </c>
    </row>
    <row r="10009" spans="18:19" x14ac:dyDescent="0.25">
      <c r="R10009" s="13">
        <v>9936</v>
      </c>
      <c r="S10009" s="13">
        <v>0</v>
      </c>
    </row>
    <row r="10010" spans="18:19" x14ac:dyDescent="0.25">
      <c r="R10010" s="13">
        <v>9937</v>
      </c>
      <c r="S10010" s="13">
        <v>0</v>
      </c>
    </row>
    <row r="10011" spans="18:19" x14ac:dyDescent="0.25">
      <c r="R10011" s="13">
        <v>9938</v>
      </c>
      <c r="S10011" s="13">
        <v>176058078.77463531</v>
      </c>
    </row>
    <row r="10012" spans="18:19" x14ac:dyDescent="0.25">
      <c r="R10012" s="13">
        <v>9939</v>
      </c>
      <c r="S10012" s="13">
        <v>134969926.53154564</v>
      </c>
    </row>
    <row r="10013" spans="18:19" x14ac:dyDescent="0.25">
      <c r="R10013" s="13">
        <v>9940</v>
      </c>
      <c r="S10013" s="13">
        <v>0</v>
      </c>
    </row>
    <row r="10014" spans="18:19" x14ac:dyDescent="0.25">
      <c r="R10014" s="13">
        <v>9941</v>
      </c>
      <c r="S10014" s="13">
        <v>0</v>
      </c>
    </row>
    <row r="10015" spans="18:19" x14ac:dyDescent="0.25">
      <c r="R10015" s="13">
        <v>9942</v>
      </c>
      <c r="S10015" s="13">
        <v>0</v>
      </c>
    </row>
    <row r="10016" spans="18:19" x14ac:dyDescent="0.25">
      <c r="R10016" s="13">
        <v>9943</v>
      </c>
      <c r="S10016" s="13">
        <v>0</v>
      </c>
    </row>
    <row r="10017" spans="18:19" x14ac:dyDescent="0.25">
      <c r="R10017" s="13">
        <v>9944</v>
      </c>
      <c r="S10017" s="13">
        <v>392420458.40713882</v>
      </c>
    </row>
    <row r="10018" spans="18:19" x14ac:dyDescent="0.25">
      <c r="R10018" s="13">
        <v>9945</v>
      </c>
      <c r="S10018" s="13">
        <v>0</v>
      </c>
    </row>
    <row r="10019" spans="18:19" x14ac:dyDescent="0.25">
      <c r="R10019" s="13">
        <v>9946</v>
      </c>
      <c r="S10019" s="13">
        <v>215768285.72460747</v>
      </c>
    </row>
    <row r="10020" spans="18:19" x14ac:dyDescent="0.25">
      <c r="R10020" s="13">
        <v>9947</v>
      </c>
      <c r="S10020" s="13">
        <v>0</v>
      </c>
    </row>
    <row r="10021" spans="18:19" x14ac:dyDescent="0.25">
      <c r="R10021" s="13">
        <v>9948</v>
      </c>
      <c r="S10021" s="13">
        <v>0</v>
      </c>
    </row>
    <row r="10022" spans="18:19" x14ac:dyDescent="0.25">
      <c r="R10022" s="13">
        <v>9949</v>
      </c>
      <c r="S10022" s="13">
        <v>107662430.03503799</v>
      </c>
    </row>
    <row r="10023" spans="18:19" x14ac:dyDescent="0.25">
      <c r="R10023" s="13">
        <v>9950</v>
      </c>
      <c r="S10023" s="13">
        <v>0</v>
      </c>
    </row>
    <row r="10024" spans="18:19" x14ac:dyDescent="0.25">
      <c r="R10024" s="13">
        <v>9951</v>
      </c>
      <c r="S10024" s="13">
        <v>0</v>
      </c>
    </row>
    <row r="10025" spans="18:19" x14ac:dyDescent="0.25">
      <c r="R10025" s="13">
        <v>9952</v>
      </c>
      <c r="S10025" s="13">
        <v>0</v>
      </c>
    </row>
    <row r="10026" spans="18:19" x14ac:dyDescent="0.25">
      <c r="R10026" s="13">
        <v>9953</v>
      </c>
      <c r="S10026" s="13">
        <v>38900682.868028641</v>
      </c>
    </row>
    <row r="10027" spans="18:19" x14ac:dyDescent="0.25">
      <c r="R10027" s="13">
        <v>9954</v>
      </c>
      <c r="S10027" s="13">
        <v>0</v>
      </c>
    </row>
    <row r="10028" spans="18:19" x14ac:dyDescent="0.25">
      <c r="R10028" s="13">
        <v>9955</v>
      </c>
      <c r="S10028" s="13">
        <v>0</v>
      </c>
    </row>
    <row r="10029" spans="18:19" x14ac:dyDescent="0.25">
      <c r="R10029" s="13">
        <v>9956</v>
      </c>
      <c r="S10029" s="13">
        <v>0</v>
      </c>
    </row>
    <row r="10030" spans="18:19" x14ac:dyDescent="0.25">
      <c r="R10030" s="13">
        <v>9957</v>
      </c>
      <c r="S10030" s="13">
        <v>0</v>
      </c>
    </row>
    <row r="10031" spans="18:19" x14ac:dyDescent="0.25">
      <c r="R10031" s="13">
        <v>9958</v>
      </c>
      <c r="S10031" s="13">
        <v>0</v>
      </c>
    </row>
    <row r="10032" spans="18:19" x14ac:dyDescent="0.25">
      <c r="R10032" s="13">
        <v>9959</v>
      </c>
      <c r="S10032" s="13">
        <v>0</v>
      </c>
    </row>
    <row r="10033" spans="18:19" x14ac:dyDescent="0.25">
      <c r="R10033" s="13">
        <v>9960</v>
      </c>
      <c r="S10033" s="13">
        <v>980696167.07579613</v>
      </c>
    </row>
    <row r="10034" spans="18:19" x14ac:dyDescent="0.25">
      <c r="R10034" s="13">
        <v>9961</v>
      </c>
      <c r="S10034" s="13">
        <v>0</v>
      </c>
    </row>
    <row r="10035" spans="18:19" x14ac:dyDescent="0.25">
      <c r="R10035" s="13">
        <v>9962</v>
      </c>
      <c r="S10035" s="13">
        <v>0</v>
      </c>
    </row>
    <row r="10036" spans="18:19" x14ac:dyDescent="0.25">
      <c r="R10036" s="13">
        <v>9963</v>
      </c>
      <c r="S10036" s="13">
        <v>0</v>
      </c>
    </row>
    <row r="10037" spans="18:19" x14ac:dyDescent="0.25">
      <c r="R10037" s="13">
        <v>9964</v>
      </c>
      <c r="S10037" s="13">
        <v>0</v>
      </c>
    </row>
    <row r="10038" spans="18:19" x14ac:dyDescent="0.25">
      <c r="R10038" s="13">
        <v>9965</v>
      </c>
      <c r="S10038" s="13">
        <v>0</v>
      </c>
    </row>
    <row r="10039" spans="18:19" x14ac:dyDescent="0.25">
      <c r="R10039" s="13">
        <v>9966</v>
      </c>
      <c r="S10039" s="13">
        <v>0</v>
      </c>
    </row>
    <row r="10040" spans="18:19" x14ac:dyDescent="0.25">
      <c r="R10040" s="13">
        <v>9967</v>
      </c>
      <c r="S10040" s="13">
        <v>0</v>
      </c>
    </row>
    <row r="10041" spans="18:19" x14ac:dyDescent="0.25">
      <c r="R10041" s="13">
        <v>9968</v>
      </c>
      <c r="S10041" s="13">
        <v>550082197.54265785</v>
      </c>
    </row>
    <row r="10042" spans="18:19" x14ac:dyDescent="0.25">
      <c r="R10042" s="13">
        <v>9969</v>
      </c>
      <c r="S10042" s="13">
        <v>0</v>
      </c>
    </row>
    <row r="10043" spans="18:19" x14ac:dyDescent="0.25">
      <c r="R10043" s="13">
        <v>9970</v>
      </c>
      <c r="S10043" s="13">
        <v>188316101.75273323</v>
      </c>
    </row>
    <row r="10044" spans="18:19" x14ac:dyDescent="0.25">
      <c r="R10044" s="13">
        <v>9971</v>
      </c>
      <c r="S10044" s="13">
        <v>0</v>
      </c>
    </row>
    <row r="10045" spans="18:19" x14ac:dyDescent="0.25">
      <c r="R10045" s="13">
        <v>9972</v>
      </c>
      <c r="S10045" s="13">
        <v>0</v>
      </c>
    </row>
    <row r="10046" spans="18:19" x14ac:dyDescent="0.25">
      <c r="R10046" s="13">
        <v>9973</v>
      </c>
      <c r="S10046" s="13">
        <v>0</v>
      </c>
    </row>
    <row r="10047" spans="18:19" x14ac:dyDescent="0.25">
      <c r="R10047" s="13">
        <v>9974</v>
      </c>
      <c r="S10047" s="13">
        <v>1003047814.4222374</v>
      </c>
    </row>
    <row r="10048" spans="18:19" x14ac:dyDescent="0.25">
      <c r="R10048" s="13">
        <v>9975</v>
      </c>
      <c r="S10048" s="13">
        <v>0</v>
      </c>
    </row>
    <row r="10049" spans="18:19" x14ac:dyDescent="0.25">
      <c r="R10049" s="13">
        <v>9976</v>
      </c>
      <c r="S10049" s="13">
        <v>0</v>
      </c>
    </row>
    <row r="10050" spans="18:19" x14ac:dyDescent="0.25">
      <c r="R10050" s="13">
        <v>9977</v>
      </c>
      <c r="S10050" s="13">
        <v>0</v>
      </c>
    </row>
    <row r="10051" spans="18:19" x14ac:dyDescent="0.25">
      <c r="R10051" s="13">
        <v>9978</v>
      </c>
      <c r="S10051" s="13">
        <v>0</v>
      </c>
    </row>
    <row r="10052" spans="18:19" x14ac:dyDescent="0.25">
      <c r="R10052" s="13">
        <v>9979</v>
      </c>
      <c r="S10052" s="13">
        <v>0</v>
      </c>
    </row>
    <row r="10053" spans="18:19" x14ac:dyDescent="0.25">
      <c r="R10053" s="13">
        <v>9980</v>
      </c>
      <c r="S10053" s="13">
        <v>0</v>
      </c>
    </row>
    <row r="10054" spans="18:19" x14ac:dyDescent="0.25">
      <c r="R10054" s="13">
        <v>9981</v>
      </c>
      <c r="S10054" s="13">
        <v>0</v>
      </c>
    </row>
    <row r="10055" spans="18:19" x14ac:dyDescent="0.25">
      <c r="R10055" s="13">
        <v>9982</v>
      </c>
      <c r="S10055" s="13">
        <v>0</v>
      </c>
    </row>
    <row r="10056" spans="18:19" x14ac:dyDescent="0.25">
      <c r="R10056" s="13">
        <v>9983</v>
      </c>
      <c r="S10056" s="13">
        <v>0</v>
      </c>
    </row>
    <row r="10057" spans="18:19" x14ac:dyDescent="0.25">
      <c r="R10057" s="13">
        <v>9984</v>
      </c>
      <c r="S10057" s="13">
        <v>0</v>
      </c>
    </row>
    <row r="10058" spans="18:19" x14ac:dyDescent="0.25">
      <c r="R10058" s="13">
        <v>9985</v>
      </c>
      <c r="S10058" s="13">
        <v>373171405.79991531</v>
      </c>
    </row>
    <row r="10059" spans="18:19" x14ac:dyDescent="0.25">
      <c r="R10059" s="13">
        <v>9986</v>
      </c>
      <c r="S10059" s="13">
        <v>0</v>
      </c>
    </row>
    <row r="10060" spans="18:19" x14ac:dyDescent="0.25">
      <c r="R10060" s="13">
        <v>9987</v>
      </c>
      <c r="S10060" s="13">
        <v>0</v>
      </c>
    </row>
    <row r="10061" spans="18:19" x14ac:dyDescent="0.25">
      <c r="R10061" s="13">
        <v>9988</v>
      </c>
      <c r="S10061" s="13">
        <v>0</v>
      </c>
    </row>
    <row r="10062" spans="18:19" x14ac:dyDescent="0.25">
      <c r="R10062" s="13">
        <v>9989</v>
      </c>
      <c r="S10062" s="13">
        <v>0</v>
      </c>
    </row>
    <row r="10063" spans="18:19" x14ac:dyDescent="0.25">
      <c r="R10063" s="13">
        <v>9990</v>
      </c>
      <c r="S10063" s="13">
        <v>290027069.78205681</v>
      </c>
    </row>
    <row r="10064" spans="18:19" x14ac:dyDescent="0.25">
      <c r="R10064" s="13">
        <v>9991</v>
      </c>
      <c r="S10064" s="13">
        <v>0</v>
      </c>
    </row>
    <row r="10065" spans="18:19" x14ac:dyDescent="0.25">
      <c r="R10065" s="13">
        <v>9992</v>
      </c>
      <c r="S10065" s="13">
        <v>0</v>
      </c>
    </row>
    <row r="10066" spans="18:19" x14ac:dyDescent="0.25">
      <c r="R10066" s="13">
        <v>9993</v>
      </c>
      <c r="S10066" s="13">
        <v>275207881.45275688</v>
      </c>
    </row>
    <row r="10067" spans="18:19" x14ac:dyDescent="0.25">
      <c r="R10067" s="13">
        <v>9994</v>
      </c>
      <c r="S10067" s="13">
        <v>0</v>
      </c>
    </row>
    <row r="10068" spans="18:19" x14ac:dyDescent="0.25">
      <c r="R10068" s="13">
        <v>9995</v>
      </c>
      <c r="S10068" s="13">
        <v>825684043.93294144</v>
      </c>
    </row>
    <row r="10069" spans="18:19" x14ac:dyDescent="0.25">
      <c r="R10069" s="13">
        <v>9996</v>
      </c>
      <c r="S10069" s="13">
        <v>278572191.60091209</v>
      </c>
    </row>
    <row r="10070" spans="18:19" x14ac:dyDescent="0.25">
      <c r="R10070" s="13">
        <v>9997</v>
      </c>
      <c r="S10070" s="13">
        <v>176398139.50265121</v>
      </c>
    </row>
    <row r="10071" spans="18:19" x14ac:dyDescent="0.25">
      <c r="R10071" s="13">
        <v>9998</v>
      </c>
      <c r="S10071" s="13">
        <v>0</v>
      </c>
    </row>
    <row r="10072" spans="18:19" x14ac:dyDescent="0.25">
      <c r="R10072" s="13">
        <v>9999</v>
      </c>
      <c r="S10072" s="13">
        <v>0</v>
      </c>
    </row>
    <row r="10073" spans="18:19" x14ac:dyDescent="0.25">
      <c r="R10073" s="13">
        <v>10000</v>
      </c>
      <c r="S10073" s="13">
        <v>0</v>
      </c>
    </row>
    <row r="10074" spans="18:19" x14ac:dyDescent="0.25">
      <c r="R10074" s="13">
        <v>10001</v>
      </c>
      <c r="S10074" s="13">
        <v>0</v>
      </c>
    </row>
    <row r="10075" spans="18:19" x14ac:dyDescent="0.25">
      <c r="R10075" s="13">
        <v>10002</v>
      </c>
      <c r="S10075" s="13">
        <v>255098466.75213432</v>
      </c>
    </row>
    <row r="10076" spans="18:19" x14ac:dyDescent="0.25">
      <c r="R10076" s="13">
        <v>10003</v>
      </c>
      <c r="S10076" s="13">
        <v>0</v>
      </c>
    </row>
    <row r="10077" spans="18:19" x14ac:dyDescent="0.25">
      <c r="R10077" s="13">
        <v>10004</v>
      </c>
      <c r="S10077" s="13">
        <v>0</v>
      </c>
    </row>
    <row r="10078" spans="18:19" x14ac:dyDescent="0.25">
      <c r="R10078" s="13">
        <v>10005</v>
      </c>
      <c r="S10078" s="13">
        <v>0</v>
      </c>
    </row>
    <row r="10079" spans="18:19" x14ac:dyDescent="0.25">
      <c r="R10079" s="13">
        <v>10006</v>
      </c>
      <c r="S10079" s="13">
        <v>0</v>
      </c>
    </row>
    <row r="10080" spans="18:19" x14ac:dyDescent="0.25">
      <c r="R10080" s="13">
        <v>10007</v>
      </c>
      <c r="S10080" s="13">
        <v>0</v>
      </c>
    </row>
    <row r="10081" spans="18:19" x14ac:dyDescent="0.25">
      <c r="R10081" s="13">
        <v>10008</v>
      </c>
      <c r="S10081" s="13">
        <v>0</v>
      </c>
    </row>
    <row r="10082" spans="18:19" x14ac:dyDescent="0.25">
      <c r="R10082" s="13">
        <v>10009</v>
      </c>
      <c r="S10082" s="13">
        <v>0</v>
      </c>
    </row>
    <row r="10083" spans="18:19" x14ac:dyDescent="0.25">
      <c r="R10083" s="13">
        <v>10010</v>
      </c>
      <c r="S10083" s="13">
        <v>0</v>
      </c>
    </row>
    <row r="10084" spans="18:19" x14ac:dyDescent="0.25">
      <c r="R10084" s="13">
        <v>10011</v>
      </c>
      <c r="S10084" s="13">
        <v>34866865.747402191</v>
      </c>
    </row>
    <row r="10085" spans="18:19" x14ac:dyDescent="0.25">
      <c r="R10085" s="13">
        <v>10012</v>
      </c>
      <c r="S10085" s="13">
        <v>0</v>
      </c>
    </row>
    <row r="10086" spans="18:19" x14ac:dyDescent="0.25">
      <c r="R10086" s="13">
        <v>10013</v>
      </c>
      <c r="S10086" s="13">
        <v>0</v>
      </c>
    </row>
    <row r="10087" spans="18:19" x14ac:dyDescent="0.25">
      <c r="R10087" s="13">
        <v>10014</v>
      </c>
      <c r="S10087" s="13">
        <v>0</v>
      </c>
    </row>
    <row r="10088" spans="18:19" x14ac:dyDescent="0.25">
      <c r="R10088" s="13">
        <v>10015</v>
      </c>
      <c r="S10088" s="13">
        <v>0</v>
      </c>
    </row>
    <row r="10089" spans="18:19" x14ac:dyDescent="0.25">
      <c r="R10089" s="13">
        <v>10016</v>
      </c>
      <c r="S10089" s="13">
        <v>0</v>
      </c>
    </row>
    <row r="10090" spans="18:19" x14ac:dyDescent="0.25">
      <c r="R10090" s="13">
        <v>10017</v>
      </c>
      <c r="S10090" s="13">
        <v>188619531.16180801</v>
      </c>
    </row>
    <row r="10091" spans="18:19" x14ac:dyDescent="0.25">
      <c r="R10091" s="13">
        <v>10018</v>
      </c>
      <c r="S10091" s="13">
        <v>0</v>
      </c>
    </row>
    <row r="10092" spans="18:19" x14ac:dyDescent="0.25">
      <c r="R10092" s="13">
        <v>10019</v>
      </c>
      <c r="S10092" s="13">
        <v>0</v>
      </c>
    </row>
    <row r="10093" spans="18:19" x14ac:dyDescent="0.25">
      <c r="R10093" s="13">
        <v>10020</v>
      </c>
      <c r="S10093" s="13">
        <v>0</v>
      </c>
    </row>
    <row r="10094" spans="18:19" x14ac:dyDescent="0.25">
      <c r="R10094" s="13">
        <v>10021</v>
      </c>
      <c r="S10094" s="13">
        <v>0</v>
      </c>
    </row>
    <row r="10095" spans="18:19" x14ac:dyDescent="0.25">
      <c r="R10095" s="13">
        <v>10022</v>
      </c>
      <c r="S10095" s="13">
        <v>0</v>
      </c>
    </row>
    <row r="10096" spans="18:19" x14ac:dyDescent="0.25">
      <c r="R10096" s="13">
        <v>10023</v>
      </c>
      <c r="S10096" s="13">
        <v>0</v>
      </c>
    </row>
    <row r="10097" spans="18:19" x14ac:dyDescent="0.25">
      <c r="R10097" s="13">
        <v>10024</v>
      </c>
      <c r="S10097" s="13">
        <v>94481696.4492836</v>
      </c>
    </row>
    <row r="10098" spans="18:19" x14ac:dyDescent="0.25">
      <c r="R10098" s="13">
        <v>10025</v>
      </c>
      <c r="S10098" s="13">
        <v>0</v>
      </c>
    </row>
    <row r="10099" spans="18:19" x14ac:dyDescent="0.25">
      <c r="R10099" s="13">
        <v>10026</v>
      </c>
      <c r="S10099" s="13">
        <v>0</v>
      </c>
    </row>
    <row r="10100" spans="18:19" x14ac:dyDescent="0.25">
      <c r="R10100" s="13">
        <v>10027</v>
      </c>
      <c r="S10100" s="13">
        <v>0</v>
      </c>
    </row>
    <row r="10101" spans="18:19" x14ac:dyDescent="0.25">
      <c r="R10101" s="13">
        <v>10028</v>
      </c>
      <c r="S10101" s="13">
        <v>0</v>
      </c>
    </row>
    <row r="10102" spans="18:19" x14ac:dyDescent="0.25">
      <c r="R10102" s="13">
        <v>10029</v>
      </c>
      <c r="S10102" s="13">
        <v>346572412.16671944</v>
      </c>
    </row>
    <row r="10103" spans="18:19" x14ac:dyDescent="0.25">
      <c r="R10103" s="13">
        <v>10030</v>
      </c>
      <c r="S10103" s="13">
        <v>0</v>
      </c>
    </row>
    <row r="10104" spans="18:19" x14ac:dyDescent="0.25">
      <c r="R10104" s="13">
        <v>10031</v>
      </c>
      <c r="S10104" s="13">
        <v>0</v>
      </c>
    </row>
    <row r="10105" spans="18:19" x14ac:dyDescent="0.25">
      <c r="R10105" s="13">
        <v>10032</v>
      </c>
      <c r="S10105" s="13">
        <v>0</v>
      </c>
    </row>
    <row r="10106" spans="18:19" x14ac:dyDescent="0.25">
      <c r="R10106" s="13">
        <v>10033</v>
      </c>
      <c r="S10106" s="13">
        <v>0</v>
      </c>
    </row>
    <row r="10107" spans="18:19" x14ac:dyDescent="0.25">
      <c r="R10107" s="13">
        <v>10034</v>
      </c>
      <c r="S10107" s="13">
        <v>0</v>
      </c>
    </row>
    <row r="10108" spans="18:19" x14ac:dyDescent="0.25">
      <c r="R10108" s="13">
        <v>10035</v>
      </c>
      <c r="S10108" s="13">
        <v>106009904.72887802</v>
      </c>
    </row>
    <row r="10109" spans="18:19" x14ac:dyDescent="0.25">
      <c r="R10109" s="13">
        <v>10036</v>
      </c>
      <c r="S10109" s="13">
        <v>44135960.007429123</v>
      </c>
    </row>
    <row r="10110" spans="18:19" x14ac:dyDescent="0.25">
      <c r="R10110" s="13">
        <v>10037</v>
      </c>
      <c r="S10110" s="13">
        <v>0</v>
      </c>
    </row>
    <row r="10111" spans="18:19" x14ac:dyDescent="0.25">
      <c r="R10111" s="13">
        <v>10038</v>
      </c>
      <c r="S10111" s="13">
        <v>0</v>
      </c>
    </row>
    <row r="10112" spans="18:19" x14ac:dyDescent="0.25">
      <c r="R10112" s="13">
        <v>10039</v>
      </c>
      <c r="S10112" s="13">
        <v>0</v>
      </c>
    </row>
    <row r="10113" spans="18:19" x14ac:dyDescent="0.25">
      <c r="R10113" s="13">
        <v>10040</v>
      </c>
      <c r="S10113" s="13">
        <v>0</v>
      </c>
    </row>
    <row r="10114" spans="18:19" x14ac:dyDescent="0.25">
      <c r="R10114" s="13">
        <v>10041</v>
      </c>
      <c r="S10114" s="13">
        <v>0</v>
      </c>
    </row>
    <row r="10115" spans="18:19" x14ac:dyDescent="0.25">
      <c r="R10115" s="13">
        <v>10042</v>
      </c>
      <c r="S10115" s="13">
        <v>0</v>
      </c>
    </row>
    <row r="10116" spans="18:19" x14ac:dyDescent="0.25">
      <c r="R10116" s="13">
        <v>10043</v>
      </c>
      <c r="S10116" s="13">
        <v>0</v>
      </c>
    </row>
    <row r="10117" spans="18:19" x14ac:dyDescent="0.25">
      <c r="R10117" s="13">
        <v>10044</v>
      </c>
      <c r="S10117" s="13">
        <v>0</v>
      </c>
    </row>
    <row r="10118" spans="18:19" x14ac:dyDescent="0.25">
      <c r="R10118" s="13">
        <v>10045</v>
      </c>
      <c r="S10118" s="13">
        <v>0</v>
      </c>
    </row>
    <row r="10119" spans="18:19" x14ac:dyDescent="0.25">
      <c r="R10119" s="13">
        <v>10046</v>
      </c>
      <c r="S10119" s="13">
        <v>0</v>
      </c>
    </row>
    <row r="10120" spans="18:19" x14ac:dyDescent="0.25">
      <c r="R10120" s="13">
        <v>10047</v>
      </c>
      <c r="S10120" s="13">
        <v>5424938.6710472107</v>
      </c>
    </row>
    <row r="10121" spans="18:19" x14ac:dyDescent="0.25">
      <c r="R10121" s="13">
        <v>10048</v>
      </c>
      <c r="S10121" s="13">
        <v>0</v>
      </c>
    </row>
    <row r="10122" spans="18:19" x14ac:dyDescent="0.25">
      <c r="R10122" s="13">
        <v>10049</v>
      </c>
      <c r="S10122" s="13">
        <v>0</v>
      </c>
    </row>
    <row r="10123" spans="18:19" x14ac:dyDescent="0.25">
      <c r="R10123" s="13">
        <v>10050</v>
      </c>
      <c r="S10123" s="13">
        <v>0</v>
      </c>
    </row>
    <row r="10124" spans="18:19" x14ac:dyDescent="0.25">
      <c r="R10124" s="13">
        <v>10051</v>
      </c>
      <c r="S10124" s="13">
        <v>0</v>
      </c>
    </row>
    <row r="10125" spans="18:19" x14ac:dyDescent="0.25">
      <c r="R10125" s="13">
        <v>10052</v>
      </c>
      <c r="S10125" s="13">
        <v>0</v>
      </c>
    </row>
    <row r="10126" spans="18:19" x14ac:dyDescent="0.25">
      <c r="R10126" s="13">
        <v>10053</v>
      </c>
      <c r="S10126" s="13">
        <v>0</v>
      </c>
    </row>
    <row r="10127" spans="18:19" x14ac:dyDescent="0.25">
      <c r="R10127" s="13">
        <v>10054</v>
      </c>
      <c r="S10127" s="13">
        <v>0</v>
      </c>
    </row>
    <row r="10128" spans="18:19" x14ac:dyDescent="0.25">
      <c r="R10128" s="13">
        <v>10055</v>
      </c>
      <c r="S10128" s="13">
        <v>0</v>
      </c>
    </row>
    <row r="10129" spans="18:19" x14ac:dyDescent="0.25">
      <c r="R10129" s="13">
        <v>10056</v>
      </c>
      <c r="S10129" s="13">
        <v>0</v>
      </c>
    </row>
    <row r="10130" spans="18:19" x14ac:dyDescent="0.25">
      <c r="R10130" s="13">
        <v>10057</v>
      </c>
      <c r="S10130" s="13">
        <v>0</v>
      </c>
    </row>
    <row r="10131" spans="18:19" x14ac:dyDescent="0.25">
      <c r="R10131" s="13">
        <v>10058</v>
      </c>
      <c r="S10131" s="13">
        <v>0</v>
      </c>
    </row>
    <row r="10132" spans="18:19" x14ac:dyDescent="0.25">
      <c r="R10132" s="13">
        <v>10059</v>
      </c>
      <c r="S10132" s="13">
        <v>1091619215.0480251</v>
      </c>
    </row>
    <row r="10133" spans="18:19" x14ac:dyDescent="0.25">
      <c r="R10133" s="13">
        <v>10060</v>
      </c>
      <c r="S10133" s="13">
        <v>0</v>
      </c>
    </row>
    <row r="10134" spans="18:19" x14ac:dyDescent="0.25">
      <c r="R10134" s="13">
        <v>10061</v>
      </c>
      <c r="S10134" s="13">
        <v>187597393.78120995</v>
      </c>
    </row>
    <row r="10135" spans="18:19" x14ac:dyDescent="0.25">
      <c r="R10135" s="13">
        <v>10062</v>
      </c>
      <c r="S10135" s="13">
        <v>1090864318.4017792</v>
      </c>
    </row>
    <row r="10136" spans="18:19" x14ac:dyDescent="0.25">
      <c r="R10136" s="13">
        <v>10063</v>
      </c>
      <c r="S10136" s="13">
        <v>0</v>
      </c>
    </row>
    <row r="10137" spans="18:19" x14ac:dyDescent="0.25">
      <c r="R10137" s="13">
        <v>10064</v>
      </c>
      <c r="S10137" s="13">
        <v>0</v>
      </c>
    </row>
    <row r="10138" spans="18:19" x14ac:dyDescent="0.25">
      <c r="R10138" s="13">
        <v>10065</v>
      </c>
      <c r="S10138" s="13">
        <v>0</v>
      </c>
    </row>
    <row r="10139" spans="18:19" x14ac:dyDescent="0.25">
      <c r="R10139" s="13">
        <v>10066</v>
      </c>
      <c r="S10139" s="13">
        <v>0</v>
      </c>
    </row>
    <row r="10140" spans="18:19" x14ac:dyDescent="0.25">
      <c r="R10140" s="13">
        <v>10067</v>
      </c>
      <c r="S10140" s="13">
        <v>0</v>
      </c>
    </row>
    <row r="10141" spans="18:19" x14ac:dyDescent="0.25">
      <c r="R10141" s="13">
        <v>10068</v>
      </c>
      <c r="S10141" s="13">
        <v>0</v>
      </c>
    </row>
    <row r="10142" spans="18:19" x14ac:dyDescent="0.25">
      <c r="R10142" s="13">
        <v>10069</v>
      </c>
      <c r="S10142" s="13">
        <v>0</v>
      </c>
    </row>
    <row r="10143" spans="18:19" x14ac:dyDescent="0.25">
      <c r="R10143" s="13">
        <v>10070</v>
      </c>
      <c r="S10143" s="13">
        <v>0</v>
      </c>
    </row>
    <row r="10144" spans="18:19" x14ac:dyDescent="0.25">
      <c r="R10144" s="13">
        <v>10071</v>
      </c>
      <c r="S10144" s="13">
        <v>0</v>
      </c>
    </row>
    <row r="10145" spans="18:19" x14ac:dyDescent="0.25">
      <c r="R10145" s="13">
        <v>10072</v>
      </c>
      <c r="S10145" s="13">
        <v>0</v>
      </c>
    </row>
    <row r="10146" spans="18:19" x14ac:dyDescent="0.25">
      <c r="R10146" s="13">
        <v>10073</v>
      </c>
      <c r="S10146" s="13">
        <v>0</v>
      </c>
    </row>
    <row r="10147" spans="18:19" x14ac:dyDescent="0.25">
      <c r="R10147" s="13">
        <v>10074</v>
      </c>
      <c r="S10147" s="13">
        <v>0</v>
      </c>
    </row>
    <row r="10148" spans="18:19" x14ac:dyDescent="0.25">
      <c r="R10148" s="13">
        <v>10075</v>
      </c>
      <c r="S10148" s="13">
        <v>0</v>
      </c>
    </row>
    <row r="10149" spans="18:19" x14ac:dyDescent="0.25">
      <c r="R10149" s="13">
        <v>10076</v>
      </c>
      <c r="S10149" s="13">
        <v>0</v>
      </c>
    </row>
    <row r="10150" spans="18:19" x14ac:dyDescent="0.25">
      <c r="R10150" s="13">
        <v>10077</v>
      </c>
      <c r="S10150" s="13">
        <v>0</v>
      </c>
    </row>
    <row r="10151" spans="18:19" x14ac:dyDescent="0.25">
      <c r="R10151" s="13">
        <v>10078</v>
      </c>
      <c r="S10151" s="13">
        <v>0</v>
      </c>
    </row>
    <row r="10152" spans="18:19" x14ac:dyDescent="0.25">
      <c r="R10152" s="13">
        <v>10079</v>
      </c>
      <c r="S10152" s="13">
        <v>0</v>
      </c>
    </row>
    <row r="10153" spans="18:19" x14ac:dyDescent="0.25">
      <c r="R10153" s="13">
        <v>10080</v>
      </c>
      <c r="S10153" s="13">
        <v>0</v>
      </c>
    </row>
    <row r="10154" spans="18:19" x14ac:dyDescent="0.25">
      <c r="R10154" s="13">
        <v>10081</v>
      </c>
      <c r="S10154" s="13">
        <v>0</v>
      </c>
    </row>
    <row r="10155" spans="18:19" x14ac:dyDescent="0.25">
      <c r="R10155" s="13">
        <v>10082</v>
      </c>
      <c r="S10155" s="13">
        <v>874259142.74125099</v>
      </c>
    </row>
    <row r="10156" spans="18:19" x14ac:dyDescent="0.25">
      <c r="R10156" s="13">
        <v>10083</v>
      </c>
      <c r="S10156" s="13">
        <v>206754123.99570084</v>
      </c>
    </row>
    <row r="10157" spans="18:19" x14ac:dyDescent="0.25">
      <c r="R10157" s="13">
        <v>10084</v>
      </c>
      <c r="S10157" s="13">
        <v>479667790.21978188</v>
      </c>
    </row>
    <row r="10158" spans="18:19" x14ac:dyDescent="0.25">
      <c r="R10158" s="13">
        <v>10085</v>
      </c>
      <c r="S10158" s="13">
        <v>0</v>
      </c>
    </row>
    <row r="10159" spans="18:19" x14ac:dyDescent="0.25">
      <c r="R10159" s="13">
        <v>10086</v>
      </c>
      <c r="S10159" s="13">
        <v>0</v>
      </c>
    </row>
    <row r="10160" spans="18:19" x14ac:dyDescent="0.25">
      <c r="R10160" s="13">
        <v>10087</v>
      </c>
      <c r="S10160" s="13">
        <v>0</v>
      </c>
    </row>
    <row r="10161" spans="18:19" x14ac:dyDescent="0.25">
      <c r="R10161" s="13">
        <v>10088</v>
      </c>
      <c r="S10161" s="13">
        <v>0</v>
      </c>
    </row>
    <row r="10162" spans="18:19" x14ac:dyDescent="0.25">
      <c r="R10162" s="13">
        <v>10089</v>
      </c>
      <c r="S10162" s="13">
        <v>0</v>
      </c>
    </row>
    <row r="10163" spans="18:19" x14ac:dyDescent="0.25">
      <c r="R10163" s="13">
        <v>10090</v>
      </c>
      <c r="S10163" s="13">
        <v>0</v>
      </c>
    </row>
    <row r="10164" spans="18:19" x14ac:dyDescent="0.25">
      <c r="R10164" s="13">
        <v>10091</v>
      </c>
      <c r="S10164" s="13">
        <v>0</v>
      </c>
    </row>
    <row r="10165" spans="18:19" x14ac:dyDescent="0.25">
      <c r="R10165" s="13">
        <v>10092</v>
      </c>
      <c r="S10165" s="13">
        <v>442513735.73939133</v>
      </c>
    </row>
    <row r="10166" spans="18:19" x14ac:dyDescent="0.25">
      <c r="R10166" s="13">
        <v>10093</v>
      </c>
      <c r="S10166" s="13">
        <v>473756801.16494942</v>
      </c>
    </row>
    <row r="10167" spans="18:19" x14ac:dyDescent="0.25">
      <c r="R10167" s="13">
        <v>10094</v>
      </c>
      <c r="S10167" s="13">
        <v>0</v>
      </c>
    </row>
    <row r="10168" spans="18:19" x14ac:dyDescent="0.25">
      <c r="R10168" s="13">
        <v>10095</v>
      </c>
      <c r="S10168" s="13">
        <v>0</v>
      </c>
    </row>
    <row r="10169" spans="18:19" x14ac:dyDescent="0.25">
      <c r="R10169" s="13">
        <v>10096</v>
      </c>
      <c r="S10169" s="13">
        <v>0</v>
      </c>
    </row>
    <row r="10170" spans="18:19" x14ac:dyDescent="0.25">
      <c r="R10170" s="13">
        <v>10097</v>
      </c>
      <c r="S10170" s="13">
        <v>0</v>
      </c>
    </row>
    <row r="10171" spans="18:19" x14ac:dyDescent="0.25">
      <c r="R10171" s="13">
        <v>10098</v>
      </c>
      <c r="S10171" s="13">
        <v>0</v>
      </c>
    </row>
    <row r="10172" spans="18:19" x14ac:dyDescent="0.25">
      <c r="R10172" s="13">
        <v>10099</v>
      </c>
      <c r="S10172" s="13">
        <v>0</v>
      </c>
    </row>
    <row r="10173" spans="18:19" x14ac:dyDescent="0.25">
      <c r="R10173" s="13">
        <v>10100</v>
      </c>
      <c r="S10173" s="13">
        <v>89100805.817951202</v>
      </c>
    </row>
    <row r="10174" spans="18:19" x14ac:dyDescent="0.25">
      <c r="R10174" s="13">
        <v>10101</v>
      </c>
      <c r="S10174" s="13">
        <v>0</v>
      </c>
    </row>
    <row r="10175" spans="18:19" x14ac:dyDescent="0.25">
      <c r="R10175" s="13">
        <v>10102</v>
      </c>
      <c r="S10175" s="13">
        <v>0</v>
      </c>
    </row>
    <row r="10176" spans="18:19" x14ac:dyDescent="0.25">
      <c r="R10176" s="13">
        <v>10103</v>
      </c>
      <c r="S10176" s="13">
        <v>0</v>
      </c>
    </row>
    <row r="10177" spans="18:19" x14ac:dyDescent="0.25">
      <c r="R10177" s="13">
        <v>10104</v>
      </c>
      <c r="S10177" s="13">
        <v>0</v>
      </c>
    </row>
    <row r="10178" spans="18:19" x14ac:dyDescent="0.25">
      <c r="R10178" s="13">
        <v>10105</v>
      </c>
      <c r="S10178" s="13">
        <v>0</v>
      </c>
    </row>
    <row r="10179" spans="18:19" x14ac:dyDescent="0.25">
      <c r="R10179" s="13">
        <v>10106</v>
      </c>
      <c r="S10179" s="13">
        <v>0</v>
      </c>
    </row>
    <row r="10180" spans="18:19" x14ac:dyDescent="0.25">
      <c r="R10180" s="13">
        <v>10107</v>
      </c>
      <c r="S10180" s="13">
        <v>155634410.53127861</v>
      </c>
    </row>
    <row r="10181" spans="18:19" x14ac:dyDescent="0.25">
      <c r="R10181" s="13">
        <v>10108</v>
      </c>
      <c r="S10181" s="13">
        <v>61357649.528903961</v>
      </c>
    </row>
    <row r="10182" spans="18:19" x14ac:dyDescent="0.25">
      <c r="R10182" s="13">
        <v>10109</v>
      </c>
      <c r="S10182" s="13">
        <v>582045615.99253273</v>
      </c>
    </row>
    <row r="10183" spans="18:19" x14ac:dyDescent="0.25">
      <c r="R10183" s="13">
        <v>10110</v>
      </c>
      <c r="S10183" s="13">
        <v>0</v>
      </c>
    </row>
    <row r="10184" spans="18:19" x14ac:dyDescent="0.25">
      <c r="R10184" s="13">
        <v>10111</v>
      </c>
      <c r="S10184" s="13">
        <v>0</v>
      </c>
    </row>
    <row r="10185" spans="18:19" x14ac:dyDescent="0.25">
      <c r="R10185" s="13">
        <v>10112</v>
      </c>
      <c r="S10185" s="13">
        <v>0</v>
      </c>
    </row>
    <row r="10186" spans="18:19" x14ac:dyDescent="0.25">
      <c r="R10186" s="13">
        <v>10113</v>
      </c>
      <c r="S10186" s="13">
        <v>0</v>
      </c>
    </row>
    <row r="10187" spans="18:19" x14ac:dyDescent="0.25">
      <c r="R10187" s="13">
        <v>10114</v>
      </c>
      <c r="S10187" s="13">
        <v>0</v>
      </c>
    </row>
    <row r="10188" spans="18:19" x14ac:dyDescent="0.25">
      <c r="R10188" s="13">
        <v>10115</v>
      </c>
      <c r="S10188" s="13">
        <v>0</v>
      </c>
    </row>
    <row r="10189" spans="18:19" x14ac:dyDescent="0.25">
      <c r="R10189" s="13">
        <v>10116</v>
      </c>
      <c r="S10189" s="13">
        <v>0</v>
      </c>
    </row>
    <row r="10190" spans="18:19" x14ac:dyDescent="0.25">
      <c r="R10190" s="13">
        <v>10117</v>
      </c>
      <c r="S10190" s="13">
        <v>11192688.501897812</v>
      </c>
    </row>
    <row r="10191" spans="18:19" x14ac:dyDescent="0.25">
      <c r="R10191" s="13">
        <v>10118</v>
      </c>
      <c r="S10191" s="13">
        <v>247432638.04686356</v>
      </c>
    </row>
    <row r="10192" spans="18:19" x14ac:dyDescent="0.25">
      <c r="R10192" s="13">
        <v>10119</v>
      </c>
      <c r="S10192" s="13">
        <v>0</v>
      </c>
    </row>
    <row r="10193" spans="18:19" x14ac:dyDescent="0.25">
      <c r="R10193" s="13">
        <v>10120</v>
      </c>
      <c r="S10193" s="13">
        <v>0</v>
      </c>
    </row>
    <row r="10194" spans="18:19" x14ac:dyDescent="0.25">
      <c r="R10194" s="13">
        <v>10121</v>
      </c>
      <c r="S10194" s="13">
        <v>0</v>
      </c>
    </row>
    <row r="10195" spans="18:19" x14ac:dyDescent="0.25">
      <c r="R10195" s="13">
        <v>10122</v>
      </c>
      <c r="S10195" s="13">
        <v>0</v>
      </c>
    </row>
    <row r="10196" spans="18:19" x14ac:dyDescent="0.25">
      <c r="R10196" s="13">
        <v>10123</v>
      </c>
      <c r="S10196" s="13">
        <v>535140512.69293213</v>
      </c>
    </row>
    <row r="10197" spans="18:19" x14ac:dyDescent="0.25">
      <c r="R10197" s="13">
        <v>10124</v>
      </c>
      <c r="S10197" s="13">
        <v>101386423.45054054</v>
      </c>
    </row>
    <row r="10198" spans="18:19" x14ac:dyDescent="0.25">
      <c r="R10198" s="13">
        <v>10125</v>
      </c>
      <c r="S10198" s="13">
        <v>154367539.24462318</v>
      </c>
    </row>
    <row r="10199" spans="18:19" x14ac:dyDescent="0.25">
      <c r="R10199" s="13">
        <v>10126</v>
      </c>
      <c r="S10199" s="13">
        <v>0</v>
      </c>
    </row>
    <row r="10200" spans="18:19" x14ac:dyDescent="0.25">
      <c r="R10200" s="13">
        <v>10127</v>
      </c>
      <c r="S10200" s="13">
        <v>0</v>
      </c>
    </row>
    <row r="10201" spans="18:19" x14ac:dyDescent="0.25">
      <c r="R10201" s="13">
        <v>10128</v>
      </c>
      <c r="S10201" s="13">
        <v>156956625.43286705</v>
      </c>
    </row>
    <row r="10202" spans="18:19" x14ac:dyDescent="0.25">
      <c r="R10202" s="13">
        <v>10129</v>
      </c>
      <c r="S10202" s="13">
        <v>899137125.00275993</v>
      </c>
    </row>
    <row r="10203" spans="18:19" x14ac:dyDescent="0.25">
      <c r="R10203" s="13">
        <v>10130</v>
      </c>
      <c r="S10203" s="13">
        <v>405827083.46375465</v>
      </c>
    </row>
    <row r="10204" spans="18:19" x14ac:dyDescent="0.25">
      <c r="R10204" s="13">
        <v>10131</v>
      </c>
      <c r="S10204" s="13">
        <v>0</v>
      </c>
    </row>
    <row r="10205" spans="18:19" x14ac:dyDescent="0.25">
      <c r="R10205" s="13">
        <v>10132</v>
      </c>
      <c r="S10205" s="13">
        <v>0</v>
      </c>
    </row>
    <row r="10206" spans="18:19" x14ac:dyDescent="0.25">
      <c r="R10206" s="13">
        <v>10133</v>
      </c>
      <c r="S10206" s="13">
        <v>0</v>
      </c>
    </row>
    <row r="10207" spans="18:19" x14ac:dyDescent="0.25">
      <c r="R10207" s="13">
        <v>10134</v>
      </c>
      <c r="S10207" s="13">
        <v>0</v>
      </c>
    </row>
    <row r="10208" spans="18:19" x14ac:dyDescent="0.25">
      <c r="R10208" s="13">
        <v>10135</v>
      </c>
      <c r="S10208" s="13">
        <v>31339355.974939346</v>
      </c>
    </row>
    <row r="10209" spans="18:19" x14ac:dyDescent="0.25">
      <c r="R10209" s="13">
        <v>10136</v>
      </c>
      <c r="S10209" s="13">
        <v>607175039.83548355</v>
      </c>
    </row>
    <row r="10210" spans="18:19" x14ac:dyDescent="0.25">
      <c r="R10210" s="13">
        <v>10137</v>
      </c>
      <c r="S10210" s="13">
        <v>214511751.90672302</v>
      </c>
    </row>
    <row r="10211" spans="18:19" x14ac:dyDescent="0.25">
      <c r="R10211" s="13">
        <v>10138</v>
      </c>
      <c r="S10211" s="13">
        <v>239685466.8132</v>
      </c>
    </row>
    <row r="10212" spans="18:19" x14ac:dyDescent="0.25">
      <c r="R10212" s="13">
        <v>10139</v>
      </c>
      <c r="S10212" s="13">
        <v>0</v>
      </c>
    </row>
    <row r="10213" spans="18:19" x14ac:dyDescent="0.25">
      <c r="R10213" s="13">
        <v>10140</v>
      </c>
      <c r="S10213" s="13">
        <v>0</v>
      </c>
    </row>
    <row r="10214" spans="18:19" x14ac:dyDescent="0.25">
      <c r="R10214" s="13">
        <v>10141</v>
      </c>
      <c r="S10214" s="13">
        <v>0</v>
      </c>
    </row>
    <row r="10215" spans="18:19" x14ac:dyDescent="0.25">
      <c r="R10215" s="13">
        <v>10142</v>
      </c>
      <c r="S10215" s="13">
        <v>0</v>
      </c>
    </row>
    <row r="10216" spans="18:19" x14ac:dyDescent="0.25">
      <c r="R10216" s="13">
        <v>10143</v>
      </c>
      <c r="S10216" s="13">
        <v>0</v>
      </c>
    </row>
    <row r="10217" spans="18:19" x14ac:dyDescent="0.25">
      <c r="R10217" s="13">
        <v>10144</v>
      </c>
      <c r="S10217" s="13">
        <v>0</v>
      </c>
    </row>
    <row r="10218" spans="18:19" x14ac:dyDescent="0.25">
      <c r="R10218" s="13">
        <v>10145</v>
      </c>
      <c r="S10218" s="13">
        <v>0</v>
      </c>
    </row>
    <row r="10219" spans="18:19" x14ac:dyDescent="0.25">
      <c r="R10219" s="13">
        <v>10146</v>
      </c>
      <c r="S10219" s="13">
        <v>0</v>
      </c>
    </row>
    <row r="10220" spans="18:19" x14ac:dyDescent="0.25">
      <c r="R10220" s="13">
        <v>10147</v>
      </c>
      <c r="S10220" s="13">
        <v>0</v>
      </c>
    </row>
    <row r="10221" spans="18:19" x14ac:dyDescent="0.25">
      <c r="R10221" s="13">
        <v>10148</v>
      </c>
      <c r="S10221" s="13">
        <v>0</v>
      </c>
    </row>
    <row r="10222" spans="18:19" x14ac:dyDescent="0.25">
      <c r="R10222" s="13">
        <v>10149</v>
      </c>
      <c r="S10222" s="13">
        <v>0</v>
      </c>
    </row>
    <row r="10223" spans="18:19" x14ac:dyDescent="0.25">
      <c r="R10223" s="13">
        <v>10150</v>
      </c>
      <c r="S10223" s="13">
        <v>0</v>
      </c>
    </row>
    <row r="10224" spans="18:19" x14ac:dyDescent="0.25">
      <c r="R10224" s="13">
        <v>10151</v>
      </c>
      <c r="S10224" s="13">
        <v>0</v>
      </c>
    </row>
    <row r="10225" spans="18:19" x14ac:dyDescent="0.25">
      <c r="R10225" s="13">
        <v>10152</v>
      </c>
      <c r="S10225" s="13">
        <v>0</v>
      </c>
    </row>
    <row r="10226" spans="18:19" x14ac:dyDescent="0.25">
      <c r="R10226" s="13">
        <v>10153</v>
      </c>
      <c r="S10226" s="13">
        <v>0</v>
      </c>
    </row>
    <row r="10227" spans="18:19" x14ac:dyDescent="0.25">
      <c r="R10227" s="13">
        <v>10154</v>
      </c>
      <c r="S10227" s="13">
        <v>0</v>
      </c>
    </row>
    <row r="10228" spans="18:19" x14ac:dyDescent="0.25">
      <c r="R10228" s="13">
        <v>10155</v>
      </c>
      <c r="S10228" s="13">
        <v>0</v>
      </c>
    </row>
    <row r="10229" spans="18:19" x14ac:dyDescent="0.25">
      <c r="R10229" s="13">
        <v>10156</v>
      </c>
      <c r="S10229" s="13">
        <v>274160453.64223289</v>
      </c>
    </row>
    <row r="10230" spans="18:19" x14ac:dyDescent="0.25">
      <c r="R10230" s="13">
        <v>10157</v>
      </c>
      <c r="S10230" s="13">
        <v>0</v>
      </c>
    </row>
    <row r="10231" spans="18:19" x14ac:dyDescent="0.25">
      <c r="R10231" s="13">
        <v>10158</v>
      </c>
      <c r="S10231" s="13">
        <v>492083062.39229012</v>
      </c>
    </row>
    <row r="10232" spans="18:19" x14ac:dyDescent="0.25">
      <c r="R10232" s="13">
        <v>10159</v>
      </c>
      <c r="S10232" s="13">
        <v>0</v>
      </c>
    </row>
    <row r="10233" spans="18:19" x14ac:dyDescent="0.25">
      <c r="R10233" s="13">
        <v>10160</v>
      </c>
      <c r="S10233" s="13">
        <v>0</v>
      </c>
    </row>
    <row r="10234" spans="18:19" x14ac:dyDescent="0.25">
      <c r="R10234" s="13">
        <v>10161</v>
      </c>
      <c r="S10234" s="13">
        <v>0</v>
      </c>
    </row>
    <row r="10235" spans="18:19" x14ac:dyDescent="0.25">
      <c r="R10235" s="13">
        <v>10162</v>
      </c>
      <c r="S10235" s="13">
        <v>0</v>
      </c>
    </row>
    <row r="10236" spans="18:19" x14ac:dyDescent="0.25">
      <c r="R10236" s="13">
        <v>10163</v>
      </c>
      <c r="S10236" s="13">
        <v>0</v>
      </c>
    </row>
    <row r="10237" spans="18:19" x14ac:dyDescent="0.25">
      <c r="R10237" s="13">
        <v>10164</v>
      </c>
      <c r="S10237" s="13">
        <v>0</v>
      </c>
    </row>
    <row r="10238" spans="18:19" x14ac:dyDescent="0.25">
      <c r="R10238" s="13">
        <v>10165</v>
      </c>
      <c r="S10238" s="13">
        <v>0</v>
      </c>
    </row>
    <row r="10239" spans="18:19" x14ac:dyDescent="0.25">
      <c r="R10239" s="13">
        <v>10166</v>
      </c>
      <c r="S10239" s="13">
        <v>0</v>
      </c>
    </row>
    <row r="10240" spans="18:19" x14ac:dyDescent="0.25">
      <c r="R10240" s="13">
        <v>10167</v>
      </c>
      <c r="S10240" s="13">
        <v>0</v>
      </c>
    </row>
    <row r="10241" spans="18:19" x14ac:dyDescent="0.25">
      <c r="R10241" s="13">
        <v>10168</v>
      </c>
      <c r="S10241" s="13">
        <v>0</v>
      </c>
    </row>
    <row r="10242" spans="18:19" x14ac:dyDescent="0.25">
      <c r="R10242" s="13">
        <v>10169</v>
      </c>
      <c r="S10242" s="13">
        <v>0</v>
      </c>
    </row>
    <row r="10243" spans="18:19" x14ac:dyDescent="0.25">
      <c r="R10243" s="13">
        <v>10170</v>
      </c>
      <c r="S10243" s="13">
        <v>0</v>
      </c>
    </row>
    <row r="10244" spans="18:19" x14ac:dyDescent="0.25">
      <c r="R10244" s="13">
        <v>10171</v>
      </c>
      <c r="S10244" s="13">
        <v>0</v>
      </c>
    </row>
    <row r="10245" spans="18:19" x14ac:dyDescent="0.25">
      <c r="R10245" s="13">
        <v>10172</v>
      </c>
      <c r="S10245" s="13">
        <v>0</v>
      </c>
    </row>
    <row r="10246" spans="18:19" x14ac:dyDescent="0.25">
      <c r="R10246" s="13">
        <v>10173</v>
      </c>
      <c r="S10246" s="13">
        <v>298109906.99361229</v>
      </c>
    </row>
    <row r="10247" spans="18:19" x14ac:dyDescent="0.25">
      <c r="R10247" s="13">
        <v>10174</v>
      </c>
      <c r="S10247" s="13">
        <v>459473962.96958542</v>
      </c>
    </row>
    <row r="10248" spans="18:19" x14ac:dyDescent="0.25">
      <c r="R10248" s="13">
        <v>10175</v>
      </c>
      <c r="S10248" s="13">
        <v>21965577.22026062</v>
      </c>
    </row>
    <row r="10249" spans="18:19" x14ac:dyDescent="0.25">
      <c r="R10249" s="13">
        <v>10176</v>
      </c>
      <c r="S10249" s="13">
        <v>0</v>
      </c>
    </row>
    <row r="10250" spans="18:19" x14ac:dyDescent="0.25">
      <c r="R10250" s="13">
        <v>10177</v>
      </c>
      <c r="S10250" s="13">
        <v>0</v>
      </c>
    </row>
    <row r="10251" spans="18:19" x14ac:dyDescent="0.25">
      <c r="R10251" s="13">
        <v>10178</v>
      </c>
      <c r="S10251" s="13">
        <v>0</v>
      </c>
    </row>
    <row r="10252" spans="18:19" x14ac:dyDescent="0.25">
      <c r="R10252" s="13">
        <v>10179</v>
      </c>
      <c r="S10252" s="13">
        <v>0</v>
      </c>
    </row>
    <row r="10253" spans="18:19" x14ac:dyDescent="0.25">
      <c r="R10253" s="13">
        <v>10180</v>
      </c>
      <c r="S10253" s="13">
        <v>0</v>
      </c>
    </row>
    <row r="10254" spans="18:19" x14ac:dyDescent="0.25">
      <c r="R10254" s="13">
        <v>10181</v>
      </c>
      <c r="S10254" s="13">
        <v>0</v>
      </c>
    </row>
    <row r="10255" spans="18:19" x14ac:dyDescent="0.25">
      <c r="R10255" s="13">
        <v>10182</v>
      </c>
      <c r="S10255" s="13">
        <v>205140071.57336807</v>
      </c>
    </row>
    <row r="10256" spans="18:19" x14ac:dyDescent="0.25">
      <c r="R10256" s="13">
        <v>10183</v>
      </c>
      <c r="S10256" s="13">
        <v>0</v>
      </c>
    </row>
    <row r="10257" spans="18:19" x14ac:dyDescent="0.25">
      <c r="R10257" s="13">
        <v>10184</v>
      </c>
      <c r="S10257" s="13">
        <v>392835883.18239594</v>
      </c>
    </row>
    <row r="10258" spans="18:19" x14ac:dyDescent="0.25">
      <c r="R10258" s="13">
        <v>10185</v>
      </c>
      <c r="S10258" s="13">
        <v>0</v>
      </c>
    </row>
    <row r="10259" spans="18:19" x14ac:dyDescent="0.25">
      <c r="R10259" s="13">
        <v>10186</v>
      </c>
      <c r="S10259" s="13">
        <v>0</v>
      </c>
    </row>
    <row r="10260" spans="18:19" x14ac:dyDescent="0.25">
      <c r="R10260" s="13">
        <v>10187</v>
      </c>
      <c r="S10260" s="13">
        <v>0</v>
      </c>
    </row>
    <row r="10261" spans="18:19" x14ac:dyDescent="0.25">
      <c r="R10261" s="13">
        <v>10188</v>
      </c>
      <c r="S10261" s="13">
        <v>0</v>
      </c>
    </row>
    <row r="10262" spans="18:19" x14ac:dyDescent="0.25">
      <c r="R10262" s="13">
        <v>10189</v>
      </c>
      <c r="S10262" s="13">
        <v>0</v>
      </c>
    </row>
    <row r="10263" spans="18:19" x14ac:dyDescent="0.25">
      <c r="R10263" s="13">
        <v>10190</v>
      </c>
      <c r="S10263" s="13">
        <v>0</v>
      </c>
    </row>
    <row r="10264" spans="18:19" x14ac:dyDescent="0.25">
      <c r="R10264" s="13">
        <v>10191</v>
      </c>
      <c r="S10264" s="13">
        <v>189991894.72200584</v>
      </c>
    </row>
    <row r="10265" spans="18:19" x14ac:dyDescent="0.25">
      <c r="R10265" s="13">
        <v>10192</v>
      </c>
      <c r="S10265" s="13">
        <v>0</v>
      </c>
    </row>
    <row r="10266" spans="18:19" x14ac:dyDescent="0.25">
      <c r="R10266" s="13">
        <v>10193</v>
      </c>
      <c r="S10266" s="13">
        <v>0</v>
      </c>
    </row>
    <row r="10267" spans="18:19" x14ac:dyDescent="0.25">
      <c r="R10267" s="13">
        <v>10194</v>
      </c>
      <c r="S10267" s="13">
        <v>0</v>
      </c>
    </row>
    <row r="10268" spans="18:19" x14ac:dyDescent="0.25">
      <c r="R10268" s="13">
        <v>10195</v>
      </c>
      <c r="S10268" s="13">
        <v>0</v>
      </c>
    </row>
    <row r="10269" spans="18:19" x14ac:dyDescent="0.25">
      <c r="R10269" s="13">
        <v>10196</v>
      </c>
      <c r="S10269" s="13">
        <v>0</v>
      </c>
    </row>
    <row r="10270" spans="18:19" x14ac:dyDescent="0.25">
      <c r="R10270" s="13">
        <v>10197</v>
      </c>
      <c r="S10270" s="13">
        <v>429803434.77166367</v>
      </c>
    </row>
    <row r="10271" spans="18:19" x14ac:dyDescent="0.25">
      <c r="R10271" s="13">
        <v>10198</v>
      </c>
      <c r="S10271" s="13">
        <v>0</v>
      </c>
    </row>
    <row r="10272" spans="18:19" x14ac:dyDescent="0.25">
      <c r="R10272" s="13">
        <v>10199</v>
      </c>
      <c r="S10272" s="13">
        <v>0</v>
      </c>
    </row>
    <row r="10273" spans="18:19" x14ac:dyDescent="0.25">
      <c r="R10273" s="13">
        <v>10200</v>
      </c>
      <c r="S10273" s="13">
        <v>0</v>
      </c>
    </row>
    <row r="10274" spans="18:19" x14ac:dyDescent="0.25">
      <c r="R10274" s="13">
        <v>10201</v>
      </c>
      <c r="S10274" s="13">
        <v>0</v>
      </c>
    </row>
    <row r="10275" spans="18:19" x14ac:dyDescent="0.25">
      <c r="R10275" s="13">
        <v>10202</v>
      </c>
      <c r="S10275" s="13">
        <v>0</v>
      </c>
    </row>
    <row r="10276" spans="18:19" x14ac:dyDescent="0.25">
      <c r="R10276" s="13">
        <v>10203</v>
      </c>
      <c r="S10276" s="13">
        <v>0</v>
      </c>
    </row>
    <row r="10277" spans="18:19" x14ac:dyDescent="0.25">
      <c r="R10277" s="13">
        <v>10204</v>
      </c>
      <c r="S10277" s="13">
        <v>0</v>
      </c>
    </row>
    <row r="10278" spans="18:19" x14ac:dyDescent="0.25">
      <c r="R10278" s="13">
        <v>10205</v>
      </c>
      <c r="S10278" s="13">
        <v>0</v>
      </c>
    </row>
    <row r="10279" spans="18:19" x14ac:dyDescent="0.25">
      <c r="R10279" s="13">
        <v>10206</v>
      </c>
      <c r="S10279" s="13">
        <v>0</v>
      </c>
    </row>
    <row r="10280" spans="18:19" x14ac:dyDescent="0.25">
      <c r="R10280" s="13">
        <v>10207</v>
      </c>
      <c r="S10280" s="13">
        <v>0</v>
      </c>
    </row>
    <row r="10281" spans="18:19" x14ac:dyDescent="0.25">
      <c r="R10281" s="13">
        <v>10208</v>
      </c>
      <c r="S10281" s="13">
        <v>0</v>
      </c>
    </row>
    <row r="10282" spans="18:19" x14ac:dyDescent="0.25">
      <c r="R10282" s="13">
        <v>10209</v>
      </c>
      <c r="S10282" s="13">
        <v>0</v>
      </c>
    </row>
    <row r="10283" spans="18:19" x14ac:dyDescent="0.25">
      <c r="R10283" s="13">
        <v>10210</v>
      </c>
      <c r="S10283" s="13">
        <v>0</v>
      </c>
    </row>
    <row r="10284" spans="18:19" x14ac:dyDescent="0.25">
      <c r="R10284" s="13">
        <v>10211</v>
      </c>
      <c r="S10284" s="13">
        <v>0</v>
      </c>
    </row>
    <row r="10285" spans="18:19" x14ac:dyDescent="0.25">
      <c r="R10285" s="13">
        <v>10212</v>
      </c>
      <c r="S10285" s="13">
        <v>0</v>
      </c>
    </row>
    <row r="10286" spans="18:19" x14ac:dyDescent="0.25">
      <c r="R10286" s="13">
        <v>10213</v>
      </c>
      <c r="S10286" s="13">
        <v>0</v>
      </c>
    </row>
    <row r="10287" spans="18:19" x14ac:dyDescent="0.25">
      <c r="R10287" s="13">
        <v>10214</v>
      </c>
      <c r="S10287" s="13">
        <v>252379815.69551468</v>
      </c>
    </row>
    <row r="10288" spans="18:19" x14ac:dyDescent="0.25">
      <c r="R10288" s="13">
        <v>10215</v>
      </c>
      <c r="S10288" s="13">
        <v>0</v>
      </c>
    </row>
    <row r="10289" spans="18:19" x14ac:dyDescent="0.25">
      <c r="R10289" s="13">
        <v>10216</v>
      </c>
      <c r="S10289" s="13">
        <v>0</v>
      </c>
    </row>
    <row r="10290" spans="18:19" x14ac:dyDescent="0.25">
      <c r="R10290" s="13">
        <v>10217</v>
      </c>
      <c r="S10290" s="13">
        <v>0</v>
      </c>
    </row>
    <row r="10291" spans="18:19" x14ac:dyDescent="0.25">
      <c r="R10291" s="13">
        <v>10218</v>
      </c>
      <c r="S10291" s="13">
        <v>0</v>
      </c>
    </row>
    <row r="10292" spans="18:19" x14ac:dyDescent="0.25">
      <c r="R10292" s="13">
        <v>10219</v>
      </c>
      <c r="S10292" s="13">
        <v>0</v>
      </c>
    </row>
    <row r="10293" spans="18:19" x14ac:dyDescent="0.25">
      <c r="R10293" s="13">
        <v>10220</v>
      </c>
      <c r="S10293" s="13">
        <v>142038166.32335663</v>
      </c>
    </row>
    <row r="10294" spans="18:19" x14ac:dyDescent="0.25">
      <c r="R10294" s="13">
        <v>10221</v>
      </c>
      <c r="S10294" s="13">
        <v>0</v>
      </c>
    </row>
    <row r="10295" spans="18:19" x14ac:dyDescent="0.25">
      <c r="R10295" s="13">
        <v>10222</v>
      </c>
      <c r="S10295" s="13">
        <v>0</v>
      </c>
    </row>
    <row r="10296" spans="18:19" x14ac:dyDescent="0.25">
      <c r="R10296" s="13">
        <v>10223</v>
      </c>
      <c r="S10296" s="13">
        <v>0</v>
      </c>
    </row>
    <row r="10297" spans="18:19" x14ac:dyDescent="0.25">
      <c r="R10297" s="13">
        <v>10224</v>
      </c>
      <c r="S10297" s="13">
        <v>0</v>
      </c>
    </row>
    <row r="10298" spans="18:19" x14ac:dyDescent="0.25">
      <c r="R10298" s="13">
        <v>10225</v>
      </c>
      <c r="S10298" s="13">
        <v>112339533.15707588</v>
      </c>
    </row>
    <row r="10299" spans="18:19" x14ac:dyDescent="0.25">
      <c r="R10299" s="13">
        <v>10226</v>
      </c>
      <c r="S10299" s="13">
        <v>0</v>
      </c>
    </row>
    <row r="10300" spans="18:19" x14ac:dyDescent="0.25">
      <c r="R10300" s="13">
        <v>10227</v>
      </c>
      <c r="S10300" s="13">
        <v>0</v>
      </c>
    </row>
    <row r="10301" spans="18:19" x14ac:dyDescent="0.25">
      <c r="R10301" s="13">
        <v>10228</v>
      </c>
      <c r="S10301" s="13">
        <v>0</v>
      </c>
    </row>
    <row r="10302" spans="18:19" x14ac:dyDescent="0.25">
      <c r="R10302" s="13">
        <v>10229</v>
      </c>
      <c r="S10302" s="13">
        <v>355278404.03600311</v>
      </c>
    </row>
    <row r="10303" spans="18:19" x14ac:dyDescent="0.25">
      <c r="R10303" s="13">
        <v>10230</v>
      </c>
      <c r="S10303" s="13">
        <v>238493746.213974</v>
      </c>
    </row>
    <row r="10304" spans="18:19" x14ac:dyDescent="0.25">
      <c r="R10304" s="13">
        <v>10231</v>
      </c>
      <c r="S10304" s="13">
        <v>0</v>
      </c>
    </row>
    <row r="10305" spans="18:19" x14ac:dyDescent="0.25">
      <c r="R10305" s="13">
        <v>10232</v>
      </c>
      <c r="S10305" s="13">
        <v>0</v>
      </c>
    </row>
    <row r="10306" spans="18:19" x14ac:dyDescent="0.25">
      <c r="R10306" s="13">
        <v>10233</v>
      </c>
      <c r="S10306" s="13">
        <v>0</v>
      </c>
    </row>
    <row r="10307" spans="18:19" x14ac:dyDescent="0.25">
      <c r="R10307" s="13">
        <v>10234</v>
      </c>
      <c r="S10307" s="13">
        <v>0</v>
      </c>
    </row>
    <row r="10308" spans="18:19" x14ac:dyDescent="0.25">
      <c r="R10308" s="13">
        <v>10235</v>
      </c>
      <c r="S10308" s="13">
        <v>0</v>
      </c>
    </row>
    <row r="10309" spans="18:19" x14ac:dyDescent="0.25">
      <c r="R10309" s="13">
        <v>10236</v>
      </c>
      <c r="S10309" s="13">
        <v>0</v>
      </c>
    </row>
    <row r="10310" spans="18:19" x14ac:dyDescent="0.25">
      <c r="R10310" s="13">
        <v>10237</v>
      </c>
      <c r="S10310" s="13">
        <v>479322062.74886894</v>
      </c>
    </row>
    <row r="10311" spans="18:19" x14ac:dyDescent="0.25">
      <c r="R10311" s="13">
        <v>10238</v>
      </c>
      <c r="S10311" s="13">
        <v>0</v>
      </c>
    </row>
    <row r="10312" spans="18:19" x14ac:dyDescent="0.25">
      <c r="R10312" s="13">
        <v>10239</v>
      </c>
      <c r="S10312" s="13">
        <v>0</v>
      </c>
    </row>
    <row r="10313" spans="18:19" x14ac:dyDescent="0.25">
      <c r="R10313" s="13">
        <v>10240</v>
      </c>
      <c r="S10313" s="13">
        <v>0</v>
      </c>
    </row>
    <row r="10314" spans="18:19" x14ac:dyDescent="0.25">
      <c r="R10314" s="13">
        <v>10241</v>
      </c>
      <c r="S10314" s="13">
        <v>0</v>
      </c>
    </row>
    <row r="10315" spans="18:19" x14ac:dyDescent="0.25">
      <c r="R10315" s="13">
        <v>10242</v>
      </c>
      <c r="S10315" s="13">
        <v>88190250.664167404</v>
      </c>
    </row>
    <row r="10316" spans="18:19" x14ac:dyDescent="0.25">
      <c r="R10316" s="13">
        <v>10243</v>
      </c>
      <c r="S10316" s="13">
        <v>0</v>
      </c>
    </row>
    <row r="10317" spans="18:19" x14ac:dyDescent="0.25">
      <c r="R10317" s="13">
        <v>10244</v>
      </c>
      <c r="S10317" s="13">
        <v>0</v>
      </c>
    </row>
    <row r="10318" spans="18:19" x14ac:dyDescent="0.25">
      <c r="R10318" s="13">
        <v>10245</v>
      </c>
      <c r="S10318" s="13">
        <v>0</v>
      </c>
    </row>
    <row r="10319" spans="18:19" x14ac:dyDescent="0.25">
      <c r="R10319" s="13">
        <v>10246</v>
      </c>
      <c r="S10319" s="13">
        <v>0</v>
      </c>
    </row>
    <row r="10320" spans="18:19" x14ac:dyDescent="0.25">
      <c r="R10320" s="13">
        <v>10247</v>
      </c>
      <c r="S10320" s="13">
        <v>0</v>
      </c>
    </row>
    <row r="10321" spans="18:19" x14ac:dyDescent="0.25">
      <c r="R10321" s="13">
        <v>10248</v>
      </c>
      <c r="S10321" s="13">
        <v>0</v>
      </c>
    </row>
    <row r="10322" spans="18:19" x14ac:dyDescent="0.25">
      <c r="R10322" s="13">
        <v>10249</v>
      </c>
      <c r="S10322" s="13">
        <v>0</v>
      </c>
    </row>
    <row r="10323" spans="18:19" x14ac:dyDescent="0.25">
      <c r="R10323" s="13">
        <v>10250</v>
      </c>
      <c r="S10323" s="13">
        <v>0</v>
      </c>
    </row>
    <row r="10324" spans="18:19" x14ac:dyDescent="0.25">
      <c r="R10324" s="13">
        <v>10251</v>
      </c>
      <c r="S10324" s="13">
        <v>0</v>
      </c>
    </row>
    <row r="10325" spans="18:19" x14ac:dyDescent="0.25">
      <c r="R10325" s="13">
        <v>10252</v>
      </c>
      <c r="S10325" s="13">
        <v>0</v>
      </c>
    </row>
    <row r="10326" spans="18:19" x14ac:dyDescent="0.25">
      <c r="R10326" s="13">
        <v>10253</v>
      </c>
      <c r="S10326" s="13">
        <v>427694589.33861732</v>
      </c>
    </row>
    <row r="10327" spans="18:19" x14ac:dyDescent="0.25">
      <c r="R10327" s="13">
        <v>10254</v>
      </c>
      <c r="S10327" s="13">
        <v>0</v>
      </c>
    </row>
    <row r="10328" spans="18:19" x14ac:dyDescent="0.25">
      <c r="R10328" s="13">
        <v>10255</v>
      </c>
      <c r="S10328" s="13">
        <v>367091526.1265583</v>
      </c>
    </row>
    <row r="10329" spans="18:19" x14ac:dyDescent="0.25">
      <c r="R10329" s="13">
        <v>10256</v>
      </c>
      <c r="S10329" s="13">
        <v>0</v>
      </c>
    </row>
    <row r="10330" spans="18:19" x14ac:dyDescent="0.25">
      <c r="R10330" s="13">
        <v>10257</v>
      </c>
      <c r="S10330" s="13">
        <v>178755506.12706757</v>
      </c>
    </row>
    <row r="10331" spans="18:19" x14ac:dyDescent="0.25">
      <c r="R10331" s="13">
        <v>10258</v>
      </c>
      <c r="S10331" s="13">
        <v>0</v>
      </c>
    </row>
    <row r="10332" spans="18:19" x14ac:dyDescent="0.25">
      <c r="R10332" s="13">
        <v>10259</v>
      </c>
      <c r="S10332" s="13">
        <v>973525909.31721497</v>
      </c>
    </row>
    <row r="10333" spans="18:19" x14ac:dyDescent="0.25">
      <c r="R10333" s="13">
        <v>10260</v>
      </c>
      <c r="S10333" s="13">
        <v>0</v>
      </c>
    </row>
    <row r="10334" spans="18:19" x14ac:dyDescent="0.25">
      <c r="R10334" s="13">
        <v>10261</v>
      </c>
      <c r="S10334" s="13">
        <v>0</v>
      </c>
    </row>
    <row r="10335" spans="18:19" x14ac:dyDescent="0.25">
      <c r="R10335" s="13">
        <v>10262</v>
      </c>
      <c r="S10335" s="13">
        <v>0</v>
      </c>
    </row>
    <row r="10336" spans="18:19" x14ac:dyDescent="0.25">
      <c r="R10336" s="13">
        <v>10263</v>
      </c>
      <c r="S10336" s="13">
        <v>302507151.34170532</v>
      </c>
    </row>
    <row r="10337" spans="18:19" x14ac:dyDescent="0.25">
      <c r="R10337" s="13">
        <v>10264</v>
      </c>
      <c r="S10337" s="13">
        <v>0</v>
      </c>
    </row>
    <row r="10338" spans="18:19" x14ac:dyDescent="0.25">
      <c r="R10338" s="13">
        <v>10265</v>
      </c>
      <c r="S10338" s="13">
        <v>0</v>
      </c>
    </row>
    <row r="10339" spans="18:19" x14ac:dyDescent="0.25">
      <c r="R10339" s="13">
        <v>10266</v>
      </c>
      <c r="S10339" s="13">
        <v>39902204.497011185</v>
      </c>
    </row>
    <row r="10340" spans="18:19" x14ac:dyDescent="0.25">
      <c r="R10340" s="13">
        <v>10267</v>
      </c>
      <c r="S10340" s="13">
        <v>0</v>
      </c>
    </row>
    <row r="10341" spans="18:19" x14ac:dyDescent="0.25">
      <c r="R10341" s="13">
        <v>10268</v>
      </c>
      <c r="S10341" s="13">
        <v>0</v>
      </c>
    </row>
    <row r="10342" spans="18:19" x14ac:dyDescent="0.25">
      <c r="R10342" s="13">
        <v>10269</v>
      </c>
      <c r="S10342" s="13">
        <v>0</v>
      </c>
    </row>
    <row r="10343" spans="18:19" x14ac:dyDescent="0.25">
      <c r="R10343" s="13">
        <v>10270</v>
      </c>
      <c r="S10343" s="13">
        <v>0</v>
      </c>
    </row>
    <row r="10344" spans="18:19" x14ac:dyDescent="0.25">
      <c r="R10344" s="13">
        <v>10271</v>
      </c>
      <c r="S10344" s="13">
        <v>0</v>
      </c>
    </row>
    <row r="10345" spans="18:19" x14ac:dyDescent="0.25">
      <c r="R10345" s="13">
        <v>10272</v>
      </c>
      <c r="S10345" s="13">
        <v>0</v>
      </c>
    </row>
    <row r="10346" spans="18:19" x14ac:dyDescent="0.25">
      <c r="R10346" s="13">
        <v>10273</v>
      </c>
      <c r="S10346" s="13">
        <v>0</v>
      </c>
    </row>
    <row r="10347" spans="18:19" x14ac:dyDescent="0.25">
      <c r="R10347" s="13">
        <v>10274</v>
      </c>
      <c r="S10347" s="13">
        <v>0</v>
      </c>
    </row>
    <row r="10348" spans="18:19" x14ac:dyDescent="0.25">
      <c r="R10348" s="13">
        <v>10275</v>
      </c>
      <c r="S10348" s="13">
        <v>0</v>
      </c>
    </row>
    <row r="10349" spans="18:19" x14ac:dyDescent="0.25">
      <c r="R10349" s="13">
        <v>10276</v>
      </c>
      <c r="S10349" s="13">
        <v>0</v>
      </c>
    </row>
    <row r="10350" spans="18:19" x14ac:dyDescent="0.25">
      <c r="R10350" s="13">
        <v>10277</v>
      </c>
      <c r="S10350" s="13">
        <v>0</v>
      </c>
    </row>
    <row r="10351" spans="18:19" x14ac:dyDescent="0.25">
      <c r="R10351" s="13">
        <v>10278</v>
      </c>
      <c r="S10351" s="13">
        <v>0</v>
      </c>
    </row>
    <row r="10352" spans="18:19" x14ac:dyDescent="0.25">
      <c r="R10352" s="13">
        <v>10279</v>
      </c>
      <c r="S10352" s="13">
        <v>0</v>
      </c>
    </row>
    <row r="10353" spans="18:19" x14ac:dyDescent="0.25">
      <c r="R10353" s="13">
        <v>10280</v>
      </c>
      <c r="S10353" s="13">
        <v>381988493.31472778</v>
      </c>
    </row>
    <row r="10354" spans="18:19" x14ac:dyDescent="0.25">
      <c r="R10354" s="13">
        <v>10281</v>
      </c>
      <c r="S10354" s="13">
        <v>0</v>
      </c>
    </row>
    <row r="10355" spans="18:19" x14ac:dyDescent="0.25">
      <c r="R10355" s="13">
        <v>10282</v>
      </c>
      <c r="S10355" s="13">
        <v>0</v>
      </c>
    </row>
    <row r="10356" spans="18:19" x14ac:dyDescent="0.25">
      <c r="R10356" s="13">
        <v>10283</v>
      </c>
      <c r="S10356" s="13">
        <v>0</v>
      </c>
    </row>
    <row r="10357" spans="18:19" x14ac:dyDescent="0.25">
      <c r="R10357" s="13">
        <v>10284</v>
      </c>
      <c r="S10357" s="13">
        <v>0</v>
      </c>
    </row>
    <row r="10358" spans="18:19" x14ac:dyDescent="0.25">
      <c r="R10358" s="13">
        <v>10285</v>
      </c>
      <c r="S10358" s="13">
        <v>0</v>
      </c>
    </row>
    <row r="10359" spans="18:19" x14ac:dyDescent="0.25">
      <c r="R10359" s="13">
        <v>10286</v>
      </c>
      <c r="S10359" s="13">
        <v>0</v>
      </c>
    </row>
    <row r="10360" spans="18:19" x14ac:dyDescent="0.25">
      <c r="R10360" s="13">
        <v>10287</v>
      </c>
      <c r="S10360" s="13">
        <v>0</v>
      </c>
    </row>
    <row r="10361" spans="18:19" x14ac:dyDescent="0.25">
      <c r="R10361" s="13">
        <v>10288</v>
      </c>
      <c r="S10361" s="13">
        <v>210100674.21517563</v>
      </c>
    </row>
    <row r="10362" spans="18:19" x14ac:dyDescent="0.25">
      <c r="R10362" s="13">
        <v>10289</v>
      </c>
      <c r="S10362" s="13">
        <v>0</v>
      </c>
    </row>
    <row r="10363" spans="18:19" x14ac:dyDescent="0.25">
      <c r="R10363" s="13">
        <v>10290</v>
      </c>
      <c r="S10363" s="13">
        <v>0</v>
      </c>
    </row>
    <row r="10364" spans="18:19" x14ac:dyDescent="0.25">
      <c r="R10364" s="13">
        <v>10291</v>
      </c>
      <c r="S10364" s="13">
        <v>0</v>
      </c>
    </row>
    <row r="10365" spans="18:19" x14ac:dyDescent="0.25">
      <c r="R10365" s="13">
        <v>10292</v>
      </c>
      <c r="S10365" s="13">
        <v>117661488.32749939</v>
      </c>
    </row>
    <row r="10366" spans="18:19" x14ac:dyDescent="0.25">
      <c r="R10366" s="13">
        <v>10293</v>
      </c>
      <c r="S10366" s="13">
        <v>0</v>
      </c>
    </row>
    <row r="10367" spans="18:19" x14ac:dyDescent="0.25">
      <c r="R10367" s="13">
        <v>10294</v>
      </c>
      <c r="S10367" s="13">
        <v>0</v>
      </c>
    </row>
    <row r="10368" spans="18:19" x14ac:dyDescent="0.25">
      <c r="R10368" s="13">
        <v>10295</v>
      </c>
      <c r="S10368" s="13">
        <v>0</v>
      </c>
    </row>
    <row r="10369" spans="18:19" x14ac:dyDescent="0.25">
      <c r="R10369" s="13">
        <v>10296</v>
      </c>
      <c r="S10369" s="13">
        <v>0</v>
      </c>
    </row>
    <row r="10370" spans="18:19" x14ac:dyDescent="0.25">
      <c r="R10370" s="13">
        <v>10297</v>
      </c>
      <c r="S10370" s="13">
        <v>0</v>
      </c>
    </row>
    <row r="10371" spans="18:19" x14ac:dyDescent="0.25">
      <c r="R10371" s="13">
        <v>10298</v>
      </c>
      <c r="S10371" s="13">
        <v>0</v>
      </c>
    </row>
    <row r="10372" spans="18:19" x14ac:dyDescent="0.25">
      <c r="R10372" s="13">
        <v>10299</v>
      </c>
      <c r="S10372" s="13">
        <v>862731810.0424614</v>
      </c>
    </row>
    <row r="10373" spans="18:19" x14ac:dyDescent="0.25">
      <c r="R10373" s="13">
        <v>10300</v>
      </c>
      <c r="S10373" s="13">
        <v>199074868.35326958</v>
      </c>
    </row>
    <row r="10374" spans="18:19" x14ac:dyDescent="0.25">
      <c r="R10374" s="13">
        <v>10301</v>
      </c>
      <c r="S10374" s="13">
        <v>0</v>
      </c>
    </row>
    <row r="10375" spans="18:19" x14ac:dyDescent="0.25">
      <c r="R10375" s="13">
        <v>10302</v>
      </c>
      <c r="S10375" s="13">
        <v>0</v>
      </c>
    </row>
    <row r="10376" spans="18:19" x14ac:dyDescent="0.25">
      <c r="R10376" s="13">
        <v>10303</v>
      </c>
      <c r="S10376" s="13">
        <v>0</v>
      </c>
    </row>
    <row r="10377" spans="18:19" x14ac:dyDescent="0.25">
      <c r="R10377" s="13">
        <v>10304</v>
      </c>
      <c r="S10377" s="13">
        <v>0</v>
      </c>
    </row>
    <row r="10378" spans="18:19" x14ac:dyDescent="0.25">
      <c r="R10378" s="13">
        <v>10305</v>
      </c>
      <c r="S10378" s="13">
        <v>0</v>
      </c>
    </row>
    <row r="10379" spans="18:19" x14ac:dyDescent="0.25">
      <c r="R10379" s="13">
        <v>10306</v>
      </c>
      <c r="S10379" s="13">
        <v>0</v>
      </c>
    </row>
    <row r="10380" spans="18:19" x14ac:dyDescent="0.25">
      <c r="R10380" s="13">
        <v>10307</v>
      </c>
      <c r="S10380" s="13">
        <v>0</v>
      </c>
    </row>
    <row r="10381" spans="18:19" x14ac:dyDescent="0.25">
      <c r="R10381" s="13">
        <v>10308</v>
      </c>
      <c r="S10381" s="13">
        <v>0</v>
      </c>
    </row>
    <row r="10382" spans="18:19" x14ac:dyDescent="0.25">
      <c r="R10382" s="13">
        <v>10309</v>
      </c>
      <c r="S10382" s="13">
        <v>0</v>
      </c>
    </row>
    <row r="10383" spans="18:19" x14ac:dyDescent="0.25">
      <c r="R10383" s="13">
        <v>10310</v>
      </c>
      <c r="S10383" s="13">
        <v>0</v>
      </c>
    </row>
    <row r="10384" spans="18:19" x14ac:dyDescent="0.25">
      <c r="R10384" s="13">
        <v>10311</v>
      </c>
      <c r="S10384" s="13">
        <v>0</v>
      </c>
    </row>
    <row r="10385" spans="18:19" x14ac:dyDescent="0.25">
      <c r="R10385" s="13">
        <v>10312</v>
      </c>
      <c r="S10385" s="13">
        <v>0</v>
      </c>
    </row>
    <row r="10386" spans="18:19" x14ac:dyDescent="0.25">
      <c r="R10386" s="13">
        <v>10313</v>
      </c>
      <c r="S10386" s="13">
        <v>0</v>
      </c>
    </row>
    <row r="10387" spans="18:19" x14ac:dyDescent="0.25">
      <c r="R10387" s="13">
        <v>10314</v>
      </c>
      <c r="S10387" s="13">
        <v>0</v>
      </c>
    </row>
    <row r="10388" spans="18:19" x14ac:dyDescent="0.25">
      <c r="R10388" s="13">
        <v>10315</v>
      </c>
      <c r="S10388" s="13">
        <v>151208451.86954689</v>
      </c>
    </row>
    <row r="10389" spans="18:19" x14ac:dyDescent="0.25">
      <c r="R10389" s="13">
        <v>10316</v>
      </c>
      <c r="S10389" s="13">
        <v>0</v>
      </c>
    </row>
    <row r="10390" spans="18:19" x14ac:dyDescent="0.25">
      <c r="R10390" s="13">
        <v>10317</v>
      </c>
      <c r="S10390" s="13">
        <v>0</v>
      </c>
    </row>
    <row r="10391" spans="18:19" x14ac:dyDescent="0.25">
      <c r="R10391" s="13">
        <v>10318</v>
      </c>
      <c r="S10391" s="13">
        <v>0</v>
      </c>
    </row>
    <row r="10392" spans="18:19" x14ac:dyDescent="0.25">
      <c r="R10392" s="13">
        <v>10319</v>
      </c>
      <c r="S10392" s="13">
        <v>0</v>
      </c>
    </row>
    <row r="10393" spans="18:19" x14ac:dyDescent="0.25">
      <c r="R10393" s="13">
        <v>10320</v>
      </c>
      <c r="S10393" s="13">
        <v>3465030.8234806061</v>
      </c>
    </row>
    <row r="10394" spans="18:19" x14ac:dyDescent="0.25">
      <c r="R10394" s="13">
        <v>10321</v>
      </c>
      <c r="S10394" s="13">
        <v>0</v>
      </c>
    </row>
    <row r="10395" spans="18:19" x14ac:dyDescent="0.25">
      <c r="R10395" s="13">
        <v>10322</v>
      </c>
      <c r="S10395" s="13">
        <v>0</v>
      </c>
    </row>
    <row r="10396" spans="18:19" x14ac:dyDescent="0.25">
      <c r="R10396" s="13">
        <v>10323</v>
      </c>
      <c r="S10396" s="13">
        <v>0</v>
      </c>
    </row>
    <row r="10397" spans="18:19" x14ac:dyDescent="0.25">
      <c r="R10397" s="13">
        <v>10324</v>
      </c>
      <c r="S10397" s="13">
        <v>0</v>
      </c>
    </row>
    <row r="10398" spans="18:19" x14ac:dyDescent="0.25">
      <c r="R10398" s="13">
        <v>10325</v>
      </c>
      <c r="S10398" s="13">
        <v>756067233.59294891</v>
      </c>
    </row>
    <row r="10399" spans="18:19" x14ac:dyDescent="0.25">
      <c r="R10399" s="13">
        <v>10326</v>
      </c>
      <c r="S10399" s="13">
        <v>315228202.95705795</v>
      </c>
    </row>
    <row r="10400" spans="18:19" x14ac:dyDescent="0.25">
      <c r="R10400" s="13">
        <v>10327</v>
      </c>
      <c r="S10400" s="13">
        <v>0</v>
      </c>
    </row>
    <row r="10401" spans="18:19" x14ac:dyDescent="0.25">
      <c r="R10401" s="13">
        <v>10328</v>
      </c>
      <c r="S10401" s="13">
        <v>0</v>
      </c>
    </row>
    <row r="10402" spans="18:19" x14ac:dyDescent="0.25">
      <c r="R10402" s="13">
        <v>10329</v>
      </c>
      <c r="S10402" s="13">
        <v>0</v>
      </c>
    </row>
    <row r="10403" spans="18:19" x14ac:dyDescent="0.25">
      <c r="R10403" s="13">
        <v>10330</v>
      </c>
      <c r="S10403" s="13">
        <v>321326276.30135345</v>
      </c>
    </row>
    <row r="10404" spans="18:19" x14ac:dyDescent="0.25">
      <c r="R10404" s="13">
        <v>10331</v>
      </c>
      <c r="S10404" s="13">
        <v>0</v>
      </c>
    </row>
    <row r="10405" spans="18:19" x14ac:dyDescent="0.25">
      <c r="R10405" s="13">
        <v>10332</v>
      </c>
      <c r="S10405" s="13">
        <v>0</v>
      </c>
    </row>
    <row r="10406" spans="18:19" x14ac:dyDescent="0.25">
      <c r="R10406" s="13">
        <v>10333</v>
      </c>
      <c r="S10406" s="13">
        <v>0</v>
      </c>
    </row>
    <row r="10407" spans="18:19" x14ac:dyDescent="0.25">
      <c r="R10407" s="13">
        <v>10334</v>
      </c>
      <c r="S10407" s="13">
        <v>0</v>
      </c>
    </row>
    <row r="10408" spans="18:19" x14ac:dyDescent="0.25">
      <c r="R10408" s="13">
        <v>10335</v>
      </c>
      <c r="S10408" s="13">
        <v>0</v>
      </c>
    </row>
    <row r="10409" spans="18:19" x14ac:dyDescent="0.25">
      <c r="R10409" s="13">
        <v>10336</v>
      </c>
      <c r="S10409" s="13">
        <v>0</v>
      </c>
    </row>
    <row r="10410" spans="18:19" x14ac:dyDescent="0.25">
      <c r="R10410" s="13">
        <v>10337</v>
      </c>
      <c r="S10410" s="13">
        <v>0</v>
      </c>
    </row>
    <row r="10411" spans="18:19" x14ac:dyDescent="0.25">
      <c r="R10411" s="13">
        <v>10338</v>
      </c>
      <c r="S10411" s="13">
        <v>0</v>
      </c>
    </row>
    <row r="10412" spans="18:19" x14ac:dyDescent="0.25">
      <c r="R10412" s="13">
        <v>10339</v>
      </c>
      <c r="S10412" s="13">
        <v>0</v>
      </c>
    </row>
    <row r="10413" spans="18:19" x14ac:dyDescent="0.25">
      <c r="R10413" s="13">
        <v>10340</v>
      </c>
      <c r="S10413" s="13">
        <v>7401417.9880867004</v>
      </c>
    </row>
    <row r="10414" spans="18:19" x14ac:dyDescent="0.25">
      <c r="R10414" s="13">
        <v>10341</v>
      </c>
      <c r="S10414" s="13">
        <v>0</v>
      </c>
    </row>
    <row r="10415" spans="18:19" x14ac:dyDescent="0.25">
      <c r="R10415" s="13">
        <v>10342</v>
      </c>
      <c r="S10415" s="13">
        <v>576719327.11857796</v>
      </c>
    </row>
    <row r="10416" spans="18:19" x14ac:dyDescent="0.25">
      <c r="R10416" s="13">
        <v>10343</v>
      </c>
      <c r="S10416" s="13">
        <v>0</v>
      </c>
    </row>
    <row r="10417" spans="18:19" x14ac:dyDescent="0.25">
      <c r="R10417" s="13">
        <v>10344</v>
      </c>
      <c r="S10417" s="13">
        <v>0</v>
      </c>
    </row>
    <row r="10418" spans="18:19" x14ac:dyDescent="0.25">
      <c r="R10418" s="13">
        <v>10345</v>
      </c>
      <c r="S10418" s="13">
        <v>0</v>
      </c>
    </row>
    <row r="10419" spans="18:19" x14ac:dyDescent="0.25">
      <c r="R10419" s="13">
        <v>10346</v>
      </c>
      <c r="S10419" s="13">
        <v>0</v>
      </c>
    </row>
    <row r="10420" spans="18:19" x14ac:dyDescent="0.25">
      <c r="R10420" s="13">
        <v>10347</v>
      </c>
      <c r="S10420" s="13">
        <v>0</v>
      </c>
    </row>
    <row r="10421" spans="18:19" x14ac:dyDescent="0.25">
      <c r="R10421" s="13">
        <v>10348</v>
      </c>
      <c r="S10421" s="13">
        <v>0</v>
      </c>
    </row>
    <row r="10422" spans="18:19" x14ac:dyDescent="0.25">
      <c r="R10422" s="13">
        <v>10349</v>
      </c>
      <c r="S10422" s="13">
        <v>0</v>
      </c>
    </row>
    <row r="10423" spans="18:19" x14ac:dyDescent="0.25">
      <c r="R10423" s="13">
        <v>10350</v>
      </c>
      <c r="S10423" s="13">
        <v>0</v>
      </c>
    </row>
    <row r="10424" spans="18:19" x14ac:dyDescent="0.25">
      <c r="R10424" s="13">
        <v>10351</v>
      </c>
      <c r="S10424" s="13">
        <v>0</v>
      </c>
    </row>
    <row r="10425" spans="18:19" x14ac:dyDescent="0.25">
      <c r="R10425" s="13">
        <v>10352</v>
      </c>
      <c r="S10425" s="13">
        <v>0</v>
      </c>
    </row>
    <row r="10426" spans="18:19" x14ac:dyDescent="0.25">
      <c r="R10426" s="13">
        <v>10353</v>
      </c>
      <c r="S10426" s="13">
        <v>0</v>
      </c>
    </row>
    <row r="10427" spans="18:19" x14ac:dyDescent="0.25">
      <c r="R10427" s="13">
        <v>10354</v>
      </c>
      <c r="S10427" s="13">
        <v>0</v>
      </c>
    </row>
    <row r="10428" spans="18:19" x14ac:dyDescent="0.25">
      <c r="R10428" s="13">
        <v>10355</v>
      </c>
      <c r="S10428" s="13">
        <v>0</v>
      </c>
    </row>
    <row r="10429" spans="18:19" x14ac:dyDescent="0.25">
      <c r="R10429" s="13">
        <v>10356</v>
      </c>
      <c r="S10429" s="13">
        <v>0</v>
      </c>
    </row>
    <row r="10430" spans="18:19" x14ac:dyDescent="0.25">
      <c r="R10430" s="13">
        <v>10357</v>
      </c>
      <c r="S10430" s="13">
        <v>162307654.95274544</v>
      </c>
    </row>
    <row r="10431" spans="18:19" x14ac:dyDescent="0.25">
      <c r="R10431" s="13">
        <v>10358</v>
      </c>
      <c r="S10431" s="13">
        <v>0</v>
      </c>
    </row>
    <row r="10432" spans="18:19" x14ac:dyDescent="0.25">
      <c r="R10432" s="13">
        <v>10359</v>
      </c>
      <c r="S10432" s="13">
        <v>0</v>
      </c>
    </row>
    <row r="10433" spans="18:19" x14ac:dyDescent="0.25">
      <c r="R10433" s="13">
        <v>10360</v>
      </c>
      <c r="S10433" s="13">
        <v>0</v>
      </c>
    </row>
    <row r="10434" spans="18:19" x14ac:dyDescent="0.25">
      <c r="R10434" s="13">
        <v>10361</v>
      </c>
      <c r="S10434" s="13">
        <v>437164996.27080536</v>
      </c>
    </row>
    <row r="10435" spans="18:19" x14ac:dyDescent="0.25">
      <c r="R10435" s="13">
        <v>10362</v>
      </c>
      <c r="S10435" s="13">
        <v>0</v>
      </c>
    </row>
    <row r="10436" spans="18:19" x14ac:dyDescent="0.25">
      <c r="R10436" s="13">
        <v>10363</v>
      </c>
      <c r="S10436" s="13">
        <v>0</v>
      </c>
    </row>
    <row r="10437" spans="18:19" x14ac:dyDescent="0.25">
      <c r="R10437" s="13">
        <v>10364</v>
      </c>
      <c r="S10437" s="13">
        <v>0</v>
      </c>
    </row>
    <row r="10438" spans="18:19" x14ac:dyDescent="0.25">
      <c r="R10438" s="13">
        <v>10365</v>
      </c>
      <c r="S10438" s="13">
        <v>567265529.13307381</v>
      </c>
    </row>
    <row r="10439" spans="18:19" x14ac:dyDescent="0.25">
      <c r="R10439" s="13">
        <v>10366</v>
      </c>
      <c r="S10439" s="13">
        <v>0</v>
      </c>
    </row>
    <row r="10440" spans="18:19" x14ac:dyDescent="0.25">
      <c r="R10440" s="13">
        <v>10367</v>
      </c>
      <c r="S10440" s="13">
        <v>0</v>
      </c>
    </row>
    <row r="10441" spans="18:19" x14ac:dyDescent="0.25">
      <c r="R10441" s="13">
        <v>10368</v>
      </c>
      <c r="S10441" s="13">
        <v>0</v>
      </c>
    </row>
    <row r="10442" spans="18:19" x14ac:dyDescent="0.25">
      <c r="R10442" s="13">
        <v>10369</v>
      </c>
      <c r="S10442" s="13">
        <v>197031045.70969009</v>
      </c>
    </row>
    <row r="10443" spans="18:19" x14ac:dyDescent="0.25">
      <c r="R10443" s="13">
        <v>10370</v>
      </c>
      <c r="S10443" s="13">
        <v>699703263.29737282</v>
      </c>
    </row>
    <row r="10444" spans="18:19" x14ac:dyDescent="0.25">
      <c r="R10444" s="13">
        <v>10371</v>
      </c>
      <c r="S10444" s="13">
        <v>0</v>
      </c>
    </row>
    <row r="10445" spans="18:19" x14ac:dyDescent="0.25">
      <c r="R10445" s="13">
        <v>10372</v>
      </c>
      <c r="S10445" s="13">
        <v>0</v>
      </c>
    </row>
    <row r="10446" spans="18:19" x14ac:dyDescent="0.25">
      <c r="R10446" s="13">
        <v>10373</v>
      </c>
      <c r="S10446" s="13">
        <v>0</v>
      </c>
    </row>
    <row r="10447" spans="18:19" x14ac:dyDescent="0.25">
      <c r="R10447" s="13">
        <v>10374</v>
      </c>
      <c r="S10447" s="13">
        <v>0</v>
      </c>
    </row>
    <row r="10448" spans="18:19" x14ac:dyDescent="0.25">
      <c r="R10448" s="13">
        <v>10375</v>
      </c>
      <c r="S10448" s="13">
        <v>0</v>
      </c>
    </row>
    <row r="10449" spans="18:19" x14ac:dyDescent="0.25">
      <c r="R10449" s="13">
        <v>10376</v>
      </c>
      <c r="S10449" s="13">
        <v>0</v>
      </c>
    </row>
    <row r="10450" spans="18:19" x14ac:dyDescent="0.25">
      <c r="R10450" s="13">
        <v>10377</v>
      </c>
      <c r="S10450" s="13">
        <v>0</v>
      </c>
    </row>
    <row r="10451" spans="18:19" x14ac:dyDescent="0.25">
      <c r="R10451" s="13">
        <v>10378</v>
      </c>
      <c r="S10451" s="13">
        <v>313180.96889877319</v>
      </c>
    </row>
    <row r="10452" spans="18:19" x14ac:dyDescent="0.25">
      <c r="R10452" s="13">
        <v>10379</v>
      </c>
      <c r="S10452" s="13">
        <v>0</v>
      </c>
    </row>
    <row r="10453" spans="18:19" x14ac:dyDescent="0.25">
      <c r="R10453" s="13">
        <v>10380</v>
      </c>
      <c r="S10453" s="13">
        <v>0</v>
      </c>
    </row>
    <row r="10454" spans="18:19" x14ac:dyDescent="0.25">
      <c r="R10454" s="13">
        <v>10381</v>
      </c>
      <c r="S10454" s="13">
        <v>0</v>
      </c>
    </row>
    <row r="10455" spans="18:19" x14ac:dyDescent="0.25">
      <c r="R10455" s="13">
        <v>10382</v>
      </c>
      <c r="S10455" s="13">
        <v>765628472.29082298</v>
      </c>
    </row>
    <row r="10456" spans="18:19" x14ac:dyDescent="0.25">
      <c r="R10456" s="13">
        <v>10383</v>
      </c>
      <c r="S10456" s="13">
        <v>0</v>
      </c>
    </row>
    <row r="10457" spans="18:19" x14ac:dyDescent="0.25">
      <c r="R10457" s="13">
        <v>10384</v>
      </c>
      <c r="S10457" s="13">
        <v>0</v>
      </c>
    </row>
    <row r="10458" spans="18:19" x14ac:dyDescent="0.25">
      <c r="R10458" s="13">
        <v>10385</v>
      </c>
      <c r="S10458" s="13">
        <v>0</v>
      </c>
    </row>
    <row r="10459" spans="18:19" x14ac:dyDescent="0.25">
      <c r="R10459" s="13">
        <v>10386</v>
      </c>
      <c r="S10459" s="13">
        <v>0</v>
      </c>
    </row>
    <row r="10460" spans="18:19" x14ac:dyDescent="0.25">
      <c r="R10460" s="13">
        <v>10387</v>
      </c>
      <c r="S10460" s="13">
        <v>0</v>
      </c>
    </row>
    <row r="10461" spans="18:19" x14ac:dyDescent="0.25">
      <c r="R10461" s="13">
        <v>10388</v>
      </c>
      <c r="S10461" s="13">
        <v>0</v>
      </c>
    </row>
    <row r="10462" spans="18:19" x14ac:dyDescent="0.25">
      <c r="R10462" s="13">
        <v>10389</v>
      </c>
      <c r="S10462" s="13">
        <v>0</v>
      </c>
    </row>
    <row r="10463" spans="18:19" x14ac:dyDescent="0.25">
      <c r="R10463" s="13">
        <v>10390</v>
      </c>
      <c r="S10463" s="13">
        <v>0</v>
      </c>
    </row>
    <row r="10464" spans="18:19" x14ac:dyDescent="0.25">
      <c r="R10464" s="13">
        <v>10391</v>
      </c>
      <c r="S10464" s="13">
        <v>0</v>
      </c>
    </row>
    <row r="10465" spans="18:19" x14ac:dyDescent="0.25">
      <c r="R10465" s="13">
        <v>10392</v>
      </c>
      <c r="S10465" s="13">
        <v>457107347.17497826</v>
      </c>
    </row>
    <row r="10466" spans="18:19" x14ac:dyDescent="0.25">
      <c r="R10466" s="13">
        <v>10393</v>
      </c>
      <c r="S10466" s="13">
        <v>0</v>
      </c>
    </row>
    <row r="10467" spans="18:19" x14ac:dyDescent="0.25">
      <c r="R10467" s="13">
        <v>10394</v>
      </c>
      <c r="S10467" s="13">
        <v>0</v>
      </c>
    </row>
    <row r="10468" spans="18:19" x14ac:dyDescent="0.25">
      <c r="R10468" s="13">
        <v>10395</v>
      </c>
      <c r="S10468" s="13">
        <v>261821271.62062263</v>
      </c>
    </row>
    <row r="10469" spans="18:19" x14ac:dyDescent="0.25">
      <c r="R10469" s="13">
        <v>10396</v>
      </c>
      <c r="S10469" s="13">
        <v>851026045.49654961</v>
      </c>
    </row>
    <row r="10470" spans="18:19" x14ac:dyDescent="0.25">
      <c r="R10470" s="13">
        <v>10397</v>
      </c>
      <c r="S10470" s="13">
        <v>0</v>
      </c>
    </row>
    <row r="10471" spans="18:19" x14ac:dyDescent="0.25">
      <c r="R10471" s="13">
        <v>10398</v>
      </c>
      <c r="S10471" s="13">
        <v>0</v>
      </c>
    </row>
    <row r="10472" spans="18:19" x14ac:dyDescent="0.25">
      <c r="R10472" s="13">
        <v>10399</v>
      </c>
      <c r="S10472" s="13">
        <v>0</v>
      </c>
    </row>
    <row r="10473" spans="18:19" x14ac:dyDescent="0.25">
      <c r="R10473" s="13">
        <v>10400</v>
      </c>
      <c r="S10473" s="13">
        <v>0</v>
      </c>
    </row>
    <row r="10474" spans="18:19" x14ac:dyDescent="0.25">
      <c r="R10474" s="13">
        <v>10401</v>
      </c>
      <c r="S10474" s="13">
        <v>0</v>
      </c>
    </row>
    <row r="10475" spans="18:19" x14ac:dyDescent="0.25">
      <c r="R10475" s="13">
        <v>10402</v>
      </c>
      <c r="S10475" s="13">
        <v>0</v>
      </c>
    </row>
    <row r="10476" spans="18:19" x14ac:dyDescent="0.25">
      <c r="R10476" s="13">
        <v>10403</v>
      </c>
      <c r="S10476" s="13">
        <v>743460316.71728706</v>
      </c>
    </row>
    <row r="10477" spans="18:19" x14ac:dyDescent="0.25">
      <c r="R10477" s="13">
        <v>10404</v>
      </c>
      <c r="S10477" s="13">
        <v>144113098.32398415</v>
      </c>
    </row>
    <row r="10478" spans="18:19" x14ac:dyDescent="0.25">
      <c r="R10478" s="13">
        <v>10405</v>
      </c>
      <c r="S10478" s="13">
        <v>0</v>
      </c>
    </row>
    <row r="10479" spans="18:19" x14ac:dyDescent="0.25">
      <c r="R10479" s="13">
        <v>10406</v>
      </c>
      <c r="S10479" s="13">
        <v>0</v>
      </c>
    </row>
    <row r="10480" spans="18:19" x14ac:dyDescent="0.25">
      <c r="R10480" s="13">
        <v>10407</v>
      </c>
      <c r="S10480" s="13">
        <v>634103322.30073166</v>
      </c>
    </row>
    <row r="10481" spans="18:19" x14ac:dyDescent="0.25">
      <c r="R10481" s="13">
        <v>10408</v>
      </c>
      <c r="S10481" s="13">
        <v>967897042.41798592</v>
      </c>
    </row>
    <row r="10482" spans="18:19" x14ac:dyDescent="0.25">
      <c r="R10482" s="13">
        <v>10409</v>
      </c>
      <c r="S10482" s="13">
        <v>0</v>
      </c>
    </row>
    <row r="10483" spans="18:19" x14ac:dyDescent="0.25">
      <c r="R10483" s="13">
        <v>10410</v>
      </c>
      <c r="S10483" s="13">
        <v>0</v>
      </c>
    </row>
    <row r="10484" spans="18:19" x14ac:dyDescent="0.25">
      <c r="R10484" s="13">
        <v>10411</v>
      </c>
      <c r="S10484" s="13">
        <v>0</v>
      </c>
    </row>
    <row r="10485" spans="18:19" x14ac:dyDescent="0.25">
      <c r="R10485" s="13">
        <v>10412</v>
      </c>
      <c r="S10485" s="13">
        <v>0</v>
      </c>
    </row>
    <row r="10486" spans="18:19" x14ac:dyDescent="0.25">
      <c r="R10486" s="13">
        <v>10413</v>
      </c>
      <c r="S10486" s="13">
        <v>25291270.74628067</v>
      </c>
    </row>
    <row r="10487" spans="18:19" x14ac:dyDescent="0.25">
      <c r="R10487" s="13">
        <v>10414</v>
      </c>
      <c r="S10487" s="13">
        <v>94677396.633342743</v>
      </c>
    </row>
    <row r="10488" spans="18:19" x14ac:dyDescent="0.25">
      <c r="R10488" s="13">
        <v>10415</v>
      </c>
      <c r="S10488" s="13">
        <v>487697989.58006668</v>
      </c>
    </row>
    <row r="10489" spans="18:19" x14ac:dyDescent="0.25">
      <c r="R10489" s="13">
        <v>10416</v>
      </c>
      <c r="S10489" s="13">
        <v>0</v>
      </c>
    </row>
    <row r="10490" spans="18:19" x14ac:dyDescent="0.25">
      <c r="R10490" s="13">
        <v>10417</v>
      </c>
      <c r="S10490" s="13">
        <v>0</v>
      </c>
    </row>
    <row r="10491" spans="18:19" x14ac:dyDescent="0.25">
      <c r="R10491" s="13">
        <v>10418</v>
      </c>
      <c r="S10491" s="13">
        <v>0</v>
      </c>
    </row>
    <row r="10492" spans="18:19" x14ac:dyDescent="0.25">
      <c r="R10492" s="13">
        <v>10419</v>
      </c>
      <c r="S10492" s="13">
        <v>0</v>
      </c>
    </row>
    <row r="10493" spans="18:19" x14ac:dyDescent="0.25">
      <c r="R10493" s="13">
        <v>10420</v>
      </c>
      <c r="S10493" s="13">
        <v>0</v>
      </c>
    </row>
    <row r="10494" spans="18:19" x14ac:dyDescent="0.25">
      <c r="R10494" s="13">
        <v>10421</v>
      </c>
      <c r="S10494" s="13">
        <v>192119544.71660233</v>
      </c>
    </row>
    <row r="10495" spans="18:19" x14ac:dyDescent="0.25">
      <c r="R10495" s="13">
        <v>10422</v>
      </c>
      <c r="S10495" s="13">
        <v>0</v>
      </c>
    </row>
    <row r="10496" spans="18:19" x14ac:dyDescent="0.25">
      <c r="R10496" s="13">
        <v>10423</v>
      </c>
      <c r="S10496" s="13">
        <v>0</v>
      </c>
    </row>
    <row r="10497" spans="18:19" x14ac:dyDescent="0.25">
      <c r="R10497" s="13">
        <v>10424</v>
      </c>
      <c r="S10497" s="13">
        <v>0</v>
      </c>
    </row>
    <row r="10498" spans="18:19" x14ac:dyDescent="0.25">
      <c r="R10498" s="13">
        <v>10425</v>
      </c>
      <c r="S10498" s="13">
        <v>0</v>
      </c>
    </row>
    <row r="10499" spans="18:19" x14ac:dyDescent="0.25">
      <c r="R10499" s="13">
        <v>10426</v>
      </c>
      <c r="S10499" s="13">
        <v>0</v>
      </c>
    </row>
    <row r="10500" spans="18:19" x14ac:dyDescent="0.25">
      <c r="R10500" s="13">
        <v>10427</v>
      </c>
      <c r="S10500" s="13">
        <v>0</v>
      </c>
    </row>
    <row r="10501" spans="18:19" x14ac:dyDescent="0.25">
      <c r="R10501" s="13">
        <v>10428</v>
      </c>
      <c r="S10501" s="13">
        <v>0</v>
      </c>
    </row>
    <row r="10502" spans="18:19" x14ac:dyDescent="0.25">
      <c r="R10502" s="13">
        <v>10429</v>
      </c>
      <c r="S10502" s="13">
        <v>0</v>
      </c>
    </row>
    <row r="10503" spans="18:19" x14ac:dyDescent="0.25">
      <c r="R10503" s="13">
        <v>10430</v>
      </c>
      <c r="S10503" s="13">
        <v>0</v>
      </c>
    </row>
    <row r="10504" spans="18:19" x14ac:dyDescent="0.25">
      <c r="R10504" s="13">
        <v>10431</v>
      </c>
      <c r="S10504" s="13">
        <v>0</v>
      </c>
    </row>
    <row r="10505" spans="18:19" x14ac:dyDescent="0.25">
      <c r="R10505" s="13">
        <v>10432</v>
      </c>
      <c r="S10505" s="13">
        <v>0</v>
      </c>
    </row>
    <row r="10506" spans="18:19" x14ac:dyDescent="0.25">
      <c r="R10506" s="13">
        <v>10433</v>
      </c>
      <c r="S10506" s="13">
        <v>394574914.33292389</v>
      </c>
    </row>
    <row r="10507" spans="18:19" x14ac:dyDescent="0.25">
      <c r="R10507" s="13">
        <v>10434</v>
      </c>
      <c r="S10507" s="13">
        <v>0</v>
      </c>
    </row>
    <row r="10508" spans="18:19" x14ac:dyDescent="0.25">
      <c r="R10508" s="13">
        <v>10435</v>
      </c>
      <c r="S10508" s="13">
        <v>0</v>
      </c>
    </row>
    <row r="10509" spans="18:19" x14ac:dyDescent="0.25">
      <c r="R10509" s="13">
        <v>10436</v>
      </c>
      <c r="S10509" s="13">
        <v>0</v>
      </c>
    </row>
    <row r="10510" spans="18:19" x14ac:dyDescent="0.25">
      <c r="R10510" s="13">
        <v>10437</v>
      </c>
      <c r="S10510" s="13">
        <v>0</v>
      </c>
    </row>
    <row r="10511" spans="18:19" x14ac:dyDescent="0.25">
      <c r="R10511" s="13">
        <v>10438</v>
      </c>
      <c r="S10511" s="13">
        <v>12662785.975860596</v>
      </c>
    </row>
    <row r="10512" spans="18:19" x14ac:dyDescent="0.25">
      <c r="R10512" s="13">
        <v>10439</v>
      </c>
      <c r="S10512" s="13">
        <v>0</v>
      </c>
    </row>
    <row r="10513" spans="18:19" x14ac:dyDescent="0.25">
      <c r="R10513" s="13">
        <v>10440</v>
      </c>
      <c r="S10513" s="13">
        <v>675912887.77197838</v>
      </c>
    </row>
    <row r="10514" spans="18:19" x14ac:dyDescent="0.25">
      <c r="R10514" s="13">
        <v>10441</v>
      </c>
      <c r="S10514" s="13">
        <v>0</v>
      </c>
    </row>
    <row r="10515" spans="18:19" x14ac:dyDescent="0.25">
      <c r="R10515" s="13">
        <v>10442</v>
      </c>
      <c r="S10515" s="13">
        <v>485541636.3155098</v>
      </c>
    </row>
    <row r="10516" spans="18:19" x14ac:dyDescent="0.25">
      <c r="R10516" s="13">
        <v>10443</v>
      </c>
      <c r="S10516" s="13">
        <v>699981158.11994171</v>
      </c>
    </row>
    <row r="10517" spans="18:19" x14ac:dyDescent="0.25">
      <c r="R10517" s="13">
        <v>10444</v>
      </c>
      <c r="S10517" s="13">
        <v>0</v>
      </c>
    </row>
    <row r="10518" spans="18:19" x14ac:dyDescent="0.25">
      <c r="R10518" s="13">
        <v>10445</v>
      </c>
      <c r="S10518" s="13">
        <v>0</v>
      </c>
    </row>
    <row r="10519" spans="18:19" x14ac:dyDescent="0.25">
      <c r="R10519" s="13">
        <v>10446</v>
      </c>
      <c r="S10519" s="13">
        <v>559982447.4034996</v>
      </c>
    </row>
    <row r="10520" spans="18:19" x14ac:dyDescent="0.25">
      <c r="R10520" s="13">
        <v>10447</v>
      </c>
      <c r="S10520" s="13">
        <v>0</v>
      </c>
    </row>
    <row r="10521" spans="18:19" x14ac:dyDescent="0.25">
      <c r="R10521" s="13">
        <v>10448</v>
      </c>
      <c r="S10521" s="13">
        <v>0</v>
      </c>
    </row>
    <row r="10522" spans="18:19" x14ac:dyDescent="0.25">
      <c r="R10522" s="13">
        <v>10449</v>
      </c>
      <c r="S10522" s="13">
        <v>0</v>
      </c>
    </row>
    <row r="10523" spans="18:19" x14ac:dyDescent="0.25">
      <c r="R10523" s="13">
        <v>10450</v>
      </c>
      <c r="S10523" s="13">
        <v>143266603.26614571</v>
      </c>
    </row>
    <row r="10524" spans="18:19" x14ac:dyDescent="0.25">
      <c r="R10524" s="13">
        <v>10451</v>
      </c>
      <c r="S10524" s="13">
        <v>0</v>
      </c>
    </row>
    <row r="10525" spans="18:19" x14ac:dyDescent="0.25">
      <c r="R10525" s="13">
        <v>10452</v>
      </c>
      <c r="S10525" s="13">
        <v>0</v>
      </c>
    </row>
    <row r="10526" spans="18:19" x14ac:dyDescent="0.25">
      <c r="R10526" s="13">
        <v>10453</v>
      </c>
      <c r="S10526" s="13">
        <v>0</v>
      </c>
    </row>
    <row r="10527" spans="18:19" x14ac:dyDescent="0.25">
      <c r="R10527" s="13">
        <v>10454</v>
      </c>
      <c r="S10527" s="13">
        <v>0</v>
      </c>
    </row>
    <row r="10528" spans="18:19" x14ac:dyDescent="0.25">
      <c r="R10528" s="13">
        <v>10455</v>
      </c>
      <c r="S10528" s="13">
        <v>0</v>
      </c>
    </row>
    <row r="10529" spans="18:19" x14ac:dyDescent="0.25">
      <c r="R10529" s="13">
        <v>10456</v>
      </c>
      <c r="S10529" s="13">
        <v>0</v>
      </c>
    </row>
    <row r="10530" spans="18:19" x14ac:dyDescent="0.25">
      <c r="R10530" s="13">
        <v>10457</v>
      </c>
      <c r="S10530" s="13">
        <v>0</v>
      </c>
    </row>
    <row r="10531" spans="18:19" x14ac:dyDescent="0.25">
      <c r="R10531" s="13">
        <v>10458</v>
      </c>
      <c r="S10531" s="13">
        <v>1254540473.8961067</v>
      </c>
    </row>
    <row r="10532" spans="18:19" x14ac:dyDescent="0.25">
      <c r="R10532" s="13">
        <v>10459</v>
      </c>
      <c r="S10532" s="13">
        <v>905987855.6353035</v>
      </c>
    </row>
    <row r="10533" spans="18:19" x14ac:dyDescent="0.25">
      <c r="R10533" s="13">
        <v>10460</v>
      </c>
      <c r="S10533" s="13">
        <v>0</v>
      </c>
    </row>
    <row r="10534" spans="18:19" x14ac:dyDescent="0.25">
      <c r="R10534" s="13">
        <v>10461</v>
      </c>
      <c r="S10534" s="13">
        <v>0</v>
      </c>
    </row>
    <row r="10535" spans="18:19" x14ac:dyDescent="0.25">
      <c r="R10535" s="13">
        <v>10462</v>
      </c>
      <c r="S10535" s="13">
        <v>0</v>
      </c>
    </row>
    <row r="10536" spans="18:19" x14ac:dyDescent="0.25">
      <c r="R10536" s="13">
        <v>10463</v>
      </c>
      <c r="S10536" s="13">
        <v>0</v>
      </c>
    </row>
    <row r="10537" spans="18:19" x14ac:dyDescent="0.25">
      <c r="R10537" s="13">
        <v>10464</v>
      </c>
      <c r="S10537" s="13">
        <v>0</v>
      </c>
    </row>
    <row r="10538" spans="18:19" x14ac:dyDescent="0.25">
      <c r="R10538" s="13">
        <v>10465</v>
      </c>
      <c r="S10538" s="13">
        <v>0</v>
      </c>
    </row>
    <row r="10539" spans="18:19" x14ac:dyDescent="0.25">
      <c r="R10539" s="13">
        <v>10466</v>
      </c>
      <c r="S10539" s="13">
        <v>0</v>
      </c>
    </row>
    <row r="10540" spans="18:19" x14ac:dyDescent="0.25">
      <c r="R10540" s="13">
        <v>10467</v>
      </c>
      <c r="S10540" s="13">
        <v>0</v>
      </c>
    </row>
    <row r="10541" spans="18:19" x14ac:dyDescent="0.25">
      <c r="R10541" s="13">
        <v>10468</v>
      </c>
      <c r="S10541" s="13">
        <v>640964671.32663918</v>
      </c>
    </row>
    <row r="10542" spans="18:19" x14ac:dyDescent="0.25">
      <c r="R10542" s="13">
        <v>10469</v>
      </c>
      <c r="S10542" s="13">
        <v>0</v>
      </c>
    </row>
    <row r="10543" spans="18:19" x14ac:dyDescent="0.25">
      <c r="R10543" s="13">
        <v>10470</v>
      </c>
      <c r="S10543" s="13">
        <v>0</v>
      </c>
    </row>
    <row r="10544" spans="18:19" x14ac:dyDescent="0.25">
      <c r="R10544" s="13">
        <v>10471</v>
      </c>
      <c r="S10544" s="13">
        <v>0</v>
      </c>
    </row>
    <row r="10545" spans="18:19" x14ac:dyDescent="0.25">
      <c r="R10545" s="13">
        <v>10472</v>
      </c>
      <c r="S10545" s="13">
        <v>0</v>
      </c>
    </row>
    <row r="10546" spans="18:19" x14ac:dyDescent="0.25">
      <c r="R10546" s="13">
        <v>10473</v>
      </c>
      <c r="S10546" s="13">
        <v>0</v>
      </c>
    </row>
    <row r="10547" spans="18:19" x14ac:dyDescent="0.25">
      <c r="R10547" s="13">
        <v>10474</v>
      </c>
      <c r="S10547" s="13">
        <v>358879744.41943741</v>
      </c>
    </row>
    <row r="10548" spans="18:19" x14ac:dyDescent="0.25">
      <c r="R10548" s="13">
        <v>10475</v>
      </c>
      <c r="S10548" s="13">
        <v>0</v>
      </c>
    </row>
    <row r="10549" spans="18:19" x14ac:dyDescent="0.25">
      <c r="R10549" s="13">
        <v>10476</v>
      </c>
      <c r="S10549" s="13">
        <v>302914193.42698479</v>
      </c>
    </row>
    <row r="10550" spans="18:19" x14ac:dyDescent="0.25">
      <c r="R10550" s="13">
        <v>10477</v>
      </c>
      <c r="S10550" s="13">
        <v>0</v>
      </c>
    </row>
    <row r="10551" spans="18:19" x14ac:dyDescent="0.25">
      <c r="R10551" s="13">
        <v>10478</v>
      </c>
      <c r="S10551" s="13">
        <v>17276443.089920044</v>
      </c>
    </row>
    <row r="10552" spans="18:19" x14ac:dyDescent="0.25">
      <c r="R10552" s="13">
        <v>10479</v>
      </c>
      <c r="S10552" s="13">
        <v>0</v>
      </c>
    </row>
    <row r="10553" spans="18:19" x14ac:dyDescent="0.25">
      <c r="R10553" s="13">
        <v>10480</v>
      </c>
      <c r="S10553" s="13">
        <v>0</v>
      </c>
    </row>
    <row r="10554" spans="18:19" x14ac:dyDescent="0.25">
      <c r="R10554" s="13">
        <v>10481</v>
      </c>
      <c r="S10554" s="13">
        <v>0</v>
      </c>
    </row>
    <row r="10555" spans="18:19" x14ac:dyDescent="0.25">
      <c r="R10555" s="13">
        <v>10482</v>
      </c>
      <c r="S10555" s="13">
        <v>0</v>
      </c>
    </row>
    <row r="10556" spans="18:19" x14ac:dyDescent="0.25">
      <c r="R10556" s="13">
        <v>10483</v>
      </c>
      <c r="S10556" s="13">
        <v>0</v>
      </c>
    </row>
    <row r="10557" spans="18:19" x14ac:dyDescent="0.25">
      <c r="R10557" s="13">
        <v>10484</v>
      </c>
      <c r="S10557" s="13">
        <v>0</v>
      </c>
    </row>
    <row r="10558" spans="18:19" x14ac:dyDescent="0.25">
      <c r="R10558" s="13">
        <v>10485</v>
      </c>
      <c r="S10558" s="13">
        <v>111982169.78261566</v>
      </c>
    </row>
    <row r="10559" spans="18:19" x14ac:dyDescent="0.25">
      <c r="R10559" s="13">
        <v>10486</v>
      </c>
      <c r="S10559" s="13">
        <v>0</v>
      </c>
    </row>
    <row r="10560" spans="18:19" x14ac:dyDescent="0.25">
      <c r="R10560" s="13">
        <v>10487</v>
      </c>
      <c r="S10560" s="13">
        <v>0</v>
      </c>
    </row>
    <row r="10561" spans="18:19" x14ac:dyDescent="0.25">
      <c r="R10561" s="13">
        <v>10488</v>
      </c>
      <c r="S10561" s="13">
        <v>0</v>
      </c>
    </row>
    <row r="10562" spans="18:19" x14ac:dyDescent="0.25">
      <c r="R10562" s="13">
        <v>10489</v>
      </c>
      <c r="S10562" s="13">
        <v>0</v>
      </c>
    </row>
    <row r="10563" spans="18:19" x14ac:dyDescent="0.25">
      <c r="R10563" s="13">
        <v>10490</v>
      </c>
      <c r="S10563" s="13">
        <v>0</v>
      </c>
    </row>
    <row r="10564" spans="18:19" x14ac:dyDescent="0.25">
      <c r="R10564" s="13">
        <v>10491</v>
      </c>
      <c r="S10564" s="13">
        <v>0</v>
      </c>
    </row>
    <row r="10565" spans="18:19" x14ac:dyDescent="0.25">
      <c r="R10565" s="13">
        <v>10492</v>
      </c>
      <c r="S10565" s="13">
        <v>0</v>
      </c>
    </row>
    <row r="10566" spans="18:19" x14ac:dyDescent="0.25">
      <c r="R10566" s="13">
        <v>10493</v>
      </c>
      <c r="S10566" s="13">
        <v>0</v>
      </c>
    </row>
    <row r="10567" spans="18:19" x14ac:dyDescent="0.25">
      <c r="R10567" s="13">
        <v>10494</v>
      </c>
      <c r="S10567" s="13">
        <v>0</v>
      </c>
    </row>
    <row r="10568" spans="18:19" x14ac:dyDescent="0.25">
      <c r="R10568" s="13">
        <v>10495</v>
      </c>
      <c r="S10568" s="13">
        <v>0</v>
      </c>
    </row>
    <row r="10569" spans="18:19" x14ac:dyDescent="0.25">
      <c r="R10569" s="13">
        <v>10496</v>
      </c>
      <c r="S10569" s="13">
        <v>390561732.81899643</v>
      </c>
    </row>
    <row r="10570" spans="18:19" x14ac:dyDescent="0.25">
      <c r="R10570" s="13">
        <v>10497</v>
      </c>
      <c r="S10570" s="13">
        <v>0</v>
      </c>
    </row>
    <row r="10571" spans="18:19" x14ac:dyDescent="0.25">
      <c r="R10571" s="13">
        <v>10498</v>
      </c>
      <c r="S10571" s="13">
        <v>0</v>
      </c>
    </row>
    <row r="10572" spans="18:19" x14ac:dyDescent="0.25">
      <c r="R10572" s="13">
        <v>10499</v>
      </c>
      <c r="S10572" s="13">
        <v>0</v>
      </c>
    </row>
    <row r="10573" spans="18:19" x14ac:dyDescent="0.25">
      <c r="R10573" s="13">
        <v>10500</v>
      </c>
      <c r="S10573" s="13">
        <v>510743241.18425751</v>
      </c>
    </row>
    <row r="10574" spans="18:19" x14ac:dyDescent="0.25">
      <c r="R10574" s="13">
        <v>10501</v>
      </c>
      <c r="S10574" s="13">
        <v>0</v>
      </c>
    </row>
    <row r="10575" spans="18:19" x14ac:dyDescent="0.25">
      <c r="R10575" s="13">
        <v>10502</v>
      </c>
      <c r="S10575" s="13">
        <v>0</v>
      </c>
    </row>
    <row r="10576" spans="18:19" x14ac:dyDescent="0.25">
      <c r="R10576" s="13">
        <v>10503</v>
      </c>
      <c r="S10576" s="13">
        <v>0</v>
      </c>
    </row>
    <row r="10577" spans="18:19" x14ac:dyDescent="0.25">
      <c r="R10577" s="13">
        <v>10504</v>
      </c>
      <c r="S10577" s="13">
        <v>533839942.8516922</v>
      </c>
    </row>
    <row r="10578" spans="18:19" x14ac:dyDescent="0.25">
      <c r="R10578" s="13">
        <v>10505</v>
      </c>
      <c r="S10578" s="13">
        <v>0</v>
      </c>
    </row>
    <row r="10579" spans="18:19" x14ac:dyDescent="0.25">
      <c r="R10579" s="13">
        <v>10506</v>
      </c>
      <c r="S10579" s="13">
        <v>0</v>
      </c>
    </row>
    <row r="10580" spans="18:19" x14ac:dyDescent="0.25">
      <c r="R10580" s="13">
        <v>10507</v>
      </c>
      <c r="S10580" s="13">
        <v>0</v>
      </c>
    </row>
    <row r="10581" spans="18:19" x14ac:dyDescent="0.25">
      <c r="R10581" s="13">
        <v>10508</v>
      </c>
      <c r="S10581" s="13">
        <v>0</v>
      </c>
    </row>
    <row r="10582" spans="18:19" x14ac:dyDescent="0.25">
      <c r="R10582" s="13">
        <v>10509</v>
      </c>
      <c r="S10582" s="13">
        <v>235946438.95792961</v>
      </c>
    </row>
    <row r="10583" spans="18:19" x14ac:dyDescent="0.25">
      <c r="R10583" s="13">
        <v>10510</v>
      </c>
      <c r="S10583" s="13">
        <v>720397449.36444092</v>
      </c>
    </row>
    <row r="10584" spans="18:19" x14ac:dyDescent="0.25">
      <c r="R10584" s="13">
        <v>10511</v>
      </c>
      <c r="S10584" s="13">
        <v>171082583.42038727</v>
      </c>
    </row>
    <row r="10585" spans="18:19" x14ac:dyDescent="0.25">
      <c r="R10585" s="13">
        <v>10512</v>
      </c>
      <c r="S10585" s="13">
        <v>0</v>
      </c>
    </row>
    <row r="10586" spans="18:19" x14ac:dyDescent="0.25">
      <c r="R10586" s="13">
        <v>10513</v>
      </c>
      <c r="S10586" s="13">
        <v>0</v>
      </c>
    </row>
    <row r="10587" spans="18:19" x14ac:dyDescent="0.25">
      <c r="R10587" s="13">
        <v>10514</v>
      </c>
      <c r="S10587" s="13">
        <v>0</v>
      </c>
    </row>
    <row r="10588" spans="18:19" x14ac:dyDescent="0.25">
      <c r="R10588" s="13">
        <v>10515</v>
      </c>
      <c r="S10588" s="13">
        <v>0</v>
      </c>
    </row>
    <row r="10589" spans="18:19" x14ac:dyDescent="0.25">
      <c r="R10589" s="13">
        <v>10516</v>
      </c>
      <c r="S10589" s="13">
        <v>0</v>
      </c>
    </row>
    <row r="10590" spans="18:19" x14ac:dyDescent="0.25">
      <c r="R10590" s="13">
        <v>10517</v>
      </c>
      <c r="S10590" s="13">
        <v>0</v>
      </c>
    </row>
    <row r="10591" spans="18:19" x14ac:dyDescent="0.25">
      <c r="R10591" s="13">
        <v>10518</v>
      </c>
      <c r="S10591" s="13">
        <v>0</v>
      </c>
    </row>
    <row r="10592" spans="18:19" x14ac:dyDescent="0.25">
      <c r="R10592" s="13">
        <v>10519</v>
      </c>
      <c r="S10592" s="13">
        <v>0</v>
      </c>
    </row>
    <row r="10593" spans="18:19" x14ac:dyDescent="0.25">
      <c r="R10593" s="13">
        <v>10520</v>
      </c>
      <c r="S10593" s="13">
        <v>0</v>
      </c>
    </row>
    <row r="10594" spans="18:19" x14ac:dyDescent="0.25">
      <c r="R10594" s="13">
        <v>10521</v>
      </c>
      <c r="S10594" s="13">
        <v>0</v>
      </c>
    </row>
    <row r="10595" spans="18:19" x14ac:dyDescent="0.25">
      <c r="R10595" s="13">
        <v>10522</v>
      </c>
      <c r="S10595" s="13">
        <v>0</v>
      </c>
    </row>
    <row r="10596" spans="18:19" x14ac:dyDescent="0.25">
      <c r="R10596" s="13">
        <v>10523</v>
      </c>
      <c r="S10596" s="13">
        <v>0</v>
      </c>
    </row>
    <row r="10597" spans="18:19" x14ac:dyDescent="0.25">
      <c r="R10597" s="13">
        <v>10524</v>
      </c>
      <c r="S10597" s="13">
        <v>0</v>
      </c>
    </row>
    <row r="10598" spans="18:19" x14ac:dyDescent="0.25">
      <c r="R10598" s="13">
        <v>10525</v>
      </c>
      <c r="S10598" s="13">
        <v>685603142.233284</v>
      </c>
    </row>
    <row r="10599" spans="18:19" x14ac:dyDescent="0.25">
      <c r="R10599" s="13">
        <v>10526</v>
      </c>
      <c r="S10599" s="13">
        <v>0</v>
      </c>
    </row>
    <row r="10600" spans="18:19" x14ac:dyDescent="0.25">
      <c r="R10600" s="13">
        <v>10527</v>
      </c>
      <c r="S10600" s="13">
        <v>0</v>
      </c>
    </row>
    <row r="10601" spans="18:19" x14ac:dyDescent="0.25">
      <c r="R10601" s="13">
        <v>10528</v>
      </c>
      <c r="S10601" s="13">
        <v>447802766.59339523</v>
      </c>
    </row>
    <row r="10602" spans="18:19" x14ac:dyDescent="0.25">
      <c r="R10602" s="13">
        <v>10529</v>
      </c>
      <c r="S10602" s="13">
        <v>0</v>
      </c>
    </row>
    <row r="10603" spans="18:19" x14ac:dyDescent="0.25">
      <c r="R10603" s="13">
        <v>10530</v>
      </c>
      <c r="S10603" s="13">
        <v>0</v>
      </c>
    </row>
    <row r="10604" spans="18:19" x14ac:dyDescent="0.25">
      <c r="R10604" s="13">
        <v>10531</v>
      </c>
      <c r="S10604" s="13">
        <v>0</v>
      </c>
    </row>
    <row r="10605" spans="18:19" x14ac:dyDescent="0.25">
      <c r="R10605" s="13">
        <v>10532</v>
      </c>
      <c r="S10605" s="13">
        <v>461996921.1825161</v>
      </c>
    </row>
    <row r="10606" spans="18:19" x14ac:dyDescent="0.25">
      <c r="R10606" s="13">
        <v>10533</v>
      </c>
      <c r="S10606" s="13">
        <v>40242310.936231613</v>
      </c>
    </row>
    <row r="10607" spans="18:19" x14ac:dyDescent="0.25">
      <c r="R10607" s="13">
        <v>10534</v>
      </c>
      <c r="S10607" s="13">
        <v>0</v>
      </c>
    </row>
    <row r="10608" spans="18:19" x14ac:dyDescent="0.25">
      <c r="R10608" s="13">
        <v>10535</v>
      </c>
      <c r="S10608" s="13">
        <v>0</v>
      </c>
    </row>
    <row r="10609" spans="18:19" x14ac:dyDescent="0.25">
      <c r="R10609" s="13">
        <v>10536</v>
      </c>
      <c r="S10609" s="13">
        <v>0</v>
      </c>
    </row>
    <row r="10610" spans="18:19" x14ac:dyDescent="0.25">
      <c r="R10610" s="13">
        <v>10537</v>
      </c>
      <c r="S10610" s="13">
        <v>0</v>
      </c>
    </row>
    <row r="10611" spans="18:19" x14ac:dyDescent="0.25">
      <c r="R10611" s="13">
        <v>10538</v>
      </c>
      <c r="S10611" s="13">
        <v>0</v>
      </c>
    </row>
    <row r="10612" spans="18:19" x14ac:dyDescent="0.25">
      <c r="R10612" s="13">
        <v>10539</v>
      </c>
      <c r="S10612" s="13">
        <v>0</v>
      </c>
    </row>
    <row r="10613" spans="18:19" x14ac:dyDescent="0.25">
      <c r="R10613" s="13">
        <v>10540</v>
      </c>
      <c r="S10613" s="13">
        <v>0</v>
      </c>
    </row>
    <row r="10614" spans="18:19" x14ac:dyDescent="0.25">
      <c r="R10614" s="13">
        <v>10541</v>
      </c>
      <c r="S10614" s="13">
        <v>0</v>
      </c>
    </row>
    <row r="10615" spans="18:19" x14ac:dyDescent="0.25">
      <c r="R10615" s="13">
        <v>10542</v>
      </c>
      <c r="S10615" s="13">
        <v>0</v>
      </c>
    </row>
    <row r="10616" spans="18:19" x14ac:dyDescent="0.25">
      <c r="R10616" s="13">
        <v>10543</v>
      </c>
      <c r="S10616" s="13">
        <v>1038277114.4667511</v>
      </c>
    </row>
    <row r="10617" spans="18:19" x14ac:dyDescent="0.25">
      <c r="R10617" s="13">
        <v>10544</v>
      </c>
      <c r="S10617" s="13">
        <v>0</v>
      </c>
    </row>
    <row r="10618" spans="18:19" x14ac:dyDescent="0.25">
      <c r="R10618" s="13">
        <v>10545</v>
      </c>
      <c r="S10618" s="13">
        <v>0</v>
      </c>
    </row>
    <row r="10619" spans="18:19" x14ac:dyDescent="0.25">
      <c r="R10619" s="13">
        <v>10546</v>
      </c>
      <c r="S10619" s="13">
        <v>0</v>
      </c>
    </row>
    <row r="10620" spans="18:19" x14ac:dyDescent="0.25">
      <c r="R10620" s="13">
        <v>10547</v>
      </c>
      <c r="S10620" s="13">
        <v>139349403.38850975</v>
      </c>
    </row>
    <row r="10621" spans="18:19" x14ac:dyDescent="0.25">
      <c r="R10621" s="13">
        <v>10548</v>
      </c>
      <c r="S10621" s="13">
        <v>0</v>
      </c>
    </row>
    <row r="10622" spans="18:19" x14ac:dyDescent="0.25">
      <c r="R10622" s="13">
        <v>10549</v>
      </c>
      <c r="S10622" s="13">
        <v>0</v>
      </c>
    </row>
    <row r="10623" spans="18:19" x14ac:dyDescent="0.25">
      <c r="R10623" s="13">
        <v>10550</v>
      </c>
      <c r="S10623" s="13">
        <v>0</v>
      </c>
    </row>
    <row r="10624" spans="18:19" x14ac:dyDescent="0.25">
      <c r="R10624" s="13">
        <v>10551</v>
      </c>
      <c r="S10624" s="13">
        <v>0</v>
      </c>
    </row>
    <row r="10625" spans="18:19" x14ac:dyDescent="0.25">
      <c r="R10625" s="13">
        <v>10552</v>
      </c>
      <c r="S10625" s="13">
        <v>0</v>
      </c>
    </row>
    <row r="10626" spans="18:19" x14ac:dyDescent="0.25">
      <c r="R10626" s="13">
        <v>10553</v>
      </c>
      <c r="S10626" s="13">
        <v>177970190.80357742</v>
      </c>
    </row>
    <row r="10627" spans="18:19" x14ac:dyDescent="0.25">
      <c r="R10627" s="13">
        <v>10554</v>
      </c>
      <c r="S10627" s="13">
        <v>382654872.01245499</v>
      </c>
    </row>
    <row r="10628" spans="18:19" x14ac:dyDescent="0.25">
      <c r="R10628" s="13">
        <v>10555</v>
      </c>
      <c r="S10628" s="13">
        <v>86337234.021749496</v>
      </c>
    </row>
    <row r="10629" spans="18:19" x14ac:dyDescent="0.25">
      <c r="R10629" s="13">
        <v>10556</v>
      </c>
      <c r="S10629" s="13">
        <v>0</v>
      </c>
    </row>
    <row r="10630" spans="18:19" x14ac:dyDescent="0.25">
      <c r="R10630" s="13">
        <v>10557</v>
      </c>
      <c r="S10630" s="13">
        <v>0</v>
      </c>
    </row>
    <row r="10631" spans="18:19" x14ac:dyDescent="0.25">
      <c r="R10631" s="13">
        <v>10558</v>
      </c>
      <c r="S10631" s="13">
        <v>0</v>
      </c>
    </row>
    <row r="10632" spans="18:19" x14ac:dyDescent="0.25">
      <c r="R10632" s="13">
        <v>10559</v>
      </c>
      <c r="S10632" s="13">
        <v>0</v>
      </c>
    </row>
    <row r="10633" spans="18:19" x14ac:dyDescent="0.25">
      <c r="R10633" s="13">
        <v>10560</v>
      </c>
      <c r="S10633" s="13">
        <v>0</v>
      </c>
    </row>
    <row r="10634" spans="18:19" x14ac:dyDescent="0.25">
      <c r="R10634" s="13">
        <v>10561</v>
      </c>
      <c r="S10634" s="13">
        <v>0</v>
      </c>
    </row>
    <row r="10635" spans="18:19" x14ac:dyDescent="0.25">
      <c r="R10635" s="13">
        <v>10562</v>
      </c>
      <c r="S10635" s="13">
        <v>0</v>
      </c>
    </row>
    <row r="10636" spans="18:19" x14ac:dyDescent="0.25">
      <c r="R10636" s="13">
        <v>10563</v>
      </c>
      <c r="S10636" s="13">
        <v>0</v>
      </c>
    </row>
    <row r="10637" spans="18:19" x14ac:dyDescent="0.25">
      <c r="R10637" s="13">
        <v>10564</v>
      </c>
      <c r="S10637" s="13">
        <v>0</v>
      </c>
    </row>
    <row r="10638" spans="18:19" x14ac:dyDescent="0.25">
      <c r="R10638" s="13">
        <v>10565</v>
      </c>
      <c r="S10638" s="13">
        <v>0</v>
      </c>
    </row>
    <row r="10639" spans="18:19" x14ac:dyDescent="0.25">
      <c r="R10639" s="13">
        <v>10566</v>
      </c>
      <c r="S10639" s="13">
        <v>0</v>
      </c>
    </row>
    <row r="10640" spans="18:19" x14ac:dyDescent="0.25">
      <c r="R10640" s="13">
        <v>10567</v>
      </c>
      <c r="S10640" s="13">
        <v>0</v>
      </c>
    </row>
    <row r="10641" spans="18:19" x14ac:dyDescent="0.25">
      <c r="R10641" s="13">
        <v>10568</v>
      </c>
      <c r="S10641" s="13">
        <v>0</v>
      </c>
    </row>
    <row r="10642" spans="18:19" x14ac:dyDescent="0.25">
      <c r="R10642" s="13">
        <v>10569</v>
      </c>
      <c r="S10642" s="13">
        <v>887831120.10837555</v>
      </c>
    </row>
    <row r="10643" spans="18:19" x14ac:dyDescent="0.25">
      <c r="R10643" s="13">
        <v>10570</v>
      </c>
      <c r="S10643" s="13">
        <v>341637257.50126266</v>
      </c>
    </row>
    <row r="10644" spans="18:19" x14ac:dyDescent="0.25">
      <c r="R10644" s="13">
        <v>10571</v>
      </c>
      <c r="S10644" s="13">
        <v>0</v>
      </c>
    </row>
    <row r="10645" spans="18:19" x14ac:dyDescent="0.25">
      <c r="R10645" s="13">
        <v>10572</v>
      </c>
      <c r="S10645" s="13">
        <v>0</v>
      </c>
    </row>
    <row r="10646" spans="18:19" x14ac:dyDescent="0.25">
      <c r="R10646" s="13">
        <v>10573</v>
      </c>
      <c r="S10646" s="13">
        <v>0</v>
      </c>
    </row>
    <row r="10647" spans="18:19" x14ac:dyDescent="0.25">
      <c r="R10647" s="13">
        <v>10574</v>
      </c>
      <c r="S10647" s="13">
        <v>0</v>
      </c>
    </row>
    <row r="10648" spans="18:19" x14ac:dyDescent="0.25">
      <c r="R10648" s="13">
        <v>10575</v>
      </c>
      <c r="S10648" s="13">
        <v>0</v>
      </c>
    </row>
    <row r="10649" spans="18:19" x14ac:dyDescent="0.25">
      <c r="R10649" s="13">
        <v>10576</v>
      </c>
      <c r="S10649" s="13">
        <v>0</v>
      </c>
    </row>
    <row r="10650" spans="18:19" x14ac:dyDescent="0.25">
      <c r="R10650" s="13">
        <v>10577</v>
      </c>
      <c r="S10650" s="13">
        <v>0</v>
      </c>
    </row>
    <row r="10651" spans="18:19" x14ac:dyDescent="0.25">
      <c r="R10651" s="13">
        <v>10578</v>
      </c>
      <c r="S10651" s="13">
        <v>121095563.78334427</v>
      </c>
    </row>
    <row r="10652" spans="18:19" x14ac:dyDescent="0.25">
      <c r="R10652" s="13">
        <v>10579</v>
      </c>
      <c r="S10652" s="13">
        <v>0</v>
      </c>
    </row>
    <row r="10653" spans="18:19" x14ac:dyDescent="0.25">
      <c r="R10653" s="13">
        <v>10580</v>
      </c>
      <c r="S10653" s="13">
        <v>0</v>
      </c>
    </row>
    <row r="10654" spans="18:19" x14ac:dyDescent="0.25">
      <c r="R10654" s="13">
        <v>10581</v>
      </c>
      <c r="S10654" s="13">
        <v>0</v>
      </c>
    </row>
    <row r="10655" spans="18:19" x14ac:dyDescent="0.25">
      <c r="R10655" s="13">
        <v>10582</v>
      </c>
      <c r="S10655" s="13">
        <v>0</v>
      </c>
    </row>
    <row r="10656" spans="18:19" x14ac:dyDescent="0.25">
      <c r="R10656" s="13">
        <v>10583</v>
      </c>
      <c r="S10656" s="13">
        <v>0</v>
      </c>
    </row>
    <row r="10657" spans="18:19" x14ac:dyDescent="0.25">
      <c r="R10657" s="13">
        <v>10584</v>
      </c>
      <c r="S10657" s="13">
        <v>0</v>
      </c>
    </row>
    <row r="10658" spans="18:19" x14ac:dyDescent="0.25">
      <c r="R10658" s="13">
        <v>10585</v>
      </c>
      <c r="S10658" s="13">
        <v>0</v>
      </c>
    </row>
    <row r="10659" spans="18:19" x14ac:dyDescent="0.25">
      <c r="R10659" s="13">
        <v>10586</v>
      </c>
      <c r="S10659" s="13">
        <v>1142553356.2441692</v>
      </c>
    </row>
    <row r="10660" spans="18:19" x14ac:dyDescent="0.25">
      <c r="R10660" s="13">
        <v>10587</v>
      </c>
      <c r="S10660" s="13">
        <v>998538467.97043228</v>
      </c>
    </row>
    <row r="10661" spans="18:19" x14ac:dyDescent="0.25">
      <c r="R10661" s="13">
        <v>10588</v>
      </c>
      <c r="S10661" s="13">
        <v>0</v>
      </c>
    </row>
    <row r="10662" spans="18:19" x14ac:dyDescent="0.25">
      <c r="R10662" s="13">
        <v>10589</v>
      </c>
      <c r="S10662" s="13">
        <v>0</v>
      </c>
    </row>
    <row r="10663" spans="18:19" x14ac:dyDescent="0.25">
      <c r="R10663" s="13">
        <v>10590</v>
      </c>
      <c r="S10663" s="13">
        <v>0</v>
      </c>
    </row>
    <row r="10664" spans="18:19" x14ac:dyDescent="0.25">
      <c r="R10664" s="13">
        <v>10591</v>
      </c>
      <c r="S10664" s="13">
        <v>141492385.21083832</v>
      </c>
    </row>
    <row r="10665" spans="18:19" x14ac:dyDescent="0.25">
      <c r="R10665" s="13">
        <v>10592</v>
      </c>
      <c r="S10665" s="13">
        <v>0</v>
      </c>
    </row>
    <row r="10666" spans="18:19" x14ac:dyDescent="0.25">
      <c r="R10666" s="13">
        <v>10593</v>
      </c>
      <c r="S10666" s="13">
        <v>0</v>
      </c>
    </row>
    <row r="10667" spans="18:19" x14ac:dyDescent="0.25">
      <c r="R10667" s="13">
        <v>10594</v>
      </c>
      <c r="S10667" s="13">
        <v>584274018.86213493</v>
      </c>
    </row>
    <row r="10668" spans="18:19" x14ac:dyDescent="0.25">
      <c r="R10668" s="13">
        <v>10595</v>
      </c>
      <c r="S10668" s="13">
        <v>0</v>
      </c>
    </row>
    <row r="10669" spans="18:19" x14ac:dyDescent="0.25">
      <c r="R10669" s="13">
        <v>10596</v>
      </c>
      <c r="S10669" s="13">
        <v>0</v>
      </c>
    </row>
    <row r="10670" spans="18:19" x14ac:dyDescent="0.25">
      <c r="R10670" s="13">
        <v>10597</v>
      </c>
      <c r="S10670" s="13">
        <v>0</v>
      </c>
    </row>
    <row r="10671" spans="18:19" x14ac:dyDescent="0.25">
      <c r="R10671" s="13">
        <v>10598</v>
      </c>
      <c r="S10671" s="13">
        <v>0</v>
      </c>
    </row>
    <row r="10672" spans="18:19" x14ac:dyDescent="0.25">
      <c r="R10672" s="13">
        <v>10599</v>
      </c>
      <c r="S10672" s="13">
        <v>0</v>
      </c>
    </row>
    <row r="10673" spans="18:19" x14ac:dyDescent="0.25">
      <c r="R10673" s="13">
        <v>10600</v>
      </c>
      <c r="S10673" s="13">
        <v>0</v>
      </c>
    </row>
    <row r="10674" spans="18:19" x14ac:dyDescent="0.25">
      <c r="R10674" s="13">
        <v>10601</v>
      </c>
      <c r="S10674" s="13">
        <v>0</v>
      </c>
    </row>
    <row r="10675" spans="18:19" x14ac:dyDescent="0.25">
      <c r="R10675" s="13">
        <v>10602</v>
      </c>
      <c r="S10675" s="13">
        <v>0</v>
      </c>
    </row>
    <row r="10676" spans="18:19" x14ac:dyDescent="0.25">
      <c r="R10676" s="13">
        <v>10603</v>
      </c>
      <c r="S10676" s="13">
        <v>0</v>
      </c>
    </row>
    <row r="10677" spans="18:19" x14ac:dyDescent="0.25">
      <c r="R10677" s="13">
        <v>10604</v>
      </c>
      <c r="S10677" s="13">
        <v>44513319.510808945</v>
      </c>
    </row>
    <row r="10678" spans="18:19" x14ac:dyDescent="0.25">
      <c r="R10678" s="13">
        <v>10605</v>
      </c>
      <c r="S10678" s="13">
        <v>0</v>
      </c>
    </row>
    <row r="10679" spans="18:19" x14ac:dyDescent="0.25">
      <c r="R10679" s="13">
        <v>10606</v>
      </c>
      <c r="S10679" s="13">
        <v>0</v>
      </c>
    </row>
    <row r="10680" spans="18:19" x14ac:dyDescent="0.25">
      <c r="R10680" s="13">
        <v>10607</v>
      </c>
      <c r="S10680" s="13">
        <v>0</v>
      </c>
    </row>
    <row r="10681" spans="18:19" x14ac:dyDescent="0.25">
      <c r="R10681" s="13">
        <v>10608</v>
      </c>
      <c r="S10681" s="13">
        <v>0</v>
      </c>
    </row>
    <row r="10682" spans="18:19" x14ac:dyDescent="0.25">
      <c r="R10682" s="13">
        <v>10609</v>
      </c>
      <c r="S10682" s="13">
        <v>638864333.22973251</v>
      </c>
    </row>
    <row r="10683" spans="18:19" x14ac:dyDescent="0.25">
      <c r="R10683" s="13">
        <v>10610</v>
      </c>
      <c r="S10683" s="13">
        <v>338653404.1170578</v>
      </c>
    </row>
    <row r="10684" spans="18:19" x14ac:dyDescent="0.25">
      <c r="R10684" s="13">
        <v>10611</v>
      </c>
      <c r="S10684" s="13">
        <v>356902999.44564247</v>
      </c>
    </row>
    <row r="10685" spans="18:19" x14ac:dyDescent="0.25">
      <c r="R10685" s="13">
        <v>10612</v>
      </c>
      <c r="S10685" s="13">
        <v>0</v>
      </c>
    </row>
    <row r="10686" spans="18:19" x14ac:dyDescent="0.25">
      <c r="R10686" s="13">
        <v>10613</v>
      </c>
      <c r="S10686" s="13">
        <v>0</v>
      </c>
    </row>
    <row r="10687" spans="18:19" x14ac:dyDescent="0.25">
      <c r="R10687" s="13">
        <v>10614</v>
      </c>
      <c r="S10687" s="13">
        <v>0</v>
      </c>
    </row>
    <row r="10688" spans="18:19" x14ac:dyDescent="0.25">
      <c r="R10688" s="13">
        <v>10615</v>
      </c>
      <c r="S10688" s="13">
        <v>0</v>
      </c>
    </row>
    <row r="10689" spans="18:19" x14ac:dyDescent="0.25">
      <c r="R10689" s="13">
        <v>10616</v>
      </c>
      <c r="S10689" s="13">
        <v>0</v>
      </c>
    </row>
    <row r="10690" spans="18:19" x14ac:dyDescent="0.25">
      <c r="R10690" s="13">
        <v>10617</v>
      </c>
      <c r="S10690" s="13">
        <v>0</v>
      </c>
    </row>
    <row r="10691" spans="18:19" x14ac:dyDescent="0.25">
      <c r="R10691" s="13">
        <v>10618</v>
      </c>
      <c r="S10691" s="13">
        <v>0</v>
      </c>
    </row>
    <row r="10692" spans="18:19" x14ac:dyDescent="0.25">
      <c r="R10692" s="13">
        <v>10619</v>
      </c>
      <c r="S10692" s="13">
        <v>0</v>
      </c>
    </row>
    <row r="10693" spans="18:19" x14ac:dyDescent="0.25">
      <c r="R10693" s="13">
        <v>10620</v>
      </c>
      <c r="S10693" s="13">
        <v>0</v>
      </c>
    </row>
    <row r="10694" spans="18:19" x14ac:dyDescent="0.25">
      <c r="R10694" s="13">
        <v>10621</v>
      </c>
      <c r="S10694" s="13">
        <v>0</v>
      </c>
    </row>
    <row r="10695" spans="18:19" x14ac:dyDescent="0.25">
      <c r="R10695" s="13">
        <v>10622</v>
      </c>
      <c r="S10695" s="13">
        <v>663400199.44662666</v>
      </c>
    </row>
    <row r="10696" spans="18:19" x14ac:dyDescent="0.25">
      <c r="R10696" s="13">
        <v>10623</v>
      </c>
      <c r="S10696" s="13">
        <v>0</v>
      </c>
    </row>
    <row r="10697" spans="18:19" x14ac:dyDescent="0.25">
      <c r="R10697" s="13">
        <v>10624</v>
      </c>
      <c r="S10697" s="13">
        <v>0</v>
      </c>
    </row>
    <row r="10698" spans="18:19" x14ac:dyDescent="0.25">
      <c r="R10698" s="13">
        <v>10625</v>
      </c>
      <c r="S10698" s="13">
        <v>0</v>
      </c>
    </row>
    <row r="10699" spans="18:19" x14ac:dyDescent="0.25">
      <c r="R10699" s="13">
        <v>10626</v>
      </c>
      <c r="S10699" s="13">
        <v>0</v>
      </c>
    </row>
    <row r="10700" spans="18:19" x14ac:dyDescent="0.25">
      <c r="R10700" s="13">
        <v>10627</v>
      </c>
      <c r="S10700" s="13">
        <v>0</v>
      </c>
    </row>
    <row r="10701" spans="18:19" x14ac:dyDescent="0.25">
      <c r="R10701" s="13">
        <v>10628</v>
      </c>
      <c r="S10701" s="13">
        <v>0</v>
      </c>
    </row>
    <row r="10702" spans="18:19" x14ac:dyDescent="0.25">
      <c r="R10702" s="13">
        <v>10629</v>
      </c>
      <c r="S10702" s="13">
        <v>0</v>
      </c>
    </row>
    <row r="10703" spans="18:19" x14ac:dyDescent="0.25">
      <c r="R10703" s="13">
        <v>10630</v>
      </c>
      <c r="S10703" s="13">
        <v>0</v>
      </c>
    </row>
    <row r="10704" spans="18:19" x14ac:dyDescent="0.25">
      <c r="R10704" s="13">
        <v>10631</v>
      </c>
      <c r="S10704" s="13">
        <v>0</v>
      </c>
    </row>
    <row r="10705" spans="18:19" x14ac:dyDescent="0.25">
      <c r="R10705" s="13">
        <v>10632</v>
      </c>
      <c r="S10705" s="13">
        <v>0</v>
      </c>
    </row>
    <row r="10706" spans="18:19" x14ac:dyDescent="0.25">
      <c r="R10706" s="13">
        <v>10633</v>
      </c>
      <c r="S10706" s="13">
        <v>0</v>
      </c>
    </row>
    <row r="10707" spans="18:19" x14ac:dyDescent="0.25">
      <c r="R10707" s="13">
        <v>10634</v>
      </c>
      <c r="S10707" s="13">
        <v>0</v>
      </c>
    </row>
    <row r="10708" spans="18:19" x14ac:dyDescent="0.25">
      <c r="R10708" s="13">
        <v>10635</v>
      </c>
      <c r="S10708" s="13">
        <v>0</v>
      </c>
    </row>
    <row r="10709" spans="18:19" x14ac:dyDescent="0.25">
      <c r="R10709" s="13">
        <v>10636</v>
      </c>
      <c r="S10709" s="13">
        <v>76943684.833169937</v>
      </c>
    </row>
    <row r="10710" spans="18:19" x14ac:dyDescent="0.25">
      <c r="R10710" s="13">
        <v>10637</v>
      </c>
      <c r="S10710" s="13">
        <v>0</v>
      </c>
    </row>
    <row r="10711" spans="18:19" x14ac:dyDescent="0.25">
      <c r="R10711" s="13">
        <v>10638</v>
      </c>
      <c r="S10711" s="13">
        <v>0</v>
      </c>
    </row>
    <row r="10712" spans="18:19" x14ac:dyDescent="0.25">
      <c r="R10712" s="13">
        <v>10639</v>
      </c>
      <c r="S10712" s="13">
        <v>0</v>
      </c>
    </row>
    <row r="10713" spans="18:19" x14ac:dyDescent="0.25">
      <c r="R10713" s="13">
        <v>10640</v>
      </c>
      <c r="S10713" s="13">
        <v>0</v>
      </c>
    </row>
    <row r="10714" spans="18:19" x14ac:dyDescent="0.25">
      <c r="R10714" s="13">
        <v>10641</v>
      </c>
      <c r="S10714" s="13">
        <v>0</v>
      </c>
    </row>
    <row r="10715" spans="18:19" x14ac:dyDescent="0.25">
      <c r="R10715" s="13">
        <v>10642</v>
      </c>
      <c r="S10715" s="13">
        <v>0</v>
      </c>
    </row>
    <row r="10716" spans="18:19" x14ac:dyDescent="0.25">
      <c r="R10716" s="13">
        <v>10643</v>
      </c>
      <c r="S10716" s="13">
        <v>0</v>
      </c>
    </row>
    <row r="10717" spans="18:19" x14ac:dyDescent="0.25">
      <c r="R10717" s="13">
        <v>10644</v>
      </c>
      <c r="S10717" s="13">
        <v>0</v>
      </c>
    </row>
    <row r="10718" spans="18:19" x14ac:dyDescent="0.25">
      <c r="R10718" s="13">
        <v>10645</v>
      </c>
      <c r="S10718" s="13">
        <v>0</v>
      </c>
    </row>
    <row r="10719" spans="18:19" x14ac:dyDescent="0.25">
      <c r="R10719" s="13">
        <v>10646</v>
      </c>
      <c r="S10719" s="13">
        <v>0</v>
      </c>
    </row>
    <row r="10720" spans="18:19" x14ac:dyDescent="0.25">
      <c r="R10720" s="13">
        <v>10647</v>
      </c>
      <c r="S10720" s="13">
        <v>0</v>
      </c>
    </row>
    <row r="10721" spans="18:19" x14ac:dyDescent="0.25">
      <c r="R10721" s="13">
        <v>10648</v>
      </c>
      <c r="S10721" s="13">
        <v>137503965.93220139</v>
      </c>
    </row>
    <row r="10722" spans="18:19" x14ac:dyDescent="0.25">
      <c r="R10722" s="13">
        <v>10649</v>
      </c>
      <c r="S10722" s="13">
        <v>0</v>
      </c>
    </row>
    <row r="10723" spans="18:19" x14ac:dyDescent="0.25">
      <c r="R10723" s="13">
        <v>10650</v>
      </c>
      <c r="S10723" s="13">
        <v>0</v>
      </c>
    </row>
    <row r="10724" spans="18:19" x14ac:dyDescent="0.25">
      <c r="R10724" s="13">
        <v>10651</v>
      </c>
      <c r="S10724" s="13">
        <v>0</v>
      </c>
    </row>
    <row r="10725" spans="18:19" x14ac:dyDescent="0.25">
      <c r="R10725" s="13">
        <v>10652</v>
      </c>
      <c r="S10725" s="13">
        <v>0</v>
      </c>
    </row>
    <row r="10726" spans="18:19" x14ac:dyDescent="0.25">
      <c r="R10726" s="13">
        <v>10653</v>
      </c>
      <c r="S10726" s="13">
        <v>0</v>
      </c>
    </row>
    <row r="10727" spans="18:19" x14ac:dyDescent="0.25">
      <c r="R10727" s="13">
        <v>10654</v>
      </c>
      <c r="S10727" s="13">
        <v>411319840.14528656</v>
      </c>
    </row>
    <row r="10728" spans="18:19" x14ac:dyDescent="0.25">
      <c r="R10728" s="13">
        <v>10655</v>
      </c>
      <c r="S10728" s="13">
        <v>0</v>
      </c>
    </row>
    <row r="10729" spans="18:19" x14ac:dyDescent="0.25">
      <c r="R10729" s="13">
        <v>10656</v>
      </c>
      <c r="S10729" s="13">
        <v>870114525.7003212</v>
      </c>
    </row>
    <row r="10730" spans="18:19" x14ac:dyDescent="0.25">
      <c r="R10730" s="13">
        <v>10657</v>
      </c>
      <c r="S10730" s="13">
        <v>0</v>
      </c>
    </row>
    <row r="10731" spans="18:19" x14ac:dyDescent="0.25">
      <c r="R10731" s="13">
        <v>10658</v>
      </c>
      <c r="S10731" s="13">
        <v>0</v>
      </c>
    </row>
    <row r="10732" spans="18:19" x14ac:dyDescent="0.25">
      <c r="R10732" s="13">
        <v>10659</v>
      </c>
      <c r="S10732" s="13">
        <v>0</v>
      </c>
    </row>
    <row r="10733" spans="18:19" x14ac:dyDescent="0.25">
      <c r="R10733" s="13">
        <v>10660</v>
      </c>
      <c r="S10733" s="13">
        <v>0</v>
      </c>
    </row>
    <row r="10734" spans="18:19" x14ac:dyDescent="0.25">
      <c r="R10734" s="13">
        <v>10661</v>
      </c>
      <c r="S10734" s="13">
        <v>0</v>
      </c>
    </row>
    <row r="10735" spans="18:19" x14ac:dyDescent="0.25">
      <c r="R10735" s="13">
        <v>10662</v>
      </c>
      <c r="S10735" s="13">
        <v>0</v>
      </c>
    </row>
    <row r="10736" spans="18:19" x14ac:dyDescent="0.25">
      <c r="R10736" s="13">
        <v>10663</v>
      </c>
      <c r="S10736" s="13">
        <v>0</v>
      </c>
    </row>
    <row r="10737" spans="18:19" x14ac:dyDescent="0.25">
      <c r="R10737" s="13">
        <v>10664</v>
      </c>
      <c r="S10737" s="13">
        <v>0</v>
      </c>
    </row>
    <row r="10738" spans="18:19" x14ac:dyDescent="0.25">
      <c r="R10738" s="13">
        <v>10665</v>
      </c>
      <c r="S10738" s="13">
        <v>0</v>
      </c>
    </row>
    <row r="10739" spans="18:19" x14ac:dyDescent="0.25">
      <c r="R10739" s="13">
        <v>10666</v>
      </c>
      <c r="S10739" s="13">
        <v>151720371.70596313</v>
      </c>
    </row>
    <row r="10740" spans="18:19" x14ac:dyDescent="0.25">
      <c r="R10740" s="13">
        <v>10667</v>
      </c>
      <c r="S10740" s="13">
        <v>0</v>
      </c>
    </row>
    <row r="10741" spans="18:19" x14ac:dyDescent="0.25">
      <c r="R10741" s="13">
        <v>10668</v>
      </c>
      <c r="S10741" s="13">
        <v>0</v>
      </c>
    </row>
    <row r="10742" spans="18:19" x14ac:dyDescent="0.25">
      <c r="R10742" s="13">
        <v>10669</v>
      </c>
      <c r="S10742" s="13">
        <v>0</v>
      </c>
    </row>
    <row r="10743" spans="18:19" x14ac:dyDescent="0.25">
      <c r="R10743" s="13">
        <v>10670</v>
      </c>
      <c r="S10743" s="13">
        <v>0</v>
      </c>
    </row>
    <row r="10744" spans="18:19" x14ac:dyDescent="0.25">
      <c r="R10744" s="13">
        <v>10671</v>
      </c>
      <c r="S10744" s="13">
        <v>0</v>
      </c>
    </row>
    <row r="10745" spans="18:19" x14ac:dyDescent="0.25">
      <c r="R10745" s="13">
        <v>10672</v>
      </c>
      <c r="S10745" s="13">
        <v>0</v>
      </c>
    </row>
    <row r="10746" spans="18:19" x14ac:dyDescent="0.25">
      <c r="R10746" s="13">
        <v>10673</v>
      </c>
      <c r="S10746" s="13">
        <v>432019039.37770653</v>
      </c>
    </row>
    <row r="10747" spans="18:19" x14ac:dyDescent="0.25">
      <c r="R10747" s="13">
        <v>10674</v>
      </c>
      <c r="S10747" s="13">
        <v>0</v>
      </c>
    </row>
    <row r="10748" spans="18:19" x14ac:dyDescent="0.25">
      <c r="R10748" s="13">
        <v>10675</v>
      </c>
      <c r="S10748" s="13">
        <v>0</v>
      </c>
    </row>
    <row r="10749" spans="18:19" x14ac:dyDescent="0.25">
      <c r="R10749" s="13">
        <v>10676</v>
      </c>
      <c r="S10749" s="13">
        <v>0</v>
      </c>
    </row>
    <row r="10750" spans="18:19" x14ac:dyDescent="0.25">
      <c r="R10750" s="13">
        <v>10677</v>
      </c>
      <c r="S10750" s="13">
        <v>0</v>
      </c>
    </row>
    <row r="10751" spans="18:19" x14ac:dyDescent="0.25">
      <c r="R10751" s="13">
        <v>10678</v>
      </c>
      <c r="S10751" s="13">
        <v>0</v>
      </c>
    </row>
    <row r="10752" spans="18:19" x14ac:dyDescent="0.25">
      <c r="R10752" s="13">
        <v>10679</v>
      </c>
      <c r="S10752" s="13">
        <v>413128320.89926338</v>
      </c>
    </row>
    <row r="10753" spans="18:19" x14ac:dyDescent="0.25">
      <c r="R10753" s="13">
        <v>10680</v>
      </c>
      <c r="S10753" s="13">
        <v>257227589.23634338</v>
      </c>
    </row>
    <row r="10754" spans="18:19" x14ac:dyDescent="0.25">
      <c r="R10754" s="13">
        <v>10681</v>
      </c>
      <c r="S10754" s="13">
        <v>0</v>
      </c>
    </row>
    <row r="10755" spans="18:19" x14ac:dyDescent="0.25">
      <c r="R10755" s="13">
        <v>10682</v>
      </c>
      <c r="S10755" s="13">
        <v>0</v>
      </c>
    </row>
    <row r="10756" spans="18:19" x14ac:dyDescent="0.25">
      <c r="R10756" s="13">
        <v>10683</v>
      </c>
      <c r="S10756" s="13">
        <v>0</v>
      </c>
    </row>
    <row r="10757" spans="18:19" x14ac:dyDescent="0.25">
      <c r="R10757" s="13">
        <v>10684</v>
      </c>
      <c r="S10757" s="13">
        <v>228510790.83442688</v>
      </c>
    </row>
    <row r="10758" spans="18:19" x14ac:dyDescent="0.25">
      <c r="R10758" s="13">
        <v>10685</v>
      </c>
      <c r="S10758" s="13">
        <v>0</v>
      </c>
    </row>
    <row r="10759" spans="18:19" x14ac:dyDescent="0.25">
      <c r="R10759" s="13">
        <v>10686</v>
      </c>
      <c r="S10759" s="13">
        <v>0</v>
      </c>
    </row>
    <row r="10760" spans="18:19" x14ac:dyDescent="0.25">
      <c r="R10760" s="13">
        <v>10687</v>
      </c>
      <c r="S10760" s="13">
        <v>0</v>
      </c>
    </row>
    <row r="10761" spans="18:19" x14ac:dyDescent="0.25">
      <c r="R10761" s="13">
        <v>10688</v>
      </c>
      <c r="S10761" s="13">
        <v>0</v>
      </c>
    </row>
    <row r="10762" spans="18:19" x14ac:dyDescent="0.25">
      <c r="R10762" s="13">
        <v>10689</v>
      </c>
      <c r="S10762" s="13">
        <v>0</v>
      </c>
    </row>
    <row r="10763" spans="18:19" x14ac:dyDescent="0.25">
      <c r="R10763" s="13">
        <v>10690</v>
      </c>
      <c r="S10763" s="13">
        <v>0</v>
      </c>
    </row>
    <row r="10764" spans="18:19" x14ac:dyDescent="0.25">
      <c r="R10764" s="13">
        <v>10691</v>
      </c>
      <c r="S10764" s="13">
        <v>0</v>
      </c>
    </row>
    <row r="10765" spans="18:19" x14ac:dyDescent="0.25">
      <c r="R10765" s="13">
        <v>10692</v>
      </c>
      <c r="S10765" s="13">
        <v>0</v>
      </c>
    </row>
    <row r="10766" spans="18:19" x14ac:dyDescent="0.25">
      <c r="R10766" s="13">
        <v>10693</v>
      </c>
      <c r="S10766" s="13">
        <v>0</v>
      </c>
    </row>
    <row r="10767" spans="18:19" x14ac:dyDescent="0.25">
      <c r="R10767" s="13">
        <v>10694</v>
      </c>
      <c r="S10767" s="13">
        <v>0</v>
      </c>
    </row>
    <row r="10768" spans="18:19" x14ac:dyDescent="0.25">
      <c r="R10768" s="13">
        <v>10695</v>
      </c>
      <c r="S10768" s="13">
        <v>0</v>
      </c>
    </row>
    <row r="10769" spans="18:19" x14ac:dyDescent="0.25">
      <c r="R10769" s="13">
        <v>10696</v>
      </c>
      <c r="S10769" s="13">
        <v>0</v>
      </c>
    </row>
    <row r="10770" spans="18:19" x14ac:dyDescent="0.25">
      <c r="R10770" s="13">
        <v>10697</v>
      </c>
      <c r="S10770" s="13">
        <v>66191258.580812454</v>
      </c>
    </row>
    <row r="10771" spans="18:19" x14ac:dyDescent="0.25">
      <c r="R10771" s="13">
        <v>10698</v>
      </c>
      <c r="S10771" s="13">
        <v>0</v>
      </c>
    </row>
    <row r="10772" spans="18:19" x14ac:dyDescent="0.25">
      <c r="R10772" s="13">
        <v>10699</v>
      </c>
      <c r="S10772" s="13">
        <v>0</v>
      </c>
    </row>
    <row r="10773" spans="18:19" x14ac:dyDescent="0.25">
      <c r="R10773" s="13">
        <v>10700</v>
      </c>
      <c r="S10773" s="13">
        <v>406866762.61968994</v>
      </c>
    </row>
    <row r="10774" spans="18:19" x14ac:dyDescent="0.25">
      <c r="R10774" s="13">
        <v>10701</v>
      </c>
      <c r="S10774" s="13">
        <v>0</v>
      </c>
    </row>
    <row r="10775" spans="18:19" x14ac:dyDescent="0.25">
      <c r="R10775" s="13">
        <v>10702</v>
      </c>
      <c r="S10775" s="13">
        <v>0</v>
      </c>
    </row>
    <row r="10776" spans="18:19" x14ac:dyDescent="0.25">
      <c r="R10776" s="13">
        <v>10703</v>
      </c>
      <c r="S10776" s="13">
        <v>609381826.86408806</v>
      </c>
    </row>
    <row r="10777" spans="18:19" x14ac:dyDescent="0.25">
      <c r="R10777" s="13">
        <v>10704</v>
      </c>
      <c r="S10777" s="13">
        <v>0</v>
      </c>
    </row>
    <row r="10778" spans="18:19" x14ac:dyDescent="0.25">
      <c r="R10778" s="13">
        <v>10705</v>
      </c>
      <c r="S10778" s="13">
        <v>228741397.83965683</v>
      </c>
    </row>
    <row r="10779" spans="18:19" x14ac:dyDescent="0.25">
      <c r="R10779" s="13">
        <v>10706</v>
      </c>
      <c r="S10779" s="13">
        <v>0</v>
      </c>
    </row>
    <row r="10780" spans="18:19" x14ac:dyDescent="0.25">
      <c r="R10780" s="13">
        <v>10707</v>
      </c>
      <c r="S10780" s="13">
        <v>728452138.37260628</v>
      </c>
    </row>
    <row r="10781" spans="18:19" x14ac:dyDescent="0.25">
      <c r="R10781" s="13">
        <v>10708</v>
      </c>
      <c r="S10781" s="13">
        <v>0</v>
      </c>
    </row>
    <row r="10782" spans="18:19" x14ac:dyDescent="0.25">
      <c r="R10782" s="13">
        <v>10709</v>
      </c>
      <c r="S10782" s="13">
        <v>0</v>
      </c>
    </row>
    <row r="10783" spans="18:19" x14ac:dyDescent="0.25">
      <c r="R10783" s="13">
        <v>10710</v>
      </c>
      <c r="S10783" s="13">
        <v>0</v>
      </c>
    </row>
    <row r="10784" spans="18:19" x14ac:dyDescent="0.25">
      <c r="R10784" s="13">
        <v>10711</v>
      </c>
      <c r="S10784" s="13">
        <v>0</v>
      </c>
    </row>
    <row r="10785" spans="18:19" x14ac:dyDescent="0.25">
      <c r="R10785" s="13">
        <v>10712</v>
      </c>
      <c r="S10785" s="13">
        <v>0</v>
      </c>
    </row>
    <row r="10786" spans="18:19" x14ac:dyDescent="0.25">
      <c r="R10786" s="13">
        <v>10713</v>
      </c>
      <c r="S10786" s="13">
        <v>170415956.92895317</v>
      </c>
    </row>
    <row r="10787" spans="18:19" x14ac:dyDescent="0.25">
      <c r="R10787" s="13">
        <v>10714</v>
      </c>
      <c r="S10787" s="13">
        <v>0</v>
      </c>
    </row>
    <row r="10788" spans="18:19" x14ac:dyDescent="0.25">
      <c r="R10788" s="13">
        <v>10715</v>
      </c>
      <c r="S10788" s="13">
        <v>0</v>
      </c>
    </row>
    <row r="10789" spans="18:19" x14ac:dyDescent="0.25">
      <c r="R10789" s="13">
        <v>10716</v>
      </c>
      <c r="S10789" s="13">
        <v>0</v>
      </c>
    </row>
    <row r="10790" spans="18:19" x14ac:dyDescent="0.25">
      <c r="R10790" s="13">
        <v>10717</v>
      </c>
      <c r="S10790" s="13">
        <v>0</v>
      </c>
    </row>
    <row r="10791" spans="18:19" x14ac:dyDescent="0.25">
      <c r="R10791" s="13">
        <v>10718</v>
      </c>
      <c r="S10791" s="13">
        <v>555322194.0437851</v>
      </c>
    </row>
    <row r="10792" spans="18:19" x14ac:dyDescent="0.25">
      <c r="R10792" s="13">
        <v>10719</v>
      </c>
      <c r="S10792" s="13">
        <v>0</v>
      </c>
    </row>
    <row r="10793" spans="18:19" x14ac:dyDescent="0.25">
      <c r="R10793" s="13">
        <v>10720</v>
      </c>
      <c r="S10793" s="13">
        <v>0</v>
      </c>
    </row>
    <row r="10794" spans="18:19" x14ac:dyDescent="0.25">
      <c r="R10794" s="13">
        <v>10721</v>
      </c>
      <c r="S10794" s="13">
        <v>0</v>
      </c>
    </row>
    <row r="10795" spans="18:19" x14ac:dyDescent="0.25">
      <c r="R10795" s="13">
        <v>10722</v>
      </c>
      <c r="S10795" s="13">
        <v>787149633.5304451</v>
      </c>
    </row>
    <row r="10796" spans="18:19" x14ac:dyDescent="0.25">
      <c r="R10796" s="13">
        <v>10723</v>
      </c>
      <c r="S10796" s="13">
        <v>0</v>
      </c>
    </row>
    <row r="10797" spans="18:19" x14ac:dyDescent="0.25">
      <c r="R10797" s="13">
        <v>10724</v>
      </c>
      <c r="S10797" s="13">
        <v>285603460.23974419</v>
      </c>
    </row>
    <row r="10798" spans="18:19" x14ac:dyDescent="0.25">
      <c r="R10798" s="13">
        <v>10725</v>
      </c>
      <c r="S10798" s="13">
        <v>27690563.159835815</v>
      </c>
    </row>
    <row r="10799" spans="18:19" x14ac:dyDescent="0.25">
      <c r="R10799" s="13">
        <v>10726</v>
      </c>
      <c r="S10799" s="13">
        <v>0</v>
      </c>
    </row>
    <row r="10800" spans="18:19" x14ac:dyDescent="0.25">
      <c r="R10800" s="13">
        <v>10727</v>
      </c>
      <c r="S10800" s="13">
        <v>0</v>
      </c>
    </row>
    <row r="10801" spans="18:19" x14ac:dyDescent="0.25">
      <c r="R10801" s="13">
        <v>10728</v>
      </c>
      <c r="S10801" s="13">
        <v>0</v>
      </c>
    </row>
    <row r="10802" spans="18:19" x14ac:dyDescent="0.25">
      <c r="R10802" s="13">
        <v>10729</v>
      </c>
      <c r="S10802" s="13">
        <v>0</v>
      </c>
    </row>
    <row r="10803" spans="18:19" x14ac:dyDescent="0.25">
      <c r="R10803" s="13">
        <v>10730</v>
      </c>
      <c r="S10803" s="13">
        <v>0</v>
      </c>
    </row>
    <row r="10804" spans="18:19" x14ac:dyDescent="0.25">
      <c r="R10804" s="13">
        <v>10731</v>
      </c>
      <c r="S10804" s="13">
        <v>359432456.87684441</v>
      </c>
    </row>
    <row r="10805" spans="18:19" x14ac:dyDescent="0.25">
      <c r="R10805" s="13">
        <v>10732</v>
      </c>
      <c r="S10805" s="13">
        <v>0</v>
      </c>
    </row>
    <row r="10806" spans="18:19" x14ac:dyDescent="0.25">
      <c r="R10806" s="13">
        <v>10733</v>
      </c>
      <c r="S10806" s="13">
        <v>0</v>
      </c>
    </row>
    <row r="10807" spans="18:19" x14ac:dyDescent="0.25">
      <c r="R10807" s="13">
        <v>10734</v>
      </c>
      <c r="S10807" s="13">
        <v>677464479.86746597</v>
      </c>
    </row>
    <row r="10808" spans="18:19" x14ac:dyDescent="0.25">
      <c r="R10808" s="13">
        <v>10735</v>
      </c>
      <c r="S10808" s="13">
        <v>0</v>
      </c>
    </row>
    <row r="10809" spans="18:19" x14ac:dyDescent="0.25">
      <c r="R10809" s="13">
        <v>10736</v>
      </c>
      <c r="S10809" s="13">
        <v>22070200.538093567</v>
      </c>
    </row>
    <row r="10810" spans="18:19" x14ac:dyDescent="0.25">
      <c r="R10810" s="13">
        <v>10737</v>
      </c>
      <c r="S10810" s="13">
        <v>0</v>
      </c>
    </row>
    <row r="10811" spans="18:19" x14ac:dyDescent="0.25">
      <c r="R10811" s="13">
        <v>10738</v>
      </c>
      <c r="S10811" s="13">
        <v>354420164.77126503</v>
      </c>
    </row>
    <row r="10812" spans="18:19" x14ac:dyDescent="0.25">
      <c r="R10812" s="13">
        <v>10739</v>
      </c>
      <c r="S10812" s="13">
        <v>0</v>
      </c>
    </row>
    <row r="10813" spans="18:19" x14ac:dyDescent="0.25">
      <c r="R10813" s="13">
        <v>10740</v>
      </c>
      <c r="S10813" s="13">
        <v>0</v>
      </c>
    </row>
    <row r="10814" spans="18:19" x14ac:dyDescent="0.25">
      <c r="R10814" s="13">
        <v>10741</v>
      </c>
      <c r="S10814" s="13">
        <v>0</v>
      </c>
    </row>
    <row r="10815" spans="18:19" x14ac:dyDescent="0.25">
      <c r="R10815" s="13">
        <v>10742</v>
      </c>
      <c r="S10815" s="13">
        <v>0</v>
      </c>
    </row>
    <row r="10816" spans="18:19" x14ac:dyDescent="0.25">
      <c r="R10816" s="13">
        <v>10743</v>
      </c>
      <c r="S10816" s="13">
        <v>628822580.9614296</v>
      </c>
    </row>
    <row r="10817" spans="18:19" x14ac:dyDescent="0.25">
      <c r="R10817" s="13">
        <v>10744</v>
      </c>
      <c r="S10817" s="13">
        <v>0</v>
      </c>
    </row>
    <row r="10818" spans="18:19" x14ac:dyDescent="0.25">
      <c r="R10818" s="13">
        <v>10745</v>
      </c>
      <c r="S10818" s="13">
        <v>255937223.69071388</v>
      </c>
    </row>
    <row r="10819" spans="18:19" x14ac:dyDescent="0.25">
      <c r="R10819" s="13">
        <v>10746</v>
      </c>
      <c r="S10819" s="13">
        <v>0</v>
      </c>
    </row>
    <row r="10820" spans="18:19" x14ac:dyDescent="0.25">
      <c r="R10820" s="13">
        <v>10747</v>
      </c>
      <c r="S10820" s="13">
        <v>0</v>
      </c>
    </row>
    <row r="10821" spans="18:19" x14ac:dyDescent="0.25">
      <c r="R10821" s="13">
        <v>10748</v>
      </c>
      <c r="S10821" s="13">
        <v>0</v>
      </c>
    </row>
    <row r="10822" spans="18:19" x14ac:dyDescent="0.25">
      <c r="R10822" s="13">
        <v>10749</v>
      </c>
      <c r="S10822" s="13">
        <v>184140904.41996193</v>
      </c>
    </row>
    <row r="10823" spans="18:19" x14ac:dyDescent="0.25">
      <c r="R10823" s="13">
        <v>10750</v>
      </c>
      <c r="S10823" s="13">
        <v>0</v>
      </c>
    </row>
    <row r="10824" spans="18:19" x14ac:dyDescent="0.25">
      <c r="R10824" s="13">
        <v>10751</v>
      </c>
      <c r="S10824" s="13">
        <v>0</v>
      </c>
    </row>
    <row r="10825" spans="18:19" x14ac:dyDescent="0.25">
      <c r="R10825" s="13">
        <v>10752</v>
      </c>
      <c r="S10825" s="13">
        <v>0</v>
      </c>
    </row>
    <row r="10826" spans="18:19" x14ac:dyDescent="0.25">
      <c r="R10826" s="13">
        <v>10753</v>
      </c>
      <c r="S10826" s="13">
        <v>0</v>
      </c>
    </row>
    <row r="10827" spans="18:19" x14ac:dyDescent="0.25">
      <c r="R10827" s="13">
        <v>10754</v>
      </c>
      <c r="S10827" s="13">
        <v>0</v>
      </c>
    </row>
    <row r="10828" spans="18:19" x14ac:dyDescent="0.25">
      <c r="R10828" s="13">
        <v>10755</v>
      </c>
      <c r="S10828" s="13">
        <v>0</v>
      </c>
    </row>
    <row r="10829" spans="18:19" x14ac:dyDescent="0.25">
      <c r="R10829" s="13">
        <v>10756</v>
      </c>
      <c r="S10829" s="13">
        <v>0</v>
      </c>
    </row>
    <row r="10830" spans="18:19" x14ac:dyDescent="0.25">
      <c r="R10830" s="13">
        <v>10757</v>
      </c>
      <c r="S10830" s="13">
        <v>0</v>
      </c>
    </row>
    <row r="10831" spans="18:19" x14ac:dyDescent="0.25">
      <c r="R10831" s="13">
        <v>10758</v>
      </c>
      <c r="S10831" s="13">
        <v>165946313.01400185</v>
      </c>
    </row>
    <row r="10832" spans="18:19" x14ac:dyDescent="0.25">
      <c r="R10832" s="13">
        <v>10759</v>
      </c>
      <c r="S10832" s="13">
        <v>0</v>
      </c>
    </row>
    <row r="10833" spans="18:19" x14ac:dyDescent="0.25">
      <c r="R10833" s="13">
        <v>10760</v>
      </c>
      <c r="S10833" s="13">
        <v>0</v>
      </c>
    </row>
    <row r="10834" spans="18:19" x14ac:dyDescent="0.25">
      <c r="R10834" s="13">
        <v>10761</v>
      </c>
      <c r="S10834" s="13">
        <v>0</v>
      </c>
    </row>
    <row r="10835" spans="18:19" x14ac:dyDescent="0.25">
      <c r="R10835" s="13">
        <v>10762</v>
      </c>
      <c r="S10835" s="13">
        <v>0</v>
      </c>
    </row>
    <row r="10836" spans="18:19" x14ac:dyDescent="0.25">
      <c r="R10836" s="13">
        <v>10763</v>
      </c>
      <c r="S10836" s="13">
        <v>262452333.87159538</v>
      </c>
    </row>
    <row r="10837" spans="18:19" x14ac:dyDescent="0.25">
      <c r="R10837" s="13">
        <v>10764</v>
      </c>
      <c r="S10837" s="13">
        <v>0</v>
      </c>
    </row>
    <row r="10838" spans="18:19" x14ac:dyDescent="0.25">
      <c r="R10838" s="13">
        <v>10765</v>
      </c>
      <c r="S10838" s="13">
        <v>0</v>
      </c>
    </row>
    <row r="10839" spans="18:19" x14ac:dyDescent="0.25">
      <c r="R10839" s="13">
        <v>10766</v>
      </c>
      <c r="S10839" s="13">
        <v>0</v>
      </c>
    </row>
    <row r="10840" spans="18:19" x14ac:dyDescent="0.25">
      <c r="R10840" s="13">
        <v>10767</v>
      </c>
      <c r="S10840" s="13">
        <v>0</v>
      </c>
    </row>
    <row r="10841" spans="18:19" x14ac:dyDescent="0.25">
      <c r="R10841" s="13">
        <v>10768</v>
      </c>
      <c r="S10841" s="13">
        <v>0</v>
      </c>
    </row>
    <row r="10842" spans="18:19" x14ac:dyDescent="0.25">
      <c r="R10842" s="13">
        <v>10769</v>
      </c>
      <c r="S10842" s="13">
        <v>0</v>
      </c>
    </row>
    <row r="10843" spans="18:19" x14ac:dyDescent="0.25">
      <c r="R10843" s="13">
        <v>10770</v>
      </c>
      <c r="S10843" s="13">
        <v>36084501.243160248</v>
      </c>
    </row>
    <row r="10844" spans="18:19" x14ac:dyDescent="0.25">
      <c r="R10844" s="13">
        <v>10771</v>
      </c>
      <c r="S10844" s="13">
        <v>0</v>
      </c>
    </row>
    <row r="10845" spans="18:19" x14ac:dyDescent="0.25">
      <c r="R10845" s="13">
        <v>10772</v>
      </c>
      <c r="S10845" s="13">
        <v>0</v>
      </c>
    </row>
    <row r="10846" spans="18:19" x14ac:dyDescent="0.25">
      <c r="R10846" s="13">
        <v>10773</v>
      </c>
      <c r="S10846" s="13">
        <v>0</v>
      </c>
    </row>
    <row r="10847" spans="18:19" x14ac:dyDescent="0.25">
      <c r="R10847" s="13">
        <v>10774</v>
      </c>
      <c r="S10847" s="13">
        <v>0</v>
      </c>
    </row>
    <row r="10848" spans="18:19" x14ac:dyDescent="0.25">
      <c r="R10848" s="13">
        <v>10775</v>
      </c>
      <c r="S10848" s="13">
        <v>0</v>
      </c>
    </row>
    <row r="10849" spans="18:19" x14ac:dyDescent="0.25">
      <c r="R10849" s="13">
        <v>10776</v>
      </c>
      <c r="S10849" s="13">
        <v>0</v>
      </c>
    </row>
    <row r="10850" spans="18:19" x14ac:dyDescent="0.25">
      <c r="R10850" s="13">
        <v>10777</v>
      </c>
      <c r="S10850" s="13">
        <v>0</v>
      </c>
    </row>
    <row r="10851" spans="18:19" x14ac:dyDescent="0.25">
      <c r="R10851" s="13">
        <v>10778</v>
      </c>
      <c r="S10851" s="13">
        <v>0</v>
      </c>
    </row>
    <row r="10852" spans="18:19" x14ac:dyDescent="0.25">
      <c r="R10852" s="13">
        <v>10779</v>
      </c>
      <c r="S10852" s="13">
        <v>0</v>
      </c>
    </row>
    <row r="10853" spans="18:19" x14ac:dyDescent="0.25">
      <c r="R10853" s="13">
        <v>10780</v>
      </c>
      <c r="S10853" s="13">
        <v>0</v>
      </c>
    </row>
    <row r="10854" spans="18:19" x14ac:dyDescent="0.25">
      <c r="R10854" s="13">
        <v>10781</v>
      </c>
      <c r="S10854" s="13">
        <v>0</v>
      </c>
    </row>
    <row r="10855" spans="18:19" x14ac:dyDescent="0.25">
      <c r="R10855" s="13">
        <v>10782</v>
      </c>
      <c r="S10855" s="13">
        <v>0</v>
      </c>
    </row>
    <row r="10856" spans="18:19" x14ac:dyDescent="0.25">
      <c r="R10856" s="13">
        <v>10783</v>
      </c>
      <c r="S10856" s="13">
        <v>870064372.09289932</v>
      </c>
    </row>
    <row r="10857" spans="18:19" x14ac:dyDescent="0.25">
      <c r="R10857" s="13">
        <v>10784</v>
      </c>
      <c r="S10857" s="13">
        <v>538217712.51140404</v>
      </c>
    </row>
    <row r="10858" spans="18:19" x14ac:dyDescent="0.25">
      <c r="R10858" s="13">
        <v>10785</v>
      </c>
      <c r="S10858" s="13">
        <v>0</v>
      </c>
    </row>
    <row r="10859" spans="18:19" x14ac:dyDescent="0.25">
      <c r="R10859" s="13">
        <v>10786</v>
      </c>
      <c r="S10859" s="13">
        <v>0</v>
      </c>
    </row>
    <row r="10860" spans="18:19" x14ac:dyDescent="0.25">
      <c r="R10860" s="13">
        <v>10787</v>
      </c>
      <c r="S10860" s="13">
        <v>0</v>
      </c>
    </row>
    <row r="10861" spans="18:19" x14ac:dyDescent="0.25">
      <c r="R10861" s="13">
        <v>10788</v>
      </c>
      <c r="S10861" s="13">
        <v>432735966.7190609</v>
      </c>
    </row>
    <row r="10862" spans="18:19" x14ac:dyDescent="0.25">
      <c r="R10862" s="13">
        <v>10789</v>
      </c>
      <c r="S10862" s="13">
        <v>0</v>
      </c>
    </row>
    <row r="10863" spans="18:19" x14ac:dyDescent="0.25">
      <c r="R10863" s="13">
        <v>10790</v>
      </c>
      <c r="S10863" s="13">
        <v>0</v>
      </c>
    </row>
    <row r="10864" spans="18:19" x14ac:dyDescent="0.25">
      <c r="R10864" s="13">
        <v>10791</v>
      </c>
      <c r="S10864" s="13">
        <v>11794756.088710785</v>
      </c>
    </row>
    <row r="10865" spans="18:19" x14ac:dyDescent="0.25">
      <c r="R10865" s="13">
        <v>10792</v>
      </c>
      <c r="S10865" s="13">
        <v>0</v>
      </c>
    </row>
    <row r="10866" spans="18:19" x14ac:dyDescent="0.25">
      <c r="R10866" s="13">
        <v>10793</v>
      </c>
      <c r="S10866" s="13">
        <v>0</v>
      </c>
    </row>
    <row r="10867" spans="18:19" x14ac:dyDescent="0.25">
      <c r="R10867" s="13">
        <v>10794</v>
      </c>
      <c r="S10867" s="13">
        <v>0</v>
      </c>
    </row>
    <row r="10868" spans="18:19" x14ac:dyDescent="0.25">
      <c r="R10868" s="13">
        <v>10795</v>
      </c>
      <c r="S10868" s="13">
        <v>0</v>
      </c>
    </row>
    <row r="10869" spans="18:19" x14ac:dyDescent="0.25">
      <c r="R10869" s="13">
        <v>10796</v>
      </c>
      <c r="S10869" s="13">
        <v>0</v>
      </c>
    </row>
    <row r="10870" spans="18:19" x14ac:dyDescent="0.25">
      <c r="R10870" s="13">
        <v>10797</v>
      </c>
      <c r="S10870" s="13">
        <v>0</v>
      </c>
    </row>
    <row r="10871" spans="18:19" x14ac:dyDescent="0.25">
      <c r="R10871" s="13">
        <v>10798</v>
      </c>
      <c r="S10871" s="13">
        <v>0</v>
      </c>
    </row>
    <row r="10872" spans="18:19" x14ac:dyDescent="0.25">
      <c r="R10872" s="13">
        <v>10799</v>
      </c>
      <c r="S10872" s="13">
        <v>0</v>
      </c>
    </row>
    <row r="10873" spans="18:19" x14ac:dyDescent="0.25">
      <c r="R10873" s="13">
        <v>10800</v>
      </c>
      <c r="S10873" s="13">
        <v>0</v>
      </c>
    </row>
    <row r="10874" spans="18:19" x14ac:dyDescent="0.25">
      <c r="R10874" s="13">
        <v>10801</v>
      </c>
      <c r="S10874" s="13">
        <v>0</v>
      </c>
    </row>
    <row r="10875" spans="18:19" x14ac:dyDescent="0.25">
      <c r="R10875" s="13">
        <v>10802</v>
      </c>
      <c r="S10875" s="13">
        <v>0</v>
      </c>
    </row>
    <row r="10876" spans="18:19" x14ac:dyDescent="0.25">
      <c r="R10876" s="13">
        <v>10803</v>
      </c>
      <c r="S10876" s="13">
        <v>0</v>
      </c>
    </row>
    <row r="10877" spans="18:19" x14ac:dyDescent="0.25">
      <c r="R10877" s="13">
        <v>10804</v>
      </c>
      <c r="S10877" s="13">
        <v>0</v>
      </c>
    </row>
    <row r="10878" spans="18:19" x14ac:dyDescent="0.25">
      <c r="R10878" s="13">
        <v>10805</v>
      </c>
      <c r="S10878" s="13">
        <v>0</v>
      </c>
    </row>
    <row r="10879" spans="18:19" x14ac:dyDescent="0.25">
      <c r="R10879" s="13">
        <v>10806</v>
      </c>
      <c r="S10879" s="13">
        <v>160524523.70081902</v>
      </c>
    </row>
    <row r="10880" spans="18:19" x14ac:dyDescent="0.25">
      <c r="R10880" s="13">
        <v>10807</v>
      </c>
      <c r="S10880" s="13">
        <v>0</v>
      </c>
    </row>
    <row r="10881" spans="18:19" x14ac:dyDescent="0.25">
      <c r="R10881" s="13">
        <v>10808</v>
      </c>
      <c r="S10881" s="13">
        <v>0</v>
      </c>
    </row>
    <row r="10882" spans="18:19" x14ac:dyDescent="0.25">
      <c r="R10882" s="13">
        <v>10809</v>
      </c>
      <c r="S10882" s="13">
        <v>0</v>
      </c>
    </row>
    <row r="10883" spans="18:19" x14ac:dyDescent="0.25">
      <c r="R10883" s="13">
        <v>10810</v>
      </c>
      <c r="S10883" s="13">
        <v>0</v>
      </c>
    </row>
    <row r="10884" spans="18:19" x14ac:dyDescent="0.25">
      <c r="R10884" s="13">
        <v>10811</v>
      </c>
      <c r="S10884" s="13">
        <v>0</v>
      </c>
    </row>
    <row r="10885" spans="18:19" x14ac:dyDescent="0.25">
      <c r="R10885" s="13">
        <v>10812</v>
      </c>
      <c r="S10885" s="13">
        <v>0</v>
      </c>
    </row>
    <row r="10886" spans="18:19" x14ac:dyDescent="0.25">
      <c r="R10886" s="13">
        <v>10813</v>
      </c>
      <c r="S10886" s="13">
        <v>0</v>
      </c>
    </row>
    <row r="10887" spans="18:19" x14ac:dyDescent="0.25">
      <c r="R10887" s="13">
        <v>10814</v>
      </c>
      <c r="S10887" s="13">
        <v>0</v>
      </c>
    </row>
    <row r="10888" spans="18:19" x14ac:dyDescent="0.25">
      <c r="R10888" s="13">
        <v>10815</v>
      </c>
      <c r="S10888" s="13">
        <v>0</v>
      </c>
    </row>
    <row r="10889" spans="18:19" x14ac:dyDescent="0.25">
      <c r="R10889" s="13">
        <v>10816</v>
      </c>
      <c r="S10889" s="13">
        <v>0</v>
      </c>
    </row>
    <row r="10890" spans="18:19" x14ac:dyDescent="0.25">
      <c r="R10890" s="13">
        <v>10817</v>
      </c>
      <c r="S10890" s="13">
        <v>0</v>
      </c>
    </row>
    <row r="10891" spans="18:19" x14ac:dyDescent="0.25">
      <c r="R10891" s="13">
        <v>10818</v>
      </c>
      <c r="S10891" s="13">
        <v>0</v>
      </c>
    </row>
    <row r="10892" spans="18:19" x14ac:dyDescent="0.25">
      <c r="R10892" s="13">
        <v>10819</v>
      </c>
      <c r="S10892" s="13">
        <v>495648007.5760498</v>
      </c>
    </row>
    <row r="10893" spans="18:19" x14ac:dyDescent="0.25">
      <c r="R10893" s="13">
        <v>10820</v>
      </c>
      <c r="S10893" s="13">
        <v>0</v>
      </c>
    </row>
    <row r="10894" spans="18:19" x14ac:dyDescent="0.25">
      <c r="R10894" s="13">
        <v>10821</v>
      </c>
      <c r="S10894" s="13">
        <v>0</v>
      </c>
    </row>
    <row r="10895" spans="18:19" x14ac:dyDescent="0.25">
      <c r="R10895" s="13">
        <v>10822</v>
      </c>
      <c r="S10895" s="13">
        <v>108790091.89276314</v>
      </c>
    </row>
    <row r="10896" spans="18:19" x14ac:dyDescent="0.25">
      <c r="R10896" s="13">
        <v>10823</v>
      </c>
      <c r="S10896" s="13">
        <v>150774695.60794067</v>
      </c>
    </row>
    <row r="10897" spans="18:19" x14ac:dyDescent="0.25">
      <c r="R10897" s="13">
        <v>10824</v>
      </c>
      <c r="S10897" s="13">
        <v>0</v>
      </c>
    </row>
    <row r="10898" spans="18:19" x14ac:dyDescent="0.25">
      <c r="R10898" s="13">
        <v>10825</v>
      </c>
      <c r="S10898" s="13">
        <v>324199809.09062004</v>
      </c>
    </row>
    <row r="10899" spans="18:19" x14ac:dyDescent="0.25">
      <c r="R10899" s="13">
        <v>10826</v>
      </c>
      <c r="S10899" s="13">
        <v>633374979.45214081</v>
      </c>
    </row>
    <row r="10900" spans="18:19" x14ac:dyDescent="0.25">
      <c r="R10900" s="13">
        <v>10827</v>
      </c>
      <c r="S10900" s="13">
        <v>190421916.45719337</v>
      </c>
    </row>
    <row r="10901" spans="18:19" x14ac:dyDescent="0.25">
      <c r="R10901" s="13">
        <v>10828</v>
      </c>
      <c r="S10901" s="13">
        <v>181976110.92366409</v>
      </c>
    </row>
    <row r="10902" spans="18:19" x14ac:dyDescent="0.25">
      <c r="R10902" s="13">
        <v>10829</v>
      </c>
      <c r="S10902" s="13">
        <v>0</v>
      </c>
    </row>
    <row r="10903" spans="18:19" x14ac:dyDescent="0.25">
      <c r="R10903" s="13">
        <v>10830</v>
      </c>
      <c r="S10903" s="13">
        <v>0</v>
      </c>
    </row>
    <row r="10904" spans="18:19" x14ac:dyDescent="0.25">
      <c r="R10904" s="13">
        <v>10831</v>
      </c>
      <c r="S10904" s="13">
        <v>0</v>
      </c>
    </row>
    <row r="10905" spans="18:19" x14ac:dyDescent="0.25">
      <c r="R10905" s="13">
        <v>10832</v>
      </c>
      <c r="S10905" s="13">
        <v>0</v>
      </c>
    </row>
    <row r="10906" spans="18:19" x14ac:dyDescent="0.25">
      <c r="R10906" s="13">
        <v>10833</v>
      </c>
      <c r="S10906" s="13">
        <v>366676123.09657478</v>
      </c>
    </row>
    <row r="10907" spans="18:19" x14ac:dyDescent="0.25">
      <c r="R10907" s="13">
        <v>10834</v>
      </c>
      <c r="S10907" s="13">
        <v>62009341.674106598</v>
      </c>
    </row>
    <row r="10908" spans="18:19" x14ac:dyDescent="0.25">
      <c r="R10908" s="13">
        <v>10835</v>
      </c>
      <c r="S10908" s="13">
        <v>0</v>
      </c>
    </row>
    <row r="10909" spans="18:19" x14ac:dyDescent="0.25">
      <c r="R10909" s="13">
        <v>10836</v>
      </c>
      <c r="S10909" s="13">
        <v>783437417.98759651</v>
      </c>
    </row>
    <row r="10910" spans="18:19" x14ac:dyDescent="0.25">
      <c r="R10910" s="13">
        <v>10837</v>
      </c>
      <c r="S10910" s="13">
        <v>0</v>
      </c>
    </row>
    <row r="10911" spans="18:19" x14ac:dyDescent="0.25">
      <c r="R10911" s="13">
        <v>10838</v>
      </c>
      <c r="S10911" s="13">
        <v>0</v>
      </c>
    </row>
    <row r="10912" spans="18:19" x14ac:dyDescent="0.25">
      <c r="R10912" s="13">
        <v>10839</v>
      </c>
      <c r="S10912" s="13">
        <v>0</v>
      </c>
    </row>
    <row r="10913" spans="18:19" x14ac:dyDescent="0.25">
      <c r="R10913" s="13">
        <v>10840</v>
      </c>
      <c r="S10913" s="13">
        <v>189042203.26530838</v>
      </c>
    </row>
    <row r="10914" spans="18:19" x14ac:dyDescent="0.25">
      <c r="R10914" s="13">
        <v>10841</v>
      </c>
      <c r="S10914" s="13">
        <v>0</v>
      </c>
    </row>
    <row r="10915" spans="18:19" x14ac:dyDescent="0.25">
      <c r="R10915" s="13">
        <v>10842</v>
      </c>
      <c r="S10915" s="13">
        <v>0</v>
      </c>
    </row>
    <row r="10916" spans="18:19" x14ac:dyDescent="0.25">
      <c r="R10916" s="13">
        <v>10843</v>
      </c>
      <c r="S10916" s="13">
        <v>0</v>
      </c>
    </row>
    <row r="10917" spans="18:19" x14ac:dyDescent="0.25">
      <c r="R10917" s="13">
        <v>10844</v>
      </c>
      <c r="S10917" s="13">
        <v>0</v>
      </c>
    </row>
    <row r="10918" spans="18:19" x14ac:dyDescent="0.25">
      <c r="R10918" s="13">
        <v>10845</v>
      </c>
      <c r="S10918" s="13">
        <v>0</v>
      </c>
    </row>
    <row r="10919" spans="18:19" x14ac:dyDescent="0.25">
      <c r="R10919" s="13">
        <v>10846</v>
      </c>
      <c r="S10919" s="13">
        <v>0</v>
      </c>
    </row>
    <row r="10920" spans="18:19" x14ac:dyDescent="0.25">
      <c r="R10920" s="13">
        <v>10847</v>
      </c>
      <c r="S10920" s="13">
        <v>0</v>
      </c>
    </row>
    <row r="10921" spans="18:19" x14ac:dyDescent="0.25">
      <c r="R10921" s="13">
        <v>10848</v>
      </c>
      <c r="S10921" s="13">
        <v>0</v>
      </c>
    </row>
    <row r="10922" spans="18:19" x14ac:dyDescent="0.25">
      <c r="R10922" s="13">
        <v>10849</v>
      </c>
      <c r="S10922" s="13">
        <v>71288969.565311432</v>
      </c>
    </row>
    <row r="10923" spans="18:19" x14ac:dyDescent="0.25">
      <c r="R10923" s="13">
        <v>10850</v>
      </c>
      <c r="S10923" s="13">
        <v>456232045.10330963</v>
      </c>
    </row>
    <row r="10924" spans="18:19" x14ac:dyDescent="0.25">
      <c r="R10924" s="13">
        <v>10851</v>
      </c>
      <c r="S10924" s="13">
        <v>535739963.39948654</v>
      </c>
    </row>
    <row r="10925" spans="18:19" x14ac:dyDescent="0.25">
      <c r="R10925" s="13">
        <v>10852</v>
      </c>
      <c r="S10925" s="13">
        <v>222035686.64228821</v>
      </c>
    </row>
    <row r="10926" spans="18:19" x14ac:dyDescent="0.25">
      <c r="R10926" s="13">
        <v>10853</v>
      </c>
      <c r="S10926" s="13">
        <v>0</v>
      </c>
    </row>
    <row r="10927" spans="18:19" x14ac:dyDescent="0.25">
      <c r="R10927" s="13">
        <v>10854</v>
      </c>
      <c r="S10927" s="13">
        <v>0</v>
      </c>
    </row>
    <row r="10928" spans="18:19" x14ac:dyDescent="0.25">
      <c r="R10928" s="13">
        <v>10855</v>
      </c>
      <c r="S10928" s="13">
        <v>260397059.86989212</v>
      </c>
    </row>
    <row r="10929" spans="18:19" x14ac:dyDescent="0.25">
      <c r="R10929" s="13">
        <v>10856</v>
      </c>
      <c r="S10929" s="13">
        <v>0</v>
      </c>
    </row>
    <row r="10930" spans="18:19" x14ac:dyDescent="0.25">
      <c r="R10930" s="13">
        <v>10857</v>
      </c>
      <c r="S10930" s="13">
        <v>0</v>
      </c>
    </row>
    <row r="10931" spans="18:19" x14ac:dyDescent="0.25">
      <c r="R10931" s="13">
        <v>10858</v>
      </c>
      <c r="S10931" s="13">
        <v>0</v>
      </c>
    </row>
    <row r="10932" spans="18:19" x14ac:dyDescent="0.25">
      <c r="R10932" s="13">
        <v>10859</v>
      </c>
      <c r="S10932" s="13">
        <v>746816147.93347168</v>
      </c>
    </row>
    <row r="10933" spans="18:19" x14ac:dyDescent="0.25">
      <c r="R10933" s="13">
        <v>10860</v>
      </c>
      <c r="S10933" s="13">
        <v>0</v>
      </c>
    </row>
    <row r="10934" spans="18:19" x14ac:dyDescent="0.25">
      <c r="R10934" s="13">
        <v>10861</v>
      </c>
      <c r="S10934" s="13">
        <v>0</v>
      </c>
    </row>
    <row r="10935" spans="18:19" x14ac:dyDescent="0.25">
      <c r="R10935" s="13">
        <v>10862</v>
      </c>
      <c r="S10935" s="13">
        <v>623898064.76647758</v>
      </c>
    </row>
    <row r="10936" spans="18:19" x14ac:dyDescent="0.25">
      <c r="R10936" s="13">
        <v>10863</v>
      </c>
      <c r="S10936" s="13">
        <v>0</v>
      </c>
    </row>
    <row r="10937" spans="18:19" x14ac:dyDescent="0.25">
      <c r="R10937" s="13">
        <v>10864</v>
      </c>
      <c r="S10937" s="13">
        <v>0</v>
      </c>
    </row>
    <row r="10938" spans="18:19" x14ac:dyDescent="0.25">
      <c r="R10938" s="13">
        <v>10865</v>
      </c>
      <c r="S10938" s="13">
        <v>0</v>
      </c>
    </row>
    <row r="10939" spans="18:19" x14ac:dyDescent="0.25">
      <c r="R10939" s="13">
        <v>10866</v>
      </c>
      <c r="S10939" s="13">
        <v>0</v>
      </c>
    </row>
    <row r="10940" spans="18:19" x14ac:dyDescent="0.25">
      <c r="R10940" s="13">
        <v>10867</v>
      </c>
      <c r="S10940" s="13">
        <v>0</v>
      </c>
    </row>
    <row r="10941" spans="18:19" x14ac:dyDescent="0.25">
      <c r="R10941" s="13">
        <v>10868</v>
      </c>
      <c r="S10941" s="13">
        <v>0</v>
      </c>
    </row>
    <row r="10942" spans="18:19" x14ac:dyDescent="0.25">
      <c r="R10942" s="13">
        <v>10869</v>
      </c>
      <c r="S10942" s="13">
        <v>664202989.68738556</v>
      </c>
    </row>
    <row r="10943" spans="18:19" x14ac:dyDescent="0.25">
      <c r="R10943" s="13">
        <v>10870</v>
      </c>
      <c r="S10943" s="13">
        <v>0</v>
      </c>
    </row>
    <row r="10944" spans="18:19" x14ac:dyDescent="0.25">
      <c r="R10944" s="13">
        <v>10871</v>
      </c>
      <c r="S10944" s="13">
        <v>0</v>
      </c>
    </row>
    <row r="10945" spans="18:19" x14ac:dyDescent="0.25">
      <c r="R10945" s="13">
        <v>10872</v>
      </c>
      <c r="S10945" s="13">
        <v>0</v>
      </c>
    </row>
    <row r="10946" spans="18:19" x14ac:dyDescent="0.25">
      <c r="R10946" s="13">
        <v>10873</v>
      </c>
      <c r="S10946" s="13">
        <v>0</v>
      </c>
    </row>
    <row r="10947" spans="18:19" x14ac:dyDescent="0.25">
      <c r="R10947" s="13">
        <v>10874</v>
      </c>
      <c r="S10947" s="13">
        <v>0</v>
      </c>
    </row>
    <row r="10948" spans="18:19" x14ac:dyDescent="0.25">
      <c r="R10948" s="13">
        <v>10875</v>
      </c>
      <c r="S10948" s="13">
        <v>0</v>
      </c>
    </row>
    <row r="10949" spans="18:19" x14ac:dyDescent="0.25">
      <c r="R10949" s="13">
        <v>10876</v>
      </c>
      <c r="S10949" s="13">
        <v>0</v>
      </c>
    </row>
    <row r="10950" spans="18:19" x14ac:dyDescent="0.25">
      <c r="R10950" s="13">
        <v>10877</v>
      </c>
      <c r="S10950" s="13">
        <v>0</v>
      </c>
    </row>
    <row r="10951" spans="18:19" x14ac:dyDescent="0.25">
      <c r="R10951" s="13">
        <v>10878</v>
      </c>
      <c r="S10951" s="13">
        <v>0</v>
      </c>
    </row>
    <row r="10952" spans="18:19" x14ac:dyDescent="0.25">
      <c r="R10952" s="13">
        <v>10879</v>
      </c>
      <c r="S10952" s="13">
        <v>0</v>
      </c>
    </row>
    <row r="10953" spans="18:19" x14ac:dyDescent="0.25">
      <c r="R10953" s="13">
        <v>10880</v>
      </c>
      <c r="S10953" s="13">
        <v>0</v>
      </c>
    </row>
    <row r="10954" spans="18:19" x14ac:dyDescent="0.25">
      <c r="R10954" s="13">
        <v>10881</v>
      </c>
      <c r="S10954" s="13">
        <v>282928582.62309647</v>
      </c>
    </row>
    <row r="10955" spans="18:19" x14ac:dyDescent="0.25">
      <c r="R10955" s="13">
        <v>10882</v>
      </c>
      <c r="S10955" s="13">
        <v>0</v>
      </c>
    </row>
    <row r="10956" spans="18:19" x14ac:dyDescent="0.25">
      <c r="R10956" s="13">
        <v>10883</v>
      </c>
      <c r="S10956" s="13">
        <v>0</v>
      </c>
    </row>
    <row r="10957" spans="18:19" x14ac:dyDescent="0.25">
      <c r="R10957" s="13">
        <v>10884</v>
      </c>
      <c r="S10957" s="13">
        <v>0</v>
      </c>
    </row>
    <row r="10958" spans="18:19" x14ac:dyDescent="0.25">
      <c r="R10958" s="13">
        <v>10885</v>
      </c>
      <c r="S10958" s="13">
        <v>0</v>
      </c>
    </row>
    <row r="10959" spans="18:19" x14ac:dyDescent="0.25">
      <c r="R10959" s="13">
        <v>10886</v>
      </c>
      <c r="S10959" s="13">
        <v>0</v>
      </c>
    </row>
    <row r="10960" spans="18:19" x14ac:dyDescent="0.25">
      <c r="R10960" s="13">
        <v>10887</v>
      </c>
      <c r="S10960" s="13">
        <v>0</v>
      </c>
    </row>
    <row r="10961" spans="18:19" x14ac:dyDescent="0.25">
      <c r="R10961" s="13">
        <v>10888</v>
      </c>
      <c r="S10961" s="13">
        <v>57963465.815830231</v>
      </c>
    </row>
    <row r="10962" spans="18:19" x14ac:dyDescent="0.25">
      <c r="R10962" s="13">
        <v>10889</v>
      </c>
      <c r="S10962" s="13">
        <v>0</v>
      </c>
    </row>
    <row r="10963" spans="18:19" x14ac:dyDescent="0.25">
      <c r="R10963" s="13">
        <v>10890</v>
      </c>
      <c r="S10963" s="13">
        <v>0</v>
      </c>
    </row>
    <row r="10964" spans="18:19" x14ac:dyDescent="0.25">
      <c r="R10964" s="13">
        <v>10891</v>
      </c>
      <c r="S10964" s="13">
        <v>0</v>
      </c>
    </row>
    <row r="10965" spans="18:19" x14ac:dyDescent="0.25">
      <c r="R10965" s="13">
        <v>10892</v>
      </c>
      <c r="S10965" s="13">
        <v>0</v>
      </c>
    </row>
    <row r="10966" spans="18:19" x14ac:dyDescent="0.25">
      <c r="R10966" s="13">
        <v>10893</v>
      </c>
      <c r="S10966" s="13">
        <v>63732215.858570099</v>
      </c>
    </row>
    <row r="10967" spans="18:19" x14ac:dyDescent="0.25">
      <c r="R10967" s="13">
        <v>10894</v>
      </c>
      <c r="S10967" s="13">
        <v>0</v>
      </c>
    </row>
    <row r="10968" spans="18:19" x14ac:dyDescent="0.25">
      <c r="R10968" s="13">
        <v>10895</v>
      </c>
      <c r="S10968" s="13">
        <v>0</v>
      </c>
    </row>
    <row r="10969" spans="18:19" x14ac:dyDescent="0.25">
      <c r="R10969" s="13">
        <v>10896</v>
      </c>
      <c r="S10969" s="13">
        <v>0</v>
      </c>
    </row>
    <row r="10970" spans="18:19" x14ac:dyDescent="0.25">
      <c r="R10970" s="13">
        <v>10897</v>
      </c>
      <c r="S10970" s="13">
        <v>0</v>
      </c>
    </row>
    <row r="10971" spans="18:19" x14ac:dyDescent="0.25">
      <c r="R10971" s="13">
        <v>10898</v>
      </c>
      <c r="S10971" s="13">
        <v>0</v>
      </c>
    </row>
    <row r="10972" spans="18:19" x14ac:dyDescent="0.25">
      <c r="R10972" s="13">
        <v>10899</v>
      </c>
      <c r="S10972" s="13">
        <v>0</v>
      </c>
    </row>
    <row r="10973" spans="18:19" x14ac:dyDescent="0.25">
      <c r="R10973" s="13">
        <v>10900</v>
      </c>
      <c r="S10973" s="13">
        <v>0</v>
      </c>
    </row>
    <row r="10974" spans="18:19" x14ac:dyDescent="0.25">
      <c r="R10974" s="13">
        <v>10901</v>
      </c>
      <c r="S10974" s="13">
        <v>0</v>
      </c>
    </row>
    <row r="10975" spans="18:19" x14ac:dyDescent="0.25">
      <c r="R10975" s="13">
        <v>10902</v>
      </c>
      <c r="S10975" s="13">
        <v>0</v>
      </c>
    </row>
    <row r="10976" spans="18:19" x14ac:dyDescent="0.25">
      <c r="R10976" s="13">
        <v>10903</v>
      </c>
      <c r="S10976" s="13">
        <v>0</v>
      </c>
    </row>
    <row r="10977" spans="18:19" x14ac:dyDescent="0.25">
      <c r="R10977" s="13">
        <v>10904</v>
      </c>
      <c r="S10977" s="13">
        <v>0</v>
      </c>
    </row>
    <row r="10978" spans="18:19" x14ac:dyDescent="0.25">
      <c r="R10978" s="13">
        <v>10905</v>
      </c>
      <c r="S10978" s="13">
        <v>0</v>
      </c>
    </row>
    <row r="10979" spans="18:19" x14ac:dyDescent="0.25">
      <c r="R10979" s="13">
        <v>10906</v>
      </c>
      <c r="S10979" s="13">
        <v>160353415.70254517</v>
      </c>
    </row>
    <row r="10980" spans="18:19" x14ac:dyDescent="0.25">
      <c r="R10980" s="13">
        <v>10907</v>
      </c>
      <c r="S10980" s="13">
        <v>0</v>
      </c>
    </row>
    <row r="10981" spans="18:19" x14ac:dyDescent="0.25">
      <c r="R10981" s="13">
        <v>10908</v>
      </c>
      <c r="S10981" s="13">
        <v>182195660.62283325</v>
      </c>
    </row>
    <row r="10982" spans="18:19" x14ac:dyDescent="0.25">
      <c r="R10982" s="13">
        <v>10909</v>
      </c>
      <c r="S10982" s="13">
        <v>0</v>
      </c>
    </row>
    <row r="10983" spans="18:19" x14ac:dyDescent="0.25">
      <c r="R10983" s="13">
        <v>10910</v>
      </c>
      <c r="S10983" s="13">
        <v>505247038.44721794</v>
      </c>
    </row>
    <row r="10984" spans="18:19" x14ac:dyDescent="0.25">
      <c r="R10984" s="13">
        <v>10911</v>
      </c>
      <c r="S10984" s="13">
        <v>0</v>
      </c>
    </row>
    <row r="10985" spans="18:19" x14ac:dyDescent="0.25">
      <c r="R10985" s="13">
        <v>10912</v>
      </c>
      <c r="S10985" s="13">
        <v>782363617.83732414</v>
      </c>
    </row>
    <row r="10986" spans="18:19" x14ac:dyDescent="0.25">
      <c r="R10986" s="13">
        <v>10913</v>
      </c>
      <c r="S10986" s="13">
        <v>192587912.03551674</v>
      </c>
    </row>
    <row r="10987" spans="18:19" x14ac:dyDescent="0.25">
      <c r="R10987" s="13">
        <v>10914</v>
      </c>
      <c r="S10987" s="13">
        <v>0</v>
      </c>
    </row>
    <row r="10988" spans="18:19" x14ac:dyDescent="0.25">
      <c r="R10988" s="13">
        <v>10915</v>
      </c>
      <c r="S10988" s="13">
        <v>0</v>
      </c>
    </row>
    <row r="10989" spans="18:19" x14ac:dyDescent="0.25">
      <c r="R10989" s="13">
        <v>10916</v>
      </c>
      <c r="S10989" s="13">
        <v>580148656.9072094</v>
      </c>
    </row>
    <row r="10990" spans="18:19" x14ac:dyDescent="0.25">
      <c r="R10990" s="13">
        <v>10917</v>
      </c>
      <c r="S10990" s="13">
        <v>0</v>
      </c>
    </row>
    <row r="10991" spans="18:19" x14ac:dyDescent="0.25">
      <c r="R10991" s="13">
        <v>10918</v>
      </c>
      <c r="S10991" s="13">
        <v>0</v>
      </c>
    </row>
    <row r="10992" spans="18:19" x14ac:dyDescent="0.25">
      <c r="R10992" s="13">
        <v>10919</v>
      </c>
      <c r="S10992" s="13">
        <v>0</v>
      </c>
    </row>
    <row r="10993" spans="18:19" x14ac:dyDescent="0.25">
      <c r="R10993" s="13">
        <v>10920</v>
      </c>
      <c r="S10993" s="13">
        <v>0</v>
      </c>
    </row>
    <row r="10994" spans="18:19" x14ac:dyDescent="0.25">
      <c r="R10994" s="13">
        <v>10921</v>
      </c>
      <c r="S10994" s="13">
        <v>0</v>
      </c>
    </row>
    <row r="10995" spans="18:19" x14ac:dyDescent="0.25">
      <c r="R10995" s="13">
        <v>10922</v>
      </c>
      <c r="S10995" s="13">
        <v>0</v>
      </c>
    </row>
    <row r="10996" spans="18:19" x14ac:dyDescent="0.25">
      <c r="R10996" s="13">
        <v>10923</v>
      </c>
      <c r="S10996" s="13">
        <v>0</v>
      </c>
    </row>
    <row r="10997" spans="18:19" x14ac:dyDescent="0.25">
      <c r="R10997" s="13">
        <v>10924</v>
      </c>
      <c r="S10997" s="13">
        <v>0</v>
      </c>
    </row>
    <row r="10998" spans="18:19" x14ac:dyDescent="0.25">
      <c r="R10998" s="13">
        <v>10925</v>
      </c>
      <c r="S10998" s="13">
        <v>0</v>
      </c>
    </row>
    <row r="10999" spans="18:19" x14ac:dyDescent="0.25">
      <c r="R10999" s="13">
        <v>10926</v>
      </c>
      <c r="S10999" s="13">
        <v>0</v>
      </c>
    </row>
    <row r="11000" spans="18:19" x14ac:dyDescent="0.25">
      <c r="R11000" s="13">
        <v>10927</v>
      </c>
      <c r="S11000" s="13">
        <v>0</v>
      </c>
    </row>
    <row r="11001" spans="18:19" x14ac:dyDescent="0.25">
      <c r="R11001" s="13">
        <v>10928</v>
      </c>
      <c r="S11001" s="13">
        <v>243122210.31580353</v>
      </c>
    </row>
    <row r="11002" spans="18:19" x14ac:dyDescent="0.25">
      <c r="R11002" s="13">
        <v>10929</v>
      </c>
      <c r="S11002" s="13">
        <v>0</v>
      </c>
    </row>
    <row r="11003" spans="18:19" x14ac:dyDescent="0.25">
      <c r="R11003" s="13">
        <v>10930</v>
      </c>
      <c r="S11003" s="13">
        <v>0</v>
      </c>
    </row>
    <row r="11004" spans="18:19" x14ac:dyDescent="0.25">
      <c r="R11004" s="13">
        <v>10931</v>
      </c>
      <c r="S11004" s="13">
        <v>0</v>
      </c>
    </row>
    <row r="11005" spans="18:19" x14ac:dyDescent="0.25">
      <c r="R11005" s="13">
        <v>10932</v>
      </c>
      <c r="S11005" s="13">
        <v>0</v>
      </c>
    </row>
    <row r="11006" spans="18:19" x14ac:dyDescent="0.25">
      <c r="R11006" s="13">
        <v>10933</v>
      </c>
      <c r="S11006" s="13">
        <v>0</v>
      </c>
    </row>
    <row r="11007" spans="18:19" x14ac:dyDescent="0.25">
      <c r="R11007" s="13">
        <v>10934</v>
      </c>
      <c r="S11007" s="13">
        <v>0</v>
      </c>
    </row>
    <row r="11008" spans="18:19" x14ac:dyDescent="0.25">
      <c r="R11008" s="13">
        <v>10935</v>
      </c>
      <c r="S11008" s="13">
        <v>0</v>
      </c>
    </row>
    <row r="11009" spans="18:19" x14ac:dyDescent="0.25">
      <c r="R11009" s="13">
        <v>10936</v>
      </c>
      <c r="S11009" s="13">
        <v>0</v>
      </c>
    </row>
    <row r="11010" spans="18:19" x14ac:dyDescent="0.25">
      <c r="R11010" s="13">
        <v>10937</v>
      </c>
      <c r="S11010" s="13">
        <v>0</v>
      </c>
    </row>
    <row r="11011" spans="18:19" x14ac:dyDescent="0.25">
      <c r="R11011" s="13">
        <v>10938</v>
      </c>
      <c r="S11011" s="13">
        <v>0</v>
      </c>
    </row>
    <row r="11012" spans="18:19" x14ac:dyDescent="0.25">
      <c r="R11012" s="13">
        <v>10939</v>
      </c>
      <c r="S11012" s="13">
        <v>440580136.87476921</v>
      </c>
    </row>
    <row r="11013" spans="18:19" x14ac:dyDescent="0.25">
      <c r="R11013" s="13">
        <v>10940</v>
      </c>
      <c r="S11013" s="13">
        <v>357265699.17775917</v>
      </c>
    </row>
    <row r="11014" spans="18:19" x14ac:dyDescent="0.25">
      <c r="R11014" s="13">
        <v>10941</v>
      </c>
      <c r="S11014" s="13">
        <v>0</v>
      </c>
    </row>
    <row r="11015" spans="18:19" x14ac:dyDescent="0.25">
      <c r="R11015" s="13">
        <v>10942</v>
      </c>
      <c r="S11015" s="13">
        <v>0</v>
      </c>
    </row>
    <row r="11016" spans="18:19" x14ac:dyDescent="0.25">
      <c r="R11016" s="13">
        <v>10943</v>
      </c>
      <c r="S11016" s="13">
        <v>0</v>
      </c>
    </row>
    <row r="11017" spans="18:19" x14ac:dyDescent="0.25">
      <c r="R11017" s="13">
        <v>10944</v>
      </c>
      <c r="S11017" s="13">
        <v>0</v>
      </c>
    </row>
    <row r="11018" spans="18:19" x14ac:dyDescent="0.25">
      <c r="R11018" s="13">
        <v>10945</v>
      </c>
      <c r="S11018" s="13">
        <v>0</v>
      </c>
    </row>
    <row r="11019" spans="18:19" x14ac:dyDescent="0.25">
      <c r="R11019" s="13">
        <v>10946</v>
      </c>
      <c r="S11019" s="13">
        <v>0</v>
      </c>
    </row>
    <row r="11020" spans="18:19" x14ac:dyDescent="0.25">
      <c r="R11020" s="13">
        <v>10947</v>
      </c>
      <c r="S11020" s="13">
        <v>0</v>
      </c>
    </row>
    <row r="11021" spans="18:19" x14ac:dyDescent="0.25">
      <c r="R11021" s="13">
        <v>10948</v>
      </c>
      <c r="S11021" s="13">
        <v>241935502.49915695</v>
      </c>
    </row>
    <row r="11022" spans="18:19" x14ac:dyDescent="0.25">
      <c r="R11022" s="13">
        <v>10949</v>
      </c>
      <c r="S11022" s="13">
        <v>0</v>
      </c>
    </row>
    <row r="11023" spans="18:19" x14ac:dyDescent="0.25">
      <c r="R11023" s="13">
        <v>10950</v>
      </c>
      <c r="S11023" s="13">
        <v>138501161.89525223</v>
      </c>
    </row>
    <row r="11024" spans="18:19" x14ac:dyDescent="0.25">
      <c r="R11024" s="13">
        <v>10951</v>
      </c>
      <c r="S11024" s="13">
        <v>0</v>
      </c>
    </row>
    <row r="11025" spans="18:19" x14ac:dyDescent="0.25">
      <c r="R11025" s="13">
        <v>10952</v>
      </c>
      <c r="S11025" s="13">
        <v>53916705.552165985</v>
      </c>
    </row>
    <row r="11026" spans="18:19" x14ac:dyDescent="0.25">
      <c r="R11026" s="13">
        <v>10953</v>
      </c>
      <c r="S11026" s="13">
        <v>0</v>
      </c>
    </row>
    <row r="11027" spans="18:19" x14ac:dyDescent="0.25">
      <c r="R11027" s="13">
        <v>10954</v>
      </c>
      <c r="S11027" s="13">
        <v>0</v>
      </c>
    </row>
    <row r="11028" spans="18:19" x14ac:dyDescent="0.25">
      <c r="R11028" s="13">
        <v>10955</v>
      </c>
      <c r="S11028" s="13">
        <v>0</v>
      </c>
    </row>
    <row r="11029" spans="18:19" x14ac:dyDescent="0.25">
      <c r="R11029" s="13">
        <v>10956</v>
      </c>
      <c r="S11029" s="13">
        <v>0</v>
      </c>
    </row>
    <row r="11030" spans="18:19" x14ac:dyDescent="0.25">
      <c r="R11030" s="13">
        <v>10957</v>
      </c>
      <c r="S11030" s="13">
        <v>0</v>
      </c>
    </row>
    <row r="11031" spans="18:19" x14ac:dyDescent="0.25">
      <c r="R11031" s="13">
        <v>10958</v>
      </c>
      <c r="S11031" s="13">
        <v>0</v>
      </c>
    </row>
    <row r="11032" spans="18:19" x14ac:dyDescent="0.25">
      <c r="R11032" s="13">
        <v>10959</v>
      </c>
      <c r="S11032" s="13">
        <v>0</v>
      </c>
    </row>
    <row r="11033" spans="18:19" x14ac:dyDescent="0.25">
      <c r="R11033" s="13">
        <v>10960</v>
      </c>
      <c r="S11033" s="13">
        <v>0</v>
      </c>
    </row>
    <row r="11034" spans="18:19" x14ac:dyDescent="0.25">
      <c r="R11034" s="13">
        <v>10961</v>
      </c>
      <c r="S11034" s="13">
        <v>0</v>
      </c>
    </row>
    <row r="11035" spans="18:19" x14ac:dyDescent="0.25">
      <c r="R11035" s="13">
        <v>10962</v>
      </c>
      <c r="S11035" s="13">
        <v>173801690.29785538</v>
      </c>
    </row>
    <row r="11036" spans="18:19" x14ac:dyDescent="0.25">
      <c r="R11036" s="13">
        <v>10963</v>
      </c>
      <c r="S11036" s="13">
        <v>126679364.40050507</v>
      </c>
    </row>
    <row r="11037" spans="18:19" x14ac:dyDescent="0.25">
      <c r="R11037" s="13">
        <v>10964</v>
      </c>
      <c r="S11037" s="13">
        <v>0</v>
      </c>
    </row>
    <row r="11038" spans="18:19" x14ac:dyDescent="0.25">
      <c r="R11038" s="13">
        <v>10965</v>
      </c>
      <c r="S11038" s="13">
        <v>0</v>
      </c>
    </row>
    <row r="11039" spans="18:19" x14ac:dyDescent="0.25">
      <c r="R11039" s="13">
        <v>10966</v>
      </c>
      <c r="S11039" s="13">
        <v>0</v>
      </c>
    </row>
    <row r="11040" spans="18:19" x14ac:dyDescent="0.25">
      <c r="R11040" s="13">
        <v>10967</v>
      </c>
      <c r="S11040" s="13">
        <v>0</v>
      </c>
    </row>
    <row r="11041" spans="18:19" x14ac:dyDescent="0.25">
      <c r="R11041" s="13">
        <v>10968</v>
      </c>
      <c r="S11041" s="13">
        <v>167347091.8378315</v>
      </c>
    </row>
    <row r="11042" spans="18:19" x14ac:dyDescent="0.25">
      <c r="R11042" s="13">
        <v>10969</v>
      </c>
      <c r="S11042" s="13">
        <v>0</v>
      </c>
    </row>
    <row r="11043" spans="18:19" x14ac:dyDescent="0.25">
      <c r="R11043" s="13">
        <v>10970</v>
      </c>
      <c r="S11043" s="13">
        <v>0</v>
      </c>
    </row>
    <row r="11044" spans="18:19" x14ac:dyDescent="0.25">
      <c r="R11044" s="13">
        <v>10971</v>
      </c>
      <c r="S11044" s="13">
        <v>0</v>
      </c>
    </row>
    <row r="11045" spans="18:19" x14ac:dyDescent="0.25">
      <c r="R11045" s="13">
        <v>10972</v>
      </c>
      <c r="S11045" s="13">
        <v>0</v>
      </c>
    </row>
    <row r="11046" spans="18:19" x14ac:dyDescent="0.25">
      <c r="R11046" s="13">
        <v>10973</v>
      </c>
      <c r="S11046" s="13">
        <v>0</v>
      </c>
    </row>
    <row r="11047" spans="18:19" x14ac:dyDescent="0.25">
      <c r="R11047" s="13">
        <v>10974</v>
      </c>
      <c r="S11047" s="13">
        <v>0</v>
      </c>
    </row>
    <row r="11048" spans="18:19" x14ac:dyDescent="0.25">
      <c r="R11048" s="13">
        <v>10975</v>
      </c>
      <c r="S11048" s="13">
        <v>323431420.26843452</v>
      </c>
    </row>
    <row r="11049" spans="18:19" x14ac:dyDescent="0.25">
      <c r="R11049" s="13">
        <v>10976</v>
      </c>
      <c r="S11049" s="13">
        <v>0</v>
      </c>
    </row>
    <row r="11050" spans="18:19" x14ac:dyDescent="0.25">
      <c r="R11050" s="13">
        <v>10977</v>
      </c>
      <c r="S11050" s="13">
        <v>0</v>
      </c>
    </row>
    <row r="11051" spans="18:19" x14ac:dyDescent="0.25">
      <c r="R11051" s="13">
        <v>10978</v>
      </c>
      <c r="S11051" s="13">
        <v>0</v>
      </c>
    </row>
    <row r="11052" spans="18:19" x14ac:dyDescent="0.25">
      <c r="R11052" s="13">
        <v>10979</v>
      </c>
      <c r="S11052" s="13">
        <v>0</v>
      </c>
    </row>
    <row r="11053" spans="18:19" x14ac:dyDescent="0.25">
      <c r="R11053" s="13">
        <v>10980</v>
      </c>
      <c r="S11053" s="13">
        <v>0</v>
      </c>
    </row>
    <row r="11054" spans="18:19" x14ac:dyDescent="0.25">
      <c r="R11054" s="13">
        <v>10981</v>
      </c>
      <c r="S11054" s="13">
        <v>39064874.7647686</v>
      </c>
    </row>
    <row r="11055" spans="18:19" x14ac:dyDescent="0.25">
      <c r="R11055" s="13">
        <v>10982</v>
      </c>
      <c r="S11055" s="13">
        <v>208337633.18405533</v>
      </c>
    </row>
    <row r="11056" spans="18:19" x14ac:dyDescent="0.25">
      <c r="R11056" s="13">
        <v>10983</v>
      </c>
      <c r="S11056" s="13">
        <v>0</v>
      </c>
    </row>
    <row r="11057" spans="18:19" x14ac:dyDescent="0.25">
      <c r="R11057" s="13">
        <v>10984</v>
      </c>
      <c r="S11057" s="13">
        <v>323958848.50329971</v>
      </c>
    </row>
    <row r="11058" spans="18:19" x14ac:dyDescent="0.25">
      <c r="R11058" s="13">
        <v>10985</v>
      </c>
      <c r="S11058" s="13">
        <v>22776981.82443428</v>
      </c>
    </row>
    <row r="11059" spans="18:19" x14ac:dyDescent="0.25">
      <c r="R11059" s="13">
        <v>10986</v>
      </c>
      <c r="S11059" s="13">
        <v>0</v>
      </c>
    </row>
    <row r="11060" spans="18:19" x14ac:dyDescent="0.25">
      <c r="R11060" s="13">
        <v>10987</v>
      </c>
      <c r="S11060" s="13">
        <v>0</v>
      </c>
    </row>
    <row r="11061" spans="18:19" x14ac:dyDescent="0.25">
      <c r="R11061" s="13">
        <v>10988</v>
      </c>
      <c r="S11061" s="13">
        <v>0</v>
      </c>
    </row>
    <row r="11062" spans="18:19" x14ac:dyDescent="0.25">
      <c r="R11062" s="13">
        <v>10989</v>
      </c>
      <c r="S11062" s="13">
        <v>0</v>
      </c>
    </row>
    <row r="11063" spans="18:19" x14ac:dyDescent="0.25">
      <c r="R11063" s="13">
        <v>10990</v>
      </c>
      <c r="S11063" s="13">
        <v>0</v>
      </c>
    </row>
    <row r="11064" spans="18:19" x14ac:dyDescent="0.25">
      <c r="R11064" s="13">
        <v>10991</v>
      </c>
      <c r="S11064" s="13">
        <v>0</v>
      </c>
    </row>
    <row r="11065" spans="18:19" x14ac:dyDescent="0.25">
      <c r="R11065" s="13">
        <v>10992</v>
      </c>
      <c r="S11065" s="13">
        <v>0</v>
      </c>
    </row>
    <row r="11066" spans="18:19" x14ac:dyDescent="0.25">
      <c r="R11066" s="13">
        <v>10993</v>
      </c>
      <c r="S11066" s="13">
        <v>0</v>
      </c>
    </row>
    <row r="11067" spans="18:19" x14ac:dyDescent="0.25">
      <c r="R11067" s="13">
        <v>10994</v>
      </c>
      <c r="S11067" s="13">
        <v>0</v>
      </c>
    </row>
    <row r="11068" spans="18:19" x14ac:dyDescent="0.25">
      <c r="R11068" s="13">
        <v>10995</v>
      </c>
      <c r="S11068" s="13">
        <v>329467506.34723663</v>
      </c>
    </row>
    <row r="11069" spans="18:19" x14ac:dyDescent="0.25">
      <c r="R11069" s="13">
        <v>10996</v>
      </c>
      <c r="S11069" s="13">
        <v>467100505.51694107</v>
      </c>
    </row>
    <row r="11070" spans="18:19" x14ac:dyDescent="0.25">
      <c r="R11070" s="13">
        <v>10997</v>
      </c>
      <c r="S11070" s="13">
        <v>0</v>
      </c>
    </row>
    <row r="11071" spans="18:19" x14ac:dyDescent="0.25">
      <c r="R11071" s="13">
        <v>10998</v>
      </c>
      <c r="S11071" s="13">
        <v>0</v>
      </c>
    </row>
    <row r="11072" spans="18:19" x14ac:dyDescent="0.25">
      <c r="R11072" s="13">
        <v>10999</v>
      </c>
      <c r="S11072" s="13">
        <v>0</v>
      </c>
    </row>
    <row r="11073" spans="18:19" x14ac:dyDescent="0.25">
      <c r="R11073" s="13">
        <v>11000</v>
      </c>
      <c r="S11073" s="13">
        <v>0</v>
      </c>
    </row>
    <row r="11074" spans="18:19" x14ac:dyDescent="0.25">
      <c r="R11074" s="13">
        <v>11001</v>
      </c>
      <c r="S11074" s="13">
        <v>55481338.902452469</v>
      </c>
    </row>
    <row r="11075" spans="18:19" x14ac:dyDescent="0.25">
      <c r="R11075" s="13">
        <v>11002</v>
      </c>
      <c r="S11075" s="13">
        <v>0</v>
      </c>
    </row>
    <row r="11076" spans="18:19" x14ac:dyDescent="0.25">
      <c r="R11076" s="13">
        <v>11003</v>
      </c>
      <c r="S11076" s="13">
        <v>0</v>
      </c>
    </row>
    <row r="11077" spans="18:19" x14ac:dyDescent="0.25">
      <c r="R11077" s="13">
        <v>11004</v>
      </c>
      <c r="S11077" s="13">
        <v>937256002.73712921</v>
      </c>
    </row>
    <row r="11078" spans="18:19" x14ac:dyDescent="0.25">
      <c r="R11078" s="13">
        <v>11005</v>
      </c>
      <c r="S11078" s="13">
        <v>40918329.711202621</v>
      </c>
    </row>
    <row r="11079" spans="18:19" x14ac:dyDescent="0.25">
      <c r="R11079" s="13">
        <v>11006</v>
      </c>
      <c r="S11079" s="13">
        <v>920228161.71645355</v>
      </c>
    </row>
    <row r="11080" spans="18:19" x14ac:dyDescent="0.25">
      <c r="R11080" s="13">
        <v>11007</v>
      </c>
      <c r="S11080" s="13">
        <v>0</v>
      </c>
    </row>
    <row r="11081" spans="18:19" x14ac:dyDescent="0.25">
      <c r="R11081" s="13">
        <v>11008</v>
      </c>
      <c r="S11081" s="13">
        <v>86363157.96972084</v>
      </c>
    </row>
    <row r="11082" spans="18:19" x14ac:dyDescent="0.25">
      <c r="R11082" s="13">
        <v>11009</v>
      </c>
      <c r="S11082" s="13">
        <v>0</v>
      </c>
    </row>
    <row r="11083" spans="18:19" x14ac:dyDescent="0.25">
      <c r="R11083" s="13">
        <v>11010</v>
      </c>
      <c r="S11083" s="13">
        <v>0</v>
      </c>
    </row>
    <row r="11084" spans="18:19" x14ac:dyDescent="0.25">
      <c r="R11084" s="13">
        <v>11011</v>
      </c>
      <c r="S11084" s="13">
        <v>0</v>
      </c>
    </row>
    <row r="11085" spans="18:19" x14ac:dyDescent="0.25">
      <c r="R11085" s="13">
        <v>11012</v>
      </c>
      <c r="S11085" s="13">
        <v>0</v>
      </c>
    </row>
    <row r="11086" spans="18:19" x14ac:dyDescent="0.25">
      <c r="R11086" s="13">
        <v>11013</v>
      </c>
      <c r="S11086" s="13">
        <v>102693951.40372276</v>
      </c>
    </row>
    <row r="11087" spans="18:19" x14ac:dyDescent="0.25">
      <c r="R11087" s="13">
        <v>11014</v>
      </c>
      <c r="S11087" s="13">
        <v>0</v>
      </c>
    </row>
    <row r="11088" spans="18:19" x14ac:dyDescent="0.25">
      <c r="R11088" s="13">
        <v>11015</v>
      </c>
      <c r="S11088" s="13">
        <v>235951327.44926453</v>
      </c>
    </row>
    <row r="11089" spans="18:19" x14ac:dyDescent="0.25">
      <c r="R11089" s="13">
        <v>11016</v>
      </c>
      <c r="S11089" s="13">
        <v>4241650.0238075256</v>
      </c>
    </row>
    <row r="11090" spans="18:19" x14ac:dyDescent="0.25">
      <c r="R11090" s="13">
        <v>11017</v>
      </c>
      <c r="S11090" s="13">
        <v>0</v>
      </c>
    </row>
    <row r="11091" spans="18:19" x14ac:dyDescent="0.25">
      <c r="R11091" s="13">
        <v>11018</v>
      </c>
      <c r="S11091" s="13">
        <v>0</v>
      </c>
    </row>
    <row r="11092" spans="18:19" x14ac:dyDescent="0.25">
      <c r="R11092" s="13">
        <v>11019</v>
      </c>
      <c r="S11092" s="13">
        <v>0</v>
      </c>
    </row>
    <row r="11093" spans="18:19" x14ac:dyDescent="0.25">
      <c r="R11093" s="13">
        <v>11020</v>
      </c>
      <c r="S11093" s="13">
        <v>0</v>
      </c>
    </row>
    <row r="11094" spans="18:19" x14ac:dyDescent="0.25">
      <c r="R11094" s="13">
        <v>11021</v>
      </c>
      <c r="S11094" s="13">
        <v>393354758.9534359</v>
      </c>
    </row>
    <row r="11095" spans="18:19" x14ac:dyDescent="0.25">
      <c r="R11095" s="13">
        <v>11022</v>
      </c>
      <c r="S11095" s="13">
        <v>0</v>
      </c>
    </row>
    <row r="11096" spans="18:19" x14ac:dyDescent="0.25">
      <c r="R11096" s="13">
        <v>11023</v>
      </c>
      <c r="S11096" s="13">
        <v>0</v>
      </c>
    </row>
    <row r="11097" spans="18:19" x14ac:dyDescent="0.25">
      <c r="R11097" s="13">
        <v>11024</v>
      </c>
      <c r="S11097" s="13">
        <v>0</v>
      </c>
    </row>
    <row r="11098" spans="18:19" x14ac:dyDescent="0.25">
      <c r="R11098" s="13">
        <v>11025</v>
      </c>
      <c r="S11098" s="13">
        <v>0</v>
      </c>
    </row>
    <row r="11099" spans="18:19" x14ac:dyDescent="0.25">
      <c r="R11099" s="13">
        <v>11026</v>
      </c>
      <c r="S11099" s="13">
        <v>0</v>
      </c>
    </row>
    <row r="11100" spans="18:19" x14ac:dyDescent="0.25">
      <c r="R11100" s="13">
        <v>11027</v>
      </c>
      <c r="S11100" s="13">
        <v>0</v>
      </c>
    </row>
    <row r="11101" spans="18:19" x14ac:dyDescent="0.25">
      <c r="R11101" s="13">
        <v>11028</v>
      </c>
      <c r="S11101" s="13">
        <v>0</v>
      </c>
    </row>
    <row r="11102" spans="18:19" x14ac:dyDescent="0.25">
      <c r="R11102" s="13">
        <v>11029</v>
      </c>
      <c r="S11102" s="13">
        <v>0</v>
      </c>
    </row>
    <row r="11103" spans="18:19" x14ac:dyDescent="0.25">
      <c r="R11103" s="13">
        <v>11030</v>
      </c>
      <c r="S11103" s="13">
        <v>0</v>
      </c>
    </row>
    <row r="11104" spans="18:19" x14ac:dyDescent="0.25">
      <c r="R11104" s="13">
        <v>11031</v>
      </c>
      <c r="S11104" s="13">
        <v>0</v>
      </c>
    </row>
    <row r="11105" spans="18:19" x14ac:dyDescent="0.25">
      <c r="R11105" s="13">
        <v>11032</v>
      </c>
      <c r="S11105" s="13">
        <v>0</v>
      </c>
    </row>
    <row r="11106" spans="18:19" x14ac:dyDescent="0.25">
      <c r="R11106" s="13">
        <v>11033</v>
      </c>
      <c r="S11106" s="13">
        <v>0</v>
      </c>
    </row>
    <row r="11107" spans="18:19" x14ac:dyDescent="0.25">
      <c r="R11107" s="13">
        <v>11034</v>
      </c>
      <c r="S11107" s="13">
        <v>0</v>
      </c>
    </row>
    <row r="11108" spans="18:19" x14ac:dyDescent="0.25">
      <c r="R11108" s="13">
        <v>11035</v>
      </c>
      <c r="S11108" s="13">
        <v>0</v>
      </c>
    </row>
    <row r="11109" spans="18:19" x14ac:dyDescent="0.25">
      <c r="R11109" s="13">
        <v>11036</v>
      </c>
      <c r="S11109" s="13">
        <v>274978131.32345581</v>
      </c>
    </row>
    <row r="11110" spans="18:19" x14ac:dyDescent="0.25">
      <c r="R11110" s="13">
        <v>11037</v>
      </c>
      <c r="S11110" s="13">
        <v>0</v>
      </c>
    </row>
    <row r="11111" spans="18:19" x14ac:dyDescent="0.25">
      <c r="R11111" s="13">
        <v>11038</v>
      </c>
      <c r="S11111" s="13">
        <v>0</v>
      </c>
    </row>
    <row r="11112" spans="18:19" x14ac:dyDescent="0.25">
      <c r="R11112" s="13">
        <v>11039</v>
      </c>
      <c r="S11112" s="13">
        <v>0</v>
      </c>
    </row>
    <row r="11113" spans="18:19" x14ac:dyDescent="0.25">
      <c r="R11113" s="13">
        <v>11040</v>
      </c>
      <c r="S11113" s="13">
        <v>0</v>
      </c>
    </row>
    <row r="11114" spans="18:19" x14ac:dyDescent="0.25">
      <c r="R11114" s="13">
        <v>11041</v>
      </c>
      <c r="S11114" s="13">
        <v>0</v>
      </c>
    </row>
    <row r="11115" spans="18:19" x14ac:dyDescent="0.25">
      <c r="R11115" s="13">
        <v>11042</v>
      </c>
      <c r="S11115" s="13">
        <v>0</v>
      </c>
    </row>
    <row r="11116" spans="18:19" x14ac:dyDescent="0.25">
      <c r="R11116" s="13">
        <v>11043</v>
      </c>
      <c r="S11116" s="13">
        <v>644405784.62605858</v>
      </c>
    </row>
    <row r="11117" spans="18:19" x14ac:dyDescent="0.25">
      <c r="R11117" s="13">
        <v>11044</v>
      </c>
      <c r="S11117" s="13">
        <v>0</v>
      </c>
    </row>
    <row r="11118" spans="18:19" x14ac:dyDescent="0.25">
      <c r="R11118" s="13">
        <v>11045</v>
      </c>
      <c r="S11118" s="13">
        <v>0</v>
      </c>
    </row>
    <row r="11119" spans="18:19" x14ac:dyDescent="0.25">
      <c r="R11119" s="13">
        <v>11046</v>
      </c>
      <c r="S11119" s="13">
        <v>0</v>
      </c>
    </row>
    <row r="11120" spans="18:19" x14ac:dyDescent="0.25">
      <c r="R11120" s="13">
        <v>11047</v>
      </c>
      <c r="S11120" s="13">
        <v>0</v>
      </c>
    </row>
    <row r="11121" spans="18:19" x14ac:dyDescent="0.25">
      <c r="R11121" s="13">
        <v>11048</v>
      </c>
      <c r="S11121" s="13">
        <v>379483629.4354763</v>
      </c>
    </row>
    <row r="11122" spans="18:19" x14ac:dyDescent="0.25">
      <c r="R11122" s="13">
        <v>11049</v>
      </c>
      <c r="S11122" s="13">
        <v>0</v>
      </c>
    </row>
    <row r="11123" spans="18:19" x14ac:dyDescent="0.25">
      <c r="R11123" s="13">
        <v>11050</v>
      </c>
      <c r="S11123" s="13">
        <v>0</v>
      </c>
    </row>
    <row r="11124" spans="18:19" x14ac:dyDescent="0.25">
      <c r="R11124" s="13">
        <v>11051</v>
      </c>
      <c r="S11124" s="13">
        <v>0</v>
      </c>
    </row>
    <row r="11125" spans="18:19" x14ac:dyDescent="0.25">
      <c r="R11125" s="13">
        <v>11052</v>
      </c>
      <c r="S11125" s="13">
        <v>625778914.18392181</v>
      </c>
    </row>
    <row r="11126" spans="18:19" x14ac:dyDescent="0.25">
      <c r="R11126" s="13">
        <v>11053</v>
      </c>
      <c r="S11126" s="13">
        <v>195054715.88820267</v>
      </c>
    </row>
    <row r="11127" spans="18:19" x14ac:dyDescent="0.25">
      <c r="R11127" s="13">
        <v>11054</v>
      </c>
      <c r="S11127" s="13">
        <v>0</v>
      </c>
    </row>
    <row r="11128" spans="18:19" x14ac:dyDescent="0.25">
      <c r="R11128" s="13">
        <v>11055</v>
      </c>
      <c r="S11128" s="13">
        <v>554451254.51813316</v>
      </c>
    </row>
    <row r="11129" spans="18:19" x14ac:dyDescent="0.25">
      <c r="R11129" s="13">
        <v>11056</v>
      </c>
      <c r="S11129" s="13">
        <v>254788310.75410461</v>
      </c>
    </row>
    <row r="11130" spans="18:19" x14ac:dyDescent="0.25">
      <c r="R11130" s="13">
        <v>11057</v>
      </c>
      <c r="S11130" s="13">
        <v>370447593.10021782</v>
      </c>
    </row>
    <row r="11131" spans="18:19" x14ac:dyDescent="0.25">
      <c r="R11131" s="13">
        <v>11058</v>
      </c>
      <c r="S11131" s="13">
        <v>1281028201.8768654</v>
      </c>
    </row>
    <row r="11132" spans="18:19" x14ac:dyDescent="0.25">
      <c r="R11132" s="13">
        <v>11059</v>
      </c>
      <c r="S11132" s="13">
        <v>0</v>
      </c>
    </row>
    <row r="11133" spans="18:19" x14ac:dyDescent="0.25">
      <c r="R11133" s="13">
        <v>11060</v>
      </c>
      <c r="S11133" s="13">
        <v>0</v>
      </c>
    </row>
    <row r="11134" spans="18:19" x14ac:dyDescent="0.25">
      <c r="R11134" s="13">
        <v>11061</v>
      </c>
      <c r="S11134" s="13">
        <v>262371174.72823334</v>
      </c>
    </row>
    <row r="11135" spans="18:19" x14ac:dyDescent="0.25">
      <c r="R11135" s="13">
        <v>11062</v>
      </c>
      <c r="S11135" s="13">
        <v>0</v>
      </c>
    </row>
    <row r="11136" spans="18:19" x14ac:dyDescent="0.25">
      <c r="R11136" s="13">
        <v>11063</v>
      </c>
      <c r="S11136" s="13">
        <v>0</v>
      </c>
    </row>
    <row r="11137" spans="18:19" x14ac:dyDescent="0.25">
      <c r="R11137" s="13">
        <v>11064</v>
      </c>
      <c r="S11137" s="13">
        <v>169699371.4279995</v>
      </c>
    </row>
    <row r="11138" spans="18:19" x14ac:dyDescent="0.25">
      <c r="R11138" s="13">
        <v>11065</v>
      </c>
      <c r="S11138" s="13">
        <v>0</v>
      </c>
    </row>
    <row r="11139" spans="18:19" x14ac:dyDescent="0.25">
      <c r="R11139" s="13">
        <v>11066</v>
      </c>
      <c r="S11139" s="13">
        <v>1854738.8969650269</v>
      </c>
    </row>
    <row r="11140" spans="18:19" x14ac:dyDescent="0.25">
      <c r="R11140" s="13">
        <v>11067</v>
      </c>
      <c r="S11140" s="13">
        <v>132795710.43646812</v>
      </c>
    </row>
    <row r="11141" spans="18:19" x14ac:dyDescent="0.25">
      <c r="R11141" s="13">
        <v>11068</v>
      </c>
      <c r="S11141" s="13">
        <v>0</v>
      </c>
    </row>
    <row r="11142" spans="18:19" x14ac:dyDescent="0.25">
      <c r="R11142" s="13">
        <v>11069</v>
      </c>
      <c r="S11142" s="13">
        <v>0</v>
      </c>
    </row>
    <row r="11143" spans="18:19" x14ac:dyDescent="0.25">
      <c r="R11143" s="13">
        <v>11070</v>
      </c>
      <c r="S11143" s="13">
        <v>0</v>
      </c>
    </row>
    <row r="11144" spans="18:19" x14ac:dyDescent="0.25">
      <c r="R11144" s="13">
        <v>11071</v>
      </c>
      <c r="S11144" s="13">
        <v>0</v>
      </c>
    </row>
    <row r="11145" spans="18:19" x14ac:dyDescent="0.25">
      <c r="R11145" s="13">
        <v>11072</v>
      </c>
      <c r="S11145" s="13">
        <v>0</v>
      </c>
    </row>
    <row r="11146" spans="18:19" x14ac:dyDescent="0.25">
      <c r="R11146" s="13">
        <v>11073</v>
      </c>
      <c r="S11146" s="13">
        <v>824944831.15535545</v>
      </c>
    </row>
    <row r="11147" spans="18:19" x14ac:dyDescent="0.25">
      <c r="R11147" s="13">
        <v>11074</v>
      </c>
      <c r="S11147" s="13">
        <v>0</v>
      </c>
    </row>
    <row r="11148" spans="18:19" x14ac:dyDescent="0.25">
      <c r="R11148" s="13">
        <v>11075</v>
      </c>
      <c r="S11148" s="13">
        <v>0</v>
      </c>
    </row>
    <row r="11149" spans="18:19" x14ac:dyDescent="0.25">
      <c r="R11149" s="13">
        <v>11076</v>
      </c>
      <c r="S11149" s="13">
        <v>0</v>
      </c>
    </row>
    <row r="11150" spans="18:19" x14ac:dyDescent="0.25">
      <c r="R11150" s="13">
        <v>11077</v>
      </c>
      <c r="S11150" s="13">
        <v>0</v>
      </c>
    </row>
    <row r="11151" spans="18:19" x14ac:dyDescent="0.25">
      <c r="R11151" s="13">
        <v>11078</v>
      </c>
      <c r="S11151" s="13">
        <v>487844484.7101078</v>
      </c>
    </row>
    <row r="11152" spans="18:19" x14ac:dyDescent="0.25">
      <c r="R11152" s="13">
        <v>11079</v>
      </c>
      <c r="S11152" s="13">
        <v>584353015.1409874</v>
      </c>
    </row>
    <row r="11153" spans="18:19" x14ac:dyDescent="0.25">
      <c r="R11153" s="13">
        <v>11080</v>
      </c>
      <c r="S11153" s="13">
        <v>0</v>
      </c>
    </row>
    <row r="11154" spans="18:19" x14ac:dyDescent="0.25">
      <c r="R11154" s="13">
        <v>11081</v>
      </c>
      <c r="S11154" s="13">
        <v>0</v>
      </c>
    </row>
    <row r="11155" spans="18:19" x14ac:dyDescent="0.25">
      <c r="R11155" s="13">
        <v>11082</v>
      </c>
      <c r="S11155" s="13">
        <v>0</v>
      </c>
    </row>
    <row r="11156" spans="18:19" x14ac:dyDescent="0.25">
      <c r="R11156" s="13">
        <v>11083</v>
      </c>
      <c r="S11156" s="13">
        <v>0</v>
      </c>
    </row>
    <row r="11157" spans="18:19" x14ac:dyDescent="0.25">
      <c r="R11157" s="13">
        <v>11084</v>
      </c>
      <c r="S11157" s="13">
        <v>0</v>
      </c>
    </row>
    <row r="11158" spans="18:19" x14ac:dyDescent="0.25">
      <c r="R11158" s="13">
        <v>11085</v>
      </c>
      <c r="S11158" s="13">
        <v>0</v>
      </c>
    </row>
    <row r="11159" spans="18:19" x14ac:dyDescent="0.25">
      <c r="R11159" s="13">
        <v>11086</v>
      </c>
      <c r="S11159" s="13">
        <v>574434507.80354118</v>
      </c>
    </row>
    <row r="11160" spans="18:19" x14ac:dyDescent="0.25">
      <c r="R11160" s="13">
        <v>11087</v>
      </c>
      <c r="S11160" s="13">
        <v>242026774.49856949</v>
      </c>
    </row>
    <row r="11161" spans="18:19" x14ac:dyDescent="0.25">
      <c r="R11161" s="13">
        <v>11088</v>
      </c>
      <c r="S11161" s="13">
        <v>0</v>
      </c>
    </row>
    <row r="11162" spans="18:19" x14ac:dyDescent="0.25">
      <c r="R11162" s="13">
        <v>11089</v>
      </c>
      <c r="S11162" s="13">
        <v>0</v>
      </c>
    </row>
    <row r="11163" spans="18:19" x14ac:dyDescent="0.25">
      <c r="R11163" s="13">
        <v>11090</v>
      </c>
      <c r="S11163" s="13">
        <v>0</v>
      </c>
    </row>
    <row r="11164" spans="18:19" x14ac:dyDescent="0.25">
      <c r="R11164" s="13">
        <v>11091</v>
      </c>
      <c r="S11164" s="13">
        <v>0</v>
      </c>
    </row>
    <row r="11165" spans="18:19" x14ac:dyDescent="0.25">
      <c r="R11165" s="13">
        <v>11092</v>
      </c>
      <c r="S11165" s="13">
        <v>90447699.298334122</v>
      </c>
    </row>
    <row r="11166" spans="18:19" x14ac:dyDescent="0.25">
      <c r="R11166" s="13">
        <v>11093</v>
      </c>
      <c r="S11166" s="13">
        <v>579321052.78003693</v>
      </c>
    </row>
    <row r="11167" spans="18:19" x14ac:dyDescent="0.25">
      <c r="R11167" s="13">
        <v>11094</v>
      </c>
      <c r="S11167" s="13">
        <v>0</v>
      </c>
    </row>
    <row r="11168" spans="18:19" x14ac:dyDescent="0.25">
      <c r="R11168" s="13">
        <v>11095</v>
      </c>
      <c r="S11168" s="13">
        <v>0</v>
      </c>
    </row>
    <row r="11169" spans="18:19" x14ac:dyDescent="0.25">
      <c r="R11169" s="13">
        <v>11096</v>
      </c>
      <c r="S11169" s="13">
        <v>0</v>
      </c>
    </row>
    <row r="11170" spans="18:19" x14ac:dyDescent="0.25">
      <c r="R11170" s="13">
        <v>11097</v>
      </c>
      <c r="S11170" s="13">
        <v>0</v>
      </c>
    </row>
    <row r="11171" spans="18:19" x14ac:dyDescent="0.25">
      <c r="R11171" s="13">
        <v>11098</v>
      </c>
      <c r="S11171" s="13">
        <v>0</v>
      </c>
    </row>
    <row r="11172" spans="18:19" x14ac:dyDescent="0.25">
      <c r="R11172" s="13">
        <v>11099</v>
      </c>
      <c r="S11172" s="13">
        <v>0</v>
      </c>
    </row>
    <row r="11173" spans="18:19" x14ac:dyDescent="0.25">
      <c r="R11173" s="13">
        <v>11100</v>
      </c>
      <c r="S11173" s="13">
        <v>0</v>
      </c>
    </row>
    <row r="11174" spans="18:19" x14ac:dyDescent="0.25">
      <c r="R11174" s="13">
        <v>11101</v>
      </c>
      <c r="S11174" s="13">
        <v>0</v>
      </c>
    </row>
    <row r="11175" spans="18:19" x14ac:dyDescent="0.25">
      <c r="R11175" s="13">
        <v>11102</v>
      </c>
      <c r="S11175" s="13">
        <v>0</v>
      </c>
    </row>
    <row r="11176" spans="18:19" x14ac:dyDescent="0.25">
      <c r="R11176" s="13">
        <v>11103</v>
      </c>
      <c r="S11176" s="13">
        <v>0</v>
      </c>
    </row>
    <row r="11177" spans="18:19" x14ac:dyDescent="0.25">
      <c r="R11177" s="13">
        <v>11104</v>
      </c>
      <c r="S11177" s="13">
        <v>79319781.188770294</v>
      </c>
    </row>
    <row r="11178" spans="18:19" x14ac:dyDescent="0.25">
      <c r="R11178" s="13">
        <v>11105</v>
      </c>
      <c r="S11178" s="13">
        <v>0</v>
      </c>
    </row>
    <row r="11179" spans="18:19" x14ac:dyDescent="0.25">
      <c r="R11179" s="13">
        <v>11106</v>
      </c>
      <c r="S11179" s="13">
        <v>448504290.35848999</v>
      </c>
    </row>
    <row r="11180" spans="18:19" x14ac:dyDescent="0.25">
      <c r="R11180" s="13">
        <v>11107</v>
      </c>
      <c r="S11180" s="13">
        <v>0</v>
      </c>
    </row>
    <row r="11181" spans="18:19" x14ac:dyDescent="0.25">
      <c r="R11181" s="13">
        <v>11108</v>
      </c>
      <c r="S11181" s="13">
        <v>0</v>
      </c>
    </row>
    <row r="11182" spans="18:19" x14ac:dyDescent="0.25">
      <c r="R11182" s="13">
        <v>11109</v>
      </c>
      <c r="S11182" s="13">
        <v>0</v>
      </c>
    </row>
    <row r="11183" spans="18:19" x14ac:dyDescent="0.25">
      <c r="R11183" s="13">
        <v>11110</v>
      </c>
      <c r="S11183" s="13">
        <v>0</v>
      </c>
    </row>
    <row r="11184" spans="18:19" x14ac:dyDescent="0.25">
      <c r="R11184" s="13">
        <v>11111</v>
      </c>
      <c r="S11184" s="13">
        <v>0</v>
      </c>
    </row>
    <row r="11185" spans="18:19" x14ac:dyDescent="0.25">
      <c r="R11185" s="13">
        <v>11112</v>
      </c>
      <c r="S11185" s="13">
        <v>0</v>
      </c>
    </row>
    <row r="11186" spans="18:19" x14ac:dyDescent="0.25">
      <c r="R11186" s="13">
        <v>11113</v>
      </c>
      <c r="S11186" s="13">
        <v>0</v>
      </c>
    </row>
    <row r="11187" spans="18:19" x14ac:dyDescent="0.25">
      <c r="R11187" s="13">
        <v>11114</v>
      </c>
      <c r="S11187" s="13">
        <v>578588264.10536957</v>
      </c>
    </row>
    <row r="11188" spans="18:19" x14ac:dyDescent="0.25">
      <c r="R11188" s="13">
        <v>11115</v>
      </c>
      <c r="S11188" s="13">
        <v>1051609220.1294289</v>
      </c>
    </row>
    <row r="11189" spans="18:19" x14ac:dyDescent="0.25">
      <c r="R11189" s="13">
        <v>11116</v>
      </c>
      <c r="S11189" s="13">
        <v>0</v>
      </c>
    </row>
    <row r="11190" spans="18:19" x14ac:dyDescent="0.25">
      <c r="R11190" s="13">
        <v>11117</v>
      </c>
      <c r="S11190" s="13">
        <v>0</v>
      </c>
    </row>
    <row r="11191" spans="18:19" x14ac:dyDescent="0.25">
      <c r="R11191" s="13">
        <v>11118</v>
      </c>
      <c r="S11191" s="13">
        <v>137229283.68773842</v>
      </c>
    </row>
    <row r="11192" spans="18:19" x14ac:dyDescent="0.25">
      <c r="R11192" s="13">
        <v>11119</v>
      </c>
      <c r="S11192" s="13">
        <v>122748614.59551239</v>
      </c>
    </row>
    <row r="11193" spans="18:19" x14ac:dyDescent="0.25">
      <c r="R11193" s="13">
        <v>11120</v>
      </c>
      <c r="S11193" s="13">
        <v>0</v>
      </c>
    </row>
    <row r="11194" spans="18:19" x14ac:dyDescent="0.25">
      <c r="R11194" s="13">
        <v>11121</v>
      </c>
      <c r="S11194" s="13">
        <v>155168828.39823532</v>
      </c>
    </row>
    <row r="11195" spans="18:19" x14ac:dyDescent="0.25">
      <c r="R11195" s="13">
        <v>11122</v>
      </c>
      <c r="S11195" s="13">
        <v>431791649.64664841</v>
      </c>
    </row>
    <row r="11196" spans="18:19" x14ac:dyDescent="0.25">
      <c r="R11196" s="13">
        <v>11123</v>
      </c>
      <c r="S11196" s="13">
        <v>105480777.56695366</v>
      </c>
    </row>
    <row r="11197" spans="18:19" x14ac:dyDescent="0.25">
      <c r="R11197" s="13">
        <v>11124</v>
      </c>
      <c r="S11197" s="13">
        <v>0</v>
      </c>
    </row>
    <row r="11198" spans="18:19" x14ac:dyDescent="0.25">
      <c r="R11198" s="13">
        <v>11125</v>
      </c>
      <c r="S11198" s="13">
        <v>0</v>
      </c>
    </row>
    <row r="11199" spans="18:19" x14ac:dyDescent="0.25">
      <c r="R11199" s="13">
        <v>11126</v>
      </c>
      <c r="S11199" s="13">
        <v>0</v>
      </c>
    </row>
    <row r="11200" spans="18:19" x14ac:dyDescent="0.25">
      <c r="R11200" s="13">
        <v>11127</v>
      </c>
      <c r="S11200" s="13">
        <v>0</v>
      </c>
    </row>
    <row r="11201" spans="18:19" x14ac:dyDescent="0.25">
      <c r="R11201" s="13">
        <v>11128</v>
      </c>
      <c r="S11201" s="13">
        <v>317551032.19549179</v>
      </c>
    </row>
    <row r="11202" spans="18:19" x14ac:dyDescent="0.25">
      <c r="R11202" s="13">
        <v>11129</v>
      </c>
      <c r="S11202" s="13">
        <v>0</v>
      </c>
    </row>
    <row r="11203" spans="18:19" x14ac:dyDescent="0.25">
      <c r="R11203" s="13">
        <v>11130</v>
      </c>
      <c r="S11203" s="13">
        <v>0</v>
      </c>
    </row>
    <row r="11204" spans="18:19" x14ac:dyDescent="0.25">
      <c r="R11204" s="13">
        <v>11131</v>
      </c>
      <c r="S11204" s="13">
        <v>0</v>
      </c>
    </row>
    <row r="11205" spans="18:19" x14ac:dyDescent="0.25">
      <c r="R11205" s="13">
        <v>11132</v>
      </c>
      <c r="S11205" s="13">
        <v>1039524302.6717472</v>
      </c>
    </row>
    <row r="11206" spans="18:19" x14ac:dyDescent="0.25">
      <c r="R11206" s="13">
        <v>11133</v>
      </c>
      <c r="S11206" s="13">
        <v>256871606.65807724</v>
      </c>
    </row>
    <row r="11207" spans="18:19" x14ac:dyDescent="0.25">
      <c r="R11207" s="13">
        <v>11134</v>
      </c>
      <c r="S11207" s="13">
        <v>0</v>
      </c>
    </row>
    <row r="11208" spans="18:19" x14ac:dyDescent="0.25">
      <c r="R11208" s="13">
        <v>11135</v>
      </c>
      <c r="S11208" s="13">
        <v>13179180.956933975</v>
      </c>
    </row>
    <row r="11209" spans="18:19" x14ac:dyDescent="0.25">
      <c r="R11209" s="13">
        <v>11136</v>
      </c>
      <c r="S11209" s="13">
        <v>0</v>
      </c>
    </row>
    <row r="11210" spans="18:19" x14ac:dyDescent="0.25">
      <c r="R11210" s="13">
        <v>11137</v>
      </c>
      <c r="S11210" s="13">
        <v>0</v>
      </c>
    </row>
    <row r="11211" spans="18:19" x14ac:dyDescent="0.25">
      <c r="R11211" s="13">
        <v>11138</v>
      </c>
      <c r="S11211" s="13">
        <v>0</v>
      </c>
    </row>
    <row r="11212" spans="18:19" x14ac:dyDescent="0.25">
      <c r="R11212" s="13">
        <v>11139</v>
      </c>
      <c r="S11212" s="13">
        <v>520218836.60723877</v>
      </c>
    </row>
    <row r="11213" spans="18:19" x14ac:dyDescent="0.25">
      <c r="R11213" s="13">
        <v>11140</v>
      </c>
      <c r="S11213" s="13">
        <v>0</v>
      </c>
    </row>
    <row r="11214" spans="18:19" x14ac:dyDescent="0.25">
      <c r="R11214" s="13">
        <v>11141</v>
      </c>
      <c r="S11214" s="13">
        <v>0</v>
      </c>
    </row>
    <row r="11215" spans="18:19" x14ac:dyDescent="0.25">
      <c r="R11215" s="13">
        <v>11142</v>
      </c>
      <c r="S11215" s="13">
        <v>0</v>
      </c>
    </row>
    <row r="11216" spans="18:19" x14ac:dyDescent="0.25">
      <c r="R11216" s="13">
        <v>11143</v>
      </c>
      <c r="S11216" s="13">
        <v>0</v>
      </c>
    </row>
    <row r="11217" spans="18:19" x14ac:dyDescent="0.25">
      <c r="R11217" s="13">
        <v>11144</v>
      </c>
      <c r="S11217" s="13">
        <v>0</v>
      </c>
    </row>
    <row r="11218" spans="18:19" x14ac:dyDescent="0.25">
      <c r="R11218" s="13">
        <v>11145</v>
      </c>
      <c r="S11218" s="13">
        <v>0</v>
      </c>
    </row>
    <row r="11219" spans="18:19" x14ac:dyDescent="0.25">
      <c r="R11219" s="13">
        <v>11146</v>
      </c>
      <c r="S11219" s="13">
        <v>0</v>
      </c>
    </row>
    <row r="11220" spans="18:19" x14ac:dyDescent="0.25">
      <c r="R11220" s="13">
        <v>11147</v>
      </c>
      <c r="S11220" s="13">
        <v>0</v>
      </c>
    </row>
    <row r="11221" spans="18:19" x14ac:dyDescent="0.25">
      <c r="R11221" s="13">
        <v>11148</v>
      </c>
      <c r="S11221" s="13">
        <v>0</v>
      </c>
    </row>
    <row r="11222" spans="18:19" x14ac:dyDescent="0.25">
      <c r="R11222" s="13">
        <v>11149</v>
      </c>
      <c r="S11222" s="13">
        <v>0</v>
      </c>
    </row>
    <row r="11223" spans="18:19" x14ac:dyDescent="0.25">
      <c r="R11223" s="13">
        <v>11150</v>
      </c>
      <c r="S11223" s="13">
        <v>0</v>
      </c>
    </row>
    <row r="11224" spans="18:19" x14ac:dyDescent="0.25">
      <c r="R11224" s="13">
        <v>11151</v>
      </c>
      <c r="S11224" s="13">
        <v>0</v>
      </c>
    </row>
    <row r="11225" spans="18:19" x14ac:dyDescent="0.25">
      <c r="R11225" s="13">
        <v>11152</v>
      </c>
      <c r="S11225" s="13">
        <v>218231693.48751068</v>
      </c>
    </row>
    <row r="11226" spans="18:19" x14ac:dyDescent="0.25">
      <c r="R11226" s="13">
        <v>11153</v>
      </c>
      <c r="S11226" s="13">
        <v>154104534.79898453</v>
      </c>
    </row>
    <row r="11227" spans="18:19" x14ac:dyDescent="0.25">
      <c r="R11227" s="13">
        <v>11154</v>
      </c>
      <c r="S11227" s="13">
        <v>0</v>
      </c>
    </row>
    <row r="11228" spans="18:19" x14ac:dyDescent="0.25">
      <c r="R11228" s="13">
        <v>11155</v>
      </c>
      <c r="S11228" s="13">
        <v>0</v>
      </c>
    </row>
    <row r="11229" spans="18:19" x14ac:dyDescent="0.25">
      <c r="R11229" s="13">
        <v>11156</v>
      </c>
      <c r="S11229" s="13">
        <v>0</v>
      </c>
    </row>
    <row r="11230" spans="18:19" x14ac:dyDescent="0.25">
      <c r="R11230" s="13">
        <v>11157</v>
      </c>
      <c r="S11230" s="13">
        <v>0</v>
      </c>
    </row>
    <row r="11231" spans="18:19" x14ac:dyDescent="0.25">
      <c r="R11231" s="13">
        <v>11158</v>
      </c>
      <c r="S11231" s="13">
        <v>147793061.37200356</v>
      </c>
    </row>
    <row r="11232" spans="18:19" x14ac:dyDescent="0.25">
      <c r="R11232" s="13">
        <v>11159</v>
      </c>
      <c r="S11232" s="13">
        <v>0</v>
      </c>
    </row>
    <row r="11233" spans="18:19" x14ac:dyDescent="0.25">
      <c r="R11233" s="13">
        <v>11160</v>
      </c>
      <c r="S11233" s="13">
        <v>0</v>
      </c>
    </row>
    <row r="11234" spans="18:19" x14ac:dyDescent="0.25">
      <c r="R11234" s="13">
        <v>11161</v>
      </c>
      <c r="S11234" s="13">
        <v>0</v>
      </c>
    </row>
    <row r="11235" spans="18:19" x14ac:dyDescent="0.25">
      <c r="R11235" s="13">
        <v>11162</v>
      </c>
      <c r="S11235" s="13">
        <v>0</v>
      </c>
    </row>
    <row r="11236" spans="18:19" x14ac:dyDescent="0.25">
      <c r="R11236" s="13">
        <v>11163</v>
      </c>
      <c r="S11236" s="13">
        <v>0</v>
      </c>
    </row>
    <row r="11237" spans="18:19" x14ac:dyDescent="0.25">
      <c r="R11237" s="13">
        <v>11164</v>
      </c>
      <c r="S11237" s="13">
        <v>0</v>
      </c>
    </row>
    <row r="11238" spans="18:19" x14ac:dyDescent="0.25">
      <c r="R11238" s="13">
        <v>11165</v>
      </c>
      <c r="S11238" s="13">
        <v>0</v>
      </c>
    </row>
    <row r="11239" spans="18:19" x14ac:dyDescent="0.25">
      <c r="R11239" s="13">
        <v>11166</v>
      </c>
      <c r="S11239" s="13">
        <v>0</v>
      </c>
    </row>
    <row r="11240" spans="18:19" x14ac:dyDescent="0.25">
      <c r="R11240" s="13">
        <v>11167</v>
      </c>
      <c r="S11240" s="13">
        <v>0</v>
      </c>
    </row>
    <row r="11241" spans="18:19" x14ac:dyDescent="0.25">
      <c r="R11241" s="13">
        <v>11168</v>
      </c>
      <c r="S11241" s="13">
        <v>0</v>
      </c>
    </row>
    <row r="11242" spans="18:19" x14ac:dyDescent="0.25">
      <c r="R11242" s="13">
        <v>11169</v>
      </c>
      <c r="S11242" s="13">
        <v>0</v>
      </c>
    </row>
    <row r="11243" spans="18:19" x14ac:dyDescent="0.25">
      <c r="R11243" s="13">
        <v>11170</v>
      </c>
      <c r="S11243" s="13">
        <v>245341523.04620361</v>
      </c>
    </row>
    <row r="11244" spans="18:19" x14ac:dyDescent="0.25">
      <c r="R11244" s="13">
        <v>11171</v>
      </c>
      <c r="S11244" s="13">
        <v>0</v>
      </c>
    </row>
    <row r="11245" spans="18:19" x14ac:dyDescent="0.25">
      <c r="R11245" s="13">
        <v>11172</v>
      </c>
      <c r="S11245" s="13">
        <v>0</v>
      </c>
    </row>
    <row r="11246" spans="18:19" x14ac:dyDescent="0.25">
      <c r="R11246" s="13">
        <v>11173</v>
      </c>
      <c r="S11246" s="13">
        <v>0</v>
      </c>
    </row>
    <row r="11247" spans="18:19" x14ac:dyDescent="0.25">
      <c r="R11247" s="13">
        <v>11174</v>
      </c>
      <c r="S11247" s="13">
        <v>0</v>
      </c>
    </row>
    <row r="11248" spans="18:19" x14ac:dyDescent="0.25">
      <c r="R11248" s="13">
        <v>11175</v>
      </c>
      <c r="S11248" s="13">
        <v>975059709.54602051</v>
      </c>
    </row>
    <row r="11249" spans="18:19" x14ac:dyDescent="0.25">
      <c r="R11249" s="13">
        <v>11176</v>
      </c>
      <c r="S11249" s="13">
        <v>0</v>
      </c>
    </row>
    <row r="11250" spans="18:19" x14ac:dyDescent="0.25">
      <c r="R11250" s="13">
        <v>11177</v>
      </c>
      <c r="S11250" s="13">
        <v>0</v>
      </c>
    </row>
    <row r="11251" spans="18:19" x14ac:dyDescent="0.25">
      <c r="R11251" s="13">
        <v>11178</v>
      </c>
      <c r="S11251" s="13">
        <v>0</v>
      </c>
    </row>
    <row r="11252" spans="18:19" x14ac:dyDescent="0.25">
      <c r="R11252" s="13">
        <v>11179</v>
      </c>
      <c r="S11252" s="13">
        <v>0</v>
      </c>
    </row>
    <row r="11253" spans="18:19" x14ac:dyDescent="0.25">
      <c r="R11253" s="13">
        <v>11180</v>
      </c>
      <c r="S11253" s="13">
        <v>0</v>
      </c>
    </row>
    <row r="11254" spans="18:19" x14ac:dyDescent="0.25">
      <c r="R11254" s="13">
        <v>11181</v>
      </c>
      <c r="S11254" s="13">
        <v>0</v>
      </c>
    </row>
    <row r="11255" spans="18:19" x14ac:dyDescent="0.25">
      <c r="R11255" s="13">
        <v>11182</v>
      </c>
      <c r="S11255" s="13">
        <v>0</v>
      </c>
    </row>
    <row r="11256" spans="18:19" x14ac:dyDescent="0.25">
      <c r="R11256" s="13">
        <v>11183</v>
      </c>
      <c r="S11256" s="13">
        <v>0</v>
      </c>
    </row>
    <row r="11257" spans="18:19" x14ac:dyDescent="0.25">
      <c r="R11257" s="13">
        <v>11184</v>
      </c>
      <c r="S11257" s="13">
        <v>0</v>
      </c>
    </row>
    <row r="11258" spans="18:19" x14ac:dyDescent="0.25">
      <c r="R11258" s="13">
        <v>11185</v>
      </c>
      <c r="S11258" s="13">
        <v>0</v>
      </c>
    </row>
    <row r="11259" spans="18:19" x14ac:dyDescent="0.25">
      <c r="R11259" s="13">
        <v>11186</v>
      </c>
      <c r="S11259" s="13">
        <v>215510572.69765091</v>
      </c>
    </row>
    <row r="11260" spans="18:19" x14ac:dyDescent="0.25">
      <c r="R11260" s="13">
        <v>11187</v>
      </c>
      <c r="S11260" s="13">
        <v>0</v>
      </c>
    </row>
    <row r="11261" spans="18:19" x14ac:dyDescent="0.25">
      <c r="R11261" s="13">
        <v>11188</v>
      </c>
      <c r="S11261" s="13">
        <v>0</v>
      </c>
    </row>
    <row r="11262" spans="18:19" x14ac:dyDescent="0.25">
      <c r="R11262" s="13">
        <v>11189</v>
      </c>
      <c r="S11262" s="13">
        <v>0</v>
      </c>
    </row>
    <row r="11263" spans="18:19" x14ac:dyDescent="0.25">
      <c r="R11263" s="13">
        <v>11190</v>
      </c>
      <c r="S11263" s="13">
        <v>0</v>
      </c>
    </row>
    <row r="11264" spans="18:19" x14ac:dyDescent="0.25">
      <c r="R11264" s="13">
        <v>11191</v>
      </c>
      <c r="S11264" s="13">
        <v>0</v>
      </c>
    </row>
    <row r="11265" spans="18:19" x14ac:dyDescent="0.25">
      <c r="R11265" s="13">
        <v>11192</v>
      </c>
      <c r="S11265" s="13">
        <v>657158885.87795639</v>
      </c>
    </row>
    <row r="11266" spans="18:19" x14ac:dyDescent="0.25">
      <c r="R11266" s="13">
        <v>11193</v>
      </c>
      <c r="S11266" s="13">
        <v>0</v>
      </c>
    </row>
    <row r="11267" spans="18:19" x14ac:dyDescent="0.25">
      <c r="R11267" s="13">
        <v>11194</v>
      </c>
      <c r="S11267" s="13">
        <v>0</v>
      </c>
    </row>
    <row r="11268" spans="18:19" x14ac:dyDescent="0.25">
      <c r="R11268" s="13">
        <v>11195</v>
      </c>
      <c r="S11268" s="13">
        <v>0</v>
      </c>
    </row>
    <row r="11269" spans="18:19" x14ac:dyDescent="0.25">
      <c r="R11269" s="13">
        <v>11196</v>
      </c>
      <c r="S11269" s="13">
        <v>0</v>
      </c>
    </row>
    <row r="11270" spans="18:19" x14ac:dyDescent="0.25">
      <c r="R11270" s="13">
        <v>11197</v>
      </c>
      <c r="S11270" s="13">
        <v>0</v>
      </c>
    </row>
    <row r="11271" spans="18:19" x14ac:dyDescent="0.25">
      <c r="R11271" s="13">
        <v>11198</v>
      </c>
      <c r="S11271" s="13">
        <v>0</v>
      </c>
    </row>
    <row r="11272" spans="18:19" x14ac:dyDescent="0.25">
      <c r="R11272" s="13">
        <v>11199</v>
      </c>
      <c r="S11272" s="13">
        <v>0</v>
      </c>
    </row>
    <row r="11273" spans="18:19" x14ac:dyDescent="0.25">
      <c r="R11273" s="13">
        <v>11200</v>
      </c>
      <c r="S11273" s="13">
        <v>62863707.498710632</v>
      </c>
    </row>
    <row r="11274" spans="18:19" x14ac:dyDescent="0.25">
      <c r="R11274" s="13">
        <v>11201</v>
      </c>
      <c r="S11274" s="13">
        <v>0</v>
      </c>
    </row>
    <row r="11275" spans="18:19" x14ac:dyDescent="0.25">
      <c r="R11275" s="13">
        <v>11202</v>
      </c>
      <c r="S11275" s="13">
        <v>0</v>
      </c>
    </row>
    <row r="11276" spans="18:19" x14ac:dyDescent="0.25">
      <c r="R11276" s="13">
        <v>11203</v>
      </c>
      <c r="S11276" s="13">
        <v>0</v>
      </c>
    </row>
    <row r="11277" spans="18:19" x14ac:dyDescent="0.25">
      <c r="R11277" s="13">
        <v>11204</v>
      </c>
      <c r="S11277" s="13">
        <v>0</v>
      </c>
    </row>
    <row r="11278" spans="18:19" x14ac:dyDescent="0.25">
      <c r="R11278" s="13">
        <v>11205</v>
      </c>
      <c r="S11278" s="13">
        <v>0</v>
      </c>
    </row>
    <row r="11279" spans="18:19" x14ac:dyDescent="0.25">
      <c r="R11279" s="13">
        <v>11206</v>
      </c>
      <c r="S11279" s="13">
        <v>0</v>
      </c>
    </row>
    <row r="11280" spans="18:19" x14ac:dyDescent="0.25">
      <c r="R11280" s="13">
        <v>11207</v>
      </c>
      <c r="S11280" s="13">
        <v>0</v>
      </c>
    </row>
    <row r="11281" spans="18:19" x14ac:dyDescent="0.25">
      <c r="R11281" s="13">
        <v>11208</v>
      </c>
      <c r="S11281" s="13">
        <v>0</v>
      </c>
    </row>
    <row r="11282" spans="18:19" x14ac:dyDescent="0.25">
      <c r="R11282" s="13">
        <v>11209</v>
      </c>
      <c r="S11282" s="13">
        <v>0</v>
      </c>
    </row>
    <row r="11283" spans="18:19" x14ac:dyDescent="0.25">
      <c r="R11283" s="13">
        <v>11210</v>
      </c>
      <c r="S11283" s="13">
        <v>0</v>
      </c>
    </row>
    <row r="11284" spans="18:19" x14ac:dyDescent="0.25">
      <c r="R11284" s="13">
        <v>11211</v>
      </c>
      <c r="S11284" s="13">
        <v>0</v>
      </c>
    </row>
    <row r="11285" spans="18:19" x14ac:dyDescent="0.25">
      <c r="R11285" s="13">
        <v>11212</v>
      </c>
      <c r="S11285" s="13">
        <v>47245036.793792725</v>
      </c>
    </row>
    <row r="11286" spans="18:19" x14ac:dyDescent="0.25">
      <c r="R11286" s="13">
        <v>11213</v>
      </c>
      <c r="S11286" s="13">
        <v>0</v>
      </c>
    </row>
    <row r="11287" spans="18:19" x14ac:dyDescent="0.25">
      <c r="R11287" s="13">
        <v>11214</v>
      </c>
      <c r="S11287" s="13">
        <v>0</v>
      </c>
    </row>
    <row r="11288" spans="18:19" x14ac:dyDescent="0.25">
      <c r="R11288" s="13">
        <v>11215</v>
      </c>
      <c r="S11288" s="13">
        <v>0</v>
      </c>
    </row>
    <row r="11289" spans="18:19" x14ac:dyDescent="0.25">
      <c r="R11289" s="13">
        <v>11216</v>
      </c>
      <c r="S11289" s="13">
        <v>122173963.78476715</v>
      </c>
    </row>
    <row r="11290" spans="18:19" x14ac:dyDescent="0.25">
      <c r="R11290" s="13">
        <v>11217</v>
      </c>
      <c r="S11290" s="13">
        <v>0</v>
      </c>
    </row>
    <row r="11291" spans="18:19" x14ac:dyDescent="0.25">
      <c r="R11291" s="13">
        <v>11218</v>
      </c>
      <c r="S11291" s="13">
        <v>236235158.19945717</v>
      </c>
    </row>
    <row r="11292" spans="18:19" x14ac:dyDescent="0.25">
      <c r="R11292" s="13">
        <v>11219</v>
      </c>
      <c r="S11292" s="13">
        <v>0</v>
      </c>
    </row>
    <row r="11293" spans="18:19" x14ac:dyDescent="0.25">
      <c r="R11293" s="13">
        <v>11220</v>
      </c>
      <c r="S11293" s="13">
        <v>0</v>
      </c>
    </row>
    <row r="11294" spans="18:19" x14ac:dyDescent="0.25">
      <c r="R11294" s="13">
        <v>11221</v>
      </c>
      <c r="S11294" s="13">
        <v>0</v>
      </c>
    </row>
    <row r="11295" spans="18:19" x14ac:dyDescent="0.25">
      <c r="R11295" s="13">
        <v>11222</v>
      </c>
      <c r="S11295" s="13">
        <v>0</v>
      </c>
    </row>
    <row r="11296" spans="18:19" x14ac:dyDescent="0.25">
      <c r="R11296" s="13">
        <v>11223</v>
      </c>
      <c r="S11296" s="13">
        <v>0</v>
      </c>
    </row>
    <row r="11297" spans="18:19" x14ac:dyDescent="0.25">
      <c r="R11297" s="13">
        <v>11224</v>
      </c>
      <c r="S11297" s="13">
        <v>0</v>
      </c>
    </row>
    <row r="11298" spans="18:19" x14ac:dyDescent="0.25">
      <c r="R11298" s="13">
        <v>11225</v>
      </c>
      <c r="S11298" s="13">
        <v>0</v>
      </c>
    </row>
    <row r="11299" spans="18:19" x14ac:dyDescent="0.25">
      <c r="R11299" s="13">
        <v>11226</v>
      </c>
      <c r="S11299" s="13">
        <v>0</v>
      </c>
    </row>
    <row r="11300" spans="18:19" x14ac:dyDescent="0.25">
      <c r="R11300" s="13">
        <v>11227</v>
      </c>
      <c r="S11300" s="13">
        <v>0</v>
      </c>
    </row>
    <row r="11301" spans="18:19" x14ac:dyDescent="0.25">
      <c r="R11301" s="13">
        <v>11228</v>
      </c>
      <c r="S11301" s="13">
        <v>0</v>
      </c>
    </row>
    <row r="11302" spans="18:19" x14ac:dyDescent="0.25">
      <c r="R11302" s="13">
        <v>11229</v>
      </c>
      <c r="S11302" s="13">
        <v>0</v>
      </c>
    </row>
    <row r="11303" spans="18:19" x14ac:dyDescent="0.25">
      <c r="R11303" s="13">
        <v>11230</v>
      </c>
      <c r="S11303" s="13">
        <v>0</v>
      </c>
    </row>
    <row r="11304" spans="18:19" x14ac:dyDescent="0.25">
      <c r="R11304" s="13">
        <v>11231</v>
      </c>
      <c r="S11304" s="13">
        <v>0</v>
      </c>
    </row>
    <row r="11305" spans="18:19" x14ac:dyDescent="0.25">
      <c r="R11305" s="13">
        <v>11232</v>
      </c>
      <c r="S11305" s="13">
        <v>0</v>
      </c>
    </row>
    <row r="11306" spans="18:19" x14ac:dyDescent="0.25">
      <c r="R11306" s="13">
        <v>11233</v>
      </c>
      <c r="S11306" s="13">
        <v>0</v>
      </c>
    </row>
    <row r="11307" spans="18:19" x14ac:dyDescent="0.25">
      <c r="R11307" s="13">
        <v>11234</v>
      </c>
      <c r="S11307" s="13">
        <v>0</v>
      </c>
    </row>
    <row r="11308" spans="18:19" x14ac:dyDescent="0.25">
      <c r="R11308" s="13">
        <v>11235</v>
      </c>
      <c r="S11308" s="13">
        <v>0</v>
      </c>
    </row>
    <row r="11309" spans="18:19" x14ac:dyDescent="0.25">
      <c r="R11309" s="13">
        <v>11236</v>
      </c>
      <c r="S11309" s="13">
        <v>0</v>
      </c>
    </row>
    <row r="11310" spans="18:19" x14ac:dyDescent="0.25">
      <c r="R11310" s="13">
        <v>11237</v>
      </c>
      <c r="S11310" s="13">
        <v>12896518.288272858</v>
      </c>
    </row>
    <row r="11311" spans="18:19" x14ac:dyDescent="0.25">
      <c r="R11311" s="13">
        <v>11238</v>
      </c>
      <c r="S11311" s="13">
        <v>835325061.09150887</v>
      </c>
    </row>
    <row r="11312" spans="18:19" x14ac:dyDescent="0.25">
      <c r="R11312" s="13">
        <v>11239</v>
      </c>
      <c r="S11312" s="13">
        <v>282977807.61325645</v>
      </c>
    </row>
    <row r="11313" spans="18:19" x14ac:dyDescent="0.25">
      <c r="R11313" s="13">
        <v>11240</v>
      </c>
      <c r="S11313" s="13">
        <v>0</v>
      </c>
    </row>
    <row r="11314" spans="18:19" x14ac:dyDescent="0.25">
      <c r="R11314" s="13">
        <v>11241</v>
      </c>
      <c r="S11314" s="13">
        <v>0</v>
      </c>
    </row>
    <row r="11315" spans="18:19" x14ac:dyDescent="0.25">
      <c r="R11315" s="13">
        <v>11242</v>
      </c>
      <c r="S11315" s="13">
        <v>144556451.02446365</v>
      </c>
    </row>
    <row r="11316" spans="18:19" x14ac:dyDescent="0.25">
      <c r="R11316" s="13">
        <v>11243</v>
      </c>
      <c r="S11316" s="13">
        <v>0</v>
      </c>
    </row>
    <row r="11317" spans="18:19" x14ac:dyDescent="0.25">
      <c r="R11317" s="13">
        <v>11244</v>
      </c>
      <c r="S11317" s="13">
        <v>0</v>
      </c>
    </row>
    <row r="11318" spans="18:19" x14ac:dyDescent="0.25">
      <c r="R11318" s="13">
        <v>11245</v>
      </c>
      <c r="S11318" s="13">
        <v>203037033.41657257</v>
      </c>
    </row>
    <row r="11319" spans="18:19" x14ac:dyDescent="0.25">
      <c r="R11319" s="13">
        <v>11246</v>
      </c>
      <c r="S11319" s="13">
        <v>488529294.32772064</v>
      </c>
    </row>
    <row r="11320" spans="18:19" x14ac:dyDescent="0.25">
      <c r="R11320" s="13">
        <v>11247</v>
      </c>
      <c r="S11320" s="13">
        <v>0</v>
      </c>
    </row>
    <row r="11321" spans="18:19" x14ac:dyDescent="0.25">
      <c r="R11321" s="13">
        <v>11248</v>
      </c>
      <c r="S11321" s="13">
        <v>0</v>
      </c>
    </row>
    <row r="11322" spans="18:19" x14ac:dyDescent="0.25">
      <c r="R11322" s="13">
        <v>11249</v>
      </c>
      <c r="S11322" s="13">
        <v>0</v>
      </c>
    </row>
    <row r="11323" spans="18:19" x14ac:dyDescent="0.25">
      <c r="R11323" s="13">
        <v>11250</v>
      </c>
      <c r="S11323" s="13">
        <v>0</v>
      </c>
    </row>
    <row r="11324" spans="18:19" x14ac:dyDescent="0.25">
      <c r="R11324" s="13">
        <v>11251</v>
      </c>
      <c r="S11324" s="13">
        <v>0</v>
      </c>
    </row>
    <row r="11325" spans="18:19" x14ac:dyDescent="0.25">
      <c r="R11325" s="13">
        <v>11252</v>
      </c>
      <c r="S11325" s="13">
        <v>0</v>
      </c>
    </row>
    <row r="11326" spans="18:19" x14ac:dyDescent="0.25">
      <c r="R11326" s="13">
        <v>11253</v>
      </c>
      <c r="S11326" s="13">
        <v>0</v>
      </c>
    </row>
    <row r="11327" spans="18:19" x14ac:dyDescent="0.25">
      <c r="R11327" s="13">
        <v>11254</v>
      </c>
      <c r="S11327" s="13">
        <v>0</v>
      </c>
    </row>
    <row r="11328" spans="18:19" x14ac:dyDescent="0.25">
      <c r="R11328" s="13">
        <v>11255</v>
      </c>
      <c r="S11328" s="13">
        <v>0</v>
      </c>
    </row>
    <row r="11329" spans="18:19" x14ac:dyDescent="0.25">
      <c r="R11329" s="13">
        <v>11256</v>
      </c>
      <c r="S11329" s="13">
        <v>0</v>
      </c>
    </row>
    <row r="11330" spans="18:19" x14ac:dyDescent="0.25">
      <c r="R11330" s="13">
        <v>11257</v>
      </c>
      <c r="S11330" s="13">
        <v>0</v>
      </c>
    </row>
    <row r="11331" spans="18:19" x14ac:dyDescent="0.25">
      <c r="R11331" s="13">
        <v>11258</v>
      </c>
      <c r="S11331" s="13">
        <v>674617953.58750343</v>
      </c>
    </row>
    <row r="11332" spans="18:19" x14ac:dyDescent="0.25">
      <c r="R11332" s="13">
        <v>11259</v>
      </c>
      <c r="S11332" s="13">
        <v>0</v>
      </c>
    </row>
    <row r="11333" spans="18:19" x14ac:dyDescent="0.25">
      <c r="R11333" s="13">
        <v>11260</v>
      </c>
      <c r="S11333" s="13">
        <v>307913334.63783455</v>
      </c>
    </row>
    <row r="11334" spans="18:19" x14ac:dyDescent="0.25">
      <c r="R11334" s="13">
        <v>11261</v>
      </c>
      <c r="S11334" s="13">
        <v>166919429.42553139</v>
      </c>
    </row>
    <row r="11335" spans="18:19" x14ac:dyDescent="0.25">
      <c r="R11335" s="13">
        <v>11262</v>
      </c>
      <c r="S11335" s="13">
        <v>0</v>
      </c>
    </row>
    <row r="11336" spans="18:19" x14ac:dyDescent="0.25">
      <c r="R11336" s="13">
        <v>11263</v>
      </c>
      <c r="S11336" s="13">
        <v>477528416.61901665</v>
      </c>
    </row>
    <row r="11337" spans="18:19" x14ac:dyDescent="0.25">
      <c r="R11337" s="13">
        <v>11264</v>
      </c>
      <c r="S11337" s="13">
        <v>428914073.02827644</v>
      </c>
    </row>
    <row r="11338" spans="18:19" x14ac:dyDescent="0.25">
      <c r="R11338" s="13">
        <v>11265</v>
      </c>
      <c r="S11338" s="13">
        <v>0</v>
      </c>
    </row>
    <row r="11339" spans="18:19" x14ac:dyDescent="0.25">
      <c r="R11339" s="13">
        <v>11266</v>
      </c>
      <c r="S11339" s="13">
        <v>0</v>
      </c>
    </row>
    <row r="11340" spans="18:19" x14ac:dyDescent="0.25">
      <c r="R11340" s="13">
        <v>11267</v>
      </c>
      <c r="S11340" s="13">
        <v>0</v>
      </c>
    </row>
    <row r="11341" spans="18:19" x14ac:dyDescent="0.25">
      <c r="R11341" s="13">
        <v>11268</v>
      </c>
      <c r="S11341" s="13">
        <v>0</v>
      </c>
    </row>
    <row r="11342" spans="18:19" x14ac:dyDescent="0.25">
      <c r="R11342" s="13">
        <v>11269</v>
      </c>
      <c r="S11342" s="13">
        <v>0</v>
      </c>
    </row>
    <row r="11343" spans="18:19" x14ac:dyDescent="0.25">
      <c r="R11343" s="13">
        <v>11270</v>
      </c>
      <c r="S11343" s="13">
        <v>0</v>
      </c>
    </row>
    <row r="11344" spans="18:19" x14ac:dyDescent="0.25">
      <c r="R11344" s="13">
        <v>11271</v>
      </c>
      <c r="S11344" s="13">
        <v>0</v>
      </c>
    </row>
    <row r="11345" spans="18:19" x14ac:dyDescent="0.25">
      <c r="R11345" s="13">
        <v>11272</v>
      </c>
      <c r="S11345" s="13">
        <v>0</v>
      </c>
    </row>
    <row r="11346" spans="18:19" x14ac:dyDescent="0.25">
      <c r="R11346" s="13">
        <v>11273</v>
      </c>
      <c r="S11346" s="13">
        <v>0</v>
      </c>
    </row>
    <row r="11347" spans="18:19" x14ac:dyDescent="0.25">
      <c r="R11347" s="13">
        <v>11274</v>
      </c>
      <c r="S11347" s="13">
        <v>0</v>
      </c>
    </row>
    <row r="11348" spans="18:19" x14ac:dyDescent="0.25">
      <c r="R11348" s="13">
        <v>11275</v>
      </c>
      <c r="S11348" s="13">
        <v>0</v>
      </c>
    </row>
    <row r="11349" spans="18:19" x14ac:dyDescent="0.25">
      <c r="R11349" s="13">
        <v>11276</v>
      </c>
      <c r="S11349" s="13">
        <v>0</v>
      </c>
    </row>
    <row r="11350" spans="18:19" x14ac:dyDescent="0.25">
      <c r="R11350" s="13">
        <v>11277</v>
      </c>
      <c r="S11350" s="13">
        <v>0</v>
      </c>
    </row>
    <row r="11351" spans="18:19" x14ac:dyDescent="0.25">
      <c r="R11351" s="13">
        <v>11278</v>
      </c>
      <c r="S11351" s="13">
        <v>139793451.26266098</v>
      </c>
    </row>
    <row r="11352" spans="18:19" x14ac:dyDescent="0.25">
      <c r="R11352" s="13">
        <v>11279</v>
      </c>
      <c r="S11352" s="13">
        <v>189502801.96888733</v>
      </c>
    </row>
    <row r="11353" spans="18:19" x14ac:dyDescent="0.25">
      <c r="R11353" s="13">
        <v>11280</v>
      </c>
      <c r="S11353" s="13">
        <v>0</v>
      </c>
    </row>
    <row r="11354" spans="18:19" x14ac:dyDescent="0.25">
      <c r="R11354" s="13">
        <v>11281</v>
      </c>
      <c r="S11354" s="13">
        <v>0</v>
      </c>
    </row>
    <row r="11355" spans="18:19" x14ac:dyDescent="0.25">
      <c r="R11355" s="13">
        <v>11282</v>
      </c>
      <c r="S11355" s="13">
        <v>0</v>
      </c>
    </row>
    <row r="11356" spans="18:19" x14ac:dyDescent="0.25">
      <c r="R11356" s="13">
        <v>11283</v>
      </c>
      <c r="S11356" s="13">
        <v>0</v>
      </c>
    </row>
    <row r="11357" spans="18:19" x14ac:dyDescent="0.25">
      <c r="R11357" s="13">
        <v>11284</v>
      </c>
      <c r="S11357" s="13">
        <v>0</v>
      </c>
    </row>
    <row r="11358" spans="18:19" x14ac:dyDescent="0.25">
      <c r="R11358" s="13">
        <v>11285</v>
      </c>
      <c r="S11358" s="13">
        <v>0</v>
      </c>
    </row>
    <row r="11359" spans="18:19" x14ac:dyDescent="0.25">
      <c r="R11359" s="13">
        <v>11286</v>
      </c>
      <c r="S11359" s="13">
        <v>0</v>
      </c>
    </row>
    <row r="11360" spans="18:19" x14ac:dyDescent="0.25">
      <c r="R11360" s="13">
        <v>11287</v>
      </c>
      <c r="S11360" s="13">
        <v>0</v>
      </c>
    </row>
    <row r="11361" spans="18:19" x14ac:dyDescent="0.25">
      <c r="R11361" s="13">
        <v>11288</v>
      </c>
      <c r="S11361" s="13">
        <v>0</v>
      </c>
    </row>
    <row r="11362" spans="18:19" x14ac:dyDescent="0.25">
      <c r="R11362" s="13">
        <v>11289</v>
      </c>
      <c r="S11362" s="13">
        <v>0</v>
      </c>
    </row>
    <row r="11363" spans="18:19" x14ac:dyDescent="0.25">
      <c r="R11363" s="13">
        <v>11290</v>
      </c>
      <c r="S11363" s="13">
        <v>0</v>
      </c>
    </row>
    <row r="11364" spans="18:19" x14ac:dyDescent="0.25">
      <c r="R11364" s="13">
        <v>11291</v>
      </c>
      <c r="S11364" s="13">
        <v>0</v>
      </c>
    </row>
    <row r="11365" spans="18:19" x14ac:dyDescent="0.25">
      <c r="R11365" s="13">
        <v>11292</v>
      </c>
      <c r="S11365" s="13">
        <v>0</v>
      </c>
    </row>
    <row r="11366" spans="18:19" x14ac:dyDescent="0.25">
      <c r="R11366" s="13">
        <v>11293</v>
      </c>
      <c r="S11366" s="13">
        <v>864080572.01576805</v>
      </c>
    </row>
    <row r="11367" spans="18:19" x14ac:dyDescent="0.25">
      <c r="R11367" s="13">
        <v>11294</v>
      </c>
      <c r="S11367" s="13">
        <v>0</v>
      </c>
    </row>
    <row r="11368" spans="18:19" x14ac:dyDescent="0.25">
      <c r="R11368" s="13">
        <v>11295</v>
      </c>
      <c r="S11368" s="13">
        <v>0</v>
      </c>
    </row>
    <row r="11369" spans="18:19" x14ac:dyDescent="0.25">
      <c r="R11369" s="13">
        <v>11296</v>
      </c>
      <c r="S11369" s="13">
        <v>0</v>
      </c>
    </row>
    <row r="11370" spans="18:19" x14ac:dyDescent="0.25">
      <c r="R11370" s="13">
        <v>11297</v>
      </c>
      <c r="S11370" s="13">
        <v>771057410.29453659</v>
      </c>
    </row>
    <row r="11371" spans="18:19" x14ac:dyDescent="0.25">
      <c r="R11371" s="13">
        <v>11298</v>
      </c>
      <c r="S11371" s="13">
        <v>958118284.89719582</v>
      </c>
    </row>
    <row r="11372" spans="18:19" x14ac:dyDescent="0.25">
      <c r="R11372" s="13">
        <v>11299</v>
      </c>
      <c r="S11372" s="13">
        <v>0</v>
      </c>
    </row>
    <row r="11373" spans="18:19" x14ac:dyDescent="0.25">
      <c r="R11373" s="13">
        <v>11300</v>
      </c>
      <c r="S11373" s="13">
        <v>0</v>
      </c>
    </row>
    <row r="11374" spans="18:19" x14ac:dyDescent="0.25">
      <c r="R11374" s="13">
        <v>11301</v>
      </c>
      <c r="S11374" s="13">
        <v>0</v>
      </c>
    </row>
    <row r="11375" spans="18:19" x14ac:dyDescent="0.25">
      <c r="R11375" s="13">
        <v>11302</v>
      </c>
      <c r="S11375" s="13">
        <v>174025729.7747612</v>
      </c>
    </row>
    <row r="11376" spans="18:19" x14ac:dyDescent="0.25">
      <c r="R11376" s="13">
        <v>11303</v>
      </c>
      <c r="S11376" s="13">
        <v>540553030.5998764</v>
      </c>
    </row>
    <row r="11377" spans="18:19" x14ac:dyDescent="0.25">
      <c r="R11377" s="13">
        <v>11304</v>
      </c>
      <c r="S11377" s="13">
        <v>0</v>
      </c>
    </row>
    <row r="11378" spans="18:19" x14ac:dyDescent="0.25">
      <c r="R11378" s="13">
        <v>11305</v>
      </c>
      <c r="S11378" s="13">
        <v>0</v>
      </c>
    </row>
    <row r="11379" spans="18:19" x14ac:dyDescent="0.25">
      <c r="R11379" s="13">
        <v>11306</v>
      </c>
      <c r="S11379" s="13">
        <v>0</v>
      </c>
    </row>
    <row r="11380" spans="18:19" x14ac:dyDescent="0.25">
      <c r="R11380" s="13">
        <v>11307</v>
      </c>
      <c r="S11380" s="13">
        <v>0</v>
      </c>
    </row>
    <row r="11381" spans="18:19" x14ac:dyDescent="0.25">
      <c r="R11381" s="13">
        <v>11308</v>
      </c>
      <c r="S11381" s="13">
        <v>0</v>
      </c>
    </row>
    <row r="11382" spans="18:19" x14ac:dyDescent="0.25">
      <c r="R11382" s="13">
        <v>11309</v>
      </c>
      <c r="S11382" s="13">
        <v>498638021.44240952</v>
      </c>
    </row>
    <row r="11383" spans="18:19" x14ac:dyDescent="0.25">
      <c r="R11383" s="13">
        <v>11310</v>
      </c>
      <c r="S11383" s="13">
        <v>398461408.29914665</v>
      </c>
    </row>
    <row r="11384" spans="18:19" x14ac:dyDescent="0.25">
      <c r="R11384" s="13">
        <v>11311</v>
      </c>
      <c r="S11384" s="13">
        <v>0</v>
      </c>
    </row>
    <row r="11385" spans="18:19" x14ac:dyDescent="0.25">
      <c r="R11385" s="13">
        <v>11312</v>
      </c>
      <c r="S11385" s="13">
        <v>0</v>
      </c>
    </row>
    <row r="11386" spans="18:19" x14ac:dyDescent="0.25">
      <c r="R11386" s="13">
        <v>11313</v>
      </c>
      <c r="S11386" s="13">
        <v>0</v>
      </c>
    </row>
    <row r="11387" spans="18:19" x14ac:dyDescent="0.25">
      <c r="R11387" s="13">
        <v>11314</v>
      </c>
      <c r="S11387" s="13">
        <v>0</v>
      </c>
    </row>
    <row r="11388" spans="18:19" x14ac:dyDescent="0.25">
      <c r="R11388" s="13">
        <v>11315</v>
      </c>
      <c r="S11388" s="13">
        <v>0</v>
      </c>
    </row>
    <row r="11389" spans="18:19" x14ac:dyDescent="0.25">
      <c r="R11389" s="13">
        <v>11316</v>
      </c>
      <c r="S11389" s="13">
        <v>0</v>
      </c>
    </row>
    <row r="11390" spans="18:19" x14ac:dyDescent="0.25">
      <c r="R11390" s="13">
        <v>11317</v>
      </c>
      <c r="S11390" s="13">
        <v>0</v>
      </c>
    </row>
    <row r="11391" spans="18:19" x14ac:dyDescent="0.25">
      <c r="R11391" s="13">
        <v>11318</v>
      </c>
      <c r="S11391" s="13">
        <v>0</v>
      </c>
    </row>
    <row r="11392" spans="18:19" x14ac:dyDescent="0.25">
      <c r="R11392" s="13">
        <v>11319</v>
      </c>
      <c r="S11392" s="13">
        <v>0</v>
      </c>
    </row>
    <row r="11393" spans="18:19" x14ac:dyDescent="0.25">
      <c r="R11393" s="13">
        <v>11320</v>
      </c>
      <c r="S11393" s="13">
        <v>0</v>
      </c>
    </row>
    <row r="11394" spans="18:19" x14ac:dyDescent="0.25">
      <c r="R11394" s="13">
        <v>11321</v>
      </c>
      <c r="S11394" s="13">
        <v>0</v>
      </c>
    </row>
    <row r="11395" spans="18:19" x14ac:dyDescent="0.25">
      <c r="R11395" s="13">
        <v>11322</v>
      </c>
      <c r="S11395" s="13">
        <v>0</v>
      </c>
    </row>
    <row r="11396" spans="18:19" x14ac:dyDescent="0.25">
      <c r="R11396" s="13">
        <v>11323</v>
      </c>
      <c r="S11396" s="13">
        <v>0</v>
      </c>
    </row>
    <row r="11397" spans="18:19" x14ac:dyDescent="0.25">
      <c r="R11397" s="13">
        <v>11324</v>
      </c>
      <c r="S11397" s="13">
        <v>0</v>
      </c>
    </row>
    <row r="11398" spans="18:19" x14ac:dyDescent="0.25">
      <c r="R11398" s="13">
        <v>11325</v>
      </c>
      <c r="S11398" s="13">
        <v>0</v>
      </c>
    </row>
    <row r="11399" spans="18:19" x14ac:dyDescent="0.25">
      <c r="R11399" s="13">
        <v>11326</v>
      </c>
      <c r="S11399" s="13">
        <v>381485823.4845829</v>
      </c>
    </row>
    <row r="11400" spans="18:19" x14ac:dyDescent="0.25">
      <c r="R11400" s="13">
        <v>11327</v>
      </c>
      <c r="S11400" s="13">
        <v>0</v>
      </c>
    </row>
    <row r="11401" spans="18:19" x14ac:dyDescent="0.25">
      <c r="R11401" s="13">
        <v>11328</v>
      </c>
      <c r="S11401" s="13">
        <v>0</v>
      </c>
    </row>
    <row r="11402" spans="18:19" x14ac:dyDescent="0.25">
      <c r="R11402" s="13">
        <v>11329</v>
      </c>
      <c r="S11402" s="13">
        <v>0</v>
      </c>
    </row>
    <row r="11403" spans="18:19" x14ac:dyDescent="0.25">
      <c r="R11403" s="13">
        <v>11330</v>
      </c>
      <c r="S11403" s="13">
        <v>47133197.937994003</v>
      </c>
    </row>
    <row r="11404" spans="18:19" x14ac:dyDescent="0.25">
      <c r="R11404" s="13">
        <v>11331</v>
      </c>
      <c r="S11404" s="13">
        <v>0</v>
      </c>
    </row>
    <row r="11405" spans="18:19" x14ac:dyDescent="0.25">
      <c r="R11405" s="13">
        <v>11332</v>
      </c>
      <c r="S11405" s="13">
        <v>0</v>
      </c>
    </row>
    <row r="11406" spans="18:19" x14ac:dyDescent="0.25">
      <c r="R11406" s="13">
        <v>11333</v>
      </c>
      <c r="S11406" s="13">
        <v>0</v>
      </c>
    </row>
    <row r="11407" spans="18:19" x14ac:dyDescent="0.25">
      <c r="R11407" s="13">
        <v>11334</v>
      </c>
      <c r="S11407" s="13">
        <v>0</v>
      </c>
    </row>
    <row r="11408" spans="18:19" x14ac:dyDescent="0.25">
      <c r="R11408" s="13">
        <v>11335</v>
      </c>
      <c r="S11408" s="13">
        <v>363869001.62898636</v>
      </c>
    </row>
    <row r="11409" spans="18:19" x14ac:dyDescent="0.25">
      <c r="R11409" s="13">
        <v>11336</v>
      </c>
      <c r="S11409" s="13">
        <v>58961629.647720337</v>
      </c>
    </row>
    <row r="11410" spans="18:19" x14ac:dyDescent="0.25">
      <c r="R11410" s="13">
        <v>11337</v>
      </c>
      <c r="S11410" s="13">
        <v>165169160.31319237</v>
      </c>
    </row>
    <row r="11411" spans="18:19" x14ac:dyDescent="0.25">
      <c r="R11411" s="13">
        <v>11338</v>
      </c>
      <c r="S11411" s="13">
        <v>0</v>
      </c>
    </row>
    <row r="11412" spans="18:19" x14ac:dyDescent="0.25">
      <c r="R11412" s="13">
        <v>11339</v>
      </c>
      <c r="S11412" s="13">
        <v>0</v>
      </c>
    </row>
    <row r="11413" spans="18:19" x14ac:dyDescent="0.25">
      <c r="R11413" s="13">
        <v>11340</v>
      </c>
      <c r="S11413" s="13">
        <v>758075416.43932533</v>
      </c>
    </row>
    <row r="11414" spans="18:19" x14ac:dyDescent="0.25">
      <c r="R11414" s="13">
        <v>11341</v>
      </c>
      <c r="S11414" s="13">
        <v>0</v>
      </c>
    </row>
    <row r="11415" spans="18:19" x14ac:dyDescent="0.25">
      <c r="R11415" s="13">
        <v>11342</v>
      </c>
      <c r="S11415" s="13">
        <v>0</v>
      </c>
    </row>
    <row r="11416" spans="18:19" x14ac:dyDescent="0.25">
      <c r="R11416" s="13">
        <v>11343</v>
      </c>
      <c r="S11416" s="13">
        <v>0</v>
      </c>
    </row>
    <row r="11417" spans="18:19" x14ac:dyDescent="0.25">
      <c r="R11417" s="13">
        <v>11344</v>
      </c>
      <c r="S11417" s="13">
        <v>0</v>
      </c>
    </row>
    <row r="11418" spans="18:19" x14ac:dyDescent="0.25">
      <c r="R11418" s="13">
        <v>11345</v>
      </c>
      <c r="S11418" s="13">
        <v>0</v>
      </c>
    </row>
    <row r="11419" spans="18:19" x14ac:dyDescent="0.25">
      <c r="R11419" s="13">
        <v>11346</v>
      </c>
      <c r="S11419" s="13">
        <v>0</v>
      </c>
    </row>
    <row r="11420" spans="18:19" x14ac:dyDescent="0.25">
      <c r="R11420" s="13">
        <v>11347</v>
      </c>
      <c r="S11420" s="13">
        <v>0</v>
      </c>
    </row>
    <row r="11421" spans="18:19" x14ac:dyDescent="0.25">
      <c r="R11421" s="13">
        <v>11348</v>
      </c>
      <c r="S11421" s="13">
        <v>0</v>
      </c>
    </row>
    <row r="11422" spans="18:19" x14ac:dyDescent="0.25">
      <c r="R11422" s="13">
        <v>11349</v>
      </c>
      <c r="S11422" s="13">
        <v>0</v>
      </c>
    </row>
    <row r="11423" spans="18:19" x14ac:dyDescent="0.25">
      <c r="R11423" s="13">
        <v>11350</v>
      </c>
      <c r="S11423" s="13">
        <v>0</v>
      </c>
    </row>
    <row r="11424" spans="18:19" x14ac:dyDescent="0.25">
      <c r="R11424" s="13">
        <v>11351</v>
      </c>
      <c r="S11424" s="13">
        <v>0</v>
      </c>
    </row>
    <row r="11425" spans="18:19" x14ac:dyDescent="0.25">
      <c r="R11425" s="13">
        <v>11352</v>
      </c>
      <c r="S11425" s="13">
        <v>0</v>
      </c>
    </row>
    <row r="11426" spans="18:19" x14ac:dyDescent="0.25">
      <c r="R11426" s="13">
        <v>11353</v>
      </c>
      <c r="S11426" s="13">
        <v>0</v>
      </c>
    </row>
    <row r="11427" spans="18:19" x14ac:dyDescent="0.25">
      <c r="R11427" s="13">
        <v>11354</v>
      </c>
      <c r="S11427" s="13">
        <v>0</v>
      </c>
    </row>
    <row r="11428" spans="18:19" x14ac:dyDescent="0.25">
      <c r="R11428" s="13">
        <v>11355</v>
      </c>
      <c r="S11428" s="13">
        <v>0</v>
      </c>
    </row>
    <row r="11429" spans="18:19" x14ac:dyDescent="0.25">
      <c r="R11429" s="13">
        <v>11356</v>
      </c>
      <c r="S11429" s="13">
        <v>0</v>
      </c>
    </row>
    <row r="11430" spans="18:19" x14ac:dyDescent="0.25">
      <c r="R11430" s="13">
        <v>11357</v>
      </c>
      <c r="S11430" s="13">
        <v>152007091.81045341</v>
      </c>
    </row>
    <row r="11431" spans="18:19" x14ac:dyDescent="0.25">
      <c r="R11431" s="13">
        <v>11358</v>
      </c>
      <c r="S11431" s="13">
        <v>0</v>
      </c>
    </row>
    <row r="11432" spans="18:19" x14ac:dyDescent="0.25">
      <c r="R11432" s="13">
        <v>11359</v>
      </c>
      <c r="S11432" s="13">
        <v>0</v>
      </c>
    </row>
    <row r="11433" spans="18:19" x14ac:dyDescent="0.25">
      <c r="R11433" s="13">
        <v>11360</v>
      </c>
      <c r="S11433" s="13">
        <v>0</v>
      </c>
    </row>
    <row r="11434" spans="18:19" x14ac:dyDescent="0.25">
      <c r="R11434" s="13">
        <v>11361</v>
      </c>
      <c r="S11434" s="13">
        <v>0</v>
      </c>
    </row>
    <row r="11435" spans="18:19" x14ac:dyDescent="0.25">
      <c r="R11435" s="13">
        <v>11362</v>
      </c>
      <c r="S11435" s="13">
        <v>800822525.88581467</v>
      </c>
    </row>
    <row r="11436" spans="18:19" x14ac:dyDescent="0.25">
      <c r="R11436" s="13">
        <v>11363</v>
      </c>
      <c r="S11436" s="13">
        <v>0</v>
      </c>
    </row>
    <row r="11437" spans="18:19" x14ac:dyDescent="0.25">
      <c r="R11437" s="13">
        <v>11364</v>
      </c>
      <c r="S11437" s="13">
        <v>0</v>
      </c>
    </row>
    <row r="11438" spans="18:19" x14ac:dyDescent="0.25">
      <c r="R11438" s="13">
        <v>11365</v>
      </c>
      <c r="S11438" s="13">
        <v>0</v>
      </c>
    </row>
    <row r="11439" spans="18:19" x14ac:dyDescent="0.25">
      <c r="R11439" s="13">
        <v>11366</v>
      </c>
      <c r="S11439" s="13">
        <v>0</v>
      </c>
    </row>
    <row r="11440" spans="18:19" x14ac:dyDescent="0.25">
      <c r="R11440" s="13">
        <v>11367</v>
      </c>
      <c r="S11440" s="13">
        <v>690309162.88823891</v>
      </c>
    </row>
    <row r="11441" spans="18:19" x14ac:dyDescent="0.25">
      <c r="R11441" s="13">
        <v>11368</v>
      </c>
      <c r="S11441" s="13">
        <v>0</v>
      </c>
    </row>
    <row r="11442" spans="18:19" x14ac:dyDescent="0.25">
      <c r="R11442" s="13">
        <v>11369</v>
      </c>
      <c r="S11442" s="13">
        <v>0</v>
      </c>
    </row>
    <row r="11443" spans="18:19" x14ac:dyDescent="0.25">
      <c r="R11443" s="13">
        <v>11370</v>
      </c>
      <c r="S11443" s="13">
        <v>0</v>
      </c>
    </row>
    <row r="11444" spans="18:19" x14ac:dyDescent="0.25">
      <c r="R11444" s="13">
        <v>11371</v>
      </c>
      <c r="S11444" s="13">
        <v>0</v>
      </c>
    </row>
    <row r="11445" spans="18:19" x14ac:dyDescent="0.25">
      <c r="R11445" s="13">
        <v>11372</v>
      </c>
      <c r="S11445" s="13">
        <v>183515641.41895676</v>
      </c>
    </row>
    <row r="11446" spans="18:19" x14ac:dyDescent="0.25">
      <c r="R11446" s="13">
        <v>11373</v>
      </c>
      <c r="S11446" s="13">
        <v>0</v>
      </c>
    </row>
    <row r="11447" spans="18:19" x14ac:dyDescent="0.25">
      <c r="R11447" s="13">
        <v>11374</v>
      </c>
      <c r="S11447" s="13">
        <v>0</v>
      </c>
    </row>
    <row r="11448" spans="18:19" x14ac:dyDescent="0.25">
      <c r="R11448" s="13">
        <v>11375</v>
      </c>
      <c r="S11448" s="13">
        <v>0</v>
      </c>
    </row>
    <row r="11449" spans="18:19" x14ac:dyDescent="0.25">
      <c r="R11449" s="13">
        <v>11376</v>
      </c>
      <c r="S11449" s="13">
        <v>0</v>
      </c>
    </row>
    <row r="11450" spans="18:19" x14ac:dyDescent="0.25">
      <c r="R11450" s="13">
        <v>11377</v>
      </c>
      <c r="S11450" s="13">
        <v>0</v>
      </c>
    </row>
    <row r="11451" spans="18:19" x14ac:dyDescent="0.25">
      <c r="R11451" s="13">
        <v>11378</v>
      </c>
      <c r="S11451" s="13">
        <v>0</v>
      </c>
    </row>
    <row r="11452" spans="18:19" x14ac:dyDescent="0.25">
      <c r="R11452" s="13">
        <v>11379</v>
      </c>
      <c r="S11452" s="13">
        <v>0</v>
      </c>
    </row>
    <row r="11453" spans="18:19" x14ac:dyDescent="0.25">
      <c r="R11453" s="13">
        <v>11380</v>
      </c>
      <c r="S11453" s="13">
        <v>0</v>
      </c>
    </row>
    <row r="11454" spans="18:19" x14ac:dyDescent="0.25">
      <c r="R11454" s="13">
        <v>11381</v>
      </c>
      <c r="S11454" s="13">
        <v>0</v>
      </c>
    </row>
    <row r="11455" spans="18:19" x14ac:dyDescent="0.25">
      <c r="R11455" s="13">
        <v>11382</v>
      </c>
      <c r="S11455" s="13">
        <v>744706664.36056709</v>
      </c>
    </row>
    <row r="11456" spans="18:19" x14ac:dyDescent="0.25">
      <c r="R11456" s="13">
        <v>11383</v>
      </c>
      <c r="S11456" s="13">
        <v>0</v>
      </c>
    </row>
    <row r="11457" spans="18:19" x14ac:dyDescent="0.25">
      <c r="R11457" s="13">
        <v>11384</v>
      </c>
      <c r="S11457" s="13">
        <v>0</v>
      </c>
    </row>
    <row r="11458" spans="18:19" x14ac:dyDescent="0.25">
      <c r="R11458" s="13">
        <v>11385</v>
      </c>
      <c r="S11458" s="13">
        <v>0</v>
      </c>
    </row>
    <row r="11459" spans="18:19" x14ac:dyDescent="0.25">
      <c r="R11459" s="13">
        <v>11386</v>
      </c>
      <c r="S11459" s="13">
        <v>280688832.38928223</v>
      </c>
    </row>
    <row r="11460" spans="18:19" x14ac:dyDescent="0.25">
      <c r="R11460" s="13">
        <v>11387</v>
      </c>
      <c r="S11460" s="13">
        <v>0</v>
      </c>
    </row>
    <row r="11461" spans="18:19" x14ac:dyDescent="0.25">
      <c r="R11461" s="13">
        <v>11388</v>
      </c>
      <c r="S11461" s="13">
        <v>0</v>
      </c>
    </row>
    <row r="11462" spans="18:19" x14ac:dyDescent="0.25">
      <c r="R11462" s="13">
        <v>11389</v>
      </c>
      <c r="S11462" s="13">
        <v>0</v>
      </c>
    </row>
    <row r="11463" spans="18:19" x14ac:dyDescent="0.25">
      <c r="R11463" s="13">
        <v>11390</v>
      </c>
      <c r="S11463" s="13">
        <v>0</v>
      </c>
    </row>
    <row r="11464" spans="18:19" x14ac:dyDescent="0.25">
      <c r="R11464" s="13">
        <v>11391</v>
      </c>
      <c r="S11464" s="13">
        <v>0</v>
      </c>
    </row>
    <row r="11465" spans="18:19" x14ac:dyDescent="0.25">
      <c r="R11465" s="13">
        <v>11392</v>
      </c>
      <c r="S11465" s="13">
        <v>0</v>
      </c>
    </row>
    <row r="11466" spans="18:19" x14ac:dyDescent="0.25">
      <c r="R11466" s="13">
        <v>11393</v>
      </c>
      <c r="S11466" s="13">
        <v>0</v>
      </c>
    </row>
    <row r="11467" spans="18:19" x14ac:dyDescent="0.25">
      <c r="R11467" s="13">
        <v>11394</v>
      </c>
      <c r="S11467" s="13">
        <v>0</v>
      </c>
    </row>
    <row r="11468" spans="18:19" x14ac:dyDescent="0.25">
      <c r="R11468" s="13">
        <v>11395</v>
      </c>
      <c r="S11468" s="13">
        <v>1126337236.943819</v>
      </c>
    </row>
    <row r="11469" spans="18:19" x14ac:dyDescent="0.25">
      <c r="R11469" s="13">
        <v>11396</v>
      </c>
      <c r="S11469" s="13">
        <v>0</v>
      </c>
    </row>
    <row r="11470" spans="18:19" x14ac:dyDescent="0.25">
      <c r="R11470" s="13">
        <v>11397</v>
      </c>
      <c r="S11470" s="13">
        <v>0</v>
      </c>
    </row>
    <row r="11471" spans="18:19" x14ac:dyDescent="0.25">
      <c r="R11471" s="13">
        <v>11398</v>
      </c>
      <c r="S11471" s="13">
        <v>0</v>
      </c>
    </row>
    <row r="11472" spans="18:19" x14ac:dyDescent="0.25">
      <c r="R11472" s="13">
        <v>11399</v>
      </c>
      <c r="S11472" s="13">
        <v>150090649.00824356</v>
      </c>
    </row>
    <row r="11473" spans="18:19" x14ac:dyDescent="0.25">
      <c r="R11473" s="13">
        <v>11400</v>
      </c>
      <c r="S11473" s="13">
        <v>0</v>
      </c>
    </row>
    <row r="11474" spans="18:19" x14ac:dyDescent="0.25">
      <c r="R11474" s="13">
        <v>11401</v>
      </c>
      <c r="S11474" s="13">
        <v>170052167.22797775</v>
      </c>
    </row>
    <row r="11475" spans="18:19" x14ac:dyDescent="0.25">
      <c r="R11475" s="13">
        <v>11402</v>
      </c>
      <c r="S11475" s="13">
        <v>237802716.0371666</v>
      </c>
    </row>
    <row r="11476" spans="18:19" x14ac:dyDescent="0.25">
      <c r="R11476" s="13">
        <v>11403</v>
      </c>
      <c r="S11476" s="13">
        <v>0</v>
      </c>
    </row>
    <row r="11477" spans="18:19" x14ac:dyDescent="0.25">
      <c r="R11477" s="13">
        <v>11404</v>
      </c>
      <c r="S11477" s="13">
        <v>247391102.55398369</v>
      </c>
    </row>
    <row r="11478" spans="18:19" x14ac:dyDescent="0.25">
      <c r="R11478" s="13">
        <v>11405</v>
      </c>
      <c r="S11478" s="13">
        <v>0</v>
      </c>
    </row>
    <row r="11479" spans="18:19" x14ac:dyDescent="0.25">
      <c r="R11479" s="13">
        <v>11406</v>
      </c>
      <c r="S11479" s="13">
        <v>0</v>
      </c>
    </row>
    <row r="11480" spans="18:19" x14ac:dyDescent="0.25">
      <c r="R11480" s="13">
        <v>11407</v>
      </c>
      <c r="S11480" s="13">
        <v>0</v>
      </c>
    </row>
    <row r="11481" spans="18:19" x14ac:dyDescent="0.25">
      <c r="R11481" s="13">
        <v>11408</v>
      </c>
      <c r="S11481" s="13">
        <v>0</v>
      </c>
    </row>
    <row r="11482" spans="18:19" x14ac:dyDescent="0.25">
      <c r="R11482" s="13">
        <v>11409</v>
      </c>
      <c r="S11482" s="13">
        <v>898681994.21383286</v>
      </c>
    </row>
    <row r="11483" spans="18:19" x14ac:dyDescent="0.25">
      <c r="R11483" s="13">
        <v>11410</v>
      </c>
      <c r="S11483" s="13">
        <v>0</v>
      </c>
    </row>
    <row r="11484" spans="18:19" x14ac:dyDescent="0.25">
      <c r="R11484" s="13">
        <v>11411</v>
      </c>
      <c r="S11484" s="13">
        <v>0</v>
      </c>
    </row>
    <row r="11485" spans="18:19" x14ac:dyDescent="0.25">
      <c r="R11485" s="13">
        <v>11412</v>
      </c>
      <c r="S11485" s="13">
        <v>0</v>
      </c>
    </row>
    <row r="11486" spans="18:19" x14ac:dyDescent="0.25">
      <c r="R11486" s="13">
        <v>11413</v>
      </c>
      <c r="S11486" s="13">
        <v>294538934.83428955</v>
      </c>
    </row>
    <row r="11487" spans="18:19" x14ac:dyDescent="0.25">
      <c r="R11487" s="13">
        <v>11414</v>
      </c>
      <c r="S11487" s="13">
        <v>28483303.523933411</v>
      </c>
    </row>
    <row r="11488" spans="18:19" x14ac:dyDescent="0.25">
      <c r="R11488" s="13">
        <v>11415</v>
      </c>
      <c r="S11488" s="13">
        <v>0</v>
      </c>
    </row>
    <row r="11489" spans="18:19" x14ac:dyDescent="0.25">
      <c r="R11489" s="13">
        <v>11416</v>
      </c>
      <c r="S11489" s="13">
        <v>308050011.03809166</v>
      </c>
    </row>
    <row r="11490" spans="18:19" x14ac:dyDescent="0.25">
      <c r="R11490" s="13">
        <v>11417</v>
      </c>
      <c r="S11490" s="13">
        <v>0</v>
      </c>
    </row>
    <row r="11491" spans="18:19" x14ac:dyDescent="0.25">
      <c r="R11491" s="13">
        <v>11418</v>
      </c>
      <c r="S11491" s="13">
        <v>0</v>
      </c>
    </row>
    <row r="11492" spans="18:19" x14ac:dyDescent="0.25">
      <c r="R11492" s="13">
        <v>11419</v>
      </c>
      <c r="S11492" s="13">
        <v>0</v>
      </c>
    </row>
    <row r="11493" spans="18:19" x14ac:dyDescent="0.25">
      <c r="R11493" s="13">
        <v>11420</v>
      </c>
      <c r="S11493" s="13">
        <v>529636666.52955818</v>
      </c>
    </row>
    <row r="11494" spans="18:19" x14ac:dyDescent="0.25">
      <c r="R11494" s="13">
        <v>11421</v>
      </c>
      <c r="S11494" s="13">
        <v>0</v>
      </c>
    </row>
    <row r="11495" spans="18:19" x14ac:dyDescent="0.25">
      <c r="R11495" s="13">
        <v>11422</v>
      </c>
      <c r="S11495" s="13">
        <v>0</v>
      </c>
    </row>
    <row r="11496" spans="18:19" x14ac:dyDescent="0.25">
      <c r="R11496" s="13">
        <v>11423</v>
      </c>
      <c r="S11496" s="13">
        <v>0</v>
      </c>
    </row>
    <row r="11497" spans="18:19" x14ac:dyDescent="0.25">
      <c r="R11497" s="13">
        <v>11424</v>
      </c>
      <c r="S11497" s="13">
        <v>0</v>
      </c>
    </row>
    <row r="11498" spans="18:19" x14ac:dyDescent="0.25">
      <c r="R11498" s="13">
        <v>11425</v>
      </c>
      <c r="S11498" s="13">
        <v>289003087.53430557</v>
      </c>
    </row>
    <row r="11499" spans="18:19" x14ac:dyDescent="0.25">
      <c r="R11499" s="13">
        <v>11426</v>
      </c>
      <c r="S11499" s="13">
        <v>0</v>
      </c>
    </row>
    <row r="11500" spans="18:19" x14ac:dyDescent="0.25">
      <c r="R11500" s="13">
        <v>11427</v>
      </c>
      <c r="S11500" s="13">
        <v>287411958.86144257</v>
      </c>
    </row>
    <row r="11501" spans="18:19" x14ac:dyDescent="0.25">
      <c r="R11501" s="13">
        <v>11428</v>
      </c>
      <c r="S11501" s="13">
        <v>0</v>
      </c>
    </row>
    <row r="11502" spans="18:19" x14ac:dyDescent="0.25">
      <c r="R11502" s="13">
        <v>11429</v>
      </c>
      <c r="S11502" s="13">
        <v>337070225.75029945</v>
      </c>
    </row>
    <row r="11503" spans="18:19" x14ac:dyDescent="0.25">
      <c r="R11503" s="13">
        <v>11430</v>
      </c>
      <c r="S11503" s="13">
        <v>0</v>
      </c>
    </row>
    <row r="11504" spans="18:19" x14ac:dyDescent="0.25">
      <c r="R11504" s="13">
        <v>11431</v>
      </c>
      <c r="S11504" s="13">
        <v>0</v>
      </c>
    </row>
    <row r="11505" spans="18:19" x14ac:dyDescent="0.25">
      <c r="R11505" s="13">
        <v>11432</v>
      </c>
      <c r="S11505" s="13">
        <v>1238891402.4703255</v>
      </c>
    </row>
    <row r="11506" spans="18:19" x14ac:dyDescent="0.25">
      <c r="R11506" s="13">
        <v>11433</v>
      </c>
      <c r="S11506" s="13">
        <v>0</v>
      </c>
    </row>
    <row r="11507" spans="18:19" x14ac:dyDescent="0.25">
      <c r="R11507" s="13">
        <v>11434</v>
      </c>
      <c r="S11507" s="13">
        <v>227800046.08834839</v>
      </c>
    </row>
    <row r="11508" spans="18:19" x14ac:dyDescent="0.25">
      <c r="R11508" s="13">
        <v>11435</v>
      </c>
      <c r="S11508" s="13">
        <v>134402065.73574829</v>
      </c>
    </row>
    <row r="11509" spans="18:19" x14ac:dyDescent="0.25">
      <c r="R11509" s="13">
        <v>11436</v>
      </c>
      <c r="S11509" s="13">
        <v>0</v>
      </c>
    </row>
    <row r="11510" spans="18:19" x14ac:dyDescent="0.25">
      <c r="R11510" s="13">
        <v>11437</v>
      </c>
      <c r="S11510" s="13">
        <v>0</v>
      </c>
    </row>
    <row r="11511" spans="18:19" x14ac:dyDescent="0.25">
      <c r="R11511" s="13">
        <v>11438</v>
      </c>
      <c r="S11511" s="13">
        <v>0</v>
      </c>
    </row>
    <row r="11512" spans="18:19" x14ac:dyDescent="0.25">
      <c r="R11512" s="13">
        <v>11439</v>
      </c>
      <c r="S11512" s="13">
        <v>0</v>
      </c>
    </row>
    <row r="11513" spans="18:19" x14ac:dyDescent="0.25">
      <c r="R11513" s="13">
        <v>11440</v>
      </c>
      <c r="S11513" s="13">
        <v>0</v>
      </c>
    </row>
    <row r="11514" spans="18:19" x14ac:dyDescent="0.25">
      <c r="R11514" s="13">
        <v>11441</v>
      </c>
      <c r="S11514" s="13">
        <v>461784753.874403</v>
      </c>
    </row>
    <row r="11515" spans="18:19" x14ac:dyDescent="0.25">
      <c r="R11515" s="13">
        <v>11442</v>
      </c>
      <c r="S11515" s="13">
        <v>0</v>
      </c>
    </row>
    <row r="11516" spans="18:19" x14ac:dyDescent="0.25">
      <c r="R11516" s="13">
        <v>11443</v>
      </c>
      <c r="S11516" s="13">
        <v>934362967.85121727</v>
      </c>
    </row>
    <row r="11517" spans="18:19" x14ac:dyDescent="0.25">
      <c r="R11517" s="13">
        <v>11444</v>
      </c>
      <c r="S11517" s="13">
        <v>31354379.998397827</v>
      </c>
    </row>
    <row r="11518" spans="18:19" x14ac:dyDescent="0.25">
      <c r="R11518" s="13">
        <v>11445</v>
      </c>
      <c r="S11518" s="13">
        <v>0</v>
      </c>
    </row>
    <row r="11519" spans="18:19" x14ac:dyDescent="0.25">
      <c r="R11519" s="13">
        <v>11446</v>
      </c>
      <c r="S11519" s="13">
        <v>0</v>
      </c>
    </row>
    <row r="11520" spans="18:19" x14ac:dyDescent="0.25">
      <c r="R11520" s="13">
        <v>11447</v>
      </c>
      <c r="S11520" s="13">
        <v>0</v>
      </c>
    </row>
    <row r="11521" spans="18:19" x14ac:dyDescent="0.25">
      <c r="R11521" s="13">
        <v>11448</v>
      </c>
      <c r="S11521" s="13">
        <v>225837624.73682785</v>
      </c>
    </row>
    <row r="11522" spans="18:19" x14ac:dyDescent="0.25">
      <c r="R11522" s="13">
        <v>11449</v>
      </c>
      <c r="S11522" s="13">
        <v>0</v>
      </c>
    </row>
    <row r="11523" spans="18:19" x14ac:dyDescent="0.25">
      <c r="R11523" s="13">
        <v>11450</v>
      </c>
      <c r="S11523" s="13">
        <v>0</v>
      </c>
    </row>
    <row r="11524" spans="18:19" x14ac:dyDescent="0.25">
      <c r="R11524" s="13">
        <v>11451</v>
      </c>
      <c r="S11524" s="13">
        <v>514741917.34370995</v>
      </c>
    </row>
    <row r="11525" spans="18:19" x14ac:dyDescent="0.25">
      <c r="R11525" s="13">
        <v>11452</v>
      </c>
      <c r="S11525" s="13">
        <v>0</v>
      </c>
    </row>
    <row r="11526" spans="18:19" x14ac:dyDescent="0.25">
      <c r="R11526" s="13">
        <v>11453</v>
      </c>
      <c r="S11526" s="13">
        <v>0</v>
      </c>
    </row>
    <row r="11527" spans="18:19" x14ac:dyDescent="0.25">
      <c r="R11527" s="13">
        <v>11454</v>
      </c>
      <c r="S11527" s="13">
        <v>214555778.82520866</v>
      </c>
    </row>
    <row r="11528" spans="18:19" x14ac:dyDescent="0.25">
      <c r="R11528" s="13">
        <v>11455</v>
      </c>
      <c r="S11528" s="13">
        <v>0</v>
      </c>
    </row>
    <row r="11529" spans="18:19" x14ac:dyDescent="0.25">
      <c r="R11529" s="13">
        <v>11456</v>
      </c>
      <c r="S11529" s="13">
        <v>0</v>
      </c>
    </row>
    <row r="11530" spans="18:19" x14ac:dyDescent="0.25">
      <c r="R11530" s="13">
        <v>11457</v>
      </c>
      <c r="S11530" s="13">
        <v>0</v>
      </c>
    </row>
    <row r="11531" spans="18:19" x14ac:dyDescent="0.25">
      <c r="R11531" s="13">
        <v>11458</v>
      </c>
      <c r="S11531" s="13">
        <v>0</v>
      </c>
    </row>
    <row r="11532" spans="18:19" x14ac:dyDescent="0.25">
      <c r="R11532" s="13">
        <v>11459</v>
      </c>
      <c r="S11532" s="13">
        <v>0</v>
      </c>
    </row>
    <row r="11533" spans="18:19" x14ac:dyDescent="0.25">
      <c r="R11533" s="13">
        <v>11460</v>
      </c>
      <c r="S11533" s="13">
        <v>0</v>
      </c>
    </row>
    <row r="11534" spans="18:19" x14ac:dyDescent="0.25">
      <c r="R11534" s="13">
        <v>11461</v>
      </c>
      <c r="S11534" s="13">
        <v>264977185.83694267</v>
      </c>
    </row>
    <row r="11535" spans="18:19" x14ac:dyDescent="0.25">
      <c r="R11535" s="13">
        <v>11462</v>
      </c>
      <c r="S11535" s="13">
        <v>463958664.31668091</v>
      </c>
    </row>
    <row r="11536" spans="18:19" x14ac:dyDescent="0.25">
      <c r="R11536" s="13">
        <v>11463</v>
      </c>
      <c r="S11536" s="13">
        <v>0</v>
      </c>
    </row>
    <row r="11537" spans="18:19" x14ac:dyDescent="0.25">
      <c r="R11537" s="13">
        <v>11464</v>
      </c>
      <c r="S11537" s="13">
        <v>0</v>
      </c>
    </row>
    <row r="11538" spans="18:19" x14ac:dyDescent="0.25">
      <c r="R11538" s="13">
        <v>11465</v>
      </c>
      <c r="S11538" s="13">
        <v>0</v>
      </c>
    </row>
    <row r="11539" spans="18:19" x14ac:dyDescent="0.25">
      <c r="R11539" s="13">
        <v>11466</v>
      </c>
      <c r="S11539" s="13">
        <v>0</v>
      </c>
    </row>
    <row r="11540" spans="18:19" x14ac:dyDescent="0.25">
      <c r="R11540" s="13">
        <v>11467</v>
      </c>
      <c r="S11540" s="13">
        <v>0</v>
      </c>
    </row>
    <row r="11541" spans="18:19" x14ac:dyDescent="0.25">
      <c r="R11541" s="13">
        <v>11468</v>
      </c>
      <c r="S11541" s="13">
        <v>0</v>
      </c>
    </row>
    <row r="11542" spans="18:19" x14ac:dyDescent="0.25">
      <c r="R11542" s="13">
        <v>11469</v>
      </c>
      <c r="S11542" s="13">
        <v>0</v>
      </c>
    </row>
    <row r="11543" spans="18:19" x14ac:dyDescent="0.25">
      <c r="R11543" s="13">
        <v>11470</v>
      </c>
      <c r="S11543" s="13">
        <v>0</v>
      </c>
    </row>
    <row r="11544" spans="18:19" x14ac:dyDescent="0.25">
      <c r="R11544" s="13">
        <v>11471</v>
      </c>
      <c r="S11544" s="13">
        <v>104912879.10922813</v>
      </c>
    </row>
    <row r="11545" spans="18:19" x14ac:dyDescent="0.25">
      <c r="R11545" s="13">
        <v>11472</v>
      </c>
      <c r="S11545" s="13">
        <v>0</v>
      </c>
    </row>
    <row r="11546" spans="18:19" x14ac:dyDescent="0.25">
      <c r="R11546" s="13">
        <v>11473</v>
      </c>
      <c r="S11546" s="13">
        <v>263936817.21008873</v>
      </c>
    </row>
    <row r="11547" spans="18:19" x14ac:dyDescent="0.25">
      <c r="R11547" s="13">
        <v>11474</v>
      </c>
      <c r="S11547" s="13">
        <v>0</v>
      </c>
    </row>
    <row r="11548" spans="18:19" x14ac:dyDescent="0.25">
      <c r="R11548" s="13">
        <v>11475</v>
      </c>
      <c r="S11548" s="13">
        <v>0</v>
      </c>
    </row>
    <row r="11549" spans="18:19" x14ac:dyDescent="0.25">
      <c r="R11549" s="13">
        <v>11476</v>
      </c>
      <c r="S11549" s="13">
        <v>0</v>
      </c>
    </row>
    <row r="11550" spans="18:19" x14ac:dyDescent="0.25">
      <c r="R11550" s="13">
        <v>11477</v>
      </c>
      <c r="S11550" s="13">
        <v>0</v>
      </c>
    </row>
    <row r="11551" spans="18:19" x14ac:dyDescent="0.25">
      <c r="R11551" s="13">
        <v>11478</v>
      </c>
      <c r="S11551" s="13">
        <v>0</v>
      </c>
    </row>
    <row r="11552" spans="18:19" x14ac:dyDescent="0.25">
      <c r="R11552" s="13">
        <v>11479</v>
      </c>
      <c r="S11552" s="13">
        <v>0</v>
      </c>
    </row>
    <row r="11553" spans="18:19" x14ac:dyDescent="0.25">
      <c r="R11553" s="13">
        <v>11480</v>
      </c>
      <c r="S11553" s="13">
        <v>0</v>
      </c>
    </row>
    <row r="11554" spans="18:19" x14ac:dyDescent="0.25">
      <c r="R11554" s="13">
        <v>11481</v>
      </c>
      <c r="S11554" s="13">
        <v>0</v>
      </c>
    </row>
    <row r="11555" spans="18:19" x14ac:dyDescent="0.25">
      <c r="R11555" s="13">
        <v>11482</v>
      </c>
      <c r="S11555" s="13">
        <v>0</v>
      </c>
    </row>
    <row r="11556" spans="18:19" x14ac:dyDescent="0.25">
      <c r="R11556" s="13">
        <v>11483</v>
      </c>
      <c r="S11556" s="13">
        <v>803600525.58515167</v>
      </c>
    </row>
    <row r="11557" spans="18:19" x14ac:dyDescent="0.25">
      <c r="R11557" s="13">
        <v>11484</v>
      </c>
      <c r="S11557" s="13">
        <v>0</v>
      </c>
    </row>
    <row r="11558" spans="18:19" x14ac:dyDescent="0.25">
      <c r="R11558" s="13">
        <v>11485</v>
      </c>
      <c r="S11558" s="13">
        <v>0</v>
      </c>
    </row>
    <row r="11559" spans="18:19" x14ac:dyDescent="0.25">
      <c r="R11559" s="13">
        <v>11486</v>
      </c>
      <c r="S11559" s="13">
        <v>256875790.35112381</v>
      </c>
    </row>
    <row r="11560" spans="18:19" x14ac:dyDescent="0.25">
      <c r="R11560" s="13">
        <v>11487</v>
      </c>
      <c r="S11560" s="13">
        <v>0</v>
      </c>
    </row>
    <row r="11561" spans="18:19" x14ac:dyDescent="0.25">
      <c r="R11561" s="13">
        <v>11488</v>
      </c>
      <c r="S11561" s="13">
        <v>0</v>
      </c>
    </row>
    <row r="11562" spans="18:19" x14ac:dyDescent="0.25">
      <c r="R11562" s="13">
        <v>11489</v>
      </c>
      <c r="S11562" s="13">
        <v>0</v>
      </c>
    </row>
    <row r="11563" spans="18:19" x14ac:dyDescent="0.25">
      <c r="R11563" s="13">
        <v>11490</v>
      </c>
      <c r="S11563" s="13">
        <v>0</v>
      </c>
    </row>
    <row r="11564" spans="18:19" x14ac:dyDescent="0.25">
      <c r="R11564" s="13">
        <v>11491</v>
      </c>
      <c r="S11564" s="13">
        <v>0</v>
      </c>
    </row>
    <row r="11565" spans="18:19" x14ac:dyDescent="0.25">
      <c r="R11565" s="13">
        <v>11492</v>
      </c>
      <c r="S11565" s="13">
        <v>187878438.74304008</v>
      </c>
    </row>
    <row r="11566" spans="18:19" x14ac:dyDescent="0.25">
      <c r="R11566" s="13">
        <v>11493</v>
      </c>
      <c r="S11566" s="13">
        <v>184486736.25932312</v>
      </c>
    </row>
    <row r="11567" spans="18:19" x14ac:dyDescent="0.25">
      <c r="R11567" s="13">
        <v>11494</v>
      </c>
      <c r="S11567" s="13">
        <v>0</v>
      </c>
    </row>
    <row r="11568" spans="18:19" x14ac:dyDescent="0.25">
      <c r="R11568" s="13">
        <v>11495</v>
      </c>
      <c r="S11568" s="13">
        <v>873666725.83832932</v>
      </c>
    </row>
    <row r="11569" spans="18:19" x14ac:dyDescent="0.25">
      <c r="R11569" s="13">
        <v>11496</v>
      </c>
      <c r="S11569" s="13">
        <v>0</v>
      </c>
    </row>
    <row r="11570" spans="18:19" x14ac:dyDescent="0.25">
      <c r="R11570" s="13">
        <v>11497</v>
      </c>
      <c r="S11570" s="13">
        <v>0</v>
      </c>
    </row>
    <row r="11571" spans="18:19" x14ac:dyDescent="0.25">
      <c r="R11571" s="13">
        <v>11498</v>
      </c>
      <c r="S11571" s="13">
        <v>230594817.24962234</v>
      </c>
    </row>
    <row r="11572" spans="18:19" x14ac:dyDescent="0.25">
      <c r="R11572" s="13">
        <v>11499</v>
      </c>
      <c r="S11572" s="13">
        <v>0</v>
      </c>
    </row>
    <row r="11573" spans="18:19" x14ac:dyDescent="0.25">
      <c r="R11573" s="13">
        <v>11500</v>
      </c>
      <c r="S11573" s="13">
        <v>555787481.97604752</v>
      </c>
    </row>
    <row r="11574" spans="18:19" x14ac:dyDescent="0.25">
      <c r="R11574" s="13">
        <v>11501</v>
      </c>
      <c r="S11574" s="13">
        <v>0</v>
      </c>
    </row>
    <row r="11575" spans="18:19" x14ac:dyDescent="0.25">
      <c r="R11575" s="13">
        <v>11502</v>
      </c>
      <c r="S11575" s="13">
        <v>35233880.114459991</v>
      </c>
    </row>
    <row r="11576" spans="18:19" x14ac:dyDescent="0.25">
      <c r="R11576" s="13">
        <v>11503</v>
      </c>
      <c r="S11576" s="13">
        <v>0</v>
      </c>
    </row>
    <row r="11577" spans="18:19" x14ac:dyDescent="0.25">
      <c r="R11577" s="13">
        <v>11504</v>
      </c>
      <c r="S11577" s="13">
        <v>0</v>
      </c>
    </row>
    <row r="11578" spans="18:19" x14ac:dyDescent="0.25">
      <c r="R11578" s="13">
        <v>11505</v>
      </c>
      <c r="S11578" s="13">
        <v>0</v>
      </c>
    </row>
    <row r="11579" spans="18:19" x14ac:dyDescent="0.25">
      <c r="R11579" s="13">
        <v>11506</v>
      </c>
      <c r="S11579" s="13">
        <v>0</v>
      </c>
    </row>
    <row r="11580" spans="18:19" x14ac:dyDescent="0.25">
      <c r="R11580" s="13">
        <v>11507</v>
      </c>
      <c r="S11580" s="13">
        <v>0</v>
      </c>
    </row>
    <row r="11581" spans="18:19" x14ac:dyDescent="0.25">
      <c r="R11581" s="13">
        <v>11508</v>
      </c>
      <c r="S11581" s="13">
        <v>0</v>
      </c>
    </row>
    <row r="11582" spans="18:19" x14ac:dyDescent="0.25">
      <c r="R11582" s="13">
        <v>11509</v>
      </c>
      <c r="S11582" s="13">
        <v>0</v>
      </c>
    </row>
    <row r="11583" spans="18:19" x14ac:dyDescent="0.25">
      <c r="R11583" s="13">
        <v>11510</v>
      </c>
      <c r="S11583" s="13">
        <v>813322937.70855522</v>
      </c>
    </row>
    <row r="11584" spans="18:19" x14ac:dyDescent="0.25">
      <c r="R11584" s="13">
        <v>11511</v>
      </c>
      <c r="S11584" s="13">
        <v>586848574.04432678</v>
      </c>
    </row>
    <row r="11585" spans="18:19" x14ac:dyDescent="0.25">
      <c r="R11585" s="13">
        <v>11512</v>
      </c>
      <c r="S11585" s="13">
        <v>0</v>
      </c>
    </row>
    <row r="11586" spans="18:19" x14ac:dyDescent="0.25">
      <c r="R11586" s="13">
        <v>11513</v>
      </c>
      <c r="S11586" s="13">
        <v>0</v>
      </c>
    </row>
    <row r="11587" spans="18:19" x14ac:dyDescent="0.25">
      <c r="R11587" s="13">
        <v>11514</v>
      </c>
      <c r="S11587" s="13">
        <v>322999483.21235275</v>
      </c>
    </row>
    <row r="11588" spans="18:19" x14ac:dyDescent="0.25">
      <c r="R11588" s="13">
        <v>11515</v>
      </c>
      <c r="S11588" s="13">
        <v>0</v>
      </c>
    </row>
    <row r="11589" spans="18:19" x14ac:dyDescent="0.25">
      <c r="R11589" s="13">
        <v>11516</v>
      </c>
      <c r="S11589" s="13">
        <v>0</v>
      </c>
    </row>
    <row r="11590" spans="18:19" x14ac:dyDescent="0.25">
      <c r="R11590" s="13">
        <v>11517</v>
      </c>
      <c r="S11590" s="13">
        <v>0</v>
      </c>
    </row>
    <row r="11591" spans="18:19" x14ac:dyDescent="0.25">
      <c r="R11591" s="13">
        <v>11518</v>
      </c>
      <c r="S11591" s="13">
        <v>0</v>
      </c>
    </row>
    <row r="11592" spans="18:19" x14ac:dyDescent="0.25">
      <c r="R11592" s="13">
        <v>11519</v>
      </c>
      <c r="S11592" s="13">
        <v>0</v>
      </c>
    </row>
    <row r="11593" spans="18:19" x14ac:dyDescent="0.25">
      <c r="R11593" s="13">
        <v>11520</v>
      </c>
      <c r="S11593" s="13">
        <v>4808300.5782966614</v>
      </c>
    </row>
    <row r="11594" spans="18:19" x14ac:dyDescent="0.25">
      <c r="R11594" s="13">
        <v>11521</v>
      </c>
      <c r="S11594" s="13">
        <v>0</v>
      </c>
    </row>
    <row r="11595" spans="18:19" x14ac:dyDescent="0.25">
      <c r="R11595" s="13">
        <v>11522</v>
      </c>
      <c r="S11595" s="13">
        <v>0</v>
      </c>
    </row>
    <row r="11596" spans="18:19" x14ac:dyDescent="0.25">
      <c r="R11596" s="13">
        <v>11523</v>
      </c>
      <c r="S11596" s="13">
        <v>328704653.32937431</v>
      </c>
    </row>
    <row r="11597" spans="18:19" x14ac:dyDescent="0.25">
      <c r="R11597" s="13">
        <v>11524</v>
      </c>
      <c r="S11597" s="13">
        <v>0</v>
      </c>
    </row>
    <row r="11598" spans="18:19" x14ac:dyDescent="0.25">
      <c r="R11598" s="13">
        <v>11525</v>
      </c>
      <c r="S11598" s="13">
        <v>0</v>
      </c>
    </row>
    <row r="11599" spans="18:19" x14ac:dyDescent="0.25">
      <c r="R11599" s="13">
        <v>11526</v>
      </c>
      <c r="S11599" s="13">
        <v>0</v>
      </c>
    </row>
    <row r="11600" spans="18:19" x14ac:dyDescent="0.25">
      <c r="R11600" s="13">
        <v>11527</v>
      </c>
      <c r="S11600" s="13">
        <v>0</v>
      </c>
    </row>
    <row r="11601" spans="18:19" x14ac:dyDescent="0.25">
      <c r="R11601" s="13">
        <v>11528</v>
      </c>
      <c r="S11601" s="13">
        <v>0</v>
      </c>
    </row>
    <row r="11602" spans="18:19" x14ac:dyDescent="0.25">
      <c r="R11602" s="13">
        <v>11529</v>
      </c>
      <c r="S11602" s="13">
        <v>0</v>
      </c>
    </row>
    <row r="11603" spans="18:19" x14ac:dyDescent="0.25">
      <c r="R11603" s="13">
        <v>11530</v>
      </c>
      <c r="S11603" s="13">
        <v>0</v>
      </c>
    </row>
    <row r="11604" spans="18:19" x14ac:dyDescent="0.25">
      <c r="R11604" s="13">
        <v>11531</v>
      </c>
      <c r="S11604" s="13">
        <v>0</v>
      </c>
    </row>
    <row r="11605" spans="18:19" x14ac:dyDescent="0.25">
      <c r="R11605" s="13">
        <v>11532</v>
      </c>
      <c r="S11605" s="13">
        <v>0</v>
      </c>
    </row>
    <row r="11606" spans="18:19" x14ac:dyDescent="0.25">
      <c r="R11606" s="13">
        <v>11533</v>
      </c>
      <c r="S11606" s="13">
        <v>0</v>
      </c>
    </row>
    <row r="11607" spans="18:19" x14ac:dyDescent="0.25">
      <c r="R11607" s="13">
        <v>11534</v>
      </c>
      <c r="S11607" s="13">
        <v>0</v>
      </c>
    </row>
    <row r="11608" spans="18:19" x14ac:dyDescent="0.25">
      <c r="R11608" s="13">
        <v>11535</v>
      </c>
      <c r="S11608" s="13">
        <v>0</v>
      </c>
    </row>
    <row r="11609" spans="18:19" x14ac:dyDescent="0.25">
      <c r="R11609" s="13">
        <v>11536</v>
      </c>
      <c r="S11609" s="13">
        <v>0</v>
      </c>
    </row>
    <row r="11610" spans="18:19" x14ac:dyDescent="0.25">
      <c r="R11610" s="13">
        <v>11537</v>
      </c>
      <c r="S11610" s="13">
        <v>0</v>
      </c>
    </row>
    <row r="11611" spans="18:19" x14ac:dyDescent="0.25">
      <c r="R11611" s="13">
        <v>11538</v>
      </c>
      <c r="S11611" s="13">
        <v>0</v>
      </c>
    </row>
    <row r="11612" spans="18:19" x14ac:dyDescent="0.25">
      <c r="R11612" s="13">
        <v>11539</v>
      </c>
      <c r="S11612" s="13">
        <v>0</v>
      </c>
    </row>
    <row r="11613" spans="18:19" x14ac:dyDescent="0.25">
      <c r="R11613" s="13">
        <v>11540</v>
      </c>
      <c r="S11613" s="13">
        <v>0</v>
      </c>
    </row>
    <row r="11614" spans="18:19" x14ac:dyDescent="0.25">
      <c r="R11614" s="13">
        <v>11541</v>
      </c>
      <c r="S11614" s="13">
        <v>106587128.13930321</v>
      </c>
    </row>
    <row r="11615" spans="18:19" x14ac:dyDescent="0.25">
      <c r="R11615" s="13">
        <v>11542</v>
      </c>
      <c r="S11615" s="13">
        <v>0</v>
      </c>
    </row>
    <row r="11616" spans="18:19" x14ac:dyDescent="0.25">
      <c r="R11616" s="13">
        <v>11543</v>
      </c>
      <c r="S11616" s="13">
        <v>0</v>
      </c>
    </row>
    <row r="11617" spans="18:19" x14ac:dyDescent="0.25">
      <c r="R11617" s="13">
        <v>11544</v>
      </c>
      <c r="S11617" s="13">
        <v>0</v>
      </c>
    </row>
    <row r="11618" spans="18:19" x14ac:dyDescent="0.25">
      <c r="R11618" s="13">
        <v>11545</v>
      </c>
      <c r="S11618" s="13">
        <v>0</v>
      </c>
    </row>
    <row r="11619" spans="18:19" x14ac:dyDescent="0.25">
      <c r="R11619" s="13">
        <v>11546</v>
      </c>
      <c r="S11619" s="13">
        <v>0</v>
      </c>
    </row>
    <row r="11620" spans="18:19" x14ac:dyDescent="0.25">
      <c r="R11620" s="13">
        <v>11547</v>
      </c>
      <c r="S11620" s="13">
        <v>504023835.32439423</v>
      </c>
    </row>
    <row r="11621" spans="18:19" x14ac:dyDescent="0.25">
      <c r="R11621" s="13">
        <v>11548</v>
      </c>
      <c r="S11621" s="13">
        <v>0</v>
      </c>
    </row>
    <row r="11622" spans="18:19" x14ac:dyDescent="0.25">
      <c r="R11622" s="13">
        <v>11549</v>
      </c>
      <c r="S11622" s="13">
        <v>0</v>
      </c>
    </row>
    <row r="11623" spans="18:19" x14ac:dyDescent="0.25">
      <c r="R11623" s="13">
        <v>11550</v>
      </c>
      <c r="S11623" s="13">
        <v>0</v>
      </c>
    </row>
    <row r="11624" spans="18:19" x14ac:dyDescent="0.25">
      <c r="R11624" s="13">
        <v>11551</v>
      </c>
      <c r="S11624" s="13">
        <v>0</v>
      </c>
    </row>
    <row r="11625" spans="18:19" x14ac:dyDescent="0.25">
      <c r="R11625" s="13">
        <v>11552</v>
      </c>
      <c r="S11625" s="13">
        <v>0</v>
      </c>
    </row>
    <row r="11626" spans="18:19" x14ac:dyDescent="0.25">
      <c r="R11626" s="13">
        <v>11553</v>
      </c>
      <c r="S11626" s="13">
        <v>0</v>
      </c>
    </row>
    <row r="11627" spans="18:19" x14ac:dyDescent="0.25">
      <c r="R11627" s="13">
        <v>11554</v>
      </c>
      <c r="S11627" s="13">
        <v>0</v>
      </c>
    </row>
    <row r="11628" spans="18:19" x14ac:dyDescent="0.25">
      <c r="R11628" s="13">
        <v>11555</v>
      </c>
      <c r="S11628" s="13">
        <v>0</v>
      </c>
    </row>
    <row r="11629" spans="18:19" x14ac:dyDescent="0.25">
      <c r="R11629" s="13">
        <v>11556</v>
      </c>
      <c r="S11629" s="13">
        <v>144921045.27567673</v>
      </c>
    </row>
    <row r="11630" spans="18:19" x14ac:dyDescent="0.25">
      <c r="R11630" s="13">
        <v>11557</v>
      </c>
      <c r="S11630" s="13">
        <v>278138033.35034561</v>
      </c>
    </row>
    <row r="11631" spans="18:19" x14ac:dyDescent="0.25">
      <c r="R11631" s="13">
        <v>11558</v>
      </c>
      <c r="S11631" s="13">
        <v>0</v>
      </c>
    </row>
    <row r="11632" spans="18:19" x14ac:dyDescent="0.25">
      <c r="R11632" s="13">
        <v>11559</v>
      </c>
      <c r="S11632" s="13">
        <v>0</v>
      </c>
    </row>
    <row r="11633" spans="18:19" x14ac:dyDescent="0.25">
      <c r="R11633" s="13">
        <v>11560</v>
      </c>
      <c r="S11633" s="13">
        <v>599734445.11401176</v>
      </c>
    </row>
    <row r="11634" spans="18:19" x14ac:dyDescent="0.25">
      <c r="R11634" s="13">
        <v>11561</v>
      </c>
      <c r="S11634" s="13">
        <v>470788605.93132973</v>
      </c>
    </row>
    <row r="11635" spans="18:19" x14ac:dyDescent="0.25">
      <c r="R11635" s="13">
        <v>11562</v>
      </c>
      <c r="S11635" s="13">
        <v>0</v>
      </c>
    </row>
    <row r="11636" spans="18:19" x14ac:dyDescent="0.25">
      <c r="R11636" s="13">
        <v>11563</v>
      </c>
      <c r="S11636" s="13">
        <v>0</v>
      </c>
    </row>
    <row r="11637" spans="18:19" x14ac:dyDescent="0.25">
      <c r="R11637" s="13">
        <v>11564</v>
      </c>
      <c r="S11637" s="13">
        <v>66205718.27306366</v>
      </c>
    </row>
    <row r="11638" spans="18:19" x14ac:dyDescent="0.25">
      <c r="R11638" s="13">
        <v>11565</v>
      </c>
      <c r="S11638" s="13">
        <v>615006510.26937294</v>
      </c>
    </row>
    <row r="11639" spans="18:19" x14ac:dyDescent="0.25">
      <c r="R11639" s="13">
        <v>11566</v>
      </c>
      <c r="S11639" s="13">
        <v>0</v>
      </c>
    </row>
    <row r="11640" spans="18:19" x14ac:dyDescent="0.25">
      <c r="R11640" s="13">
        <v>11567</v>
      </c>
      <c r="S11640" s="13">
        <v>0</v>
      </c>
    </row>
    <row r="11641" spans="18:19" x14ac:dyDescent="0.25">
      <c r="R11641" s="13">
        <v>11568</v>
      </c>
      <c r="S11641" s="13">
        <v>0</v>
      </c>
    </row>
    <row r="11642" spans="18:19" x14ac:dyDescent="0.25">
      <c r="R11642" s="13">
        <v>11569</v>
      </c>
      <c r="S11642" s="13">
        <v>62290773.550218582</v>
      </c>
    </row>
    <row r="11643" spans="18:19" x14ac:dyDescent="0.25">
      <c r="R11643" s="13">
        <v>11570</v>
      </c>
      <c r="S11643" s="13">
        <v>512673913.31534195</v>
      </c>
    </row>
    <row r="11644" spans="18:19" x14ac:dyDescent="0.25">
      <c r="R11644" s="13">
        <v>11571</v>
      </c>
      <c r="S11644" s="13">
        <v>0</v>
      </c>
    </row>
    <row r="11645" spans="18:19" x14ac:dyDescent="0.25">
      <c r="R11645" s="13">
        <v>11572</v>
      </c>
      <c r="S11645" s="13">
        <v>0</v>
      </c>
    </row>
    <row r="11646" spans="18:19" x14ac:dyDescent="0.25">
      <c r="R11646" s="13">
        <v>11573</v>
      </c>
      <c r="S11646" s="13">
        <v>585072797.12742424</v>
      </c>
    </row>
    <row r="11647" spans="18:19" x14ac:dyDescent="0.25">
      <c r="R11647" s="13">
        <v>11574</v>
      </c>
      <c r="S11647" s="13">
        <v>0</v>
      </c>
    </row>
    <row r="11648" spans="18:19" x14ac:dyDescent="0.25">
      <c r="R11648" s="13">
        <v>11575</v>
      </c>
      <c r="S11648" s="13">
        <v>0</v>
      </c>
    </row>
    <row r="11649" spans="18:19" x14ac:dyDescent="0.25">
      <c r="R11649" s="13">
        <v>11576</v>
      </c>
      <c r="S11649" s="13">
        <v>0</v>
      </c>
    </row>
    <row r="11650" spans="18:19" x14ac:dyDescent="0.25">
      <c r="R11650" s="13">
        <v>11577</v>
      </c>
      <c r="S11650" s="13">
        <v>0</v>
      </c>
    </row>
    <row r="11651" spans="18:19" x14ac:dyDescent="0.25">
      <c r="R11651" s="13">
        <v>11578</v>
      </c>
      <c r="S11651" s="13">
        <v>0</v>
      </c>
    </row>
    <row r="11652" spans="18:19" x14ac:dyDescent="0.25">
      <c r="R11652" s="13">
        <v>11579</v>
      </c>
      <c r="S11652" s="13">
        <v>551194224.19943619</v>
      </c>
    </row>
    <row r="11653" spans="18:19" x14ac:dyDescent="0.25">
      <c r="R11653" s="13">
        <v>11580</v>
      </c>
      <c r="S11653" s="13">
        <v>402682129.82683182</v>
      </c>
    </row>
    <row r="11654" spans="18:19" x14ac:dyDescent="0.25">
      <c r="R11654" s="13">
        <v>11581</v>
      </c>
      <c r="S11654" s="13">
        <v>0</v>
      </c>
    </row>
    <row r="11655" spans="18:19" x14ac:dyDescent="0.25">
      <c r="R11655" s="13">
        <v>11582</v>
      </c>
      <c r="S11655" s="13">
        <v>186958935.19101334</v>
      </c>
    </row>
    <row r="11656" spans="18:19" x14ac:dyDescent="0.25">
      <c r="R11656" s="13">
        <v>11583</v>
      </c>
      <c r="S11656" s="13">
        <v>0</v>
      </c>
    </row>
    <row r="11657" spans="18:19" x14ac:dyDescent="0.25">
      <c r="R11657" s="13">
        <v>11584</v>
      </c>
      <c r="S11657" s="13">
        <v>0</v>
      </c>
    </row>
    <row r="11658" spans="18:19" x14ac:dyDescent="0.25">
      <c r="R11658" s="13">
        <v>11585</v>
      </c>
      <c r="S11658" s="13">
        <v>64724588.971759796</v>
      </c>
    </row>
    <row r="11659" spans="18:19" x14ac:dyDescent="0.25">
      <c r="R11659" s="13">
        <v>11586</v>
      </c>
      <c r="S11659" s="13">
        <v>0</v>
      </c>
    </row>
    <row r="11660" spans="18:19" x14ac:dyDescent="0.25">
      <c r="R11660" s="13">
        <v>11587</v>
      </c>
      <c r="S11660" s="13">
        <v>0</v>
      </c>
    </row>
    <row r="11661" spans="18:19" x14ac:dyDescent="0.25">
      <c r="R11661" s="13">
        <v>11588</v>
      </c>
      <c r="S11661" s="13">
        <v>0</v>
      </c>
    </row>
    <row r="11662" spans="18:19" x14ac:dyDescent="0.25">
      <c r="R11662" s="13">
        <v>11589</v>
      </c>
      <c r="S11662" s="13">
        <v>0</v>
      </c>
    </row>
    <row r="11663" spans="18:19" x14ac:dyDescent="0.25">
      <c r="R11663" s="13">
        <v>11590</v>
      </c>
      <c r="S11663" s="13">
        <v>0</v>
      </c>
    </row>
    <row r="11664" spans="18:19" x14ac:dyDescent="0.25">
      <c r="R11664" s="13">
        <v>11591</v>
      </c>
      <c r="S11664" s="13">
        <v>0</v>
      </c>
    </row>
    <row r="11665" spans="18:19" x14ac:dyDescent="0.25">
      <c r="R11665" s="13">
        <v>11592</v>
      </c>
      <c r="S11665" s="13">
        <v>447833139.73754501</v>
      </c>
    </row>
    <row r="11666" spans="18:19" x14ac:dyDescent="0.25">
      <c r="R11666" s="13">
        <v>11593</v>
      </c>
      <c r="S11666" s="13">
        <v>0</v>
      </c>
    </row>
    <row r="11667" spans="18:19" x14ac:dyDescent="0.25">
      <c r="R11667" s="13">
        <v>11594</v>
      </c>
      <c r="S11667" s="13">
        <v>133117409.87893486</v>
      </c>
    </row>
    <row r="11668" spans="18:19" x14ac:dyDescent="0.25">
      <c r="R11668" s="13">
        <v>11595</v>
      </c>
      <c r="S11668" s="13">
        <v>0</v>
      </c>
    </row>
    <row r="11669" spans="18:19" x14ac:dyDescent="0.25">
      <c r="R11669" s="13">
        <v>11596</v>
      </c>
      <c r="S11669" s="13">
        <v>0</v>
      </c>
    </row>
    <row r="11670" spans="18:19" x14ac:dyDescent="0.25">
      <c r="R11670" s="13">
        <v>11597</v>
      </c>
      <c r="S11670" s="13">
        <v>0</v>
      </c>
    </row>
    <row r="11671" spans="18:19" x14ac:dyDescent="0.25">
      <c r="R11671" s="13">
        <v>11598</v>
      </c>
      <c r="S11671" s="13">
        <v>0</v>
      </c>
    </row>
    <row r="11672" spans="18:19" x14ac:dyDescent="0.25">
      <c r="R11672" s="13">
        <v>11599</v>
      </c>
      <c r="S11672" s="13">
        <v>0</v>
      </c>
    </row>
    <row r="11673" spans="18:19" x14ac:dyDescent="0.25">
      <c r="R11673" s="13">
        <v>11600</v>
      </c>
      <c r="S11673" s="13">
        <v>0</v>
      </c>
    </row>
    <row r="11674" spans="18:19" x14ac:dyDescent="0.25">
      <c r="R11674" s="13">
        <v>11601</v>
      </c>
      <c r="S11674" s="13">
        <v>553369810.8848896</v>
      </c>
    </row>
    <row r="11675" spans="18:19" x14ac:dyDescent="0.25">
      <c r="R11675" s="13">
        <v>11602</v>
      </c>
      <c r="S11675" s="13">
        <v>76931224.814285278</v>
      </c>
    </row>
    <row r="11676" spans="18:19" x14ac:dyDescent="0.25">
      <c r="R11676" s="13">
        <v>11603</v>
      </c>
      <c r="S11676" s="13">
        <v>0</v>
      </c>
    </row>
    <row r="11677" spans="18:19" x14ac:dyDescent="0.25">
      <c r="R11677" s="13">
        <v>11604</v>
      </c>
      <c r="S11677" s="13">
        <v>0</v>
      </c>
    </row>
    <row r="11678" spans="18:19" x14ac:dyDescent="0.25">
      <c r="R11678" s="13">
        <v>11605</v>
      </c>
      <c r="S11678" s="13">
        <v>152950253.28046608</v>
      </c>
    </row>
    <row r="11679" spans="18:19" x14ac:dyDescent="0.25">
      <c r="R11679" s="13">
        <v>11606</v>
      </c>
      <c r="S11679" s="13">
        <v>0</v>
      </c>
    </row>
    <row r="11680" spans="18:19" x14ac:dyDescent="0.25">
      <c r="R11680" s="13">
        <v>11607</v>
      </c>
      <c r="S11680" s="13">
        <v>168226677.249403</v>
      </c>
    </row>
    <row r="11681" spans="18:19" x14ac:dyDescent="0.25">
      <c r="R11681" s="13">
        <v>11608</v>
      </c>
      <c r="S11681" s="13">
        <v>0</v>
      </c>
    </row>
    <row r="11682" spans="18:19" x14ac:dyDescent="0.25">
      <c r="R11682" s="13">
        <v>11609</v>
      </c>
      <c r="S11682" s="13">
        <v>0</v>
      </c>
    </row>
    <row r="11683" spans="18:19" x14ac:dyDescent="0.25">
      <c r="R11683" s="13">
        <v>11610</v>
      </c>
      <c r="S11683" s="13">
        <v>0</v>
      </c>
    </row>
    <row r="11684" spans="18:19" x14ac:dyDescent="0.25">
      <c r="R11684" s="13">
        <v>11611</v>
      </c>
      <c r="S11684" s="13">
        <v>181311095.76935005</v>
      </c>
    </row>
    <row r="11685" spans="18:19" x14ac:dyDescent="0.25">
      <c r="R11685" s="13">
        <v>11612</v>
      </c>
      <c r="S11685" s="13">
        <v>0</v>
      </c>
    </row>
    <row r="11686" spans="18:19" x14ac:dyDescent="0.25">
      <c r="R11686" s="13">
        <v>11613</v>
      </c>
      <c r="S11686" s="13">
        <v>325090806.23343468</v>
      </c>
    </row>
    <row r="11687" spans="18:19" x14ac:dyDescent="0.25">
      <c r="R11687" s="13">
        <v>11614</v>
      </c>
      <c r="S11687" s="13">
        <v>0</v>
      </c>
    </row>
    <row r="11688" spans="18:19" x14ac:dyDescent="0.25">
      <c r="R11688" s="13">
        <v>11615</v>
      </c>
      <c r="S11688" s="13">
        <v>0</v>
      </c>
    </row>
    <row r="11689" spans="18:19" x14ac:dyDescent="0.25">
      <c r="R11689" s="13">
        <v>11616</v>
      </c>
      <c r="S11689" s="13">
        <v>0</v>
      </c>
    </row>
    <row r="11690" spans="18:19" x14ac:dyDescent="0.25">
      <c r="R11690" s="13">
        <v>11617</v>
      </c>
      <c r="S11690" s="13">
        <v>0</v>
      </c>
    </row>
    <row r="11691" spans="18:19" x14ac:dyDescent="0.25">
      <c r="R11691" s="13">
        <v>11618</v>
      </c>
      <c r="S11691" s="13">
        <v>0</v>
      </c>
    </row>
    <row r="11692" spans="18:19" x14ac:dyDescent="0.25">
      <c r="R11692" s="13">
        <v>11619</v>
      </c>
      <c r="S11692" s="13">
        <v>47913319.83637619</v>
      </c>
    </row>
    <row r="11693" spans="18:19" x14ac:dyDescent="0.25">
      <c r="R11693" s="13">
        <v>11620</v>
      </c>
      <c r="S11693" s="13">
        <v>0</v>
      </c>
    </row>
    <row r="11694" spans="18:19" x14ac:dyDescent="0.25">
      <c r="R11694" s="13">
        <v>11621</v>
      </c>
      <c r="S11694" s="13">
        <v>0</v>
      </c>
    </row>
    <row r="11695" spans="18:19" x14ac:dyDescent="0.25">
      <c r="R11695" s="13">
        <v>11622</v>
      </c>
      <c r="S11695" s="13">
        <v>0</v>
      </c>
    </row>
    <row r="11696" spans="18:19" x14ac:dyDescent="0.25">
      <c r="R11696" s="13">
        <v>11623</v>
      </c>
      <c r="S11696" s="13">
        <v>0</v>
      </c>
    </row>
    <row r="11697" spans="18:19" x14ac:dyDescent="0.25">
      <c r="R11697" s="13">
        <v>11624</v>
      </c>
      <c r="S11697" s="13">
        <v>0</v>
      </c>
    </row>
    <row r="11698" spans="18:19" x14ac:dyDescent="0.25">
      <c r="R11698" s="13">
        <v>11625</v>
      </c>
      <c r="S11698" s="13">
        <v>0</v>
      </c>
    </row>
    <row r="11699" spans="18:19" x14ac:dyDescent="0.25">
      <c r="R11699" s="13">
        <v>11626</v>
      </c>
      <c r="S11699" s="13">
        <v>0</v>
      </c>
    </row>
    <row r="11700" spans="18:19" x14ac:dyDescent="0.25">
      <c r="R11700" s="13">
        <v>11627</v>
      </c>
      <c r="S11700" s="13">
        <v>0</v>
      </c>
    </row>
    <row r="11701" spans="18:19" x14ac:dyDescent="0.25">
      <c r="R11701" s="13">
        <v>11628</v>
      </c>
      <c r="S11701" s="13">
        <v>489390333.49543571</v>
      </c>
    </row>
    <row r="11702" spans="18:19" x14ac:dyDescent="0.25">
      <c r="R11702" s="13">
        <v>11629</v>
      </c>
      <c r="S11702" s="13">
        <v>0</v>
      </c>
    </row>
    <row r="11703" spans="18:19" x14ac:dyDescent="0.25">
      <c r="R11703" s="13">
        <v>11630</v>
      </c>
      <c r="S11703" s="13">
        <v>0</v>
      </c>
    </row>
    <row r="11704" spans="18:19" x14ac:dyDescent="0.25">
      <c r="R11704" s="13">
        <v>11631</v>
      </c>
      <c r="S11704" s="13">
        <v>150238624.94162941</v>
      </c>
    </row>
    <row r="11705" spans="18:19" x14ac:dyDescent="0.25">
      <c r="R11705" s="13">
        <v>11632</v>
      </c>
      <c r="S11705" s="13">
        <v>0</v>
      </c>
    </row>
    <row r="11706" spans="18:19" x14ac:dyDescent="0.25">
      <c r="R11706" s="13">
        <v>11633</v>
      </c>
      <c r="S11706" s="13">
        <v>65316197.883901596</v>
      </c>
    </row>
    <row r="11707" spans="18:19" x14ac:dyDescent="0.25">
      <c r="R11707" s="13">
        <v>11634</v>
      </c>
      <c r="S11707" s="13">
        <v>0</v>
      </c>
    </row>
    <row r="11708" spans="18:19" x14ac:dyDescent="0.25">
      <c r="R11708" s="13">
        <v>11635</v>
      </c>
      <c r="S11708" s="13">
        <v>357557750.43767166</v>
      </c>
    </row>
    <row r="11709" spans="18:19" x14ac:dyDescent="0.25">
      <c r="R11709" s="13">
        <v>11636</v>
      </c>
      <c r="S11709" s="13">
        <v>0</v>
      </c>
    </row>
    <row r="11710" spans="18:19" x14ac:dyDescent="0.25">
      <c r="R11710" s="13">
        <v>11637</v>
      </c>
      <c r="S11710" s="13">
        <v>0</v>
      </c>
    </row>
    <row r="11711" spans="18:19" x14ac:dyDescent="0.25">
      <c r="R11711" s="13">
        <v>11638</v>
      </c>
      <c r="S11711" s="13">
        <v>117925594.92217255</v>
      </c>
    </row>
    <row r="11712" spans="18:19" x14ac:dyDescent="0.25">
      <c r="R11712" s="13">
        <v>11639</v>
      </c>
      <c r="S11712" s="13">
        <v>1282886080.7393379</v>
      </c>
    </row>
    <row r="11713" spans="18:19" x14ac:dyDescent="0.25">
      <c r="R11713" s="13">
        <v>11640</v>
      </c>
      <c r="S11713" s="13">
        <v>0</v>
      </c>
    </row>
    <row r="11714" spans="18:19" x14ac:dyDescent="0.25">
      <c r="R11714" s="13">
        <v>11641</v>
      </c>
      <c r="S11714" s="13">
        <v>0</v>
      </c>
    </row>
    <row r="11715" spans="18:19" x14ac:dyDescent="0.25">
      <c r="R11715" s="13">
        <v>11642</v>
      </c>
      <c r="S11715" s="13">
        <v>0</v>
      </c>
    </row>
    <row r="11716" spans="18:19" x14ac:dyDescent="0.25">
      <c r="R11716" s="13">
        <v>11643</v>
      </c>
      <c r="S11716" s="13">
        <v>0</v>
      </c>
    </row>
    <row r="11717" spans="18:19" x14ac:dyDescent="0.25">
      <c r="R11717" s="13">
        <v>11644</v>
      </c>
      <c r="S11717" s="13">
        <v>0</v>
      </c>
    </row>
    <row r="11718" spans="18:19" x14ac:dyDescent="0.25">
      <c r="R11718" s="13">
        <v>11645</v>
      </c>
      <c r="S11718" s="13">
        <v>0</v>
      </c>
    </row>
    <row r="11719" spans="18:19" x14ac:dyDescent="0.25">
      <c r="R11719" s="13">
        <v>11646</v>
      </c>
      <c r="S11719" s="13">
        <v>0</v>
      </c>
    </row>
    <row r="11720" spans="18:19" x14ac:dyDescent="0.25">
      <c r="R11720" s="13">
        <v>11647</v>
      </c>
      <c r="S11720" s="13">
        <v>0</v>
      </c>
    </row>
    <row r="11721" spans="18:19" x14ac:dyDescent="0.25">
      <c r="R11721" s="13">
        <v>11648</v>
      </c>
      <c r="S11721" s="13">
        <v>0</v>
      </c>
    </row>
    <row r="11722" spans="18:19" x14ac:dyDescent="0.25">
      <c r="R11722" s="13">
        <v>11649</v>
      </c>
      <c r="S11722" s="13">
        <v>0</v>
      </c>
    </row>
    <row r="11723" spans="18:19" x14ac:dyDescent="0.25">
      <c r="R11723" s="13">
        <v>11650</v>
      </c>
      <c r="S11723" s="13">
        <v>67803166.368303299</v>
      </c>
    </row>
    <row r="11724" spans="18:19" x14ac:dyDescent="0.25">
      <c r="R11724" s="13">
        <v>11651</v>
      </c>
      <c r="S11724" s="13">
        <v>0</v>
      </c>
    </row>
    <row r="11725" spans="18:19" x14ac:dyDescent="0.25">
      <c r="R11725" s="13">
        <v>11652</v>
      </c>
      <c r="S11725" s="13">
        <v>125262876.81665993</v>
      </c>
    </row>
    <row r="11726" spans="18:19" x14ac:dyDescent="0.25">
      <c r="R11726" s="13">
        <v>11653</v>
      </c>
      <c r="S11726" s="13">
        <v>734425578.14647293</v>
      </c>
    </row>
    <row r="11727" spans="18:19" x14ac:dyDescent="0.25">
      <c r="R11727" s="13">
        <v>11654</v>
      </c>
      <c r="S11727" s="13">
        <v>157095818.92412567</v>
      </c>
    </row>
    <row r="11728" spans="18:19" x14ac:dyDescent="0.25">
      <c r="R11728" s="13">
        <v>11655</v>
      </c>
      <c r="S11728" s="13">
        <v>0</v>
      </c>
    </row>
    <row r="11729" spans="18:19" x14ac:dyDescent="0.25">
      <c r="R11729" s="13">
        <v>11656</v>
      </c>
      <c r="S11729" s="13">
        <v>0</v>
      </c>
    </row>
    <row r="11730" spans="18:19" x14ac:dyDescent="0.25">
      <c r="R11730" s="13">
        <v>11657</v>
      </c>
      <c r="S11730" s="13">
        <v>0</v>
      </c>
    </row>
    <row r="11731" spans="18:19" x14ac:dyDescent="0.25">
      <c r="R11731" s="13">
        <v>11658</v>
      </c>
      <c r="S11731" s="13">
        <v>0</v>
      </c>
    </row>
    <row r="11732" spans="18:19" x14ac:dyDescent="0.25">
      <c r="R11732" s="13">
        <v>11659</v>
      </c>
      <c r="S11732" s="13">
        <v>0</v>
      </c>
    </row>
    <row r="11733" spans="18:19" x14ac:dyDescent="0.25">
      <c r="R11733" s="13">
        <v>11660</v>
      </c>
      <c r="S11733" s="13">
        <v>0</v>
      </c>
    </row>
    <row r="11734" spans="18:19" x14ac:dyDescent="0.25">
      <c r="R11734" s="13">
        <v>11661</v>
      </c>
      <c r="S11734" s="13">
        <v>0</v>
      </c>
    </row>
    <row r="11735" spans="18:19" x14ac:dyDescent="0.25">
      <c r="R11735" s="13">
        <v>11662</v>
      </c>
      <c r="S11735" s="13">
        <v>0</v>
      </c>
    </row>
    <row r="11736" spans="18:19" x14ac:dyDescent="0.25">
      <c r="R11736" s="13">
        <v>11663</v>
      </c>
      <c r="S11736" s="13">
        <v>0</v>
      </c>
    </row>
    <row r="11737" spans="18:19" x14ac:dyDescent="0.25">
      <c r="R11737" s="13">
        <v>11664</v>
      </c>
      <c r="S11737" s="13">
        <v>0</v>
      </c>
    </row>
    <row r="11738" spans="18:19" x14ac:dyDescent="0.25">
      <c r="R11738" s="13">
        <v>11665</v>
      </c>
      <c r="S11738" s="13">
        <v>178091103.28216553</v>
      </c>
    </row>
    <row r="11739" spans="18:19" x14ac:dyDescent="0.25">
      <c r="R11739" s="13">
        <v>11666</v>
      </c>
      <c r="S11739" s="13">
        <v>49233020.472663879</v>
      </c>
    </row>
    <row r="11740" spans="18:19" x14ac:dyDescent="0.25">
      <c r="R11740" s="13">
        <v>11667</v>
      </c>
      <c r="S11740" s="13">
        <v>0</v>
      </c>
    </row>
    <row r="11741" spans="18:19" x14ac:dyDescent="0.25">
      <c r="R11741" s="13">
        <v>11668</v>
      </c>
      <c r="S11741" s="13">
        <v>0</v>
      </c>
    </row>
    <row r="11742" spans="18:19" x14ac:dyDescent="0.25">
      <c r="R11742" s="13">
        <v>11669</v>
      </c>
      <c r="S11742" s="13">
        <v>0</v>
      </c>
    </row>
    <row r="11743" spans="18:19" x14ac:dyDescent="0.25">
      <c r="R11743" s="13">
        <v>11670</v>
      </c>
      <c r="S11743" s="13">
        <v>0</v>
      </c>
    </row>
    <row r="11744" spans="18:19" x14ac:dyDescent="0.25">
      <c r="R11744" s="13">
        <v>11671</v>
      </c>
      <c r="S11744" s="13">
        <v>0</v>
      </c>
    </row>
    <row r="11745" spans="18:19" x14ac:dyDescent="0.25">
      <c r="R11745" s="13">
        <v>11672</v>
      </c>
      <c r="S11745" s="13">
        <v>0</v>
      </c>
    </row>
    <row r="11746" spans="18:19" x14ac:dyDescent="0.25">
      <c r="R11746" s="13">
        <v>11673</v>
      </c>
      <c r="S11746" s="13">
        <v>237241818.95287895</v>
      </c>
    </row>
    <row r="11747" spans="18:19" x14ac:dyDescent="0.25">
      <c r="R11747" s="13">
        <v>11674</v>
      </c>
      <c r="S11747" s="13">
        <v>0</v>
      </c>
    </row>
    <row r="11748" spans="18:19" x14ac:dyDescent="0.25">
      <c r="R11748" s="13">
        <v>11675</v>
      </c>
      <c r="S11748" s="13">
        <v>0</v>
      </c>
    </row>
    <row r="11749" spans="18:19" x14ac:dyDescent="0.25">
      <c r="R11749" s="13">
        <v>11676</v>
      </c>
      <c r="S11749" s="13">
        <v>0</v>
      </c>
    </row>
    <row r="11750" spans="18:19" x14ac:dyDescent="0.25">
      <c r="R11750" s="13">
        <v>11677</v>
      </c>
      <c r="S11750" s="13">
        <v>0</v>
      </c>
    </row>
    <row r="11751" spans="18:19" x14ac:dyDescent="0.25">
      <c r="R11751" s="13">
        <v>11678</v>
      </c>
      <c r="S11751" s="13">
        <v>184204672.51681328</v>
      </c>
    </row>
    <row r="11752" spans="18:19" x14ac:dyDescent="0.25">
      <c r="R11752" s="13">
        <v>11679</v>
      </c>
      <c r="S11752" s="13">
        <v>0</v>
      </c>
    </row>
    <row r="11753" spans="18:19" x14ac:dyDescent="0.25">
      <c r="R11753" s="13">
        <v>11680</v>
      </c>
      <c r="S11753" s="13">
        <v>0</v>
      </c>
    </row>
    <row r="11754" spans="18:19" x14ac:dyDescent="0.25">
      <c r="R11754" s="13">
        <v>11681</v>
      </c>
      <c r="S11754" s="13">
        <v>0</v>
      </c>
    </row>
    <row r="11755" spans="18:19" x14ac:dyDescent="0.25">
      <c r="R11755" s="13">
        <v>11682</v>
      </c>
      <c r="S11755" s="13">
        <v>0</v>
      </c>
    </row>
    <row r="11756" spans="18:19" x14ac:dyDescent="0.25">
      <c r="R11756" s="13">
        <v>11683</v>
      </c>
      <c r="S11756" s="13">
        <v>0</v>
      </c>
    </row>
    <row r="11757" spans="18:19" x14ac:dyDescent="0.25">
      <c r="R11757" s="13">
        <v>11684</v>
      </c>
      <c r="S11757" s="13">
        <v>0</v>
      </c>
    </row>
    <row r="11758" spans="18:19" x14ac:dyDescent="0.25">
      <c r="R11758" s="13">
        <v>11685</v>
      </c>
      <c r="S11758" s="13">
        <v>0</v>
      </c>
    </row>
    <row r="11759" spans="18:19" x14ac:dyDescent="0.25">
      <c r="R11759" s="13">
        <v>11686</v>
      </c>
      <c r="S11759" s="13">
        <v>0</v>
      </c>
    </row>
    <row r="11760" spans="18:19" x14ac:dyDescent="0.25">
      <c r="R11760" s="13">
        <v>11687</v>
      </c>
      <c r="S11760" s="13">
        <v>0</v>
      </c>
    </row>
    <row r="11761" spans="18:19" x14ac:dyDescent="0.25">
      <c r="R11761" s="13">
        <v>11688</v>
      </c>
      <c r="S11761" s="13">
        <v>0</v>
      </c>
    </row>
    <row r="11762" spans="18:19" x14ac:dyDescent="0.25">
      <c r="R11762" s="13">
        <v>11689</v>
      </c>
      <c r="S11762" s="13">
        <v>0</v>
      </c>
    </row>
    <row r="11763" spans="18:19" x14ac:dyDescent="0.25">
      <c r="R11763" s="13">
        <v>11690</v>
      </c>
      <c r="S11763" s="13">
        <v>0</v>
      </c>
    </row>
    <row r="11764" spans="18:19" x14ac:dyDescent="0.25">
      <c r="R11764" s="13">
        <v>11691</v>
      </c>
      <c r="S11764" s="13">
        <v>0</v>
      </c>
    </row>
    <row r="11765" spans="18:19" x14ac:dyDescent="0.25">
      <c r="R11765" s="13">
        <v>11692</v>
      </c>
      <c r="S11765" s="13">
        <v>0</v>
      </c>
    </row>
    <row r="11766" spans="18:19" x14ac:dyDescent="0.25">
      <c r="R11766" s="13">
        <v>11693</v>
      </c>
      <c r="S11766" s="13">
        <v>0</v>
      </c>
    </row>
    <row r="11767" spans="18:19" x14ac:dyDescent="0.25">
      <c r="R11767" s="13">
        <v>11694</v>
      </c>
      <c r="S11767" s="13">
        <v>0</v>
      </c>
    </row>
    <row r="11768" spans="18:19" x14ac:dyDescent="0.25">
      <c r="R11768" s="13">
        <v>11695</v>
      </c>
      <c r="S11768" s="13">
        <v>102119501.54668045</v>
      </c>
    </row>
    <row r="11769" spans="18:19" x14ac:dyDescent="0.25">
      <c r="R11769" s="13">
        <v>11696</v>
      </c>
      <c r="S11769" s="13">
        <v>7010586.6233730316</v>
      </c>
    </row>
    <row r="11770" spans="18:19" x14ac:dyDescent="0.25">
      <c r="R11770" s="13">
        <v>11697</v>
      </c>
      <c r="S11770" s="13">
        <v>615506683.31103134</v>
      </c>
    </row>
    <row r="11771" spans="18:19" x14ac:dyDescent="0.25">
      <c r="R11771" s="13">
        <v>11698</v>
      </c>
      <c r="S11771" s="13">
        <v>198618932.90104103</v>
      </c>
    </row>
    <row r="11772" spans="18:19" x14ac:dyDescent="0.25">
      <c r="R11772" s="13">
        <v>11699</v>
      </c>
      <c r="S11772" s="13">
        <v>0</v>
      </c>
    </row>
    <row r="11773" spans="18:19" x14ac:dyDescent="0.25">
      <c r="R11773" s="13">
        <v>11700</v>
      </c>
      <c r="S11773" s="13">
        <v>108962402.2943821</v>
      </c>
    </row>
    <row r="11774" spans="18:19" x14ac:dyDescent="0.25">
      <c r="R11774" s="13">
        <v>11701</v>
      </c>
      <c r="S11774" s="13">
        <v>0</v>
      </c>
    </row>
    <row r="11775" spans="18:19" x14ac:dyDescent="0.25">
      <c r="R11775" s="13">
        <v>11702</v>
      </c>
      <c r="S11775" s="13">
        <v>0</v>
      </c>
    </row>
    <row r="11776" spans="18:19" x14ac:dyDescent="0.25">
      <c r="R11776" s="13">
        <v>11703</v>
      </c>
      <c r="S11776" s="13">
        <v>0</v>
      </c>
    </row>
    <row r="11777" spans="18:19" x14ac:dyDescent="0.25">
      <c r="R11777" s="13">
        <v>11704</v>
      </c>
      <c r="S11777" s="13">
        <v>761517586.21506882</v>
      </c>
    </row>
    <row r="11778" spans="18:19" x14ac:dyDescent="0.25">
      <c r="R11778" s="13">
        <v>11705</v>
      </c>
      <c r="S11778" s="13">
        <v>435394766.79051971</v>
      </c>
    </row>
    <row r="11779" spans="18:19" x14ac:dyDescent="0.25">
      <c r="R11779" s="13">
        <v>11706</v>
      </c>
      <c r="S11779" s="13">
        <v>26538996.168571472</v>
      </c>
    </row>
    <row r="11780" spans="18:19" x14ac:dyDescent="0.25">
      <c r="R11780" s="13">
        <v>11707</v>
      </c>
      <c r="S11780" s="13">
        <v>0</v>
      </c>
    </row>
    <row r="11781" spans="18:19" x14ac:dyDescent="0.25">
      <c r="R11781" s="13">
        <v>11708</v>
      </c>
      <c r="S11781" s="13">
        <v>0</v>
      </c>
    </row>
    <row r="11782" spans="18:19" x14ac:dyDescent="0.25">
      <c r="R11782" s="13">
        <v>11709</v>
      </c>
      <c r="S11782" s="13">
        <v>486282804.22875404</v>
      </c>
    </row>
    <row r="11783" spans="18:19" x14ac:dyDescent="0.25">
      <c r="R11783" s="13">
        <v>11710</v>
      </c>
      <c r="S11783" s="13">
        <v>0</v>
      </c>
    </row>
    <row r="11784" spans="18:19" x14ac:dyDescent="0.25">
      <c r="R11784" s="13">
        <v>11711</v>
      </c>
      <c r="S11784" s="13">
        <v>0</v>
      </c>
    </row>
    <row r="11785" spans="18:19" x14ac:dyDescent="0.25">
      <c r="R11785" s="13">
        <v>11712</v>
      </c>
      <c r="S11785" s="13">
        <v>0</v>
      </c>
    </row>
    <row r="11786" spans="18:19" x14ac:dyDescent="0.25">
      <c r="R11786" s="13">
        <v>11713</v>
      </c>
      <c r="S11786" s="13">
        <v>0</v>
      </c>
    </row>
    <row r="11787" spans="18:19" x14ac:dyDescent="0.25">
      <c r="R11787" s="13">
        <v>11714</v>
      </c>
      <c r="S11787" s="13">
        <v>0</v>
      </c>
    </row>
    <row r="11788" spans="18:19" x14ac:dyDescent="0.25">
      <c r="R11788" s="13">
        <v>11715</v>
      </c>
      <c r="S11788" s="13">
        <v>0</v>
      </c>
    </row>
    <row r="11789" spans="18:19" x14ac:dyDescent="0.25">
      <c r="R11789" s="13">
        <v>11716</v>
      </c>
      <c r="S11789" s="13">
        <v>0</v>
      </c>
    </row>
    <row r="11790" spans="18:19" x14ac:dyDescent="0.25">
      <c r="R11790" s="13">
        <v>11717</v>
      </c>
      <c r="S11790" s="13">
        <v>0</v>
      </c>
    </row>
    <row r="11791" spans="18:19" x14ac:dyDescent="0.25">
      <c r="R11791" s="13">
        <v>11718</v>
      </c>
      <c r="S11791" s="13">
        <v>112286847.36021042</v>
      </c>
    </row>
    <row r="11792" spans="18:19" x14ac:dyDescent="0.25">
      <c r="R11792" s="13">
        <v>11719</v>
      </c>
      <c r="S11792" s="13">
        <v>0</v>
      </c>
    </row>
    <row r="11793" spans="18:19" x14ac:dyDescent="0.25">
      <c r="R11793" s="13">
        <v>11720</v>
      </c>
      <c r="S11793" s="13">
        <v>0</v>
      </c>
    </row>
    <row r="11794" spans="18:19" x14ac:dyDescent="0.25">
      <c r="R11794" s="13">
        <v>11721</v>
      </c>
      <c r="S11794" s="13">
        <v>0</v>
      </c>
    </row>
    <row r="11795" spans="18:19" x14ac:dyDescent="0.25">
      <c r="R11795" s="13">
        <v>11722</v>
      </c>
      <c r="S11795" s="13">
        <v>0</v>
      </c>
    </row>
    <row r="11796" spans="18:19" x14ac:dyDescent="0.25">
      <c r="R11796" s="13">
        <v>11723</v>
      </c>
      <c r="S11796" s="13">
        <v>0</v>
      </c>
    </row>
    <row r="11797" spans="18:19" x14ac:dyDescent="0.25">
      <c r="R11797" s="13">
        <v>11724</v>
      </c>
      <c r="S11797" s="13">
        <v>247663323.83292198</v>
      </c>
    </row>
    <row r="11798" spans="18:19" x14ac:dyDescent="0.25">
      <c r="R11798" s="13">
        <v>11725</v>
      </c>
      <c r="S11798" s="13">
        <v>0</v>
      </c>
    </row>
    <row r="11799" spans="18:19" x14ac:dyDescent="0.25">
      <c r="R11799" s="13">
        <v>11726</v>
      </c>
      <c r="S11799" s="13">
        <v>0</v>
      </c>
    </row>
    <row r="11800" spans="18:19" x14ac:dyDescent="0.25">
      <c r="R11800" s="13">
        <v>11727</v>
      </c>
      <c r="S11800" s="13">
        <v>8886472.4644813538</v>
      </c>
    </row>
    <row r="11801" spans="18:19" x14ac:dyDescent="0.25">
      <c r="R11801" s="13">
        <v>11728</v>
      </c>
      <c r="S11801" s="13">
        <v>0</v>
      </c>
    </row>
    <row r="11802" spans="18:19" x14ac:dyDescent="0.25">
      <c r="R11802" s="13">
        <v>11729</v>
      </c>
      <c r="S11802" s="13">
        <v>0</v>
      </c>
    </row>
    <row r="11803" spans="18:19" x14ac:dyDescent="0.25">
      <c r="R11803" s="13">
        <v>11730</v>
      </c>
      <c r="S11803" s="13">
        <v>67069044.720252991</v>
      </c>
    </row>
    <row r="11804" spans="18:19" x14ac:dyDescent="0.25">
      <c r="R11804" s="13">
        <v>11731</v>
      </c>
      <c r="S11804" s="13">
        <v>397934514.32263947</v>
      </c>
    </row>
    <row r="11805" spans="18:19" x14ac:dyDescent="0.25">
      <c r="R11805" s="13">
        <v>11732</v>
      </c>
      <c r="S11805" s="13">
        <v>80704331.450931549</v>
      </c>
    </row>
    <row r="11806" spans="18:19" x14ac:dyDescent="0.25">
      <c r="R11806" s="13">
        <v>11733</v>
      </c>
      <c r="S11806" s="13">
        <v>0</v>
      </c>
    </row>
    <row r="11807" spans="18:19" x14ac:dyDescent="0.25">
      <c r="R11807" s="13">
        <v>11734</v>
      </c>
      <c r="S11807" s="13">
        <v>0</v>
      </c>
    </row>
    <row r="11808" spans="18:19" x14ac:dyDescent="0.25">
      <c r="R11808" s="13">
        <v>11735</v>
      </c>
      <c r="S11808" s="13">
        <v>0</v>
      </c>
    </row>
    <row r="11809" spans="18:19" x14ac:dyDescent="0.25">
      <c r="R11809" s="13">
        <v>11736</v>
      </c>
      <c r="S11809" s="13">
        <v>0</v>
      </c>
    </row>
    <row r="11810" spans="18:19" x14ac:dyDescent="0.25">
      <c r="R11810" s="13">
        <v>11737</v>
      </c>
      <c r="S11810" s="13">
        <v>0</v>
      </c>
    </row>
    <row r="11811" spans="18:19" x14ac:dyDescent="0.25">
      <c r="R11811" s="13">
        <v>11738</v>
      </c>
      <c r="S11811" s="13">
        <v>0</v>
      </c>
    </row>
    <row r="11812" spans="18:19" x14ac:dyDescent="0.25">
      <c r="R11812" s="13">
        <v>11739</v>
      </c>
      <c r="S11812" s="13">
        <v>0</v>
      </c>
    </row>
    <row r="11813" spans="18:19" x14ac:dyDescent="0.25">
      <c r="R11813" s="13">
        <v>11740</v>
      </c>
      <c r="S11813" s="13">
        <v>0</v>
      </c>
    </row>
    <row r="11814" spans="18:19" x14ac:dyDescent="0.25">
      <c r="R11814" s="13">
        <v>11741</v>
      </c>
      <c r="S11814" s="13">
        <v>0</v>
      </c>
    </row>
    <row r="11815" spans="18:19" x14ac:dyDescent="0.25">
      <c r="R11815" s="13">
        <v>11742</v>
      </c>
      <c r="S11815" s="13">
        <v>0</v>
      </c>
    </row>
    <row r="11816" spans="18:19" x14ac:dyDescent="0.25">
      <c r="R11816" s="13">
        <v>11743</v>
      </c>
      <c r="S11816" s="13">
        <v>0</v>
      </c>
    </row>
    <row r="11817" spans="18:19" x14ac:dyDescent="0.25">
      <c r="R11817" s="13">
        <v>11744</v>
      </c>
      <c r="S11817" s="13">
        <v>0</v>
      </c>
    </row>
    <row r="11818" spans="18:19" x14ac:dyDescent="0.25">
      <c r="R11818" s="13">
        <v>11745</v>
      </c>
      <c r="S11818" s="13">
        <v>0</v>
      </c>
    </row>
    <row r="11819" spans="18:19" x14ac:dyDescent="0.25">
      <c r="R11819" s="13">
        <v>11746</v>
      </c>
      <c r="S11819" s="13">
        <v>0</v>
      </c>
    </row>
    <row r="11820" spans="18:19" x14ac:dyDescent="0.25">
      <c r="R11820" s="13">
        <v>11747</v>
      </c>
      <c r="S11820" s="13">
        <v>502027232.83203888</v>
      </c>
    </row>
    <row r="11821" spans="18:19" x14ac:dyDescent="0.25">
      <c r="R11821" s="13">
        <v>11748</v>
      </c>
      <c r="S11821" s="13">
        <v>128800084.13762093</v>
      </c>
    </row>
    <row r="11822" spans="18:19" x14ac:dyDescent="0.25">
      <c r="R11822" s="13">
        <v>11749</v>
      </c>
      <c r="S11822" s="13">
        <v>81413918.59588623</v>
      </c>
    </row>
    <row r="11823" spans="18:19" x14ac:dyDescent="0.25">
      <c r="R11823" s="13">
        <v>11750</v>
      </c>
      <c r="S11823" s="13">
        <v>0</v>
      </c>
    </row>
    <row r="11824" spans="18:19" x14ac:dyDescent="0.25">
      <c r="R11824" s="13">
        <v>11751</v>
      </c>
      <c r="S11824" s="13">
        <v>0</v>
      </c>
    </row>
    <row r="11825" spans="18:19" x14ac:dyDescent="0.25">
      <c r="R11825" s="13">
        <v>11752</v>
      </c>
      <c r="S11825" s="13">
        <v>0</v>
      </c>
    </row>
    <row r="11826" spans="18:19" x14ac:dyDescent="0.25">
      <c r="R11826" s="13">
        <v>11753</v>
      </c>
      <c r="S11826" s="13">
        <v>0</v>
      </c>
    </row>
    <row r="11827" spans="18:19" x14ac:dyDescent="0.25">
      <c r="R11827" s="13">
        <v>11754</v>
      </c>
      <c r="S11827" s="13">
        <v>0</v>
      </c>
    </row>
    <row r="11828" spans="18:19" x14ac:dyDescent="0.25">
      <c r="R11828" s="13">
        <v>11755</v>
      </c>
      <c r="S11828" s="13">
        <v>345222087.92049217</v>
      </c>
    </row>
    <row r="11829" spans="18:19" x14ac:dyDescent="0.25">
      <c r="R11829" s="13">
        <v>11756</v>
      </c>
      <c r="S11829" s="13">
        <v>0</v>
      </c>
    </row>
    <row r="11830" spans="18:19" x14ac:dyDescent="0.25">
      <c r="R11830" s="13">
        <v>11757</v>
      </c>
      <c r="S11830" s="13">
        <v>257521926.61499023</v>
      </c>
    </row>
    <row r="11831" spans="18:19" x14ac:dyDescent="0.25">
      <c r="R11831" s="13">
        <v>11758</v>
      </c>
      <c r="S11831" s="13">
        <v>0</v>
      </c>
    </row>
    <row r="11832" spans="18:19" x14ac:dyDescent="0.25">
      <c r="R11832" s="13">
        <v>11759</v>
      </c>
      <c r="S11832" s="13">
        <v>0</v>
      </c>
    </row>
    <row r="11833" spans="18:19" x14ac:dyDescent="0.25">
      <c r="R11833" s="13">
        <v>11760</v>
      </c>
      <c r="S11833" s="13">
        <v>465582863.58038902</v>
      </c>
    </row>
    <row r="11834" spans="18:19" x14ac:dyDescent="0.25">
      <c r="R11834" s="13">
        <v>11761</v>
      </c>
      <c r="S11834" s="13">
        <v>0</v>
      </c>
    </row>
    <row r="11835" spans="18:19" x14ac:dyDescent="0.25">
      <c r="R11835" s="13">
        <v>11762</v>
      </c>
      <c r="S11835" s="13">
        <v>0</v>
      </c>
    </row>
    <row r="11836" spans="18:19" x14ac:dyDescent="0.25">
      <c r="R11836" s="13">
        <v>11763</v>
      </c>
      <c r="S11836" s="13">
        <v>1472487739.4205894</v>
      </c>
    </row>
    <row r="11837" spans="18:19" x14ac:dyDescent="0.25">
      <c r="R11837" s="13">
        <v>11764</v>
      </c>
      <c r="S11837" s="13">
        <v>0</v>
      </c>
    </row>
    <row r="11838" spans="18:19" x14ac:dyDescent="0.25">
      <c r="R11838" s="13">
        <v>11765</v>
      </c>
      <c r="S11838" s="13">
        <v>447999273.93621063</v>
      </c>
    </row>
    <row r="11839" spans="18:19" x14ac:dyDescent="0.25">
      <c r="R11839" s="13">
        <v>11766</v>
      </c>
      <c r="S11839" s="13">
        <v>0</v>
      </c>
    </row>
    <row r="11840" spans="18:19" x14ac:dyDescent="0.25">
      <c r="R11840" s="13">
        <v>11767</v>
      </c>
      <c r="S11840" s="13">
        <v>456521106.15797615</v>
      </c>
    </row>
    <row r="11841" spans="18:19" x14ac:dyDescent="0.25">
      <c r="R11841" s="13">
        <v>11768</v>
      </c>
      <c r="S11841" s="13">
        <v>0</v>
      </c>
    </row>
    <row r="11842" spans="18:19" x14ac:dyDescent="0.25">
      <c r="R11842" s="13">
        <v>11769</v>
      </c>
      <c r="S11842" s="13">
        <v>0</v>
      </c>
    </row>
    <row r="11843" spans="18:19" x14ac:dyDescent="0.25">
      <c r="R11843" s="13">
        <v>11770</v>
      </c>
      <c r="S11843" s="13">
        <v>0</v>
      </c>
    </row>
    <row r="11844" spans="18:19" x14ac:dyDescent="0.25">
      <c r="R11844" s="13">
        <v>11771</v>
      </c>
      <c r="S11844" s="13">
        <v>0</v>
      </c>
    </row>
    <row r="11845" spans="18:19" x14ac:dyDescent="0.25">
      <c r="R11845" s="13">
        <v>11772</v>
      </c>
      <c r="S11845" s="13">
        <v>0</v>
      </c>
    </row>
    <row r="11846" spans="18:19" x14ac:dyDescent="0.25">
      <c r="R11846" s="13">
        <v>11773</v>
      </c>
      <c r="S11846" s="13">
        <v>0</v>
      </c>
    </row>
    <row r="11847" spans="18:19" x14ac:dyDescent="0.25">
      <c r="R11847" s="13">
        <v>11774</v>
      </c>
      <c r="S11847" s="13">
        <v>0</v>
      </c>
    </row>
    <row r="11848" spans="18:19" x14ac:dyDescent="0.25">
      <c r="R11848" s="13">
        <v>11775</v>
      </c>
      <c r="S11848" s="13">
        <v>0</v>
      </c>
    </row>
    <row r="11849" spans="18:19" x14ac:dyDescent="0.25">
      <c r="R11849" s="13">
        <v>11776</v>
      </c>
      <c r="S11849" s="13">
        <v>88241039.874103546</v>
      </c>
    </row>
    <row r="11850" spans="18:19" x14ac:dyDescent="0.25">
      <c r="R11850" s="13">
        <v>11777</v>
      </c>
      <c r="S11850" s="13">
        <v>579768624.48563194</v>
      </c>
    </row>
    <row r="11851" spans="18:19" x14ac:dyDescent="0.25">
      <c r="R11851" s="13">
        <v>11778</v>
      </c>
      <c r="S11851" s="13">
        <v>0</v>
      </c>
    </row>
    <row r="11852" spans="18:19" x14ac:dyDescent="0.25">
      <c r="R11852" s="13">
        <v>11779</v>
      </c>
      <c r="S11852" s="13">
        <v>0</v>
      </c>
    </row>
    <row r="11853" spans="18:19" x14ac:dyDescent="0.25">
      <c r="R11853" s="13">
        <v>11780</v>
      </c>
      <c r="S11853" s="13">
        <v>215801872.69103622</v>
      </c>
    </row>
    <row r="11854" spans="18:19" x14ac:dyDescent="0.25">
      <c r="R11854" s="13">
        <v>11781</v>
      </c>
      <c r="S11854" s="13">
        <v>0</v>
      </c>
    </row>
    <row r="11855" spans="18:19" x14ac:dyDescent="0.25">
      <c r="R11855" s="13">
        <v>11782</v>
      </c>
      <c r="S11855" s="13">
        <v>1094123970.5410442</v>
      </c>
    </row>
    <row r="11856" spans="18:19" x14ac:dyDescent="0.25">
      <c r="R11856" s="13">
        <v>11783</v>
      </c>
      <c r="S11856" s="13">
        <v>0</v>
      </c>
    </row>
    <row r="11857" spans="18:19" x14ac:dyDescent="0.25">
      <c r="R11857" s="13">
        <v>11784</v>
      </c>
      <c r="S11857" s="13">
        <v>200260671.68676758</v>
      </c>
    </row>
    <row r="11858" spans="18:19" x14ac:dyDescent="0.25">
      <c r="R11858" s="13">
        <v>11785</v>
      </c>
      <c r="S11858" s="13">
        <v>0</v>
      </c>
    </row>
    <row r="11859" spans="18:19" x14ac:dyDescent="0.25">
      <c r="R11859" s="13">
        <v>11786</v>
      </c>
      <c r="S11859" s="13">
        <v>0</v>
      </c>
    </row>
    <row r="11860" spans="18:19" x14ac:dyDescent="0.25">
      <c r="R11860" s="13">
        <v>11787</v>
      </c>
      <c r="S11860" s="13">
        <v>0</v>
      </c>
    </row>
    <row r="11861" spans="18:19" x14ac:dyDescent="0.25">
      <c r="R11861" s="13">
        <v>11788</v>
      </c>
      <c r="S11861" s="13">
        <v>0</v>
      </c>
    </row>
    <row r="11862" spans="18:19" x14ac:dyDescent="0.25">
      <c r="R11862" s="13">
        <v>11789</v>
      </c>
      <c r="S11862" s="13">
        <v>0</v>
      </c>
    </row>
    <row r="11863" spans="18:19" x14ac:dyDescent="0.25">
      <c r="R11863" s="13">
        <v>11790</v>
      </c>
      <c r="S11863" s="13">
        <v>10786433.137302399</v>
      </c>
    </row>
    <row r="11864" spans="18:19" x14ac:dyDescent="0.25">
      <c r="R11864" s="13">
        <v>11791</v>
      </c>
      <c r="S11864" s="13">
        <v>0</v>
      </c>
    </row>
    <row r="11865" spans="18:19" x14ac:dyDescent="0.25">
      <c r="R11865" s="13">
        <v>11792</v>
      </c>
      <c r="S11865" s="13">
        <v>0</v>
      </c>
    </row>
    <row r="11866" spans="18:19" x14ac:dyDescent="0.25">
      <c r="R11866" s="13">
        <v>11793</v>
      </c>
      <c r="S11866" s="13">
        <v>209756576.18370438</v>
      </c>
    </row>
    <row r="11867" spans="18:19" x14ac:dyDescent="0.25">
      <c r="R11867" s="13">
        <v>11794</v>
      </c>
      <c r="S11867" s="13">
        <v>140379456.27201843</v>
      </c>
    </row>
    <row r="11868" spans="18:19" x14ac:dyDescent="0.25">
      <c r="R11868" s="13">
        <v>11795</v>
      </c>
      <c r="S11868" s="13">
        <v>0</v>
      </c>
    </row>
    <row r="11869" spans="18:19" x14ac:dyDescent="0.25">
      <c r="R11869" s="13">
        <v>11796</v>
      </c>
      <c r="S11869" s="13">
        <v>0</v>
      </c>
    </row>
    <row r="11870" spans="18:19" x14ac:dyDescent="0.25">
      <c r="R11870" s="13">
        <v>11797</v>
      </c>
      <c r="S11870" s="13">
        <v>0</v>
      </c>
    </row>
    <row r="11871" spans="18:19" x14ac:dyDescent="0.25">
      <c r="R11871" s="13">
        <v>11798</v>
      </c>
      <c r="S11871" s="13">
        <v>0</v>
      </c>
    </row>
    <row r="11872" spans="18:19" x14ac:dyDescent="0.25">
      <c r="R11872" s="13">
        <v>11799</v>
      </c>
      <c r="S11872" s="13">
        <v>0</v>
      </c>
    </row>
    <row r="11873" spans="18:19" x14ac:dyDescent="0.25">
      <c r="R11873" s="13">
        <v>11800</v>
      </c>
      <c r="S11873" s="13">
        <v>26066153.520437241</v>
      </c>
    </row>
    <row r="11874" spans="18:19" x14ac:dyDescent="0.25">
      <c r="R11874" s="13">
        <v>11801</v>
      </c>
      <c r="S11874" s="13">
        <v>0</v>
      </c>
    </row>
    <row r="11875" spans="18:19" x14ac:dyDescent="0.25">
      <c r="R11875" s="13">
        <v>11802</v>
      </c>
      <c r="S11875" s="13">
        <v>645296685.6213398</v>
      </c>
    </row>
    <row r="11876" spans="18:19" x14ac:dyDescent="0.25">
      <c r="R11876" s="13">
        <v>11803</v>
      </c>
      <c r="S11876" s="13">
        <v>0</v>
      </c>
    </row>
    <row r="11877" spans="18:19" x14ac:dyDescent="0.25">
      <c r="R11877" s="13">
        <v>11804</v>
      </c>
      <c r="S11877" s="13">
        <v>854968043.44391632</v>
      </c>
    </row>
    <row r="11878" spans="18:19" x14ac:dyDescent="0.25">
      <c r="R11878" s="13">
        <v>11805</v>
      </c>
      <c r="S11878" s="13">
        <v>0</v>
      </c>
    </row>
    <row r="11879" spans="18:19" x14ac:dyDescent="0.25">
      <c r="R11879" s="13">
        <v>11806</v>
      </c>
      <c r="S11879" s="13">
        <v>670980605.02296066</v>
      </c>
    </row>
    <row r="11880" spans="18:19" x14ac:dyDescent="0.25">
      <c r="R11880" s="13">
        <v>11807</v>
      </c>
      <c r="S11880" s="13">
        <v>0</v>
      </c>
    </row>
    <row r="11881" spans="18:19" x14ac:dyDescent="0.25">
      <c r="R11881" s="13">
        <v>11808</v>
      </c>
      <c r="S11881" s="13">
        <v>0</v>
      </c>
    </row>
    <row r="11882" spans="18:19" x14ac:dyDescent="0.25">
      <c r="R11882" s="13">
        <v>11809</v>
      </c>
      <c r="S11882" s="13">
        <v>581743667.96372604</v>
      </c>
    </row>
    <row r="11883" spans="18:19" x14ac:dyDescent="0.25">
      <c r="R11883" s="13">
        <v>11810</v>
      </c>
      <c r="S11883" s="13">
        <v>0</v>
      </c>
    </row>
    <row r="11884" spans="18:19" x14ac:dyDescent="0.25">
      <c r="R11884" s="13">
        <v>11811</v>
      </c>
      <c r="S11884" s="13">
        <v>0</v>
      </c>
    </row>
    <row r="11885" spans="18:19" x14ac:dyDescent="0.25">
      <c r="R11885" s="13">
        <v>11812</v>
      </c>
      <c r="S11885" s="13">
        <v>0</v>
      </c>
    </row>
    <row r="11886" spans="18:19" x14ac:dyDescent="0.25">
      <c r="R11886" s="13">
        <v>11813</v>
      </c>
      <c r="S11886" s="13">
        <v>0</v>
      </c>
    </row>
    <row r="11887" spans="18:19" x14ac:dyDescent="0.25">
      <c r="R11887" s="13">
        <v>11814</v>
      </c>
      <c r="S11887" s="13">
        <v>0</v>
      </c>
    </row>
    <row r="11888" spans="18:19" x14ac:dyDescent="0.25">
      <c r="R11888" s="13">
        <v>11815</v>
      </c>
      <c r="S11888" s="13">
        <v>0</v>
      </c>
    </row>
    <row r="11889" spans="18:19" x14ac:dyDescent="0.25">
      <c r="R11889" s="13">
        <v>11816</v>
      </c>
      <c r="S11889" s="13">
        <v>0</v>
      </c>
    </row>
    <row r="11890" spans="18:19" x14ac:dyDescent="0.25">
      <c r="R11890" s="13">
        <v>11817</v>
      </c>
      <c r="S11890" s="13">
        <v>0</v>
      </c>
    </row>
    <row r="11891" spans="18:19" x14ac:dyDescent="0.25">
      <c r="R11891" s="13">
        <v>11818</v>
      </c>
      <c r="S11891" s="13">
        <v>98786560.85783577</v>
      </c>
    </row>
    <row r="11892" spans="18:19" x14ac:dyDescent="0.25">
      <c r="R11892" s="13">
        <v>11819</v>
      </c>
      <c r="S11892" s="13">
        <v>0</v>
      </c>
    </row>
    <row r="11893" spans="18:19" x14ac:dyDescent="0.25">
      <c r="R11893" s="13">
        <v>11820</v>
      </c>
      <c r="S11893" s="13">
        <v>0</v>
      </c>
    </row>
    <row r="11894" spans="18:19" x14ac:dyDescent="0.25">
      <c r="R11894" s="13">
        <v>11821</v>
      </c>
      <c r="S11894" s="13">
        <v>216246744.17713737</v>
      </c>
    </row>
    <row r="11895" spans="18:19" x14ac:dyDescent="0.25">
      <c r="R11895" s="13">
        <v>11822</v>
      </c>
      <c r="S11895" s="13">
        <v>0</v>
      </c>
    </row>
    <row r="11896" spans="18:19" x14ac:dyDescent="0.25">
      <c r="R11896" s="13">
        <v>11823</v>
      </c>
      <c r="S11896" s="13">
        <v>0</v>
      </c>
    </row>
    <row r="11897" spans="18:19" x14ac:dyDescent="0.25">
      <c r="R11897" s="13">
        <v>11824</v>
      </c>
      <c r="S11897" s="13">
        <v>0</v>
      </c>
    </row>
    <row r="11898" spans="18:19" x14ac:dyDescent="0.25">
      <c r="R11898" s="13">
        <v>11825</v>
      </c>
      <c r="S11898" s="13">
        <v>23819168.481695175</v>
      </c>
    </row>
    <row r="11899" spans="18:19" x14ac:dyDescent="0.25">
      <c r="R11899" s="13">
        <v>11826</v>
      </c>
      <c r="S11899" s="13">
        <v>763678925.88494301</v>
      </c>
    </row>
    <row r="11900" spans="18:19" x14ac:dyDescent="0.25">
      <c r="R11900" s="13">
        <v>11827</v>
      </c>
      <c r="S11900" s="13">
        <v>253647561.73596382</v>
      </c>
    </row>
    <row r="11901" spans="18:19" x14ac:dyDescent="0.25">
      <c r="R11901" s="13">
        <v>11828</v>
      </c>
      <c r="S11901" s="13">
        <v>0</v>
      </c>
    </row>
    <row r="11902" spans="18:19" x14ac:dyDescent="0.25">
      <c r="R11902" s="13">
        <v>11829</v>
      </c>
      <c r="S11902" s="13">
        <v>0</v>
      </c>
    </row>
    <row r="11903" spans="18:19" x14ac:dyDescent="0.25">
      <c r="R11903" s="13">
        <v>11830</v>
      </c>
      <c r="S11903" s="13">
        <v>354146533.14463806</v>
      </c>
    </row>
    <row r="11904" spans="18:19" x14ac:dyDescent="0.25">
      <c r="R11904" s="13">
        <v>11831</v>
      </c>
      <c r="S11904" s="13">
        <v>0</v>
      </c>
    </row>
    <row r="11905" spans="18:19" x14ac:dyDescent="0.25">
      <c r="R11905" s="13">
        <v>11832</v>
      </c>
      <c r="S11905" s="13">
        <v>227108317.19782448</v>
      </c>
    </row>
    <row r="11906" spans="18:19" x14ac:dyDescent="0.25">
      <c r="R11906" s="13">
        <v>11833</v>
      </c>
      <c r="S11906" s="13">
        <v>711735650.47529221</v>
      </c>
    </row>
    <row r="11907" spans="18:19" x14ac:dyDescent="0.25">
      <c r="R11907" s="13">
        <v>11834</v>
      </c>
      <c r="S11907" s="13">
        <v>0</v>
      </c>
    </row>
    <row r="11908" spans="18:19" x14ac:dyDescent="0.25">
      <c r="R11908" s="13">
        <v>11835</v>
      </c>
      <c r="S11908" s="13">
        <v>0</v>
      </c>
    </row>
    <row r="11909" spans="18:19" x14ac:dyDescent="0.25">
      <c r="R11909" s="13">
        <v>11836</v>
      </c>
      <c r="S11909" s="13">
        <v>0</v>
      </c>
    </row>
    <row r="11910" spans="18:19" x14ac:dyDescent="0.25">
      <c r="R11910" s="13">
        <v>11837</v>
      </c>
      <c r="S11910" s="13">
        <v>0</v>
      </c>
    </row>
    <row r="11911" spans="18:19" x14ac:dyDescent="0.25">
      <c r="R11911" s="13">
        <v>11838</v>
      </c>
      <c r="S11911" s="13">
        <v>0</v>
      </c>
    </row>
    <row r="11912" spans="18:19" x14ac:dyDescent="0.25">
      <c r="R11912" s="13">
        <v>11839</v>
      </c>
      <c r="S11912" s="13">
        <v>0</v>
      </c>
    </row>
    <row r="11913" spans="18:19" x14ac:dyDescent="0.25">
      <c r="R11913" s="13">
        <v>11840</v>
      </c>
      <c r="S11913" s="13">
        <v>0</v>
      </c>
    </row>
    <row r="11914" spans="18:19" x14ac:dyDescent="0.25">
      <c r="R11914" s="13">
        <v>11841</v>
      </c>
      <c r="S11914" s="13">
        <v>0</v>
      </c>
    </row>
    <row r="11915" spans="18:19" x14ac:dyDescent="0.25">
      <c r="R11915" s="13">
        <v>11842</v>
      </c>
      <c r="S11915" s="13">
        <v>0</v>
      </c>
    </row>
    <row r="11916" spans="18:19" x14ac:dyDescent="0.25">
      <c r="R11916" s="13">
        <v>11843</v>
      </c>
      <c r="S11916" s="13">
        <v>0</v>
      </c>
    </row>
    <row r="11917" spans="18:19" x14ac:dyDescent="0.25">
      <c r="R11917" s="13">
        <v>11844</v>
      </c>
      <c r="S11917" s="13">
        <v>0</v>
      </c>
    </row>
    <row r="11918" spans="18:19" x14ac:dyDescent="0.25">
      <c r="R11918" s="13">
        <v>11845</v>
      </c>
      <c r="S11918" s="13">
        <v>0</v>
      </c>
    </row>
    <row r="11919" spans="18:19" x14ac:dyDescent="0.25">
      <c r="R11919" s="13">
        <v>11846</v>
      </c>
      <c r="S11919" s="13">
        <v>0</v>
      </c>
    </row>
    <row r="11920" spans="18:19" x14ac:dyDescent="0.25">
      <c r="R11920" s="13">
        <v>11847</v>
      </c>
      <c r="S11920" s="13">
        <v>0</v>
      </c>
    </row>
    <row r="11921" spans="18:19" x14ac:dyDescent="0.25">
      <c r="R11921" s="13">
        <v>11848</v>
      </c>
      <c r="S11921" s="13">
        <v>414592387.87623215</v>
      </c>
    </row>
    <row r="11922" spans="18:19" x14ac:dyDescent="0.25">
      <c r="R11922" s="13">
        <v>11849</v>
      </c>
      <c r="S11922" s="13">
        <v>0</v>
      </c>
    </row>
    <row r="11923" spans="18:19" x14ac:dyDescent="0.25">
      <c r="R11923" s="13">
        <v>11850</v>
      </c>
      <c r="S11923" s="13">
        <v>0</v>
      </c>
    </row>
    <row r="11924" spans="18:19" x14ac:dyDescent="0.25">
      <c r="R11924" s="13">
        <v>11851</v>
      </c>
      <c r="S11924" s="13">
        <v>0</v>
      </c>
    </row>
    <row r="11925" spans="18:19" x14ac:dyDescent="0.25">
      <c r="R11925" s="13">
        <v>11852</v>
      </c>
      <c r="S11925" s="13">
        <v>0</v>
      </c>
    </row>
    <row r="11926" spans="18:19" x14ac:dyDescent="0.25">
      <c r="R11926" s="13">
        <v>11853</v>
      </c>
      <c r="S11926" s="13">
        <v>0</v>
      </c>
    </row>
    <row r="11927" spans="18:19" x14ac:dyDescent="0.25">
      <c r="R11927" s="13">
        <v>11854</v>
      </c>
      <c r="S11927" s="13">
        <v>0</v>
      </c>
    </row>
    <row r="11928" spans="18:19" x14ac:dyDescent="0.25">
      <c r="R11928" s="13">
        <v>11855</v>
      </c>
      <c r="S11928" s="13">
        <v>0</v>
      </c>
    </row>
    <row r="11929" spans="18:19" x14ac:dyDescent="0.25">
      <c r="R11929" s="13">
        <v>11856</v>
      </c>
      <c r="S11929" s="13">
        <v>0</v>
      </c>
    </row>
    <row r="11930" spans="18:19" x14ac:dyDescent="0.25">
      <c r="R11930" s="13">
        <v>11857</v>
      </c>
      <c r="S11930" s="13">
        <v>641578379.25698853</v>
      </c>
    </row>
    <row r="11931" spans="18:19" x14ac:dyDescent="0.25">
      <c r="R11931" s="13">
        <v>11858</v>
      </c>
      <c r="S11931" s="13">
        <v>0</v>
      </c>
    </row>
    <row r="11932" spans="18:19" x14ac:dyDescent="0.25">
      <c r="R11932" s="13">
        <v>11859</v>
      </c>
      <c r="S11932" s="13">
        <v>0</v>
      </c>
    </row>
    <row r="11933" spans="18:19" x14ac:dyDescent="0.25">
      <c r="R11933" s="13">
        <v>11860</v>
      </c>
      <c r="S11933" s="13">
        <v>0</v>
      </c>
    </row>
    <row r="11934" spans="18:19" x14ac:dyDescent="0.25">
      <c r="R11934" s="13">
        <v>11861</v>
      </c>
      <c r="S11934" s="13">
        <v>0</v>
      </c>
    </row>
    <row r="11935" spans="18:19" x14ac:dyDescent="0.25">
      <c r="R11935" s="13">
        <v>11862</v>
      </c>
      <c r="S11935" s="13">
        <v>0</v>
      </c>
    </row>
    <row r="11936" spans="18:19" x14ac:dyDescent="0.25">
      <c r="R11936" s="13">
        <v>11863</v>
      </c>
      <c r="S11936" s="13">
        <v>860472845.51110077</v>
      </c>
    </row>
    <row r="11937" spans="18:19" x14ac:dyDescent="0.25">
      <c r="R11937" s="13">
        <v>11864</v>
      </c>
      <c r="S11937" s="13">
        <v>0</v>
      </c>
    </row>
    <row r="11938" spans="18:19" x14ac:dyDescent="0.25">
      <c r="R11938" s="13">
        <v>11865</v>
      </c>
      <c r="S11938" s="13">
        <v>0</v>
      </c>
    </row>
    <row r="11939" spans="18:19" x14ac:dyDescent="0.25">
      <c r="R11939" s="13">
        <v>11866</v>
      </c>
      <c r="S11939" s="13">
        <v>0</v>
      </c>
    </row>
    <row r="11940" spans="18:19" x14ac:dyDescent="0.25">
      <c r="R11940" s="13">
        <v>11867</v>
      </c>
      <c r="S11940" s="13">
        <v>0</v>
      </c>
    </row>
    <row r="11941" spans="18:19" x14ac:dyDescent="0.25">
      <c r="R11941" s="13">
        <v>11868</v>
      </c>
      <c r="S11941" s="13">
        <v>0</v>
      </c>
    </row>
    <row r="11942" spans="18:19" x14ac:dyDescent="0.25">
      <c r="R11942" s="13">
        <v>11869</v>
      </c>
      <c r="S11942" s="13">
        <v>0</v>
      </c>
    </row>
    <row r="11943" spans="18:19" x14ac:dyDescent="0.25">
      <c r="R11943" s="13">
        <v>11870</v>
      </c>
      <c r="S11943" s="13">
        <v>0</v>
      </c>
    </row>
    <row r="11944" spans="18:19" x14ac:dyDescent="0.25">
      <c r="R11944" s="13">
        <v>11871</v>
      </c>
      <c r="S11944" s="13">
        <v>0</v>
      </c>
    </row>
    <row r="11945" spans="18:19" x14ac:dyDescent="0.25">
      <c r="R11945" s="13">
        <v>11872</v>
      </c>
      <c r="S11945" s="13">
        <v>0</v>
      </c>
    </row>
    <row r="11946" spans="18:19" x14ac:dyDescent="0.25">
      <c r="R11946" s="13">
        <v>11873</v>
      </c>
      <c r="S11946" s="13">
        <v>79664959.878190994</v>
      </c>
    </row>
    <row r="11947" spans="18:19" x14ac:dyDescent="0.25">
      <c r="R11947" s="13">
        <v>11874</v>
      </c>
      <c r="S11947" s="13">
        <v>0</v>
      </c>
    </row>
    <row r="11948" spans="18:19" x14ac:dyDescent="0.25">
      <c r="R11948" s="13">
        <v>11875</v>
      </c>
      <c r="S11948" s="13">
        <v>116010871.00461197</v>
      </c>
    </row>
    <row r="11949" spans="18:19" x14ac:dyDescent="0.25">
      <c r="R11949" s="13">
        <v>11876</v>
      </c>
      <c r="S11949" s="13">
        <v>0</v>
      </c>
    </row>
    <row r="11950" spans="18:19" x14ac:dyDescent="0.25">
      <c r="R11950" s="13">
        <v>11877</v>
      </c>
      <c r="S11950" s="13">
        <v>0</v>
      </c>
    </row>
    <row r="11951" spans="18:19" x14ac:dyDescent="0.25">
      <c r="R11951" s="13">
        <v>11878</v>
      </c>
      <c r="S11951" s="13">
        <v>0</v>
      </c>
    </row>
    <row r="11952" spans="18:19" x14ac:dyDescent="0.25">
      <c r="R11952" s="13">
        <v>11879</v>
      </c>
      <c r="S11952" s="13">
        <v>0</v>
      </c>
    </row>
    <row r="11953" spans="18:19" x14ac:dyDescent="0.25">
      <c r="R11953" s="13">
        <v>11880</v>
      </c>
      <c r="S11953" s="13">
        <v>0</v>
      </c>
    </row>
    <row r="11954" spans="18:19" x14ac:dyDescent="0.25">
      <c r="R11954" s="13">
        <v>11881</v>
      </c>
      <c r="S11954" s="13">
        <v>0</v>
      </c>
    </row>
    <row r="11955" spans="18:19" x14ac:dyDescent="0.25">
      <c r="R11955" s="13">
        <v>11882</v>
      </c>
      <c r="S11955" s="13">
        <v>0</v>
      </c>
    </row>
    <row r="11956" spans="18:19" x14ac:dyDescent="0.25">
      <c r="R11956" s="13">
        <v>11883</v>
      </c>
      <c r="S11956" s="13">
        <v>67395478.80768013</v>
      </c>
    </row>
    <row r="11957" spans="18:19" x14ac:dyDescent="0.25">
      <c r="R11957" s="13">
        <v>11884</v>
      </c>
      <c r="S11957" s="13">
        <v>138822410.85142136</v>
      </c>
    </row>
    <row r="11958" spans="18:19" x14ac:dyDescent="0.25">
      <c r="R11958" s="13">
        <v>11885</v>
      </c>
      <c r="S11958" s="13">
        <v>0</v>
      </c>
    </row>
    <row r="11959" spans="18:19" x14ac:dyDescent="0.25">
      <c r="R11959" s="13">
        <v>11886</v>
      </c>
      <c r="S11959" s="13">
        <v>0</v>
      </c>
    </row>
    <row r="11960" spans="18:19" x14ac:dyDescent="0.25">
      <c r="R11960" s="13">
        <v>11887</v>
      </c>
      <c r="S11960" s="13">
        <v>298616699.30612564</v>
      </c>
    </row>
    <row r="11961" spans="18:19" x14ac:dyDescent="0.25">
      <c r="R11961" s="13">
        <v>11888</v>
      </c>
      <c r="S11961" s="13">
        <v>0</v>
      </c>
    </row>
    <row r="11962" spans="18:19" x14ac:dyDescent="0.25">
      <c r="R11962" s="13">
        <v>11889</v>
      </c>
      <c r="S11962" s="13">
        <v>718379355.80242729</v>
      </c>
    </row>
    <row r="11963" spans="18:19" x14ac:dyDescent="0.25">
      <c r="R11963" s="13">
        <v>11890</v>
      </c>
      <c r="S11963" s="13">
        <v>0</v>
      </c>
    </row>
    <row r="11964" spans="18:19" x14ac:dyDescent="0.25">
      <c r="R11964" s="13">
        <v>11891</v>
      </c>
      <c r="S11964" s="13">
        <v>0</v>
      </c>
    </row>
    <row r="11965" spans="18:19" x14ac:dyDescent="0.25">
      <c r="R11965" s="13">
        <v>11892</v>
      </c>
      <c r="S11965" s="13">
        <v>0</v>
      </c>
    </row>
    <row r="11966" spans="18:19" x14ac:dyDescent="0.25">
      <c r="R11966" s="13">
        <v>11893</v>
      </c>
      <c r="S11966" s="13">
        <v>0</v>
      </c>
    </row>
    <row r="11967" spans="18:19" x14ac:dyDescent="0.25">
      <c r="R11967" s="13">
        <v>11894</v>
      </c>
      <c r="S11967" s="13">
        <v>0</v>
      </c>
    </row>
    <row r="11968" spans="18:19" x14ac:dyDescent="0.25">
      <c r="R11968" s="13">
        <v>11895</v>
      </c>
      <c r="S11968" s="13">
        <v>0</v>
      </c>
    </row>
    <row r="11969" spans="18:19" x14ac:dyDescent="0.25">
      <c r="R11969" s="13">
        <v>11896</v>
      </c>
      <c r="S11969" s="13">
        <v>0</v>
      </c>
    </row>
    <row r="11970" spans="18:19" x14ac:dyDescent="0.25">
      <c r="R11970" s="13">
        <v>11897</v>
      </c>
      <c r="S11970" s="13">
        <v>0</v>
      </c>
    </row>
    <row r="11971" spans="18:19" x14ac:dyDescent="0.25">
      <c r="R11971" s="13">
        <v>11898</v>
      </c>
      <c r="S11971" s="13">
        <v>0</v>
      </c>
    </row>
    <row r="11972" spans="18:19" x14ac:dyDescent="0.25">
      <c r="R11972" s="13">
        <v>11899</v>
      </c>
      <c r="S11972" s="13">
        <v>0</v>
      </c>
    </row>
    <row r="11973" spans="18:19" x14ac:dyDescent="0.25">
      <c r="R11973" s="13">
        <v>11900</v>
      </c>
      <c r="S11973" s="13">
        <v>270977825.61084366</v>
      </c>
    </row>
    <row r="11974" spans="18:19" x14ac:dyDescent="0.25">
      <c r="R11974" s="13">
        <v>11901</v>
      </c>
      <c r="S11974" s="13">
        <v>0</v>
      </c>
    </row>
    <row r="11975" spans="18:19" x14ac:dyDescent="0.25">
      <c r="R11975" s="13">
        <v>11902</v>
      </c>
      <c r="S11975" s="13">
        <v>0</v>
      </c>
    </row>
    <row r="11976" spans="18:19" x14ac:dyDescent="0.25">
      <c r="R11976" s="13">
        <v>11903</v>
      </c>
      <c r="S11976" s="13">
        <v>0</v>
      </c>
    </row>
    <row r="11977" spans="18:19" x14ac:dyDescent="0.25">
      <c r="R11977" s="13">
        <v>11904</v>
      </c>
      <c r="S11977" s="13">
        <v>281188193.76857758</v>
      </c>
    </row>
    <row r="11978" spans="18:19" x14ac:dyDescent="0.25">
      <c r="R11978" s="13">
        <v>11905</v>
      </c>
      <c r="S11978" s="13">
        <v>0</v>
      </c>
    </row>
    <row r="11979" spans="18:19" x14ac:dyDescent="0.25">
      <c r="R11979" s="13">
        <v>11906</v>
      </c>
      <c r="S11979" s="13">
        <v>0</v>
      </c>
    </row>
    <row r="11980" spans="18:19" x14ac:dyDescent="0.25">
      <c r="R11980" s="13">
        <v>11907</v>
      </c>
      <c r="S11980" s="13">
        <v>236129970.59747124</v>
      </c>
    </row>
    <row r="11981" spans="18:19" x14ac:dyDescent="0.25">
      <c r="R11981" s="13">
        <v>11908</v>
      </c>
      <c r="S11981" s="13">
        <v>307280842.66499138</v>
      </c>
    </row>
    <row r="11982" spans="18:19" x14ac:dyDescent="0.25">
      <c r="R11982" s="13">
        <v>11909</v>
      </c>
      <c r="S11982" s="13">
        <v>187978862.76200867</v>
      </c>
    </row>
    <row r="11983" spans="18:19" x14ac:dyDescent="0.25">
      <c r="R11983" s="13">
        <v>11910</v>
      </c>
      <c r="S11983" s="13">
        <v>0</v>
      </c>
    </row>
    <row r="11984" spans="18:19" x14ac:dyDescent="0.25">
      <c r="R11984" s="13">
        <v>11911</v>
      </c>
      <c r="S11984" s="13">
        <v>0</v>
      </c>
    </row>
    <row r="11985" spans="18:19" x14ac:dyDescent="0.25">
      <c r="R11985" s="13">
        <v>11912</v>
      </c>
      <c r="S11985" s="13">
        <v>0</v>
      </c>
    </row>
    <row r="11986" spans="18:19" x14ac:dyDescent="0.25">
      <c r="R11986" s="13">
        <v>11913</v>
      </c>
      <c r="S11986" s="13">
        <v>0</v>
      </c>
    </row>
    <row r="11987" spans="18:19" x14ac:dyDescent="0.25">
      <c r="R11987" s="13">
        <v>11914</v>
      </c>
      <c r="S11987" s="13">
        <v>0</v>
      </c>
    </row>
    <row r="11988" spans="18:19" x14ac:dyDescent="0.25">
      <c r="R11988" s="13">
        <v>11915</v>
      </c>
      <c r="S11988" s="13">
        <v>353220957.0729351</v>
      </c>
    </row>
    <row r="11989" spans="18:19" x14ac:dyDescent="0.25">
      <c r="R11989" s="13">
        <v>11916</v>
      </c>
      <c r="S11989" s="13">
        <v>0</v>
      </c>
    </row>
    <row r="11990" spans="18:19" x14ac:dyDescent="0.25">
      <c r="R11990" s="13">
        <v>11917</v>
      </c>
      <c r="S11990" s="13">
        <v>0</v>
      </c>
    </row>
    <row r="11991" spans="18:19" x14ac:dyDescent="0.25">
      <c r="R11991" s="13">
        <v>11918</v>
      </c>
      <c r="S11991" s="13">
        <v>0</v>
      </c>
    </row>
    <row r="11992" spans="18:19" x14ac:dyDescent="0.25">
      <c r="R11992" s="13">
        <v>11919</v>
      </c>
      <c r="S11992" s="13">
        <v>0</v>
      </c>
    </row>
    <row r="11993" spans="18:19" x14ac:dyDescent="0.25">
      <c r="R11993" s="13">
        <v>11920</v>
      </c>
      <c r="S11993" s="13">
        <v>0</v>
      </c>
    </row>
    <row r="11994" spans="18:19" x14ac:dyDescent="0.25">
      <c r="R11994" s="13">
        <v>11921</v>
      </c>
      <c r="S11994" s="13">
        <v>0</v>
      </c>
    </row>
    <row r="11995" spans="18:19" x14ac:dyDescent="0.25">
      <c r="R11995" s="13">
        <v>11922</v>
      </c>
      <c r="S11995" s="13">
        <v>0</v>
      </c>
    </row>
    <row r="11996" spans="18:19" x14ac:dyDescent="0.25">
      <c r="R11996" s="13">
        <v>11923</v>
      </c>
      <c r="S11996" s="13">
        <v>0</v>
      </c>
    </row>
    <row r="11997" spans="18:19" x14ac:dyDescent="0.25">
      <c r="R11997" s="13">
        <v>11924</v>
      </c>
      <c r="S11997" s="13">
        <v>6500319.5798969269</v>
      </c>
    </row>
    <row r="11998" spans="18:19" x14ac:dyDescent="0.25">
      <c r="R11998" s="13">
        <v>11925</v>
      </c>
      <c r="S11998" s="13">
        <v>616150.12164115906</v>
      </c>
    </row>
    <row r="11999" spans="18:19" x14ac:dyDescent="0.25">
      <c r="R11999" s="13">
        <v>11926</v>
      </c>
      <c r="S11999" s="13">
        <v>0</v>
      </c>
    </row>
    <row r="12000" spans="18:19" x14ac:dyDescent="0.25">
      <c r="R12000" s="13">
        <v>11927</v>
      </c>
      <c r="S12000" s="13">
        <v>0</v>
      </c>
    </row>
    <row r="12001" spans="18:19" x14ac:dyDescent="0.25">
      <c r="R12001" s="13">
        <v>11928</v>
      </c>
      <c r="S12001" s="13">
        <v>0</v>
      </c>
    </row>
    <row r="12002" spans="18:19" x14ac:dyDescent="0.25">
      <c r="R12002" s="13">
        <v>11929</v>
      </c>
      <c r="S12002" s="13">
        <v>0</v>
      </c>
    </row>
    <row r="12003" spans="18:19" x14ac:dyDescent="0.25">
      <c r="R12003" s="13">
        <v>11930</v>
      </c>
      <c r="S12003" s="13">
        <v>782059667.48644638</v>
      </c>
    </row>
    <row r="12004" spans="18:19" x14ac:dyDescent="0.25">
      <c r="R12004" s="13">
        <v>11931</v>
      </c>
      <c r="S12004" s="13">
        <v>0</v>
      </c>
    </row>
    <row r="12005" spans="18:19" x14ac:dyDescent="0.25">
      <c r="R12005" s="13">
        <v>11932</v>
      </c>
      <c r="S12005" s="13">
        <v>0</v>
      </c>
    </row>
    <row r="12006" spans="18:19" x14ac:dyDescent="0.25">
      <c r="R12006" s="13">
        <v>11933</v>
      </c>
      <c r="S12006" s="13">
        <v>0</v>
      </c>
    </row>
    <row r="12007" spans="18:19" x14ac:dyDescent="0.25">
      <c r="R12007" s="13">
        <v>11934</v>
      </c>
      <c r="S12007" s="13">
        <v>0</v>
      </c>
    </row>
    <row r="12008" spans="18:19" x14ac:dyDescent="0.25">
      <c r="R12008" s="13">
        <v>11935</v>
      </c>
      <c r="S12008" s="13">
        <v>0</v>
      </c>
    </row>
    <row r="12009" spans="18:19" x14ac:dyDescent="0.25">
      <c r="R12009" s="13">
        <v>11936</v>
      </c>
      <c r="S12009" s="13">
        <v>0</v>
      </c>
    </row>
    <row r="12010" spans="18:19" x14ac:dyDescent="0.25">
      <c r="R12010" s="13">
        <v>11937</v>
      </c>
      <c r="S12010" s="13">
        <v>0</v>
      </c>
    </row>
    <row r="12011" spans="18:19" x14ac:dyDescent="0.25">
      <c r="R12011" s="13">
        <v>11938</v>
      </c>
      <c r="S12011" s="13">
        <v>0</v>
      </c>
    </row>
    <row r="12012" spans="18:19" x14ac:dyDescent="0.25">
      <c r="R12012" s="13">
        <v>11939</v>
      </c>
      <c r="S12012" s="13">
        <v>0</v>
      </c>
    </row>
    <row r="12013" spans="18:19" x14ac:dyDescent="0.25">
      <c r="R12013" s="13">
        <v>11940</v>
      </c>
      <c r="S12013" s="13">
        <v>83156.507881164551</v>
      </c>
    </row>
    <row r="12014" spans="18:19" x14ac:dyDescent="0.25">
      <c r="R12014" s="13">
        <v>11941</v>
      </c>
      <c r="S12014" s="13">
        <v>521002348.49567795</v>
      </c>
    </row>
    <row r="12015" spans="18:19" x14ac:dyDescent="0.25">
      <c r="R12015" s="13">
        <v>11942</v>
      </c>
      <c r="S12015" s="13">
        <v>0</v>
      </c>
    </row>
    <row r="12016" spans="18:19" x14ac:dyDescent="0.25">
      <c r="R12016" s="13">
        <v>11943</v>
      </c>
      <c r="S12016" s="13">
        <v>0</v>
      </c>
    </row>
    <row r="12017" spans="18:19" x14ac:dyDescent="0.25">
      <c r="R12017" s="13">
        <v>11944</v>
      </c>
      <c r="S12017" s="13">
        <v>0</v>
      </c>
    </row>
    <row r="12018" spans="18:19" x14ac:dyDescent="0.25">
      <c r="R12018" s="13">
        <v>11945</v>
      </c>
      <c r="S12018" s="13">
        <v>0</v>
      </c>
    </row>
    <row r="12019" spans="18:19" x14ac:dyDescent="0.25">
      <c r="R12019" s="13">
        <v>11946</v>
      </c>
      <c r="S12019" s="13">
        <v>0</v>
      </c>
    </row>
    <row r="12020" spans="18:19" x14ac:dyDescent="0.25">
      <c r="R12020" s="13">
        <v>11947</v>
      </c>
      <c r="S12020" s="13">
        <v>0</v>
      </c>
    </row>
    <row r="12021" spans="18:19" x14ac:dyDescent="0.25">
      <c r="R12021" s="13">
        <v>11948</v>
      </c>
      <c r="S12021" s="13">
        <v>0</v>
      </c>
    </row>
    <row r="12022" spans="18:19" x14ac:dyDescent="0.25">
      <c r="R12022" s="13">
        <v>11949</v>
      </c>
      <c r="S12022" s="13">
        <v>58737309.709192276</v>
      </c>
    </row>
    <row r="12023" spans="18:19" x14ac:dyDescent="0.25">
      <c r="R12023" s="13">
        <v>11950</v>
      </c>
      <c r="S12023" s="13">
        <v>0</v>
      </c>
    </row>
    <row r="12024" spans="18:19" x14ac:dyDescent="0.25">
      <c r="R12024" s="13">
        <v>11951</v>
      </c>
      <c r="S12024" s="13">
        <v>0</v>
      </c>
    </row>
    <row r="12025" spans="18:19" x14ac:dyDescent="0.25">
      <c r="R12025" s="13">
        <v>11952</v>
      </c>
      <c r="S12025" s="13">
        <v>0</v>
      </c>
    </row>
    <row r="12026" spans="18:19" x14ac:dyDescent="0.25">
      <c r="R12026" s="13">
        <v>11953</v>
      </c>
      <c r="S12026" s="13">
        <v>0</v>
      </c>
    </row>
    <row r="12027" spans="18:19" x14ac:dyDescent="0.25">
      <c r="R12027" s="13">
        <v>11954</v>
      </c>
      <c r="S12027" s="13">
        <v>0</v>
      </c>
    </row>
    <row r="12028" spans="18:19" x14ac:dyDescent="0.25">
      <c r="R12028" s="13">
        <v>11955</v>
      </c>
      <c r="S12028" s="13">
        <v>0</v>
      </c>
    </row>
    <row r="12029" spans="18:19" x14ac:dyDescent="0.25">
      <c r="R12029" s="13">
        <v>11956</v>
      </c>
      <c r="S12029" s="13">
        <v>611013655.35037804</v>
      </c>
    </row>
    <row r="12030" spans="18:19" x14ac:dyDescent="0.25">
      <c r="R12030" s="13">
        <v>11957</v>
      </c>
      <c r="S12030" s="13">
        <v>0</v>
      </c>
    </row>
    <row r="12031" spans="18:19" x14ac:dyDescent="0.25">
      <c r="R12031" s="13">
        <v>11958</v>
      </c>
      <c r="S12031" s="13">
        <v>0</v>
      </c>
    </row>
    <row r="12032" spans="18:19" x14ac:dyDescent="0.25">
      <c r="R12032" s="13">
        <v>11959</v>
      </c>
      <c r="S12032" s="13">
        <v>0</v>
      </c>
    </row>
    <row r="12033" spans="18:19" x14ac:dyDescent="0.25">
      <c r="R12033" s="13">
        <v>11960</v>
      </c>
      <c r="S12033" s="13">
        <v>0</v>
      </c>
    </row>
    <row r="12034" spans="18:19" x14ac:dyDescent="0.25">
      <c r="R12034" s="13">
        <v>11961</v>
      </c>
      <c r="S12034" s="13">
        <v>0</v>
      </c>
    </row>
    <row r="12035" spans="18:19" x14ac:dyDescent="0.25">
      <c r="R12035" s="13">
        <v>11962</v>
      </c>
      <c r="S12035" s="13">
        <v>305076340.318573</v>
      </c>
    </row>
    <row r="12036" spans="18:19" x14ac:dyDescent="0.25">
      <c r="R12036" s="13">
        <v>11963</v>
      </c>
      <c r="S12036" s="13">
        <v>464102278.10615349</v>
      </c>
    </row>
    <row r="12037" spans="18:19" x14ac:dyDescent="0.25">
      <c r="R12037" s="13">
        <v>11964</v>
      </c>
      <c r="S12037" s="13">
        <v>243397798.44896889</v>
      </c>
    </row>
    <row r="12038" spans="18:19" x14ac:dyDescent="0.25">
      <c r="R12038" s="13">
        <v>11965</v>
      </c>
      <c r="S12038" s="13">
        <v>0</v>
      </c>
    </row>
    <row r="12039" spans="18:19" x14ac:dyDescent="0.25">
      <c r="R12039" s="13">
        <v>11966</v>
      </c>
      <c r="S12039" s="13">
        <v>0</v>
      </c>
    </row>
    <row r="12040" spans="18:19" x14ac:dyDescent="0.25">
      <c r="R12040" s="13">
        <v>11967</v>
      </c>
      <c r="S12040" s="13">
        <v>0</v>
      </c>
    </row>
    <row r="12041" spans="18:19" x14ac:dyDescent="0.25">
      <c r="R12041" s="13">
        <v>11968</v>
      </c>
      <c r="S12041" s="13">
        <v>0</v>
      </c>
    </row>
    <row r="12042" spans="18:19" x14ac:dyDescent="0.25">
      <c r="R12042" s="13">
        <v>11969</v>
      </c>
      <c r="S12042" s="13">
        <v>0</v>
      </c>
    </row>
    <row r="12043" spans="18:19" x14ac:dyDescent="0.25">
      <c r="R12043" s="13">
        <v>11970</v>
      </c>
      <c r="S12043" s="13">
        <v>0</v>
      </c>
    </row>
    <row r="12044" spans="18:19" x14ac:dyDescent="0.25">
      <c r="R12044" s="13">
        <v>11971</v>
      </c>
      <c r="S12044" s="13">
        <v>705536818.05380058</v>
      </c>
    </row>
    <row r="12045" spans="18:19" x14ac:dyDescent="0.25">
      <c r="R12045" s="13">
        <v>11972</v>
      </c>
      <c r="S12045" s="13">
        <v>0</v>
      </c>
    </row>
    <row r="12046" spans="18:19" x14ac:dyDescent="0.25">
      <c r="R12046" s="13">
        <v>11973</v>
      </c>
      <c r="S12046" s="13">
        <v>264688043.26240349</v>
      </c>
    </row>
    <row r="12047" spans="18:19" x14ac:dyDescent="0.25">
      <c r="R12047" s="13">
        <v>11974</v>
      </c>
      <c r="S12047" s="13">
        <v>0</v>
      </c>
    </row>
    <row r="12048" spans="18:19" x14ac:dyDescent="0.25">
      <c r="R12048" s="13">
        <v>11975</v>
      </c>
      <c r="S12048" s="13">
        <v>0</v>
      </c>
    </row>
    <row r="12049" spans="18:19" x14ac:dyDescent="0.25">
      <c r="R12049" s="13">
        <v>11976</v>
      </c>
      <c r="S12049" s="13">
        <v>174362024.8480835</v>
      </c>
    </row>
    <row r="12050" spans="18:19" x14ac:dyDescent="0.25">
      <c r="R12050" s="13">
        <v>11977</v>
      </c>
      <c r="S12050" s="13">
        <v>0</v>
      </c>
    </row>
    <row r="12051" spans="18:19" x14ac:dyDescent="0.25">
      <c r="R12051" s="13">
        <v>11978</v>
      </c>
      <c r="S12051" s="13">
        <v>285134827.68010902</v>
      </c>
    </row>
    <row r="12052" spans="18:19" x14ac:dyDescent="0.25">
      <c r="R12052" s="13">
        <v>11979</v>
      </c>
      <c r="S12052" s="13">
        <v>0</v>
      </c>
    </row>
    <row r="12053" spans="18:19" x14ac:dyDescent="0.25">
      <c r="R12053" s="13">
        <v>11980</v>
      </c>
      <c r="S12053" s="13">
        <v>0</v>
      </c>
    </row>
    <row r="12054" spans="18:19" x14ac:dyDescent="0.25">
      <c r="R12054" s="13">
        <v>11981</v>
      </c>
      <c r="S12054" s="13">
        <v>0</v>
      </c>
    </row>
    <row r="12055" spans="18:19" x14ac:dyDescent="0.25">
      <c r="R12055" s="13">
        <v>11982</v>
      </c>
      <c r="S12055" s="13">
        <v>0</v>
      </c>
    </row>
    <row r="12056" spans="18:19" x14ac:dyDescent="0.25">
      <c r="R12056" s="13">
        <v>11983</v>
      </c>
      <c r="S12056" s="13">
        <v>0</v>
      </c>
    </row>
    <row r="12057" spans="18:19" x14ac:dyDescent="0.25">
      <c r="R12057" s="13">
        <v>11984</v>
      </c>
      <c r="S12057" s="13">
        <v>0</v>
      </c>
    </row>
    <row r="12058" spans="18:19" x14ac:dyDescent="0.25">
      <c r="R12058" s="13">
        <v>11985</v>
      </c>
      <c r="S12058" s="13">
        <v>0</v>
      </c>
    </row>
    <row r="12059" spans="18:19" x14ac:dyDescent="0.25">
      <c r="R12059" s="13">
        <v>11986</v>
      </c>
      <c r="S12059" s="13">
        <v>0</v>
      </c>
    </row>
    <row r="12060" spans="18:19" x14ac:dyDescent="0.25">
      <c r="R12060" s="13">
        <v>11987</v>
      </c>
      <c r="S12060" s="13">
        <v>437497008.0243454</v>
      </c>
    </row>
    <row r="12061" spans="18:19" x14ac:dyDescent="0.25">
      <c r="R12061" s="13">
        <v>11988</v>
      </c>
      <c r="S12061" s="13">
        <v>0</v>
      </c>
    </row>
    <row r="12062" spans="18:19" x14ac:dyDescent="0.25">
      <c r="R12062" s="13">
        <v>11989</v>
      </c>
      <c r="S12062" s="13">
        <v>54505248.810516357</v>
      </c>
    </row>
    <row r="12063" spans="18:19" x14ac:dyDescent="0.25">
      <c r="R12063" s="13">
        <v>11990</v>
      </c>
      <c r="S12063" s="13">
        <v>0</v>
      </c>
    </row>
    <row r="12064" spans="18:19" x14ac:dyDescent="0.25">
      <c r="R12064" s="13">
        <v>11991</v>
      </c>
      <c r="S12064" s="13">
        <v>0</v>
      </c>
    </row>
    <row r="12065" spans="18:19" x14ac:dyDescent="0.25">
      <c r="R12065" s="13">
        <v>11992</v>
      </c>
      <c r="S12065" s="13">
        <v>33880685.67376709</v>
      </c>
    </row>
    <row r="12066" spans="18:19" x14ac:dyDescent="0.25">
      <c r="R12066" s="13">
        <v>11993</v>
      </c>
      <c r="S12066" s="13">
        <v>0</v>
      </c>
    </row>
    <row r="12067" spans="18:19" x14ac:dyDescent="0.25">
      <c r="R12067" s="13">
        <v>11994</v>
      </c>
      <c r="S12067" s="13">
        <v>0</v>
      </c>
    </row>
    <row r="12068" spans="18:19" x14ac:dyDescent="0.25">
      <c r="R12068" s="13">
        <v>11995</v>
      </c>
      <c r="S12068" s="13">
        <v>0</v>
      </c>
    </row>
    <row r="12069" spans="18:19" x14ac:dyDescent="0.25">
      <c r="R12069" s="13">
        <v>11996</v>
      </c>
      <c r="S12069" s="13">
        <v>0</v>
      </c>
    </row>
    <row r="12070" spans="18:19" x14ac:dyDescent="0.25">
      <c r="R12070" s="13">
        <v>11997</v>
      </c>
      <c r="S12070" s="13">
        <v>140448479.2315712</v>
      </c>
    </row>
    <row r="12071" spans="18:19" x14ac:dyDescent="0.25">
      <c r="R12071" s="13">
        <v>11998</v>
      </c>
      <c r="S12071" s="13">
        <v>0</v>
      </c>
    </row>
    <row r="12072" spans="18:19" x14ac:dyDescent="0.25">
      <c r="R12072" s="13">
        <v>11999</v>
      </c>
      <c r="S12072" s="13">
        <v>154797692.63291168</v>
      </c>
    </row>
    <row r="12073" spans="18:19" x14ac:dyDescent="0.25">
      <c r="R12073" s="13">
        <v>12000</v>
      </c>
      <c r="S12073" s="13">
        <v>0</v>
      </c>
    </row>
    <row r="12074" spans="18:19" x14ac:dyDescent="0.25">
      <c r="R12074" s="13">
        <v>12001</v>
      </c>
      <c r="S12074" s="13">
        <v>0</v>
      </c>
    </row>
    <row r="12075" spans="18:19" x14ac:dyDescent="0.25">
      <c r="R12075" s="13">
        <v>12002</v>
      </c>
      <c r="S12075" s="13">
        <v>0</v>
      </c>
    </row>
    <row r="12076" spans="18:19" x14ac:dyDescent="0.25">
      <c r="R12076" s="13">
        <v>12003</v>
      </c>
      <c r="S12076" s="13">
        <v>0</v>
      </c>
    </row>
    <row r="12077" spans="18:19" x14ac:dyDescent="0.25">
      <c r="R12077" s="13">
        <v>12004</v>
      </c>
      <c r="S12077" s="13">
        <v>205743383.36650276</v>
      </c>
    </row>
    <row r="12078" spans="18:19" x14ac:dyDescent="0.25">
      <c r="R12078" s="13">
        <v>12005</v>
      </c>
      <c r="S12078" s="13">
        <v>0</v>
      </c>
    </row>
    <row r="12079" spans="18:19" x14ac:dyDescent="0.25">
      <c r="R12079" s="13">
        <v>12006</v>
      </c>
      <c r="S12079" s="13">
        <v>0</v>
      </c>
    </row>
    <row r="12080" spans="18:19" x14ac:dyDescent="0.25">
      <c r="R12080" s="13">
        <v>12007</v>
      </c>
      <c r="S12080" s="13">
        <v>0</v>
      </c>
    </row>
    <row r="12081" spans="18:19" x14ac:dyDescent="0.25">
      <c r="R12081" s="13">
        <v>12008</v>
      </c>
      <c r="S12081" s="13">
        <v>0</v>
      </c>
    </row>
    <row r="12082" spans="18:19" x14ac:dyDescent="0.25">
      <c r="R12082" s="13">
        <v>12009</v>
      </c>
      <c r="S12082" s="13">
        <v>0</v>
      </c>
    </row>
    <row r="12083" spans="18:19" x14ac:dyDescent="0.25">
      <c r="R12083" s="13">
        <v>12010</v>
      </c>
      <c r="S12083" s="13">
        <v>314220955.88648415</v>
      </c>
    </row>
    <row r="12084" spans="18:19" x14ac:dyDescent="0.25">
      <c r="R12084" s="13">
        <v>12011</v>
      </c>
      <c r="S12084" s="13">
        <v>0</v>
      </c>
    </row>
    <row r="12085" spans="18:19" x14ac:dyDescent="0.25">
      <c r="R12085" s="13">
        <v>12012</v>
      </c>
      <c r="S12085" s="13">
        <v>0</v>
      </c>
    </row>
    <row r="12086" spans="18:19" x14ac:dyDescent="0.25">
      <c r="R12086" s="13">
        <v>12013</v>
      </c>
      <c r="S12086" s="13">
        <v>0</v>
      </c>
    </row>
    <row r="12087" spans="18:19" x14ac:dyDescent="0.25">
      <c r="R12087" s="13">
        <v>12014</v>
      </c>
      <c r="S12087" s="13">
        <v>0</v>
      </c>
    </row>
    <row r="12088" spans="18:19" x14ac:dyDescent="0.25">
      <c r="R12088" s="13">
        <v>12015</v>
      </c>
      <c r="S12088" s="13">
        <v>0</v>
      </c>
    </row>
    <row r="12089" spans="18:19" x14ac:dyDescent="0.25">
      <c r="R12089" s="13">
        <v>12016</v>
      </c>
      <c r="S12089" s="13">
        <v>515149887.35523415</v>
      </c>
    </row>
    <row r="12090" spans="18:19" x14ac:dyDescent="0.25">
      <c r="R12090" s="13">
        <v>12017</v>
      </c>
      <c r="S12090" s="13">
        <v>0</v>
      </c>
    </row>
    <row r="12091" spans="18:19" x14ac:dyDescent="0.25">
      <c r="R12091" s="13">
        <v>12018</v>
      </c>
      <c r="S12091" s="13">
        <v>0</v>
      </c>
    </row>
    <row r="12092" spans="18:19" x14ac:dyDescent="0.25">
      <c r="R12092" s="13">
        <v>12019</v>
      </c>
      <c r="S12092" s="13">
        <v>0</v>
      </c>
    </row>
    <row r="12093" spans="18:19" x14ac:dyDescent="0.25">
      <c r="R12093" s="13">
        <v>12020</v>
      </c>
      <c r="S12093" s="13">
        <v>0</v>
      </c>
    </row>
    <row r="12094" spans="18:19" x14ac:dyDescent="0.25">
      <c r="R12094" s="13">
        <v>12021</v>
      </c>
      <c r="S12094" s="13">
        <v>320380804.65508652</v>
      </c>
    </row>
    <row r="12095" spans="18:19" x14ac:dyDescent="0.25">
      <c r="R12095" s="13">
        <v>12022</v>
      </c>
      <c r="S12095" s="13">
        <v>415415830.71223068</v>
      </c>
    </row>
    <row r="12096" spans="18:19" x14ac:dyDescent="0.25">
      <c r="R12096" s="13">
        <v>12023</v>
      </c>
      <c r="S12096" s="13">
        <v>472839890.35553741</v>
      </c>
    </row>
    <row r="12097" spans="18:19" x14ac:dyDescent="0.25">
      <c r="R12097" s="13">
        <v>12024</v>
      </c>
      <c r="S12097" s="13">
        <v>0</v>
      </c>
    </row>
    <row r="12098" spans="18:19" x14ac:dyDescent="0.25">
      <c r="R12098" s="13">
        <v>12025</v>
      </c>
      <c r="S12098" s="13">
        <v>0</v>
      </c>
    </row>
    <row r="12099" spans="18:19" x14ac:dyDescent="0.25">
      <c r="R12099" s="13">
        <v>12026</v>
      </c>
      <c r="S12099" s="13">
        <v>0</v>
      </c>
    </row>
    <row r="12100" spans="18:19" x14ac:dyDescent="0.25">
      <c r="R12100" s="13">
        <v>12027</v>
      </c>
      <c r="S12100" s="13">
        <v>352881397.19211578</v>
      </c>
    </row>
    <row r="12101" spans="18:19" x14ac:dyDescent="0.25">
      <c r="R12101" s="13">
        <v>12028</v>
      </c>
      <c r="S12101" s="13">
        <v>35910669.605068207</v>
      </c>
    </row>
    <row r="12102" spans="18:19" x14ac:dyDescent="0.25">
      <c r="R12102" s="13">
        <v>12029</v>
      </c>
      <c r="S12102" s="13">
        <v>0</v>
      </c>
    </row>
    <row r="12103" spans="18:19" x14ac:dyDescent="0.25">
      <c r="R12103" s="13">
        <v>12030</v>
      </c>
      <c r="S12103" s="13">
        <v>465953243.05551529</v>
      </c>
    </row>
    <row r="12104" spans="18:19" x14ac:dyDescent="0.25">
      <c r="R12104" s="13">
        <v>12031</v>
      </c>
      <c r="S12104" s="13">
        <v>0</v>
      </c>
    </row>
    <row r="12105" spans="18:19" x14ac:dyDescent="0.25">
      <c r="R12105" s="13">
        <v>12032</v>
      </c>
      <c r="S12105" s="13">
        <v>0</v>
      </c>
    </row>
    <row r="12106" spans="18:19" x14ac:dyDescent="0.25">
      <c r="R12106" s="13">
        <v>12033</v>
      </c>
      <c r="S12106" s="13">
        <v>36119713.98664856</v>
      </c>
    </row>
    <row r="12107" spans="18:19" x14ac:dyDescent="0.25">
      <c r="R12107" s="13">
        <v>12034</v>
      </c>
      <c r="S12107" s="13">
        <v>638275641.16709518</v>
      </c>
    </row>
    <row r="12108" spans="18:19" x14ac:dyDescent="0.25">
      <c r="R12108" s="13">
        <v>12035</v>
      </c>
      <c r="S12108" s="13">
        <v>0</v>
      </c>
    </row>
    <row r="12109" spans="18:19" x14ac:dyDescent="0.25">
      <c r="R12109" s="13">
        <v>12036</v>
      </c>
      <c r="S12109" s="13">
        <v>0</v>
      </c>
    </row>
    <row r="12110" spans="18:19" x14ac:dyDescent="0.25">
      <c r="R12110" s="13">
        <v>12037</v>
      </c>
      <c r="S12110" s="13">
        <v>0</v>
      </c>
    </row>
    <row r="12111" spans="18:19" x14ac:dyDescent="0.25">
      <c r="R12111" s="13">
        <v>12038</v>
      </c>
      <c r="S12111" s="13">
        <v>0</v>
      </c>
    </row>
    <row r="12112" spans="18:19" x14ac:dyDescent="0.25">
      <c r="R12112" s="13">
        <v>12039</v>
      </c>
      <c r="S12112" s="13">
        <v>645305219.22811127</v>
      </c>
    </row>
    <row r="12113" spans="18:19" x14ac:dyDescent="0.25">
      <c r="R12113" s="13">
        <v>12040</v>
      </c>
      <c r="S12113" s="13">
        <v>0</v>
      </c>
    </row>
    <row r="12114" spans="18:19" x14ac:dyDescent="0.25">
      <c r="R12114" s="13">
        <v>12041</v>
      </c>
      <c r="S12114" s="13">
        <v>0</v>
      </c>
    </row>
    <row r="12115" spans="18:19" x14ac:dyDescent="0.25">
      <c r="R12115" s="13">
        <v>12042</v>
      </c>
      <c r="S12115" s="13">
        <v>236075434.27971649</v>
      </c>
    </row>
    <row r="12116" spans="18:19" x14ac:dyDescent="0.25">
      <c r="R12116" s="13">
        <v>12043</v>
      </c>
      <c r="S12116" s="13">
        <v>0</v>
      </c>
    </row>
    <row r="12117" spans="18:19" x14ac:dyDescent="0.25">
      <c r="R12117" s="13">
        <v>12044</v>
      </c>
      <c r="S12117" s="13">
        <v>0</v>
      </c>
    </row>
    <row r="12118" spans="18:19" x14ac:dyDescent="0.25">
      <c r="R12118" s="13">
        <v>12045</v>
      </c>
      <c r="S12118" s="13">
        <v>234657073.97379494</v>
      </c>
    </row>
    <row r="12119" spans="18:19" x14ac:dyDescent="0.25">
      <c r="R12119" s="13">
        <v>12046</v>
      </c>
      <c r="S12119" s="13">
        <v>333577253.45185661</v>
      </c>
    </row>
    <row r="12120" spans="18:19" x14ac:dyDescent="0.25">
      <c r="R12120" s="13">
        <v>12047</v>
      </c>
      <c r="S12120" s="13">
        <v>0</v>
      </c>
    </row>
    <row r="12121" spans="18:19" x14ac:dyDescent="0.25">
      <c r="R12121" s="13">
        <v>12048</v>
      </c>
      <c r="S12121" s="13">
        <v>0</v>
      </c>
    </row>
    <row r="12122" spans="18:19" x14ac:dyDescent="0.25">
      <c r="R12122" s="13">
        <v>12049</v>
      </c>
      <c r="S12122" s="13">
        <v>0</v>
      </c>
    </row>
    <row r="12123" spans="18:19" x14ac:dyDescent="0.25">
      <c r="R12123" s="13">
        <v>12050</v>
      </c>
      <c r="S12123" s="13">
        <v>0</v>
      </c>
    </row>
    <row r="12124" spans="18:19" x14ac:dyDescent="0.25">
      <c r="R12124" s="13">
        <v>12051</v>
      </c>
      <c r="S12124" s="13">
        <v>0</v>
      </c>
    </row>
    <row r="12125" spans="18:19" x14ac:dyDescent="0.25">
      <c r="R12125" s="13">
        <v>12052</v>
      </c>
      <c r="S12125" s="13">
        <v>200098910.40708923</v>
      </c>
    </row>
    <row r="12126" spans="18:19" x14ac:dyDescent="0.25">
      <c r="R12126" s="13">
        <v>12053</v>
      </c>
      <c r="S12126" s="13">
        <v>70331876.911466599</v>
      </c>
    </row>
    <row r="12127" spans="18:19" x14ac:dyDescent="0.25">
      <c r="R12127" s="13">
        <v>12054</v>
      </c>
      <c r="S12127" s="13">
        <v>334515760.66650963</v>
      </c>
    </row>
    <row r="12128" spans="18:19" x14ac:dyDescent="0.25">
      <c r="R12128" s="13">
        <v>12055</v>
      </c>
      <c r="S12128" s="13">
        <v>0</v>
      </c>
    </row>
    <row r="12129" spans="18:19" x14ac:dyDescent="0.25">
      <c r="R12129" s="13">
        <v>12056</v>
      </c>
      <c r="S12129" s="13">
        <v>0</v>
      </c>
    </row>
    <row r="12130" spans="18:19" x14ac:dyDescent="0.25">
      <c r="R12130" s="13">
        <v>12057</v>
      </c>
      <c r="S12130" s="13">
        <v>0</v>
      </c>
    </row>
    <row r="12131" spans="18:19" x14ac:dyDescent="0.25">
      <c r="R12131" s="13">
        <v>12058</v>
      </c>
      <c r="S12131" s="13">
        <v>0</v>
      </c>
    </row>
    <row r="12132" spans="18:19" x14ac:dyDescent="0.25">
      <c r="R12132" s="13">
        <v>12059</v>
      </c>
      <c r="S12132" s="13">
        <v>0</v>
      </c>
    </row>
    <row r="12133" spans="18:19" x14ac:dyDescent="0.25">
      <c r="R12133" s="13">
        <v>12060</v>
      </c>
      <c r="S12133" s="13">
        <v>421045756.17325211</v>
      </c>
    </row>
    <row r="12134" spans="18:19" x14ac:dyDescent="0.25">
      <c r="R12134" s="13">
        <v>12061</v>
      </c>
      <c r="S12134" s="13">
        <v>0</v>
      </c>
    </row>
    <row r="12135" spans="18:19" x14ac:dyDescent="0.25">
      <c r="R12135" s="13">
        <v>12062</v>
      </c>
      <c r="S12135" s="13">
        <v>0</v>
      </c>
    </row>
    <row r="12136" spans="18:19" x14ac:dyDescent="0.25">
      <c r="R12136" s="13">
        <v>12063</v>
      </c>
      <c r="S12136" s="13">
        <v>0</v>
      </c>
    </row>
    <row r="12137" spans="18:19" x14ac:dyDescent="0.25">
      <c r="R12137" s="13">
        <v>12064</v>
      </c>
      <c r="S12137" s="13">
        <v>0</v>
      </c>
    </row>
    <row r="12138" spans="18:19" x14ac:dyDescent="0.25">
      <c r="R12138" s="13">
        <v>12065</v>
      </c>
      <c r="S12138" s="13">
        <v>0</v>
      </c>
    </row>
    <row r="12139" spans="18:19" x14ac:dyDescent="0.25">
      <c r="R12139" s="13">
        <v>12066</v>
      </c>
      <c r="S12139" s="13">
        <v>0</v>
      </c>
    </row>
    <row r="12140" spans="18:19" x14ac:dyDescent="0.25">
      <c r="R12140" s="13">
        <v>12067</v>
      </c>
      <c r="S12140" s="13">
        <v>0</v>
      </c>
    </row>
    <row r="12141" spans="18:19" x14ac:dyDescent="0.25">
      <c r="R12141" s="13">
        <v>12068</v>
      </c>
      <c r="S12141" s="13">
        <v>0</v>
      </c>
    </row>
    <row r="12142" spans="18:19" x14ac:dyDescent="0.25">
      <c r="R12142" s="13">
        <v>12069</v>
      </c>
      <c r="S12142" s="13">
        <v>0</v>
      </c>
    </row>
    <row r="12143" spans="18:19" x14ac:dyDescent="0.25">
      <c r="R12143" s="13">
        <v>12070</v>
      </c>
      <c r="S12143" s="13">
        <v>37516036.385698318</v>
      </c>
    </row>
    <row r="12144" spans="18:19" x14ac:dyDescent="0.25">
      <c r="R12144" s="13">
        <v>12071</v>
      </c>
      <c r="S12144" s="13">
        <v>0</v>
      </c>
    </row>
    <row r="12145" spans="18:19" x14ac:dyDescent="0.25">
      <c r="R12145" s="13">
        <v>12072</v>
      </c>
      <c r="S12145" s="13">
        <v>0</v>
      </c>
    </row>
    <row r="12146" spans="18:19" x14ac:dyDescent="0.25">
      <c r="R12146" s="13">
        <v>12073</v>
      </c>
      <c r="S12146" s="13">
        <v>0</v>
      </c>
    </row>
    <row r="12147" spans="18:19" x14ac:dyDescent="0.25">
      <c r="R12147" s="13">
        <v>12074</v>
      </c>
      <c r="S12147" s="13">
        <v>0</v>
      </c>
    </row>
    <row r="12148" spans="18:19" x14ac:dyDescent="0.25">
      <c r="R12148" s="13">
        <v>12075</v>
      </c>
      <c r="S12148" s="13">
        <v>0</v>
      </c>
    </row>
    <row r="12149" spans="18:19" x14ac:dyDescent="0.25">
      <c r="R12149" s="13">
        <v>12076</v>
      </c>
      <c r="S12149" s="13">
        <v>0</v>
      </c>
    </row>
    <row r="12150" spans="18:19" x14ac:dyDescent="0.25">
      <c r="R12150" s="13">
        <v>12077</v>
      </c>
      <c r="S12150" s="13">
        <v>0</v>
      </c>
    </row>
    <row r="12151" spans="18:19" x14ac:dyDescent="0.25">
      <c r="R12151" s="13">
        <v>12078</v>
      </c>
      <c r="S12151" s="13">
        <v>0</v>
      </c>
    </row>
    <row r="12152" spans="18:19" x14ac:dyDescent="0.25">
      <c r="R12152" s="13">
        <v>12079</v>
      </c>
      <c r="S12152" s="13">
        <v>0</v>
      </c>
    </row>
    <row r="12153" spans="18:19" x14ac:dyDescent="0.25">
      <c r="R12153" s="13">
        <v>12080</v>
      </c>
      <c r="S12153" s="13">
        <v>0</v>
      </c>
    </row>
    <row r="12154" spans="18:19" x14ac:dyDescent="0.25">
      <c r="R12154" s="13">
        <v>12081</v>
      </c>
      <c r="S12154" s="13">
        <v>0</v>
      </c>
    </row>
    <row r="12155" spans="18:19" x14ac:dyDescent="0.25">
      <c r="R12155" s="13">
        <v>12082</v>
      </c>
      <c r="S12155" s="13">
        <v>0</v>
      </c>
    </row>
    <row r="12156" spans="18:19" x14ac:dyDescent="0.25">
      <c r="R12156" s="13">
        <v>12083</v>
      </c>
      <c r="S12156" s="13">
        <v>0</v>
      </c>
    </row>
    <row r="12157" spans="18:19" x14ac:dyDescent="0.25">
      <c r="R12157" s="13">
        <v>12084</v>
      </c>
      <c r="S12157" s="13">
        <v>0</v>
      </c>
    </row>
    <row r="12158" spans="18:19" x14ac:dyDescent="0.25">
      <c r="R12158" s="13">
        <v>12085</v>
      </c>
      <c r="S12158" s="13">
        <v>0</v>
      </c>
    </row>
    <row r="12159" spans="18:19" x14ac:dyDescent="0.25">
      <c r="R12159" s="13">
        <v>12086</v>
      </c>
      <c r="S12159" s="13">
        <v>0</v>
      </c>
    </row>
    <row r="12160" spans="18:19" x14ac:dyDescent="0.25">
      <c r="R12160" s="13">
        <v>12087</v>
      </c>
      <c r="S12160" s="13">
        <v>0</v>
      </c>
    </row>
    <row r="12161" spans="18:19" x14ac:dyDescent="0.25">
      <c r="R12161" s="13">
        <v>12088</v>
      </c>
      <c r="S12161" s="13">
        <v>731516393.10612297</v>
      </c>
    </row>
    <row r="12162" spans="18:19" x14ac:dyDescent="0.25">
      <c r="R12162" s="13">
        <v>12089</v>
      </c>
      <c r="S12162" s="13">
        <v>582479334.15604782</v>
      </c>
    </row>
    <row r="12163" spans="18:19" x14ac:dyDescent="0.25">
      <c r="R12163" s="13">
        <v>12090</v>
      </c>
      <c r="S12163" s="13">
        <v>0</v>
      </c>
    </row>
    <row r="12164" spans="18:19" x14ac:dyDescent="0.25">
      <c r="R12164" s="13">
        <v>12091</v>
      </c>
      <c r="S12164" s="13">
        <v>0</v>
      </c>
    </row>
    <row r="12165" spans="18:19" x14ac:dyDescent="0.25">
      <c r="R12165" s="13">
        <v>12092</v>
      </c>
      <c r="S12165" s="13">
        <v>88292004.726436615</v>
      </c>
    </row>
    <row r="12166" spans="18:19" x14ac:dyDescent="0.25">
      <c r="R12166" s="13">
        <v>12093</v>
      </c>
      <c r="S12166" s="13">
        <v>0</v>
      </c>
    </row>
    <row r="12167" spans="18:19" x14ac:dyDescent="0.25">
      <c r="R12167" s="13">
        <v>12094</v>
      </c>
      <c r="S12167" s="13">
        <v>0</v>
      </c>
    </row>
    <row r="12168" spans="18:19" x14ac:dyDescent="0.25">
      <c r="R12168" s="13">
        <v>12095</v>
      </c>
      <c r="S12168" s="13">
        <v>0</v>
      </c>
    </row>
    <row r="12169" spans="18:19" x14ac:dyDescent="0.25">
      <c r="R12169" s="13">
        <v>12096</v>
      </c>
      <c r="S12169" s="13">
        <v>0</v>
      </c>
    </row>
    <row r="12170" spans="18:19" x14ac:dyDescent="0.25">
      <c r="R12170" s="13">
        <v>12097</v>
      </c>
      <c r="S12170" s="13">
        <v>10784971.186023712</v>
      </c>
    </row>
    <row r="12171" spans="18:19" x14ac:dyDescent="0.25">
      <c r="R12171" s="13">
        <v>12098</v>
      </c>
      <c r="S12171" s="13">
        <v>0</v>
      </c>
    </row>
    <row r="12172" spans="18:19" x14ac:dyDescent="0.25">
      <c r="R12172" s="13">
        <v>12099</v>
      </c>
      <c r="S12172" s="13">
        <v>0</v>
      </c>
    </row>
    <row r="12173" spans="18:19" x14ac:dyDescent="0.25">
      <c r="R12173" s="13">
        <v>12100</v>
      </c>
      <c r="S12173" s="13">
        <v>186140412.66195297</v>
      </c>
    </row>
    <row r="12174" spans="18:19" x14ac:dyDescent="0.25">
      <c r="R12174" s="13">
        <v>12101</v>
      </c>
      <c r="S12174" s="13">
        <v>0</v>
      </c>
    </row>
    <row r="12175" spans="18:19" x14ac:dyDescent="0.25">
      <c r="R12175" s="13">
        <v>12102</v>
      </c>
      <c r="S12175" s="13">
        <v>100727506.68728447</v>
      </c>
    </row>
    <row r="12176" spans="18:19" x14ac:dyDescent="0.25">
      <c r="R12176" s="13">
        <v>12103</v>
      </c>
      <c r="S12176" s="13">
        <v>0</v>
      </c>
    </row>
    <row r="12177" spans="18:19" x14ac:dyDescent="0.25">
      <c r="R12177" s="13">
        <v>12104</v>
      </c>
      <c r="S12177" s="13">
        <v>320985556.16536331</v>
      </c>
    </row>
    <row r="12178" spans="18:19" x14ac:dyDescent="0.25">
      <c r="R12178" s="13">
        <v>12105</v>
      </c>
      <c r="S12178" s="13">
        <v>0</v>
      </c>
    </row>
    <row r="12179" spans="18:19" x14ac:dyDescent="0.25">
      <c r="R12179" s="13">
        <v>12106</v>
      </c>
      <c r="S12179" s="13">
        <v>0</v>
      </c>
    </row>
    <row r="12180" spans="18:19" x14ac:dyDescent="0.25">
      <c r="R12180" s="13">
        <v>12107</v>
      </c>
      <c r="S12180" s="13">
        <v>0</v>
      </c>
    </row>
    <row r="12181" spans="18:19" x14ac:dyDescent="0.25">
      <c r="R12181" s="13">
        <v>12108</v>
      </c>
      <c r="S12181" s="13">
        <v>0</v>
      </c>
    </row>
    <row r="12182" spans="18:19" x14ac:dyDescent="0.25">
      <c r="R12182" s="13">
        <v>12109</v>
      </c>
      <c r="S12182" s="13">
        <v>0</v>
      </c>
    </row>
    <row r="12183" spans="18:19" x14ac:dyDescent="0.25">
      <c r="R12183" s="13">
        <v>12110</v>
      </c>
      <c r="S12183" s="13">
        <v>0</v>
      </c>
    </row>
    <row r="12184" spans="18:19" x14ac:dyDescent="0.25">
      <c r="R12184" s="13">
        <v>12111</v>
      </c>
      <c r="S12184" s="13">
        <v>0</v>
      </c>
    </row>
    <row r="12185" spans="18:19" x14ac:dyDescent="0.25">
      <c r="R12185" s="13">
        <v>12112</v>
      </c>
      <c r="S12185" s="13">
        <v>0</v>
      </c>
    </row>
    <row r="12186" spans="18:19" x14ac:dyDescent="0.25">
      <c r="R12186" s="13">
        <v>12113</v>
      </c>
      <c r="S12186" s="13">
        <v>0</v>
      </c>
    </row>
    <row r="12187" spans="18:19" x14ac:dyDescent="0.25">
      <c r="R12187" s="13">
        <v>12114</v>
      </c>
      <c r="S12187" s="13">
        <v>230871618.58625603</v>
      </c>
    </row>
    <row r="12188" spans="18:19" x14ac:dyDescent="0.25">
      <c r="R12188" s="13">
        <v>12115</v>
      </c>
      <c r="S12188" s="13">
        <v>149730926.09387589</v>
      </c>
    </row>
    <row r="12189" spans="18:19" x14ac:dyDescent="0.25">
      <c r="R12189" s="13">
        <v>12116</v>
      </c>
      <c r="S12189" s="13">
        <v>0</v>
      </c>
    </row>
    <row r="12190" spans="18:19" x14ac:dyDescent="0.25">
      <c r="R12190" s="13">
        <v>12117</v>
      </c>
      <c r="S12190" s="13">
        <v>0</v>
      </c>
    </row>
    <row r="12191" spans="18:19" x14ac:dyDescent="0.25">
      <c r="R12191" s="13">
        <v>12118</v>
      </c>
      <c r="S12191" s="13">
        <v>0</v>
      </c>
    </row>
    <row r="12192" spans="18:19" x14ac:dyDescent="0.25">
      <c r="R12192" s="13">
        <v>12119</v>
      </c>
      <c r="S12192" s="13">
        <v>0</v>
      </c>
    </row>
    <row r="12193" spans="18:19" x14ac:dyDescent="0.25">
      <c r="R12193" s="13">
        <v>12120</v>
      </c>
      <c r="S12193" s="13">
        <v>495285328.57436371</v>
      </c>
    </row>
    <row r="12194" spans="18:19" x14ac:dyDescent="0.25">
      <c r="R12194" s="13">
        <v>12121</v>
      </c>
      <c r="S12194" s="13">
        <v>0</v>
      </c>
    </row>
    <row r="12195" spans="18:19" x14ac:dyDescent="0.25">
      <c r="R12195" s="13">
        <v>12122</v>
      </c>
      <c r="S12195" s="13">
        <v>28861854.946327209</v>
      </c>
    </row>
    <row r="12196" spans="18:19" x14ac:dyDescent="0.25">
      <c r="R12196" s="13">
        <v>12123</v>
      </c>
      <c r="S12196" s="13">
        <v>0</v>
      </c>
    </row>
    <row r="12197" spans="18:19" x14ac:dyDescent="0.25">
      <c r="R12197" s="13">
        <v>12124</v>
      </c>
      <c r="S12197" s="13">
        <v>679897539.49982452</v>
      </c>
    </row>
    <row r="12198" spans="18:19" x14ac:dyDescent="0.25">
      <c r="R12198" s="13">
        <v>12125</v>
      </c>
      <c r="S12198" s="13">
        <v>0</v>
      </c>
    </row>
    <row r="12199" spans="18:19" x14ac:dyDescent="0.25">
      <c r="R12199" s="13">
        <v>12126</v>
      </c>
      <c r="S12199" s="13">
        <v>0</v>
      </c>
    </row>
    <row r="12200" spans="18:19" x14ac:dyDescent="0.25">
      <c r="R12200" s="13">
        <v>12127</v>
      </c>
      <c r="S12200" s="13">
        <v>0</v>
      </c>
    </row>
    <row r="12201" spans="18:19" x14ac:dyDescent="0.25">
      <c r="R12201" s="13">
        <v>12128</v>
      </c>
      <c r="S12201" s="13">
        <v>0</v>
      </c>
    </row>
    <row r="12202" spans="18:19" x14ac:dyDescent="0.25">
      <c r="R12202" s="13">
        <v>12129</v>
      </c>
      <c r="S12202" s="13">
        <v>0</v>
      </c>
    </row>
    <row r="12203" spans="18:19" x14ac:dyDescent="0.25">
      <c r="R12203" s="13">
        <v>12130</v>
      </c>
      <c r="S12203" s="13">
        <v>542023571.29860306</v>
      </c>
    </row>
    <row r="12204" spans="18:19" x14ac:dyDescent="0.25">
      <c r="R12204" s="13">
        <v>12131</v>
      </c>
      <c r="S12204" s="13">
        <v>559780842.90008163</v>
      </c>
    </row>
    <row r="12205" spans="18:19" x14ac:dyDescent="0.25">
      <c r="R12205" s="13">
        <v>12132</v>
      </c>
      <c r="S12205" s="13">
        <v>0</v>
      </c>
    </row>
    <row r="12206" spans="18:19" x14ac:dyDescent="0.25">
      <c r="R12206" s="13">
        <v>12133</v>
      </c>
      <c r="S12206" s="13">
        <v>296982241.00273895</v>
      </c>
    </row>
    <row r="12207" spans="18:19" x14ac:dyDescent="0.25">
      <c r="R12207" s="13">
        <v>12134</v>
      </c>
      <c r="S12207" s="13">
        <v>0</v>
      </c>
    </row>
    <row r="12208" spans="18:19" x14ac:dyDescent="0.25">
      <c r="R12208" s="13">
        <v>12135</v>
      </c>
      <c r="S12208" s="13">
        <v>0</v>
      </c>
    </row>
    <row r="12209" spans="18:19" x14ac:dyDescent="0.25">
      <c r="R12209" s="13">
        <v>12136</v>
      </c>
      <c r="S12209" s="13">
        <v>261135842.39460373</v>
      </c>
    </row>
    <row r="12210" spans="18:19" x14ac:dyDescent="0.25">
      <c r="R12210" s="13">
        <v>12137</v>
      </c>
      <c r="S12210" s="13">
        <v>0</v>
      </c>
    </row>
    <row r="12211" spans="18:19" x14ac:dyDescent="0.25">
      <c r="R12211" s="13">
        <v>12138</v>
      </c>
      <c r="S12211" s="13">
        <v>0</v>
      </c>
    </row>
    <row r="12212" spans="18:19" x14ac:dyDescent="0.25">
      <c r="R12212" s="13">
        <v>12139</v>
      </c>
      <c r="S12212" s="13">
        <v>0</v>
      </c>
    </row>
    <row r="12213" spans="18:19" x14ac:dyDescent="0.25">
      <c r="R12213" s="13">
        <v>12140</v>
      </c>
      <c r="S12213" s="13">
        <v>0</v>
      </c>
    </row>
    <row r="12214" spans="18:19" x14ac:dyDescent="0.25">
      <c r="R12214" s="13">
        <v>12141</v>
      </c>
      <c r="S12214" s="13">
        <v>0</v>
      </c>
    </row>
    <row r="12215" spans="18:19" x14ac:dyDescent="0.25">
      <c r="R12215" s="13">
        <v>12142</v>
      </c>
      <c r="S12215" s="13">
        <v>0</v>
      </c>
    </row>
    <row r="12216" spans="18:19" x14ac:dyDescent="0.25">
      <c r="R12216" s="13">
        <v>12143</v>
      </c>
      <c r="S12216" s="13">
        <v>0</v>
      </c>
    </row>
    <row r="12217" spans="18:19" x14ac:dyDescent="0.25">
      <c r="R12217" s="13">
        <v>12144</v>
      </c>
      <c r="S12217" s="13">
        <v>0</v>
      </c>
    </row>
    <row r="12218" spans="18:19" x14ac:dyDescent="0.25">
      <c r="R12218" s="13">
        <v>12145</v>
      </c>
      <c r="S12218" s="13">
        <v>534242149.69804382</v>
      </c>
    </row>
    <row r="12219" spans="18:19" x14ac:dyDescent="0.25">
      <c r="R12219" s="13">
        <v>12146</v>
      </c>
      <c r="S12219" s="13">
        <v>0</v>
      </c>
    </row>
    <row r="12220" spans="18:19" x14ac:dyDescent="0.25">
      <c r="R12220" s="13">
        <v>12147</v>
      </c>
      <c r="S12220" s="13">
        <v>0</v>
      </c>
    </row>
    <row r="12221" spans="18:19" x14ac:dyDescent="0.25">
      <c r="R12221" s="13">
        <v>12148</v>
      </c>
      <c r="S12221" s="13">
        <v>0</v>
      </c>
    </row>
    <row r="12222" spans="18:19" x14ac:dyDescent="0.25">
      <c r="R12222" s="13">
        <v>12149</v>
      </c>
      <c r="S12222" s="13">
        <v>0</v>
      </c>
    </row>
    <row r="12223" spans="18:19" x14ac:dyDescent="0.25">
      <c r="R12223" s="13">
        <v>12150</v>
      </c>
      <c r="S12223" s="13">
        <v>0</v>
      </c>
    </row>
    <row r="12224" spans="18:19" x14ac:dyDescent="0.25">
      <c r="R12224" s="13">
        <v>12151</v>
      </c>
      <c r="S12224" s="13">
        <v>262496336.70154762</v>
      </c>
    </row>
    <row r="12225" spans="18:19" x14ac:dyDescent="0.25">
      <c r="R12225" s="13">
        <v>12152</v>
      </c>
      <c r="S12225" s="13">
        <v>0</v>
      </c>
    </row>
    <row r="12226" spans="18:19" x14ac:dyDescent="0.25">
      <c r="R12226" s="13">
        <v>12153</v>
      </c>
      <c r="S12226" s="13">
        <v>0</v>
      </c>
    </row>
    <row r="12227" spans="18:19" x14ac:dyDescent="0.25">
      <c r="R12227" s="13">
        <v>12154</v>
      </c>
      <c r="S12227" s="13">
        <v>0</v>
      </c>
    </row>
    <row r="12228" spans="18:19" x14ac:dyDescent="0.25">
      <c r="R12228" s="13">
        <v>12155</v>
      </c>
      <c r="S12228" s="13">
        <v>0</v>
      </c>
    </row>
    <row r="12229" spans="18:19" x14ac:dyDescent="0.25">
      <c r="R12229" s="13">
        <v>12156</v>
      </c>
      <c r="S12229" s="13">
        <v>199522988.50151253</v>
      </c>
    </row>
    <row r="12230" spans="18:19" x14ac:dyDescent="0.25">
      <c r="R12230" s="13">
        <v>12157</v>
      </c>
      <c r="S12230" s="13">
        <v>0</v>
      </c>
    </row>
    <row r="12231" spans="18:19" x14ac:dyDescent="0.25">
      <c r="R12231" s="13">
        <v>12158</v>
      </c>
      <c r="S12231" s="13">
        <v>0</v>
      </c>
    </row>
    <row r="12232" spans="18:19" x14ac:dyDescent="0.25">
      <c r="R12232" s="13">
        <v>12159</v>
      </c>
      <c r="S12232" s="13">
        <v>0</v>
      </c>
    </row>
    <row r="12233" spans="18:19" x14ac:dyDescent="0.25">
      <c r="R12233" s="13">
        <v>12160</v>
      </c>
      <c r="S12233" s="13">
        <v>0</v>
      </c>
    </row>
    <row r="12234" spans="18:19" x14ac:dyDescent="0.25">
      <c r="R12234" s="13">
        <v>12161</v>
      </c>
      <c r="S12234" s="13">
        <v>0</v>
      </c>
    </row>
    <row r="12235" spans="18:19" x14ac:dyDescent="0.25">
      <c r="R12235" s="13">
        <v>12162</v>
      </c>
      <c r="S12235" s="13">
        <v>0</v>
      </c>
    </row>
    <row r="12236" spans="18:19" x14ac:dyDescent="0.25">
      <c r="R12236" s="13">
        <v>12163</v>
      </c>
      <c r="S12236" s="13">
        <v>0</v>
      </c>
    </row>
    <row r="12237" spans="18:19" x14ac:dyDescent="0.25">
      <c r="R12237" s="13">
        <v>12164</v>
      </c>
      <c r="S12237" s="13">
        <v>0</v>
      </c>
    </row>
    <row r="12238" spans="18:19" x14ac:dyDescent="0.25">
      <c r="R12238" s="13">
        <v>12165</v>
      </c>
      <c r="S12238" s="13">
        <v>138713913.45046043</v>
      </c>
    </row>
    <row r="12239" spans="18:19" x14ac:dyDescent="0.25">
      <c r="R12239" s="13">
        <v>12166</v>
      </c>
      <c r="S12239" s="13">
        <v>353384712.08837509</v>
      </c>
    </row>
    <row r="12240" spans="18:19" x14ac:dyDescent="0.25">
      <c r="R12240" s="13">
        <v>12167</v>
      </c>
      <c r="S12240" s="13">
        <v>0</v>
      </c>
    </row>
    <row r="12241" spans="18:19" x14ac:dyDescent="0.25">
      <c r="R12241" s="13">
        <v>12168</v>
      </c>
      <c r="S12241" s="13">
        <v>0</v>
      </c>
    </row>
    <row r="12242" spans="18:19" x14ac:dyDescent="0.25">
      <c r="R12242" s="13">
        <v>12169</v>
      </c>
      <c r="S12242" s="13">
        <v>0</v>
      </c>
    </row>
    <row r="12243" spans="18:19" x14ac:dyDescent="0.25">
      <c r="R12243" s="13">
        <v>12170</v>
      </c>
      <c r="S12243" s="13">
        <v>0</v>
      </c>
    </row>
    <row r="12244" spans="18:19" x14ac:dyDescent="0.25">
      <c r="R12244" s="13">
        <v>12171</v>
      </c>
      <c r="S12244" s="13">
        <v>17379610.15886879</v>
      </c>
    </row>
    <row r="12245" spans="18:19" x14ac:dyDescent="0.25">
      <c r="R12245" s="13">
        <v>12172</v>
      </c>
      <c r="S12245" s="13">
        <v>0</v>
      </c>
    </row>
    <row r="12246" spans="18:19" x14ac:dyDescent="0.25">
      <c r="R12246" s="13">
        <v>12173</v>
      </c>
      <c r="S12246" s="13">
        <v>0</v>
      </c>
    </row>
    <row r="12247" spans="18:19" x14ac:dyDescent="0.25">
      <c r="R12247" s="13">
        <v>12174</v>
      </c>
      <c r="S12247" s="13">
        <v>0</v>
      </c>
    </row>
    <row r="12248" spans="18:19" x14ac:dyDescent="0.25">
      <c r="R12248" s="13">
        <v>12175</v>
      </c>
      <c r="S12248" s="13">
        <v>0</v>
      </c>
    </row>
    <row r="12249" spans="18:19" x14ac:dyDescent="0.25">
      <c r="R12249" s="13">
        <v>12176</v>
      </c>
      <c r="S12249" s="13">
        <v>0</v>
      </c>
    </row>
    <row r="12250" spans="18:19" x14ac:dyDescent="0.25">
      <c r="R12250" s="13">
        <v>12177</v>
      </c>
      <c r="S12250" s="13">
        <v>72538744.469928741</v>
      </c>
    </row>
    <row r="12251" spans="18:19" x14ac:dyDescent="0.25">
      <c r="R12251" s="13">
        <v>12178</v>
      </c>
      <c r="S12251" s="13">
        <v>0</v>
      </c>
    </row>
    <row r="12252" spans="18:19" x14ac:dyDescent="0.25">
      <c r="R12252" s="13">
        <v>12179</v>
      </c>
      <c r="S12252" s="13">
        <v>0</v>
      </c>
    </row>
    <row r="12253" spans="18:19" x14ac:dyDescent="0.25">
      <c r="R12253" s="13">
        <v>12180</v>
      </c>
      <c r="S12253" s="13">
        <v>0</v>
      </c>
    </row>
    <row r="12254" spans="18:19" x14ac:dyDescent="0.25">
      <c r="R12254" s="13">
        <v>12181</v>
      </c>
      <c r="S12254" s="13">
        <v>0</v>
      </c>
    </row>
    <row r="12255" spans="18:19" x14ac:dyDescent="0.25">
      <c r="R12255" s="13">
        <v>12182</v>
      </c>
      <c r="S12255" s="13">
        <v>0</v>
      </c>
    </row>
    <row r="12256" spans="18:19" x14ac:dyDescent="0.25">
      <c r="R12256" s="13">
        <v>12183</v>
      </c>
      <c r="S12256" s="13">
        <v>0</v>
      </c>
    </row>
    <row r="12257" spans="18:19" x14ac:dyDescent="0.25">
      <c r="R12257" s="13">
        <v>12184</v>
      </c>
      <c r="S12257" s="13">
        <v>0</v>
      </c>
    </row>
    <row r="12258" spans="18:19" x14ac:dyDescent="0.25">
      <c r="R12258" s="13">
        <v>12185</v>
      </c>
      <c r="S12258" s="13">
        <v>0</v>
      </c>
    </row>
    <row r="12259" spans="18:19" x14ac:dyDescent="0.25">
      <c r="R12259" s="13">
        <v>12186</v>
      </c>
      <c r="S12259" s="13">
        <v>210468756.75766373</v>
      </c>
    </row>
    <row r="12260" spans="18:19" x14ac:dyDescent="0.25">
      <c r="R12260" s="13">
        <v>12187</v>
      </c>
      <c r="S12260" s="13">
        <v>0</v>
      </c>
    </row>
    <row r="12261" spans="18:19" x14ac:dyDescent="0.25">
      <c r="R12261" s="13">
        <v>12188</v>
      </c>
      <c r="S12261" s="13">
        <v>404547137.48350906</v>
      </c>
    </row>
    <row r="12262" spans="18:19" x14ac:dyDescent="0.25">
      <c r="R12262" s="13">
        <v>12189</v>
      </c>
      <c r="S12262" s="13">
        <v>0</v>
      </c>
    </row>
    <row r="12263" spans="18:19" x14ac:dyDescent="0.25">
      <c r="R12263" s="13">
        <v>12190</v>
      </c>
      <c r="S12263" s="13">
        <v>0</v>
      </c>
    </row>
    <row r="12264" spans="18:19" x14ac:dyDescent="0.25">
      <c r="R12264" s="13">
        <v>12191</v>
      </c>
      <c r="S12264" s="13">
        <v>141611441.6416111</v>
      </c>
    </row>
    <row r="12265" spans="18:19" x14ac:dyDescent="0.25">
      <c r="R12265" s="13">
        <v>12192</v>
      </c>
      <c r="S12265" s="13">
        <v>314487133.7277565</v>
      </c>
    </row>
    <row r="12266" spans="18:19" x14ac:dyDescent="0.25">
      <c r="R12266" s="13">
        <v>12193</v>
      </c>
      <c r="S12266" s="13">
        <v>0</v>
      </c>
    </row>
    <row r="12267" spans="18:19" x14ac:dyDescent="0.25">
      <c r="R12267" s="13">
        <v>12194</v>
      </c>
      <c r="S12267" s="13">
        <v>0</v>
      </c>
    </row>
    <row r="12268" spans="18:19" x14ac:dyDescent="0.25">
      <c r="R12268" s="13">
        <v>12195</v>
      </c>
      <c r="S12268" s="13">
        <v>0</v>
      </c>
    </row>
    <row r="12269" spans="18:19" x14ac:dyDescent="0.25">
      <c r="R12269" s="13">
        <v>12196</v>
      </c>
      <c r="S12269" s="13">
        <v>0</v>
      </c>
    </row>
    <row r="12270" spans="18:19" x14ac:dyDescent="0.25">
      <c r="R12270" s="13">
        <v>12197</v>
      </c>
      <c r="S12270" s="13">
        <v>0</v>
      </c>
    </row>
    <row r="12271" spans="18:19" x14ac:dyDescent="0.25">
      <c r="R12271" s="13">
        <v>12198</v>
      </c>
      <c r="S12271" s="13">
        <v>0</v>
      </c>
    </row>
    <row r="12272" spans="18:19" x14ac:dyDescent="0.25">
      <c r="R12272" s="13">
        <v>12199</v>
      </c>
      <c r="S12272" s="13">
        <v>0</v>
      </c>
    </row>
    <row r="12273" spans="18:19" x14ac:dyDescent="0.25">
      <c r="R12273" s="13">
        <v>12200</v>
      </c>
      <c r="S12273" s="13">
        <v>0</v>
      </c>
    </row>
    <row r="12274" spans="18:19" x14ac:dyDescent="0.25">
      <c r="R12274" s="13">
        <v>12201</v>
      </c>
      <c r="S12274" s="13">
        <v>0</v>
      </c>
    </row>
    <row r="12275" spans="18:19" x14ac:dyDescent="0.25">
      <c r="R12275" s="13">
        <v>12202</v>
      </c>
      <c r="S12275" s="13">
        <v>183317698.92156601</v>
      </c>
    </row>
    <row r="12276" spans="18:19" x14ac:dyDescent="0.25">
      <c r="R12276" s="13">
        <v>12203</v>
      </c>
      <c r="S12276" s="13">
        <v>0</v>
      </c>
    </row>
    <row r="12277" spans="18:19" x14ac:dyDescent="0.25">
      <c r="R12277" s="13">
        <v>12204</v>
      </c>
      <c r="S12277" s="13">
        <v>0</v>
      </c>
    </row>
    <row r="12278" spans="18:19" x14ac:dyDescent="0.25">
      <c r="R12278" s="13">
        <v>12205</v>
      </c>
      <c r="S12278" s="13">
        <v>0</v>
      </c>
    </row>
    <row r="12279" spans="18:19" x14ac:dyDescent="0.25">
      <c r="R12279" s="13">
        <v>12206</v>
      </c>
      <c r="S12279" s="13">
        <v>254915834.67787361</v>
      </c>
    </row>
    <row r="12280" spans="18:19" x14ac:dyDescent="0.25">
      <c r="R12280" s="13">
        <v>12207</v>
      </c>
      <c r="S12280" s="13">
        <v>0</v>
      </c>
    </row>
    <row r="12281" spans="18:19" x14ac:dyDescent="0.25">
      <c r="R12281" s="13">
        <v>12208</v>
      </c>
      <c r="S12281" s="13">
        <v>0</v>
      </c>
    </row>
    <row r="12282" spans="18:19" x14ac:dyDescent="0.25">
      <c r="R12282" s="13">
        <v>12209</v>
      </c>
      <c r="S12282" s="13">
        <v>0</v>
      </c>
    </row>
    <row r="12283" spans="18:19" x14ac:dyDescent="0.25">
      <c r="R12283" s="13">
        <v>12210</v>
      </c>
      <c r="S12283" s="13">
        <v>27556140.161045074</v>
      </c>
    </row>
    <row r="12284" spans="18:19" x14ac:dyDescent="0.25">
      <c r="R12284" s="13">
        <v>12211</v>
      </c>
      <c r="S12284" s="13">
        <v>0</v>
      </c>
    </row>
    <row r="12285" spans="18:19" x14ac:dyDescent="0.25">
      <c r="R12285" s="13">
        <v>12212</v>
      </c>
      <c r="S12285" s="13">
        <v>0</v>
      </c>
    </row>
    <row r="12286" spans="18:19" x14ac:dyDescent="0.25">
      <c r="R12286" s="13">
        <v>12213</v>
      </c>
      <c r="S12286" s="13">
        <v>0</v>
      </c>
    </row>
    <row r="12287" spans="18:19" x14ac:dyDescent="0.25">
      <c r="R12287" s="13">
        <v>12214</v>
      </c>
      <c r="S12287" s="13">
        <v>0</v>
      </c>
    </row>
    <row r="12288" spans="18:19" x14ac:dyDescent="0.25">
      <c r="R12288" s="13">
        <v>12215</v>
      </c>
      <c r="S12288" s="13">
        <v>0</v>
      </c>
    </row>
    <row r="12289" spans="18:19" x14ac:dyDescent="0.25">
      <c r="R12289" s="13">
        <v>12216</v>
      </c>
      <c r="S12289" s="13">
        <v>0</v>
      </c>
    </row>
    <row r="12290" spans="18:19" x14ac:dyDescent="0.25">
      <c r="R12290" s="13">
        <v>12217</v>
      </c>
      <c r="S12290" s="13">
        <v>0</v>
      </c>
    </row>
    <row r="12291" spans="18:19" x14ac:dyDescent="0.25">
      <c r="R12291" s="13">
        <v>12218</v>
      </c>
      <c r="S12291" s="13">
        <v>0</v>
      </c>
    </row>
    <row r="12292" spans="18:19" x14ac:dyDescent="0.25">
      <c r="R12292" s="13">
        <v>12219</v>
      </c>
      <c r="S12292" s="13">
        <v>0</v>
      </c>
    </row>
    <row r="12293" spans="18:19" x14ac:dyDescent="0.25">
      <c r="R12293" s="13">
        <v>12220</v>
      </c>
      <c r="S12293" s="13">
        <v>0</v>
      </c>
    </row>
    <row r="12294" spans="18:19" x14ac:dyDescent="0.25">
      <c r="R12294" s="13">
        <v>12221</v>
      </c>
      <c r="S12294" s="13">
        <v>0</v>
      </c>
    </row>
    <row r="12295" spans="18:19" x14ac:dyDescent="0.25">
      <c r="R12295" s="13">
        <v>12222</v>
      </c>
      <c r="S12295" s="13">
        <v>0</v>
      </c>
    </row>
    <row r="12296" spans="18:19" x14ac:dyDescent="0.25">
      <c r="R12296" s="13">
        <v>12223</v>
      </c>
      <c r="S12296" s="13">
        <v>0</v>
      </c>
    </row>
    <row r="12297" spans="18:19" x14ac:dyDescent="0.25">
      <c r="R12297" s="13">
        <v>12224</v>
      </c>
      <c r="S12297" s="13">
        <v>0</v>
      </c>
    </row>
    <row r="12298" spans="18:19" x14ac:dyDescent="0.25">
      <c r="R12298" s="13">
        <v>12225</v>
      </c>
      <c r="S12298" s="13">
        <v>0</v>
      </c>
    </row>
    <row r="12299" spans="18:19" x14ac:dyDescent="0.25">
      <c r="R12299" s="13">
        <v>12226</v>
      </c>
      <c r="S12299" s="13">
        <v>0</v>
      </c>
    </row>
    <row r="12300" spans="18:19" x14ac:dyDescent="0.25">
      <c r="R12300" s="13">
        <v>12227</v>
      </c>
      <c r="S12300" s="13">
        <v>0</v>
      </c>
    </row>
    <row r="12301" spans="18:19" x14ac:dyDescent="0.25">
      <c r="R12301" s="13">
        <v>12228</v>
      </c>
      <c r="S12301" s="13">
        <v>0</v>
      </c>
    </row>
    <row r="12302" spans="18:19" x14ac:dyDescent="0.25">
      <c r="R12302" s="13">
        <v>12229</v>
      </c>
      <c r="S12302" s="13">
        <v>0</v>
      </c>
    </row>
    <row r="12303" spans="18:19" x14ac:dyDescent="0.25">
      <c r="R12303" s="13">
        <v>12230</v>
      </c>
      <c r="S12303" s="13">
        <v>0</v>
      </c>
    </row>
    <row r="12304" spans="18:19" x14ac:dyDescent="0.25">
      <c r="R12304" s="13">
        <v>12231</v>
      </c>
      <c r="S12304" s="13">
        <v>0</v>
      </c>
    </row>
    <row r="12305" spans="18:19" x14ac:dyDescent="0.25">
      <c r="R12305" s="13">
        <v>12232</v>
      </c>
      <c r="S12305" s="13">
        <v>0</v>
      </c>
    </row>
    <row r="12306" spans="18:19" x14ac:dyDescent="0.25">
      <c r="R12306" s="13">
        <v>12233</v>
      </c>
      <c r="S12306" s="13">
        <v>0</v>
      </c>
    </row>
    <row r="12307" spans="18:19" x14ac:dyDescent="0.25">
      <c r="R12307" s="13">
        <v>12234</v>
      </c>
      <c r="S12307" s="13">
        <v>632459744.83743477</v>
      </c>
    </row>
    <row r="12308" spans="18:19" x14ac:dyDescent="0.25">
      <c r="R12308" s="13">
        <v>12235</v>
      </c>
      <c r="S12308" s="13">
        <v>0</v>
      </c>
    </row>
    <row r="12309" spans="18:19" x14ac:dyDescent="0.25">
      <c r="R12309" s="13">
        <v>12236</v>
      </c>
      <c r="S12309" s="13">
        <v>0</v>
      </c>
    </row>
    <row r="12310" spans="18:19" x14ac:dyDescent="0.25">
      <c r="R12310" s="13">
        <v>12237</v>
      </c>
      <c r="S12310" s="13">
        <v>0</v>
      </c>
    </row>
    <row r="12311" spans="18:19" x14ac:dyDescent="0.25">
      <c r="R12311" s="13">
        <v>12238</v>
      </c>
      <c r="S12311" s="13">
        <v>0</v>
      </c>
    </row>
    <row r="12312" spans="18:19" x14ac:dyDescent="0.25">
      <c r="R12312" s="13">
        <v>12239</v>
      </c>
      <c r="S12312" s="13">
        <v>0</v>
      </c>
    </row>
    <row r="12313" spans="18:19" x14ac:dyDescent="0.25">
      <c r="R12313" s="13">
        <v>12240</v>
      </c>
      <c r="S12313" s="13">
        <v>0</v>
      </c>
    </row>
    <row r="12314" spans="18:19" x14ac:dyDescent="0.25">
      <c r="R12314" s="13">
        <v>12241</v>
      </c>
      <c r="S12314" s="13">
        <v>793281421.72163773</v>
      </c>
    </row>
    <row r="12315" spans="18:19" x14ac:dyDescent="0.25">
      <c r="R12315" s="13">
        <v>12242</v>
      </c>
      <c r="S12315" s="13">
        <v>0</v>
      </c>
    </row>
    <row r="12316" spans="18:19" x14ac:dyDescent="0.25">
      <c r="R12316" s="13">
        <v>12243</v>
      </c>
      <c r="S12316" s="13">
        <v>0</v>
      </c>
    </row>
    <row r="12317" spans="18:19" x14ac:dyDescent="0.25">
      <c r="R12317" s="13">
        <v>12244</v>
      </c>
      <c r="S12317" s="13">
        <v>0</v>
      </c>
    </row>
    <row r="12318" spans="18:19" x14ac:dyDescent="0.25">
      <c r="R12318" s="13">
        <v>12245</v>
      </c>
      <c r="S12318" s="13">
        <v>339672856.64657974</v>
      </c>
    </row>
    <row r="12319" spans="18:19" x14ac:dyDescent="0.25">
      <c r="R12319" s="13">
        <v>12246</v>
      </c>
      <c r="S12319" s="13">
        <v>0</v>
      </c>
    </row>
    <row r="12320" spans="18:19" x14ac:dyDescent="0.25">
      <c r="R12320" s="13">
        <v>12247</v>
      </c>
      <c r="S12320" s="13">
        <v>0</v>
      </c>
    </row>
    <row r="12321" spans="18:19" x14ac:dyDescent="0.25">
      <c r="R12321" s="13">
        <v>12248</v>
      </c>
      <c r="S12321" s="13">
        <v>0</v>
      </c>
    </row>
    <row r="12322" spans="18:19" x14ac:dyDescent="0.25">
      <c r="R12322" s="13">
        <v>12249</v>
      </c>
      <c r="S12322" s="13">
        <v>237070632.69780731</v>
      </c>
    </row>
    <row r="12323" spans="18:19" x14ac:dyDescent="0.25">
      <c r="R12323" s="13">
        <v>12250</v>
      </c>
      <c r="S12323" s="13">
        <v>488131281.67722702</v>
      </c>
    </row>
    <row r="12324" spans="18:19" x14ac:dyDescent="0.25">
      <c r="R12324" s="13">
        <v>12251</v>
      </c>
      <c r="S12324" s="13">
        <v>0</v>
      </c>
    </row>
    <row r="12325" spans="18:19" x14ac:dyDescent="0.25">
      <c r="R12325" s="13">
        <v>12252</v>
      </c>
      <c r="S12325" s="13">
        <v>0</v>
      </c>
    </row>
    <row r="12326" spans="18:19" x14ac:dyDescent="0.25">
      <c r="R12326" s="13">
        <v>12253</v>
      </c>
      <c r="S12326" s="13">
        <v>0</v>
      </c>
    </row>
    <row r="12327" spans="18:19" x14ac:dyDescent="0.25">
      <c r="R12327" s="13">
        <v>12254</v>
      </c>
      <c r="S12327" s="13">
        <v>78377988.350395203</v>
      </c>
    </row>
    <row r="12328" spans="18:19" x14ac:dyDescent="0.25">
      <c r="R12328" s="13">
        <v>12255</v>
      </c>
      <c r="S12328" s="13">
        <v>0</v>
      </c>
    </row>
    <row r="12329" spans="18:19" x14ac:dyDescent="0.25">
      <c r="R12329" s="13">
        <v>12256</v>
      </c>
      <c r="S12329" s="13">
        <v>133698662.82231712</v>
      </c>
    </row>
    <row r="12330" spans="18:19" x14ac:dyDescent="0.25">
      <c r="R12330" s="13">
        <v>12257</v>
      </c>
      <c r="S12330" s="13">
        <v>0</v>
      </c>
    </row>
    <row r="12331" spans="18:19" x14ac:dyDescent="0.25">
      <c r="R12331" s="13">
        <v>12258</v>
      </c>
      <c r="S12331" s="13">
        <v>0</v>
      </c>
    </row>
    <row r="12332" spans="18:19" x14ac:dyDescent="0.25">
      <c r="R12332" s="13">
        <v>12259</v>
      </c>
      <c r="S12332" s="13">
        <v>0</v>
      </c>
    </row>
    <row r="12333" spans="18:19" x14ac:dyDescent="0.25">
      <c r="R12333" s="13">
        <v>12260</v>
      </c>
      <c r="S12333" s="13">
        <v>0</v>
      </c>
    </row>
    <row r="12334" spans="18:19" x14ac:dyDescent="0.25">
      <c r="R12334" s="13">
        <v>12261</v>
      </c>
      <c r="S12334" s="13">
        <v>33143280.450733185</v>
      </c>
    </row>
    <row r="12335" spans="18:19" x14ac:dyDescent="0.25">
      <c r="R12335" s="13">
        <v>12262</v>
      </c>
      <c r="S12335" s="13">
        <v>0</v>
      </c>
    </row>
    <row r="12336" spans="18:19" x14ac:dyDescent="0.25">
      <c r="R12336" s="13">
        <v>12263</v>
      </c>
      <c r="S12336" s="13">
        <v>408480507.15907478</v>
      </c>
    </row>
    <row r="12337" spans="18:19" x14ac:dyDescent="0.25">
      <c r="R12337" s="13">
        <v>12264</v>
      </c>
      <c r="S12337" s="13">
        <v>0</v>
      </c>
    </row>
    <row r="12338" spans="18:19" x14ac:dyDescent="0.25">
      <c r="R12338" s="13">
        <v>12265</v>
      </c>
      <c r="S12338" s="13">
        <v>0</v>
      </c>
    </row>
    <row r="12339" spans="18:19" x14ac:dyDescent="0.25">
      <c r="R12339" s="13">
        <v>12266</v>
      </c>
      <c r="S12339" s="13">
        <v>0</v>
      </c>
    </row>
    <row r="12340" spans="18:19" x14ac:dyDescent="0.25">
      <c r="R12340" s="13">
        <v>12267</v>
      </c>
      <c r="S12340" s="13">
        <v>787463684.55897713</v>
      </c>
    </row>
    <row r="12341" spans="18:19" x14ac:dyDescent="0.25">
      <c r="R12341" s="13">
        <v>12268</v>
      </c>
      <c r="S12341" s="13">
        <v>207484520.20960999</v>
      </c>
    </row>
    <row r="12342" spans="18:19" x14ac:dyDescent="0.25">
      <c r="R12342" s="13">
        <v>12269</v>
      </c>
      <c r="S12342" s="13">
        <v>0</v>
      </c>
    </row>
    <row r="12343" spans="18:19" x14ac:dyDescent="0.25">
      <c r="R12343" s="13">
        <v>12270</v>
      </c>
      <c r="S12343" s="13">
        <v>0</v>
      </c>
    </row>
    <row r="12344" spans="18:19" x14ac:dyDescent="0.25">
      <c r="R12344" s="13">
        <v>12271</v>
      </c>
      <c r="S12344" s="13">
        <v>0</v>
      </c>
    </row>
    <row r="12345" spans="18:19" x14ac:dyDescent="0.25">
      <c r="R12345" s="13">
        <v>12272</v>
      </c>
      <c r="S12345" s="13">
        <v>0</v>
      </c>
    </row>
    <row r="12346" spans="18:19" x14ac:dyDescent="0.25">
      <c r="R12346" s="13">
        <v>12273</v>
      </c>
      <c r="S12346" s="13">
        <v>0</v>
      </c>
    </row>
    <row r="12347" spans="18:19" x14ac:dyDescent="0.25">
      <c r="R12347" s="13">
        <v>12274</v>
      </c>
      <c r="S12347" s="13">
        <v>0</v>
      </c>
    </row>
    <row r="12348" spans="18:19" x14ac:dyDescent="0.25">
      <c r="R12348" s="13">
        <v>12275</v>
      </c>
      <c r="S12348" s="13">
        <v>427093917.71097565</v>
      </c>
    </row>
    <row r="12349" spans="18:19" x14ac:dyDescent="0.25">
      <c r="R12349" s="13">
        <v>12276</v>
      </c>
      <c r="S12349" s="13">
        <v>0</v>
      </c>
    </row>
    <row r="12350" spans="18:19" x14ac:dyDescent="0.25">
      <c r="R12350" s="13">
        <v>12277</v>
      </c>
      <c r="S12350" s="13">
        <v>0</v>
      </c>
    </row>
    <row r="12351" spans="18:19" x14ac:dyDescent="0.25">
      <c r="R12351" s="13">
        <v>12278</v>
      </c>
      <c r="S12351" s="13">
        <v>0</v>
      </c>
    </row>
    <row r="12352" spans="18:19" x14ac:dyDescent="0.25">
      <c r="R12352" s="13">
        <v>12279</v>
      </c>
      <c r="S12352" s="13">
        <v>0</v>
      </c>
    </row>
    <row r="12353" spans="18:19" x14ac:dyDescent="0.25">
      <c r="R12353" s="13">
        <v>12280</v>
      </c>
      <c r="S12353" s="13">
        <v>0</v>
      </c>
    </row>
    <row r="12354" spans="18:19" x14ac:dyDescent="0.25">
      <c r="R12354" s="13">
        <v>12281</v>
      </c>
      <c r="S12354" s="13">
        <v>153510688.05088997</v>
      </c>
    </row>
    <row r="12355" spans="18:19" x14ac:dyDescent="0.25">
      <c r="R12355" s="13">
        <v>12282</v>
      </c>
      <c r="S12355" s="13">
        <v>293522204.69025612</v>
      </c>
    </row>
    <row r="12356" spans="18:19" x14ac:dyDescent="0.25">
      <c r="R12356" s="13">
        <v>12283</v>
      </c>
      <c r="S12356" s="13">
        <v>0</v>
      </c>
    </row>
    <row r="12357" spans="18:19" x14ac:dyDescent="0.25">
      <c r="R12357" s="13">
        <v>12284</v>
      </c>
      <c r="S12357" s="13">
        <v>0</v>
      </c>
    </row>
    <row r="12358" spans="18:19" x14ac:dyDescent="0.25">
      <c r="R12358" s="13">
        <v>12285</v>
      </c>
      <c r="S12358" s="13">
        <v>0</v>
      </c>
    </row>
    <row r="12359" spans="18:19" x14ac:dyDescent="0.25">
      <c r="R12359" s="13">
        <v>12286</v>
      </c>
      <c r="S12359" s="13">
        <v>0</v>
      </c>
    </row>
    <row r="12360" spans="18:19" x14ac:dyDescent="0.25">
      <c r="R12360" s="13">
        <v>12287</v>
      </c>
      <c r="S12360" s="13">
        <v>0</v>
      </c>
    </row>
    <row r="12361" spans="18:19" x14ac:dyDescent="0.25">
      <c r="R12361" s="13">
        <v>12288</v>
      </c>
      <c r="S12361" s="13">
        <v>0</v>
      </c>
    </row>
    <row r="12362" spans="18:19" x14ac:dyDescent="0.25">
      <c r="R12362" s="13">
        <v>12289</v>
      </c>
      <c r="S12362" s="13">
        <v>0</v>
      </c>
    </row>
    <row r="12363" spans="18:19" x14ac:dyDescent="0.25">
      <c r="R12363" s="13">
        <v>12290</v>
      </c>
      <c r="S12363" s="13">
        <v>0</v>
      </c>
    </row>
    <row r="12364" spans="18:19" x14ac:dyDescent="0.25">
      <c r="R12364" s="13">
        <v>12291</v>
      </c>
      <c r="S12364" s="13">
        <v>0</v>
      </c>
    </row>
    <row r="12365" spans="18:19" x14ac:dyDescent="0.25">
      <c r="R12365" s="13">
        <v>12292</v>
      </c>
      <c r="S12365" s="13">
        <v>0</v>
      </c>
    </row>
    <row r="12366" spans="18:19" x14ac:dyDescent="0.25">
      <c r="R12366" s="13">
        <v>12293</v>
      </c>
      <c r="S12366" s="13">
        <v>0</v>
      </c>
    </row>
    <row r="12367" spans="18:19" x14ac:dyDescent="0.25">
      <c r="R12367" s="13">
        <v>12294</v>
      </c>
      <c r="S12367" s="13">
        <v>0</v>
      </c>
    </row>
    <row r="12368" spans="18:19" x14ac:dyDescent="0.25">
      <c r="R12368" s="13">
        <v>12295</v>
      </c>
      <c r="S12368" s="13">
        <v>0</v>
      </c>
    </row>
    <row r="12369" spans="18:19" x14ac:dyDescent="0.25">
      <c r="R12369" s="13">
        <v>12296</v>
      </c>
      <c r="S12369" s="13">
        <v>608472644.6164341</v>
      </c>
    </row>
    <row r="12370" spans="18:19" x14ac:dyDescent="0.25">
      <c r="R12370" s="13">
        <v>12297</v>
      </c>
      <c r="S12370" s="13">
        <v>0</v>
      </c>
    </row>
    <row r="12371" spans="18:19" x14ac:dyDescent="0.25">
      <c r="R12371" s="13">
        <v>12298</v>
      </c>
      <c r="S12371" s="13">
        <v>0</v>
      </c>
    </row>
    <row r="12372" spans="18:19" x14ac:dyDescent="0.25">
      <c r="R12372" s="13">
        <v>12299</v>
      </c>
      <c r="S12372" s="13">
        <v>24446672.985042572</v>
      </c>
    </row>
    <row r="12373" spans="18:19" x14ac:dyDescent="0.25">
      <c r="R12373" s="13">
        <v>12300</v>
      </c>
      <c r="S12373" s="13">
        <v>0</v>
      </c>
    </row>
    <row r="12374" spans="18:19" x14ac:dyDescent="0.25">
      <c r="R12374" s="13">
        <v>12301</v>
      </c>
      <c r="S12374" s="13">
        <v>0</v>
      </c>
    </row>
    <row r="12375" spans="18:19" x14ac:dyDescent="0.25">
      <c r="R12375" s="13">
        <v>12302</v>
      </c>
      <c r="S12375" s="13">
        <v>0</v>
      </c>
    </row>
    <row r="12376" spans="18:19" x14ac:dyDescent="0.25">
      <c r="R12376" s="13">
        <v>12303</v>
      </c>
      <c r="S12376" s="13">
        <v>0</v>
      </c>
    </row>
    <row r="12377" spans="18:19" x14ac:dyDescent="0.25">
      <c r="R12377" s="13">
        <v>12304</v>
      </c>
      <c r="S12377" s="13">
        <v>31357320.729404449</v>
      </c>
    </row>
    <row r="12378" spans="18:19" x14ac:dyDescent="0.25">
      <c r="R12378" s="13">
        <v>12305</v>
      </c>
      <c r="S12378" s="13">
        <v>0</v>
      </c>
    </row>
    <row r="12379" spans="18:19" x14ac:dyDescent="0.25">
      <c r="R12379" s="13">
        <v>12306</v>
      </c>
      <c r="S12379" s="13">
        <v>0</v>
      </c>
    </row>
    <row r="12380" spans="18:19" x14ac:dyDescent="0.25">
      <c r="R12380" s="13">
        <v>12307</v>
      </c>
      <c r="S12380" s="13">
        <v>0</v>
      </c>
    </row>
    <row r="12381" spans="18:19" x14ac:dyDescent="0.25">
      <c r="R12381" s="13">
        <v>12308</v>
      </c>
      <c r="S12381" s="13">
        <v>249208124.64292908</v>
      </c>
    </row>
    <row r="12382" spans="18:19" x14ac:dyDescent="0.25">
      <c r="R12382" s="13">
        <v>12309</v>
      </c>
      <c r="S12382" s="13">
        <v>0</v>
      </c>
    </row>
    <row r="12383" spans="18:19" x14ac:dyDescent="0.25">
      <c r="R12383" s="13">
        <v>12310</v>
      </c>
      <c r="S12383" s="13">
        <v>0</v>
      </c>
    </row>
    <row r="12384" spans="18:19" x14ac:dyDescent="0.25">
      <c r="R12384" s="13">
        <v>12311</v>
      </c>
      <c r="S12384" s="13">
        <v>0</v>
      </c>
    </row>
    <row r="12385" spans="18:19" x14ac:dyDescent="0.25">
      <c r="R12385" s="13">
        <v>12312</v>
      </c>
      <c r="S12385" s="13">
        <v>0</v>
      </c>
    </row>
    <row r="12386" spans="18:19" x14ac:dyDescent="0.25">
      <c r="R12386" s="13">
        <v>12313</v>
      </c>
      <c r="S12386" s="13">
        <v>358854944.99570656</v>
      </c>
    </row>
    <row r="12387" spans="18:19" x14ac:dyDescent="0.25">
      <c r="R12387" s="13">
        <v>12314</v>
      </c>
      <c r="S12387" s="13">
        <v>381700434.43962479</v>
      </c>
    </row>
    <row r="12388" spans="18:19" x14ac:dyDescent="0.25">
      <c r="R12388" s="13">
        <v>12315</v>
      </c>
      <c r="S12388" s="13">
        <v>0</v>
      </c>
    </row>
    <row r="12389" spans="18:19" x14ac:dyDescent="0.25">
      <c r="R12389" s="13">
        <v>12316</v>
      </c>
      <c r="S12389" s="13">
        <v>0</v>
      </c>
    </row>
    <row r="12390" spans="18:19" x14ac:dyDescent="0.25">
      <c r="R12390" s="13">
        <v>12317</v>
      </c>
      <c r="S12390" s="13">
        <v>0</v>
      </c>
    </row>
    <row r="12391" spans="18:19" x14ac:dyDescent="0.25">
      <c r="R12391" s="13">
        <v>12318</v>
      </c>
      <c r="S12391" s="13">
        <v>0</v>
      </c>
    </row>
    <row r="12392" spans="18:19" x14ac:dyDescent="0.25">
      <c r="R12392" s="13">
        <v>12319</v>
      </c>
      <c r="S12392" s="13">
        <v>199062345.23361969</v>
      </c>
    </row>
    <row r="12393" spans="18:19" x14ac:dyDescent="0.25">
      <c r="R12393" s="13">
        <v>12320</v>
      </c>
      <c r="S12393" s="13">
        <v>0</v>
      </c>
    </row>
    <row r="12394" spans="18:19" x14ac:dyDescent="0.25">
      <c r="R12394" s="13">
        <v>12321</v>
      </c>
      <c r="S12394" s="13">
        <v>0</v>
      </c>
    </row>
    <row r="12395" spans="18:19" x14ac:dyDescent="0.25">
      <c r="R12395" s="13">
        <v>12322</v>
      </c>
      <c r="S12395" s="13">
        <v>0</v>
      </c>
    </row>
    <row r="12396" spans="18:19" x14ac:dyDescent="0.25">
      <c r="R12396" s="13">
        <v>12323</v>
      </c>
      <c r="S12396" s="13">
        <v>12104929.928232193</v>
      </c>
    </row>
    <row r="12397" spans="18:19" x14ac:dyDescent="0.25">
      <c r="R12397" s="13">
        <v>12324</v>
      </c>
      <c r="S12397" s="13">
        <v>0</v>
      </c>
    </row>
    <row r="12398" spans="18:19" x14ac:dyDescent="0.25">
      <c r="R12398" s="13">
        <v>12325</v>
      </c>
      <c r="S12398" s="13">
        <v>5365813.1550445557</v>
      </c>
    </row>
    <row r="12399" spans="18:19" x14ac:dyDescent="0.25">
      <c r="R12399" s="13">
        <v>12326</v>
      </c>
      <c r="S12399" s="13">
        <v>0</v>
      </c>
    </row>
    <row r="12400" spans="18:19" x14ac:dyDescent="0.25">
      <c r="R12400" s="13">
        <v>12327</v>
      </c>
      <c r="S12400" s="13">
        <v>0</v>
      </c>
    </row>
    <row r="12401" spans="18:19" x14ac:dyDescent="0.25">
      <c r="R12401" s="13">
        <v>12328</v>
      </c>
      <c r="S12401" s="13">
        <v>0</v>
      </c>
    </row>
    <row r="12402" spans="18:19" x14ac:dyDescent="0.25">
      <c r="R12402" s="13">
        <v>12329</v>
      </c>
      <c r="S12402" s="13">
        <v>814734964.69475174</v>
      </c>
    </row>
    <row r="12403" spans="18:19" x14ac:dyDescent="0.25">
      <c r="R12403" s="13">
        <v>12330</v>
      </c>
      <c r="S12403" s="13">
        <v>0</v>
      </c>
    </row>
    <row r="12404" spans="18:19" x14ac:dyDescent="0.25">
      <c r="R12404" s="13">
        <v>12331</v>
      </c>
      <c r="S12404" s="13">
        <v>0</v>
      </c>
    </row>
    <row r="12405" spans="18:19" x14ac:dyDescent="0.25">
      <c r="R12405" s="13">
        <v>12332</v>
      </c>
      <c r="S12405" s="13">
        <v>0</v>
      </c>
    </row>
    <row r="12406" spans="18:19" x14ac:dyDescent="0.25">
      <c r="R12406" s="13">
        <v>12333</v>
      </c>
      <c r="S12406" s="13">
        <v>0</v>
      </c>
    </row>
    <row r="12407" spans="18:19" x14ac:dyDescent="0.25">
      <c r="R12407" s="13">
        <v>12334</v>
      </c>
      <c r="S12407" s="13">
        <v>0</v>
      </c>
    </row>
    <row r="12408" spans="18:19" x14ac:dyDescent="0.25">
      <c r="R12408" s="13">
        <v>12335</v>
      </c>
      <c r="S12408" s="13">
        <v>276047844.67173958</v>
      </c>
    </row>
    <row r="12409" spans="18:19" x14ac:dyDescent="0.25">
      <c r="R12409" s="13">
        <v>12336</v>
      </c>
      <c r="S12409" s="13">
        <v>0</v>
      </c>
    </row>
    <row r="12410" spans="18:19" x14ac:dyDescent="0.25">
      <c r="R12410" s="13">
        <v>12337</v>
      </c>
      <c r="S12410" s="13">
        <v>0</v>
      </c>
    </row>
    <row r="12411" spans="18:19" x14ac:dyDescent="0.25">
      <c r="R12411" s="13">
        <v>12338</v>
      </c>
      <c r="S12411" s="13">
        <v>0</v>
      </c>
    </row>
    <row r="12412" spans="18:19" x14ac:dyDescent="0.25">
      <c r="R12412" s="13">
        <v>12339</v>
      </c>
      <c r="S12412" s="13">
        <v>21090767.005796432</v>
      </c>
    </row>
    <row r="12413" spans="18:19" x14ac:dyDescent="0.25">
      <c r="R12413" s="13">
        <v>12340</v>
      </c>
      <c r="S12413" s="13">
        <v>93586972.872495651</v>
      </c>
    </row>
    <row r="12414" spans="18:19" x14ac:dyDescent="0.25">
      <c r="R12414" s="13">
        <v>12341</v>
      </c>
      <c r="S12414" s="13">
        <v>0</v>
      </c>
    </row>
    <row r="12415" spans="18:19" x14ac:dyDescent="0.25">
      <c r="R12415" s="13">
        <v>12342</v>
      </c>
      <c r="S12415" s="13">
        <v>0</v>
      </c>
    </row>
    <row r="12416" spans="18:19" x14ac:dyDescent="0.25">
      <c r="R12416" s="13">
        <v>12343</v>
      </c>
      <c r="S12416" s="13">
        <v>0</v>
      </c>
    </row>
    <row r="12417" spans="18:19" x14ac:dyDescent="0.25">
      <c r="R12417" s="13">
        <v>12344</v>
      </c>
      <c r="S12417" s="13">
        <v>0</v>
      </c>
    </row>
    <row r="12418" spans="18:19" x14ac:dyDescent="0.25">
      <c r="R12418" s="13">
        <v>12345</v>
      </c>
      <c r="S12418" s="13">
        <v>0</v>
      </c>
    </row>
    <row r="12419" spans="18:19" x14ac:dyDescent="0.25">
      <c r="R12419" s="13">
        <v>12346</v>
      </c>
      <c r="S12419" s="13">
        <v>0</v>
      </c>
    </row>
    <row r="12420" spans="18:19" x14ac:dyDescent="0.25">
      <c r="R12420" s="13">
        <v>12347</v>
      </c>
      <c r="S12420" s="13">
        <v>64765825.043731689</v>
      </c>
    </row>
    <row r="12421" spans="18:19" x14ac:dyDescent="0.25">
      <c r="R12421" s="13">
        <v>12348</v>
      </c>
      <c r="S12421" s="13">
        <v>161213944.25274277</v>
      </c>
    </row>
    <row r="12422" spans="18:19" x14ac:dyDescent="0.25">
      <c r="R12422" s="13">
        <v>12349</v>
      </c>
      <c r="S12422" s="13">
        <v>0</v>
      </c>
    </row>
    <row r="12423" spans="18:19" x14ac:dyDescent="0.25">
      <c r="R12423" s="13">
        <v>12350</v>
      </c>
      <c r="S12423" s="13">
        <v>0</v>
      </c>
    </row>
    <row r="12424" spans="18:19" x14ac:dyDescent="0.25">
      <c r="R12424" s="13">
        <v>12351</v>
      </c>
      <c r="S12424" s="13">
        <v>96627337.304321289</v>
      </c>
    </row>
    <row r="12425" spans="18:19" x14ac:dyDescent="0.25">
      <c r="R12425" s="13">
        <v>12352</v>
      </c>
      <c r="S12425" s="13">
        <v>0</v>
      </c>
    </row>
    <row r="12426" spans="18:19" x14ac:dyDescent="0.25">
      <c r="R12426" s="13">
        <v>12353</v>
      </c>
      <c r="S12426" s="13">
        <v>0</v>
      </c>
    </row>
    <row r="12427" spans="18:19" x14ac:dyDescent="0.25">
      <c r="R12427" s="13">
        <v>12354</v>
      </c>
      <c r="S12427" s="13">
        <v>0</v>
      </c>
    </row>
    <row r="12428" spans="18:19" x14ac:dyDescent="0.25">
      <c r="R12428" s="13">
        <v>12355</v>
      </c>
      <c r="S12428" s="13">
        <v>0</v>
      </c>
    </row>
    <row r="12429" spans="18:19" x14ac:dyDescent="0.25">
      <c r="R12429" s="13">
        <v>12356</v>
      </c>
      <c r="S12429" s="13">
        <v>0</v>
      </c>
    </row>
    <row r="12430" spans="18:19" x14ac:dyDescent="0.25">
      <c r="R12430" s="13">
        <v>12357</v>
      </c>
      <c r="S12430" s="13">
        <v>1056769.5327568054</v>
      </c>
    </row>
    <row r="12431" spans="18:19" x14ac:dyDescent="0.25">
      <c r="R12431" s="13">
        <v>12358</v>
      </c>
      <c r="S12431" s="13">
        <v>0</v>
      </c>
    </row>
    <row r="12432" spans="18:19" x14ac:dyDescent="0.25">
      <c r="R12432" s="13">
        <v>12359</v>
      </c>
      <c r="S12432" s="13">
        <v>0</v>
      </c>
    </row>
    <row r="12433" spans="18:19" x14ac:dyDescent="0.25">
      <c r="R12433" s="13">
        <v>12360</v>
      </c>
      <c r="S12433" s="13">
        <v>284969122.90320396</v>
      </c>
    </row>
    <row r="12434" spans="18:19" x14ac:dyDescent="0.25">
      <c r="R12434" s="13">
        <v>12361</v>
      </c>
      <c r="S12434" s="13">
        <v>0</v>
      </c>
    </row>
    <row r="12435" spans="18:19" x14ac:dyDescent="0.25">
      <c r="R12435" s="13">
        <v>12362</v>
      </c>
      <c r="S12435" s="13">
        <v>0</v>
      </c>
    </row>
    <row r="12436" spans="18:19" x14ac:dyDescent="0.25">
      <c r="R12436" s="13">
        <v>12363</v>
      </c>
      <c r="S12436" s="13">
        <v>0</v>
      </c>
    </row>
    <row r="12437" spans="18:19" x14ac:dyDescent="0.25">
      <c r="R12437" s="13">
        <v>12364</v>
      </c>
      <c r="S12437" s="13">
        <v>0</v>
      </c>
    </row>
    <row r="12438" spans="18:19" x14ac:dyDescent="0.25">
      <c r="R12438" s="13">
        <v>12365</v>
      </c>
      <c r="S12438" s="13">
        <v>0</v>
      </c>
    </row>
    <row r="12439" spans="18:19" x14ac:dyDescent="0.25">
      <c r="R12439" s="13">
        <v>12366</v>
      </c>
      <c r="S12439" s="13">
        <v>0</v>
      </c>
    </row>
    <row r="12440" spans="18:19" x14ac:dyDescent="0.25">
      <c r="R12440" s="13">
        <v>12367</v>
      </c>
      <c r="S12440" s="13">
        <v>0</v>
      </c>
    </row>
    <row r="12441" spans="18:19" x14ac:dyDescent="0.25">
      <c r="R12441" s="13">
        <v>12368</v>
      </c>
      <c r="S12441" s="13">
        <v>0</v>
      </c>
    </row>
    <row r="12442" spans="18:19" x14ac:dyDescent="0.25">
      <c r="R12442" s="13">
        <v>12369</v>
      </c>
      <c r="S12442" s="13">
        <v>0</v>
      </c>
    </row>
    <row r="12443" spans="18:19" x14ac:dyDescent="0.25">
      <c r="R12443" s="13">
        <v>12370</v>
      </c>
      <c r="S12443" s="13">
        <v>532026570.78717613</v>
      </c>
    </row>
    <row r="12444" spans="18:19" x14ac:dyDescent="0.25">
      <c r="R12444" s="13">
        <v>12371</v>
      </c>
      <c r="S12444" s="13">
        <v>0</v>
      </c>
    </row>
    <row r="12445" spans="18:19" x14ac:dyDescent="0.25">
      <c r="R12445" s="13">
        <v>12372</v>
      </c>
      <c r="S12445" s="13">
        <v>0</v>
      </c>
    </row>
    <row r="12446" spans="18:19" x14ac:dyDescent="0.25">
      <c r="R12446" s="13">
        <v>12373</v>
      </c>
      <c r="S12446" s="13">
        <v>934527883.39269638</v>
      </c>
    </row>
    <row r="12447" spans="18:19" x14ac:dyDescent="0.25">
      <c r="R12447" s="13">
        <v>12374</v>
      </c>
      <c r="S12447" s="13">
        <v>749423791.09597778</v>
      </c>
    </row>
    <row r="12448" spans="18:19" x14ac:dyDescent="0.25">
      <c r="R12448" s="13">
        <v>12375</v>
      </c>
      <c r="S12448" s="13">
        <v>490891835.54506111</v>
      </c>
    </row>
    <row r="12449" spans="18:19" x14ac:dyDescent="0.25">
      <c r="R12449" s="13">
        <v>12376</v>
      </c>
      <c r="S12449" s="13">
        <v>172029293.05241394</v>
      </c>
    </row>
    <row r="12450" spans="18:19" x14ac:dyDescent="0.25">
      <c r="R12450" s="13">
        <v>12377</v>
      </c>
      <c r="S12450" s="13">
        <v>421641941.96883774</v>
      </c>
    </row>
    <row r="12451" spans="18:19" x14ac:dyDescent="0.25">
      <c r="R12451" s="13">
        <v>12378</v>
      </c>
      <c r="S12451" s="13">
        <v>67446558.331796646</v>
      </c>
    </row>
    <row r="12452" spans="18:19" x14ac:dyDescent="0.25">
      <c r="R12452" s="13">
        <v>12379</v>
      </c>
      <c r="S12452" s="13">
        <v>0</v>
      </c>
    </row>
    <row r="12453" spans="18:19" x14ac:dyDescent="0.25">
      <c r="R12453" s="13">
        <v>12380</v>
      </c>
      <c r="S12453" s="13">
        <v>0</v>
      </c>
    </row>
    <row r="12454" spans="18:19" x14ac:dyDescent="0.25">
      <c r="R12454" s="13">
        <v>12381</v>
      </c>
      <c r="S12454" s="13">
        <v>0</v>
      </c>
    </row>
    <row r="12455" spans="18:19" x14ac:dyDescent="0.25">
      <c r="R12455" s="13">
        <v>12382</v>
      </c>
      <c r="S12455" s="13">
        <v>0</v>
      </c>
    </row>
    <row r="12456" spans="18:19" x14ac:dyDescent="0.25">
      <c r="R12456" s="13">
        <v>12383</v>
      </c>
      <c r="S12456" s="13">
        <v>0</v>
      </c>
    </row>
    <row r="12457" spans="18:19" x14ac:dyDescent="0.25">
      <c r="R12457" s="13">
        <v>12384</v>
      </c>
      <c r="S12457" s="13">
        <v>944669248.48295403</v>
      </c>
    </row>
    <row r="12458" spans="18:19" x14ac:dyDescent="0.25">
      <c r="R12458" s="13">
        <v>12385</v>
      </c>
      <c r="S12458" s="13">
        <v>0</v>
      </c>
    </row>
    <row r="12459" spans="18:19" x14ac:dyDescent="0.25">
      <c r="R12459" s="13">
        <v>12386</v>
      </c>
      <c r="S12459" s="13">
        <v>0</v>
      </c>
    </row>
    <row r="12460" spans="18:19" x14ac:dyDescent="0.25">
      <c r="R12460" s="13">
        <v>12387</v>
      </c>
      <c r="S12460" s="13">
        <v>0</v>
      </c>
    </row>
    <row r="12461" spans="18:19" x14ac:dyDescent="0.25">
      <c r="R12461" s="13">
        <v>12388</v>
      </c>
      <c r="S12461" s="13">
        <v>0</v>
      </c>
    </row>
    <row r="12462" spans="18:19" x14ac:dyDescent="0.25">
      <c r="R12462" s="13">
        <v>12389</v>
      </c>
      <c r="S12462" s="13">
        <v>0</v>
      </c>
    </row>
    <row r="12463" spans="18:19" x14ac:dyDescent="0.25">
      <c r="R12463" s="13">
        <v>12390</v>
      </c>
      <c r="S12463" s="13">
        <v>0</v>
      </c>
    </row>
    <row r="12464" spans="18:19" x14ac:dyDescent="0.25">
      <c r="R12464" s="13">
        <v>12391</v>
      </c>
      <c r="S12464" s="13">
        <v>0</v>
      </c>
    </row>
    <row r="12465" spans="18:19" x14ac:dyDescent="0.25">
      <c r="R12465" s="13">
        <v>12392</v>
      </c>
      <c r="S12465" s="13">
        <v>711202599.82026863</v>
      </c>
    </row>
    <row r="12466" spans="18:19" x14ac:dyDescent="0.25">
      <c r="R12466" s="13">
        <v>12393</v>
      </c>
      <c r="S12466" s="13">
        <v>690399109.6617012</v>
      </c>
    </row>
    <row r="12467" spans="18:19" x14ac:dyDescent="0.25">
      <c r="R12467" s="13">
        <v>12394</v>
      </c>
      <c r="S12467" s="13">
        <v>0</v>
      </c>
    </row>
    <row r="12468" spans="18:19" x14ac:dyDescent="0.25">
      <c r="R12468" s="13">
        <v>12395</v>
      </c>
      <c r="S12468" s="13">
        <v>0</v>
      </c>
    </row>
    <row r="12469" spans="18:19" x14ac:dyDescent="0.25">
      <c r="R12469" s="13">
        <v>12396</v>
      </c>
      <c r="S12469" s="13">
        <v>0</v>
      </c>
    </row>
    <row r="12470" spans="18:19" x14ac:dyDescent="0.25">
      <c r="R12470" s="13">
        <v>12397</v>
      </c>
      <c r="S12470" s="13">
        <v>0</v>
      </c>
    </row>
    <row r="12471" spans="18:19" x14ac:dyDescent="0.25">
      <c r="R12471" s="13">
        <v>12398</v>
      </c>
      <c r="S12471" s="13">
        <v>0</v>
      </c>
    </row>
    <row r="12472" spans="18:19" x14ac:dyDescent="0.25">
      <c r="R12472" s="13">
        <v>12399</v>
      </c>
      <c r="S12472" s="13">
        <v>117863752.36030769</v>
      </c>
    </row>
    <row r="12473" spans="18:19" x14ac:dyDescent="0.25">
      <c r="R12473" s="13">
        <v>12400</v>
      </c>
      <c r="S12473" s="13">
        <v>0</v>
      </c>
    </row>
    <row r="12474" spans="18:19" x14ac:dyDescent="0.25">
      <c r="R12474" s="13">
        <v>12401</v>
      </c>
      <c r="S12474" s="13">
        <v>0</v>
      </c>
    </row>
    <row r="12475" spans="18:19" x14ac:dyDescent="0.25">
      <c r="R12475" s="13">
        <v>12402</v>
      </c>
      <c r="S12475" s="13">
        <v>364317484.45700645</v>
      </c>
    </row>
    <row r="12476" spans="18:19" x14ac:dyDescent="0.25">
      <c r="R12476" s="13">
        <v>12403</v>
      </c>
      <c r="S12476" s="13">
        <v>0</v>
      </c>
    </row>
    <row r="12477" spans="18:19" x14ac:dyDescent="0.25">
      <c r="R12477" s="13">
        <v>12404</v>
      </c>
      <c r="S12477" s="13">
        <v>0</v>
      </c>
    </row>
    <row r="12478" spans="18:19" x14ac:dyDescent="0.25">
      <c r="R12478" s="13">
        <v>12405</v>
      </c>
      <c r="S12478" s="13">
        <v>408533633.01696587</v>
      </c>
    </row>
    <row r="12479" spans="18:19" x14ac:dyDescent="0.25">
      <c r="R12479" s="13">
        <v>12406</v>
      </c>
      <c r="S12479" s="13">
        <v>0</v>
      </c>
    </row>
    <row r="12480" spans="18:19" x14ac:dyDescent="0.25">
      <c r="R12480" s="13">
        <v>12407</v>
      </c>
      <c r="S12480" s="13">
        <v>559962142.79250717</v>
      </c>
    </row>
    <row r="12481" spans="18:19" x14ac:dyDescent="0.25">
      <c r="R12481" s="13">
        <v>12408</v>
      </c>
      <c r="S12481" s="13">
        <v>0</v>
      </c>
    </row>
    <row r="12482" spans="18:19" x14ac:dyDescent="0.25">
      <c r="R12482" s="13">
        <v>12409</v>
      </c>
      <c r="S12482" s="13">
        <v>0</v>
      </c>
    </row>
    <row r="12483" spans="18:19" x14ac:dyDescent="0.25">
      <c r="R12483" s="13">
        <v>12410</v>
      </c>
      <c r="S12483" s="13">
        <v>534026209.71670723</v>
      </c>
    </row>
    <row r="12484" spans="18:19" x14ac:dyDescent="0.25">
      <c r="R12484" s="13">
        <v>12411</v>
      </c>
      <c r="S12484" s="13">
        <v>0</v>
      </c>
    </row>
    <row r="12485" spans="18:19" x14ac:dyDescent="0.25">
      <c r="R12485" s="13">
        <v>12412</v>
      </c>
      <c r="S12485" s="13">
        <v>0</v>
      </c>
    </row>
    <row r="12486" spans="18:19" x14ac:dyDescent="0.25">
      <c r="R12486" s="13">
        <v>12413</v>
      </c>
      <c r="S12486" s="13">
        <v>524847514.5384388</v>
      </c>
    </row>
    <row r="12487" spans="18:19" x14ac:dyDescent="0.25">
      <c r="R12487" s="13">
        <v>12414</v>
      </c>
      <c r="S12487" s="13">
        <v>0</v>
      </c>
    </row>
    <row r="12488" spans="18:19" x14ac:dyDescent="0.25">
      <c r="R12488" s="13">
        <v>12415</v>
      </c>
      <c r="S12488" s="13">
        <v>0</v>
      </c>
    </row>
    <row r="12489" spans="18:19" x14ac:dyDescent="0.25">
      <c r="R12489" s="13">
        <v>12416</v>
      </c>
      <c r="S12489" s="13">
        <v>0</v>
      </c>
    </row>
    <row r="12490" spans="18:19" x14ac:dyDescent="0.25">
      <c r="R12490" s="13">
        <v>12417</v>
      </c>
      <c r="S12490" s="13">
        <v>0</v>
      </c>
    </row>
    <row r="12491" spans="18:19" x14ac:dyDescent="0.25">
      <c r="R12491" s="13">
        <v>12418</v>
      </c>
      <c r="S12491" s="13">
        <v>349688298.80069923</v>
      </c>
    </row>
    <row r="12492" spans="18:19" x14ac:dyDescent="0.25">
      <c r="R12492" s="13">
        <v>12419</v>
      </c>
      <c r="S12492" s="13">
        <v>1590766682.8396549</v>
      </c>
    </row>
    <row r="12493" spans="18:19" x14ac:dyDescent="0.25">
      <c r="R12493" s="13">
        <v>12420</v>
      </c>
      <c r="S12493" s="13">
        <v>228548356.60994148</v>
      </c>
    </row>
    <row r="12494" spans="18:19" x14ac:dyDescent="0.25">
      <c r="R12494" s="13">
        <v>12421</v>
      </c>
      <c r="S12494" s="13">
        <v>0</v>
      </c>
    </row>
    <row r="12495" spans="18:19" x14ac:dyDescent="0.25">
      <c r="R12495" s="13">
        <v>12422</v>
      </c>
      <c r="S12495" s="13">
        <v>0</v>
      </c>
    </row>
    <row r="12496" spans="18:19" x14ac:dyDescent="0.25">
      <c r="R12496" s="13">
        <v>12423</v>
      </c>
      <c r="S12496" s="13">
        <v>0</v>
      </c>
    </row>
    <row r="12497" spans="18:19" x14ac:dyDescent="0.25">
      <c r="R12497" s="13">
        <v>12424</v>
      </c>
      <c r="S12497" s="13">
        <v>0</v>
      </c>
    </row>
    <row r="12498" spans="18:19" x14ac:dyDescent="0.25">
      <c r="R12498" s="13">
        <v>12425</v>
      </c>
      <c r="S12498" s="13">
        <v>0</v>
      </c>
    </row>
    <row r="12499" spans="18:19" x14ac:dyDescent="0.25">
      <c r="R12499" s="13">
        <v>12426</v>
      </c>
      <c r="S12499" s="13">
        <v>0</v>
      </c>
    </row>
    <row r="12500" spans="18:19" x14ac:dyDescent="0.25">
      <c r="R12500" s="13">
        <v>12427</v>
      </c>
      <c r="S12500" s="13">
        <v>0</v>
      </c>
    </row>
    <row r="12501" spans="18:19" x14ac:dyDescent="0.25">
      <c r="R12501" s="13">
        <v>12428</v>
      </c>
      <c r="S12501" s="13">
        <v>572012030.95720291</v>
      </c>
    </row>
    <row r="12502" spans="18:19" x14ac:dyDescent="0.25">
      <c r="R12502" s="13">
        <v>12429</v>
      </c>
      <c r="S12502" s="13">
        <v>0</v>
      </c>
    </row>
    <row r="12503" spans="18:19" x14ac:dyDescent="0.25">
      <c r="R12503" s="13">
        <v>12430</v>
      </c>
      <c r="S12503" s="13">
        <v>559082701.63631058</v>
      </c>
    </row>
    <row r="12504" spans="18:19" x14ac:dyDescent="0.25">
      <c r="R12504" s="13">
        <v>12431</v>
      </c>
      <c r="S12504" s="13">
        <v>314300023.84928322</v>
      </c>
    </row>
    <row r="12505" spans="18:19" x14ac:dyDescent="0.25">
      <c r="R12505" s="13">
        <v>12432</v>
      </c>
      <c r="S12505" s="13">
        <v>0</v>
      </c>
    </row>
    <row r="12506" spans="18:19" x14ac:dyDescent="0.25">
      <c r="R12506" s="13">
        <v>12433</v>
      </c>
      <c r="S12506" s="13">
        <v>0</v>
      </c>
    </row>
    <row r="12507" spans="18:19" x14ac:dyDescent="0.25">
      <c r="R12507" s="13">
        <v>12434</v>
      </c>
      <c r="S12507" s="13">
        <v>0</v>
      </c>
    </row>
    <row r="12508" spans="18:19" x14ac:dyDescent="0.25">
      <c r="R12508" s="13">
        <v>12435</v>
      </c>
      <c r="S12508" s="13">
        <v>0</v>
      </c>
    </row>
    <row r="12509" spans="18:19" x14ac:dyDescent="0.25">
      <c r="R12509" s="13">
        <v>12436</v>
      </c>
      <c r="S12509" s="13">
        <v>197212191.42221069</v>
      </c>
    </row>
    <row r="12510" spans="18:19" x14ac:dyDescent="0.25">
      <c r="R12510" s="13">
        <v>12437</v>
      </c>
      <c r="S12510" s="13">
        <v>0</v>
      </c>
    </row>
    <row r="12511" spans="18:19" x14ac:dyDescent="0.25">
      <c r="R12511" s="13">
        <v>12438</v>
      </c>
      <c r="S12511" s="13">
        <v>0</v>
      </c>
    </row>
    <row r="12512" spans="18:19" x14ac:dyDescent="0.25">
      <c r="R12512" s="13">
        <v>12439</v>
      </c>
      <c r="S12512" s="13">
        <v>338621524.04006386</v>
      </c>
    </row>
    <row r="12513" spans="18:19" x14ac:dyDescent="0.25">
      <c r="R12513" s="13">
        <v>12440</v>
      </c>
      <c r="S12513" s="13">
        <v>0</v>
      </c>
    </row>
    <row r="12514" spans="18:19" x14ac:dyDescent="0.25">
      <c r="R12514" s="13">
        <v>12441</v>
      </c>
      <c r="S12514" s="13">
        <v>0</v>
      </c>
    </row>
    <row r="12515" spans="18:19" x14ac:dyDescent="0.25">
      <c r="R12515" s="13">
        <v>12442</v>
      </c>
      <c r="S12515" s="13">
        <v>0</v>
      </c>
    </row>
    <row r="12516" spans="18:19" x14ac:dyDescent="0.25">
      <c r="R12516" s="13">
        <v>12443</v>
      </c>
      <c r="S12516" s="13">
        <v>0</v>
      </c>
    </row>
    <row r="12517" spans="18:19" x14ac:dyDescent="0.25">
      <c r="R12517" s="13">
        <v>12444</v>
      </c>
      <c r="S12517" s="13">
        <v>0</v>
      </c>
    </row>
    <row r="12518" spans="18:19" x14ac:dyDescent="0.25">
      <c r="R12518" s="13">
        <v>12445</v>
      </c>
      <c r="S12518" s="13">
        <v>0</v>
      </c>
    </row>
    <row r="12519" spans="18:19" x14ac:dyDescent="0.25">
      <c r="R12519" s="13">
        <v>12446</v>
      </c>
      <c r="S12519" s="13">
        <v>0</v>
      </c>
    </row>
    <row r="12520" spans="18:19" x14ac:dyDescent="0.25">
      <c r="R12520" s="13">
        <v>12447</v>
      </c>
      <c r="S12520" s="13">
        <v>0</v>
      </c>
    </row>
    <row r="12521" spans="18:19" x14ac:dyDescent="0.25">
      <c r="R12521" s="13">
        <v>12448</v>
      </c>
      <c r="S12521" s="13">
        <v>0</v>
      </c>
    </row>
    <row r="12522" spans="18:19" x14ac:dyDescent="0.25">
      <c r="R12522" s="13">
        <v>12449</v>
      </c>
      <c r="S12522" s="13">
        <v>311712296.8514061</v>
      </c>
    </row>
    <row r="12523" spans="18:19" x14ac:dyDescent="0.25">
      <c r="R12523" s="13">
        <v>12450</v>
      </c>
      <c r="S12523" s="13">
        <v>0</v>
      </c>
    </row>
    <row r="12524" spans="18:19" x14ac:dyDescent="0.25">
      <c r="R12524" s="13">
        <v>12451</v>
      </c>
      <c r="S12524" s="13">
        <v>0</v>
      </c>
    </row>
    <row r="12525" spans="18:19" x14ac:dyDescent="0.25">
      <c r="R12525" s="13">
        <v>12452</v>
      </c>
      <c r="S12525" s="13">
        <v>0</v>
      </c>
    </row>
    <row r="12526" spans="18:19" x14ac:dyDescent="0.25">
      <c r="R12526" s="13">
        <v>12453</v>
      </c>
      <c r="S12526" s="13">
        <v>0</v>
      </c>
    </row>
    <row r="12527" spans="18:19" x14ac:dyDescent="0.25">
      <c r="R12527" s="13">
        <v>12454</v>
      </c>
      <c r="S12527" s="13">
        <v>0</v>
      </c>
    </row>
    <row r="12528" spans="18:19" x14ac:dyDescent="0.25">
      <c r="R12528" s="13">
        <v>12455</v>
      </c>
      <c r="S12528" s="13">
        <v>0</v>
      </c>
    </row>
    <row r="12529" spans="18:19" x14ac:dyDescent="0.25">
      <c r="R12529" s="13">
        <v>12456</v>
      </c>
      <c r="S12529" s="13">
        <v>0</v>
      </c>
    </row>
    <row r="12530" spans="18:19" x14ac:dyDescent="0.25">
      <c r="R12530" s="13">
        <v>12457</v>
      </c>
      <c r="S12530" s="13">
        <v>0</v>
      </c>
    </row>
    <row r="12531" spans="18:19" x14ac:dyDescent="0.25">
      <c r="R12531" s="13">
        <v>12458</v>
      </c>
      <c r="S12531" s="13">
        <v>0</v>
      </c>
    </row>
    <row r="12532" spans="18:19" x14ac:dyDescent="0.25">
      <c r="R12532" s="13">
        <v>12459</v>
      </c>
      <c r="S12532" s="13">
        <v>71325165.809803009</v>
      </c>
    </row>
    <row r="12533" spans="18:19" x14ac:dyDescent="0.25">
      <c r="R12533" s="13">
        <v>12460</v>
      </c>
      <c r="S12533" s="13">
        <v>0</v>
      </c>
    </row>
    <row r="12534" spans="18:19" x14ac:dyDescent="0.25">
      <c r="R12534" s="13">
        <v>12461</v>
      </c>
      <c r="S12534" s="13">
        <v>588057295.44765663</v>
      </c>
    </row>
    <row r="12535" spans="18:19" x14ac:dyDescent="0.25">
      <c r="R12535" s="13">
        <v>12462</v>
      </c>
      <c r="S12535" s="13">
        <v>0</v>
      </c>
    </row>
    <row r="12536" spans="18:19" x14ac:dyDescent="0.25">
      <c r="R12536" s="13">
        <v>12463</v>
      </c>
      <c r="S12536" s="13">
        <v>87122250.947822571</v>
      </c>
    </row>
    <row r="12537" spans="18:19" x14ac:dyDescent="0.25">
      <c r="R12537" s="13">
        <v>12464</v>
      </c>
      <c r="S12537" s="13">
        <v>769553630.78852844</v>
      </c>
    </row>
    <row r="12538" spans="18:19" x14ac:dyDescent="0.25">
      <c r="R12538" s="13">
        <v>12465</v>
      </c>
      <c r="S12538" s="13">
        <v>0</v>
      </c>
    </row>
    <row r="12539" spans="18:19" x14ac:dyDescent="0.25">
      <c r="R12539" s="13">
        <v>12466</v>
      </c>
      <c r="S12539" s="13">
        <v>203509611.26320076</v>
      </c>
    </row>
    <row r="12540" spans="18:19" x14ac:dyDescent="0.25">
      <c r="R12540" s="13">
        <v>12467</v>
      </c>
      <c r="S12540" s="13">
        <v>0</v>
      </c>
    </row>
    <row r="12541" spans="18:19" x14ac:dyDescent="0.25">
      <c r="R12541" s="13">
        <v>12468</v>
      </c>
      <c r="S12541" s="13">
        <v>0</v>
      </c>
    </row>
    <row r="12542" spans="18:19" x14ac:dyDescent="0.25">
      <c r="R12542" s="13">
        <v>12469</v>
      </c>
      <c r="S12542" s="13">
        <v>0</v>
      </c>
    </row>
    <row r="12543" spans="18:19" x14ac:dyDescent="0.25">
      <c r="R12543" s="13">
        <v>12470</v>
      </c>
      <c r="S12543" s="13">
        <v>841839877.36824226</v>
      </c>
    </row>
    <row r="12544" spans="18:19" x14ac:dyDescent="0.25">
      <c r="R12544" s="13">
        <v>12471</v>
      </c>
      <c r="S12544" s="13">
        <v>0</v>
      </c>
    </row>
    <row r="12545" spans="18:19" x14ac:dyDescent="0.25">
      <c r="R12545" s="13">
        <v>12472</v>
      </c>
      <c r="S12545" s="13">
        <v>1128056612.060442</v>
      </c>
    </row>
    <row r="12546" spans="18:19" x14ac:dyDescent="0.25">
      <c r="R12546" s="13">
        <v>12473</v>
      </c>
      <c r="S12546" s="13">
        <v>65563794.965946198</v>
      </c>
    </row>
    <row r="12547" spans="18:19" x14ac:dyDescent="0.25">
      <c r="R12547" s="13">
        <v>12474</v>
      </c>
      <c r="S12547" s="13">
        <v>0</v>
      </c>
    </row>
    <row r="12548" spans="18:19" x14ac:dyDescent="0.25">
      <c r="R12548" s="13">
        <v>12475</v>
      </c>
      <c r="S12548" s="13">
        <v>0</v>
      </c>
    </row>
    <row r="12549" spans="18:19" x14ac:dyDescent="0.25">
      <c r="R12549" s="13">
        <v>12476</v>
      </c>
      <c r="S12549" s="13">
        <v>0</v>
      </c>
    </row>
    <row r="12550" spans="18:19" x14ac:dyDescent="0.25">
      <c r="R12550" s="13">
        <v>12477</v>
      </c>
      <c r="S12550" s="13">
        <v>125460230.76475716</v>
      </c>
    </row>
    <row r="12551" spans="18:19" x14ac:dyDescent="0.25">
      <c r="R12551" s="13">
        <v>12478</v>
      </c>
      <c r="S12551" s="13">
        <v>147605809.46651077</v>
      </c>
    </row>
    <row r="12552" spans="18:19" x14ac:dyDescent="0.25">
      <c r="R12552" s="13">
        <v>12479</v>
      </c>
      <c r="S12552" s="13">
        <v>37369179.20218277</v>
      </c>
    </row>
    <row r="12553" spans="18:19" x14ac:dyDescent="0.25">
      <c r="R12553" s="13">
        <v>12480</v>
      </c>
      <c r="S12553" s="13">
        <v>681379761.26967621</v>
      </c>
    </row>
    <row r="12554" spans="18:19" x14ac:dyDescent="0.25">
      <c r="R12554" s="13">
        <v>12481</v>
      </c>
      <c r="S12554" s="13">
        <v>0</v>
      </c>
    </row>
    <row r="12555" spans="18:19" x14ac:dyDescent="0.25">
      <c r="R12555" s="13">
        <v>12482</v>
      </c>
      <c r="S12555" s="13">
        <v>0</v>
      </c>
    </row>
    <row r="12556" spans="18:19" x14ac:dyDescent="0.25">
      <c r="R12556" s="13">
        <v>12483</v>
      </c>
      <c r="S12556" s="13">
        <v>437004534.6572876</v>
      </c>
    </row>
    <row r="12557" spans="18:19" x14ac:dyDescent="0.25">
      <c r="R12557" s="13">
        <v>12484</v>
      </c>
      <c r="S12557" s="13">
        <v>0</v>
      </c>
    </row>
    <row r="12558" spans="18:19" x14ac:dyDescent="0.25">
      <c r="R12558" s="13">
        <v>12485</v>
      </c>
      <c r="S12558" s="13">
        <v>0</v>
      </c>
    </row>
    <row r="12559" spans="18:19" x14ac:dyDescent="0.25">
      <c r="R12559" s="13">
        <v>12486</v>
      </c>
      <c r="S12559" s="13">
        <v>0</v>
      </c>
    </row>
    <row r="12560" spans="18:19" x14ac:dyDescent="0.25">
      <c r="R12560" s="13">
        <v>12487</v>
      </c>
      <c r="S12560" s="13">
        <v>0</v>
      </c>
    </row>
    <row r="12561" spans="18:19" x14ac:dyDescent="0.25">
      <c r="R12561" s="13">
        <v>12488</v>
      </c>
      <c r="S12561" s="13">
        <v>324415945.87474251</v>
      </c>
    </row>
    <row r="12562" spans="18:19" x14ac:dyDescent="0.25">
      <c r="R12562" s="13">
        <v>12489</v>
      </c>
      <c r="S12562" s="13">
        <v>0</v>
      </c>
    </row>
    <row r="12563" spans="18:19" x14ac:dyDescent="0.25">
      <c r="R12563" s="13">
        <v>12490</v>
      </c>
      <c r="S12563" s="13">
        <v>924589924.77537537</v>
      </c>
    </row>
    <row r="12564" spans="18:19" x14ac:dyDescent="0.25">
      <c r="R12564" s="13">
        <v>12491</v>
      </c>
      <c r="S12564" s="13">
        <v>0</v>
      </c>
    </row>
    <row r="12565" spans="18:19" x14ac:dyDescent="0.25">
      <c r="R12565" s="13">
        <v>12492</v>
      </c>
      <c r="S12565" s="13">
        <v>0</v>
      </c>
    </row>
    <row r="12566" spans="18:19" x14ac:dyDescent="0.25">
      <c r="R12566" s="13">
        <v>12493</v>
      </c>
      <c r="S12566" s="13">
        <v>0</v>
      </c>
    </row>
    <row r="12567" spans="18:19" x14ac:dyDescent="0.25">
      <c r="R12567" s="13">
        <v>12494</v>
      </c>
      <c r="S12567" s="13">
        <v>0</v>
      </c>
    </row>
    <row r="12568" spans="18:19" x14ac:dyDescent="0.25">
      <c r="R12568" s="13">
        <v>12495</v>
      </c>
      <c r="S12568" s="13">
        <v>0</v>
      </c>
    </row>
    <row r="12569" spans="18:19" x14ac:dyDescent="0.25">
      <c r="R12569" s="13">
        <v>12496</v>
      </c>
      <c r="S12569" s="13">
        <v>0</v>
      </c>
    </row>
    <row r="12570" spans="18:19" x14ac:dyDescent="0.25">
      <c r="R12570" s="13">
        <v>12497</v>
      </c>
      <c r="S12570" s="13">
        <v>0</v>
      </c>
    </row>
    <row r="12571" spans="18:19" x14ac:dyDescent="0.25">
      <c r="R12571" s="13">
        <v>12498</v>
      </c>
      <c r="S12571" s="13">
        <v>0</v>
      </c>
    </row>
    <row r="12572" spans="18:19" x14ac:dyDescent="0.25">
      <c r="R12572" s="13">
        <v>12499</v>
      </c>
      <c r="S12572" s="13">
        <v>0</v>
      </c>
    </row>
    <row r="12573" spans="18:19" x14ac:dyDescent="0.25">
      <c r="R12573" s="13">
        <v>12500</v>
      </c>
      <c r="S12573" s="13">
        <v>101632742.47567177</v>
      </c>
    </row>
    <row r="12574" spans="18:19" x14ac:dyDescent="0.25">
      <c r="R12574" s="13">
        <v>12501</v>
      </c>
      <c r="S12574" s="13">
        <v>67371937.057781219</v>
      </c>
    </row>
    <row r="12575" spans="18:19" x14ac:dyDescent="0.25">
      <c r="R12575" s="13">
        <v>12502</v>
      </c>
      <c r="S12575" s="13">
        <v>0</v>
      </c>
    </row>
    <row r="12576" spans="18:19" x14ac:dyDescent="0.25">
      <c r="R12576" s="13">
        <v>12503</v>
      </c>
      <c r="S12576" s="13">
        <v>0</v>
      </c>
    </row>
    <row r="12577" spans="18:19" x14ac:dyDescent="0.25">
      <c r="R12577" s="13">
        <v>12504</v>
      </c>
      <c r="S12577" s="13">
        <v>262250820.97879601</v>
      </c>
    </row>
    <row r="12578" spans="18:19" x14ac:dyDescent="0.25">
      <c r="R12578" s="13">
        <v>12505</v>
      </c>
      <c r="S12578" s="13">
        <v>0</v>
      </c>
    </row>
    <row r="12579" spans="18:19" x14ac:dyDescent="0.25">
      <c r="R12579" s="13">
        <v>12506</v>
      </c>
      <c r="S12579" s="13">
        <v>584939523.16931343</v>
      </c>
    </row>
    <row r="12580" spans="18:19" x14ac:dyDescent="0.25">
      <c r="R12580" s="13">
        <v>12507</v>
      </c>
      <c r="S12580" s="13">
        <v>0</v>
      </c>
    </row>
    <row r="12581" spans="18:19" x14ac:dyDescent="0.25">
      <c r="R12581" s="13">
        <v>12508</v>
      </c>
      <c r="S12581" s="13">
        <v>0</v>
      </c>
    </row>
    <row r="12582" spans="18:19" x14ac:dyDescent="0.25">
      <c r="R12582" s="13">
        <v>12509</v>
      </c>
      <c r="S12582" s="13">
        <v>0</v>
      </c>
    </row>
    <row r="12583" spans="18:19" x14ac:dyDescent="0.25">
      <c r="R12583" s="13">
        <v>12510</v>
      </c>
      <c r="S12583" s="13">
        <v>0</v>
      </c>
    </row>
    <row r="12584" spans="18:19" x14ac:dyDescent="0.25">
      <c r="R12584" s="13">
        <v>12511</v>
      </c>
      <c r="S12584" s="13">
        <v>0</v>
      </c>
    </row>
    <row r="12585" spans="18:19" x14ac:dyDescent="0.25">
      <c r="R12585" s="13">
        <v>12512</v>
      </c>
      <c r="S12585" s="13">
        <v>0</v>
      </c>
    </row>
    <row r="12586" spans="18:19" x14ac:dyDescent="0.25">
      <c r="R12586" s="13">
        <v>12513</v>
      </c>
      <c r="S12586" s="13">
        <v>0</v>
      </c>
    </row>
    <row r="12587" spans="18:19" x14ac:dyDescent="0.25">
      <c r="R12587" s="13">
        <v>12514</v>
      </c>
      <c r="S12587" s="13">
        <v>0</v>
      </c>
    </row>
    <row r="12588" spans="18:19" x14ac:dyDescent="0.25">
      <c r="R12588" s="13">
        <v>12515</v>
      </c>
      <c r="S12588" s="13">
        <v>0</v>
      </c>
    </row>
    <row r="12589" spans="18:19" x14ac:dyDescent="0.25">
      <c r="R12589" s="13">
        <v>12516</v>
      </c>
      <c r="S12589" s="13">
        <v>0</v>
      </c>
    </row>
    <row r="12590" spans="18:19" x14ac:dyDescent="0.25">
      <c r="R12590" s="13">
        <v>12517</v>
      </c>
      <c r="S12590" s="13">
        <v>0</v>
      </c>
    </row>
    <row r="12591" spans="18:19" x14ac:dyDescent="0.25">
      <c r="R12591" s="13">
        <v>12518</v>
      </c>
      <c r="S12591" s="13">
        <v>0</v>
      </c>
    </row>
    <row r="12592" spans="18:19" x14ac:dyDescent="0.25">
      <c r="R12592" s="13">
        <v>12519</v>
      </c>
      <c r="S12592" s="13">
        <v>470573544.33690262</v>
      </c>
    </row>
    <row r="12593" spans="18:19" x14ac:dyDescent="0.25">
      <c r="R12593" s="13">
        <v>12520</v>
      </c>
      <c r="S12593" s="13">
        <v>0</v>
      </c>
    </row>
    <row r="12594" spans="18:19" x14ac:dyDescent="0.25">
      <c r="R12594" s="13">
        <v>12521</v>
      </c>
      <c r="S12594" s="13">
        <v>0</v>
      </c>
    </row>
    <row r="12595" spans="18:19" x14ac:dyDescent="0.25">
      <c r="R12595" s="13">
        <v>12522</v>
      </c>
      <c r="S12595" s="13">
        <v>0</v>
      </c>
    </row>
    <row r="12596" spans="18:19" x14ac:dyDescent="0.25">
      <c r="R12596" s="13">
        <v>12523</v>
      </c>
      <c r="S12596" s="13">
        <v>0</v>
      </c>
    </row>
    <row r="12597" spans="18:19" x14ac:dyDescent="0.25">
      <c r="R12597" s="13">
        <v>12524</v>
      </c>
      <c r="S12597" s="13">
        <v>0</v>
      </c>
    </row>
    <row r="12598" spans="18:19" x14ac:dyDescent="0.25">
      <c r="R12598" s="13">
        <v>12525</v>
      </c>
      <c r="S12598" s="13">
        <v>755694485.5725441</v>
      </c>
    </row>
    <row r="12599" spans="18:19" x14ac:dyDescent="0.25">
      <c r="R12599" s="13">
        <v>12526</v>
      </c>
      <c r="S12599" s="13">
        <v>0</v>
      </c>
    </row>
    <row r="12600" spans="18:19" x14ac:dyDescent="0.25">
      <c r="R12600" s="13">
        <v>12527</v>
      </c>
      <c r="S12600" s="13">
        <v>0</v>
      </c>
    </row>
    <row r="12601" spans="18:19" x14ac:dyDescent="0.25">
      <c r="R12601" s="13">
        <v>12528</v>
      </c>
      <c r="S12601" s="13">
        <v>0</v>
      </c>
    </row>
    <row r="12602" spans="18:19" x14ac:dyDescent="0.25">
      <c r="R12602" s="13">
        <v>12529</v>
      </c>
      <c r="S12602" s="13">
        <v>0</v>
      </c>
    </row>
    <row r="12603" spans="18:19" x14ac:dyDescent="0.25">
      <c r="R12603" s="13">
        <v>12530</v>
      </c>
      <c r="S12603" s="13">
        <v>623344568.69604492</v>
      </c>
    </row>
    <row r="12604" spans="18:19" x14ac:dyDescent="0.25">
      <c r="R12604" s="13">
        <v>12531</v>
      </c>
      <c r="S12604" s="13">
        <v>158341869.52798462</v>
      </c>
    </row>
    <row r="12605" spans="18:19" x14ac:dyDescent="0.25">
      <c r="R12605" s="13">
        <v>12532</v>
      </c>
      <c r="S12605" s="13">
        <v>0</v>
      </c>
    </row>
    <row r="12606" spans="18:19" x14ac:dyDescent="0.25">
      <c r="R12606" s="13">
        <v>12533</v>
      </c>
      <c r="S12606" s="13">
        <v>0</v>
      </c>
    </row>
    <row r="12607" spans="18:19" x14ac:dyDescent="0.25">
      <c r="R12607" s="13">
        <v>12534</v>
      </c>
      <c r="S12607" s="13">
        <v>0</v>
      </c>
    </row>
    <row r="12608" spans="18:19" x14ac:dyDescent="0.25">
      <c r="R12608" s="13">
        <v>12535</v>
      </c>
      <c r="S12608" s="13">
        <v>440397051.2372303</v>
      </c>
    </row>
    <row r="12609" spans="18:19" x14ac:dyDescent="0.25">
      <c r="R12609" s="13">
        <v>12536</v>
      </c>
      <c r="S12609" s="13">
        <v>0</v>
      </c>
    </row>
    <row r="12610" spans="18:19" x14ac:dyDescent="0.25">
      <c r="R12610" s="13">
        <v>12537</v>
      </c>
      <c r="S12610" s="13">
        <v>0</v>
      </c>
    </row>
    <row r="12611" spans="18:19" x14ac:dyDescent="0.25">
      <c r="R12611" s="13">
        <v>12538</v>
      </c>
      <c r="S12611" s="13">
        <v>0</v>
      </c>
    </row>
    <row r="12612" spans="18:19" x14ac:dyDescent="0.25">
      <c r="R12612" s="13">
        <v>12539</v>
      </c>
      <c r="S12612" s="13">
        <v>0</v>
      </c>
    </row>
    <row r="12613" spans="18:19" x14ac:dyDescent="0.25">
      <c r="R12613" s="13">
        <v>12540</v>
      </c>
      <c r="S12613" s="13">
        <v>193909356.3593502</v>
      </c>
    </row>
    <row r="12614" spans="18:19" x14ac:dyDescent="0.25">
      <c r="R12614" s="13">
        <v>12541</v>
      </c>
      <c r="S12614" s="13">
        <v>0</v>
      </c>
    </row>
    <row r="12615" spans="18:19" x14ac:dyDescent="0.25">
      <c r="R12615" s="13">
        <v>12542</v>
      </c>
      <c r="S12615" s="13">
        <v>0</v>
      </c>
    </row>
    <row r="12616" spans="18:19" x14ac:dyDescent="0.25">
      <c r="R12616" s="13">
        <v>12543</v>
      </c>
      <c r="S12616" s="13">
        <v>0</v>
      </c>
    </row>
    <row r="12617" spans="18:19" x14ac:dyDescent="0.25">
      <c r="R12617" s="13">
        <v>12544</v>
      </c>
      <c r="S12617" s="13">
        <v>0</v>
      </c>
    </row>
    <row r="12618" spans="18:19" x14ac:dyDescent="0.25">
      <c r="R12618" s="13">
        <v>12545</v>
      </c>
      <c r="S12618" s="13">
        <v>20654865.636909485</v>
      </c>
    </row>
    <row r="12619" spans="18:19" x14ac:dyDescent="0.25">
      <c r="R12619" s="13">
        <v>12546</v>
      </c>
      <c r="S12619" s="13">
        <v>0</v>
      </c>
    </row>
    <row r="12620" spans="18:19" x14ac:dyDescent="0.25">
      <c r="R12620" s="13">
        <v>12547</v>
      </c>
      <c r="S12620" s="13">
        <v>0</v>
      </c>
    </row>
    <row r="12621" spans="18:19" x14ac:dyDescent="0.25">
      <c r="R12621" s="13">
        <v>12548</v>
      </c>
      <c r="S12621" s="13">
        <v>53131061.739894867</v>
      </c>
    </row>
    <row r="12622" spans="18:19" x14ac:dyDescent="0.25">
      <c r="R12622" s="13">
        <v>12549</v>
      </c>
      <c r="S12622" s="13">
        <v>0</v>
      </c>
    </row>
    <row r="12623" spans="18:19" x14ac:dyDescent="0.25">
      <c r="R12623" s="13">
        <v>12550</v>
      </c>
      <c r="S12623" s="13">
        <v>0</v>
      </c>
    </row>
    <row r="12624" spans="18:19" x14ac:dyDescent="0.25">
      <c r="R12624" s="13">
        <v>12551</v>
      </c>
      <c r="S12624" s="13">
        <v>0</v>
      </c>
    </row>
    <row r="12625" spans="18:19" x14ac:dyDescent="0.25">
      <c r="R12625" s="13">
        <v>12552</v>
      </c>
      <c r="S12625" s="13">
        <v>0</v>
      </c>
    </row>
    <row r="12626" spans="18:19" x14ac:dyDescent="0.25">
      <c r="R12626" s="13">
        <v>12553</v>
      </c>
      <c r="S12626" s="13">
        <v>324019360.99229622</v>
      </c>
    </row>
    <row r="12627" spans="18:19" x14ac:dyDescent="0.25">
      <c r="R12627" s="13">
        <v>12554</v>
      </c>
      <c r="S12627" s="13">
        <v>0</v>
      </c>
    </row>
    <row r="12628" spans="18:19" x14ac:dyDescent="0.25">
      <c r="R12628" s="13">
        <v>12555</v>
      </c>
      <c r="S12628" s="13">
        <v>0</v>
      </c>
    </row>
    <row r="12629" spans="18:19" x14ac:dyDescent="0.25">
      <c r="R12629" s="13">
        <v>12556</v>
      </c>
      <c r="S12629" s="13">
        <v>0</v>
      </c>
    </row>
    <row r="12630" spans="18:19" x14ac:dyDescent="0.25">
      <c r="R12630" s="13">
        <v>12557</v>
      </c>
      <c r="S12630" s="13">
        <v>0</v>
      </c>
    </row>
    <row r="12631" spans="18:19" x14ac:dyDescent="0.25">
      <c r="R12631" s="13">
        <v>12558</v>
      </c>
      <c r="S12631" s="13">
        <v>0</v>
      </c>
    </row>
    <row r="12632" spans="18:19" x14ac:dyDescent="0.25">
      <c r="R12632" s="13">
        <v>12559</v>
      </c>
      <c r="S12632" s="13">
        <v>0</v>
      </c>
    </row>
    <row r="12633" spans="18:19" x14ac:dyDescent="0.25">
      <c r="R12633" s="13">
        <v>12560</v>
      </c>
      <c r="S12633" s="13">
        <v>0</v>
      </c>
    </row>
    <row r="12634" spans="18:19" x14ac:dyDescent="0.25">
      <c r="R12634" s="13">
        <v>12561</v>
      </c>
      <c r="S12634" s="13">
        <v>0</v>
      </c>
    </row>
    <row r="12635" spans="18:19" x14ac:dyDescent="0.25">
      <c r="R12635" s="13">
        <v>12562</v>
      </c>
      <c r="S12635" s="13">
        <v>0</v>
      </c>
    </row>
    <row r="12636" spans="18:19" x14ac:dyDescent="0.25">
      <c r="R12636" s="13">
        <v>12563</v>
      </c>
      <c r="S12636" s="13">
        <v>285198061.08824921</v>
      </c>
    </row>
    <row r="12637" spans="18:19" x14ac:dyDescent="0.25">
      <c r="R12637" s="13">
        <v>12564</v>
      </c>
      <c r="S12637" s="13">
        <v>32848753.546894073</v>
      </c>
    </row>
    <row r="12638" spans="18:19" x14ac:dyDescent="0.25">
      <c r="R12638" s="13">
        <v>12565</v>
      </c>
      <c r="S12638" s="13">
        <v>0</v>
      </c>
    </row>
    <row r="12639" spans="18:19" x14ac:dyDescent="0.25">
      <c r="R12639" s="13">
        <v>12566</v>
      </c>
      <c r="S12639" s="13">
        <v>0</v>
      </c>
    </row>
    <row r="12640" spans="18:19" x14ac:dyDescent="0.25">
      <c r="R12640" s="13">
        <v>12567</v>
      </c>
      <c r="S12640" s="13">
        <v>0</v>
      </c>
    </row>
    <row r="12641" spans="18:19" x14ac:dyDescent="0.25">
      <c r="R12641" s="13">
        <v>12568</v>
      </c>
      <c r="S12641" s="13">
        <v>0</v>
      </c>
    </row>
    <row r="12642" spans="18:19" x14ac:dyDescent="0.25">
      <c r="R12642" s="13">
        <v>12569</v>
      </c>
      <c r="S12642" s="13">
        <v>609972350.20459366</v>
      </c>
    </row>
    <row r="12643" spans="18:19" x14ac:dyDescent="0.25">
      <c r="R12643" s="13">
        <v>12570</v>
      </c>
      <c r="S12643" s="13">
        <v>0</v>
      </c>
    </row>
    <row r="12644" spans="18:19" x14ac:dyDescent="0.25">
      <c r="R12644" s="13">
        <v>12571</v>
      </c>
      <c r="S12644" s="13">
        <v>0</v>
      </c>
    </row>
    <row r="12645" spans="18:19" x14ac:dyDescent="0.25">
      <c r="R12645" s="13">
        <v>12572</v>
      </c>
      <c r="S12645" s="13">
        <v>43425474.061441422</v>
      </c>
    </row>
    <row r="12646" spans="18:19" x14ac:dyDescent="0.25">
      <c r="R12646" s="13">
        <v>12573</v>
      </c>
      <c r="S12646" s="13">
        <v>0</v>
      </c>
    </row>
    <row r="12647" spans="18:19" x14ac:dyDescent="0.25">
      <c r="R12647" s="13">
        <v>12574</v>
      </c>
      <c r="S12647" s="13">
        <v>0</v>
      </c>
    </row>
    <row r="12648" spans="18:19" x14ac:dyDescent="0.25">
      <c r="R12648" s="13">
        <v>12575</v>
      </c>
      <c r="S12648" s="13">
        <v>0</v>
      </c>
    </row>
    <row r="12649" spans="18:19" x14ac:dyDescent="0.25">
      <c r="R12649" s="13">
        <v>12576</v>
      </c>
      <c r="S12649" s="13">
        <v>0</v>
      </c>
    </row>
    <row r="12650" spans="18:19" x14ac:dyDescent="0.25">
      <c r="R12650" s="13">
        <v>12577</v>
      </c>
      <c r="S12650" s="13">
        <v>0</v>
      </c>
    </row>
    <row r="12651" spans="18:19" x14ac:dyDescent="0.25">
      <c r="R12651" s="13">
        <v>12578</v>
      </c>
      <c r="S12651" s="13">
        <v>0</v>
      </c>
    </row>
    <row r="12652" spans="18:19" x14ac:dyDescent="0.25">
      <c r="R12652" s="13">
        <v>12579</v>
      </c>
      <c r="S12652" s="13">
        <v>156485167.89987183</v>
      </c>
    </row>
    <row r="12653" spans="18:19" x14ac:dyDescent="0.25">
      <c r="R12653" s="13">
        <v>12580</v>
      </c>
      <c r="S12653" s="13">
        <v>0</v>
      </c>
    </row>
    <row r="12654" spans="18:19" x14ac:dyDescent="0.25">
      <c r="R12654" s="13">
        <v>12581</v>
      </c>
      <c r="S12654" s="13">
        <v>0</v>
      </c>
    </row>
    <row r="12655" spans="18:19" x14ac:dyDescent="0.25">
      <c r="R12655" s="13">
        <v>12582</v>
      </c>
      <c r="S12655" s="13">
        <v>0</v>
      </c>
    </row>
    <row r="12656" spans="18:19" x14ac:dyDescent="0.25">
      <c r="R12656" s="13">
        <v>12583</v>
      </c>
      <c r="S12656" s="13">
        <v>0</v>
      </c>
    </row>
    <row r="12657" spans="18:19" x14ac:dyDescent="0.25">
      <c r="R12657" s="13">
        <v>12584</v>
      </c>
      <c r="S12657" s="13">
        <v>0</v>
      </c>
    </row>
    <row r="12658" spans="18:19" x14ac:dyDescent="0.25">
      <c r="R12658" s="13">
        <v>12585</v>
      </c>
      <c r="S12658" s="13">
        <v>0</v>
      </c>
    </row>
    <row r="12659" spans="18:19" x14ac:dyDescent="0.25">
      <c r="R12659" s="13">
        <v>12586</v>
      </c>
      <c r="S12659" s="13">
        <v>560139575.8079071</v>
      </c>
    </row>
    <row r="12660" spans="18:19" x14ac:dyDescent="0.25">
      <c r="R12660" s="13">
        <v>12587</v>
      </c>
      <c r="S12660" s="13">
        <v>0</v>
      </c>
    </row>
    <row r="12661" spans="18:19" x14ac:dyDescent="0.25">
      <c r="R12661" s="13">
        <v>12588</v>
      </c>
      <c r="S12661" s="13">
        <v>169881311.80019951</v>
      </c>
    </row>
    <row r="12662" spans="18:19" x14ac:dyDescent="0.25">
      <c r="R12662" s="13">
        <v>12589</v>
      </c>
      <c r="S12662" s="13">
        <v>0</v>
      </c>
    </row>
    <row r="12663" spans="18:19" x14ac:dyDescent="0.25">
      <c r="R12663" s="13">
        <v>12590</v>
      </c>
      <c r="S12663" s="13">
        <v>0</v>
      </c>
    </row>
    <row r="12664" spans="18:19" x14ac:dyDescent="0.25">
      <c r="R12664" s="13">
        <v>12591</v>
      </c>
      <c r="S12664" s="13">
        <v>0</v>
      </c>
    </row>
    <row r="12665" spans="18:19" x14ac:dyDescent="0.25">
      <c r="R12665" s="13">
        <v>12592</v>
      </c>
      <c r="S12665" s="13">
        <v>0</v>
      </c>
    </row>
    <row r="12666" spans="18:19" x14ac:dyDescent="0.25">
      <c r="R12666" s="13">
        <v>12593</v>
      </c>
      <c r="S12666" s="13">
        <v>0</v>
      </c>
    </row>
    <row r="12667" spans="18:19" x14ac:dyDescent="0.25">
      <c r="R12667" s="13">
        <v>12594</v>
      </c>
      <c r="S12667" s="13">
        <v>0</v>
      </c>
    </row>
    <row r="12668" spans="18:19" x14ac:dyDescent="0.25">
      <c r="R12668" s="13">
        <v>12595</v>
      </c>
      <c r="S12668" s="13">
        <v>0</v>
      </c>
    </row>
    <row r="12669" spans="18:19" x14ac:dyDescent="0.25">
      <c r="R12669" s="13">
        <v>12596</v>
      </c>
      <c r="S12669" s="13">
        <v>0</v>
      </c>
    </row>
    <row r="12670" spans="18:19" x14ac:dyDescent="0.25">
      <c r="R12670" s="13">
        <v>12597</v>
      </c>
      <c r="S12670" s="13">
        <v>0</v>
      </c>
    </row>
    <row r="12671" spans="18:19" x14ac:dyDescent="0.25">
      <c r="R12671" s="13">
        <v>12598</v>
      </c>
      <c r="S12671" s="13">
        <v>406297327.29151344</v>
      </c>
    </row>
    <row r="12672" spans="18:19" x14ac:dyDescent="0.25">
      <c r="R12672" s="13">
        <v>12599</v>
      </c>
      <c r="S12672" s="13">
        <v>0</v>
      </c>
    </row>
    <row r="12673" spans="18:19" x14ac:dyDescent="0.25">
      <c r="R12673" s="13">
        <v>12600</v>
      </c>
      <c r="S12673" s="13">
        <v>0</v>
      </c>
    </row>
    <row r="12674" spans="18:19" x14ac:dyDescent="0.25">
      <c r="R12674" s="13">
        <v>12601</v>
      </c>
      <c r="S12674" s="13">
        <v>0</v>
      </c>
    </row>
    <row r="12675" spans="18:19" x14ac:dyDescent="0.25">
      <c r="R12675" s="13">
        <v>12602</v>
      </c>
      <c r="S12675" s="13">
        <v>657916366.26166725</v>
      </c>
    </row>
    <row r="12676" spans="18:19" x14ac:dyDescent="0.25">
      <c r="R12676" s="13">
        <v>12603</v>
      </c>
      <c r="S12676" s="13">
        <v>0</v>
      </c>
    </row>
    <row r="12677" spans="18:19" x14ac:dyDescent="0.25">
      <c r="R12677" s="13">
        <v>12604</v>
      </c>
      <c r="S12677" s="13">
        <v>1502958564.4679565</v>
      </c>
    </row>
    <row r="12678" spans="18:19" x14ac:dyDescent="0.25">
      <c r="R12678" s="13">
        <v>12605</v>
      </c>
      <c r="S12678" s="13">
        <v>0</v>
      </c>
    </row>
    <row r="12679" spans="18:19" x14ac:dyDescent="0.25">
      <c r="R12679" s="13">
        <v>12606</v>
      </c>
      <c r="S12679" s="13">
        <v>0</v>
      </c>
    </row>
    <row r="12680" spans="18:19" x14ac:dyDescent="0.25">
      <c r="R12680" s="13">
        <v>12607</v>
      </c>
      <c r="S12680" s="13">
        <v>0</v>
      </c>
    </row>
    <row r="12681" spans="18:19" x14ac:dyDescent="0.25">
      <c r="R12681" s="13">
        <v>12608</v>
      </c>
      <c r="S12681" s="13">
        <v>420299029.57632446</v>
      </c>
    </row>
    <row r="12682" spans="18:19" x14ac:dyDescent="0.25">
      <c r="R12682" s="13">
        <v>12609</v>
      </c>
      <c r="S12682" s="13">
        <v>0</v>
      </c>
    </row>
    <row r="12683" spans="18:19" x14ac:dyDescent="0.25">
      <c r="R12683" s="13">
        <v>12610</v>
      </c>
      <c r="S12683" s="13">
        <v>0</v>
      </c>
    </row>
    <row r="12684" spans="18:19" x14ac:dyDescent="0.25">
      <c r="R12684" s="13">
        <v>12611</v>
      </c>
      <c r="S12684" s="13">
        <v>0</v>
      </c>
    </row>
    <row r="12685" spans="18:19" x14ac:dyDescent="0.25">
      <c r="R12685" s="13">
        <v>12612</v>
      </c>
      <c r="S12685" s="13">
        <v>0</v>
      </c>
    </row>
    <row r="12686" spans="18:19" x14ac:dyDescent="0.25">
      <c r="R12686" s="13">
        <v>12613</v>
      </c>
      <c r="S12686" s="13">
        <v>0</v>
      </c>
    </row>
    <row r="12687" spans="18:19" x14ac:dyDescent="0.25">
      <c r="R12687" s="13">
        <v>12614</v>
      </c>
      <c r="S12687" s="13">
        <v>0</v>
      </c>
    </row>
    <row r="12688" spans="18:19" x14ac:dyDescent="0.25">
      <c r="R12688" s="13">
        <v>12615</v>
      </c>
      <c r="S12688" s="13">
        <v>0</v>
      </c>
    </row>
    <row r="12689" spans="18:19" x14ac:dyDescent="0.25">
      <c r="R12689" s="13">
        <v>12616</v>
      </c>
      <c r="S12689" s="13">
        <v>0</v>
      </c>
    </row>
    <row r="12690" spans="18:19" x14ac:dyDescent="0.25">
      <c r="R12690" s="13">
        <v>12617</v>
      </c>
      <c r="S12690" s="13">
        <v>0</v>
      </c>
    </row>
    <row r="12691" spans="18:19" x14ac:dyDescent="0.25">
      <c r="R12691" s="13">
        <v>12618</v>
      </c>
      <c r="S12691" s="13">
        <v>0</v>
      </c>
    </row>
    <row r="12692" spans="18:19" x14ac:dyDescent="0.25">
      <c r="R12692" s="13">
        <v>12619</v>
      </c>
      <c r="S12692" s="13">
        <v>0</v>
      </c>
    </row>
    <row r="12693" spans="18:19" x14ac:dyDescent="0.25">
      <c r="R12693" s="13">
        <v>12620</v>
      </c>
      <c r="S12693" s="13">
        <v>0</v>
      </c>
    </row>
    <row r="12694" spans="18:19" x14ac:dyDescent="0.25">
      <c r="R12694" s="13">
        <v>12621</v>
      </c>
      <c r="S12694" s="13">
        <v>0</v>
      </c>
    </row>
    <row r="12695" spans="18:19" x14ac:dyDescent="0.25">
      <c r="R12695" s="13">
        <v>12622</v>
      </c>
      <c r="S12695" s="13">
        <v>0</v>
      </c>
    </row>
    <row r="12696" spans="18:19" x14ac:dyDescent="0.25">
      <c r="R12696" s="13">
        <v>12623</v>
      </c>
      <c r="S12696" s="13">
        <v>0</v>
      </c>
    </row>
    <row r="12697" spans="18:19" x14ac:dyDescent="0.25">
      <c r="R12697" s="13">
        <v>12624</v>
      </c>
      <c r="S12697" s="13">
        <v>0</v>
      </c>
    </row>
    <row r="12698" spans="18:19" x14ac:dyDescent="0.25">
      <c r="R12698" s="13">
        <v>12625</v>
      </c>
      <c r="S12698" s="13">
        <v>739412717.35906029</v>
      </c>
    </row>
    <row r="12699" spans="18:19" x14ac:dyDescent="0.25">
      <c r="R12699" s="13">
        <v>12626</v>
      </c>
      <c r="S12699" s="13">
        <v>0</v>
      </c>
    </row>
    <row r="12700" spans="18:19" x14ac:dyDescent="0.25">
      <c r="R12700" s="13">
        <v>12627</v>
      </c>
      <c r="S12700" s="13">
        <v>0</v>
      </c>
    </row>
    <row r="12701" spans="18:19" x14ac:dyDescent="0.25">
      <c r="R12701" s="13">
        <v>12628</v>
      </c>
      <c r="S12701" s="13">
        <v>0</v>
      </c>
    </row>
    <row r="12702" spans="18:19" x14ac:dyDescent="0.25">
      <c r="R12702" s="13">
        <v>12629</v>
      </c>
      <c r="S12702" s="13">
        <v>0</v>
      </c>
    </row>
    <row r="12703" spans="18:19" x14ac:dyDescent="0.25">
      <c r="R12703" s="13">
        <v>12630</v>
      </c>
      <c r="S12703" s="13">
        <v>0</v>
      </c>
    </row>
    <row r="12704" spans="18:19" x14ac:dyDescent="0.25">
      <c r="R12704" s="13">
        <v>12631</v>
      </c>
      <c r="S12704" s="13">
        <v>0</v>
      </c>
    </row>
    <row r="12705" spans="18:19" x14ac:dyDescent="0.25">
      <c r="R12705" s="13">
        <v>12632</v>
      </c>
      <c r="S12705" s="13">
        <v>0</v>
      </c>
    </row>
    <row r="12706" spans="18:19" x14ac:dyDescent="0.25">
      <c r="R12706" s="13">
        <v>12633</v>
      </c>
      <c r="S12706" s="13">
        <v>0</v>
      </c>
    </row>
    <row r="12707" spans="18:19" x14ac:dyDescent="0.25">
      <c r="R12707" s="13">
        <v>12634</v>
      </c>
      <c r="S12707" s="13">
        <v>0</v>
      </c>
    </row>
    <row r="12708" spans="18:19" x14ac:dyDescent="0.25">
      <c r="R12708" s="13">
        <v>12635</v>
      </c>
      <c r="S12708" s="13">
        <v>0</v>
      </c>
    </row>
    <row r="12709" spans="18:19" x14ac:dyDescent="0.25">
      <c r="R12709" s="13">
        <v>12636</v>
      </c>
      <c r="S12709" s="13">
        <v>0</v>
      </c>
    </row>
    <row r="12710" spans="18:19" x14ac:dyDescent="0.25">
      <c r="R12710" s="13">
        <v>12637</v>
      </c>
      <c r="S12710" s="13">
        <v>0</v>
      </c>
    </row>
    <row r="12711" spans="18:19" x14ac:dyDescent="0.25">
      <c r="R12711" s="13">
        <v>12638</v>
      </c>
      <c r="S12711" s="13">
        <v>0</v>
      </c>
    </row>
    <row r="12712" spans="18:19" x14ac:dyDescent="0.25">
      <c r="R12712" s="13">
        <v>12639</v>
      </c>
      <c r="S12712" s="13">
        <v>0</v>
      </c>
    </row>
    <row r="12713" spans="18:19" x14ac:dyDescent="0.25">
      <c r="R12713" s="13">
        <v>12640</v>
      </c>
      <c r="S12713" s="13">
        <v>292442499.94771576</v>
      </c>
    </row>
    <row r="12714" spans="18:19" x14ac:dyDescent="0.25">
      <c r="R12714" s="13">
        <v>12641</v>
      </c>
      <c r="S12714" s="13">
        <v>173884583.02805328</v>
      </c>
    </row>
    <row r="12715" spans="18:19" x14ac:dyDescent="0.25">
      <c r="R12715" s="13">
        <v>12642</v>
      </c>
      <c r="S12715" s="13">
        <v>0</v>
      </c>
    </row>
    <row r="12716" spans="18:19" x14ac:dyDescent="0.25">
      <c r="R12716" s="13">
        <v>12643</v>
      </c>
      <c r="S12716" s="13">
        <v>288596642.21483612</v>
      </c>
    </row>
    <row r="12717" spans="18:19" x14ac:dyDescent="0.25">
      <c r="R12717" s="13">
        <v>12644</v>
      </c>
      <c r="S12717" s="13">
        <v>0</v>
      </c>
    </row>
    <row r="12718" spans="18:19" x14ac:dyDescent="0.25">
      <c r="R12718" s="13">
        <v>12645</v>
      </c>
      <c r="S12718" s="13">
        <v>0</v>
      </c>
    </row>
    <row r="12719" spans="18:19" x14ac:dyDescent="0.25">
      <c r="R12719" s="13">
        <v>12646</v>
      </c>
      <c r="S12719" s="13">
        <v>46977762.328187943</v>
      </c>
    </row>
    <row r="12720" spans="18:19" x14ac:dyDescent="0.25">
      <c r="R12720" s="13">
        <v>12647</v>
      </c>
      <c r="S12720" s="13">
        <v>0</v>
      </c>
    </row>
    <row r="12721" spans="18:19" x14ac:dyDescent="0.25">
      <c r="R12721" s="13">
        <v>12648</v>
      </c>
      <c r="S12721" s="13">
        <v>0</v>
      </c>
    </row>
    <row r="12722" spans="18:19" x14ac:dyDescent="0.25">
      <c r="R12722" s="13">
        <v>12649</v>
      </c>
      <c r="S12722" s="13">
        <v>0</v>
      </c>
    </row>
    <row r="12723" spans="18:19" x14ac:dyDescent="0.25">
      <c r="R12723" s="13">
        <v>12650</v>
      </c>
      <c r="S12723" s="13">
        <v>174395638.09857559</v>
      </c>
    </row>
    <row r="12724" spans="18:19" x14ac:dyDescent="0.25">
      <c r="R12724" s="13">
        <v>12651</v>
      </c>
      <c r="S12724" s="13">
        <v>0</v>
      </c>
    </row>
    <row r="12725" spans="18:19" x14ac:dyDescent="0.25">
      <c r="R12725" s="13">
        <v>12652</v>
      </c>
      <c r="S12725" s="13">
        <v>0</v>
      </c>
    </row>
    <row r="12726" spans="18:19" x14ac:dyDescent="0.25">
      <c r="R12726" s="13">
        <v>12653</v>
      </c>
      <c r="S12726" s="13">
        <v>0</v>
      </c>
    </row>
    <row r="12727" spans="18:19" x14ac:dyDescent="0.25">
      <c r="R12727" s="13">
        <v>12654</v>
      </c>
      <c r="S12727" s="13">
        <v>160952465.32051277</v>
      </c>
    </row>
    <row r="12728" spans="18:19" x14ac:dyDescent="0.25">
      <c r="R12728" s="13">
        <v>12655</v>
      </c>
      <c r="S12728" s="13">
        <v>0</v>
      </c>
    </row>
    <row r="12729" spans="18:19" x14ac:dyDescent="0.25">
      <c r="R12729" s="13">
        <v>12656</v>
      </c>
      <c r="S12729" s="13">
        <v>0</v>
      </c>
    </row>
    <row r="12730" spans="18:19" x14ac:dyDescent="0.25">
      <c r="R12730" s="13">
        <v>12657</v>
      </c>
      <c r="S12730" s="13">
        <v>331006806.82905579</v>
      </c>
    </row>
    <row r="12731" spans="18:19" x14ac:dyDescent="0.25">
      <c r="R12731" s="13">
        <v>12658</v>
      </c>
      <c r="S12731" s="13">
        <v>0</v>
      </c>
    </row>
    <row r="12732" spans="18:19" x14ac:dyDescent="0.25">
      <c r="R12732" s="13">
        <v>12659</v>
      </c>
      <c r="S12732" s="13">
        <v>0</v>
      </c>
    </row>
    <row r="12733" spans="18:19" x14ac:dyDescent="0.25">
      <c r="R12733" s="13">
        <v>12660</v>
      </c>
      <c r="S12733" s="13">
        <v>0</v>
      </c>
    </row>
    <row r="12734" spans="18:19" x14ac:dyDescent="0.25">
      <c r="R12734" s="13">
        <v>12661</v>
      </c>
      <c r="S12734" s="13">
        <v>0</v>
      </c>
    </row>
    <row r="12735" spans="18:19" x14ac:dyDescent="0.25">
      <c r="R12735" s="13">
        <v>12662</v>
      </c>
      <c r="S12735" s="13">
        <v>0</v>
      </c>
    </row>
    <row r="12736" spans="18:19" x14ac:dyDescent="0.25">
      <c r="R12736" s="13">
        <v>12663</v>
      </c>
      <c r="S12736" s="13">
        <v>0</v>
      </c>
    </row>
    <row r="12737" spans="18:19" x14ac:dyDescent="0.25">
      <c r="R12737" s="13">
        <v>12664</v>
      </c>
      <c r="S12737" s="13">
        <v>0</v>
      </c>
    </row>
    <row r="12738" spans="18:19" x14ac:dyDescent="0.25">
      <c r="R12738" s="13">
        <v>12665</v>
      </c>
      <c r="S12738" s="13">
        <v>0</v>
      </c>
    </row>
    <row r="12739" spans="18:19" x14ac:dyDescent="0.25">
      <c r="R12739" s="13">
        <v>12666</v>
      </c>
      <c r="S12739" s="13">
        <v>0</v>
      </c>
    </row>
    <row r="12740" spans="18:19" x14ac:dyDescent="0.25">
      <c r="R12740" s="13">
        <v>12667</v>
      </c>
      <c r="S12740" s="13">
        <v>0</v>
      </c>
    </row>
    <row r="12741" spans="18:19" x14ac:dyDescent="0.25">
      <c r="R12741" s="13">
        <v>12668</v>
      </c>
      <c r="S12741" s="13">
        <v>0</v>
      </c>
    </row>
    <row r="12742" spans="18:19" x14ac:dyDescent="0.25">
      <c r="R12742" s="13">
        <v>12669</v>
      </c>
      <c r="S12742" s="13">
        <v>0</v>
      </c>
    </row>
    <row r="12743" spans="18:19" x14ac:dyDescent="0.25">
      <c r="R12743" s="13">
        <v>12670</v>
      </c>
      <c r="S12743" s="13">
        <v>33547349.614269257</v>
      </c>
    </row>
    <row r="12744" spans="18:19" x14ac:dyDescent="0.25">
      <c r="R12744" s="13">
        <v>12671</v>
      </c>
      <c r="S12744" s="13">
        <v>0</v>
      </c>
    </row>
    <row r="12745" spans="18:19" x14ac:dyDescent="0.25">
      <c r="R12745" s="13">
        <v>12672</v>
      </c>
      <c r="S12745" s="13">
        <v>0</v>
      </c>
    </row>
    <row r="12746" spans="18:19" x14ac:dyDescent="0.25">
      <c r="R12746" s="13">
        <v>12673</v>
      </c>
      <c r="S12746" s="13">
        <v>0</v>
      </c>
    </row>
    <row r="12747" spans="18:19" x14ac:dyDescent="0.25">
      <c r="R12747" s="13">
        <v>12674</v>
      </c>
      <c r="S12747" s="13">
        <v>0</v>
      </c>
    </row>
    <row r="12748" spans="18:19" x14ac:dyDescent="0.25">
      <c r="R12748" s="13">
        <v>12675</v>
      </c>
      <c r="S12748" s="13">
        <v>0</v>
      </c>
    </row>
    <row r="12749" spans="18:19" x14ac:dyDescent="0.25">
      <c r="R12749" s="13">
        <v>12676</v>
      </c>
      <c r="S12749" s="13">
        <v>0</v>
      </c>
    </row>
    <row r="12750" spans="18:19" x14ac:dyDescent="0.25">
      <c r="R12750" s="13">
        <v>12677</v>
      </c>
      <c r="S12750" s="13">
        <v>0</v>
      </c>
    </row>
    <row r="12751" spans="18:19" x14ac:dyDescent="0.25">
      <c r="R12751" s="13">
        <v>12678</v>
      </c>
      <c r="S12751" s="13">
        <v>1059325753.122757</v>
      </c>
    </row>
    <row r="12752" spans="18:19" x14ac:dyDescent="0.25">
      <c r="R12752" s="13">
        <v>12679</v>
      </c>
      <c r="S12752" s="13">
        <v>525068794.83707047</v>
      </c>
    </row>
    <row r="12753" spans="18:19" x14ac:dyDescent="0.25">
      <c r="R12753" s="13">
        <v>12680</v>
      </c>
      <c r="S12753" s="13">
        <v>501777062.07458305</v>
      </c>
    </row>
    <row r="12754" spans="18:19" x14ac:dyDescent="0.25">
      <c r="R12754" s="13">
        <v>12681</v>
      </c>
      <c r="S12754" s="13">
        <v>0</v>
      </c>
    </row>
    <row r="12755" spans="18:19" x14ac:dyDescent="0.25">
      <c r="R12755" s="13">
        <v>12682</v>
      </c>
      <c r="S12755" s="13">
        <v>736692458.27995872</v>
      </c>
    </row>
    <row r="12756" spans="18:19" x14ac:dyDescent="0.25">
      <c r="R12756" s="13">
        <v>12683</v>
      </c>
      <c r="S12756" s="13">
        <v>0</v>
      </c>
    </row>
    <row r="12757" spans="18:19" x14ac:dyDescent="0.25">
      <c r="R12757" s="13">
        <v>12684</v>
      </c>
      <c r="S12757" s="13">
        <v>0</v>
      </c>
    </row>
    <row r="12758" spans="18:19" x14ac:dyDescent="0.25">
      <c r="R12758" s="13">
        <v>12685</v>
      </c>
      <c r="S12758" s="13">
        <v>29631551.355571747</v>
      </c>
    </row>
    <row r="12759" spans="18:19" x14ac:dyDescent="0.25">
      <c r="R12759" s="13">
        <v>12686</v>
      </c>
      <c r="S12759" s="13">
        <v>110822612.17998123</v>
      </c>
    </row>
    <row r="12760" spans="18:19" x14ac:dyDescent="0.25">
      <c r="R12760" s="13">
        <v>12687</v>
      </c>
      <c r="S12760" s="13">
        <v>0</v>
      </c>
    </row>
    <row r="12761" spans="18:19" x14ac:dyDescent="0.25">
      <c r="R12761" s="13">
        <v>12688</v>
      </c>
      <c r="S12761" s="13">
        <v>0</v>
      </c>
    </row>
    <row r="12762" spans="18:19" x14ac:dyDescent="0.25">
      <c r="R12762" s="13">
        <v>12689</v>
      </c>
      <c r="S12762" s="13">
        <v>0</v>
      </c>
    </row>
    <row r="12763" spans="18:19" x14ac:dyDescent="0.25">
      <c r="R12763" s="13">
        <v>12690</v>
      </c>
      <c r="S12763" s="13">
        <v>0</v>
      </c>
    </row>
    <row r="12764" spans="18:19" x14ac:dyDescent="0.25">
      <c r="R12764" s="13">
        <v>12691</v>
      </c>
      <c r="S12764" s="13">
        <v>0</v>
      </c>
    </row>
    <row r="12765" spans="18:19" x14ac:dyDescent="0.25">
      <c r="R12765" s="13">
        <v>12692</v>
      </c>
      <c r="S12765" s="13">
        <v>0</v>
      </c>
    </row>
    <row r="12766" spans="18:19" x14ac:dyDescent="0.25">
      <c r="R12766" s="13">
        <v>12693</v>
      </c>
      <c r="S12766" s="13">
        <v>424986978.70245552</v>
      </c>
    </row>
    <row r="12767" spans="18:19" x14ac:dyDescent="0.25">
      <c r="R12767" s="13">
        <v>12694</v>
      </c>
      <c r="S12767" s="13">
        <v>0</v>
      </c>
    </row>
    <row r="12768" spans="18:19" x14ac:dyDescent="0.25">
      <c r="R12768" s="13">
        <v>12695</v>
      </c>
      <c r="S12768" s="13">
        <v>0</v>
      </c>
    </row>
    <row r="12769" spans="18:19" x14ac:dyDescent="0.25">
      <c r="R12769" s="13">
        <v>12696</v>
      </c>
      <c r="S12769" s="13">
        <v>0</v>
      </c>
    </row>
    <row r="12770" spans="18:19" x14ac:dyDescent="0.25">
      <c r="R12770" s="13">
        <v>12697</v>
      </c>
      <c r="S12770" s="13">
        <v>0</v>
      </c>
    </row>
    <row r="12771" spans="18:19" x14ac:dyDescent="0.25">
      <c r="R12771" s="13">
        <v>12698</v>
      </c>
      <c r="S12771" s="13">
        <v>381536298.90730476</v>
      </c>
    </row>
    <row r="12772" spans="18:19" x14ac:dyDescent="0.25">
      <c r="R12772" s="13">
        <v>12699</v>
      </c>
      <c r="S12772" s="13">
        <v>525706721.47559166</v>
      </c>
    </row>
    <row r="12773" spans="18:19" x14ac:dyDescent="0.25">
      <c r="R12773" s="13">
        <v>12700</v>
      </c>
      <c r="S12773" s="13">
        <v>572795278.41761398</v>
      </c>
    </row>
    <row r="12774" spans="18:19" x14ac:dyDescent="0.25">
      <c r="R12774" s="13">
        <v>12701</v>
      </c>
      <c r="S12774" s="13">
        <v>0</v>
      </c>
    </row>
    <row r="12775" spans="18:19" x14ac:dyDescent="0.25">
      <c r="R12775" s="13">
        <v>12702</v>
      </c>
      <c r="S12775" s="13">
        <v>0</v>
      </c>
    </row>
    <row r="12776" spans="18:19" x14ac:dyDescent="0.25">
      <c r="R12776" s="13">
        <v>12703</v>
      </c>
      <c r="S12776" s="13">
        <v>0</v>
      </c>
    </row>
    <row r="12777" spans="18:19" x14ac:dyDescent="0.25">
      <c r="R12777" s="13">
        <v>12704</v>
      </c>
      <c r="S12777" s="13">
        <v>0</v>
      </c>
    </row>
    <row r="12778" spans="18:19" x14ac:dyDescent="0.25">
      <c r="R12778" s="13">
        <v>12705</v>
      </c>
      <c r="S12778" s="13">
        <v>310375543.46535492</v>
      </c>
    </row>
    <row r="12779" spans="18:19" x14ac:dyDescent="0.25">
      <c r="R12779" s="13">
        <v>12706</v>
      </c>
      <c r="S12779" s="13">
        <v>0</v>
      </c>
    </row>
    <row r="12780" spans="18:19" x14ac:dyDescent="0.25">
      <c r="R12780" s="13">
        <v>12707</v>
      </c>
      <c r="S12780" s="13">
        <v>0</v>
      </c>
    </row>
    <row r="12781" spans="18:19" x14ac:dyDescent="0.25">
      <c r="R12781" s="13">
        <v>12708</v>
      </c>
      <c r="S12781" s="13">
        <v>0</v>
      </c>
    </row>
    <row r="12782" spans="18:19" x14ac:dyDescent="0.25">
      <c r="R12782" s="13">
        <v>12709</v>
      </c>
      <c r="S12782" s="13">
        <v>0</v>
      </c>
    </row>
    <row r="12783" spans="18:19" x14ac:dyDescent="0.25">
      <c r="R12783" s="13">
        <v>12710</v>
      </c>
      <c r="S12783" s="13">
        <v>349563842.11760712</v>
      </c>
    </row>
    <row r="12784" spans="18:19" x14ac:dyDescent="0.25">
      <c r="R12784" s="13">
        <v>12711</v>
      </c>
      <c r="S12784" s="13">
        <v>0</v>
      </c>
    </row>
    <row r="12785" spans="18:19" x14ac:dyDescent="0.25">
      <c r="R12785" s="13">
        <v>12712</v>
      </c>
      <c r="S12785" s="13">
        <v>0</v>
      </c>
    </row>
    <row r="12786" spans="18:19" x14ac:dyDescent="0.25">
      <c r="R12786" s="13">
        <v>12713</v>
      </c>
      <c r="S12786" s="13">
        <v>0</v>
      </c>
    </row>
    <row r="12787" spans="18:19" x14ac:dyDescent="0.25">
      <c r="R12787" s="13">
        <v>12714</v>
      </c>
      <c r="S12787" s="13">
        <v>0</v>
      </c>
    </row>
    <row r="12788" spans="18:19" x14ac:dyDescent="0.25">
      <c r="R12788" s="13">
        <v>12715</v>
      </c>
      <c r="S12788" s="13">
        <v>0</v>
      </c>
    </row>
    <row r="12789" spans="18:19" x14ac:dyDescent="0.25">
      <c r="R12789" s="13">
        <v>12716</v>
      </c>
      <c r="S12789" s="13">
        <v>0</v>
      </c>
    </row>
    <row r="12790" spans="18:19" x14ac:dyDescent="0.25">
      <c r="R12790" s="13">
        <v>12717</v>
      </c>
      <c r="S12790" s="13">
        <v>0</v>
      </c>
    </row>
    <row r="12791" spans="18:19" x14ac:dyDescent="0.25">
      <c r="R12791" s="13">
        <v>12718</v>
      </c>
      <c r="S12791" s="13">
        <v>0</v>
      </c>
    </row>
    <row r="12792" spans="18:19" x14ac:dyDescent="0.25">
      <c r="R12792" s="13">
        <v>12719</v>
      </c>
      <c r="S12792" s="13">
        <v>0</v>
      </c>
    </row>
    <row r="12793" spans="18:19" x14ac:dyDescent="0.25">
      <c r="R12793" s="13">
        <v>12720</v>
      </c>
      <c r="S12793" s="13">
        <v>269262518.62038612</v>
      </c>
    </row>
    <row r="12794" spans="18:19" x14ac:dyDescent="0.25">
      <c r="R12794" s="13">
        <v>12721</v>
      </c>
      <c r="S12794" s="13">
        <v>0</v>
      </c>
    </row>
    <row r="12795" spans="18:19" x14ac:dyDescent="0.25">
      <c r="R12795" s="13">
        <v>12722</v>
      </c>
      <c r="S12795" s="13">
        <v>0</v>
      </c>
    </row>
    <row r="12796" spans="18:19" x14ac:dyDescent="0.25">
      <c r="R12796" s="13">
        <v>12723</v>
      </c>
      <c r="S12796" s="13">
        <v>0</v>
      </c>
    </row>
    <row r="12797" spans="18:19" x14ac:dyDescent="0.25">
      <c r="R12797" s="13">
        <v>12724</v>
      </c>
      <c r="S12797" s="13">
        <v>0</v>
      </c>
    </row>
    <row r="12798" spans="18:19" x14ac:dyDescent="0.25">
      <c r="R12798" s="13">
        <v>12725</v>
      </c>
      <c r="S12798" s="13">
        <v>0</v>
      </c>
    </row>
    <row r="12799" spans="18:19" x14ac:dyDescent="0.25">
      <c r="R12799" s="13">
        <v>12726</v>
      </c>
      <c r="S12799" s="13">
        <v>0</v>
      </c>
    </row>
    <row r="12800" spans="18:19" x14ac:dyDescent="0.25">
      <c r="R12800" s="13">
        <v>12727</v>
      </c>
      <c r="S12800" s="13">
        <v>0</v>
      </c>
    </row>
    <row r="12801" spans="18:19" x14ac:dyDescent="0.25">
      <c r="R12801" s="13">
        <v>12728</v>
      </c>
      <c r="S12801" s="13">
        <v>0</v>
      </c>
    </row>
    <row r="12802" spans="18:19" x14ac:dyDescent="0.25">
      <c r="R12802" s="13">
        <v>12729</v>
      </c>
      <c r="S12802" s="13">
        <v>0</v>
      </c>
    </row>
    <row r="12803" spans="18:19" x14ac:dyDescent="0.25">
      <c r="R12803" s="13">
        <v>12730</v>
      </c>
      <c r="S12803" s="13">
        <v>554512502.06272507</v>
      </c>
    </row>
    <row r="12804" spans="18:19" x14ac:dyDescent="0.25">
      <c r="R12804" s="13">
        <v>12731</v>
      </c>
      <c r="S12804" s="13">
        <v>0</v>
      </c>
    </row>
    <row r="12805" spans="18:19" x14ac:dyDescent="0.25">
      <c r="R12805" s="13">
        <v>12732</v>
      </c>
      <c r="S12805" s="13">
        <v>0</v>
      </c>
    </row>
    <row r="12806" spans="18:19" x14ac:dyDescent="0.25">
      <c r="R12806" s="13">
        <v>12733</v>
      </c>
      <c r="S12806" s="13">
        <v>0</v>
      </c>
    </row>
    <row r="12807" spans="18:19" x14ac:dyDescent="0.25">
      <c r="R12807" s="13">
        <v>12734</v>
      </c>
      <c r="S12807" s="13">
        <v>0</v>
      </c>
    </row>
    <row r="12808" spans="18:19" x14ac:dyDescent="0.25">
      <c r="R12808" s="13">
        <v>12735</v>
      </c>
      <c r="S12808" s="13">
        <v>0</v>
      </c>
    </row>
    <row r="12809" spans="18:19" x14ac:dyDescent="0.25">
      <c r="R12809" s="13">
        <v>12736</v>
      </c>
      <c r="S12809" s="13">
        <v>130763521.35175323</v>
      </c>
    </row>
    <row r="12810" spans="18:19" x14ac:dyDescent="0.25">
      <c r="R12810" s="13">
        <v>12737</v>
      </c>
      <c r="S12810" s="13">
        <v>179865140.83050728</v>
      </c>
    </row>
    <row r="12811" spans="18:19" x14ac:dyDescent="0.25">
      <c r="R12811" s="13">
        <v>12738</v>
      </c>
      <c r="S12811" s="13">
        <v>0</v>
      </c>
    </row>
    <row r="12812" spans="18:19" x14ac:dyDescent="0.25">
      <c r="R12812" s="13">
        <v>12739</v>
      </c>
      <c r="S12812" s="13">
        <v>138979677.45388031</v>
      </c>
    </row>
    <row r="12813" spans="18:19" x14ac:dyDescent="0.25">
      <c r="R12813" s="13">
        <v>12740</v>
      </c>
      <c r="S12813" s="13">
        <v>0</v>
      </c>
    </row>
    <row r="12814" spans="18:19" x14ac:dyDescent="0.25">
      <c r="R12814" s="13">
        <v>12741</v>
      </c>
      <c r="S12814" s="13">
        <v>0</v>
      </c>
    </row>
    <row r="12815" spans="18:19" x14ac:dyDescent="0.25">
      <c r="R12815" s="13">
        <v>12742</v>
      </c>
      <c r="S12815" s="13">
        <v>0</v>
      </c>
    </row>
    <row r="12816" spans="18:19" x14ac:dyDescent="0.25">
      <c r="R12816" s="13">
        <v>12743</v>
      </c>
      <c r="S12816" s="13">
        <v>0</v>
      </c>
    </row>
    <row r="12817" spans="18:19" x14ac:dyDescent="0.25">
      <c r="R12817" s="13">
        <v>12744</v>
      </c>
      <c r="S12817" s="13">
        <v>0</v>
      </c>
    </row>
    <row r="12818" spans="18:19" x14ac:dyDescent="0.25">
      <c r="R12818" s="13">
        <v>12745</v>
      </c>
      <c r="S12818" s="13">
        <v>0</v>
      </c>
    </row>
    <row r="12819" spans="18:19" x14ac:dyDescent="0.25">
      <c r="R12819" s="13">
        <v>12746</v>
      </c>
      <c r="S12819" s="13">
        <v>0</v>
      </c>
    </row>
    <row r="12820" spans="18:19" x14ac:dyDescent="0.25">
      <c r="R12820" s="13">
        <v>12747</v>
      </c>
      <c r="S12820" s="13">
        <v>0</v>
      </c>
    </row>
    <row r="12821" spans="18:19" x14ac:dyDescent="0.25">
      <c r="R12821" s="13">
        <v>12748</v>
      </c>
      <c r="S12821" s="13">
        <v>284144557.32195663</v>
      </c>
    </row>
    <row r="12822" spans="18:19" x14ac:dyDescent="0.25">
      <c r="R12822" s="13">
        <v>12749</v>
      </c>
      <c r="S12822" s="13">
        <v>93741297.730306625</v>
      </c>
    </row>
    <row r="12823" spans="18:19" x14ac:dyDescent="0.25">
      <c r="R12823" s="13">
        <v>12750</v>
      </c>
      <c r="S12823" s="13">
        <v>0</v>
      </c>
    </row>
    <row r="12824" spans="18:19" x14ac:dyDescent="0.25">
      <c r="R12824" s="13">
        <v>12751</v>
      </c>
      <c r="S12824" s="13">
        <v>0</v>
      </c>
    </row>
    <row r="12825" spans="18:19" x14ac:dyDescent="0.25">
      <c r="R12825" s="13">
        <v>12752</v>
      </c>
      <c r="S12825" s="13">
        <v>324541427.46863365</v>
      </c>
    </row>
    <row r="12826" spans="18:19" x14ac:dyDescent="0.25">
      <c r="R12826" s="13">
        <v>12753</v>
      </c>
      <c r="S12826" s="13">
        <v>0</v>
      </c>
    </row>
    <row r="12827" spans="18:19" x14ac:dyDescent="0.25">
      <c r="R12827" s="13">
        <v>12754</v>
      </c>
      <c r="S12827" s="13">
        <v>0</v>
      </c>
    </row>
    <row r="12828" spans="18:19" x14ac:dyDescent="0.25">
      <c r="R12828" s="13">
        <v>12755</v>
      </c>
      <c r="S12828" s="13">
        <v>0</v>
      </c>
    </row>
    <row r="12829" spans="18:19" x14ac:dyDescent="0.25">
      <c r="R12829" s="13">
        <v>12756</v>
      </c>
      <c r="S12829" s="13">
        <v>0</v>
      </c>
    </row>
    <row r="12830" spans="18:19" x14ac:dyDescent="0.25">
      <c r="R12830" s="13">
        <v>12757</v>
      </c>
      <c r="S12830" s="13">
        <v>0</v>
      </c>
    </row>
    <row r="12831" spans="18:19" x14ac:dyDescent="0.25">
      <c r="R12831" s="13">
        <v>12758</v>
      </c>
      <c r="S12831" s="13">
        <v>98881458.956850052</v>
      </c>
    </row>
    <row r="12832" spans="18:19" x14ac:dyDescent="0.25">
      <c r="R12832" s="13">
        <v>12759</v>
      </c>
      <c r="S12832" s="13">
        <v>0</v>
      </c>
    </row>
    <row r="12833" spans="18:19" x14ac:dyDescent="0.25">
      <c r="R12833" s="13">
        <v>12760</v>
      </c>
      <c r="S12833" s="13">
        <v>0</v>
      </c>
    </row>
    <row r="12834" spans="18:19" x14ac:dyDescent="0.25">
      <c r="R12834" s="13">
        <v>12761</v>
      </c>
      <c r="S12834" s="13">
        <v>0</v>
      </c>
    </row>
    <row r="12835" spans="18:19" x14ac:dyDescent="0.25">
      <c r="R12835" s="13">
        <v>12762</v>
      </c>
      <c r="S12835" s="13">
        <v>0</v>
      </c>
    </row>
    <row r="12836" spans="18:19" x14ac:dyDescent="0.25">
      <c r="R12836" s="13">
        <v>12763</v>
      </c>
      <c r="S12836" s="13">
        <v>0</v>
      </c>
    </row>
    <row r="12837" spans="18:19" x14ac:dyDescent="0.25">
      <c r="R12837" s="13">
        <v>12764</v>
      </c>
      <c r="S12837" s="13">
        <v>0</v>
      </c>
    </row>
    <row r="12838" spans="18:19" x14ac:dyDescent="0.25">
      <c r="R12838" s="13">
        <v>12765</v>
      </c>
      <c r="S12838" s="13">
        <v>0</v>
      </c>
    </row>
    <row r="12839" spans="18:19" x14ac:dyDescent="0.25">
      <c r="R12839" s="13">
        <v>12766</v>
      </c>
      <c r="S12839" s="13">
        <v>0</v>
      </c>
    </row>
    <row r="12840" spans="18:19" x14ac:dyDescent="0.25">
      <c r="R12840" s="13">
        <v>12767</v>
      </c>
      <c r="S12840" s="13">
        <v>0</v>
      </c>
    </row>
    <row r="12841" spans="18:19" x14ac:dyDescent="0.25">
      <c r="R12841" s="13">
        <v>12768</v>
      </c>
      <c r="S12841" s="13">
        <v>0</v>
      </c>
    </row>
    <row r="12842" spans="18:19" x14ac:dyDescent="0.25">
      <c r="R12842" s="13">
        <v>12769</v>
      </c>
      <c r="S12842" s="13">
        <v>0</v>
      </c>
    </row>
    <row r="12843" spans="18:19" x14ac:dyDescent="0.25">
      <c r="R12843" s="13">
        <v>12770</v>
      </c>
      <c r="S12843" s="13">
        <v>0</v>
      </c>
    </row>
    <row r="12844" spans="18:19" x14ac:dyDescent="0.25">
      <c r="R12844" s="13">
        <v>12771</v>
      </c>
      <c r="S12844" s="13">
        <v>113965991.05776978</v>
      </c>
    </row>
    <row r="12845" spans="18:19" x14ac:dyDescent="0.25">
      <c r="R12845" s="13">
        <v>12772</v>
      </c>
      <c r="S12845" s="13">
        <v>297431494.67262077</v>
      </c>
    </row>
    <row r="12846" spans="18:19" x14ac:dyDescent="0.25">
      <c r="R12846" s="13">
        <v>12773</v>
      </c>
      <c r="S12846" s="13">
        <v>0</v>
      </c>
    </row>
    <row r="12847" spans="18:19" x14ac:dyDescent="0.25">
      <c r="R12847" s="13">
        <v>12774</v>
      </c>
      <c r="S12847" s="13">
        <v>0</v>
      </c>
    </row>
    <row r="12848" spans="18:19" x14ac:dyDescent="0.25">
      <c r="R12848" s="13">
        <v>12775</v>
      </c>
      <c r="S12848" s="13">
        <v>0</v>
      </c>
    </row>
    <row r="12849" spans="18:19" x14ac:dyDescent="0.25">
      <c r="R12849" s="13">
        <v>12776</v>
      </c>
      <c r="S12849" s="13">
        <v>551762554.18954468</v>
      </c>
    </row>
    <row r="12850" spans="18:19" x14ac:dyDescent="0.25">
      <c r="R12850" s="13">
        <v>12777</v>
      </c>
      <c r="S12850" s="13">
        <v>0</v>
      </c>
    </row>
    <row r="12851" spans="18:19" x14ac:dyDescent="0.25">
      <c r="R12851" s="13">
        <v>12778</v>
      </c>
      <c r="S12851" s="13">
        <v>490704106.76226616</v>
      </c>
    </row>
    <row r="12852" spans="18:19" x14ac:dyDescent="0.25">
      <c r="R12852" s="13">
        <v>12779</v>
      </c>
      <c r="S12852" s="13">
        <v>341960753.64904213</v>
      </c>
    </row>
    <row r="12853" spans="18:19" x14ac:dyDescent="0.25">
      <c r="R12853" s="13">
        <v>12780</v>
      </c>
      <c r="S12853" s="13">
        <v>0</v>
      </c>
    </row>
    <row r="12854" spans="18:19" x14ac:dyDescent="0.25">
      <c r="R12854" s="13">
        <v>12781</v>
      </c>
      <c r="S12854" s="13">
        <v>127490302.10928535</v>
      </c>
    </row>
    <row r="12855" spans="18:19" x14ac:dyDescent="0.25">
      <c r="R12855" s="13">
        <v>12782</v>
      </c>
      <c r="S12855" s="13">
        <v>0</v>
      </c>
    </row>
    <row r="12856" spans="18:19" x14ac:dyDescent="0.25">
      <c r="R12856" s="13">
        <v>12783</v>
      </c>
      <c r="S12856" s="13">
        <v>0</v>
      </c>
    </row>
    <row r="12857" spans="18:19" x14ac:dyDescent="0.25">
      <c r="R12857" s="13">
        <v>12784</v>
      </c>
      <c r="S12857" s="13">
        <v>0</v>
      </c>
    </row>
    <row r="12858" spans="18:19" x14ac:dyDescent="0.25">
      <c r="R12858" s="13">
        <v>12785</v>
      </c>
      <c r="S12858" s="13">
        <v>0</v>
      </c>
    </row>
    <row r="12859" spans="18:19" x14ac:dyDescent="0.25">
      <c r="R12859" s="13">
        <v>12786</v>
      </c>
      <c r="S12859" s="13">
        <v>0</v>
      </c>
    </row>
    <row r="12860" spans="18:19" x14ac:dyDescent="0.25">
      <c r="R12860" s="13">
        <v>12787</v>
      </c>
      <c r="S12860" s="13">
        <v>0</v>
      </c>
    </row>
    <row r="12861" spans="18:19" x14ac:dyDescent="0.25">
      <c r="R12861" s="13">
        <v>12788</v>
      </c>
      <c r="S12861" s="13">
        <v>0</v>
      </c>
    </row>
    <row r="12862" spans="18:19" x14ac:dyDescent="0.25">
      <c r="R12862" s="13">
        <v>12789</v>
      </c>
      <c r="S12862" s="13">
        <v>637126150.93142128</v>
      </c>
    </row>
    <row r="12863" spans="18:19" x14ac:dyDescent="0.25">
      <c r="R12863" s="13">
        <v>12790</v>
      </c>
      <c r="S12863" s="13">
        <v>245792525.34773254</v>
      </c>
    </row>
    <row r="12864" spans="18:19" x14ac:dyDescent="0.25">
      <c r="R12864" s="13">
        <v>12791</v>
      </c>
      <c r="S12864" s="13">
        <v>0</v>
      </c>
    </row>
    <row r="12865" spans="18:19" x14ac:dyDescent="0.25">
      <c r="R12865" s="13">
        <v>12792</v>
      </c>
      <c r="S12865" s="13">
        <v>205429241.5865593</v>
      </c>
    </row>
    <row r="12866" spans="18:19" x14ac:dyDescent="0.25">
      <c r="R12866" s="13">
        <v>12793</v>
      </c>
      <c r="S12866" s="13">
        <v>0</v>
      </c>
    </row>
    <row r="12867" spans="18:19" x14ac:dyDescent="0.25">
      <c r="R12867" s="13">
        <v>12794</v>
      </c>
      <c r="S12867" s="13">
        <v>102070081.86215973</v>
      </c>
    </row>
    <row r="12868" spans="18:19" x14ac:dyDescent="0.25">
      <c r="R12868" s="13">
        <v>12795</v>
      </c>
      <c r="S12868" s="13">
        <v>0</v>
      </c>
    </row>
    <row r="12869" spans="18:19" x14ac:dyDescent="0.25">
      <c r="R12869" s="13">
        <v>12796</v>
      </c>
      <c r="S12869" s="13">
        <v>0</v>
      </c>
    </row>
    <row r="12870" spans="18:19" x14ac:dyDescent="0.25">
      <c r="R12870" s="13">
        <v>12797</v>
      </c>
      <c r="S12870" s="13">
        <v>370367277.54487038</v>
      </c>
    </row>
    <row r="12871" spans="18:19" x14ac:dyDescent="0.25">
      <c r="R12871" s="13">
        <v>12798</v>
      </c>
      <c r="S12871" s="13">
        <v>59243695.126333237</v>
      </c>
    </row>
    <row r="12872" spans="18:19" x14ac:dyDescent="0.25">
      <c r="R12872" s="13">
        <v>12799</v>
      </c>
      <c r="S12872" s="13">
        <v>0</v>
      </c>
    </row>
    <row r="12873" spans="18:19" x14ac:dyDescent="0.25">
      <c r="R12873" s="13">
        <v>12800</v>
      </c>
      <c r="S12873" s="13">
        <v>0</v>
      </c>
    </row>
    <row r="12874" spans="18:19" x14ac:dyDescent="0.25">
      <c r="R12874" s="13">
        <v>12801</v>
      </c>
      <c r="S12874" s="13">
        <v>0</v>
      </c>
    </row>
    <row r="12875" spans="18:19" x14ac:dyDescent="0.25">
      <c r="R12875" s="13">
        <v>12802</v>
      </c>
      <c r="S12875" s="13">
        <v>0</v>
      </c>
    </row>
    <row r="12876" spans="18:19" x14ac:dyDescent="0.25">
      <c r="R12876" s="13">
        <v>12803</v>
      </c>
      <c r="S12876" s="13">
        <v>0</v>
      </c>
    </row>
    <row r="12877" spans="18:19" x14ac:dyDescent="0.25">
      <c r="R12877" s="13">
        <v>12804</v>
      </c>
      <c r="S12877" s="13">
        <v>0</v>
      </c>
    </row>
    <row r="12878" spans="18:19" x14ac:dyDescent="0.25">
      <c r="R12878" s="13">
        <v>12805</v>
      </c>
      <c r="S12878" s="13">
        <v>0</v>
      </c>
    </row>
    <row r="12879" spans="18:19" x14ac:dyDescent="0.25">
      <c r="R12879" s="13">
        <v>12806</v>
      </c>
      <c r="S12879" s="13">
        <v>0</v>
      </c>
    </row>
    <row r="12880" spans="18:19" x14ac:dyDescent="0.25">
      <c r="R12880" s="13">
        <v>12807</v>
      </c>
      <c r="S12880" s="13">
        <v>0</v>
      </c>
    </row>
    <row r="12881" spans="18:19" x14ac:dyDescent="0.25">
      <c r="R12881" s="13">
        <v>12808</v>
      </c>
      <c r="S12881" s="13">
        <v>0</v>
      </c>
    </row>
    <row r="12882" spans="18:19" x14ac:dyDescent="0.25">
      <c r="R12882" s="13">
        <v>12809</v>
      </c>
      <c r="S12882" s="13">
        <v>233045397.19296646</v>
      </c>
    </row>
    <row r="12883" spans="18:19" x14ac:dyDescent="0.25">
      <c r="R12883" s="13">
        <v>12810</v>
      </c>
      <c r="S12883" s="13">
        <v>152542656.50899696</v>
      </c>
    </row>
    <row r="12884" spans="18:19" x14ac:dyDescent="0.25">
      <c r="R12884" s="13">
        <v>12811</v>
      </c>
      <c r="S12884" s="13">
        <v>192034742.68500328</v>
      </c>
    </row>
    <row r="12885" spans="18:19" x14ac:dyDescent="0.25">
      <c r="R12885" s="13">
        <v>12812</v>
      </c>
      <c r="S12885" s="13">
        <v>0</v>
      </c>
    </row>
    <row r="12886" spans="18:19" x14ac:dyDescent="0.25">
      <c r="R12886" s="13">
        <v>12813</v>
      </c>
      <c r="S12886" s="13">
        <v>0</v>
      </c>
    </row>
    <row r="12887" spans="18:19" x14ac:dyDescent="0.25">
      <c r="R12887" s="13">
        <v>12814</v>
      </c>
      <c r="S12887" s="13">
        <v>0</v>
      </c>
    </row>
    <row r="12888" spans="18:19" x14ac:dyDescent="0.25">
      <c r="R12888" s="13">
        <v>12815</v>
      </c>
      <c r="S12888" s="13">
        <v>450920062.58349419</v>
      </c>
    </row>
    <row r="12889" spans="18:19" x14ac:dyDescent="0.25">
      <c r="R12889" s="13">
        <v>12816</v>
      </c>
      <c r="S12889" s="13">
        <v>0</v>
      </c>
    </row>
    <row r="12890" spans="18:19" x14ac:dyDescent="0.25">
      <c r="R12890" s="13">
        <v>12817</v>
      </c>
      <c r="S12890" s="13">
        <v>0</v>
      </c>
    </row>
    <row r="12891" spans="18:19" x14ac:dyDescent="0.25">
      <c r="R12891" s="13">
        <v>12818</v>
      </c>
      <c r="S12891" s="13">
        <v>0</v>
      </c>
    </row>
    <row r="12892" spans="18:19" x14ac:dyDescent="0.25">
      <c r="R12892" s="13">
        <v>12819</v>
      </c>
      <c r="S12892" s="13">
        <v>0</v>
      </c>
    </row>
    <row r="12893" spans="18:19" x14ac:dyDescent="0.25">
      <c r="R12893" s="13">
        <v>12820</v>
      </c>
      <c r="S12893" s="13">
        <v>791228085.28276443</v>
      </c>
    </row>
    <row r="12894" spans="18:19" x14ac:dyDescent="0.25">
      <c r="R12894" s="13">
        <v>12821</v>
      </c>
      <c r="S12894" s="13">
        <v>0</v>
      </c>
    </row>
    <row r="12895" spans="18:19" x14ac:dyDescent="0.25">
      <c r="R12895" s="13">
        <v>12822</v>
      </c>
      <c r="S12895" s="13">
        <v>0</v>
      </c>
    </row>
    <row r="12896" spans="18:19" x14ac:dyDescent="0.25">
      <c r="R12896" s="13">
        <v>12823</v>
      </c>
      <c r="S12896" s="13">
        <v>230317994.2322464</v>
      </c>
    </row>
    <row r="12897" spans="18:19" x14ac:dyDescent="0.25">
      <c r="R12897" s="13">
        <v>12824</v>
      </c>
      <c r="S12897" s="13">
        <v>0</v>
      </c>
    </row>
    <row r="12898" spans="18:19" x14ac:dyDescent="0.25">
      <c r="R12898" s="13">
        <v>12825</v>
      </c>
      <c r="S12898" s="13">
        <v>441875302.46217728</v>
      </c>
    </row>
    <row r="12899" spans="18:19" x14ac:dyDescent="0.25">
      <c r="R12899" s="13">
        <v>12826</v>
      </c>
      <c r="S12899" s="13">
        <v>0</v>
      </c>
    </row>
    <row r="12900" spans="18:19" x14ac:dyDescent="0.25">
      <c r="R12900" s="13">
        <v>12827</v>
      </c>
      <c r="S12900" s="13">
        <v>0</v>
      </c>
    </row>
    <row r="12901" spans="18:19" x14ac:dyDescent="0.25">
      <c r="R12901" s="13">
        <v>12828</v>
      </c>
      <c r="S12901" s="13">
        <v>285285563.93228912</v>
      </c>
    </row>
    <row r="12902" spans="18:19" x14ac:dyDescent="0.25">
      <c r="R12902" s="13">
        <v>12829</v>
      </c>
      <c r="S12902" s="13">
        <v>0</v>
      </c>
    </row>
    <row r="12903" spans="18:19" x14ac:dyDescent="0.25">
      <c r="R12903" s="13">
        <v>12830</v>
      </c>
      <c r="S12903" s="13">
        <v>0</v>
      </c>
    </row>
    <row r="12904" spans="18:19" x14ac:dyDescent="0.25">
      <c r="R12904" s="13">
        <v>12831</v>
      </c>
      <c r="S12904" s="13">
        <v>767200748.29788017</v>
      </c>
    </row>
    <row r="12905" spans="18:19" x14ac:dyDescent="0.25">
      <c r="R12905" s="13">
        <v>12832</v>
      </c>
      <c r="S12905" s="13">
        <v>0</v>
      </c>
    </row>
    <row r="12906" spans="18:19" x14ac:dyDescent="0.25">
      <c r="R12906" s="13">
        <v>12833</v>
      </c>
      <c r="S12906" s="13">
        <v>469273001.664711</v>
      </c>
    </row>
    <row r="12907" spans="18:19" x14ac:dyDescent="0.25">
      <c r="R12907" s="13">
        <v>12834</v>
      </c>
      <c r="S12907" s="13">
        <v>0</v>
      </c>
    </row>
    <row r="12908" spans="18:19" x14ac:dyDescent="0.25">
      <c r="R12908" s="13">
        <v>12835</v>
      </c>
      <c r="S12908" s="13">
        <v>0</v>
      </c>
    </row>
    <row r="12909" spans="18:19" x14ac:dyDescent="0.25">
      <c r="R12909" s="13">
        <v>12836</v>
      </c>
      <c r="S12909" s="13">
        <v>184180823.12837982</v>
      </c>
    </row>
    <row r="12910" spans="18:19" x14ac:dyDescent="0.25">
      <c r="R12910" s="13">
        <v>12837</v>
      </c>
      <c r="S12910" s="13">
        <v>103560611.85443306</v>
      </c>
    </row>
    <row r="12911" spans="18:19" x14ac:dyDescent="0.25">
      <c r="R12911" s="13">
        <v>12838</v>
      </c>
      <c r="S12911" s="13">
        <v>0</v>
      </c>
    </row>
    <row r="12912" spans="18:19" x14ac:dyDescent="0.25">
      <c r="R12912" s="13">
        <v>12839</v>
      </c>
      <c r="S12912" s="13">
        <v>0</v>
      </c>
    </row>
    <row r="12913" spans="18:19" x14ac:dyDescent="0.25">
      <c r="R12913" s="13">
        <v>12840</v>
      </c>
      <c r="S12913" s="13">
        <v>13510583.531389236</v>
      </c>
    </row>
    <row r="12914" spans="18:19" x14ac:dyDescent="0.25">
      <c r="R12914" s="13">
        <v>12841</v>
      </c>
      <c r="S12914" s="13">
        <v>0</v>
      </c>
    </row>
    <row r="12915" spans="18:19" x14ac:dyDescent="0.25">
      <c r="R12915" s="13">
        <v>12842</v>
      </c>
      <c r="S12915" s="13">
        <v>0</v>
      </c>
    </row>
  </sheetData>
  <pageMargins left="0.75" right="0.75" top="1" bottom="1" header="0.5" footer="0.5"/>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93E56-77B2-437E-A28F-B211DAEF3922}">
  <sheetPr codeName="Feuil7"/>
  <dimension ref="A1:U12953"/>
  <sheetViews>
    <sheetView zoomScaleNormal="100" workbookViewId="0">
      <selection activeCell="P9" sqref="P9"/>
    </sheetView>
  </sheetViews>
  <sheetFormatPr baseColWidth="10" defaultColWidth="9.21875" defaultRowHeight="13.2" x14ac:dyDescent="0.25"/>
  <cols>
    <col min="1" max="1" width="53.21875" style="23" bestFit="1" customWidth="1"/>
    <col min="2" max="2" width="9.21875" style="23"/>
    <col min="3" max="3" width="14.44140625" style="23" bestFit="1" customWidth="1"/>
    <col min="4" max="4" width="9.21875" style="23" bestFit="1" customWidth="1"/>
    <col min="5" max="10" width="9.21875" style="23"/>
    <col min="11" max="11" width="12" style="23" bestFit="1" customWidth="1"/>
    <col min="12" max="12" width="11.77734375" style="23" bestFit="1" customWidth="1"/>
    <col min="13" max="13" width="16" style="23" bestFit="1" customWidth="1"/>
    <col min="14" max="14" width="16" style="23" customWidth="1"/>
    <col min="15" max="15" width="20.77734375" style="23" bestFit="1" customWidth="1"/>
    <col min="16" max="16" width="12" style="23" bestFit="1" customWidth="1"/>
    <col min="17" max="17" width="12.21875" style="23" bestFit="1" customWidth="1"/>
    <col min="18" max="16384" width="9.21875" style="23"/>
  </cols>
  <sheetData>
    <row r="1" spans="1:21" x14ac:dyDescent="0.25">
      <c r="A1" s="39" t="s">
        <v>49</v>
      </c>
      <c r="B1" s="38">
        <v>50</v>
      </c>
      <c r="D1" s="37" t="s">
        <v>5</v>
      </c>
      <c r="E1" s="37" t="s">
        <v>48</v>
      </c>
      <c r="F1" s="37" t="s">
        <v>47</v>
      </c>
      <c r="G1" s="37" t="s">
        <v>46</v>
      </c>
      <c r="H1" s="37" t="s">
        <v>45</v>
      </c>
      <c r="I1" s="37" t="s">
        <v>44</v>
      </c>
      <c r="J1" s="37" t="s">
        <v>43</v>
      </c>
      <c r="K1" s="37" t="s">
        <v>42</v>
      </c>
      <c r="L1" s="37" t="s">
        <v>41</v>
      </c>
      <c r="M1" s="37" t="s">
        <v>40</v>
      </c>
      <c r="N1" s="37" t="s">
        <v>39</v>
      </c>
      <c r="O1" s="37" t="s">
        <v>38</v>
      </c>
      <c r="P1" s="37" t="s">
        <v>37</v>
      </c>
      <c r="Q1" s="37" t="s">
        <v>36</v>
      </c>
    </row>
    <row r="2" spans="1:21" x14ac:dyDescent="0.25">
      <c r="A2" s="35" t="s">
        <v>35</v>
      </c>
      <c r="B2" s="34">
        <v>40</v>
      </c>
      <c r="D2" s="36">
        <v>0</v>
      </c>
      <c r="E2" s="36"/>
      <c r="F2" s="36"/>
      <c r="G2" s="36"/>
      <c r="H2" s="36"/>
      <c r="I2" s="36"/>
      <c r="J2" s="36"/>
      <c r="K2" s="36"/>
      <c r="L2" s="36"/>
      <c r="M2" s="36"/>
      <c r="N2" s="36"/>
      <c r="O2" s="36"/>
      <c r="P2" s="36">
        <v>50</v>
      </c>
      <c r="Q2" s="36">
        <v>40</v>
      </c>
    </row>
    <row r="3" spans="1:21" x14ac:dyDescent="0.25">
      <c r="A3" s="35" t="s">
        <v>34</v>
      </c>
      <c r="B3" s="34">
        <v>0.5</v>
      </c>
      <c r="D3" s="29">
        <v>1</v>
      </c>
      <c r="E3" s="29">
        <v>0.03</v>
      </c>
      <c r="F3" s="29">
        <v>0.15</v>
      </c>
      <c r="G3" s="29">
        <v>0.5</v>
      </c>
      <c r="H3" s="29">
        <v>0.03</v>
      </c>
      <c r="I3" s="29">
        <v>0.15</v>
      </c>
      <c r="J3" s="29">
        <v>0.5</v>
      </c>
      <c r="K3" s="30">
        <f ca="1">RAND()</f>
        <v>0.15001851675010414</v>
      </c>
      <c r="L3" s="29">
        <v>0.31036451568159062</v>
      </c>
      <c r="M3" s="29">
        <v>0.27645864561066513</v>
      </c>
      <c r="N3" s="29">
        <v>-0.49481738506173978</v>
      </c>
      <c r="O3" s="29">
        <v>-0.29029510289232063</v>
      </c>
      <c r="P3" s="29">
        <v>53.103444922302153</v>
      </c>
      <c r="Q3" s="29">
        <v>31.460472062025932</v>
      </c>
    </row>
    <row r="4" spans="1:21" x14ac:dyDescent="0.25">
      <c r="A4" s="35" t="s">
        <v>33</v>
      </c>
      <c r="B4" s="34">
        <v>10</v>
      </c>
      <c r="D4" s="29">
        <v>2</v>
      </c>
      <c r="E4" s="29">
        <v>0.05</v>
      </c>
      <c r="F4" s="29">
        <v>0.2</v>
      </c>
      <c r="G4" s="29">
        <v>0.55000000000000004</v>
      </c>
      <c r="H4" s="29">
        <v>7.0000000000000007E-2</v>
      </c>
      <c r="I4" s="29">
        <v>0.23979157616563601</v>
      </c>
      <c r="J4" s="30">
        <f>SQRT(G4*G4*D4-D3*G3*G3)</f>
        <v>0.59581876439064929</v>
      </c>
      <c r="K4" s="29">
        <v>0.97064041677084134</v>
      </c>
      <c r="L4" s="29">
        <v>0.86490860333501129</v>
      </c>
      <c r="M4" s="29">
        <v>1.8902901422741478</v>
      </c>
      <c r="N4" s="29">
        <v>1.1026417009581251</v>
      </c>
      <c r="O4" s="29">
        <v>1.9000607954388944</v>
      </c>
      <c r="P4" s="27">
        <f>P3*EXP((H4-0.5*I4^2)+I4*M4)</f>
        <v>87.074794385165859</v>
      </c>
      <c r="Q4" s="29">
        <v>87.647560445735735</v>
      </c>
    </row>
    <row r="5" spans="1:21" x14ac:dyDescent="0.25">
      <c r="A5" s="33"/>
      <c r="B5" s="32"/>
      <c r="D5" s="29">
        <v>3</v>
      </c>
      <c r="E5" s="29">
        <v>7.0000000000000007E-2</v>
      </c>
      <c r="F5" s="29">
        <v>0.25</v>
      </c>
      <c r="G5" s="29">
        <v>0.6</v>
      </c>
      <c r="H5" s="30">
        <f>E5*D5-E4*D4</f>
        <v>0.11000000000000001</v>
      </c>
      <c r="I5" s="29">
        <v>0.32787192621510003</v>
      </c>
      <c r="J5" s="29">
        <v>0.68920243760451105</v>
      </c>
      <c r="K5" s="29">
        <v>0.13551185660513987</v>
      </c>
      <c r="L5" s="29">
        <v>0.48766656555418386</v>
      </c>
      <c r="M5" s="30">
        <f>NORMSINV(K5)</f>
        <v>-1.1007081151125675</v>
      </c>
      <c r="N5" s="29">
        <v>-3.0920261749604973E-2</v>
      </c>
      <c r="O5" s="29">
        <v>-0.57713178972310641</v>
      </c>
      <c r="P5" s="29">
        <v>64.20789415120349</v>
      </c>
      <c r="Q5" s="29">
        <v>51.834872745334764</v>
      </c>
    </row>
    <row r="6" spans="1:21" x14ac:dyDescent="0.25">
      <c r="A6" s="24"/>
      <c r="B6" s="24"/>
      <c r="D6" s="29">
        <v>4</v>
      </c>
      <c r="E6" s="29">
        <v>0.1</v>
      </c>
      <c r="F6" s="29">
        <v>0.45</v>
      </c>
      <c r="G6" s="29">
        <v>0.65</v>
      </c>
      <c r="H6" s="29">
        <v>0.19</v>
      </c>
      <c r="I6" s="29">
        <v>0.78898669190297499</v>
      </c>
      <c r="J6" s="29">
        <v>0.78102496759066553</v>
      </c>
      <c r="K6" s="29">
        <v>0.45490727535451381</v>
      </c>
      <c r="L6" s="29">
        <v>0.52771662175943757</v>
      </c>
      <c r="M6" s="29">
        <v>-0.11327245964867341</v>
      </c>
      <c r="N6" s="29">
        <v>6.9531253083326666E-2</v>
      </c>
      <c r="O6" s="31">
        <f>$B$3*M6+SQRT(1-$B$3^2)*N6</f>
        <v>3.579601702789259E-3</v>
      </c>
      <c r="P6" s="29">
        <v>52.013624910557638</v>
      </c>
      <c r="Q6" s="29">
        <v>46.333206177160335</v>
      </c>
    </row>
    <row r="7" spans="1:21" x14ac:dyDescent="0.25">
      <c r="A7" s="24"/>
      <c r="B7" s="24"/>
      <c r="D7" s="29">
        <v>5</v>
      </c>
      <c r="E7" s="29">
        <v>0.11</v>
      </c>
      <c r="F7" s="29">
        <v>0.5</v>
      </c>
      <c r="G7" s="29">
        <v>0.65</v>
      </c>
      <c r="H7" s="29">
        <v>0.15000000000000002</v>
      </c>
      <c r="I7" s="30">
        <f>SQRT(F7*F7*D7-D6*F6*F6)</f>
        <v>0.66332495807107994</v>
      </c>
      <c r="J7" s="29">
        <v>0.65</v>
      </c>
      <c r="K7" s="29">
        <v>0.91080950385448611</v>
      </c>
      <c r="L7" s="30">
        <f ca="1">RAND()</f>
        <v>0.27594961490548664</v>
      </c>
      <c r="M7" s="29">
        <v>1.3457567049860053</v>
      </c>
      <c r="N7" s="29">
        <v>-0.8813040762335651</v>
      </c>
      <c r="O7" s="29">
        <v>-9.03533659840422E-2</v>
      </c>
      <c r="P7" s="29">
        <v>118.41314185416441</v>
      </c>
      <c r="Q7" s="29">
        <v>41.094702168801916</v>
      </c>
    </row>
    <row r="8" spans="1:21" x14ac:dyDescent="0.25">
      <c r="A8" s="24"/>
      <c r="D8" s="28">
        <v>6</v>
      </c>
      <c r="E8" s="28">
        <v>0.12</v>
      </c>
      <c r="F8" s="28">
        <v>0.55000000000000004</v>
      </c>
      <c r="G8" s="28">
        <v>0.8</v>
      </c>
      <c r="H8" s="28">
        <v>0.16999999999999993</v>
      </c>
      <c r="I8" s="28">
        <v>0.75166481891864567</v>
      </c>
      <c r="J8" s="28">
        <v>1.3143439428094916</v>
      </c>
      <c r="K8" s="28">
        <v>0.39464831024232572</v>
      </c>
      <c r="L8" s="28">
        <v>9.7443019482931881E-2</v>
      </c>
      <c r="M8" s="28">
        <v>-0.2672241013449822</v>
      </c>
      <c r="N8" s="28">
        <v>-1.2962596674759341</v>
      </c>
      <c r="O8" s="28">
        <v>-1.256205852607819</v>
      </c>
      <c r="P8" s="28">
        <v>86.558177137778969</v>
      </c>
      <c r="Q8" s="27">
        <f>Q7*EXP((H8-0.5*J8^2)*1+J8*O8)</f>
        <v>3.939456063753275</v>
      </c>
    </row>
    <row r="9" spans="1:21" x14ac:dyDescent="0.25">
      <c r="D9" s="24"/>
      <c r="E9" s="24"/>
      <c r="F9" s="24"/>
      <c r="G9" s="24"/>
      <c r="H9" s="24"/>
      <c r="I9" s="24"/>
      <c r="J9" s="24"/>
      <c r="K9" s="24"/>
      <c r="L9" s="24"/>
      <c r="M9" s="24"/>
      <c r="N9" s="24"/>
      <c r="O9" s="24"/>
      <c r="P9" s="27">
        <f>MAX(SUM(P4,P6,P8)/3-SUM(Q3,Q5,Q7)/3,0)</f>
        <v>33.752183152446612</v>
      </c>
      <c r="Q9" s="23" t="s">
        <v>29</v>
      </c>
    </row>
    <row r="10" spans="1:21" x14ac:dyDescent="0.25">
      <c r="D10" s="24"/>
      <c r="E10" s="24"/>
      <c r="F10" s="24"/>
      <c r="G10" s="24"/>
      <c r="H10" s="24"/>
      <c r="I10" s="24"/>
      <c r="J10" s="24"/>
      <c r="K10" s="24"/>
      <c r="L10" s="24"/>
      <c r="M10" s="24"/>
      <c r="N10" s="24"/>
      <c r="O10" s="24"/>
      <c r="P10" s="26">
        <f>P9*EXP(-E8*D8)</f>
        <v>16.428951293027538</v>
      </c>
      <c r="Q10" s="23" t="s">
        <v>28</v>
      </c>
    </row>
    <row r="11" spans="1:21" ht="18" x14ac:dyDescent="0.35">
      <c r="A11" s="25" t="s">
        <v>7</v>
      </c>
      <c r="F11" s="24"/>
      <c r="G11" s="24"/>
      <c r="T11" s="98"/>
      <c r="U11" s="99"/>
    </row>
    <row r="12" spans="1:21" ht="18" x14ac:dyDescent="0.35">
      <c r="A12" s="4" t="s">
        <v>6</v>
      </c>
      <c r="F12" s="24"/>
      <c r="G12" s="24"/>
      <c r="T12" s="98"/>
      <c r="U12" s="99"/>
    </row>
    <row r="13" spans="1:21" x14ac:dyDescent="0.25">
      <c r="F13" s="24"/>
      <c r="G13" s="24"/>
      <c r="T13" s="98"/>
      <c r="U13" s="99"/>
    </row>
    <row r="14" spans="1:21" x14ac:dyDescent="0.25">
      <c r="F14" s="24"/>
      <c r="G14" s="24"/>
      <c r="T14" s="98"/>
      <c r="U14" s="99"/>
    </row>
    <row r="15" spans="1:21" x14ac:dyDescent="0.25">
      <c r="A15" s="23" t="s">
        <v>95</v>
      </c>
      <c r="F15" s="24"/>
      <c r="G15" s="24"/>
      <c r="T15" s="98"/>
      <c r="U15" s="99"/>
    </row>
    <row r="16" spans="1:21" x14ac:dyDescent="0.25">
      <c r="A16" s="23" t="s">
        <v>99</v>
      </c>
      <c r="B16" s="89">
        <f>'Question 5 Bi'!P10</f>
        <v>21.689674968315202</v>
      </c>
      <c r="T16" s="98"/>
      <c r="U16" s="99"/>
    </row>
    <row r="17" spans="1:21" x14ac:dyDescent="0.25">
      <c r="A17" s="23" t="s">
        <v>100</v>
      </c>
      <c r="B17" s="89">
        <f>'Question 5 Bii'!P10</f>
        <v>7.8547161083728518</v>
      </c>
      <c r="T17" s="98"/>
      <c r="U17" s="99"/>
    </row>
    <row r="18" spans="1:21" x14ac:dyDescent="0.25">
      <c r="A18" s="23" t="s">
        <v>101</v>
      </c>
      <c r="B18" s="89">
        <f>'Question 5 Biii'!P10</f>
        <v>27.583552351696962</v>
      </c>
      <c r="T18" s="98"/>
      <c r="U18" s="99"/>
    </row>
    <row r="19" spans="1:21" x14ac:dyDescent="0.25">
      <c r="A19" s="23" t="s">
        <v>165</v>
      </c>
      <c r="B19" s="89">
        <f>P10</f>
        <v>16.428951293027538</v>
      </c>
      <c r="T19" s="98"/>
      <c r="U19" s="99"/>
    </row>
    <row r="20" spans="1:21" x14ac:dyDescent="0.25">
      <c r="T20" s="98"/>
      <c r="U20" s="99"/>
    </row>
    <row r="21" spans="1:21" x14ac:dyDescent="0.25">
      <c r="T21" s="98"/>
      <c r="U21" s="99"/>
    </row>
    <row r="22" spans="1:21" x14ac:dyDescent="0.25">
      <c r="T22" s="98"/>
      <c r="U22" s="99"/>
    </row>
    <row r="23" spans="1:21" x14ac:dyDescent="0.25">
      <c r="T23" s="98"/>
      <c r="U23" s="99"/>
    </row>
    <row r="24" spans="1:21" x14ac:dyDescent="0.25">
      <c r="T24" s="98"/>
      <c r="U24" s="99"/>
    </row>
    <row r="25" spans="1:21" x14ac:dyDescent="0.25">
      <c r="T25" s="98"/>
      <c r="U25" s="99"/>
    </row>
    <row r="26" spans="1:21" x14ac:dyDescent="0.25">
      <c r="T26" s="98"/>
      <c r="U26" s="99"/>
    </row>
    <row r="27" spans="1:21" x14ac:dyDescent="0.25">
      <c r="T27" s="98"/>
      <c r="U27" s="99"/>
    </row>
    <row r="28" spans="1:21" x14ac:dyDescent="0.25">
      <c r="T28" s="98"/>
      <c r="U28" s="99"/>
    </row>
    <row r="29" spans="1:21" x14ac:dyDescent="0.25">
      <c r="T29" s="98"/>
      <c r="U29" s="99"/>
    </row>
    <row r="30" spans="1:21" x14ac:dyDescent="0.25">
      <c r="T30" s="98"/>
      <c r="U30" s="99"/>
    </row>
    <row r="31" spans="1:21" x14ac:dyDescent="0.25">
      <c r="T31" s="98"/>
      <c r="U31" s="99"/>
    </row>
    <row r="32" spans="1:21" x14ac:dyDescent="0.25">
      <c r="T32" s="98"/>
      <c r="U32" s="99"/>
    </row>
    <row r="33" spans="20:21" x14ac:dyDescent="0.25">
      <c r="T33" s="98"/>
      <c r="U33" s="99"/>
    </row>
    <row r="34" spans="20:21" x14ac:dyDescent="0.25">
      <c r="T34" s="98"/>
      <c r="U34" s="99"/>
    </row>
    <row r="35" spans="20:21" x14ac:dyDescent="0.25">
      <c r="T35" s="98"/>
      <c r="U35" s="99"/>
    </row>
    <row r="36" spans="20:21" x14ac:dyDescent="0.25">
      <c r="T36" s="98"/>
      <c r="U36" s="99"/>
    </row>
    <row r="37" spans="20:21" x14ac:dyDescent="0.25">
      <c r="T37" s="98"/>
      <c r="U37" s="99"/>
    </row>
    <row r="38" spans="20:21" x14ac:dyDescent="0.25">
      <c r="T38" s="98"/>
      <c r="U38" s="99"/>
    </row>
    <row r="39" spans="20:21" x14ac:dyDescent="0.25">
      <c r="T39" s="98"/>
      <c r="U39" s="99"/>
    </row>
    <row r="40" spans="20:21" x14ac:dyDescent="0.25">
      <c r="T40" s="98"/>
      <c r="U40" s="99"/>
    </row>
    <row r="41" spans="20:21" x14ac:dyDescent="0.25">
      <c r="T41" s="98"/>
      <c r="U41" s="99"/>
    </row>
    <row r="42" spans="20:21" x14ac:dyDescent="0.25">
      <c r="T42" s="98"/>
      <c r="U42" s="99"/>
    </row>
    <row r="43" spans="20:21" x14ac:dyDescent="0.25">
      <c r="T43" s="98"/>
      <c r="U43" s="99"/>
    </row>
    <row r="44" spans="20:21" x14ac:dyDescent="0.25">
      <c r="T44" s="98"/>
      <c r="U44" s="99"/>
    </row>
    <row r="45" spans="20:21" x14ac:dyDescent="0.25">
      <c r="T45" s="98"/>
      <c r="U45" s="99"/>
    </row>
    <row r="46" spans="20:21" x14ac:dyDescent="0.25">
      <c r="T46" s="98"/>
      <c r="U46" s="99"/>
    </row>
    <row r="47" spans="20:21" x14ac:dyDescent="0.25">
      <c r="T47" s="98"/>
      <c r="U47" s="99"/>
    </row>
    <row r="48" spans="20:21" x14ac:dyDescent="0.25">
      <c r="T48" s="98"/>
      <c r="U48" s="99"/>
    </row>
    <row r="49" spans="20:21" x14ac:dyDescent="0.25">
      <c r="T49" s="98"/>
      <c r="U49" s="99"/>
    </row>
    <row r="50" spans="20:21" x14ac:dyDescent="0.25">
      <c r="T50" s="98"/>
      <c r="U50" s="99"/>
    </row>
    <row r="51" spans="20:21" x14ac:dyDescent="0.25">
      <c r="T51" s="98"/>
      <c r="U51" s="99"/>
    </row>
    <row r="52" spans="20:21" x14ac:dyDescent="0.25">
      <c r="T52" s="98"/>
      <c r="U52" s="99"/>
    </row>
    <row r="53" spans="20:21" x14ac:dyDescent="0.25">
      <c r="T53" s="98"/>
      <c r="U53" s="99"/>
    </row>
    <row r="54" spans="20:21" x14ac:dyDescent="0.25">
      <c r="T54" s="98"/>
      <c r="U54" s="99"/>
    </row>
    <row r="55" spans="20:21" x14ac:dyDescent="0.25">
      <c r="T55" s="98"/>
      <c r="U55" s="99"/>
    </row>
    <row r="56" spans="20:21" x14ac:dyDescent="0.25">
      <c r="T56" s="98"/>
      <c r="U56" s="99"/>
    </row>
    <row r="57" spans="20:21" x14ac:dyDescent="0.25">
      <c r="T57" s="98"/>
      <c r="U57" s="99"/>
    </row>
    <row r="58" spans="20:21" x14ac:dyDescent="0.25">
      <c r="T58" s="98"/>
      <c r="U58" s="99"/>
    </row>
    <row r="59" spans="20:21" x14ac:dyDescent="0.25">
      <c r="T59" s="98"/>
      <c r="U59" s="99"/>
    </row>
    <row r="60" spans="20:21" x14ac:dyDescent="0.25">
      <c r="T60" s="98"/>
      <c r="U60" s="99"/>
    </row>
    <row r="61" spans="20:21" x14ac:dyDescent="0.25">
      <c r="T61" s="98"/>
      <c r="U61" s="99"/>
    </row>
    <row r="62" spans="20:21" x14ac:dyDescent="0.25">
      <c r="T62" s="98"/>
      <c r="U62" s="99"/>
    </row>
    <row r="63" spans="20:21" x14ac:dyDescent="0.25">
      <c r="T63" s="98"/>
      <c r="U63" s="99"/>
    </row>
    <row r="64" spans="20:21" x14ac:dyDescent="0.25">
      <c r="T64" s="98"/>
      <c r="U64" s="99"/>
    </row>
    <row r="65" spans="20:21" x14ac:dyDescent="0.25">
      <c r="T65" s="98"/>
      <c r="U65" s="99"/>
    </row>
    <row r="66" spans="20:21" x14ac:dyDescent="0.25">
      <c r="T66" s="98"/>
      <c r="U66" s="99"/>
    </row>
    <row r="67" spans="20:21" x14ac:dyDescent="0.25">
      <c r="T67" s="98"/>
      <c r="U67" s="99"/>
    </row>
    <row r="68" spans="20:21" x14ac:dyDescent="0.25">
      <c r="T68" s="98"/>
      <c r="U68" s="99"/>
    </row>
    <row r="69" spans="20:21" x14ac:dyDescent="0.25">
      <c r="T69" s="98"/>
      <c r="U69" s="99"/>
    </row>
    <row r="70" spans="20:21" x14ac:dyDescent="0.25">
      <c r="T70" s="98"/>
      <c r="U70" s="99"/>
    </row>
    <row r="71" spans="20:21" x14ac:dyDescent="0.25">
      <c r="T71" s="98"/>
      <c r="U71" s="99"/>
    </row>
    <row r="72" spans="20:21" x14ac:dyDescent="0.25">
      <c r="T72" s="98"/>
      <c r="U72" s="99"/>
    </row>
    <row r="73" spans="20:21" x14ac:dyDescent="0.25">
      <c r="T73" s="98"/>
      <c r="U73" s="99"/>
    </row>
    <row r="74" spans="20:21" x14ac:dyDescent="0.25">
      <c r="T74" s="98"/>
      <c r="U74" s="99"/>
    </row>
    <row r="75" spans="20:21" x14ac:dyDescent="0.25">
      <c r="T75" s="98"/>
      <c r="U75" s="99"/>
    </row>
    <row r="76" spans="20:21" x14ac:dyDescent="0.25">
      <c r="T76" s="98"/>
      <c r="U76" s="99"/>
    </row>
    <row r="77" spans="20:21" x14ac:dyDescent="0.25">
      <c r="T77" s="98"/>
      <c r="U77" s="99"/>
    </row>
    <row r="78" spans="20:21" x14ac:dyDescent="0.25">
      <c r="T78" s="98"/>
      <c r="U78" s="99"/>
    </row>
    <row r="79" spans="20:21" x14ac:dyDescent="0.25">
      <c r="T79" s="98"/>
      <c r="U79" s="99"/>
    </row>
    <row r="80" spans="20:21" x14ac:dyDescent="0.25">
      <c r="T80" s="98"/>
      <c r="U80" s="99"/>
    </row>
    <row r="81" spans="20:21" x14ac:dyDescent="0.25">
      <c r="T81" s="98"/>
      <c r="U81" s="99"/>
    </row>
    <row r="82" spans="20:21" x14ac:dyDescent="0.25">
      <c r="T82" s="98"/>
      <c r="U82" s="99"/>
    </row>
    <row r="83" spans="20:21" x14ac:dyDescent="0.25">
      <c r="T83" s="98"/>
      <c r="U83" s="99"/>
    </row>
    <row r="84" spans="20:21" x14ac:dyDescent="0.25">
      <c r="T84" s="98"/>
      <c r="U84" s="99"/>
    </row>
    <row r="85" spans="20:21" x14ac:dyDescent="0.25">
      <c r="T85" s="98"/>
      <c r="U85" s="99"/>
    </row>
    <row r="86" spans="20:21" x14ac:dyDescent="0.25">
      <c r="T86" s="98"/>
      <c r="U86" s="99"/>
    </row>
    <row r="87" spans="20:21" x14ac:dyDescent="0.25">
      <c r="T87" s="98"/>
      <c r="U87" s="99"/>
    </row>
    <row r="88" spans="20:21" x14ac:dyDescent="0.25">
      <c r="T88" s="98"/>
      <c r="U88" s="99"/>
    </row>
    <row r="89" spans="20:21" x14ac:dyDescent="0.25">
      <c r="T89" s="98"/>
      <c r="U89" s="99"/>
    </row>
    <row r="90" spans="20:21" x14ac:dyDescent="0.25">
      <c r="T90" s="98"/>
      <c r="U90" s="99"/>
    </row>
    <row r="91" spans="20:21" x14ac:dyDescent="0.25">
      <c r="T91" s="98"/>
      <c r="U91" s="99"/>
    </row>
    <row r="92" spans="20:21" x14ac:dyDescent="0.25">
      <c r="T92" s="98"/>
      <c r="U92" s="99"/>
    </row>
    <row r="93" spans="20:21" x14ac:dyDescent="0.25">
      <c r="T93" s="98"/>
      <c r="U93" s="99"/>
    </row>
    <row r="94" spans="20:21" x14ac:dyDescent="0.25">
      <c r="T94" s="98"/>
      <c r="U94" s="99"/>
    </row>
    <row r="95" spans="20:21" x14ac:dyDescent="0.25">
      <c r="T95" s="98"/>
      <c r="U95" s="99"/>
    </row>
    <row r="96" spans="20:21" x14ac:dyDescent="0.25">
      <c r="T96" s="98"/>
      <c r="U96" s="99"/>
    </row>
    <row r="97" spans="20:21" x14ac:dyDescent="0.25">
      <c r="T97" s="98"/>
      <c r="U97" s="99"/>
    </row>
    <row r="98" spans="20:21" x14ac:dyDescent="0.25">
      <c r="T98" s="98"/>
      <c r="U98" s="99"/>
    </row>
    <row r="99" spans="20:21" x14ac:dyDescent="0.25">
      <c r="T99" s="98"/>
      <c r="U99" s="99"/>
    </row>
    <row r="100" spans="20:21" x14ac:dyDescent="0.25">
      <c r="T100" s="98"/>
      <c r="U100" s="99"/>
    </row>
    <row r="101" spans="20:21" x14ac:dyDescent="0.25">
      <c r="T101" s="98"/>
      <c r="U101" s="99"/>
    </row>
    <row r="102" spans="20:21" x14ac:dyDescent="0.25">
      <c r="T102" s="98"/>
      <c r="U102" s="99"/>
    </row>
    <row r="103" spans="20:21" x14ac:dyDescent="0.25">
      <c r="T103" s="98"/>
      <c r="U103" s="99"/>
    </row>
    <row r="104" spans="20:21" x14ac:dyDescent="0.25">
      <c r="T104" s="98"/>
      <c r="U104" s="99"/>
    </row>
    <row r="105" spans="20:21" x14ac:dyDescent="0.25">
      <c r="T105" s="98"/>
      <c r="U105" s="99"/>
    </row>
    <row r="106" spans="20:21" x14ac:dyDescent="0.25">
      <c r="T106" s="98"/>
      <c r="U106" s="99"/>
    </row>
    <row r="107" spans="20:21" x14ac:dyDescent="0.25">
      <c r="T107" s="98"/>
      <c r="U107" s="99"/>
    </row>
    <row r="108" spans="20:21" x14ac:dyDescent="0.25">
      <c r="T108" s="98"/>
      <c r="U108" s="99"/>
    </row>
    <row r="109" spans="20:21" x14ac:dyDescent="0.25">
      <c r="T109" s="98"/>
      <c r="U109" s="99"/>
    </row>
    <row r="110" spans="20:21" x14ac:dyDescent="0.25">
      <c r="T110" s="98"/>
      <c r="U110" s="99"/>
    </row>
    <row r="111" spans="20:21" x14ac:dyDescent="0.25">
      <c r="T111" s="98"/>
      <c r="U111" s="99"/>
    </row>
    <row r="112" spans="20:21" x14ac:dyDescent="0.25">
      <c r="T112" s="98"/>
      <c r="U112" s="99"/>
    </row>
    <row r="113" spans="20:21" x14ac:dyDescent="0.25">
      <c r="T113" s="98"/>
      <c r="U113" s="99"/>
    </row>
    <row r="114" spans="20:21" x14ac:dyDescent="0.25">
      <c r="T114" s="98"/>
      <c r="U114" s="99"/>
    </row>
    <row r="115" spans="20:21" x14ac:dyDescent="0.25">
      <c r="T115" s="98"/>
      <c r="U115" s="99"/>
    </row>
    <row r="116" spans="20:21" x14ac:dyDescent="0.25">
      <c r="T116" s="98"/>
      <c r="U116" s="99"/>
    </row>
    <row r="117" spans="20:21" x14ac:dyDescent="0.25">
      <c r="T117" s="98"/>
      <c r="U117" s="99"/>
    </row>
    <row r="118" spans="20:21" x14ac:dyDescent="0.25">
      <c r="T118" s="98"/>
      <c r="U118" s="99"/>
    </row>
    <row r="119" spans="20:21" x14ac:dyDescent="0.25">
      <c r="T119" s="98"/>
      <c r="U119" s="99"/>
    </row>
    <row r="120" spans="20:21" x14ac:dyDescent="0.25">
      <c r="T120" s="98"/>
      <c r="U120" s="99"/>
    </row>
    <row r="121" spans="20:21" x14ac:dyDescent="0.25">
      <c r="T121" s="98"/>
      <c r="U121" s="99"/>
    </row>
    <row r="122" spans="20:21" x14ac:dyDescent="0.25">
      <c r="T122" s="98"/>
      <c r="U122" s="99"/>
    </row>
    <row r="123" spans="20:21" x14ac:dyDescent="0.25">
      <c r="T123" s="98"/>
      <c r="U123" s="99"/>
    </row>
    <row r="124" spans="20:21" x14ac:dyDescent="0.25">
      <c r="T124" s="98"/>
      <c r="U124" s="99"/>
    </row>
    <row r="125" spans="20:21" x14ac:dyDescent="0.25">
      <c r="T125" s="98"/>
      <c r="U125" s="99"/>
    </row>
    <row r="126" spans="20:21" x14ac:dyDescent="0.25">
      <c r="T126" s="98"/>
      <c r="U126" s="99"/>
    </row>
    <row r="127" spans="20:21" x14ac:dyDescent="0.25">
      <c r="T127" s="98"/>
      <c r="U127" s="99"/>
    </row>
    <row r="128" spans="20:21" x14ac:dyDescent="0.25">
      <c r="T128" s="98"/>
      <c r="U128" s="99"/>
    </row>
    <row r="129" spans="20:21" x14ac:dyDescent="0.25">
      <c r="T129" s="98"/>
      <c r="U129" s="99"/>
    </row>
    <row r="130" spans="20:21" x14ac:dyDescent="0.25">
      <c r="T130" s="98"/>
      <c r="U130" s="99"/>
    </row>
    <row r="131" spans="20:21" x14ac:dyDescent="0.25">
      <c r="T131" s="98"/>
      <c r="U131" s="99"/>
    </row>
    <row r="132" spans="20:21" x14ac:dyDescent="0.25">
      <c r="T132" s="98"/>
      <c r="U132" s="99"/>
    </row>
    <row r="133" spans="20:21" x14ac:dyDescent="0.25">
      <c r="T133" s="98"/>
      <c r="U133" s="99"/>
    </row>
    <row r="134" spans="20:21" x14ac:dyDescent="0.25">
      <c r="T134" s="98"/>
      <c r="U134" s="99"/>
    </row>
    <row r="135" spans="20:21" x14ac:dyDescent="0.25">
      <c r="T135" s="98"/>
      <c r="U135" s="99"/>
    </row>
    <row r="136" spans="20:21" x14ac:dyDescent="0.25">
      <c r="T136" s="98"/>
      <c r="U136" s="99"/>
    </row>
    <row r="137" spans="20:21" x14ac:dyDescent="0.25">
      <c r="T137" s="98"/>
      <c r="U137" s="99"/>
    </row>
    <row r="138" spans="20:21" x14ac:dyDescent="0.25">
      <c r="T138" s="98"/>
      <c r="U138" s="99"/>
    </row>
    <row r="139" spans="20:21" x14ac:dyDescent="0.25">
      <c r="T139" s="98"/>
      <c r="U139" s="99"/>
    </row>
    <row r="140" spans="20:21" x14ac:dyDescent="0.25">
      <c r="T140" s="98"/>
      <c r="U140" s="99"/>
    </row>
    <row r="141" spans="20:21" x14ac:dyDescent="0.25">
      <c r="T141" s="98"/>
      <c r="U141" s="99"/>
    </row>
    <row r="142" spans="20:21" x14ac:dyDescent="0.25">
      <c r="T142" s="98"/>
      <c r="U142" s="99"/>
    </row>
    <row r="143" spans="20:21" x14ac:dyDescent="0.25">
      <c r="T143" s="98"/>
      <c r="U143" s="99"/>
    </row>
    <row r="144" spans="20:21" x14ac:dyDescent="0.25">
      <c r="T144" s="98"/>
      <c r="U144" s="99"/>
    </row>
    <row r="145" spans="20:21" x14ac:dyDescent="0.25">
      <c r="T145" s="98"/>
      <c r="U145" s="99"/>
    </row>
    <row r="146" spans="20:21" x14ac:dyDescent="0.25">
      <c r="T146" s="98"/>
      <c r="U146" s="99"/>
    </row>
    <row r="147" spans="20:21" x14ac:dyDescent="0.25">
      <c r="T147" s="98"/>
      <c r="U147" s="99"/>
    </row>
    <row r="148" spans="20:21" x14ac:dyDescent="0.25">
      <c r="T148" s="98"/>
      <c r="U148" s="99"/>
    </row>
    <row r="149" spans="20:21" x14ac:dyDescent="0.25">
      <c r="T149" s="98"/>
      <c r="U149" s="99"/>
    </row>
    <row r="150" spans="20:21" x14ac:dyDescent="0.25">
      <c r="T150" s="98"/>
      <c r="U150" s="99"/>
    </row>
    <row r="151" spans="20:21" x14ac:dyDescent="0.25">
      <c r="T151" s="98"/>
      <c r="U151" s="99"/>
    </row>
    <row r="152" spans="20:21" x14ac:dyDescent="0.25">
      <c r="T152" s="98"/>
      <c r="U152" s="99"/>
    </row>
    <row r="153" spans="20:21" x14ac:dyDescent="0.25">
      <c r="T153" s="98"/>
      <c r="U153" s="99"/>
    </row>
    <row r="154" spans="20:21" x14ac:dyDescent="0.25">
      <c r="T154" s="98"/>
      <c r="U154" s="99"/>
    </row>
    <row r="155" spans="20:21" x14ac:dyDescent="0.25">
      <c r="T155" s="98"/>
      <c r="U155" s="99"/>
    </row>
    <row r="156" spans="20:21" x14ac:dyDescent="0.25">
      <c r="T156" s="98"/>
      <c r="U156" s="99"/>
    </row>
    <row r="157" spans="20:21" x14ac:dyDescent="0.25">
      <c r="T157" s="98"/>
      <c r="U157" s="99"/>
    </row>
    <row r="158" spans="20:21" x14ac:dyDescent="0.25">
      <c r="T158" s="98"/>
      <c r="U158" s="99"/>
    </row>
    <row r="159" spans="20:21" x14ac:dyDescent="0.25">
      <c r="T159" s="98"/>
      <c r="U159" s="99"/>
    </row>
    <row r="160" spans="20:21" x14ac:dyDescent="0.25">
      <c r="T160" s="98"/>
      <c r="U160" s="99"/>
    </row>
    <row r="161" spans="20:21" x14ac:dyDescent="0.25">
      <c r="T161" s="98"/>
      <c r="U161" s="99"/>
    </row>
    <row r="162" spans="20:21" x14ac:dyDescent="0.25">
      <c r="T162" s="98"/>
      <c r="U162" s="99"/>
    </row>
    <row r="163" spans="20:21" x14ac:dyDescent="0.25">
      <c r="T163" s="98"/>
      <c r="U163" s="99"/>
    </row>
    <row r="164" spans="20:21" x14ac:dyDescent="0.25">
      <c r="T164" s="98"/>
      <c r="U164" s="99"/>
    </row>
    <row r="165" spans="20:21" x14ac:dyDescent="0.25">
      <c r="T165" s="98"/>
      <c r="U165" s="99"/>
    </row>
    <row r="166" spans="20:21" x14ac:dyDescent="0.25">
      <c r="T166" s="98"/>
      <c r="U166" s="99"/>
    </row>
    <row r="167" spans="20:21" x14ac:dyDescent="0.25">
      <c r="T167" s="98"/>
      <c r="U167" s="99"/>
    </row>
    <row r="168" spans="20:21" x14ac:dyDescent="0.25">
      <c r="T168" s="98"/>
      <c r="U168" s="99"/>
    </row>
    <row r="169" spans="20:21" x14ac:dyDescent="0.25">
      <c r="T169" s="98"/>
      <c r="U169" s="99"/>
    </row>
    <row r="170" spans="20:21" x14ac:dyDescent="0.25">
      <c r="T170" s="98"/>
      <c r="U170" s="99"/>
    </row>
    <row r="171" spans="20:21" x14ac:dyDescent="0.25">
      <c r="T171" s="98"/>
      <c r="U171" s="99"/>
    </row>
    <row r="172" spans="20:21" x14ac:dyDescent="0.25">
      <c r="T172" s="98"/>
      <c r="U172" s="99"/>
    </row>
    <row r="173" spans="20:21" x14ac:dyDescent="0.25">
      <c r="T173" s="98"/>
      <c r="U173" s="99"/>
    </row>
    <row r="174" spans="20:21" x14ac:dyDescent="0.25">
      <c r="T174" s="98"/>
      <c r="U174" s="99"/>
    </row>
    <row r="175" spans="20:21" x14ac:dyDescent="0.25">
      <c r="T175" s="98"/>
      <c r="U175" s="99"/>
    </row>
    <row r="176" spans="20:21" x14ac:dyDescent="0.25">
      <c r="T176" s="98"/>
      <c r="U176" s="99"/>
    </row>
    <row r="177" spans="20:21" x14ac:dyDescent="0.25">
      <c r="T177" s="98"/>
      <c r="U177" s="99"/>
    </row>
    <row r="178" spans="20:21" x14ac:dyDescent="0.25">
      <c r="T178" s="98"/>
      <c r="U178" s="99"/>
    </row>
    <row r="179" spans="20:21" x14ac:dyDescent="0.25">
      <c r="T179" s="98"/>
      <c r="U179" s="99"/>
    </row>
    <row r="180" spans="20:21" x14ac:dyDescent="0.25">
      <c r="T180" s="98"/>
      <c r="U180" s="99"/>
    </row>
    <row r="181" spans="20:21" x14ac:dyDescent="0.25">
      <c r="T181" s="98"/>
      <c r="U181" s="99"/>
    </row>
    <row r="182" spans="20:21" x14ac:dyDescent="0.25">
      <c r="T182" s="98"/>
      <c r="U182" s="99"/>
    </row>
    <row r="183" spans="20:21" x14ac:dyDescent="0.25">
      <c r="T183" s="98"/>
      <c r="U183" s="99"/>
    </row>
    <row r="184" spans="20:21" x14ac:dyDescent="0.25">
      <c r="T184" s="98"/>
      <c r="U184" s="99"/>
    </row>
    <row r="185" spans="20:21" x14ac:dyDescent="0.25">
      <c r="T185" s="98"/>
      <c r="U185" s="99"/>
    </row>
    <row r="186" spans="20:21" x14ac:dyDescent="0.25">
      <c r="T186" s="98"/>
      <c r="U186" s="99"/>
    </row>
    <row r="187" spans="20:21" x14ac:dyDescent="0.25">
      <c r="T187" s="98"/>
      <c r="U187" s="99"/>
    </row>
    <row r="188" spans="20:21" x14ac:dyDescent="0.25">
      <c r="T188" s="98"/>
      <c r="U188" s="99"/>
    </row>
    <row r="189" spans="20:21" x14ac:dyDescent="0.25">
      <c r="T189" s="98"/>
      <c r="U189" s="99"/>
    </row>
    <row r="190" spans="20:21" x14ac:dyDescent="0.25">
      <c r="T190" s="98"/>
      <c r="U190" s="99"/>
    </row>
    <row r="191" spans="20:21" x14ac:dyDescent="0.25">
      <c r="T191" s="98"/>
      <c r="U191" s="99"/>
    </row>
    <row r="192" spans="20:21" x14ac:dyDescent="0.25">
      <c r="T192" s="98"/>
      <c r="U192" s="99"/>
    </row>
    <row r="193" spans="20:21" x14ac:dyDescent="0.25">
      <c r="T193" s="98"/>
      <c r="U193" s="99"/>
    </row>
    <row r="194" spans="20:21" x14ac:dyDescent="0.25">
      <c r="T194" s="98"/>
      <c r="U194" s="99"/>
    </row>
    <row r="195" spans="20:21" x14ac:dyDescent="0.25">
      <c r="T195" s="98"/>
      <c r="U195" s="99"/>
    </row>
    <row r="196" spans="20:21" x14ac:dyDescent="0.25">
      <c r="T196" s="98"/>
      <c r="U196" s="99"/>
    </row>
    <row r="197" spans="20:21" x14ac:dyDescent="0.25">
      <c r="T197" s="98"/>
      <c r="U197" s="99"/>
    </row>
    <row r="198" spans="20:21" x14ac:dyDescent="0.25">
      <c r="T198" s="98"/>
      <c r="U198" s="99"/>
    </row>
    <row r="199" spans="20:21" x14ac:dyDescent="0.25">
      <c r="T199" s="98"/>
      <c r="U199" s="99"/>
    </row>
    <row r="200" spans="20:21" x14ac:dyDescent="0.25">
      <c r="T200" s="98"/>
      <c r="U200" s="99"/>
    </row>
    <row r="201" spans="20:21" x14ac:dyDescent="0.25">
      <c r="T201" s="98"/>
      <c r="U201" s="99"/>
    </row>
    <row r="202" spans="20:21" x14ac:dyDescent="0.25">
      <c r="T202" s="98"/>
      <c r="U202" s="99"/>
    </row>
    <row r="203" spans="20:21" x14ac:dyDescent="0.25">
      <c r="T203" s="98"/>
      <c r="U203" s="99"/>
    </row>
    <row r="204" spans="20:21" x14ac:dyDescent="0.25">
      <c r="T204" s="98"/>
      <c r="U204" s="99"/>
    </row>
    <row r="205" spans="20:21" x14ac:dyDescent="0.25">
      <c r="T205" s="98"/>
      <c r="U205" s="99"/>
    </row>
    <row r="206" spans="20:21" x14ac:dyDescent="0.25">
      <c r="T206" s="98"/>
      <c r="U206" s="99"/>
    </row>
    <row r="207" spans="20:21" x14ac:dyDescent="0.25">
      <c r="T207" s="98"/>
      <c r="U207" s="99"/>
    </row>
    <row r="208" spans="20:21" x14ac:dyDescent="0.25">
      <c r="T208" s="98"/>
      <c r="U208" s="99"/>
    </row>
    <row r="209" spans="20:21" x14ac:dyDescent="0.25">
      <c r="T209" s="98"/>
      <c r="U209" s="99"/>
    </row>
    <row r="210" spans="20:21" x14ac:dyDescent="0.25">
      <c r="T210" s="98"/>
      <c r="U210" s="99"/>
    </row>
    <row r="211" spans="20:21" x14ac:dyDescent="0.25">
      <c r="T211" s="98"/>
      <c r="U211" s="99"/>
    </row>
    <row r="212" spans="20:21" x14ac:dyDescent="0.25">
      <c r="T212" s="98"/>
      <c r="U212" s="99"/>
    </row>
    <row r="213" spans="20:21" x14ac:dyDescent="0.25">
      <c r="T213" s="98"/>
      <c r="U213" s="99"/>
    </row>
    <row r="214" spans="20:21" x14ac:dyDescent="0.25">
      <c r="T214" s="98"/>
      <c r="U214" s="99"/>
    </row>
    <row r="215" spans="20:21" x14ac:dyDescent="0.25">
      <c r="T215" s="98"/>
      <c r="U215" s="99"/>
    </row>
    <row r="216" spans="20:21" x14ac:dyDescent="0.25">
      <c r="T216" s="98"/>
      <c r="U216" s="99"/>
    </row>
    <row r="217" spans="20:21" x14ac:dyDescent="0.25">
      <c r="T217" s="98"/>
      <c r="U217" s="99"/>
    </row>
    <row r="218" spans="20:21" x14ac:dyDescent="0.25">
      <c r="T218" s="98"/>
      <c r="U218" s="99"/>
    </row>
    <row r="219" spans="20:21" x14ac:dyDescent="0.25">
      <c r="T219" s="98"/>
      <c r="U219" s="99"/>
    </row>
    <row r="220" spans="20:21" x14ac:dyDescent="0.25">
      <c r="T220" s="98"/>
      <c r="U220" s="99"/>
    </row>
    <row r="221" spans="20:21" x14ac:dyDescent="0.25">
      <c r="T221" s="98"/>
      <c r="U221" s="99"/>
    </row>
    <row r="222" spans="20:21" x14ac:dyDescent="0.25">
      <c r="T222" s="98"/>
      <c r="U222" s="99"/>
    </row>
    <row r="223" spans="20:21" x14ac:dyDescent="0.25">
      <c r="T223" s="98"/>
      <c r="U223" s="99"/>
    </row>
    <row r="224" spans="20:21" x14ac:dyDescent="0.25">
      <c r="T224" s="98"/>
      <c r="U224" s="99"/>
    </row>
    <row r="225" spans="20:21" x14ac:dyDescent="0.25">
      <c r="T225" s="98"/>
      <c r="U225" s="99"/>
    </row>
    <row r="226" spans="20:21" x14ac:dyDescent="0.25">
      <c r="T226" s="98"/>
      <c r="U226" s="99"/>
    </row>
    <row r="227" spans="20:21" x14ac:dyDescent="0.25">
      <c r="T227" s="98"/>
      <c r="U227" s="99"/>
    </row>
    <row r="228" spans="20:21" x14ac:dyDescent="0.25">
      <c r="T228" s="98"/>
      <c r="U228" s="99"/>
    </row>
    <row r="229" spans="20:21" x14ac:dyDescent="0.25">
      <c r="T229" s="98"/>
      <c r="U229" s="99"/>
    </row>
    <row r="230" spans="20:21" x14ac:dyDescent="0.25">
      <c r="T230" s="98"/>
      <c r="U230" s="99"/>
    </row>
    <row r="231" spans="20:21" x14ac:dyDescent="0.25">
      <c r="T231" s="98"/>
      <c r="U231" s="99"/>
    </row>
    <row r="232" spans="20:21" x14ac:dyDescent="0.25">
      <c r="T232" s="98"/>
      <c r="U232" s="99"/>
    </row>
    <row r="233" spans="20:21" x14ac:dyDescent="0.25">
      <c r="T233" s="98"/>
      <c r="U233" s="99"/>
    </row>
    <row r="234" spans="20:21" x14ac:dyDescent="0.25">
      <c r="T234" s="98"/>
      <c r="U234" s="99"/>
    </row>
    <row r="235" spans="20:21" x14ac:dyDescent="0.25">
      <c r="T235" s="98"/>
      <c r="U235" s="99"/>
    </row>
    <row r="236" spans="20:21" x14ac:dyDescent="0.25">
      <c r="T236" s="98"/>
      <c r="U236" s="99"/>
    </row>
    <row r="237" spans="20:21" x14ac:dyDescent="0.25">
      <c r="T237" s="98"/>
      <c r="U237" s="99"/>
    </row>
    <row r="238" spans="20:21" x14ac:dyDescent="0.25">
      <c r="T238" s="98"/>
      <c r="U238" s="99"/>
    </row>
    <row r="239" spans="20:21" x14ac:dyDescent="0.25">
      <c r="T239" s="98"/>
      <c r="U239" s="99"/>
    </row>
    <row r="240" spans="20:21" x14ac:dyDescent="0.25">
      <c r="T240" s="98"/>
      <c r="U240" s="99"/>
    </row>
    <row r="241" spans="20:21" x14ac:dyDescent="0.25">
      <c r="T241" s="98"/>
      <c r="U241" s="99"/>
    </row>
    <row r="242" spans="20:21" x14ac:dyDescent="0.25">
      <c r="T242" s="98"/>
      <c r="U242" s="99"/>
    </row>
    <row r="243" spans="20:21" x14ac:dyDescent="0.25">
      <c r="T243" s="98"/>
      <c r="U243" s="99"/>
    </row>
    <row r="244" spans="20:21" x14ac:dyDescent="0.25">
      <c r="T244" s="98"/>
      <c r="U244" s="99"/>
    </row>
    <row r="245" spans="20:21" x14ac:dyDescent="0.25">
      <c r="T245" s="98"/>
      <c r="U245" s="99"/>
    </row>
    <row r="246" spans="20:21" x14ac:dyDescent="0.25">
      <c r="T246" s="98"/>
      <c r="U246" s="99"/>
    </row>
    <row r="247" spans="20:21" x14ac:dyDescent="0.25">
      <c r="T247" s="98"/>
      <c r="U247" s="99"/>
    </row>
    <row r="248" spans="20:21" x14ac:dyDescent="0.25">
      <c r="T248" s="98"/>
      <c r="U248" s="99"/>
    </row>
    <row r="249" spans="20:21" x14ac:dyDescent="0.25">
      <c r="T249" s="98"/>
      <c r="U249" s="99"/>
    </row>
    <row r="250" spans="20:21" x14ac:dyDescent="0.25">
      <c r="T250" s="98"/>
      <c r="U250" s="99"/>
    </row>
    <row r="251" spans="20:21" x14ac:dyDescent="0.25">
      <c r="T251" s="98"/>
      <c r="U251" s="99"/>
    </row>
    <row r="252" spans="20:21" x14ac:dyDescent="0.25">
      <c r="T252" s="98"/>
      <c r="U252" s="99"/>
    </row>
    <row r="253" spans="20:21" x14ac:dyDescent="0.25">
      <c r="T253" s="98"/>
      <c r="U253" s="99"/>
    </row>
    <row r="254" spans="20:21" x14ac:dyDescent="0.25">
      <c r="T254" s="98"/>
      <c r="U254" s="99"/>
    </row>
    <row r="255" spans="20:21" x14ac:dyDescent="0.25">
      <c r="T255" s="98"/>
      <c r="U255" s="99"/>
    </row>
    <row r="256" spans="20:21" x14ac:dyDescent="0.25">
      <c r="T256" s="98"/>
      <c r="U256" s="99"/>
    </row>
    <row r="257" spans="20:21" x14ac:dyDescent="0.25">
      <c r="T257" s="98"/>
      <c r="U257" s="99"/>
    </row>
    <row r="258" spans="20:21" x14ac:dyDescent="0.25">
      <c r="T258" s="98"/>
      <c r="U258" s="99"/>
    </row>
    <row r="259" spans="20:21" x14ac:dyDescent="0.25">
      <c r="T259" s="98"/>
      <c r="U259" s="99"/>
    </row>
    <row r="260" spans="20:21" x14ac:dyDescent="0.25">
      <c r="T260" s="98"/>
      <c r="U260" s="99"/>
    </row>
    <row r="261" spans="20:21" x14ac:dyDescent="0.25">
      <c r="T261" s="98"/>
      <c r="U261" s="99"/>
    </row>
    <row r="262" spans="20:21" x14ac:dyDescent="0.25">
      <c r="T262" s="98"/>
      <c r="U262" s="99"/>
    </row>
    <row r="263" spans="20:21" x14ac:dyDescent="0.25">
      <c r="T263" s="98"/>
      <c r="U263" s="99"/>
    </row>
    <row r="264" spans="20:21" x14ac:dyDescent="0.25">
      <c r="T264" s="98"/>
      <c r="U264" s="99"/>
    </row>
    <row r="265" spans="20:21" x14ac:dyDescent="0.25">
      <c r="T265" s="98"/>
      <c r="U265" s="99"/>
    </row>
    <row r="266" spans="20:21" x14ac:dyDescent="0.25">
      <c r="T266" s="98"/>
      <c r="U266" s="99"/>
    </row>
    <row r="267" spans="20:21" x14ac:dyDescent="0.25">
      <c r="T267" s="98"/>
      <c r="U267" s="99"/>
    </row>
    <row r="268" spans="20:21" x14ac:dyDescent="0.25">
      <c r="T268" s="98"/>
      <c r="U268" s="99"/>
    </row>
    <row r="269" spans="20:21" x14ac:dyDescent="0.25">
      <c r="T269" s="98"/>
      <c r="U269" s="99"/>
    </row>
    <row r="270" spans="20:21" x14ac:dyDescent="0.25">
      <c r="T270" s="98"/>
      <c r="U270" s="99"/>
    </row>
    <row r="271" spans="20:21" x14ac:dyDescent="0.25">
      <c r="T271" s="98"/>
      <c r="U271" s="99"/>
    </row>
    <row r="272" spans="20:21" x14ac:dyDescent="0.25">
      <c r="T272" s="98"/>
      <c r="U272" s="99"/>
    </row>
    <row r="273" spans="20:21" x14ac:dyDescent="0.25">
      <c r="T273" s="98"/>
      <c r="U273" s="99"/>
    </row>
    <row r="274" spans="20:21" x14ac:dyDescent="0.25">
      <c r="T274" s="98"/>
      <c r="U274" s="99"/>
    </row>
    <row r="275" spans="20:21" x14ac:dyDescent="0.25">
      <c r="T275" s="98"/>
      <c r="U275" s="99"/>
    </row>
    <row r="276" spans="20:21" x14ac:dyDescent="0.25">
      <c r="T276" s="98"/>
      <c r="U276" s="99"/>
    </row>
    <row r="277" spans="20:21" x14ac:dyDescent="0.25">
      <c r="T277" s="98"/>
      <c r="U277" s="99"/>
    </row>
    <row r="278" spans="20:21" x14ac:dyDescent="0.25">
      <c r="T278" s="98"/>
      <c r="U278" s="99"/>
    </row>
    <row r="279" spans="20:21" x14ac:dyDescent="0.25">
      <c r="T279" s="98"/>
      <c r="U279" s="99"/>
    </row>
    <row r="280" spans="20:21" x14ac:dyDescent="0.25">
      <c r="T280" s="98"/>
      <c r="U280" s="99"/>
    </row>
    <row r="281" spans="20:21" x14ac:dyDescent="0.25">
      <c r="T281" s="98"/>
      <c r="U281" s="99"/>
    </row>
    <row r="282" spans="20:21" x14ac:dyDescent="0.25">
      <c r="T282" s="98"/>
      <c r="U282" s="99"/>
    </row>
    <row r="283" spans="20:21" x14ac:dyDescent="0.25">
      <c r="T283" s="98"/>
      <c r="U283" s="99"/>
    </row>
    <row r="284" spans="20:21" x14ac:dyDescent="0.25">
      <c r="T284" s="98"/>
      <c r="U284" s="99"/>
    </row>
    <row r="285" spans="20:21" x14ac:dyDescent="0.25">
      <c r="T285" s="98"/>
      <c r="U285" s="99"/>
    </row>
    <row r="286" spans="20:21" x14ac:dyDescent="0.25">
      <c r="T286" s="98"/>
      <c r="U286" s="99"/>
    </row>
    <row r="287" spans="20:21" x14ac:dyDescent="0.25">
      <c r="T287" s="98"/>
      <c r="U287" s="99"/>
    </row>
    <row r="288" spans="20:21" x14ac:dyDescent="0.25">
      <c r="T288" s="98"/>
      <c r="U288" s="99"/>
    </row>
    <row r="289" spans="20:21" x14ac:dyDescent="0.25">
      <c r="T289" s="98"/>
      <c r="U289" s="99"/>
    </row>
    <row r="290" spans="20:21" x14ac:dyDescent="0.25">
      <c r="T290" s="98"/>
      <c r="U290" s="99"/>
    </row>
    <row r="291" spans="20:21" x14ac:dyDescent="0.25">
      <c r="T291" s="98"/>
      <c r="U291" s="99"/>
    </row>
    <row r="292" spans="20:21" x14ac:dyDescent="0.25">
      <c r="T292" s="98"/>
      <c r="U292" s="99"/>
    </row>
    <row r="293" spans="20:21" x14ac:dyDescent="0.25">
      <c r="T293" s="98"/>
      <c r="U293" s="99"/>
    </row>
    <row r="294" spans="20:21" x14ac:dyDescent="0.25">
      <c r="T294" s="98"/>
      <c r="U294" s="99"/>
    </row>
    <row r="295" spans="20:21" x14ac:dyDescent="0.25">
      <c r="T295" s="98"/>
      <c r="U295" s="99"/>
    </row>
    <row r="296" spans="20:21" x14ac:dyDescent="0.25">
      <c r="T296" s="98"/>
      <c r="U296" s="99"/>
    </row>
    <row r="297" spans="20:21" x14ac:dyDescent="0.25">
      <c r="T297" s="98"/>
      <c r="U297" s="99"/>
    </row>
    <row r="298" spans="20:21" x14ac:dyDescent="0.25">
      <c r="T298" s="98"/>
      <c r="U298" s="99"/>
    </row>
    <row r="299" spans="20:21" x14ac:dyDescent="0.25">
      <c r="T299" s="98"/>
      <c r="U299" s="99"/>
    </row>
    <row r="300" spans="20:21" x14ac:dyDescent="0.25">
      <c r="T300" s="98"/>
      <c r="U300" s="99"/>
    </row>
    <row r="301" spans="20:21" x14ac:dyDescent="0.25">
      <c r="T301" s="98"/>
      <c r="U301" s="99"/>
    </row>
    <row r="302" spans="20:21" x14ac:dyDescent="0.25">
      <c r="T302" s="98"/>
      <c r="U302" s="99"/>
    </row>
    <row r="303" spans="20:21" x14ac:dyDescent="0.25">
      <c r="T303" s="98"/>
      <c r="U303" s="99"/>
    </row>
    <row r="304" spans="20:21" x14ac:dyDescent="0.25">
      <c r="T304" s="98"/>
      <c r="U304" s="99"/>
    </row>
    <row r="305" spans="20:21" x14ac:dyDescent="0.25">
      <c r="T305" s="98"/>
      <c r="U305" s="99"/>
    </row>
    <row r="306" spans="20:21" x14ac:dyDescent="0.25">
      <c r="T306" s="98"/>
      <c r="U306" s="99"/>
    </row>
    <row r="307" spans="20:21" x14ac:dyDescent="0.25">
      <c r="T307" s="98"/>
      <c r="U307" s="99"/>
    </row>
    <row r="308" spans="20:21" x14ac:dyDescent="0.25">
      <c r="T308" s="98"/>
      <c r="U308" s="99"/>
    </row>
    <row r="309" spans="20:21" x14ac:dyDescent="0.25">
      <c r="T309" s="98"/>
      <c r="U309" s="99"/>
    </row>
    <row r="310" spans="20:21" x14ac:dyDescent="0.25">
      <c r="T310" s="98"/>
      <c r="U310" s="99"/>
    </row>
    <row r="311" spans="20:21" x14ac:dyDescent="0.25">
      <c r="T311" s="98"/>
      <c r="U311" s="99"/>
    </row>
    <row r="312" spans="20:21" x14ac:dyDescent="0.25">
      <c r="T312" s="98"/>
      <c r="U312" s="99"/>
    </row>
    <row r="313" spans="20:21" x14ac:dyDescent="0.25">
      <c r="T313" s="98"/>
      <c r="U313" s="99"/>
    </row>
    <row r="314" spans="20:21" x14ac:dyDescent="0.25">
      <c r="T314" s="98"/>
      <c r="U314" s="99"/>
    </row>
    <row r="315" spans="20:21" x14ac:dyDescent="0.25">
      <c r="T315" s="98"/>
      <c r="U315" s="99"/>
    </row>
    <row r="316" spans="20:21" x14ac:dyDescent="0.25">
      <c r="T316" s="98"/>
      <c r="U316" s="99"/>
    </row>
    <row r="317" spans="20:21" x14ac:dyDescent="0.25">
      <c r="T317" s="98"/>
      <c r="U317" s="99"/>
    </row>
    <row r="318" spans="20:21" x14ac:dyDescent="0.25">
      <c r="T318" s="98"/>
      <c r="U318" s="99"/>
    </row>
    <row r="319" spans="20:21" x14ac:dyDescent="0.25">
      <c r="T319" s="98"/>
      <c r="U319" s="99"/>
    </row>
    <row r="320" spans="20:21" x14ac:dyDescent="0.25">
      <c r="T320" s="98"/>
      <c r="U320" s="99"/>
    </row>
    <row r="321" spans="20:21" x14ac:dyDescent="0.25">
      <c r="T321" s="98"/>
      <c r="U321" s="99"/>
    </row>
    <row r="322" spans="20:21" x14ac:dyDescent="0.25">
      <c r="T322" s="98"/>
      <c r="U322" s="99"/>
    </row>
    <row r="323" spans="20:21" x14ac:dyDescent="0.25">
      <c r="T323" s="98"/>
      <c r="U323" s="99"/>
    </row>
    <row r="324" spans="20:21" x14ac:dyDescent="0.25">
      <c r="T324" s="98"/>
      <c r="U324" s="99"/>
    </row>
    <row r="325" spans="20:21" x14ac:dyDescent="0.25">
      <c r="T325" s="98"/>
      <c r="U325" s="99"/>
    </row>
    <row r="326" spans="20:21" x14ac:dyDescent="0.25">
      <c r="T326" s="98"/>
      <c r="U326" s="99"/>
    </row>
    <row r="327" spans="20:21" x14ac:dyDescent="0.25">
      <c r="T327" s="98"/>
      <c r="U327" s="99"/>
    </row>
    <row r="328" spans="20:21" x14ac:dyDescent="0.25">
      <c r="T328" s="98"/>
      <c r="U328" s="99"/>
    </row>
    <row r="329" spans="20:21" x14ac:dyDescent="0.25">
      <c r="T329" s="98"/>
      <c r="U329" s="99"/>
    </row>
    <row r="330" spans="20:21" x14ac:dyDescent="0.25">
      <c r="T330" s="98"/>
      <c r="U330" s="99"/>
    </row>
    <row r="331" spans="20:21" x14ac:dyDescent="0.25">
      <c r="T331" s="98"/>
      <c r="U331" s="99"/>
    </row>
    <row r="332" spans="20:21" x14ac:dyDescent="0.25">
      <c r="T332" s="98"/>
      <c r="U332" s="99"/>
    </row>
    <row r="333" spans="20:21" x14ac:dyDescent="0.25">
      <c r="T333" s="98"/>
      <c r="U333" s="99"/>
    </row>
    <row r="334" spans="20:21" x14ac:dyDescent="0.25">
      <c r="T334" s="98"/>
      <c r="U334" s="99"/>
    </row>
    <row r="335" spans="20:21" x14ac:dyDescent="0.25">
      <c r="T335" s="98"/>
      <c r="U335" s="99"/>
    </row>
    <row r="336" spans="20:21" x14ac:dyDescent="0.25">
      <c r="T336" s="98"/>
      <c r="U336" s="99"/>
    </row>
    <row r="337" spans="20:21" x14ac:dyDescent="0.25">
      <c r="T337" s="98"/>
      <c r="U337" s="99"/>
    </row>
    <row r="338" spans="20:21" x14ac:dyDescent="0.25">
      <c r="T338" s="98"/>
      <c r="U338" s="99"/>
    </row>
    <row r="339" spans="20:21" x14ac:dyDescent="0.25">
      <c r="T339" s="98"/>
      <c r="U339" s="99"/>
    </row>
    <row r="340" spans="20:21" x14ac:dyDescent="0.25">
      <c r="T340" s="98"/>
      <c r="U340" s="99"/>
    </row>
    <row r="341" spans="20:21" x14ac:dyDescent="0.25">
      <c r="T341" s="98"/>
      <c r="U341" s="99"/>
    </row>
    <row r="342" spans="20:21" x14ac:dyDescent="0.25">
      <c r="T342" s="98"/>
      <c r="U342" s="99"/>
    </row>
    <row r="343" spans="20:21" x14ac:dyDescent="0.25">
      <c r="T343" s="98"/>
      <c r="U343" s="99"/>
    </row>
    <row r="344" spans="20:21" x14ac:dyDescent="0.25">
      <c r="T344" s="98"/>
      <c r="U344" s="99"/>
    </row>
    <row r="345" spans="20:21" x14ac:dyDescent="0.25">
      <c r="T345" s="98"/>
      <c r="U345" s="99"/>
    </row>
    <row r="346" spans="20:21" x14ac:dyDescent="0.25">
      <c r="T346" s="98"/>
      <c r="U346" s="99"/>
    </row>
    <row r="347" spans="20:21" x14ac:dyDescent="0.25">
      <c r="T347" s="98"/>
      <c r="U347" s="99"/>
    </row>
    <row r="348" spans="20:21" x14ac:dyDescent="0.25">
      <c r="T348" s="98"/>
      <c r="U348" s="99"/>
    </row>
    <row r="349" spans="20:21" x14ac:dyDescent="0.25">
      <c r="T349" s="98"/>
      <c r="U349" s="99"/>
    </row>
    <row r="350" spans="20:21" x14ac:dyDescent="0.25">
      <c r="T350" s="98"/>
      <c r="U350" s="99"/>
    </row>
    <row r="351" spans="20:21" x14ac:dyDescent="0.25">
      <c r="T351" s="98"/>
      <c r="U351" s="99"/>
    </row>
    <row r="352" spans="20:21" x14ac:dyDescent="0.25">
      <c r="T352" s="98"/>
      <c r="U352" s="99"/>
    </row>
    <row r="353" spans="20:21" x14ac:dyDescent="0.25">
      <c r="T353" s="98"/>
      <c r="U353" s="99"/>
    </row>
    <row r="354" spans="20:21" x14ac:dyDescent="0.25">
      <c r="T354" s="98"/>
      <c r="U354" s="99"/>
    </row>
    <row r="355" spans="20:21" x14ac:dyDescent="0.25">
      <c r="T355" s="98"/>
      <c r="U355" s="99"/>
    </row>
    <row r="356" spans="20:21" x14ac:dyDescent="0.25">
      <c r="T356" s="98"/>
      <c r="U356" s="99"/>
    </row>
    <row r="357" spans="20:21" x14ac:dyDescent="0.25">
      <c r="T357" s="98"/>
      <c r="U357" s="99"/>
    </row>
    <row r="358" spans="20:21" x14ac:dyDescent="0.25">
      <c r="T358" s="98"/>
      <c r="U358" s="99"/>
    </row>
    <row r="359" spans="20:21" x14ac:dyDescent="0.25">
      <c r="T359" s="98"/>
      <c r="U359" s="99"/>
    </row>
    <row r="360" spans="20:21" x14ac:dyDescent="0.25">
      <c r="T360" s="98"/>
      <c r="U360" s="99"/>
    </row>
    <row r="361" spans="20:21" x14ac:dyDescent="0.25">
      <c r="T361" s="98"/>
      <c r="U361" s="99"/>
    </row>
    <row r="362" spans="20:21" x14ac:dyDescent="0.25">
      <c r="T362" s="98"/>
      <c r="U362" s="99"/>
    </row>
    <row r="363" spans="20:21" x14ac:dyDescent="0.25">
      <c r="T363" s="98"/>
      <c r="U363" s="99"/>
    </row>
    <row r="364" spans="20:21" x14ac:dyDescent="0.25">
      <c r="T364" s="98"/>
      <c r="U364" s="99"/>
    </row>
    <row r="365" spans="20:21" x14ac:dyDescent="0.25">
      <c r="T365" s="98"/>
      <c r="U365" s="99"/>
    </row>
    <row r="366" spans="20:21" x14ac:dyDescent="0.25">
      <c r="T366" s="98"/>
      <c r="U366" s="99"/>
    </row>
    <row r="367" spans="20:21" x14ac:dyDescent="0.25">
      <c r="T367" s="98"/>
      <c r="U367" s="99"/>
    </row>
    <row r="368" spans="20:21" x14ac:dyDescent="0.25">
      <c r="T368" s="98"/>
      <c r="U368" s="99"/>
    </row>
    <row r="369" spans="20:21" x14ac:dyDescent="0.25">
      <c r="T369" s="98"/>
      <c r="U369" s="99"/>
    </row>
    <row r="370" spans="20:21" x14ac:dyDescent="0.25">
      <c r="T370" s="98"/>
      <c r="U370" s="99"/>
    </row>
    <row r="371" spans="20:21" x14ac:dyDescent="0.25">
      <c r="T371" s="98"/>
      <c r="U371" s="99"/>
    </row>
    <row r="372" spans="20:21" x14ac:dyDescent="0.25">
      <c r="T372" s="98"/>
      <c r="U372" s="99"/>
    </row>
    <row r="373" spans="20:21" x14ac:dyDescent="0.25">
      <c r="T373" s="98"/>
      <c r="U373" s="99"/>
    </row>
    <row r="374" spans="20:21" x14ac:dyDescent="0.25">
      <c r="T374" s="98"/>
      <c r="U374" s="99"/>
    </row>
    <row r="375" spans="20:21" x14ac:dyDescent="0.25">
      <c r="T375" s="98"/>
      <c r="U375" s="99"/>
    </row>
    <row r="376" spans="20:21" x14ac:dyDescent="0.25">
      <c r="T376" s="98"/>
      <c r="U376" s="99"/>
    </row>
    <row r="377" spans="20:21" x14ac:dyDescent="0.25">
      <c r="T377" s="98"/>
      <c r="U377" s="99"/>
    </row>
    <row r="378" spans="20:21" x14ac:dyDescent="0.25">
      <c r="T378" s="98"/>
      <c r="U378" s="99"/>
    </row>
    <row r="379" spans="20:21" x14ac:dyDescent="0.25">
      <c r="T379" s="98"/>
      <c r="U379" s="99"/>
    </row>
    <row r="380" spans="20:21" x14ac:dyDescent="0.25">
      <c r="T380" s="98"/>
      <c r="U380" s="99"/>
    </row>
    <row r="381" spans="20:21" x14ac:dyDescent="0.25">
      <c r="T381" s="98"/>
      <c r="U381" s="99"/>
    </row>
    <row r="382" spans="20:21" x14ac:dyDescent="0.25">
      <c r="T382" s="98"/>
      <c r="U382" s="99"/>
    </row>
    <row r="383" spans="20:21" x14ac:dyDescent="0.25">
      <c r="T383" s="98"/>
      <c r="U383" s="99"/>
    </row>
    <row r="384" spans="20:21" x14ac:dyDescent="0.25">
      <c r="T384" s="98"/>
      <c r="U384" s="99"/>
    </row>
    <row r="385" spans="20:21" x14ac:dyDescent="0.25">
      <c r="T385" s="98"/>
      <c r="U385" s="99"/>
    </row>
    <row r="386" spans="20:21" x14ac:dyDescent="0.25">
      <c r="T386" s="98"/>
      <c r="U386" s="99"/>
    </row>
    <row r="387" spans="20:21" x14ac:dyDescent="0.25">
      <c r="T387" s="98"/>
      <c r="U387" s="99"/>
    </row>
    <row r="388" spans="20:21" x14ac:dyDescent="0.25">
      <c r="T388" s="98"/>
      <c r="U388" s="99"/>
    </row>
    <row r="389" spans="20:21" x14ac:dyDescent="0.25">
      <c r="T389" s="98"/>
      <c r="U389" s="99"/>
    </row>
    <row r="390" spans="20:21" x14ac:dyDescent="0.25">
      <c r="T390" s="98"/>
      <c r="U390" s="99"/>
    </row>
    <row r="391" spans="20:21" x14ac:dyDescent="0.25">
      <c r="T391" s="98"/>
      <c r="U391" s="99"/>
    </row>
    <row r="392" spans="20:21" x14ac:dyDescent="0.25">
      <c r="T392" s="98"/>
      <c r="U392" s="99"/>
    </row>
    <row r="393" spans="20:21" x14ac:dyDescent="0.25">
      <c r="T393" s="98"/>
      <c r="U393" s="99"/>
    </row>
    <row r="394" spans="20:21" x14ac:dyDescent="0.25">
      <c r="T394" s="98"/>
      <c r="U394" s="99"/>
    </row>
    <row r="395" spans="20:21" x14ac:dyDescent="0.25">
      <c r="T395" s="98"/>
      <c r="U395" s="99"/>
    </row>
    <row r="396" spans="20:21" x14ac:dyDescent="0.25">
      <c r="T396" s="98"/>
      <c r="U396" s="99"/>
    </row>
    <row r="397" spans="20:21" x14ac:dyDescent="0.25">
      <c r="T397" s="98"/>
      <c r="U397" s="99"/>
    </row>
    <row r="398" spans="20:21" x14ac:dyDescent="0.25">
      <c r="T398" s="98"/>
      <c r="U398" s="99"/>
    </row>
    <row r="399" spans="20:21" x14ac:dyDescent="0.25">
      <c r="T399" s="98"/>
      <c r="U399" s="99"/>
    </row>
    <row r="400" spans="20:21" x14ac:dyDescent="0.25">
      <c r="T400" s="98"/>
      <c r="U400" s="99"/>
    </row>
    <row r="401" spans="20:21" x14ac:dyDescent="0.25">
      <c r="T401" s="98"/>
      <c r="U401" s="99"/>
    </row>
    <row r="402" spans="20:21" x14ac:dyDescent="0.25">
      <c r="T402" s="98"/>
      <c r="U402" s="99"/>
    </row>
    <row r="403" spans="20:21" x14ac:dyDescent="0.25">
      <c r="T403" s="98"/>
      <c r="U403" s="99"/>
    </row>
    <row r="404" spans="20:21" x14ac:dyDescent="0.25">
      <c r="T404" s="98"/>
      <c r="U404" s="99"/>
    </row>
    <row r="405" spans="20:21" x14ac:dyDescent="0.25">
      <c r="T405" s="98"/>
      <c r="U405" s="99"/>
    </row>
    <row r="406" spans="20:21" x14ac:dyDescent="0.25">
      <c r="T406" s="98"/>
      <c r="U406" s="99"/>
    </row>
    <row r="407" spans="20:21" x14ac:dyDescent="0.25">
      <c r="T407" s="98"/>
      <c r="U407" s="99"/>
    </row>
    <row r="408" spans="20:21" x14ac:dyDescent="0.25">
      <c r="T408" s="98"/>
      <c r="U408" s="99"/>
    </row>
    <row r="409" spans="20:21" x14ac:dyDescent="0.25">
      <c r="T409" s="98"/>
      <c r="U409" s="99"/>
    </row>
    <row r="410" spans="20:21" x14ac:dyDescent="0.25">
      <c r="T410" s="98"/>
      <c r="U410" s="99"/>
    </row>
    <row r="411" spans="20:21" x14ac:dyDescent="0.25">
      <c r="T411" s="98"/>
      <c r="U411" s="99"/>
    </row>
    <row r="412" spans="20:21" x14ac:dyDescent="0.25">
      <c r="T412" s="98"/>
      <c r="U412" s="99"/>
    </row>
    <row r="413" spans="20:21" x14ac:dyDescent="0.25">
      <c r="T413" s="98"/>
      <c r="U413" s="99"/>
    </row>
    <row r="414" spans="20:21" x14ac:dyDescent="0.25">
      <c r="T414" s="98"/>
      <c r="U414" s="99"/>
    </row>
    <row r="415" spans="20:21" x14ac:dyDescent="0.25">
      <c r="T415" s="98"/>
      <c r="U415" s="99"/>
    </row>
    <row r="416" spans="20:21" x14ac:dyDescent="0.25">
      <c r="T416" s="98"/>
      <c r="U416" s="99"/>
    </row>
    <row r="417" spans="20:21" x14ac:dyDescent="0.25">
      <c r="T417" s="98"/>
      <c r="U417" s="99"/>
    </row>
    <row r="418" spans="20:21" x14ac:dyDescent="0.25">
      <c r="T418" s="98"/>
      <c r="U418" s="99"/>
    </row>
    <row r="419" spans="20:21" x14ac:dyDescent="0.25">
      <c r="T419" s="98"/>
      <c r="U419" s="99"/>
    </row>
    <row r="420" spans="20:21" x14ac:dyDescent="0.25">
      <c r="T420" s="98"/>
      <c r="U420" s="99"/>
    </row>
    <row r="421" spans="20:21" x14ac:dyDescent="0.25">
      <c r="T421" s="98"/>
      <c r="U421" s="99"/>
    </row>
    <row r="422" spans="20:21" x14ac:dyDescent="0.25">
      <c r="T422" s="98"/>
      <c r="U422" s="99"/>
    </row>
    <row r="423" spans="20:21" x14ac:dyDescent="0.25">
      <c r="T423" s="98"/>
      <c r="U423" s="99"/>
    </row>
    <row r="424" spans="20:21" x14ac:dyDescent="0.25">
      <c r="T424" s="98"/>
      <c r="U424" s="99"/>
    </row>
    <row r="425" spans="20:21" x14ac:dyDescent="0.25">
      <c r="T425" s="98"/>
      <c r="U425" s="99"/>
    </row>
    <row r="426" spans="20:21" x14ac:dyDescent="0.25">
      <c r="T426" s="98"/>
      <c r="U426" s="99"/>
    </row>
    <row r="427" spans="20:21" x14ac:dyDescent="0.25">
      <c r="T427" s="98"/>
      <c r="U427" s="99"/>
    </row>
    <row r="428" spans="20:21" x14ac:dyDescent="0.25">
      <c r="T428" s="98"/>
      <c r="U428" s="99"/>
    </row>
    <row r="429" spans="20:21" x14ac:dyDescent="0.25">
      <c r="T429" s="98"/>
      <c r="U429" s="99"/>
    </row>
    <row r="430" spans="20:21" x14ac:dyDescent="0.25">
      <c r="T430" s="98"/>
      <c r="U430" s="99"/>
    </row>
    <row r="431" spans="20:21" x14ac:dyDescent="0.25">
      <c r="T431" s="98"/>
      <c r="U431" s="99"/>
    </row>
    <row r="432" spans="20:21" x14ac:dyDescent="0.25">
      <c r="T432" s="98"/>
      <c r="U432" s="99"/>
    </row>
    <row r="433" spans="20:21" x14ac:dyDescent="0.25">
      <c r="T433" s="98"/>
      <c r="U433" s="99"/>
    </row>
    <row r="434" spans="20:21" x14ac:dyDescent="0.25">
      <c r="T434" s="98"/>
      <c r="U434" s="99"/>
    </row>
    <row r="435" spans="20:21" x14ac:dyDescent="0.25">
      <c r="T435" s="98"/>
      <c r="U435" s="99"/>
    </row>
    <row r="436" spans="20:21" x14ac:dyDescent="0.25">
      <c r="T436" s="98"/>
      <c r="U436" s="99"/>
    </row>
    <row r="437" spans="20:21" x14ac:dyDescent="0.25">
      <c r="T437" s="98"/>
      <c r="U437" s="99"/>
    </row>
    <row r="438" spans="20:21" x14ac:dyDescent="0.25">
      <c r="T438" s="98"/>
      <c r="U438" s="99"/>
    </row>
    <row r="439" spans="20:21" x14ac:dyDescent="0.25">
      <c r="T439" s="98"/>
      <c r="U439" s="99"/>
    </row>
    <row r="440" spans="20:21" x14ac:dyDescent="0.25">
      <c r="T440" s="98"/>
      <c r="U440" s="99"/>
    </row>
    <row r="441" spans="20:21" x14ac:dyDescent="0.25">
      <c r="T441" s="98"/>
      <c r="U441" s="99"/>
    </row>
    <row r="442" spans="20:21" x14ac:dyDescent="0.25">
      <c r="T442" s="98"/>
      <c r="U442" s="99"/>
    </row>
    <row r="443" spans="20:21" x14ac:dyDescent="0.25">
      <c r="T443" s="98"/>
      <c r="U443" s="99"/>
    </row>
    <row r="444" spans="20:21" x14ac:dyDescent="0.25">
      <c r="T444" s="98"/>
      <c r="U444" s="99"/>
    </row>
    <row r="445" spans="20:21" x14ac:dyDescent="0.25">
      <c r="T445" s="98"/>
      <c r="U445" s="99"/>
    </row>
    <row r="446" spans="20:21" x14ac:dyDescent="0.25">
      <c r="T446" s="98"/>
      <c r="U446" s="99"/>
    </row>
    <row r="447" spans="20:21" x14ac:dyDescent="0.25">
      <c r="T447" s="98"/>
      <c r="U447" s="99"/>
    </row>
    <row r="448" spans="20:21" x14ac:dyDescent="0.25">
      <c r="T448" s="98"/>
      <c r="U448" s="99"/>
    </row>
    <row r="449" spans="20:21" x14ac:dyDescent="0.25">
      <c r="T449" s="98"/>
      <c r="U449" s="99"/>
    </row>
    <row r="450" spans="20:21" x14ac:dyDescent="0.25">
      <c r="T450" s="98"/>
      <c r="U450" s="99"/>
    </row>
    <row r="451" spans="20:21" x14ac:dyDescent="0.25">
      <c r="T451" s="98"/>
      <c r="U451" s="99"/>
    </row>
    <row r="452" spans="20:21" x14ac:dyDescent="0.25">
      <c r="T452" s="98"/>
      <c r="U452" s="99"/>
    </row>
    <row r="453" spans="20:21" x14ac:dyDescent="0.25">
      <c r="T453" s="98"/>
      <c r="U453" s="99"/>
    </row>
    <row r="454" spans="20:21" x14ac:dyDescent="0.25">
      <c r="T454" s="98"/>
      <c r="U454" s="99"/>
    </row>
    <row r="455" spans="20:21" x14ac:dyDescent="0.25">
      <c r="T455" s="98"/>
      <c r="U455" s="99"/>
    </row>
    <row r="456" spans="20:21" x14ac:dyDescent="0.25">
      <c r="T456" s="98"/>
      <c r="U456" s="99"/>
    </row>
    <row r="457" spans="20:21" x14ac:dyDescent="0.25">
      <c r="T457" s="98"/>
      <c r="U457" s="99"/>
    </row>
    <row r="458" spans="20:21" x14ac:dyDescent="0.25">
      <c r="T458" s="98"/>
      <c r="U458" s="99"/>
    </row>
    <row r="459" spans="20:21" x14ac:dyDescent="0.25">
      <c r="T459" s="98"/>
      <c r="U459" s="99"/>
    </row>
    <row r="460" spans="20:21" x14ac:dyDescent="0.25">
      <c r="T460" s="98"/>
      <c r="U460" s="99"/>
    </row>
    <row r="461" spans="20:21" x14ac:dyDescent="0.25">
      <c r="T461" s="98"/>
      <c r="U461" s="99"/>
    </row>
    <row r="462" spans="20:21" x14ac:dyDescent="0.25">
      <c r="T462" s="98"/>
      <c r="U462" s="99"/>
    </row>
    <row r="463" spans="20:21" x14ac:dyDescent="0.25">
      <c r="T463" s="98"/>
      <c r="U463" s="99"/>
    </row>
    <row r="464" spans="20:21" x14ac:dyDescent="0.25">
      <c r="T464" s="98"/>
      <c r="U464" s="99"/>
    </row>
    <row r="465" spans="20:21" x14ac:dyDescent="0.25">
      <c r="T465" s="98"/>
      <c r="U465" s="99"/>
    </row>
    <row r="466" spans="20:21" x14ac:dyDescent="0.25">
      <c r="T466" s="98"/>
      <c r="U466" s="99"/>
    </row>
    <row r="467" spans="20:21" x14ac:dyDescent="0.25">
      <c r="T467" s="98"/>
      <c r="U467" s="99"/>
    </row>
    <row r="468" spans="20:21" x14ac:dyDescent="0.25">
      <c r="T468" s="98"/>
      <c r="U468" s="99"/>
    </row>
    <row r="469" spans="20:21" x14ac:dyDescent="0.25">
      <c r="T469" s="98"/>
      <c r="U469" s="99"/>
    </row>
    <row r="470" spans="20:21" x14ac:dyDescent="0.25">
      <c r="T470" s="98"/>
      <c r="U470" s="99"/>
    </row>
    <row r="471" spans="20:21" x14ac:dyDescent="0.25">
      <c r="T471" s="98"/>
      <c r="U471" s="99"/>
    </row>
    <row r="472" spans="20:21" x14ac:dyDescent="0.25">
      <c r="T472" s="98"/>
      <c r="U472" s="99"/>
    </row>
    <row r="473" spans="20:21" x14ac:dyDescent="0.25">
      <c r="T473" s="98"/>
      <c r="U473" s="99"/>
    </row>
    <row r="474" spans="20:21" x14ac:dyDescent="0.25">
      <c r="T474" s="98"/>
      <c r="U474" s="99"/>
    </row>
    <row r="475" spans="20:21" x14ac:dyDescent="0.25">
      <c r="T475" s="98"/>
      <c r="U475" s="99"/>
    </row>
    <row r="476" spans="20:21" x14ac:dyDescent="0.25">
      <c r="T476" s="98"/>
      <c r="U476" s="99"/>
    </row>
    <row r="477" spans="20:21" x14ac:dyDescent="0.25">
      <c r="T477" s="98"/>
      <c r="U477" s="99"/>
    </row>
    <row r="478" spans="20:21" x14ac:dyDescent="0.25">
      <c r="T478" s="98"/>
      <c r="U478" s="99"/>
    </row>
    <row r="479" spans="20:21" x14ac:dyDescent="0.25">
      <c r="T479" s="98"/>
      <c r="U479" s="99"/>
    </row>
    <row r="480" spans="20:21" x14ac:dyDescent="0.25">
      <c r="T480" s="98"/>
      <c r="U480" s="99"/>
    </row>
    <row r="481" spans="20:21" x14ac:dyDescent="0.25">
      <c r="T481" s="98"/>
      <c r="U481" s="99"/>
    </row>
    <row r="482" spans="20:21" x14ac:dyDescent="0.25">
      <c r="T482" s="98"/>
      <c r="U482" s="99"/>
    </row>
    <row r="483" spans="20:21" x14ac:dyDescent="0.25">
      <c r="T483" s="98"/>
      <c r="U483" s="99"/>
    </row>
    <row r="484" spans="20:21" x14ac:dyDescent="0.25">
      <c r="T484" s="98"/>
      <c r="U484" s="99"/>
    </row>
    <row r="485" spans="20:21" x14ac:dyDescent="0.25">
      <c r="T485" s="98"/>
      <c r="U485" s="99"/>
    </row>
    <row r="486" spans="20:21" x14ac:dyDescent="0.25">
      <c r="T486" s="98"/>
      <c r="U486" s="99"/>
    </row>
    <row r="487" spans="20:21" x14ac:dyDescent="0.25">
      <c r="T487" s="98"/>
      <c r="U487" s="99"/>
    </row>
    <row r="488" spans="20:21" x14ac:dyDescent="0.25">
      <c r="T488" s="98"/>
      <c r="U488" s="99"/>
    </row>
    <row r="489" spans="20:21" x14ac:dyDescent="0.25">
      <c r="T489" s="98"/>
      <c r="U489" s="99"/>
    </row>
    <row r="490" spans="20:21" x14ac:dyDescent="0.25">
      <c r="T490" s="98"/>
      <c r="U490" s="99"/>
    </row>
    <row r="491" spans="20:21" x14ac:dyDescent="0.25">
      <c r="T491" s="98"/>
      <c r="U491" s="99"/>
    </row>
    <row r="492" spans="20:21" x14ac:dyDescent="0.25">
      <c r="T492" s="98"/>
      <c r="U492" s="99"/>
    </row>
    <row r="493" spans="20:21" x14ac:dyDescent="0.25">
      <c r="T493" s="98"/>
      <c r="U493" s="99"/>
    </row>
    <row r="494" spans="20:21" x14ac:dyDescent="0.25">
      <c r="T494" s="98"/>
      <c r="U494" s="99"/>
    </row>
    <row r="495" spans="20:21" x14ac:dyDescent="0.25">
      <c r="T495" s="98"/>
      <c r="U495" s="99"/>
    </row>
    <row r="496" spans="20:21" x14ac:dyDescent="0.25">
      <c r="T496" s="98"/>
      <c r="U496" s="99"/>
    </row>
    <row r="497" spans="20:21" x14ac:dyDescent="0.25">
      <c r="T497" s="98"/>
      <c r="U497" s="99"/>
    </row>
    <row r="498" spans="20:21" x14ac:dyDescent="0.25">
      <c r="T498" s="98"/>
      <c r="U498" s="99"/>
    </row>
    <row r="499" spans="20:21" x14ac:dyDescent="0.25">
      <c r="T499" s="98"/>
      <c r="U499" s="99"/>
    </row>
    <row r="500" spans="20:21" x14ac:dyDescent="0.25">
      <c r="T500" s="98"/>
      <c r="U500" s="99"/>
    </row>
    <row r="501" spans="20:21" x14ac:dyDescent="0.25">
      <c r="T501" s="98"/>
      <c r="U501" s="99"/>
    </row>
    <row r="502" spans="20:21" x14ac:dyDescent="0.25">
      <c r="T502" s="98"/>
      <c r="U502" s="99"/>
    </row>
    <row r="503" spans="20:21" x14ac:dyDescent="0.25">
      <c r="T503" s="98"/>
      <c r="U503" s="99"/>
    </row>
    <row r="504" spans="20:21" x14ac:dyDescent="0.25">
      <c r="T504" s="98"/>
      <c r="U504" s="99"/>
    </row>
    <row r="505" spans="20:21" x14ac:dyDescent="0.25">
      <c r="T505" s="98"/>
      <c r="U505" s="99"/>
    </row>
    <row r="506" spans="20:21" x14ac:dyDescent="0.25">
      <c r="T506" s="98"/>
      <c r="U506" s="99"/>
    </row>
    <row r="507" spans="20:21" x14ac:dyDescent="0.25">
      <c r="T507" s="98"/>
      <c r="U507" s="99"/>
    </row>
    <row r="508" spans="20:21" x14ac:dyDescent="0.25">
      <c r="T508" s="98"/>
      <c r="U508" s="99"/>
    </row>
    <row r="509" spans="20:21" x14ac:dyDescent="0.25">
      <c r="T509" s="98"/>
      <c r="U509" s="99"/>
    </row>
    <row r="510" spans="20:21" x14ac:dyDescent="0.25">
      <c r="T510" s="98"/>
      <c r="U510" s="99"/>
    </row>
    <row r="511" spans="20:21" x14ac:dyDescent="0.25">
      <c r="T511" s="98"/>
      <c r="U511" s="99"/>
    </row>
    <row r="512" spans="20:21" x14ac:dyDescent="0.25">
      <c r="T512" s="98"/>
      <c r="U512" s="99"/>
    </row>
    <row r="513" spans="20:21" x14ac:dyDescent="0.25">
      <c r="T513" s="98"/>
      <c r="U513" s="99"/>
    </row>
    <row r="514" spans="20:21" x14ac:dyDescent="0.25">
      <c r="T514" s="98"/>
      <c r="U514" s="99"/>
    </row>
    <row r="515" spans="20:21" x14ac:dyDescent="0.25">
      <c r="T515" s="98"/>
      <c r="U515" s="99"/>
    </row>
    <row r="516" spans="20:21" x14ac:dyDescent="0.25">
      <c r="T516" s="98"/>
      <c r="U516" s="99"/>
    </row>
    <row r="517" spans="20:21" x14ac:dyDescent="0.25">
      <c r="T517" s="98"/>
      <c r="U517" s="99"/>
    </row>
    <row r="518" spans="20:21" x14ac:dyDescent="0.25">
      <c r="T518" s="98"/>
      <c r="U518" s="99"/>
    </row>
    <row r="519" spans="20:21" x14ac:dyDescent="0.25">
      <c r="T519" s="98"/>
      <c r="U519" s="99"/>
    </row>
    <row r="520" spans="20:21" x14ac:dyDescent="0.25">
      <c r="T520" s="98"/>
      <c r="U520" s="99"/>
    </row>
    <row r="521" spans="20:21" x14ac:dyDescent="0.25">
      <c r="T521" s="98"/>
      <c r="U521" s="99"/>
    </row>
    <row r="522" spans="20:21" x14ac:dyDescent="0.25">
      <c r="T522" s="98"/>
      <c r="U522" s="99"/>
    </row>
    <row r="523" spans="20:21" x14ac:dyDescent="0.25">
      <c r="T523" s="98"/>
      <c r="U523" s="99"/>
    </row>
    <row r="524" spans="20:21" x14ac:dyDescent="0.25">
      <c r="T524" s="98"/>
      <c r="U524" s="99"/>
    </row>
    <row r="525" spans="20:21" x14ac:dyDescent="0.25">
      <c r="T525" s="98"/>
      <c r="U525" s="99"/>
    </row>
    <row r="526" spans="20:21" x14ac:dyDescent="0.25">
      <c r="T526" s="98"/>
      <c r="U526" s="99"/>
    </row>
    <row r="527" spans="20:21" x14ac:dyDescent="0.25">
      <c r="T527" s="98"/>
      <c r="U527" s="99"/>
    </row>
    <row r="528" spans="20:21" x14ac:dyDescent="0.25">
      <c r="T528" s="98"/>
      <c r="U528" s="99"/>
    </row>
    <row r="529" spans="20:21" x14ac:dyDescent="0.25">
      <c r="T529" s="98"/>
      <c r="U529" s="99"/>
    </row>
    <row r="530" spans="20:21" x14ac:dyDescent="0.25">
      <c r="T530" s="98"/>
      <c r="U530" s="99"/>
    </row>
    <row r="531" spans="20:21" x14ac:dyDescent="0.25">
      <c r="T531" s="98"/>
      <c r="U531" s="99"/>
    </row>
    <row r="532" spans="20:21" x14ac:dyDescent="0.25">
      <c r="T532" s="98"/>
      <c r="U532" s="99"/>
    </row>
    <row r="533" spans="20:21" x14ac:dyDescent="0.25">
      <c r="T533" s="98"/>
      <c r="U533" s="99"/>
    </row>
    <row r="534" spans="20:21" x14ac:dyDescent="0.25">
      <c r="T534" s="98"/>
      <c r="U534" s="99"/>
    </row>
    <row r="535" spans="20:21" x14ac:dyDescent="0.25">
      <c r="T535" s="98"/>
      <c r="U535" s="99"/>
    </row>
    <row r="536" spans="20:21" x14ac:dyDescent="0.25">
      <c r="T536" s="98"/>
      <c r="U536" s="99"/>
    </row>
    <row r="537" spans="20:21" x14ac:dyDescent="0.25">
      <c r="T537" s="98"/>
      <c r="U537" s="99"/>
    </row>
    <row r="538" spans="20:21" x14ac:dyDescent="0.25">
      <c r="T538" s="98"/>
      <c r="U538" s="99"/>
    </row>
    <row r="539" spans="20:21" x14ac:dyDescent="0.25">
      <c r="T539" s="98"/>
      <c r="U539" s="99"/>
    </row>
    <row r="540" spans="20:21" x14ac:dyDescent="0.25">
      <c r="T540" s="98"/>
      <c r="U540" s="99"/>
    </row>
    <row r="541" spans="20:21" x14ac:dyDescent="0.25">
      <c r="T541" s="98"/>
      <c r="U541" s="99"/>
    </row>
    <row r="542" spans="20:21" x14ac:dyDescent="0.25">
      <c r="T542" s="98"/>
      <c r="U542" s="99"/>
    </row>
    <row r="543" spans="20:21" x14ac:dyDescent="0.25">
      <c r="T543" s="98"/>
      <c r="U543" s="99"/>
    </row>
    <row r="544" spans="20:21" x14ac:dyDescent="0.25">
      <c r="T544" s="98"/>
      <c r="U544" s="99"/>
    </row>
    <row r="545" spans="20:21" x14ac:dyDescent="0.25">
      <c r="T545" s="98"/>
      <c r="U545" s="99"/>
    </row>
    <row r="546" spans="20:21" x14ac:dyDescent="0.25">
      <c r="T546" s="98"/>
      <c r="U546" s="99"/>
    </row>
    <row r="547" spans="20:21" x14ac:dyDescent="0.25">
      <c r="T547" s="98"/>
      <c r="U547" s="99"/>
    </row>
    <row r="548" spans="20:21" x14ac:dyDescent="0.25">
      <c r="T548" s="98"/>
      <c r="U548" s="99"/>
    </row>
    <row r="549" spans="20:21" x14ac:dyDescent="0.25">
      <c r="T549" s="98"/>
      <c r="U549" s="99"/>
    </row>
    <row r="550" spans="20:21" x14ac:dyDescent="0.25">
      <c r="T550" s="98"/>
      <c r="U550" s="99"/>
    </row>
    <row r="551" spans="20:21" x14ac:dyDescent="0.25">
      <c r="T551" s="98"/>
      <c r="U551" s="99"/>
    </row>
    <row r="552" spans="20:21" x14ac:dyDescent="0.25">
      <c r="T552" s="98"/>
      <c r="U552" s="99"/>
    </row>
    <row r="553" spans="20:21" x14ac:dyDescent="0.25">
      <c r="T553" s="98"/>
      <c r="U553" s="99"/>
    </row>
    <row r="554" spans="20:21" x14ac:dyDescent="0.25">
      <c r="T554" s="98"/>
      <c r="U554" s="99"/>
    </row>
    <row r="555" spans="20:21" x14ac:dyDescent="0.25">
      <c r="T555" s="98"/>
      <c r="U555" s="99"/>
    </row>
    <row r="556" spans="20:21" x14ac:dyDescent="0.25">
      <c r="T556" s="98"/>
      <c r="U556" s="99"/>
    </row>
    <row r="557" spans="20:21" x14ac:dyDescent="0.25">
      <c r="T557" s="98"/>
      <c r="U557" s="99"/>
    </row>
    <row r="558" spans="20:21" x14ac:dyDescent="0.25">
      <c r="T558" s="98"/>
      <c r="U558" s="99"/>
    </row>
    <row r="559" spans="20:21" x14ac:dyDescent="0.25">
      <c r="T559" s="98"/>
      <c r="U559" s="99"/>
    </row>
    <row r="560" spans="20:21" x14ac:dyDescent="0.25">
      <c r="T560" s="98"/>
      <c r="U560" s="99"/>
    </row>
    <row r="561" spans="20:21" x14ac:dyDescent="0.25">
      <c r="T561" s="98"/>
      <c r="U561" s="99"/>
    </row>
    <row r="562" spans="20:21" x14ac:dyDescent="0.25">
      <c r="T562" s="98"/>
      <c r="U562" s="99"/>
    </row>
    <row r="563" spans="20:21" x14ac:dyDescent="0.25">
      <c r="T563" s="98"/>
      <c r="U563" s="99"/>
    </row>
    <row r="564" spans="20:21" x14ac:dyDescent="0.25">
      <c r="T564" s="98"/>
      <c r="U564" s="99"/>
    </row>
    <row r="565" spans="20:21" x14ac:dyDescent="0.25">
      <c r="T565" s="98"/>
      <c r="U565" s="99"/>
    </row>
    <row r="566" spans="20:21" x14ac:dyDescent="0.25">
      <c r="T566" s="98"/>
      <c r="U566" s="99"/>
    </row>
    <row r="567" spans="20:21" x14ac:dyDescent="0.25">
      <c r="T567" s="98"/>
      <c r="U567" s="99"/>
    </row>
    <row r="568" spans="20:21" x14ac:dyDescent="0.25">
      <c r="T568" s="98"/>
      <c r="U568" s="99"/>
    </row>
    <row r="569" spans="20:21" x14ac:dyDescent="0.25">
      <c r="T569" s="98"/>
      <c r="U569" s="99"/>
    </row>
    <row r="570" spans="20:21" x14ac:dyDescent="0.25">
      <c r="T570" s="98"/>
      <c r="U570" s="99"/>
    </row>
    <row r="571" spans="20:21" x14ac:dyDescent="0.25">
      <c r="T571" s="98"/>
      <c r="U571" s="99"/>
    </row>
    <row r="572" spans="20:21" x14ac:dyDescent="0.25">
      <c r="T572" s="98"/>
      <c r="U572" s="99"/>
    </row>
    <row r="573" spans="20:21" x14ac:dyDescent="0.25">
      <c r="T573" s="98"/>
      <c r="U573" s="99"/>
    </row>
    <row r="574" spans="20:21" x14ac:dyDescent="0.25">
      <c r="T574" s="98"/>
      <c r="U574" s="99"/>
    </row>
    <row r="575" spans="20:21" x14ac:dyDescent="0.25">
      <c r="T575" s="98"/>
      <c r="U575" s="99"/>
    </row>
    <row r="576" spans="20:21" x14ac:dyDescent="0.25">
      <c r="T576" s="98"/>
      <c r="U576" s="99"/>
    </row>
    <row r="577" spans="20:21" x14ac:dyDescent="0.25">
      <c r="T577" s="98"/>
      <c r="U577" s="99"/>
    </row>
    <row r="578" spans="20:21" x14ac:dyDescent="0.25">
      <c r="T578" s="98"/>
      <c r="U578" s="99"/>
    </row>
    <row r="579" spans="20:21" x14ac:dyDescent="0.25">
      <c r="T579" s="98"/>
      <c r="U579" s="99"/>
    </row>
    <row r="580" spans="20:21" x14ac:dyDescent="0.25">
      <c r="T580" s="98"/>
      <c r="U580" s="99"/>
    </row>
    <row r="581" spans="20:21" x14ac:dyDescent="0.25">
      <c r="T581" s="98"/>
      <c r="U581" s="99"/>
    </row>
    <row r="582" spans="20:21" x14ac:dyDescent="0.25">
      <c r="T582" s="98"/>
      <c r="U582" s="99"/>
    </row>
    <row r="583" spans="20:21" x14ac:dyDescent="0.25">
      <c r="T583" s="98"/>
      <c r="U583" s="99"/>
    </row>
    <row r="584" spans="20:21" x14ac:dyDescent="0.25">
      <c r="T584" s="98"/>
      <c r="U584" s="99"/>
    </row>
    <row r="585" spans="20:21" x14ac:dyDescent="0.25">
      <c r="T585" s="98"/>
      <c r="U585" s="99"/>
    </row>
    <row r="586" spans="20:21" x14ac:dyDescent="0.25">
      <c r="T586" s="98"/>
      <c r="U586" s="99"/>
    </row>
    <row r="587" spans="20:21" x14ac:dyDescent="0.25">
      <c r="T587" s="98"/>
      <c r="U587" s="99"/>
    </row>
    <row r="588" spans="20:21" x14ac:dyDescent="0.25">
      <c r="T588" s="98"/>
      <c r="U588" s="99"/>
    </row>
    <row r="589" spans="20:21" x14ac:dyDescent="0.25">
      <c r="T589" s="98"/>
      <c r="U589" s="99"/>
    </row>
    <row r="590" spans="20:21" x14ac:dyDescent="0.25">
      <c r="T590" s="98"/>
      <c r="U590" s="99"/>
    </row>
    <row r="591" spans="20:21" x14ac:dyDescent="0.25">
      <c r="T591" s="98"/>
      <c r="U591" s="99"/>
    </row>
    <row r="592" spans="20:21" x14ac:dyDescent="0.25">
      <c r="T592" s="98"/>
      <c r="U592" s="99"/>
    </row>
    <row r="593" spans="20:21" x14ac:dyDescent="0.25">
      <c r="T593" s="98"/>
      <c r="U593" s="99"/>
    </row>
    <row r="594" spans="20:21" x14ac:dyDescent="0.25">
      <c r="T594" s="98"/>
      <c r="U594" s="99"/>
    </row>
    <row r="595" spans="20:21" x14ac:dyDescent="0.25">
      <c r="T595" s="98"/>
      <c r="U595" s="99"/>
    </row>
    <row r="596" spans="20:21" x14ac:dyDescent="0.25">
      <c r="T596" s="98"/>
      <c r="U596" s="99"/>
    </row>
    <row r="597" spans="20:21" x14ac:dyDescent="0.25">
      <c r="T597" s="98"/>
      <c r="U597" s="99"/>
    </row>
    <row r="598" spans="20:21" x14ac:dyDescent="0.25">
      <c r="T598" s="98"/>
      <c r="U598" s="99"/>
    </row>
    <row r="599" spans="20:21" x14ac:dyDescent="0.25">
      <c r="T599" s="98"/>
      <c r="U599" s="99"/>
    </row>
    <row r="600" spans="20:21" x14ac:dyDescent="0.25">
      <c r="T600" s="98"/>
      <c r="U600" s="99"/>
    </row>
    <row r="601" spans="20:21" x14ac:dyDescent="0.25">
      <c r="T601" s="98"/>
      <c r="U601" s="99"/>
    </row>
    <row r="602" spans="20:21" x14ac:dyDescent="0.25">
      <c r="T602" s="98"/>
      <c r="U602" s="99"/>
    </row>
    <row r="603" spans="20:21" x14ac:dyDescent="0.25">
      <c r="T603" s="98"/>
      <c r="U603" s="99"/>
    </row>
    <row r="604" spans="20:21" x14ac:dyDescent="0.25">
      <c r="T604" s="98"/>
      <c r="U604" s="99"/>
    </row>
    <row r="605" spans="20:21" x14ac:dyDescent="0.25">
      <c r="T605" s="98"/>
      <c r="U605" s="99"/>
    </row>
    <row r="606" spans="20:21" x14ac:dyDescent="0.25">
      <c r="T606" s="98"/>
      <c r="U606" s="99"/>
    </row>
    <row r="607" spans="20:21" x14ac:dyDescent="0.25">
      <c r="T607" s="98"/>
      <c r="U607" s="99"/>
    </row>
    <row r="608" spans="20:21" x14ac:dyDescent="0.25">
      <c r="T608" s="98"/>
      <c r="U608" s="99"/>
    </row>
    <row r="609" spans="20:21" x14ac:dyDescent="0.25">
      <c r="T609" s="98"/>
      <c r="U609" s="99"/>
    </row>
    <row r="610" spans="20:21" x14ac:dyDescent="0.25">
      <c r="T610" s="98"/>
      <c r="U610" s="99"/>
    </row>
    <row r="611" spans="20:21" x14ac:dyDescent="0.25">
      <c r="T611" s="98"/>
      <c r="U611" s="99"/>
    </row>
    <row r="612" spans="20:21" x14ac:dyDescent="0.25">
      <c r="T612" s="98"/>
      <c r="U612" s="99"/>
    </row>
    <row r="613" spans="20:21" x14ac:dyDescent="0.25">
      <c r="T613" s="98"/>
      <c r="U613" s="99"/>
    </row>
    <row r="614" spans="20:21" x14ac:dyDescent="0.25">
      <c r="T614" s="98"/>
      <c r="U614" s="99"/>
    </row>
    <row r="615" spans="20:21" x14ac:dyDescent="0.25">
      <c r="T615" s="98"/>
      <c r="U615" s="99"/>
    </row>
    <row r="616" spans="20:21" x14ac:dyDescent="0.25">
      <c r="T616" s="98"/>
      <c r="U616" s="99"/>
    </row>
    <row r="617" spans="20:21" x14ac:dyDescent="0.25">
      <c r="T617" s="98"/>
      <c r="U617" s="99"/>
    </row>
    <row r="618" spans="20:21" x14ac:dyDescent="0.25">
      <c r="T618" s="98"/>
      <c r="U618" s="99"/>
    </row>
    <row r="619" spans="20:21" x14ac:dyDescent="0.25">
      <c r="T619" s="98"/>
      <c r="U619" s="99"/>
    </row>
    <row r="620" spans="20:21" x14ac:dyDescent="0.25">
      <c r="T620" s="98"/>
      <c r="U620" s="99"/>
    </row>
    <row r="621" spans="20:21" x14ac:dyDescent="0.25">
      <c r="T621" s="98"/>
      <c r="U621" s="99"/>
    </row>
    <row r="622" spans="20:21" x14ac:dyDescent="0.25">
      <c r="T622" s="98"/>
      <c r="U622" s="99"/>
    </row>
    <row r="623" spans="20:21" x14ac:dyDescent="0.25">
      <c r="T623" s="98"/>
      <c r="U623" s="99"/>
    </row>
    <row r="624" spans="20:21" x14ac:dyDescent="0.25">
      <c r="T624" s="98"/>
      <c r="U624" s="99"/>
    </row>
    <row r="625" spans="20:21" x14ac:dyDescent="0.25">
      <c r="T625" s="98"/>
      <c r="U625" s="99"/>
    </row>
    <row r="626" spans="20:21" x14ac:dyDescent="0.25">
      <c r="T626" s="98"/>
      <c r="U626" s="99"/>
    </row>
    <row r="627" spans="20:21" x14ac:dyDescent="0.25">
      <c r="T627" s="98"/>
      <c r="U627" s="99"/>
    </row>
    <row r="628" spans="20:21" x14ac:dyDescent="0.25">
      <c r="T628" s="98"/>
      <c r="U628" s="99"/>
    </row>
    <row r="629" spans="20:21" x14ac:dyDescent="0.25">
      <c r="T629" s="98"/>
      <c r="U629" s="99"/>
    </row>
    <row r="630" spans="20:21" x14ac:dyDescent="0.25">
      <c r="T630" s="98"/>
      <c r="U630" s="99"/>
    </row>
    <row r="631" spans="20:21" x14ac:dyDescent="0.25">
      <c r="T631" s="98"/>
      <c r="U631" s="99"/>
    </row>
    <row r="632" spans="20:21" x14ac:dyDescent="0.25">
      <c r="T632" s="98"/>
      <c r="U632" s="99"/>
    </row>
    <row r="633" spans="20:21" x14ac:dyDescent="0.25">
      <c r="T633" s="98"/>
      <c r="U633" s="99"/>
    </row>
    <row r="634" spans="20:21" x14ac:dyDescent="0.25">
      <c r="T634" s="98"/>
      <c r="U634" s="99"/>
    </row>
    <row r="635" spans="20:21" x14ac:dyDescent="0.25">
      <c r="T635" s="98"/>
      <c r="U635" s="99"/>
    </row>
    <row r="636" spans="20:21" x14ac:dyDescent="0.25">
      <c r="T636" s="98"/>
      <c r="U636" s="99"/>
    </row>
    <row r="637" spans="20:21" x14ac:dyDescent="0.25">
      <c r="T637" s="98"/>
      <c r="U637" s="99"/>
    </row>
    <row r="638" spans="20:21" x14ac:dyDescent="0.25">
      <c r="T638" s="98"/>
      <c r="U638" s="99"/>
    </row>
    <row r="639" spans="20:21" x14ac:dyDescent="0.25">
      <c r="T639" s="98"/>
      <c r="U639" s="99"/>
    </row>
    <row r="640" spans="20:21" x14ac:dyDescent="0.25">
      <c r="T640" s="98"/>
      <c r="U640" s="99"/>
    </row>
    <row r="641" spans="20:21" x14ac:dyDescent="0.25">
      <c r="T641" s="98"/>
      <c r="U641" s="99"/>
    </row>
    <row r="642" spans="20:21" x14ac:dyDescent="0.25">
      <c r="T642" s="98"/>
      <c r="U642" s="99"/>
    </row>
    <row r="643" spans="20:21" x14ac:dyDescent="0.25">
      <c r="T643" s="98"/>
      <c r="U643" s="99"/>
    </row>
    <row r="644" spans="20:21" x14ac:dyDescent="0.25">
      <c r="T644" s="98"/>
      <c r="U644" s="99"/>
    </row>
    <row r="645" spans="20:21" x14ac:dyDescent="0.25">
      <c r="T645" s="98"/>
      <c r="U645" s="99"/>
    </row>
    <row r="646" spans="20:21" x14ac:dyDescent="0.25">
      <c r="T646" s="98"/>
      <c r="U646" s="99"/>
    </row>
    <row r="647" spans="20:21" x14ac:dyDescent="0.25">
      <c r="T647" s="98"/>
      <c r="U647" s="99"/>
    </row>
    <row r="648" spans="20:21" x14ac:dyDescent="0.25">
      <c r="T648" s="98"/>
      <c r="U648" s="99"/>
    </row>
    <row r="649" spans="20:21" x14ac:dyDescent="0.25">
      <c r="T649" s="98"/>
      <c r="U649" s="99"/>
    </row>
    <row r="650" spans="20:21" x14ac:dyDescent="0.25">
      <c r="T650" s="98"/>
      <c r="U650" s="99"/>
    </row>
    <row r="651" spans="20:21" x14ac:dyDescent="0.25">
      <c r="T651" s="98"/>
      <c r="U651" s="99"/>
    </row>
    <row r="652" spans="20:21" x14ac:dyDescent="0.25">
      <c r="T652" s="98"/>
      <c r="U652" s="99"/>
    </row>
    <row r="653" spans="20:21" x14ac:dyDescent="0.25">
      <c r="T653" s="98"/>
      <c r="U653" s="99"/>
    </row>
    <row r="654" spans="20:21" x14ac:dyDescent="0.25">
      <c r="T654" s="98"/>
      <c r="U654" s="99"/>
    </row>
    <row r="655" spans="20:21" x14ac:dyDescent="0.25">
      <c r="T655" s="98"/>
      <c r="U655" s="99"/>
    </row>
    <row r="656" spans="20:21" x14ac:dyDescent="0.25">
      <c r="T656" s="98"/>
      <c r="U656" s="99"/>
    </row>
    <row r="657" spans="20:21" x14ac:dyDescent="0.25">
      <c r="T657" s="98"/>
      <c r="U657" s="99"/>
    </row>
    <row r="658" spans="20:21" x14ac:dyDescent="0.25">
      <c r="T658" s="98"/>
      <c r="U658" s="99"/>
    </row>
    <row r="659" spans="20:21" x14ac:dyDescent="0.25">
      <c r="T659" s="98"/>
      <c r="U659" s="99"/>
    </row>
    <row r="660" spans="20:21" x14ac:dyDescent="0.25">
      <c r="T660" s="98"/>
      <c r="U660" s="99"/>
    </row>
    <row r="661" spans="20:21" x14ac:dyDescent="0.25">
      <c r="T661" s="98"/>
      <c r="U661" s="99"/>
    </row>
    <row r="662" spans="20:21" x14ac:dyDescent="0.25">
      <c r="T662" s="98"/>
      <c r="U662" s="99"/>
    </row>
    <row r="663" spans="20:21" x14ac:dyDescent="0.25">
      <c r="T663" s="98"/>
      <c r="U663" s="99"/>
    </row>
    <row r="664" spans="20:21" x14ac:dyDescent="0.25">
      <c r="T664" s="98"/>
      <c r="U664" s="99"/>
    </row>
    <row r="665" spans="20:21" x14ac:dyDescent="0.25">
      <c r="T665" s="98"/>
      <c r="U665" s="99"/>
    </row>
    <row r="666" spans="20:21" x14ac:dyDescent="0.25">
      <c r="T666" s="98"/>
      <c r="U666" s="99"/>
    </row>
    <row r="667" spans="20:21" x14ac:dyDescent="0.25">
      <c r="T667" s="98"/>
      <c r="U667" s="99"/>
    </row>
    <row r="668" spans="20:21" x14ac:dyDescent="0.25">
      <c r="T668" s="98"/>
      <c r="U668" s="99"/>
    </row>
    <row r="669" spans="20:21" x14ac:dyDescent="0.25">
      <c r="T669" s="98"/>
      <c r="U669" s="99"/>
    </row>
    <row r="670" spans="20:21" x14ac:dyDescent="0.25">
      <c r="T670" s="98"/>
      <c r="U670" s="99"/>
    </row>
    <row r="671" spans="20:21" x14ac:dyDescent="0.25">
      <c r="T671" s="98"/>
      <c r="U671" s="99"/>
    </row>
    <row r="672" spans="20:21" x14ac:dyDescent="0.25">
      <c r="T672" s="98"/>
      <c r="U672" s="99"/>
    </row>
    <row r="673" spans="20:21" x14ac:dyDescent="0.25">
      <c r="T673" s="98"/>
      <c r="U673" s="99"/>
    </row>
    <row r="674" spans="20:21" x14ac:dyDescent="0.25">
      <c r="T674" s="98"/>
      <c r="U674" s="99"/>
    </row>
    <row r="675" spans="20:21" x14ac:dyDescent="0.25">
      <c r="T675" s="98"/>
      <c r="U675" s="99"/>
    </row>
    <row r="676" spans="20:21" x14ac:dyDescent="0.25">
      <c r="T676" s="98"/>
      <c r="U676" s="99"/>
    </row>
    <row r="677" spans="20:21" x14ac:dyDescent="0.25">
      <c r="T677" s="98"/>
      <c r="U677" s="99"/>
    </row>
    <row r="678" spans="20:21" x14ac:dyDescent="0.25">
      <c r="T678" s="98"/>
      <c r="U678" s="99"/>
    </row>
    <row r="679" spans="20:21" x14ac:dyDescent="0.25">
      <c r="T679" s="98"/>
      <c r="U679" s="99"/>
    </row>
    <row r="680" spans="20:21" x14ac:dyDescent="0.25">
      <c r="T680" s="98"/>
      <c r="U680" s="99"/>
    </row>
    <row r="681" spans="20:21" x14ac:dyDescent="0.25">
      <c r="T681" s="98"/>
      <c r="U681" s="99"/>
    </row>
    <row r="682" spans="20:21" x14ac:dyDescent="0.25">
      <c r="T682" s="98"/>
      <c r="U682" s="99"/>
    </row>
    <row r="683" spans="20:21" x14ac:dyDescent="0.25">
      <c r="T683" s="98"/>
      <c r="U683" s="99"/>
    </row>
    <row r="684" spans="20:21" x14ac:dyDescent="0.25">
      <c r="T684" s="98"/>
      <c r="U684" s="99"/>
    </row>
    <row r="685" spans="20:21" x14ac:dyDescent="0.25">
      <c r="T685" s="98"/>
      <c r="U685" s="99"/>
    </row>
    <row r="686" spans="20:21" x14ac:dyDescent="0.25">
      <c r="T686" s="98"/>
      <c r="U686" s="99"/>
    </row>
    <row r="687" spans="20:21" x14ac:dyDescent="0.25">
      <c r="T687" s="98"/>
      <c r="U687" s="99"/>
    </row>
    <row r="688" spans="20:21" x14ac:dyDescent="0.25">
      <c r="T688" s="98"/>
      <c r="U688" s="99"/>
    </row>
    <row r="689" spans="20:21" x14ac:dyDescent="0.25">
      <c r="T689" s="98"/>
      <c r="U689" s="99"/>
    </row>
    <row r="690" spans="20:21" x14ac:dyDescent="0.25">
      <c r="T690" s="98"/>
      <c r="U690" s="99"/>
    </row>
    <row r="691" spans="20:21" x14ac:dyDescent="0.25">
      <c r="T691" s="98"/>
      <c r="U691" s="99"/>
    </row>
    <row r="692" spans="20:21" x14ac:dyDescent="0.25">
      <c r="T692" s="98"/>
      <c r="U692" s="99"/>
    </row>
    <row r="693" spans="20:21" x14ac:dyDescent="0.25">
      <c r="T693" s="98"/>
      <c r="U693" s="99"/>
    </row>
    <row r="694" spans="20:21" x14ac:dyDescent="0.25">
      <c r="T694" s="98"/>
      <c r="U694" s="99"/>
    </row>
    <row r="695" spans="20:21" x14ac:dyDescent="0.25">
      <c r="T695" s="98"/>
      <c r="U695" s="99"/>
    </row>
    <row r="696" spans="20:21" x14ac:dyDescent="0.25">
      <c r="T696" s="98"/>
      <c r="U696" s="99"/>
    </row>
    <row r="697" spans="20:21" x14ac:dyDescent="0.25">
      <c r="T697" s="98"/>
      <c r="U697" s="99"/>
    </row>
    <row r="698" spans="20:21" x14ac:dyDescent="0.25">
      <c r="T698" s="98"/>
      <c r="U698" s="99"/>
    </row>
    <row r="699" spans="20:21" x14ac:dyDescent="0.25">
      <c r="T699" s="98"/>
      <c r="U699" s="99"/>
    </row>
    <row r="700" spans="20:21" x14ac:dyDescent="0.25">
      <c r="T700" s="98"/>
      <c r="U700" s="99"/>
    </row>
    <row r="701" spans="20:21" x14ac:dyDescent="0.25">
      <c r="T701" s="98"/>
      <c r="U701" s="99"/>
    </row>
    <row r="702" spans="20:21" x14ac:dyDescent="0.25">
      <c r="T702" s="98"/>
      <c r="U702" s="99"/>
    </row>
    <row r="703" spans="20:21" x14ac:dyDescent="0.25">
      <c r="T703" s="98"/>
      <c r="U703" s="99"/>
    </row>
    <row r="704" spans="20:21" x14ac:dyDescent="0.25">
      <c r="T704" s="98"/>
      <c r="U704" s="99"/>
    </row>
    <row r="705" spans="20:21" x14ac:dyDescent="0.25">
      <c r="T705" s="98"/>
      <c r="U705" s="99"/>
    </row>
    <row r="706" spans="20:21" x14ac:dyDescent="0.25">
      <c r="T706" s="98"/>
      <c r="U706" s="99"/>
    </row>
    <row r="707" spans="20:21" x14ac:dyDescent="0.25">
      <c r="T707" s="98"/>
      <c r="U707" s="99"/>
    </row>
    <row r="708" spans="20:21" x14ac:dyDescent="0.25">
      <c r="T708" s="98"/>
      <c r="U708" s="99"/>
    </row>
    <row r="709" spans="20:21" x14ac:dyDescent="0.25">
      <c r="T709" s="98"/>
      <c r="U709" s="99"/>
    </row>
    <row r="710" spans="20:21" x14ac:dyDescent="0.25">
      <c r="T710" s="98"/>
      <c r="U710" s="99"/>
    </row>
    <row r="711" spans="20:21" x14ac:dyDescent="0.25">
      <c r="T711" s="98"/>
      <c r="U711" s="99"/>
    </row>
    <row r="712" spans="20:21" x14ac:dyDescent="0.25">
      <c r="T712" s="98"/>
      <c r="U712" s="99"/>
    </row>
    <row r="713" spans="20:21" x14ac:dyDescent="0.25">
      <c r="T713" s="98"/>
      <c r="U713" s="99"/>
    </row>
    <row r="714" spans="20:21" x14ac:dyDescent="0.25">
      <c r="T714" s="98"/>
      <c r="U714" s="99"/>
    </row>
    <row r="715" spans="20:21" x14ac:dyDescent="0.25">
      <c r="T715" s="98"/>
      <c r="U715" s="99"/>
    </row>
    <row r="716" spans="20:21" x14ac:dyDescent="0.25">
      <c r="T716" s="98"/>
      <c r="U716" s="99"/>
    </row>
    <row r="717" spans="20:21" x14ac:dyDescent="0.25">
      <c r="T717" s="98"/>
      <c r="U717" s="99"/>
    </row>
    <row r="718" spans="20:21" x14ac:dyDescent="0.25">
      <c r="T718" s="98"/>
      <c r="U718" s="99"/>
    </row>
    <row r="719" spans="20:21" x14ac:dyDescent="0.25">
      <c r="T719" s="98"/>
      <c r="U719" s="99"/>
    </row>
    <row r="720" spans="20:21" x14ac:dyDescent="0.25">
      <c r="T720" s="98"/>
      <c r="U720" s="99"/>
    </row>
    <row r="721" spans="20:21" x14ac:dyDescent="0.25">
      <c r="T721" s="98"/>
      <c r="U721" s="99"/>
    </row>
    <row r="722" spans="20:21" x14ac:dyDescent="0.25">
      <c r="T722" s="98"/>
      <c r="U722" s="99"/>
    </row>
    <row r="723" spans="20:21" x14ac:dyDescent="0.25">
      <c r="T723" s="98"/>
      <c r="U723" s="99"/>
    </row>
    <row r="724" spans="20:21" x14ac:dyDescent="0.25">
      <c r="T724" s="98"/>
      <c r="U724" s="99"/>
    </row>
    <row r="725" spans="20:21" x14ac:dyDescent="0.25">
      <c r="T725" s="98"/>
      <c r="U725" s="99"/>
    </row>
    <row r="726" spans="20:21" x14ac:dyDescent="0.25">
      <c r="T726" s="98"/>
      <c r="U726" s="99"/>
    </row>
    <row r="727" spans="20:21" x14ac:dyDescent="0.25">
      <c r="T727" s="98"/>
      <c r="U727" s="99"/>
    </row>
    <row r="728" spans="20:21" x14ac:dyDescent="0.25">
      <c r="T728" s="98"/>
      <c r="U728" s="99"/>
    </row>
    <row r="729" spans="20:21" x14ac:dyDescent="0.25">
      <c r="T729" s="98"/>
      <c r="U729" s="99"/>
    </row>
    <row r="730" spans="20:21" x14ac:dyDescent="0.25">
      <c r="T730" s="98"/>
      <c r="U730" s="99"/>
    </row>
    <row r="731" spans="20:21" x14ac:dyDescent="0.25">
      <c r="T731" s="98"/>
      <c r="U731" s="99"/>
    </row>
    <row r="732" spans="20:21" x14ac:dyDescent="0.25">
      <c r="T732" s="98"/>
      <c r="U732" s="99"/>
    </row>
    <row r="733" spans="20:21" x14ac:dyDescent="0.25">
      <c r="T733" s="98"/>
      <c r="U733" s="99"/>
    </row>
    <row r="734" spans="20:21" x14ac:dyDescent="0.25">
      <c r="T734" s="98"/>
      <c r="U734" s="99"/>
    </row>
    <row r="735" spans="20:21" x14ac:dyDescent="0.25">
      <c r="T735" s="98"/>
      <c r="U735" s="99"/>
    </row>
    <row r="736" spans="20:21" x14ac:dyDescent="0.25">
      <c r="T736" s="98"/>
      <c r="U736" s="99"/>
    </row>
    <row r="737" spans="20:21" x14ac:dyDescent="0.25">
      <c r="T737" s="98"/>
      <c r="U737" s="99"/>
    </row>
    <row r="738" spans="20:21" x14ac:dyDescent="0.25">
      <c r="T738" s="98"/>
      <c r="U738" s="99"/>
    </row>
    <row r="739" spans="20:21" x14ac:dyDescent="0.25">
      <c r="T739" s="98"/>
      <c r="U739" s="99"/>
    </row>
    <row r="740" spans="20:21" x14ac:dyDescent="0.25">
      <c r="T740" s="98"/>
      <c r="U740" s="99"/>
    </row>
    <row r="741" spans="20:21" x14ac:dyDescent="0.25">
      <c r="T741" s="98"/>
      <c r="U741" s="99"/>
    </row>
    <row r="742" spans="20:21" x14ac:dyDescent="0.25">
      <c r="T742" s="98"/>
      <c r="U742" s="99"/>
    </row>
    <row r="743" spans="20:21" x14ac:dyDescent="0.25">
      <c r="T743" s="98"/>
      <c r="U743" s="99"/>
    </row>
    <row r="744" spans="20:21" x14ac:dyDescent="0.25">
      <c r="T744" s="98"/>
      <c r="U744" s="99"/>
    </row>
    <row r="745" spans="20:21" x14ac:dyDescent="0.25">
      <c r="T745" s="98"/>
      <c r="U745" s="99"/>
    </row>
    <row r="746" spans="20:21" x14ac:dyDescent="0.25">
      <c r="T746" s="98"/>
      <c r="U746" s="99"/>
    </row>
    <row r="747" spans="20:21" x14ac:dyDescent="0.25">
      <c r="T747" s="98"/>
      <c r="U747" s="99"/>
    </row>
    <row r="748" spans="20:21" x14ac:dyDescent="0.25">
      <c r="T748" s="98"/>
      <c r="U748" s="99"/>
    </row>
    <row r="749" spans="20:21" x14ac:dyDescent="0.25">
      <c r="T749" s="98"/>
      <c r="U749" s="99"/>
    </row>
    <row r="750" spans="20:21" x14ac:dyDescent="0.25">
      <c r="T750" s="98"/>
      <c r="U750" s="99"/>
    </row>
    <row r="751" spans="20:21" x14ac:dyDescent="0.25">
      <c r="T751" s="98"/>
      <c r="U751" s="99"/>
    </row>
    <row r="752" spans="20:21" x14ac:dyDescent="0.25">
      <c r="T752" s="98"/>
      <c r="U752" s="99"/>
    </row>
    <row r="753" spans="20:21" x14ac:dyDescent="0.25">
      <c r="T753" s="98"/>
      <c r="U753" s="99"/>
    </row>
    <row r="754" spans="20:21" x14ac:dyDescent="0.25">
      <c r="T754" s="98"/>
      <c r="U754" s="99"/>
    </row>
    <row r="755" spans="20:21" x14ac:dyDescent="0.25">
      <c r="T755" s="98"/>
      <c r="U755" s="99"/>
    </row>
    <row r="756" spans="20:21" x14ac:dyDescent="0.25">
      <c r="T756" s="98"/>
      <c r="U756" s="99"/>
    </row>
    <row r="757" spans="20:21" x14ac:dyDescent="0.25">
      <c r="T757" s="98"/>
      <c r="U757" s="99"/>
    </row>
    <row r="758" spans="20:21" x14ac:dyDescent="0.25">
      <c r="T758" s="98"/>
      <c r="U758" s="99"/>
    </row>
    <row r="759" spans="20:21" x14ac:dyDescent="0.25">
      <c r="T759" s="98"/>
      <c r="U759" s="99"/>
    </row>
    <row r="760" spans="20:21" x14ac:dyDescent="0.25">
      <c r="T760" s="98"/>
      <c r="U760" s="99"/>
    </row>
    <row r="761" spans="20:21" x14ac:dyDescent="0.25">
      <c r="T761" s="98"/>
      <c r="U761" s="99"/>
    </row>
    <row r="762" spans="20:21" x14ac:dyDescent="0.25">
      <c r="T762" s="98"/>
      <c r="U762" s="99"/>
    </row>
    <row r="763" spans="20:21" x14ac:dyDescent="0.25">
      <c r="T763" s="98"/>
      <c r="U763" s="99"/>
    </row>
    <row r="764" spans="20:21" x14ac:dyDescent="0.25">
      <c r="T764" s="98"/>
      <c r="U764" s="99"/>
    </row>
    <row r="765" spans="20:21" x14ac:dyDescent="0.25">
      <c r="T765" s="98"/>
      <c r="U765" s="99"/>
    </row>
    <row r="766" spans="20:21" x14ac:dyDescent="0.25">
      <c r="T766" s="98"/>
      <c r="U766" s="99"/>
    </row>
    <row r="767" spans="20:21" x14ac:dyDescent="0.25">
      <c r="T767" s="98"/>
      <c r="U767" s="99"/>
    </row>
    <row r="768" spans="20:21" x14ac:dyDescent="0.25">
      <c r="T768" s="98"/>
      <c r="U768" s="99"/>
    </row>
    <row r="769" spans="20:21" x14ac:dyDescent="0.25">
      <c r="T769" s="98"/>
      <c r="U769" s="99"/>
    </row>
    <row r="770" spans="20:21" x14ac:dyDescent="0.25">
      <c r="T770" s="98"/>
      <c r="U770" s="99"/>
    </row>
    <row r="771" spans="20:21" x14ac:dyDescent="0.25">
      <c r="T771" s="98"/>
      <c r="U771" s="99"/>
    </row>
    <row r="772" spans="20:21" x14ac:dyDescent="0.25">
      <c r="T772" s="98"/>
      <c r="U772" s="99"/>
    </row>
    <row r="773" spans="20:21" x14ac:dyDescent="0.25">
      <c r="T773" s="98"/>
      <c r="U773" s="99"/>
    </row>
    <row r="774" spans="20:21" x14ac:dyDescent="0.25">
      <c r="T774" s="98"/>
      <c r="U774" s="99"/>
    </row>
    <row r="775" spans="20:21" x14ac:dyDescent="0.25">
      <c r="T775" s="98"/>
      <c r="U775" s="99"/>
    </row>
    <row r="776" spans="20:21" x14ac:dyDescent="0.25">
      <c r="T776" s="98"/>
      <c r="U776" s="99"/>
    </row>
    <row r="777" spans="20:21" x14ac:dyDescent="0.25">
      <c r="T777" s="98"/>
      <c r="U777" s="99"/>
    </row>
    <row r="778" spans="20:21" x14ac:dyDescent="0.25">
      <c r="T778" s="98"/>
      <c r="U778" s="99"/>
    </row>
    <row r="779" spans="20:21" x14ac:dyDescent="0.25">
      <c r="T779" s="98"/>
      <c r="U779" s="99"/>
    </row>
    <row r="780" spans="20:21" x14ac:dyDescent="0.25">
      <c r="T780" s="98"/>
      <c r="U780" s="99"/>
    </row>
    <row r="781" spans="20:21" x14ac:dyDescent="0.25">
      <c r="T781" s="98"/>
      <c r="U781" s="99"/>
    </row>
    <row r="782" spans="20:21" x14ac:dyDescent="0.25">
      <c r="T782" s="98"/>
      <c r="U782" s="99"/>
    </row>
    <row r="783" spans="20:21" x14ac:dyDescent="0.25">
      <c r="T783" s="98"/>
      <c r="U783" s="99"/>
    </row>
    <row r="784" spans="20:21" x14ac:dyDescent="0.25">
      <c r="T784" s="98"/>
      <c r="U784" s="99"/>
    </row>
    <row r="785" spans="20:21" x14ac:dyDescent="0.25">
      <c r="T785" s="98"/>
      <c r="U785" s="99"/>
    </row>
    <row r="786" spans="20:21" x14ac:dyDescent="0.25">
      <c r="T786" s="98"/>
      <c r="U786" s="99"/>
    </row>
    <row r="787" spans="20:21" x14ac:dyDescent="0.25">
      <c r="T787" s="98"/>
      <c r="U787" s="99"/>
    </row>
    <row r="788" spans="20:21" x14ac:dyDescent="0.25">
      <c r="T788" s="98"/>
      <c r="U788" s="99"/>
    </row>
    <row r="789" spans="20:21" x14ac:dyDescent="0.25">
      <c r="T789" s="98"/>
      <c r="U789" s="99"/>
    </row>
    <row r="790" spans="20:21" x14ac:dyDescent="0.25">
      <c r="T790" s="98"/>
      <c r="U790" s="99"/>
    </row>
    <row r="791" spans="20:21" x14ac:dyDescent="0.25">
      <c r="T791" s="98"/>
      <c r="U791" s="99"/>
    </row>
    <row r="792" spans="20:21" x14ac:dyDescent="0.25">
      <c r="T792" s="98"/>
      <c r="U792" s="99"/>
    </row>
    <row r="793" spans="20:21" x14ac:dyDescent="0.25">
      <c r="T793" s="98"/>
      <c r="U793" s="99"/>
    </row>
    <row r="794" spans="20:21" x14ac:dyDescent="0.25">
      <c r="T794" s="98"/>
      <c r="U794" s="99"/>
    </row>
    <row r="795" spans="20:21" x14ac:dyDescent="0.25">
      <c r="T795" s="98"/>
      <c r="U795" s="99"/>
    </row>
    <row r="796" spans="20:21" x14ac:dyDescent="0.25">
      <c r="T796" s="98"/>
      <c r="U796" s="99"/>
    </row>
    <row r="797" spans="20:21" x14ac:dyDescent="0.25">
      <c r="T797" s="98"/>
      <c r="U797" s="99"/>
    </row>
    <row r="798" spans="20:21" x14ac:dyDescent="0.25">
      <c r="T798" s="98"/>
      <c r="U798" s="99"/>
    </row>
    <row r="799" spans="20:21" x14ac:dyDescent="0.25">
      <c r="T799" s="98"/>
      <c r="U799" s="99"/>
    </row>
    <row r="800" spans="20:21" x14ac:dyDescent="0.25">
      <c r="T800" s="98"/>
      <c r="U800" s="99"/>
    </row>
    <row r="801" spans="20:21" x14ac:dyDescent="0.25">
      <c r="T801" s="98"/>
      <c r="U801" s="99"/>
    </row>
    <row r="802" spans="20:21" x14ac:dyDescent="0.25">
      <c r="T802" s="98"/>
      <c r="U802" s="99"/>
    </row>
    <row r="803" spans="20:21" x14ac:dyDescent="0.25">
      <c r="T803" s="98"/>
      <c r="U803" s="99"/>
    </row>
    <row r="804" spans="20:21" x14ac:dyDescent="0.25">
      <c r="T804" s="98"/>
      <c r="U804" s="99"/>
    </row>
    <row r="805" spans="20:21" x14ac:dyDescent="0.25">
      <c r="T805" s="98"/>
      <c r="U805" s="99"/>
    </row>
    <row r="806" spans="20:21" x14ac:dyDescent="0.25">
      <c r="T806" s="98"/>
      <c r="U806" s="99"/>
    </row>
    <row r="807" spans="20:21" x14ac:dyDescent="0.25">
      <c r="T807" s="98"/>
      <c r="U807" s="99"/>
    </row>
    <row r="808" spans="20:21" x14ac:dyDescent="0.25">
      <c r="T808" s="98"/>
      <c r="U808" s="99"/>
    </row>
    <row r="809" spans="20:21" x14ac:dyDescent="0.25">
      <c r="T809" s="98"/>
      <c r="U809" s="99"/>
    </row>
    <row r="810" spans="20:21" x14ac:dyDescent="0.25">
      <c r="T810" s="98"/>
      <c r="U810" s="99"/>
    </row>
    <row r="811" spans="20:21" x14ac:dyDescent="0.25">
      <c r="T811" s="98"/>
      <c r="U811" s="99"/>
    </row>
    <row r="812" spans="20:21" x14ac:dyDescent="0.25">
      <c r="T812" s="98"/>
      <c r="U812" s="99"/>
    </row>
    <row r="813" spans="20:21" x14ac:dyDescent="0.25">
      <c r="T813" s="98"/>
      <c r="U813" s="99"/>
    </row>
    <row r="814" spans="20:21" x14ac:dyDescent="0.25">
      <c r="T814" s="98"/>
      <c r="U814" s="99"/>
    </row>
    <row r="815" spans="20:21" x14ac:dyDescent="0.25">
      <c r="T815" s="98"/>
      <c r="U815" s="99"/>
    </row>
    <row r="816" spans="20:21" x14ac:dyDescent="0.25">
      <c r="T816" s="98"/>
      <c r="U816" s="99"/>
    </row>
    <row r="817" spans="20:21" x14ac:dyDescent="0.25">
      <c r="T817" s="98"/>
      <c r="U817" s="99"/>
    </row>
    <row r="818" spans="20:21" x14ac:dyDescent="0.25">
      <c r="T818" s="98"/>
      <c r="U818" s="99"/>
    </row>
    <row r="819" spans="20:21" x14ac:dyDescent="0.25">
      <c r="T819" s="98"/>
      <c r="U819" s="99"/>
    </row>
    <row r="820" spans="20:21" x14ac:dyDescent="0.25">
      <c r="T820" s="98"/>
      <c r="U820" s="99"/>
    </row>
    <row r="821" spans="20:21" x14ac:dyDescent="0.25">
      <c r="T821" s="98"/>
      <c r="U821" s="99"/>
    </row>
    <row r="822" spans="20:21" x14ac:dyDescent="0.25">
      <c r="T822" s="98"/>
      <c r="U822" s="99"/>
    </row>
    <row r="823" spans="20:21" x14ac:dyDescent="0.25">
      <c r="T823" s="98"/>
      <c r="U823" s="99"/>
    </row>
    <row r="824" spans="20:21" x14ac:dyDescent="0.25">
      <c r="T824" s="98"/>
      <c r="U824" s="99"/>
    </row>
    <row r="825" spans="20:21" x14ac:dyDescent="0.25">
      <c r="T825" s="98"/>
      <c r="U825" s="99"/>
    </row>
    <row r="826" spans="20:21" x14ac:dyDescent="0.25">
      <c r="T826" s="98"/>
      <c r="U826" s="99"/>
    </row>
    <row r="827" spans="20:21" x14ac:dyDescent="0.25">
      <c r="T827" s="98"/>
      <c r="U827" s="99"/>
    </row>
    <row r="828" spans="20:21" x14ac:dyDescent="0.25">
      <c r="T828" s="98"/>
      <c r="U828" s="99"/>
    </row>
    <row r="829" spans="20:21" x14ac:dyDescent="0.25">
      <c r="T829" s="98"/>
      <c r="U829" s="99"/>
    </row>
    <row r="830" spans="20:21" x14ac:dyDescent="0.25">
      <c r="T830" s="98"/>
      <c r="U830" s="99"/>
    </row>
    <row r="831" spans="20:21" x14ac:dyDescent="0.25">
      <c r="T831" s="98"/>
      <c r="U831" s="99"/>
    </row>
    <row r="832" spans="20:21" x14ac:dyDescent="0.25">
      <c r="T832" s="98"/>
      <c r="U832" s="99"/>
    </row>
    <row r="833" spans="20:21" x14ac:dyDescent="0.25">
      <c r="T833" s="98"/>
      <c r="U833" s="99"/>
    </row>
    <row r="834" spans="20:21" x14ac:dyDescent="0.25">
      <c r="T834" s="98"/>
      <c r="U834" s="99"/>
    </row>
    <row r="835" spans="20:21" x14ac:dyDescent="0.25">
      <c r="T835" s="98"/>
      <c r="U835" s="99"/>
    </row>
    <row r="836" spans="20:21" x14ac:dyDescent="0.25">
      <c r="T836" s="98"/>
      <c r="U836" s="99"/>
    </row>
    <row r="837" spans="20:21" x14ac:dyDescent="0.25">
      <c r="T837" s="98"/>
      <c r="U837" s="99"/>
    </row>
    <row r="838" spans="20:21" x14ac:dyDescent="0.25">
      <c r="T838" s="98"/>
      <c r="U838" s="99"/>
    </row>
    <row r="839" spans="20:21" x14ac:dyDescent="0.25">
      <c r="T839" s="98"/>
      <c r="U839" s="99"/>
    </row>
    <row r="840" spans="20:21" x14ac:dyDescent="0.25">
      <c r="T840" s="98"/>
      <c r="U840" s="99"/>
    </row>
    <row r="841" spans="20:21" x14ac:dyDescent="0.25">
      <c r="T841" s="98"/>
      <c r="U841" s="99"/>
    </row>
    <row r="842" spans="20:21" x14ac:dyDescent="0.25">
      <c r="T842" s="98"/>
      <c r="U842" s="99"/>
    </row>
    <row r="843" spans="20:21" x14ac:dyDescent="0.25">
      <c r="T843" s="98"/>
      <c r="U843" s="99"/>
    </row>
    <row r="844" spans="20:21" x14ac:dyDescent="0.25">
      <c r="T844" s="98"/>
      <c r="U844" s="99"/>
    </row>
    <row r="845" spans="20:21" x14ac:dyDescent="0.25">
      <c r="T845" s="98"/>
      <c r="U845" s="99"/>
    </row>
    <row r="846" spans="20:21" x14ac:dyDescent="0.25">
      <c r="T846" s="98"/>
      <c r="U846" s="99"/>
    </row>
    <row r="847" spans="20:21" x14ac:dyDescent="0.25">
      <c r="T847" s="98"/>
      <c r="U847" s="99"/>
    </row>
    <row r="848" spans="20:21" x14ac:dyDescent="0.25">
      <c r="T848" s="98"/>
      <c r="U848" s="99"/>
    </row>
    <row r="849" spans="20:21" x14ac:dyDescent="0.25">
      <c r="T849" s="98"/>
      <c r="U849" s="99"/>
    </row>
    <row r="850" spans="20:21" x14ac:dyDescent="0.25">
      <c r="T850" s="98"/>
      <c r="U850" s="99"/>
    </row>
    <row r="851" spans="20:21" x14ac:dyDescent="0.25">
      <c r="T851" s="98"/>
      <c r="U851" s="99"/>
    </row>
    <row r="852" spans="20:21" x14ac:dyDescent="0.25">
      <c r="T852" s="98"/>
      <c r="U852" s="99"/>
    </row>
    <row r="853" spans="20:21" x14ac:dyDescent="0.25">
      <c r="T853" s="98"/>
      <c r="U853" s="99"/>
    </row>
    <row r="854" spans="20:21" x14ac:dyDescent="0.25">
      <c r="T854" s="98"/>
      <c r="U854" s="99"/>
    </row>
    <row r="855" spans="20:21" x14ac:dyDescent="0.25">
      <c r="T855" s="98"/>
      <c r="U855" s="99"/>
    </row>
    <row r="856" spans="20:21" x14ac:dyDescent="0.25">
      <c r="T856" s="98"/>
      <c r="U856" s="99"/>
    </row>
    <row r="857" spans="20:21" x14ac:dyDescent="0.25">
      <c r="T857" s="98"/>
      <c r="U857" s="99"/>
    </row>
    <row r="858" spans="20:21" x14ac:dyDescent="0.25">
      <c r="T858" s="98"/>
      <c r="U858" s="99"/>
    </row>
    <row r="859" spans="20:21" x14ac:dyDescent="0.25">
      <c r="T859" s="98"/>
      <c r="U859" s="99"/>
    </row>
    <row r="860" spans="20:21" x14ac:dyDescent="0.25">
      <c r="T860" s="98"/>
      <c r="U860" s="99"/>
    </row>
    <row r="861" spans="20:21" x14ac:dyDescent="0.25">
      <c r="T861" s="98"/>
      <c r="U861" s="99"/>
    </row>
    <row r="862" spans="20:21" x14ac:dyDescent="0.25">
      <c r="T862" s="98"/>
      <c r="U862" s="99"/>
    </row>
    <row r="863" spans="20:21" x14ac:dyDescent="0.25">
      <c r="T863" s="98"/>
      <c r="U863" s="99"/>
    </row>
    <row r="864" spans="20:21" x14ac:dyDescent="0.25">
      <c r="T864" s="98"/>
      <c r="U864" s="99"/>
    </row>
    <row r="865" spans="20:21" x14ac:dyDescent="0.25">
      <c r="T865" s="98"/>
      <c r="U865" s="99"/>
    </row>
    <row r="866" spans="20:21" x14ac:dyDescent="0.25">
      <c r="T866" s="98"/>
      <c r="U866" s="99"/>
    </row>
    <row r="867" spans="20:21" x14ac:dyDescent="0.25">
      <c r="T867" s="98"/>
      <c r="U867" s="99"/>
    </row>
    <row r="868" spans="20:21" x14ac:dyDescent="0.25">
      <c r="T868" s="98"/>
      <c r="U868" s="99"/>
    </row>
    <row r="869" spans="20:21" x14ac:dyDescent="0.25">
      <c r="T869" s="98"/>
      <c r="U869" s="99"/>
    </row>
    <row r="870" spans="20:21" x14ac:dyDescent="0.25">
      <c r="T870" s="98"/>
      <c r="U870" s="99"/>
    </row>
    <row r="871" spans="20:21" x14ac:dyDescent="0.25">
      <c r="T871" s="98"/>
      <c r="U871" s="99"/>
    </row>
    <row r="872" spans="20:21" x14ac:dyDescent="0.25">
      <c r="T872" s="98"/>
      <c r="U872" s="99"/>
    </row>
    <row r="873" spans="20:21" x14ac:dyDescent="0.25">
      <c r="T873" s="98"/>
      <c r="U873" s="99"/>
    </row>
    <row r="874" spans="20:21" x14ac:dyDescent="0.25">
      <c r="T874" s="98"/>
      <c r="U874" s="99"/>
    </row>
    <row r="875" spans="20:21" x14ac:dyDescent="0.25">
      <c r="T875" s="98"/>
      <c r="U875" s="99"/>
    </row>
    <row r="876" spans="20:21" x14ac:dyDescent="0.25">
      <c r="T876" s="98"/>
      <c r="U876" s="99"/>
    </row>
    <row r="877" spans="20:21" x14ac:dyDescent="0.25">
      <c r="T877" s="98"/>
      <c r="U877" s="99"/>
    </row>
    <row r="878" spans="20:21" x14ac:dyDescent="0.25">
      <c r="T878" s="98"/>
      <c r="U878" s="99"/>
    </row>
    <row r="879" spans="20:21" x14ac:dyDescent="0.25">
      <c r="T879" s="98"/>
      <c r="U879" s="99"/>
    </row>
    <row r="880" spans="20:21" x14ac:dyDescent="0.25">
      <c r="T880" s="98"/>
      <c r="U880" s="99"/>
    </row>
    <row r="881" spans="20:21" x14ac:dyDescent="0.25">
      <c r="T881" s="98"/>
      <c r="U881" s="99"/>
    </row>
    <row r="882" spans="20:21" x14ac:dyDescent="0.25">
      <c r="T882" s="98"/>
      <c r="U882" s="99"/>
    </row>
    <row r="883" spans="20:21" x14ac:dyDescent="0.25">
      <c r="T883" s="98"/>
      <c r="U883" s="99"/>
    </row>
    <row r="884" spans="20:21" x14ac:dyDescent="0.25">
      <c r="T884" s="98"/>
      <c r="U884" s="99"/>
    </row>
    <row r="885" spans="20:21" x14ac:dyDescent="0.25">
      <c r="T885" s="98"/>
      <c r="U885" s="99"/>
    </row>
    <row r="886" spans="20:21" x14ac:dyDescent="0.25">
      <c r="T886" s="98"/>
      <c r="U886" s="99"/>
    </row>
    <row r="887" spans="20:21" x14ac:dyDescent="0.25">
      <c r="T887" s="98"/>
      <c r="U887" s="99"/>
    </row>
    <row r="888" spans="20:21" x14ac:dyDescent="0.25">
      <c r="T888" s="98"/>
      <c r="U888" s="99"/>
    </row>
    <row r="889" spans="20:21" x14ac:dyDescent="0.25">
      <c r="T889" s="98"/>
      <c r="U889" s="99"/>
    </row>
    <row r="890" spans="20:21" x14ac:dyDescent="0.25">
      <c r="T890" s="98"/>
      <c r="U890" s="99"/>
    </row>
    <row r="891" spans="20:21" x14ac:dyDescent="0.25">
      <c r="T891" s="98"/>
      <c r="U891" s="99"/>
    </row>
    <row r="892" spans="20:21" x14ac:dyDescent="0.25">
      <c r="T892" s="98"/>
      <c r="U892" s="99"/>
    </row>
    <row r="893" spans="20:21" x14ac:dyDescent="0.25">
      <c r="T893" s="98"/>
      <c r="U893" s="99"/>
    </row>
    <row r="894" spans="20:21" x14ac:dyDescent="0.25">
      <c r="T894" s="98"/>
      <c r="U894" s="99"/>
    </row>
    <row r="895" spans="20:21" x14ac:dyDescent="0.25">
      <c r="T895" s="98"/>
      <c r="U895" s="99"/>
    </row>
    <row r="896" spans="20:21" x14ac:dyDescent="0.25">
      <c r="T896" s="98"/>
      <c r="U896" s="99"/>
    </row>
    <row r="897" spans="20:21" x14ac:dyDescent="0.25">
      <c r="T897" s="98"/>
      <c r="U897" s="99"/>
    </row>
    <row r="898" spans="20:21" x14ac:dyDescent="0.25">
      <c r="T898" s="98"/>
      <c r="U898" s="99"/>
    </row>
    <row r="899" spans="20:21" x14ac:dyDescent="0.25">
      <c r="T899" s="98"/>
      <c r="U899" s="99"/>
    </row>
    <row r="900" spans="20:21" x14ac:dyDescent="0.25">
      <c r="T900" s="98"/>
      <c r="U900" s="99"/>
    </row>
    <row r="901" spans="20:21" x14ac:dyDescent="0.25">
      <c r="T901" s="98"/>
      <c r="U901" s="99"/>
    </row>
    <row r="902" spans="20:21" x14ac:dyDescent="0.25">
      <c r="T902" s="98"/>
      <c r="U902" s="99"/>
    </row>
    <row r="903" spans="20:21" x14ac:dyDescent="0.25">
      <c r="T903" s="98"/>
      <c r="U903" s="99"/>
    </row>
    <row r="904" spans="20:21" x14ac:dyDescent="0.25">
      <c r="T904" s="98"/>
      <c r="U904" s="99"/>
    </row>
    <row r="905" spans="20:21" x14ac:dyDescent="0.25">
      <c r="T905" s="98"/>
      <c r="U905" s="99"/>
    </row>
    <row r="906" spans="20:21" x14ac:dyDescent="0.25">
      <c r="T906" s="98"/>
      <c r="U906" s="99"/>
    </row>
    <row r="907" spans="20:21" x14ac:dyDescent="0.25">
      <c r="T907" s="98"/>
      <c r="U907" s="99"/>
    </row>
    <row r="908" spans="20:21" x14ac:dyDescent="0.25">
      <c r="T908" s="98"/>
      <c r="U908" s="99"/>
    </row>
    <row r="909" spans="20:21" x14ac:dyDescent="0.25">
      <c r="T909" s="98"/>
      <c r="U909" s="99"/>
    </row>
    <row r="910" spans="20:21" x14ac:dyDescent="0.25">
      <c r="T910" s="98"/>
      <c r="U910" s="99"/>
    </row>
    <row r="911" spans="20:21" x14ac:dyDescent="0.25">
      <c r="T911" s="98"/>
      <c r="U911" s="99"/>
    </row>
    <row r="912" spans="20:21" x14ac:dyDescent="0.25">
      <c r="T912" s="98"/>
      <c r="U912" s="99"/>
    </row>
    <row r="913" spans="20:21" x14ac:dyDescent="0.25">
      <c r="T913" s="98"/>
      <c r="U913" s="99"/>
    </row>
    <row r="914" spans="20:21" x14ac:dyDescent="0.25">
      <c r="T914" s="98"/>
      <c r="U914" s="99"/>
    </row>
    <row r="915" spans="20:21" x14ac:dyDescent="0.25">
      <c r="T915" s="98"/>
      <c r="U915" s="99"/>
    </row>
    <row r="916" spans="20:21" x14ac:dyDescent="0.25">
      <c r="T916" s="98"/>
      <c r="U916" s="99"/>
    </row>
    <row r="917" spans="20:21" x14ac:dyDescent="0.25">
      <c r="T917" s="98"/>
      <c r="U917" s="99"/>
    </row>
    <row r="918" spans="20:21" x14ac:dyDescent="0.25">
      <c r="T918" s="98"/>
      <c r="U918" s="99"/>
    </row>
    <row r="919" spans="20:21" x14ac:dyDescent="0.25">
      <c r="T919" s="98"/>
      <c r="U919" s="99"/>
    </row>
    <row r="920" spans="20:21" x14ac:dyDescent="0.25">
      <c r="T920" s="98"/>
      <c r="U920" s="99"/>
    </row>
    <row r="921" spans="20:21" x14ac:dyDescent="0.25">
      <c r="T921" s="98"/>
      <c r="U921" s="99"/>
    </row>
    <row r="922" spans="20:21" x14ac:dyDescent="0.25">
      <c r="T922" s="98"/>
      <c r="U922" s="99"/>
    </row>
    <row r="923" spans="20:21" x14ac:dyDescent="0.25">
      <c r="T923" s="98"/>
      <c r="U923" s="99"/>
    </row>
    <row r="924" spans="20:21" x14ac:dyDescent="0.25">
      <c r="T924" s="98"/>
      <c r="U924" s="99"/>
    </row>
    <row r="925" spans="20:21" x14ac:dyDescent="0.25">
      <c r="T925" s="98"/>
      <c r="U925" s="99"/>
    </row>
    <row r="926" spans="20:21" x14ac:dyDescent="0.25">
      <c r="T926" s="98"/>
      <c r="U926" s="99"/>
    </row>
    <row r="927" spans="20:21" x14ac:dyDescent="0.25">
      <c r="T927" s="98"/>
      <c r="U927" s="99"/>
    </row>
    <row r="928" spans="20:21" x14ac:dyDescent="0.25">
      <c r="T928" s="98"/>
      <c r="U928" s="99"/>
    </row>
    <row r="929" spans="20:21" x14ac:dyDescent="0.25">
      <c r="T929" s="98"/>
      <c r="U929" s="99"/>
    </row>
    <row r="930" spans="20:21" x14ac:dyDescent="0.25">
      <c r="T930" s="98"/>
      <c r="U930" s="99"/>
    </row>
    <row r="931" spans="20:21" x14ac:dyDescent="0.25">
      <c r="T931" s="98"/>
      <c r="U931" s="99"/>
    </row>
    <row r="932" spans="20:21" x14ac:dyDescent="0.25">
      <c r="T932" s="98"/>
      <c r="U932" s="99"/>
    </row>
    <row r="933" spans="20:21" x14ac:dyDescent="0.25">
      <c r="T933" s="98"/>
      <c r="U933" s="99"/>
    </row>
    <row r="934" spans="20:21" x14ac:dyDescent="0.25">
      <c r="T934" s="98"/>
      <c r="U934" s="99"/>
    </row>
    <row r="935" spans="20:21" x14ac:dyDescent="0.25">
      <c r="T935" s="98"/>
      <c r="U935" s="99"/>
    </row>
    <row r="936" spans="20:21" x14ac:dyDescent="0.25">
      <c r="T936" s="98"/>
      <c r="U936" s="99"/>
    </row>
    <row r="937" spans="20:21" x14ac:dyDescent="0.25">
      <c r="T937" s="98"/>
      <c r="U937" s="99"/>
    </row>
    <row r="938" spans="20:21" x14ac:dyDescent="0.25">
      <c r="T938" s="98"/>
      <c r="U938" s="99"/>
    </row>
    <row r="939" spans="20:21" x14ac:dyDescent="0.25">
      <c r="T939" s="98"/>
      <c r="U939" s="99"/>
    </row>
    <row r="940" spans="20:21" x14ac:dyDescent="0.25">
      <c r="T940" s="98"/>
      <c r="U940" s="99"/>
    </row>
    <row r="941" spans="20:21" x14ac:dyDescent="0.25">
      <c r="T941" s="98"/>
      <c r="U941" s="99"/>
    </row>
    <row r="942" spans="20:21" x14ac:dyDescent="0.25">
      <c r="T942" s="98"/>
      <c r="U942" s="99"/>
    </row>
    <row r="943" spans="20:21" x14ac:dyDescent="0.25">
      <c r="T943" s="98"/>
      <c r="U943" s="99"/>
    </row>
    <row r="944" spans="20:21" x14ac:dyDescent="0.25">
      <c r="T944" s="98"/>
      <c r="U944" s="99"/>
    </row>
    <row r="945" spans="20:21" x14ac:dyDescent="0.25">
      <c r="T945" s="98"/>
      <c r="U945" s="99"/>
    </row>
    <row r="946" spans="20:21" x14ac:dyDescent="0.25">
      <c r="T946" s="98"/>
      <c r="U946" s="99"/>
    </row>
    <row r="947" spans="20:21" x14ac:dyDescent="0.25">
      <c r="T947" s="98"/>
      <c r="U947" s="99"/>
    </row>
    <row r="948" spans="20:21" x14ac:dyDescent="0.25">
      <c r="T948" s="98"/>
      <c r="U948" s="99"/>
    </row>
    <row r="949" spans="20:21" x14ac:dyDescent="0.25">
      <c r="T949" s="98"/>
      <c r="U949" s="99"/>
    </row>
    <row r="950" spans="20:21" x14ac:dyDescent="0.25">
      <c r="T950" s="98"/>
      <c r="U950" s="99"/>
    </row>
    <row r="951" spans="20:21" x14ac:dyDescent="0.25">
      <c r="T951" s="98"/>
      <c r="U951" s="99"/>
    </row>
    <row r="952" spans="20:21" x14ac:dyDescent="0.25">
      <c r="T952" s="98"/>
      <c r="U952" s="99"/>
    </row>
    <row r="953" spans="20:21" x14ac:dyDescent="0.25">
      <c r="T953" s="98"/>
      <c r="U953" s="99"/>
    </row>
    <row r="954" spans="20:21" x14ac:dyDescent="0.25">
      <c r="T954" s="98"/>
      <c r="U954" s="99"/>
    </row>
    <row r="955" spans="20:21" x14ac:dyDescent="0.25">
      <c r="T955" s="98"/>
      <c r="U955" s="99"/>
    </row>
    <row r="956" spans="20:21" x14ac:dyDescent="0.25">
      <c r="T956" s="98"/>
      <c r="U956" s="99"/>
    </row>
    <row r="957" spans="20:21" x14ac:dyDescent="0.25">
      <c r="T957" s="98"/>
      <c r="U957" s="99"/>
    </row>
    <row r="958" spans="20:21" x14ac:dyDescent="0.25">
      <c r="T958" s="98"/>
      <c r="U958" s="99"/>
    </row>
    <row r="959" spans="20:21" x14ac:dyDescent="0.25">
      <c r="T959" s="98"/>
      <c r="U959" s="99"/>
    </row>
    <row r="960" spans="20:21" x14ac:dyDescent="0.25">
      <c r="T960" s="98"/>
      <c r="U960" s="99"/>
    </row>
    <row r="961" spans="20:21" x14ac:dyDescent="0.25">
      <c r="T961" s="98"/>
      <c r="U961" s="99"/>
    </row>
    <row r="962" spans="20:21" x14ac:dyDescent="0.25">
      <c r="T962" s="98"/>
      <c r="U962" s="99"/>
    </row>
    <row r="963" spans="20:21" x14ac:dyDescent="0.25">
      <c r="T963" s="98"/>
      <c r="U963" s="99"/>
    </row>
    <row r="964" spans="20:21" x14ac:dyDescent="0.25">
      <c r="T964" s="98"/>
      <c r="U964" s="99"/>
    </row>
    <row r="965" spans="20:21" x14ac:dyDescent="0.25">
      <c r="T965" s="98"/>
      <c r="U965" s="99"/>
    </row>
    <row r="966" spans="20:21" x14ac:dyDescent="0.25">
      <c r="T966" s="98"/>
      <c r="U966" s="99"/>
    </row>
    <row r="967" spans="20:21" x14ac:dyDescent="0.25">
      <c r="T967" s="98"/>
      <c r="U967" s="99"/>
    </row>
    <row r="968" spans="20:21" x14ac:dyDescent="0.25">
      <c r="T968" s="98"/>
      <c r="U968" s="99"/>
    </row>
    <row r="969" spans="20:21" x14ac:dyDescent="0.25">
      <c r="T969" s="98"/>
      <c r="U969" s="99"/>
    </row>
    <row r="970" spans="20:21" x14ac:dyDescent="0.25">
      <c r="T970" s="98"/>
      <c r="U970" s="99"/>
    </row>
    <row r="971" spans="20:21" x14ac:dyDescent="0.25">
      <c r="T971" s="98"/>
      <c r="U971" s="99"/>
    </row>
    <row r="972" spans="20:21" x14ac:dyDescent="0.25">
      <c r="T972" s="98"/>
      <c r="U972" s="99"/>
    </row>
    <row r="973" spans="20:21" x14ac:dyDescent="0.25">
      <c r="T973" s="98"/>
      <c r="U973" s="99"/>
    </row>
    <row r="974" spans="20:21" x14ac:dyDescent="0.25">
      <c r="T974" s="98"/>
      <c r="U974" s="99"/>
    </row>
    <row r="975" spans="20:21" x14ac:dyDescent="0.25">
      <c r="T975" s="98"/>
      <c r="U975" s="99"/>
    </row>
    <row r="976" spans="20:21" x14ac:dyDescent="0.25">
      <c r="T976" s="98"/>
      <c r="U976" s="99"/>
    </row>
    <row r="977" spans="20:21" x14ac:dyDescent="0.25">
      <c r="T977" s="98"/>
      <c r="U977" s="99"/>
    </row>
    <row r="978" spans="20:21" x14ac:dyDescent="0.25">
      <c r="T978" s="98"/>
      <c r="U978" s="99"/>
    </row>
    <row r="979" spans="20:21" x14ac:dyDescent="0.25">
      <c r="T979" s="98"/>
      <c r="U979" s="99"/>
    </row>
    <row r="980" spans="20:21" x14ac:dyDescent="0.25">
      <c r="T980" s="98"/>
      <c r="U980" s="99"/>
    </row>
    <row r="981" spans="20:21" x14ac:dyDescent="0.25">
      <c r="T981" s="98"/>
      <c r="U981" s="99"/>
    </row>
    <row r="982" spans="20:21" x14ac:dyDescent="0.25">
      <c r="T982" s="98"/>
      <c r="U982" s="99"/>
    </row>
    <row r="983" spans="20:21" x14ac:dyDescent="0.25">
      <c r="T983" s="98"/>
      <c r="U983" s="99"/>
    </row>
    <row r="984" spans="20:21" x14ac:dyDescent="0.25">
      <c r="T984" s="98"/>
      <c r="U984" s="99"/>
    </row>
    <row r="985" spans="20:21" x14ac:dyDescent="0.25">
      <c r="T985" s="98"/>
      <c r="U985" s="99"/>
    </row>
    <row r="986" spans="20:21" x14ac:dyDescent="0.25">
      <c r="T986" s="98"/>
      <c r="U986" s="99"/>
    </row>
    <row r="987" spans="20:21" x14ac:dyDescent="0.25">
      <c r="T987" s="98"/>
      <c r="U987" s="99"/>
    </row>
    <row r="988" spans="20:21" x14ac:dyDescent="0.25">
      <c r="T988" s="98"/>
      <c r="U988" s="99"/>
    </row>
    <row r="989" spans="20:21" x14ac:dyDescent="0.25">
      <c r="T989" s="98"/>
      <c r="U989" s="99"/>
    </row>
    <row r="990" spans="20:21" x14ac:dyDescent="0.25">
      <c r="T990" s="98"/>
      <c r="U990" s="99"/>
    </row>
    <row r="991" spans="20:21" x14ac:dyDescent="0.25">
      <c r="T991" s="98"/>
      <c r="U991" s="99"/>
    </row>
    <row r="992" spans="20:21" x14ac:dyDescent="0.25">
      <c r="T992" s="98"/>
      <c r="U992" s="99"/>
    </row>
    <row r="993" spans="20:21" x14ac:dyDescent="0.25">
      <c r="T993" s="98"/>
      <c r="U993" s="99"/>
    </row>
    <row r="994" spans="20:21" x14ac:dyDescent="0.25">
      <c r="T994" s="98"/>
      <c r="U994" s="99"/>
    </row>
    <row r="995" spans="20:21" x14ac:dyDescent="0.25">
      <c r="T995" s="98"/>
      <c r="U995" s="99"/>
    </row>
    <row r="996" spans="20:21" x14ac:dyDescent="0.25">
      <c r="T996" s="98"/>
      <c r="U996" s="99"/>
    </row>
    <row r="997" spans="20:21" x14ac:dyDescent="0.25">
      <c r="T997" s="98"/>
      <c r="U997" s="99"/>
    </row>
    <row r="998" spans="20:21" x14ac:dyDescent="0.25">
      <c r="T998" s="98"/>
      <c r="U998" s="99"/>
    </row>
    <row r="999" spans="20:21" x14ac:dyDescent="0.25">
      <c r="T999" s="98"/>
      <c r="U999" s="99"/>
    </row>
    <row r="1000" spans="20:21" x14ac:dyDescent="0.25">
      <c r="T1000" s="98"/>
      <c r="U1000" s="99"/>
    </row>
    <row r="1001" spans="20:21" x14ac:dyDescent="0.25">
      <c r="T1001" s="98"/>
      <c r="U1001" s="99"/>
    </row>
    <row r="1002" spans="20:21" x14ac:dyDescent="0.25">
      <c r="T1002" s="98"/>
      <c r="U1002" s="99"/>
    </row>
    <row r="1003" spans="20:21" x14ac:dyDescent="0.25">
      <c r="T1003" s="98"/>
      <c r="U1003" s="99"/>
    </row>
    <row r="1004" spans="20:21" x14ac:dyDescent="0.25">
      <c r="T1004" s="98"/>
      <c r="U1004" s="99"/>
    </row>
    <row r="1005" spans="20:21" x14ac:dyDescent="0.25">
      <c r="T1005" s="98"/>
      <c r="U1005" s="99"/>
    </row>
    <row r="1006" spans="20:21" x14ac:dyDescent="0.25">
      <c r="T1006" s="98"/>
      <c r="U1006" s="99"/>
    </row>
    <row r="1007" spans="20:21" x14ac:dyDescent="0.25">
      <c r="T1007" s="98"/>
      <c r="U1007" s="99"/>
    </row>
    <row r="1008" spans="20:21" x14ac:dyDescent="0.25">
      <c r="T1008" s="98"/>
      <c r="U1008" s="99"/>
    </row>
    <row r="1009" spans="20:21" x14ac:dyDescent="0.25">
      <c r="T1009" s="98"/>
      <c r="U1009" s="99"/>
    </row>
    <row r="1010" spans="20:21" x14ac:dyDescent="0.25">
      <c r="T1010" s="98"/>
      <c r="U1010" s="99"/>
    </row>
    <row r="1011" spans="20:21" x14ac:dyDescent="0.25">
      <c r="T1011" s="98"/>
      <c r="U1011" s="99"/>
    </row>
    <row r="1012" spans="20:21" x14ac:dyDescent="0.25">
      <c r="T1012" s="98"/>
      <c r="U1012" s="99"/>
    </row>
    <row r="1013" spans="20:21" x14ac:dyDescent="0.25">
      <c r="T1013" s="98"/>
      <c r="U1013" s="99"/>
    </row>
    <row r="1014" spans="20:21" x14ac:dyDescent="0.25">
      <c r="T1014" s="98"/>
      <c r="U1014" s="99"/>
    </row>
    <row r="1015" spans="20:21" x14ac:dyDescent="0.25">
      <c r="T1015" s="98"/>
      <c r="U1015" s="99"/>
    </row>
    <row r="1016" spans="20:21" x14ac:dyDescent="0.25">
      <c r="T1016" s="98"/>
      <c r="U1016" s="99"/>
    </row>
    <row r="1017" spans="20:21" x14ac:dyDescent="0.25">
      <c r="T1017" s="98"/>
      <c r="U1017" s="99"/>
    </row>
    <row r="1018" spans="20:21" x14ac:dyDescent="0.25">
      <c r="T1018" s="98"/>
      <c r="U1018" s="99"/>
    </row>
    <row r="1019" spans="20:21" x14ac:dyDescent="0.25">
      <c r="T1019" s="98"/>
      <c r="U1019" s="99"/>
    </row>
    <row r="1020" spans="20:21" x14ac:dyDescent="0.25">
      <c r="T1020" s="98"/>
      <c r="U1020" s="99"/>
    </row>
    <row r="1021" spans="20:21" x14ac:dyDescent="0.25">
      <c r="T1021" s="98"/>
      <c r="U1021" s="99"/>
    </row>
    <row r="1022" spans="20:21" x14ac:dyDescent="0.25">
      <c r="T1022" s="98"/>
      <c r="U1022" s="99"/>
    </row>
    <row r="1023" spans="20:21" x14ac:dyDescent="0.25">
      <c r="T1023" s="98"/>
      <c r="U1023" s="99"/>
    </row>
    <row r="1024" spans="20:21" x14ac:dyDescent="0.25">
      <c r="T1024" s="98"/>
      <c r="U1024" s="99"/>
    </row>
    <row r="1025" spans="20:21" x14ac:dyDescent="0.25">
      <c r="T1025" s="98"/>
      <c r="U1025" s="99"/>
    </row>
    <row r="1026" spans="20:21" x14ac:dyDescent="0.25">
      <c r="T1026" s="98"/>
      <c r="U1026" s="99"/>
    </row>
    <row r="1027" spans="20:21" x14ac:dyDescent="0.25">
      <c r="T1027" s="98"/>
      <c r="U1027" s="99"/>
    </row>
    <row r="1028" spans="20:21" x14ac:dyDescent="0.25">
      <c r="T1028" s="98"/>
      <c r="U1028" s="99"/>
    </row>
    <row r="1029" spans="20:21" x14ac:dyDescent="0.25">
      <c r="T1029" s="98"/>
      <c r="U1029" s="99"/>
    </row>
    <row r="1030" spans="20:21" x14ac:dyDescent="0.25">
      <c r="T1030" s="98"/>
      <c r="U1030" s="99"/>
    </row>
    <row r="1031" spans="20:21" x14ac:dyDescent="0.25">
      <c r="T1031" s="98"/>
      <c r="U1031" s="99"/>
    </row>
    <row r="1032" spans="20:21" x14ac:dyDescent="0.25">
      <c r="T1032" s="98"/>
      <c r="U1032" s="99"/>
    </row>
    <row r="1033" spans="20:21" x14ac:dyDescent="0.25">
      <c r="T1033" s="98"/>
      <c r="U1033" s="99"/>
    </row>
    <row r="1034" spans="20:21" x14ac:dyDescent="0.25">
      <c r="T1034" s="98"/>
      <c r="U1034" s="99"/>
    </row>
    <row r="1035" spans="20:21" x14ac:dyDescent="0.25">
      <c r="T1035" s="98"/>
      <c r="U1035" s="99"/>
    </row>
    <row r="1036" spans="20:21" x14ac:dyDescent="0.25">
      <c r="T1036" s="98"/>
      <c r="U1036" s="99"/>
    </row>
    <row r="1037" spans="20:21" x14ac:dyDescent="0.25">
      <c r="T1037" s="98"/>
      <c r="U1037" s="99"/>
    </row>
    <row r="1038" spans="20:21" x14ac:dyDescent="0.25">
      <c r="T1038" s="98"/>
      <c r="U1038" s="99"/>
    </row>
    <row r="1039" spans="20:21" x14ac:dyDescent="0.25">
      <c r="T1039" s="98"/>
      <c r="U1039" s="99"/>
    </row>
    <row r="1040" spans="20:21" x14ac:dyDescent="0.25">
      <c r="T1040" s="98"/>
      <c r="U1040" s="99"/>
    </row>
    <row r="1041" spans="20:21" x14ac:dyDescent="0.25">
      <c r="T1041" s="98"/>
      <c r="U1041" s="99"/>
    </row>
    <row r="1042" spans="20:21" x14ac:dyDescent="0.25">
      <c r="T1042" s="98"/>
      <c r="U1042" s="99"/>
    </row>
    <row r="1043" spans="20:21" x14ac:dyDescent="0.25">
      <c r="T1043" s="98"/>
      <c r="U1043" s="99"/>
    </row>
    <row r="1044" spans="20:21" x14ac:dyDescent="0.25">
      <c r="T1044" s="98"/>
      <c r="U1044" s="99"/>
    </row>
    <row r="1045" spans="20:21" x14ac:dyDescent="0.25">
      <c r="T1045" s="98"/>
      <c r="U1045" s="99"/>
    </row>
    <row r="1046" spans="20:21" x14ac:dyDescent="0.25">
      <c r="T1046" s="98"/>
      <c r="U1046" s="99"/>
    </row>
    <row r="1047" spans="20:21" x14ac:dyDescent="0.25">
      <c r="T1047" s="98"/>
      <c r="U1047" s="99"/>
    </row>
    <row r="1048" spans="20:21" x14ac:dyDescent="0.25">
      <c r="T1048" s="98"/>
      <c r="U1048" s="99"/>
    </row>
    <row r="1049" spans="20:21" x14ac:dyDescent="0.25">
      <c r="T1049" s="98"/>
      <c r="U1049" s="99"/>
    </row>
    <row r="1050" spans="20:21" x14ac:dyDescent="0.25">
      <c r="T1050" s="98"/>
      <c r="U1050" s="99"/>
    </row>
    <row r="1051" spans="20:21" x14ac:dyDescent="0.25">
      <c r="T1051" s="98"/>
      <c r="U1051" s="99"/>
    </row>
    <row r="1052" spans="20:21" x14ac:dyDescent="0.25">
      <c r="T1052" s="98"/>
      <c r="U1052" s="99"/>
    </row>
    <row r="1053" spans="20:21" x14ac:dyDescent="0.25">
      <c r="T1053" s="98"/>
      <c r="U1053" s="99"/>
    </row>
    <row r="1054" spans="20:21" x14ac:dyDescent="0.25">
      <c r="T1054" s="98"/>
      <c r="U1054" s="99"/>
    </row>
    <row r="1055" spans="20:21" x14ac:dyDescent="0.25">
      <c r="T1055" s="98"/>
      <c r="U1055" s="99"/>
    </row>
    <row r="1056" spans="20:21" x14ac:dyDescent="0.25">
      <c r="T1056" s="98"/>
      <c r="U1056" s="99"/>
    </row>
    <row r="1057" spans="20:21" x14ac:dyDescent="0.25">
      <c r="T1057" s="98"/>
      <c r="U1057" s="99"/>
    </row>
    <row r="1058" spans="20:21" x14ac:dyDescent="0.25">
      <c r="T1058" s="98"/>
      <c r="U1058" s="99"/>
    </row>
    <row r="1059" spans="20:21" x14ac:dyDescent="0.25">
      <c r="T1059" s="98"/>
      <c r="U1059" s="99"/>
    </row>
    <row r="1060" spans="20:21" x14ac:dyDescent="0.25">
      <c r="T1060" s="98"/>
      <c r="U1060" s="99"/>
    </row>
    <row r="1061" spans="20:21" x14ac:dyDescent="0.25">
      <c r="T1061" s="98"/>
      <c r="U1061" s="99"/>
    </row>
    <row r="1062" spans="20:21" x14ac:dyDescent="0.25">
      <c r="T1062" s="98"/>
      <c r="U1062" s="99"/>
    </row>
    <row r="1063" spans="20:21" x14ac:dyDescent="0.25">
      <c r="T1063" s="98"/>
      <c r="U1063" s="99"/>
    </row>
    <row r="1064" spans="20:21" x14ac:dyDescent="0.25">
      <c r="T1064" s="98"/>
      <c r="U1064" s="99"/>
    </row>
    <row r="1065" spans="20:21" x14ac:dyDescent="0.25">
      <c r="T1065" s="98"/>
      <c r="U1065" s="99"/>
    </row>
    <row r="1066" spans="20:21" x14ac:dyDescent="0.25">
      <c r="T1066" s="98"/>
      <c r="U1066" s="99"/>
    </row>
    <row r="1067" spans="20:21" x14ac:dyDescent="0.25">
      <c r="T1067" s="98"/>
      <c r="U1067" s="99"/>
    </row>
    <row r="1068" spans="20:21" x14ac:dyDescent="0.25">
      <c r="T1068" s="98"/>
      <c r="U1068" s="99"/>
    </row>
    <row r="1069" spans="20:21" x14ac:dyDescent="0.25">
      <c r="T1069" s="98"/>
      <c r="U1069" s="99"/>
    </row>
    <row r="1070" spans="20:21" x14ac:dyDescent="0.25">
      <c r="T1070" s="98"/>
      <c r="U1070" s="99"/>
    </row>
    <row r="1071" spans="20:21" x14ac:dyDescent="0.25">
      <c r="T1071" s="98"/>
      <c r="U1071" s="99"/>
    </row>
    <row r="1072" spans="20:21" x14ac:dyDescent="0.25">
      <c r="T1072" s="98"/>
      <c r="U1072" s="99"/>
    </row>
    <row r="1073" spans="20:21" x14ac:dyDescent="0.25">
      <c r="T1073" s="98"/>
      <c r="U1073" s="99"/>
    </row>
    <row r="1074" spans="20:21" x14ac:dyDescent="0.25">
      <c r="T1074" s="98"/>
      <c r="U1074" s="99"/>
    </row>
    <row r="1075" spans="20:21" x14ac:dyDescent="0.25">
      <c r="T1075" s="98"/>
      <c r="U1075" s="99"/>
    </row>
    <row r="1076" spans="20:21" x14ac:dyDescent="0.25">
      <c r="T1076" s="98"/>
      <c r="U1076" s="99"/>
    </row>
    <row r="1077" spans="20:21" x14ac:dyDescent="0.25">
      <c r="T1077" s="98"/>
      <c r="U1077" s="99"/>
    </row>
    <row r="1078" spans="20:21" x14ac:dyDescent="0.25">
      <c r="T1078" s="98"/>
      <c r="U1078" s="99"/>
    </row>
    <row r="1079" spans="20:21" x14ac:dyDescent="0.25">
      <c r="T1079" s="98"/>
      <c r="U1079" s="99"/>
    </row>
    <row r="1080" spans="20:21" x14ac:dyDescent="0.25">
      <c r="T1080" s="98"/>
      <c r="U1080" s="99"/>
    </row>
    <row r="1081" spans="20:21" x14ac:dyDescent="0.25">
      <c r="T1081" s="98"/>
      <c r="U1081" s="99"/>
    </row>
    <row r="1082" spans="20:21" x14ac:dyDescent="0.25">
      <c r="T1082" s="98"/>
      <c r="U1082" s="99"/>
    </row>
    <row r="1083" spans="20:21" x14ac:dyDescent="0.25">
      <c r="T1083" s="98"/>
      <c r="U1083" s="99"/>
    </row>
    <row r="1084" spans="20:21" x14ac:dyDescent="0.25">
      <c r="T1084" s="98"/>
      <c r="U1084" s="99"/>
    </row>
    <row r="1085" spans="20:21" x14ac:dyDescent="0.25">
      <c r="T1085" s="98"/>
      <c r="U1085" s="99"/>
    </row>
    <row r="1086" spans="20:21" x14ac:dyDescent="0.25">
      <c r="T1086" s="98"/>
      <c r="U1086" s="99"/>
    </row>
    <row r="1087" spans="20:21" x14ac:dyDescent="0.25">
      <c r="T1087" s="98"/>
      <c r="U1087" s="99"/>
    </row>
    <row r="1088" spans="20:21" x14ac:dyDescent="0.25">
      <c r="T1088" s="98"/>
      <c r="U1088" s="99"/>
    </row>
    <row r="1089" spans="20:21" x14ac:dyDescent="0.25">
      <c r="T1089" s="98"/>
      <c r="U1089" s="99"/>
    </row>
    <row r="1090" spans="20:21" x14ac:dyDescent="0.25">
      <c r="T1090" s="98"/>
      <c r="U1090" s="99"/>
    </row>
    <row r="1091" spans="20:21" x14ac:dyDescent="0.25">
      <c r="T1091" s="98"/>
      <c r="U1091" s="99"/>
    </row>
    <row r="1092" spans="20:21" x14ac:dyDescent="0.25">
      <c r="T1092" s="98"/>
      <c r="U1092" s="99"/>
    </row>
    <row r="1093" spans="20:21" x14ac:dyDescent="0.25">
      <c r="T1093" s="98"/>
      <c r="U1093" s="99"/>
    </row>
    <row r="1094" spans="20:21" x14ac:dyDescent="0.25">
      <c r="T1094" s="98"/>
      <c r="U1094" s="99"/>
    </row>
    <row r="1095" spans="20:21" x14ac:dyDescent="0.25">
      <c r="T1095" s="98"/>
      <c r="U1095" s="99"/>
    </row>
    <row r="1096" spans="20:21" x14ac:dyDescent="0.25">
      <c r="T1096" s="98"/>
      <c r="U1096" s="99"/>
    </row>
    <row r="1097" spans="20:21" x14ac:dyDescent="0.25">
      <c r="T1097" s="98"/>
      <c r="U1097" s="99"/>
    </row>
    <row r="1098" spans="20:21" x14ac:dyDescent="0.25">
      <c r="T1098" s="98"/>
      <c r="U1098" s="99"/>
    </row>
    <row r="1099" spans="20:21" x14ac:dyDescent="0.25">
      <c r="T1099" s="98"/>
      <c r="U1099" s="99"/>
    </row>
    <row r="1100" spans="20:21" x14ac:dyDescent="0.25">
      <c r="T1100" s="98"/>
      <c r="U1100" s="99"/>
    </row>
    <row r="1101" spans="20:21" x14ac:dyDescent="0.25">
      <c r="T1101" s="98"/>
      <c r="U1101" s="99"/>
    </row>
    <row r="1102" spans="20:21" x14ac:dyDescent="0.25">
      <c r="T1102" s="98"/>
      <c r="U1102" s="99"/>
    </row>
    <row r="1103" spans="20:21" x14ac:dyDescent="0.25">
      <c r="T1103" s="98"/>
      <c r="U1103" s="99"/>
    </row>
    <row r="1104" spans="20:21" x14ac:dyDescent="0.25">
      <c r="T1104" s="98"/>
      <c r="U1104" s="99"/>
    </row>
    <row r="1105" spans="20:21" x14ac:dyDescent="0.25">
      <c r="T1105" s="98"/>
      <c r="U1105" s="99"/>
    </row>
    <row r="1106" spans="20:21" x14ac:dyDescent="0.25">
      <c r="T1106" s="98"/>
      <c r="U1106" s="99"/>
    </row>
    <row r="1107" spans="20:21" x14ac:dyDescent="0.25">
      <c r="T1107" s="98"/>
      <c r="U1107" s="99"/>
    </row>
    <row r="1108" spans="20:21" x14ac:dyDescent="0.25">
      <c r="T1108" s="98"/>
      <c r="U1108" s="99"/>
    </row>
    <row r="1109" spans="20:21" x14ac:dyDescent="0.25">
      <c r="T1109" s="98"/>
      <c r="U1109" s="99"/>
    </row>
    <row r="1110" spans="20:21" x14ac:dyDescent="0.25">
      <c r="T1110" s="98"/>
      <c r="U1110" s="99"/>
    </row>
    <row r="1111" spans="20:21" x14ac:dyDescent="0.25">
      <c r="T1111" s="98"/>
      <c r="U1111" s="99"/>
    </row>
    <row r="1112" spans="20:21" x14ac:dyDescent="0.25">
      <c r="T1112" s="98"/>
      <c r="U1112" s="99"/>
    </row>
    <row r="1113" spans="20:21" x14ac:dyDescent="0.25">
      <c r="T1113" s="98"/>
      <c r="U1113" s="99"/>
    </row>
    <row r="1114" spans="20:21" x14ac:dyDescent="0.25">
      <c r="T1114" s="98"/>
      <c r="U1114" s="99"/>
    </row>
    <row r="1115" spans="20:21" x14ac:dyDescent="0.25">
      <c r="T1115" s="98"/>
      <c r="U1115" s="99"/>
    </row>
    <row r="1116" spans="20:21" x14ac:dyDescent="0.25">
      <c r="T1116" s="98"/>
      <c r="U1116" s="99"/>
    </row>
    <row r="1117" spans="20:21" x14ac:dyDescent="0.25">
      <c r="T1117" s="98"/>
      <c r="U1117" s="99"/>
    </row>
    <row r="1118" spans="20:21" x14ac:dyDescent="0.25">
      <c r="T1118" s="98"/>
      <c r="U1118" s="99"/>
    </row>
    <row r="1119" spans="20:21" x14ac:dyDescent="0.25">
      <c r="T1119" s="98"/>
      <c r="U1119" s="99"/>
    </row>
    <row r="1120" spans="20:21" x14ac:dyDescent="0.25">
      <c r="T1120" s="98"/>
      <c r="U1120" s="99"/>
    </row>
    <row r="1121" spans="20:21" x14ac:dyDescent="0.25">
      <c r="T1121" s="98"/>
      <c r="U1121" s="99"/>
    </row>
    <row r="1122" spans="20:21" x14ac:dyDescent="0.25">
      <c r="T1122" s="98"/>
      <c r="U1122" s="99"/>
    </row>
    <row r="1123" spans="20:21" x14ac:dyDescent="0.25">
      <c r="T1123" s="98"/>
      <c r="U1123" s="99"/>
    </row>
    <row r="1124" spans="20:21" x14ac:dyDescent="0.25">
      <c r="T1124" s="98"/>
      <c r="U1124" s="99"/>
    </row>
    <row r="1125" spans="20:21" x14ac:dyDescent="0.25">
      <c r="T1125" s="98"/>
      <c r="U1125" s="99"/>
    </row>
    <row r="1126" spans="20:21" x14ac:dyDescent="0.25">
      <c r="T1126" s="98"/>
      <c r="U1126" s="99"/>
    </row>
    <row r="1127" spans="20:21" x14ac:dyDescent="0.25">
      <c r="T1127" s="98"/>
      <c r="U1127" s="99"/>
    </row>
    <row r="1128" spans="20:21" x14ac:dyDescent="0.25">
      <c r="T1128" s="98"/>
      <c r="U1128" s="99"/>
    </row>
    <row r="1129" spans="20:21" x14ac:dyDescent="0.25">
      <c r="T1129" s="98"/>
      <c r="U1129" s="99"/>
    </row>
    <row r="1130" spans="20:21" x14ac:dyDescent="0.25">
      <c r="T1130" s="98"/>
      <c r="U1130" s="99"/>
    </row>
    <row r="1131" spans="20:21" x14ac:dyDescent="0.25">
      <c r="T1131" s="98"/>
      <c r="U1131" s="99"/>
    </row>
    <row r="1132" spans="20:21" x14ac:dyDescent="0.25">
      <c r="T1132" s="98"/>
      <c r="U1132" s="99"/>
    </row>
    <row r="1133" spans="20:21" x14ac:dyDescent="0.25">
      <c r="T1133" s="98"/>
      <c r="U1133" s="99"/>
    </row>
    <row r="1134" spans="20:21" x14ac:dyDescent="0.25">
      <c r="T1134" s="98"/>
      <c r="U1134" s="99"/>
    </row>
    <row r="1135" spans="20:21" x14ac:dyDescent="0.25">
      <c r="T1135" s="98"/>
      <c r="U1135" s="99"/>
    </row>
    <row r="1136" spans="20:21" x14ac:dyDescent="0.25">
      <c r="T1136" s="98"/>
      <c r="U1136" s="99"/>
    </row>
    <row r="1137" spans="20:21" x14ac:dyDescent="0.25">
      <c r="T1137" s="98"/>
      <c r="U1137" s="99"/>
    </row>
    <row r="1138" spans="20:21" x14ac:dyDescent="0.25">
      <c r="T1138" s="98"/>
      <c r="U1138" s="99"/>
    </row>
    <row r="1139" spans="20:21" x14ac:dyDescent="0.25">
      <c r="T1139" s="98"/>
      <c r="U1139" s="99"/>
    </row>
    <row r="1140" spans="20:21" x14ac:dyDescent="0.25">
      <c r="T1140" s="98"/>
      <c r="U1140" s="99"/>
    </row>
    <row r="1141" spans="20:21" x14ac:dyDescent="0.25">
      <c r="T1141" s="98"/>
      <c r="U1141" s="99"/>
    </row>
    <row r="1142" spans="20:21" x14ac:dyDescent="0.25">
      <c r="T1142" s="98"/>
      <c r="U1142" s="99"/>
    </row>
    <row r="1143" spans="20:21" x14ac:dyDescent="0.25">
      <c r="T1143" s="98"/>
      <c r="U1143" s="99"/>
    </row>
    <row r="1144" spans="20:21" x14ac:dyDescent="0.25">
      <c r="T1144" s="98"/>
      <c r="U1144" s="99"/>
    </row>
    <row r="1145" spans="20:21" x14ac:dyDescent="0.25">
      <c r="T1145" s="98"/>
      <c r="U1145" s="99"/>
    </row>
    <row r="1146" spans="20:21" x14ac:dyDescent="0.25">
      <c r="T1146" s="98"/>
      <c r="U1146" s="99"/>
    </row>
    <row r="1147" spans="20:21" x14ac:dyDescent="0.25">
      <c r="T1147" s="98"/>
      <c r="U1147" s="99"/>
    </row>
    <row r="1148" spans="20:21" x14ac:dyDescent="0.25">
      <c r="T1148" s="98"/>
      <c r="U1148" s="99"/>
    </row>
    <row r="1149" spans="20:21" x14ac:dyDescent="0.25">
      <c r="T1149" s="98"/>
      <c r="U1149" s="99"/>
    </row>
    <row r="1150" spans="20:21" x14ac:dyDescent="0.25">
      <c r="T1150" s="98"/>
      <c r="U1150" s="99"/>
    </row>
    <row r="1151" spans="20:21" x14ac:dyDescent="0.25">
      <c r="T1151" s="98"/>
      <c r="U1151" s="99"/>
    </row>
    <row r="1152" spans="20:21" x14ac:dyDescent="0.25">
      <c r="T1152" s="98"/>
      <c r="U1152" s="99"/>
    </row>
    <row r="1153" spans="20:21" x14ac:dyDescent="0.25">
      <c r="T1153" s="98"/>
      <c r="U1153" s="99"/>
    </row>
    <row r="1154" spans="20:21" x14ac:dyDescent="0.25">
      <c r="T1154" s="98"/>
      <c r="U1154" s="99"/>
    </row>
    <row r="1155" spans="20:21" x14ac:dyDescent="0.25">
      <c r="T1155" s="98"/>
      <c r="U1155" s="99"/>
    </row>
    <row r="1156" spans="20:21" x14ac:dyDescent="0.25">
      <c r="T1156" s="98"/>
      <c r="U1156" s="99"/>
    </row>
    <row r="1157" spans="20:21" x14ac:dyDescent="0.25">
      <c r="T1157" s="98"/>
      <c r="U1157" s="99"/>
    </row>
    <row r="1158" spans="20:21" x14ac:dyDescent="0.25">
      <c r="T1158" s="98"/>
      <c r="U1158" s="99"/>
    </row>
    <row r="1159" spans="20:21" x14ac:dyDescent="0.25">
      <c r="T1159" s="98"/>
      <c r="U1159" s="99"/>
    </row>
    <row r="1160" spans="20:21" x14ac:dyDescent="0.25">
      <c r="T1160" s="98"/>
      <c r="U1160" s="99"/>
    </row>
    <row r="1161" spans="20:21" x14ac:dyDescent="0.25">
      <c r="T1161" s="98"/>
      <c r="U1161" s="99"/>
    </row>
    <row r="1162" spans="20:21" x14ac:dyDescent="0.25">
      <c r="T1162" s="98"/>
      <c r="U1162" s="99"/>
    </row>
    <row r="1163" spans="20:21" x14ac:dyDescent="0.25">
      <c r="T1163" s="98"/>
      <c r="U1163" s="99"/>
    </row>
    <row r="1164" spans="20:21" x14ac:dyDescent="0.25">
      <c r="T1164" s="98"/>
      <c r="U1164" s="99"/>
    </row>
    <row r="1165" spans="20:21" x14ac:dyDescent="0.25">
      <c r="T1165" s="98"/>
      <c r="U1165" s="99"/>
    </row>
    <row r="1166" spans="20:21" x14ac:dyDescent="0.25">
      <c r="T1166" s="98"/>
      <c r="U1166" s="99"/>
    </row>
    <row r="1167" spans="20:21" x14ac:dyDescent="0.25">
      <c r="T1167" s="98"/>
      <c r="U1167" s="99"/>
    </row>
    <row r="1168" spans="20:21" x14ac:dyDescent="0.25">
      <c r="T1168" s="98"/>
      <c r="U1168" s="99"/>
    </row>
    <row r="1169" spans="20:21" x14ac:dyDescent="0.25">
      <c r="T1169" s="98"/>
      <c r="U1169" s="99"/>
    </row>
    <row r="1170" spans="20:21" x14ac:dyDescent="0.25">
      <c r="T1170" s="98"/>
      <c r="U1170" s="99"/>
    </row>
    <row r="1171" spans="20:21" x14ac:dyDescent="0.25">
      <c r="T1171" s="98"/>
      <c r="U1171" s="99"/>
    </row>
    <row r="1172" spans="20:21" x14ac:dyDescent="0.25">
      <c r="T1172" s="98"/>
      <c r="U1172" s="99"/>
    </row>
    <row r="1173" spans="20:21" x14ac:dyDescent="0.25">
      <c r="T1173" s="98"/>
      <c r="U1173" s="99"/>
    </row>
    <row r="1174" spans="20:21" x14ac:dyDescent="0.25">
      <c r="T1174" s="98"/>
      <c r="U1174" s="99"/>
    </row>
    <row r="1175" spans="20:21" x14ac:dyDescent="0.25">
      <c r="T1175" s="98"/>
      <c r="U1175" s="99"/>
    </row>
    <row r="1176" spans="20:21" x14ac:dyDescent="0.25">
      <c r="T1176" s="98"/>
      <c r="U1176" s="99"/>
    </row>
    <row r="1177" spans="20:21" x14ac:dyDescent="0.25">
      <c r="T1177" s="98"/>
      <c r="U1177" s="99"/>
    </row>
    <row r="1178" spans="20:21" x14ac:dyDescent="0.25">
      <c r="T1178" s="98"/>
      <c r="U1178" s="99"/>
    </row>
    <row r="1179" spans="20:21" x14ac:dyDescent="0.25">
      <c r="T1179" s="98"/>
      <c r="U1179" s="99"/>
    </row>
    <row r="1180" spans="20:21" x14ac:dyDescent="0.25">
      <c r="T1180" s="98"/>
      <c r="U1180" s="99"/>
    </row>
    <row r="1181" spans="20:21" x14ac:dyDescent="0.25">
      <c r="T1181" s="98"/>
      <c r="U1181" s="99"/>
    </row>
    <row r="1182" spans="20:21" x14ac:dyDescent="0.25">
      <c r="T1182" s="98"/>
      <c r="U1182" s="99"/>
    </row>
    <row r="1183" spans="20:21" x14ac:dyDescent="0.25">
      <c r="T1183" s="98"/>
      <c r="U1183" s="99"/>
    </row>
    <row r="1184" spans="20:21" x14ac:dyDescent="0.25">
      <c r="T1184" s="98"/>
      <c r="U1184" s="99"/>
    </row>
    <row r="1185" spans="20:21" x14ac:dyDescent="0.25">
      <c r="T1185" s="98"/>
      <c r="U1185" s="99"/>
    </row>
    <row r="1186" spans="20:21" x14ac:dyDescent="0.25">
      <c r="T1186" s="98"/>
      <c r="U1186" s="99"/>
    </row>
    <row r="1187" spans="20:21" x14ac:dyDescent="0.25">
      <c r="T1187" s="98"/>
      <c r="U1187" s="99"/>
    </row>
    <row r="1188" spans="20:21" x14ac:dyDescent="0.25">
      <c r="T1188" s="98"/>
      <c r="U1188" s="99"/>
    </row>
    <row r="1189" spans="20:21" x14ac:dyDescent="0.25">
      <c r="T1189" s="98"/>
      <c r="U1189" s="99"/>
    </row>
    <row r="1190" spans="20:21" x14ac:dyDescent="0.25">
      <c r="T1190" s="98"/>
      <c r="U1190" s="99"/>
    </row>
    <row r="1191" spans="20:21" x14ac:dyDescent="0.25">
      <c r="T1191" s="98"/>
      <c r="U1191" s="99"/>
    </row>
    <row r="1192" spans="20:21" x14ac:dyDescent="0.25">
      <c r="T1192" s="98"/>
      <c r="U1192" s="99"/>
    </row>
    <row r="1193" spans="20:21" x14ac:dyDescent="0.25">
      <c r="T1193" s="98"/>
      <c r="U1193" s="99"/>
    </row>
    <row r="1194" spans="20:21" x14ac:dyDescent="0.25">
      <c r="T1194" s="98"/>
      <c r="U1194" s="99"/>
    </row>
    <row r="1195" spans="20:21" x14ac:dyDescent="0.25">
      <c r="T1195" s="98"/>
      <c r="U1195" s="99"/>
    </row>
    <row r="1196" spans="20:21" x14ac:dyDescent="0.25">
      <c r="T1196" s="98"/>
      <c r="U1196" s="99"/>
    </row>
    <row r="1197" spans="20:21" x14ac:dyDescent="0.25">
      <c r="T1197" s="98"/>
      <c r="U1197" s="99"/>
    </row>
    <row r="1198" spans="20:21" x14ac:dyDescent="0.25">
      <c r="T1198" s="98"/>
      <c r="U1198" s="99"/>
    </row>
    <row r="1199" spans="20:21" x14ac:dyDescent="0.25">
      <c r="T1199" s="98"/>
      <c r="U1199" s="99"/>
    </row>
    <row r="1200" spans="20:21" x14ac:dyDescent="0.25">
      <c r="T1200" s="98"/>
      <c r="U1200" s="99"/>
    </row>
    <row r="1201" spans="20:21" x14ac:dyDescent="0.25">
      <c r="T1201" s="98"/>
      <c r="U1201" s="99"/>
    </row>
    <row r="1202" spans="20:21" x14ac:dyDescent="0.25">
      <c r="T1202" s="98"/>
      <c r="U1202" s="99"/>
    </row>
    <row r="1203" spans="20:21" x14ac:dyDescent="0.25">
      <c r="T1203" s="98"/>
      <c r="U1203" s="99"/>
    </row>
    <row r="1204" spans="20:21" x14ac:dyDescent="0.25">
      <c r="T1204" s="98"/>
      <c r="U1204" s="99"/>
    </row>
    <row r="1205" spans="20:21" x14ac:dyDescent="0.25">
      <c r="T1205" s="98"/>
      <c r="U1205" s="99"/>
    </row>
    <row r="1206" spans="20:21" x14ac:dyDescent="0.25">
      <c r="T1206" s="98"/>
      <c r="U1206" s="99"/>
    </row>
    <row r="1207" spans="20:21" x14ac:dyDescent="0.25">
      <c r="T1207" s="98"/>
      <c r="U1207" s="99"/>
    </row>
    <row r="1208" spans="20:21" x14ac:dyDescent="0.25">
      <c r="T1208" s="98"/>
      <c r="U1208" s="99"/>
    </row>
    <row r="1209" spans="20:21" x14ac:dyDescent="0.25">
      <c r="T1209" s="98"/>
      <c r="U1209" s="99"/>
    </row>
    <row r="1210" spans="20:21" x14ac:dyDescent="0.25">
      <c r="T1210" s="98"/>
      <c r="U1210" s="99"/>
    </row>
    <row r="1211" spans="20:21" x14ac:dyDescent="0.25">
      <c r="T1211" s="98"/>
      <c r="U1211" s="99"/>
    </row>
    <row r="1212" spans="20:21" x14ac:dyDescent="0.25">
      <c r="T1212" s="98"/>
      <c r="U1212" s="99"/>
    </row>
    <row r="1213" spans="20:21" x14ac:dyDescent="0.25">
      <c r="T1213" s="98"/>
      <c r="U1213" s="99"/>
    </row>
    <row r="1214" spans="20:21" x14ac:dyDescent="0.25">
      <c r="T1214" s="98"/>
      <c r="U1214" s="99"/>
    </row>
    <row r="1215" spans="20:21" x14ac:dyDescent="0.25">
      <c r="T1215" s="98"/>
      <c r="U1215" s="99"/>
    </row>
    <row r="1216" spans="20:21" x14ac:dyDescent="0.25">
      <c r="T1216" s="98"/>
      <c r="U1216" s="99"/>
    </row>
    <row r="1217" spans="20:21" x14ac:dyDescent="0.25">
      <c r="T1217" s="98"/>
      <c r="U1217" s="99"/>
    </row>
    <row r="1218" spans="20:21" x14ac:dyDescent="0.25">
      <c r="T1218" s="98"/>
      <c r="U1218" s="99"/>
    </row>
    <row r="1219" spans="20:21" x14ac:dyDescent="0.25">
      <c r="T1219" s="98"/>
      <c r="U1219" s="99"/>
    </row>
    <row r="1220" spans="20:21" x14ac:dyDescent="0.25">
      <c r="T1220" s="98"/>
      <c r="U1220" s="99"/>
    </row>
    <row r="1221" spans="20:21" x14ac:dyDescent="0.25">
      <c r="T1221" s="98"/>
      <c r="U1221" s="99"/>
    </row>
    <row r="1222" spans="20:21" x14ac:dyDescent="0.25">
      <c r="T1222" s="98"/>
      <c r="U1222" s="99"/>
    </row>
    <row r="1223" spans="20:21" x14ac:dyDescent="0.25">
      <c r="T1223" s="98"/>
      <c r="U1223" s="99"/>
    </row>
    <row r="1224" spans="20:21" x14ac:dyDescent="0.25">
      <c r="T1224" s="98"/>
      <c r="U1224" s="99"/>
    </row>
    <row r="1225" spans="20:21" x14ac:dyDescent="0.25">
      <c r="T1225" s="98"/>
      <c r="U1225" s="99"/>
    </row>
    <row r="1226" spans="20:21" x14ac:dyDescent="0.25">
      <c r="T1226" s="98"/>
      <c r="U1226" s="99"/>
    </row>
    <row r="1227" spans="20:21" x14ac:dyDescent="0.25">
      <c r="T1227" s="98"/>
      <c r="U1227" s="99"/>
    </row>
    <row r="1228" spans="20:21" x14ac:dyDescent="0.25">
      <c r="T1228" s="98"/>
      <c r="U1228" s="99"/>
    </row>
    <row r="1229" spans="20:21" x14ac:dyDescent="0.25">
      <c r="T1229" s="98"/>
      <c r="U1229" s="99"/>
    </row>
    <row r="1230" spans="20:21" x14ac:dyDescent="0.25">
      <c r="T1230" s="98"/>
      <c r="U1230" s="99"/>
    </row>
    <row r="1231" spans="20:21" x14ac:dyDescent="0.25">
      <c r="T1231" s="98"/>
      <c r="U1231" s="99"/>
    </row>
    <row r="1232" spans="20:21" x14ac:dyDescent="0.25">
      <c r="T1232" s="98"/>
      <c r="U1232" s="99"/>
    </row>
    <row r="1233" spans="20:21" x14ac:dyDescent="0.25">
      <c r="T1233" s="98"/>
      <c r="U1233" s="99"/>
    </row>
    <row r="1234" spans="20:21" x14ac:dyDescent="0.25">
      <c r="T1234" s="98"/>
      <c r="U1234" s="99"/>
    </row>
    <row r="1235" spans="20:21" x14ac:dyDescent="0.25">
      <c r="T1235" s="98"/>
      <c r="U1235" s="99"/>
    </row>
    <row r="1236" spans="20:21" x14ac:dyDescent="0.25">
      <c r="T1236" s="98"/>
      <c r="U1236" s="99"/>
    </row>
    <row r="1237" spans="20:21" x14ac:dyDescent="0.25">
      <c r="T1237" s="98"/>
      <c r="U1237" s="99"/>
    </row>
    <row r="1238" spans="20:21" x14ac:dyDescent="0.25">
      <c r="T1238" s="98"/>
      <c r="U1238" s="99"/>
    </row>
    <row r="1239" spans="20:21" x14ac:dyDescent="0.25">
      <c r="T1239" s="98"/>
      <c r="U1239" s="99"/>
    </row>
    <row r="1240" spans="20:21" x14ac:dyDescent="0.25">
      <c r="T1240" s="98"/>
      <c r="U1240" s="99"/>
    </row>
    <row r="1241" spans="20:21" x14ac:dyDescent="0.25">
      <c r="T1241" s="98"/>
      <c r="U1241" s="99"/>
    </row>
    <row r="1242" spans="20:21" x14ac:dyDescent="0.25">
      <c r="T1242" s="98"/>
      <c r="U1242" s="99"/>
    </row>
    <row r="1243" spans="20:21" x14ac:dyDescent="0.25">
      <c r="T1243" s="98"/>
      <c r="U1243" s="99"/>
    </row>
    <row r="1244" spans="20:21" x14ac:dyDescent="0.25">
      <c r="T1244" s="98"/>
      <c r="U1244" s="99"/>
    </row>
    <row r="1245" spans="20:21" x14ac:dyDescent="0.25">
      <c r="T1245" s="98"/>
      <c r="U1245" s="99"/>
    </row>
    <row r="1246" spans="20:21" x14ac:dyDescent="0.25">
      <c r="T1246" s="98"/>
      <c r="U1246" s="99"/>
    </row>
    <row r="1247" spans="20:21" x14ac:dyDescent="0.25">
      <c r="T1247" s="98"/>
      <c r="U1247" s="99"/>
    </row>
    <row r="1248" spans="20:21" x14ac:dyDescent="0.25">
      <c r="T1248" s="98"/>
      <c r="U1248" s="99"/>
    </row>
    <row r="1249" spans="20:21" x14ac:dyDescent="0.25">
      <c r="T1249" s="98"/>
      <c r="U1249" s="99"/>
    </row>
    <row r="1250" spans="20:21" x14ac:dyDescent="0.25">
      <c r="T1250" s="98"/>
      <c r="U1250" s="99"/>
    </row>
    <row r="1251" spans="20:21" x14ac:dyDescent="0.25">
      <c r="T1251" s="98"/>
      <c r="U1251" s="99"/>
    </row>
    <row r="1252" spans="20:21" x14ac:dyDescent="0.25">
      <c r="T1252" s="98"/>
      <c r="U1252" s="99"/>
    </row>
    <row r="1253" spans="20:21" x14ac:dyDescent="0.25">
      <c r="T1253" s="98"/>
      <c r="U1253" s="99"/>
    </row>
    <row r="1254" spans="20:21" x14ac:dyDescent="0.25">
      <c r="T1254" s="98"/>
      <c r="U1254" s="99"/>
    </row>
    <row r="1255" spans="20:21" x14ac:dyDescent="0.25">
      <c r="T1255" s="98"/>
      <c r="U1255" s="99"/>
    </row>
    <row r="1256" spans="20:21" x14ac:dyDescent="0.25">
      <c r="T1256" s="98"/>
      <c r="U1256" s="99"/>
    </row>
    <row r="1257" spans="20:21" x14ac:dyDescent="0.25">
      <c r="T1257" s="98"/>
      <c r="U1257" s="99"/>
    </row>
    <row r="1258" spans="20:21" x14ac:dyDescent="0.25">
      <c r="T1258" s="98"/>
      <c r="U1258" s="99"/>
    </row>
    <row r="1259" spans="20:21" x14ac:dyDescent="0.25">
      <c r="T1259" s="98"/>
      <c r="U1259" s="99"/>
    </row>
    <row r="1260" spans="20:21" x14ac:dyDescent="0.25">
      <c r="T1260" s="98"/>
      <c r="U1260" s="99"/>
    </row>
    <row r="1261" spans="20:21" x14ac:dyDescent="0.25">
      <c r="T1261" s="98"/>
      <c r="U1261" s="99"/>
    </row>
    <row r="1262" spans="20:21" x14ac:dyDescent="0.25">
      <c r="T1262" s="98"/>
      <c r="U1262" s="99"/>
    </row>
    <row r="1263" spans="20:21" x14ac:dyDescent="0.25">
      <c r="T1263" s="98"/>
      <c r="U1263" s="99"/>
    </row>
    <row r="1264" spans="20:21" x14ac:dyDescent="0.25">
      <c r="T1264" s="98"/>
      <c r="U1264" s="99"/>
    </row>
    <row r="1265" spans="20:21" x14ac:dyDescent="0.25">
      <c r="T1265" s="98"/>
      <c r="U1265" s="99"/>
    </row>
    <row r="1266" spans="20:21" x14ac:dyDescent="0.25">
      <c r="T1266" s="98"/>
      <c r="U1266" s="99"/>
    </row>
    <row r="1267" spans="20:21" x14ac:dyDescent="0.25">
      <c r="T1267" s="98"/>
      <c r="U1267" s="99"/>
    </row>
    <row r="1268" spans="20:21" x14ac:dyDescent="0.25">
      <c r="T1268" s="98"/>
      <c r="U1268" s="99"/>
    </row>
    <row r="1269" spans="20:21" x14ac:dyDescent="0.25">
      <c r="T1269" s="98"/>
      <c r="U1269" s="99"/>
    </row>
    <row r="1270" spans="20:21" x14ac:dyDescent="0.25">
      <c r="T1270" s="98"/>
      <c r="U1270" s="99"/>
    </row>
    <row r="1271" spans="20:21" x14ac:dyDescent="0.25">
      <c r="T1271" s="98"/>
      <c r="U1271" s="99"/>
    </row>
    <row r="1272" spans="20:21" x14ac:dyDescent="0.25">
      <c r="T1272" s="98"/>
      <c r="U1272" s="99"/>
    </row>
    <row r="1273" spans="20:21" x14ac:dyDescent="0.25">
      <c r="T1273" s="98"/>
      <c r="U1273" s="99"/>
    </row>
    <row r="1274" spans="20:21" x14ac:dyDescent="0.25">
      <c r="T1274" s="98"/>
      <c r="U1274" s="99"/>
    </row>
    <row r="1275" spans="20:21" x14ac:dyDescent="0.25">
      <c r="T1275" s="98"/>
      <c r="U1275" s="99"/>
    </row>
    <row r="1276" spans="20:21" x14ac:dyDescent="0.25">
      <c r="T1276" s="98"/>
      <c r="U1276" s="99"/>
    </row>
    <row r="1277" spans="20:21" x14ac:dyDescent="0.25">
      <c r="T1277" s="98"/>
      <c r="U1277" s="99"/>
    </row>
    <row r="1278" spans="20:21" x14ac:dyDescent="0.25">
      <c r="T1278" s="98"/>
      <c r="U1278" s="99"/>
    </row>
    <row r="1279" spans="20:21" x14ac:dyDescent="0.25">
      <c r="T1279" s="98"/>
      <c r="U1279" s="99"/>
    </row>
    <row r="1280" spans="20:21" x14ac:dyDescent="0.25">
      <c r="T1280" s="98"/>
      <c r="U1280" s="99"/>
    </row>
    <row r="1281" spans="20:21" x14ac:dyDescent="0.25">
      <c r="T1281" s="98"/>
      <c r="U1281" s="99"/>
    </row>
    <row r="1282" spans="20:21" x14ac:dyDescent="0.25">
      <c r="T1282" s="98"/>
      <c r="U1282" s="99"/>
    </row>
    <row r="1283" spans="20:21" x14ac:dyDescent="0.25">
      <c r="T1283" s="98"/>
      <c r="U1283" s="99"/>
    </row>
    <row r="1284" spans="20:21" x14ac:dyDescent="0.25">
      <c r="T1284" s="98"/>
      <c r="U1284" s="99"/>
    </row>
    <row r="1285" spans="20:21" x14ac:dyDescent="0.25">
      <c r="T1285" s="98"/>
      <c r="U1285" s="99"/>
    </row>
    <row r="1286" spans="20:21" x14ac:dyDescent="0.25">
      <c r="T1286" s="98"/>
      <c r="U1286" s="99"/>
    </row>
    <row r="1287" spans="20:21" x14ac:dyDescent="0.25">
      <c r="T1287" s="98"/>
      <c r="U1287" s="99"/>
    </row>
    <row r="1288" spans="20:21" x14ac:dyDescent="0.25">
      <c r="T1288" s="98"/>
      <c r="U1288" s="99"/>
    </row>
    <row r="1289" spans="20:21" x14ac:dyDescent="0.25">
      <c r="T1289" s="98"/>
      <c r="U1289" s="99"/>
    </row>
    <row r="1290" spans="20:21" x14ac:dyDescent="0.25">
      <c r="T1290" s="98"/>
      <c r="U1290" s="99"/>
    </row>
    <row r="1291" spans="20:21" x14ac:dyDescent="0.25">
      <c r="T1291" s="98"/>
      <c r="U1291" s="99"/>
    </row>
    <row r="1292" spans="20:21" x14ac:dyDescent="0.25">
      <c r="T1292" s="98"/>
      <c r="U1292" s="99"/>
    </row>
    <row r="1293" spans="20:21" x14ac:dyDescent="0.25">
      <c r="T1293" s="98"/>
      <c r="U1293" s="99"/>
    </row>
    <row r="1294" spans="20:21" x14ac:dyDescent="0.25">
      <c r="T1294" s="98"/>
      <c r="U1294" s="99"/>
    </row>
    <row r="1295" spans="20:21" x14ac:dyDescent="0.25">
      <c r="T1295" s="98"/>
      <c r="U1295" s="99"/>
    </row>
    <row r="1296" spans="20:21" x14ac:dyDescent="0.25">
      <c r="T1296" s="98"/>
      <c r="U1296" s="99"/>
    </row>
    <row r="1297" spans="20:21" x14ac:dyDescent="0.25">
      <c r="T1297" s="98"/>
      <c r="U1297" s="99"/>
    </row>
    <row r="1298" spans="20:21" x14ac:dyDescent="0.25">
      <c r="T1298" s="98"/>
      <c r="U1298" s="99"/>
    </row>
    <row r="1299" spans="20:21" x14ac:dyDescent="0.25">
      <c r="T1299" s="98"/>
      <c r="U1299" s="99"/>
    </row>
    <row r="1300" spans="20:21" x14ac:dyDescent="0.25">
      <c r="T1300" s="98"/>
      <c r="U1300" s="99"/>
    </row>
    <row r="1301" spans="20:21" x14ac:dyDescent="0.25">
      <c r="T1301" s="98"/>
      <c r="U1301" s="99"/>
    </row>
    <row r="1302" spans="20:21" x14ac:dyDescent="0.25">
      <c r="T1302" s="98"/>
      <c r="U1302" s="99"/>
    </row>
    <row r="1303" spans="20:21" x14ac:dyDescent="0.25">
      <c r="T1303" s="98"/>
      <c r="U1303" s="99"/>
    </row>
    <row r="1304" spans="20:21" x14ac:dyDescent="0.25">
      <c r="T1304" s="98"/>
      <c r="U1304" s="99"/>
    </row>
    <row r="1305" spans="20:21" x14ac:dyDescent="0.25">
      <c r="T1305" s="98"/>
      <c r="U1305" s="99"/>
    </row>
    <row r="1306" spans="20:21" x14ac:dyDescent="0.25">
      <c r="T1306" s="98"/>
      <c r="U1306" s="99"/>
    </row>
    <row r="1307" spans="20:21" x14ac:dyDescent="0.25">
      <c r="T1307" s="98"/>
      <c r="U1307" s="99"/>
    </row>
    <row r="1308" spans="20:21" x14ac:dyDescent="0.25">
      <c r="T1308" s="98"/>
      <c r="U1308" s="99"/>
    </row>
    <row r="1309" spans="20:21" x14ac:dyDescent="0.25">
      <c r="T1309" s="98"/>
      <c r="U1309" s="99"/>
    </row>
    <row r="1310" spans="20:21" x14ac:dyDescent="0.25">
      <c r="T1310" s="98"/>
      <c r="U1310" s="99"/>
    </row>
    <row r="1311" spans="20:21" x14ac:dyDescent="0.25">
      <c r="T1311" s="98"/>
      <c r="U1311" s="99"/>
    </row>
    <row r="1312" spans="20:21" x14ac:dyDescent="0.25">
      <c r="T1312" s="98"/>
      <c r="U1312" s="99"/>
    </row>
    <row r="1313" spans="20:21" x14ac:dyDescent="0.25">
      <c r="T1313" s="98"/>
      <c r="U1313" s="99"/>
    </row>
    <row r="1314" spans="20:21" x14ac:dyDescent="0.25">
      <c r="T1314" s="98"/>
      <c r="U1314" s="99"/>
    </row>
    <row r="1315" spans="20:21" x14ac:dyDescent="0.25">
      <c r="T1315" s="98"/>
      <c r="U1315" s="99"/>
    </row>
    <row r="1316" spans="20:21" x14ac:dyDescent="0.25">
      <c r="T1316" s="98"/>
      <c r="U1316" s="99"/>
    </row>
    <row r="1317" spans="20:21" x14ac:dyDescent="0.25">
      <c r="T1317" s="98"/>
      <c r="U1317" s="99"/>
    </row>
    <row r="1318" spans="20:21" x14ac:dyDescent="0.25">
      <c r="T1318" s="98"/>
      <c r="U1318" s="99"/>
    </row>
    <row r="1319" spans="20:21" x14ac:dyDescent="0.25">
      <c r="T1319" s="98"/>
      <c r="U1319" s="99"/>
    </row>
    <row r="1320" spans="20:21" x14ac:dyDescent="0.25">
      <c r="T1320" s="98"/>
      <c r="U1320" s="99"/>
    </row>
    <row r="1321" spans="20:21" x14ac:dyDescent="0.25">
      <c r="T1321" s="98"/>
      <c r="U1321" s="99"/>
    </row>
    <row r="1322" spans="20:21" x14ac:dyDescent="0.25">
      <c r="T1322" s="98"/>
      <c r="U1322" s="99"/>
    </row>
    <row r="1323" spans="20:21" x14ac:dyDescent="0.25">
      <c r="T1323" s="98"/>
      <c r="U1323" s="99"/>
    </row>
    <row r="1324" spans="20:21" x14ac:dyDescent="0.25">
      <c r="T1324" s="98"/>
      <c r="U1324" s="99"/>
    </row>
    <row r="1325" spans="20:21" x14ac:dyDescent="0.25">
      <c r="T1325" s="98"/>
      <c r="U1325" s="99"/>
    </row>
    <row r="1326" spans="20:21" x14ac:dyDescent="0.25">
      <c r="T1326" s="98"/>
      <c r="U1326" s="99"/>
    </row>
    <row r="1327" spans="20:21" x14ac:dyDescent="0.25">
      <c r="T1327" s="98"/>
      <c r="U1327" s="99"/>
    </row>
    <row r="1328" spans="20:21" x14ac:dyDescent="0.25">
      <c r="T1328" s="98"/>
      <c r="U1328" s="99"/>
    </row>
    <row r="1329" spans="20:21" x14ac:dyDescent="0.25">
      <c r="T1329" s="98"/>
      <c r="U1329" s="99"/>
    </row>
    <row r="1330" spans="20:21" x14ac:dyDescent="0.25">
      <c r="T1330" s="98"/>
      <c r="U1330" s="99"/>
    </row>
    <row r="1331" spans="20:21" x14ac:dyDescent="0.25">
      <c r="T1331" s="98"/>
      <c r="U1331" s="99"/>
    </row>
    <row r="1332" spans="20:21" x14ac:dyDescent="0.25">
      <c r="T1332" s="98"/>
      <c r="U1332" s="99"/>
    </row>
    <row r="1333" spans="20:21" x14ac:dyDescent="0.25">
      <c r="T1333" s="98"/>
      <c r="U1333" s="99"/>
    </row>
    <row r="1334" spans="20:21" x14ac:dyDescent="0.25">
      <c r="T1334" s="98"/>
      <c r="U1334" s="99"/>
    </row>
    <row r="1335" spans="20:21" x14ac:dyDescent="0.25">
      <c r="T1335" s="98"/>
      <c r="U1335" s="99"/>
    </row>
    <row r="1336" spans="20:21" x14ac:dyDescent="0.25">
      <c r="T1336" s="98"/>
      <c r="U1336" s="99"/>
    </row>
    <row r="1337" spans="20:21" x14ac:dyDescent="0.25">
      <c r="T1337" s="98"/>
      <c r="U1337" s="99"/>
    </row>
    <row r="1338" spans="20:21" x14ac:dyDescent="0.25">
      <c r="T1338" s="98"/>
      <c r="U1338" s="99"/>
    </row>
    <row r="1339" spans="20:21" x14ac:dyDescent="0.25">
      <c r="T1339" s="98"/>
      <c r="U1339" s="99"/>
    </row>
    <row r="1340" spans="20:21" x14ac:dyDescent="0.25">
      <c r="T1340" s="98"/>
      <c r="U1340" s="99"/>
    </row>
    <row r="1341" spans="20:21" x14ac:dyDescent="0.25">
      <c r="T1341" s="98"/>
      <c r="U1341" s="99"/>
    </row>
    <row r="1342" spans="20:21" x14ac:dyDescent="0.25">
      <c r="T1342" s="98"/>
      <c r="U1342" s="99"/>
    </row>
    <row r="1343" spans="20:21" x14ac:dyDescent="0.25">
      <c r="T1343" s="98"/>
      <c r="U1343" s="99"/>
    </row>
    <row r="1344" spans="20:21" x14ac:dyDescent="0.25">
      <c r="T1344" s="98"/>
      <c r="U1344" s="99"/>
    </row>
    <row r="1345" spans="20:21" x14ac:dyDescent="0.25">
      <c r="T1345" s="98"/>
      <c r="U1345" s="99"/>
    </row>
    <row r="1346" spans="20:21" x14ac:dyDescent="0.25">
      <c r="T1346" s="98"/>
      <c r="U1346" s="99"/>
    </row>
    <row r="1347" spans="20:21" x14ac:dyDescent="0.25">
      <c r="T1347" s="98"/>
      <c r="U1347" s="99"/>
    </row>
    <row r="1348" spans="20:21" x14ac:dyDescent="0.25">
      <c r="T1348" s="98"/>
      <c r="U1348" s="99"/>
    </row>
    <row r="1349" spans="20:21" x14ac:dyDescent="0.25">
      <c r="T1349" s="98"/>
      <c r="U1349" s="99"/>
    </row>
    <row r="1350" spans="20:21" x14ac:dyDescent="0.25">
      <c r="T1350" s="98"/>
      <c r="U1350" s="99"/>
    </row>
    <row r="1351" spans="20:21" x14ac:dyDescent="0.25">
      <c r="T1351" s="98"/>
      <c r="U1351" s="99"/>
    </row>
    <row r="1352" spans="20:21" x14ac:dyDescent="0.25">
      <c r="T1352" s="98"/>
      <c r="U1352" s="99"/>
    </row>
    <row r="1353" spans="20:21" x14ac:dyDescent="0.25">
      <c r="T1353" s="98"/>
      <c r="U1353" s="99"/>
    </row>
    <row r="1354" spans="20:21" x14ac:dyDescent="0.25">
      <c r="T1354" s="98"/>
      <c r="U1354" s="99"/>
    </row>
    <row r="1355" spans="20:21" x14ac:dyDescent="0.25">
      <c r="T1355" s="98"/>
      <c r="U1355" s="99"/>
    </row>
    <row r="1356" spans="20:21" x14ac:dyDescent="0.25">
      <c r="T1356" s="98"/>
      <c r="U1356" s="99"/>
    </row>
    <row r="1357" spans="20:21" x14ac:dyDescent="0.25">
      <c r="T1357" s="98"/>
      <c r="U1357" s="99"/>
    </row>
    <row r="1358" spans="20:21" x14ac:dyDescent="0.25">
      <c r="T1358" s="98"/>
      <c r="U1358" s="99"/>
    </row>
    <row r="1359" spans="20:21" x14ac:dyDescent="0.25">
      <c r="T1359" s="98"/>
      <c r="U1359" s="99"/>
    </row>
    <row r="1360" spans="20:21" x14ac:dyDescent="0.25">
      <c r="T1360" s="98"/>
      <c r="U1360" s="99"/>
    </row>
    <row r="1361" spans="20:21" x14ac:dyDescent="0.25">
      <c r="T1361" s="98"/>
      <c r="U1361" s="99"/>
    </row>
    <row r="1362" spans="20:21" x14ac:dyDescent="0.25">
      <c r="T1362" s="98"/>
      <c r="U1362" s="99"/>
    </row>
    <row r="1363" spans="20:21" x14ac:dyDescent="0.25">
      <c r="T1363" s="98"/>
      <c r="U1363" s="99"/>
    </row>
    <row r="1364" spans="20:21" x14ac:dyDescent="0.25">
      <c r="T1364" s="98"/>
      <c r="U1364" s="99"/>
    </row>
    <row r="1365" spans="20:21" x14ac:dyDescent="0.25">
      <c r="T1365" s="98"/>
      <c r="U1365" s="99"/>
    </row>
    <row r="1366" spans="20:21" x14ac:dyDescent="0.25">
      <c r="T1366" s="98"/>
      <c r="U1366" s="99"/>
    </row>
    <row r="1367" spans="20:21" x14ac:dyDescent="0.25">
      <c r="T1367" s="98"/>
      <c r="U1367" s="99"/>
    </row>
    <row r="1368" spans="20:21" x14ac:dyDescent="0.25">
      <c r="T1368" s="98"/>
      <c r="U1368" s="99"/>
    </row>
    <row r="1369" spans="20:21" x14ac:dyDescent="0.25">
      <c r="T1369" s="98"/>
      <c r="U1369" s="99"/>
    </row>
    <row r="1370" spans="20:21" x14ac:dyDescent="0.25">
      <c r="T1370" s="98"/>
      <c r="U1370" s="99"/>
    </row>
    <row r="1371" spans="20:21" x14ac:dyDescent="0.25">
      <c r="T1371" s="98"/>
      <c r="U1371" s="99"/>
    </row>
    <row r="1372" spans="20:21" x14ac:dyDescent="0.25">
      <c r="T1372" s="98"/>
      <c r="U1372" s="99"/>
    </row>
    <row r="1373" spans="20:21" x14ac:dyDescent="0.25">
      <c r="T1373" s="98"/>
      <c r="U1373" s="99"/>
    </row>
    <row r="1374" spans="20:21" x14ac:dyDescent="0.25">
      <c r="T1374" s="98"/>
      <c r="U1374" s="99"/>
    </row>
    <row r="1375" spans="20:21" x14ac:dyDescent="0.25">
      <c r="T1375" s="98"/>
      <c r="U1375" s="99"/>
    </row>
    <row r="1376" spans="20:21" x14ac:dyDescent="0.25">
      <c r="T1376" s="98"/>
      <c r="U1376" s="99"/>
    </row>
    <row r="1377" spans="20:21" x14ac:dyDescent="0.25">
      <c r="T1377" s="98"/>
      <c r="U1377" s="99"/>
    </row>
    <row r="1378" spans="20:21" x14ac:dyDescent="0.25">
      <c r="T1378" s="98"/>
      <c r="U1378" s="99"/>
    </row>
    <row r="1379" spans="20:21" x14ac:dyDescent="0.25">
      <c r="T1379" s="98"/>
      <c r="U1379" s="99"/>
    </row>
    <row r="1380" spans="20:21" x14ac:dyDescent="0.25">
      <c r="T1380" s="98"/>
      <c r="U1380" s="99"/>
    </row>
    <row r="1381" spans="20:21" x14ac:dyDescent="0.25">
      <c r="T1381" s="98"/>
      <c r="U1381" s="99"/>
    </row>
    <row r="1382" spans="20:21" x14ac:dyDescent="0.25">
      <c r="T1382" s="98"/>
      <c r="U1382" s="99"/>
    </row>
    <row r="1383" spans="20:21" x14ac:dyDescent="0.25">
      <c r="T1383" s="98"/>
      <c r="U1383" s="99"/>
    </row>
    <row r="1384" spans="20:21" x14ac:dyDescent="0.25">
      <c r="T1384" s="98"/>
      <c r="U1384" s="99"/>
    </row>
    <row r="1385" spans="20:21" x14ac:dyDescent="0.25">
      <c r="T1385" s="98"/>
      <c r="U1385" s="99"/>
    </row>
    <row r="1386" spans="20:21" x14ac:dyDescent="0.25">
      <c r="T1386" s="98"/>
      <c r="U1386" s="99"/>
    </row>
    <row r="1387" spans="20:21" x14ac:dyDescent="0.25">
      <c r="T1387" s="98"/>
      <c r="U1387" s="99"/>
    </row>
    <row r="1388" spans="20:21" x14ac:dyDescent="0.25">
      <c r="T1388" s="98"/>
      <c r="U1388" s="99"/>
    </row>
    <row r="1389" spans="20:21" x14ac:dyDescent="0.25">
      <c r="T1389" s="98"/>
      <c r="U1389" s="99"/>
    </row>
    <row r="1390" spans="20:21" x14ac:dyDescent="0.25">
      <c r="T1390" s="98"/>
      <c r="U1390" s="99"/>
    </row>
    <row r="1391" spans="20:21" x14ac:dyDescent="0.25">
      <c r="T1391" s="98"/>
      <c r="U1391" s="99"/>
    </row>
    <row r="1392" spans="20:21" x14ac:dyDescent="0.25">
      <c r="T1392" s="98"/>
      <c r="U1392" s="99"/>
    </row>
    <row r="1393" spans="20:21" x14ac:dyDescent="0.25">
      <c r="T1393" s="98"/>
      <c r="U1393" s="99"/>
    </row>
    <row r="1394" spans="20:21" x14ac:dyDescent="0.25">
      <c r="T1394" s="98"/>
      <c r="U1394" s="99"/>
    </row>
    <row r="1395" spans="20:21" x14ac:dyDescent="0.25">
      <c r="T1395" s="98"/>
      <c r="U1395" s="99"/>
    </row>
    <row r="1396" spans="20:21" x14ac:dyDescent="0.25">
      <c r="T1396" s="98"/>
      <c r="U1396" s="99"/>
    </row>
    <row r="1397" spans="20:21" x14ac:dyDescent="0.25">
      <c r="T1397" s="98"/>
      <c r="U1397" s="99"/>
    </row>
    <row r="1398" spans="20:21" x14ac:dyDescent="0.25">
      <c r="T1398" s="98"/>
      <c r="U1398" s="99"/>
    </row>
    <row r="1399" spans="20:21" x14ac:dyDescent="0.25">
      <c r="T1399" s="98"/>
      <c r="U1399" s="99"/>
    </row>
    <row r="1400" spans="20:21" x14ac:dyDescent="0.25">
      <c r="T1400" s="98"/>
      <c r="U1400" s="99"/>
    </row>
    <row r="1401" spans="20:21" x14ac:dyDescent="0.25">
      <c r="T1401" s="98"/>
      <c r="U1401" s="99"/>
    </row>
    <row r="1402" spans="20:21" x14ac:dyDescent="0.25">
      <c r="T1402" s="98"/>
      <c r="U1402" s="99"/>
    </row>
    <row r="1403" spans="20:21" x14ac:dyDescent="0.25">
      <c r="T1403" s="98"/>
      <c r="U1403" s="99"/>
    </row>
    <row r="1404" spans="20:21" x14ac:dyDescent="0.25">
      <c r="T1404" s="98"/>
      <c r="U1404" s="99"/>
    </row>
    <row r="1405" spans="20:21" x14ac:dyDescent="0.25">
      <c r="T1405" s="98"/>
      <c r="U1405" s="99"/>
    </row>
    <row r="1406" spans="20:21" x14ac:dyDescent="0.25">
      <c r="T1406" s="98"/>
      <c r="U1406" s="99"/>
    </row>
    <row r="1407" spans="20:21" x14ac:dyDescent="0.25">
      <c r="T1407" s="98"/>
      <c r="U1407" s="99"/>
    </row>
    <row r="1408" spans="20:21" x14ac:dyDescent="0.25">
      <c r="T1408" s="98"/>
      <c r="U1408" s="99"/>
    </row>
    <row r="1409" spans="20:21" x14ac:dyDescent="0.25">
      <c r="T1409" s="98"/>
      <c r="U1409" s="99"/>
    </row>
    <row r="1410" spans="20:21" x14ac:dyDescent="0.25">
      <c r="T1410" s="98"/>
      <c r="U1410" s="99"/>
    </row>
    <row r="1411" spans="20:21" x14ac:dyDescent="0.25">
      <c r="T1411" s="98"/>
      <c r="U1411" s="99"/>
    </row>
    <row r="1412" spans="20:21" x14ac:dyDescent="0.25">
      <c r="T1412" s="98"/>
      <c r="U1412" s="99"/>
    </row>
    <row r="1413" spans="20:21" x14ac:dyDescent="0.25">
      <c r="T1413" s="98"/>
      <c r="U1413" s="99"/>
    </row>
    <row r="1414" spans="20:21" x14ac:dyDescent="0.25">
      <c r="T1414" s="98"/>
      <c r="U1414" s="99"/>
    </row>
    <row r="1415" spans="20:21" x14ac:dyDescent="0.25">
      <c r="T1415" s="98"/>
      <c r="U1415" s="99"/>
    </row>
    <row r="1416" spans="20:21" x14ac:dyDescent="0.25">
      <c r="T1416" s="98"/>
      <c r="U1416" s="99"/>
    </row>
    <row r="1417" spans="20:21" x14ac:dyDescent="0.25">
      <c r="T1417" s="98"/>
      <c r="U1417" s="99"/>
    </row>
    <row r="1418" spans="20:21" x14ac:dyDescent="0.25">
      <c r="T1418" s="98"/>
      <c r="U1418" s="99"/>
    </row>
    <row r="1419" spans="20:21" x14ac:dyDescent="0.25">
      <c r="T1419" s="98"/>
      <c r="U1419" s="99"/>
    </row>
    <row r="1420" spans="20:21" x14ac:dyDescent="0.25">
      <c r="T1420" s="98"/>
      <c r="U1420" s="99"/>
    </row>
    <row r="1421" spans="20:21" x14ac:dyDescent="0.25">
      <c r="T1421" s="98"/>
      <c r="U1421" s="99"/>
    </row>
    <row r="1422" spans="20:21" x14ac:dyDescent="0.25">
      <c r="T1422" s="98"/>
      <c r="U1422" s="99"/>
    </row>
    <row r="1423" spans="20:21" x14ac:dyDescent="0.25">
      <c r="T1423" s="98"/>
      <c r="U1423" s="99"/>
    </row>
    <row r="1424" spans="20:21" x14ac:dyDescent="0.25">
      <c r="T1424" s="98"/>
      <c r="U1424" s="99"/>
    </row>
    <row r="1425" spans="20:21" x14ac:dyDescent="0.25">
      <c r="T1425" s="98"/>
      <c r="U1425" s="99"/>
    </row>
    <row r="1426" spans="20:21" x14ac:dyDescent="0.25">
      <c r="T1426" s="98"/>
      <c r="U1426" s="99"/>
    </row>
    <row r="1427" spans="20:21" x14ac:dyDescent="0.25">
      <c r="T1427" s="98"/>
      <c r="U1427" s="99"/>
    </row>
    <row r="1428" spans="20:21" x14ac:dyDescent="0.25">
      <c r="T1428" s="98"/>
      <c r="U1428" s="99"/>
    </row>
    <row r="1429" spans="20:21" x14ac:dyDescent="0.25">
      <c r="T1429" s="98"/>
      <c r="U1429" s="99"/>
    </row>
    <row r="1430" spans="20:21" x14ac:dyDescent="0.25">
      <c r="T1430" s="98"/>
      <c r="U1430" s="99"/>
    </row>
    <row r="1431" spans="20:21" x14ac:dyDescent="0.25">
      <c r="T1431" s="98"/>
      <c r="U1431" s="99"/>
    </row>
    <row r="1432" spans="20:21" x14ac:dyDescent="0.25">
      <c r="T1432" s="98"/>
      <c r="U1432" s="99"/>
    </row>
    <row r="1433" spans="20:21" x14ac:dyDescent="0.25">
      <c r="T1433" s="98"/>
      <c r="U1433" s="99"/>
    </row>
    <row r="1434" spans="20:21" x14ac:dyDescent="0.25">
      <c r="T1434" s="98"/>
      <c r="U1434" s="99"/>
    </row>
    <row r="1435" spans="20:21" x14ac:dyDescent="0.25">
      <c r="T1435" s="98"/>
      <c r="U1435" s="99"/>
    </row>
    <row r="1436" spans="20:21" x14ac:dyDescent="0.25">
      <c r="T1436" s="98"/>
      <c r="U1436" s="99"/>
    </row>
    <row r="1437" spans="20:21" x14ac:dyDescent="0.25">
      <c r="T1437" s="98"/>
      <c r="U1437" s="99"/>
    </row>
    <row r="1438" spans="20:21" x14ac:dyDescent="0.25">
      <c r="T1438" s="98"/>
      <c r="U1438" s="99"/>
    </row>
    <row r="1439" spans="20:21" x14ac:dyDescent="0.25">
      <c r="T1439" s="98"/>
      <c r="U1439" s="99"/>
    </row>
    <row r="1440" spans="20:21" x14ac:dyDescent="0.25">
      <c r="T1440" s="98"/>
      <c r="U1440" s="99"/>
    </row>
    <row r="1441" spans="20:21" x14ac:dyDescent="0.25">
      <c r="T1441" s="98"/>
      <c r="U1441" s="99"/>
    </row>
    <row r="1442" spans="20:21" x14ac:dyDescent="0.25">
      <c r="T1442" s="98"/>
      <c r="U1442" s="99"/>
    </row>
    <row r="1443" spans="20:21" x14ac:dyDescent="0.25">
      <c r="T1443" s="98"/>
      <c r="U1443" s="99"/>
    </row>
    <row r="1444" spans="20:21" x14ac:dyDescent="0.25">
      <c r="T1444" s="98"/>
      <c r="U1444" s="99"/>
    </row>
    <row r="1445" spans="20:21" x14ac:dyDescent="0.25">
      <c r="T1445" s="98"/>
      <c r="U1445" s="99"/>
    </row>
    <row r="1446" spans="20:21" x14ac:dyDescent="0.25">
      <c r="T1446" s="98"/>
      <c r="U1446" s="99"/>
    </row>
    <row r="1447" spans="20:21" x14ac:dyDescent="0.25">
      <c r="T1447" s="98"/>
      <c r="U1447" s="99"/>
    </row>
    <row r="1448" spans="20:21" x14ac:dyDescent="0.25">
      <c r="T1448" s="98"/>
      <c r="U1448" s="99"/>
    </row>
    <row r="1449" spans="20:21" x14ac:dyDescent="0.25">
      <c r="T1449" s="98"/>
      <c r="U1449" s="99"/>
    </row>
    <row r="1450" spans="20:21" x14ac:dyDescent="0.25">
      <c r="T1450" s="98"/>
      <c r="U1450" s="99"/>
    </row>
    <row r="1451" spans="20:21" x14ac:dyDescent="0.25">
      <c r="T1451" s="98"/>
      <c r="U1451" s="99"/>
    </row>
    <row r="1452" spans="20:21" x14ac:dyDescent="0.25">
      <c r="T1452" s="98"/>
      <c r="U1452" s="99"/>
    </row>
    <row r="1453" spans="20:21" x14ac:dyDescent="0.25">
      <c r="T1453" s="98"/>
      <c r="U1453" s="99"/>
    </row>
    <row r="1454" spans="20:21" x14ac:dyDescent="0.25">
      <c r="T1454" s="98"/>
      <c r="U1454" s="99"/>
    </row>
    <row r="1455" spans="20:21" x14ac:dyDescent="0.25">
      <c r="T1455" s="98"/>
      <c r="U1455" s="99"/>
    </row>
    <row r="1456" spans="20:21" x14ac:dyDescent="0.25">
      <c r="T1456" s="98"/>
      <c r="U1456" s="99"/>
    </row>
    <row r="1457" spans="20:21" x14ac:dyDescent="0.25">
      <c r="T1457" s="98"/>
      <c r="U1457" s="99"/>
    </row>
    <row r="1458" spans="20:21" x14ac:dyDescent="0.25">
      <c r="T1458" s="98"/>
      <c r="U1458" s="99"/>
    </row>
    <row r="1459" spans="20:21" x14ac:dyDescent="0.25">
      <c r="T1459" s="98"/>
      <c r="U1459" s="99"/>
    </row>
    <row r="1460" spans="20:21" x14ac:dyDescent="0.25">
      <c r="T1460" s="98"/>
      <c r="U1460" s="99"/>
    </row>
    <row r="1461" spans="20:21" x14ac:dyDescent="0.25">
      <c r="T1461" s="98"/>
      <c r="U1461" s="99"/>
    </row>
    <row r="1462" spans="20:21" x14ac:dyDescent="0.25">
      <c r="T1462" s="98"/>
      <c r="U1462" s="99"/>
    </row>
    <row r="1463" spans="20:21" x14ac:dyDescent="0.25">
      <c r="T1463" s="98"/>
      <c r="U1463" s="99"/>
    </row>
    <row r="1464" spans="20:21" x14ac:dyDescent="0.25">
      <c r="T1464" s="98"/>
      <c r="U1464" s="99"/>
    </row>
    <row r="1465" spans="20:21" x14ac:dyDescent="0.25">
      <c r="T1465" s="98"/>
      <c r="U1465" s="99"/>
    </row>
    <row r="1466" spans="20:21" x14ac:dyDescent="0.25">
      <c r="T1466" s="98"/>
      <c r="U1466" s="99"/>
    </row>
    <row r="1467" spans="20:21" x14ac:dyDescent="0.25">
      <c r="T1467" s="98"/>
      <c r="U1467" s="99"/>
    </row>
    <row r="1468" spans="20:21" x14ac:dyDescent="0.25">
      <c r="T1468" s="98"/>
      <c r="U1468" s="99"/>
    </row>
    <row r="1469" spans="20:21" x14ac:dyDescent="0.25">
      <c r="T1469" s="98"/>
      <c r="U1469" s="99"/>
    </row>
    <row r="1470" spans="20:21" x14ac:dyDescent="0.25">
      <c r="T1470" s="98"/>
      <c r="U1470" s="99"/>
    </row>
    <row r="1471" spans="20:21" x14ac:dyDescent="0.25">
      <c r="T1471" s="98"/>
      <c r="U1471" s="99"/>
    </row>
    <row r="1472" spans="20:21" x14ac:dyDescent="0.25">
      <c r="T1472" s="98"/>
      <c r="U1472" s="99"/>
    </row>
    <row r="1473" spans="20:21" x14ac:dyDescent="0.25">
      <c r="T1473" s="98"/>
      <c r="U1473" s="99"/>
    </row>
    <row r="1474" spans="20:21" x14ac:dyDescent="0.25">
      <c r="T1474" s="98"/>
      <c r="U1474" s="99"/>
    </row>
    <row r="1475" spans="20:21" x14ac:dyDescent="0.25">
      <c r="T1475" s="98"/>
      <c r="U1475" s="99"/>
    </row>
    <row r="1476" spans="20:21" x14ac:dyDescent="0.25">
      <c r="T1476" s="98"/>
      <c r="U1476" s="99"/>
    </row>
    <row r="1477" spans="20:21" x14ac:dyDescent="0.25">
      <c r="T1477" s="98"/>
      <c r="U1477" s="99"/>
    </row>
    <row r="1478" spans="20:21" x14ac:dyDescent="0.25">
      <c r="T1478" s="98"/>
      <c r="U1478" s="99"/>
    </row>
    <row r="1479" spans="20:21" x14ac:dyDescent="0.25">
      <c r="T1479" s="98"/>
      <c r="U1479" s="99"/>
    </row>
    <row r="1480" spans="20:21" x14ac:dyDescent="0.25">
      <c r="T1480" s="98"/>
      <c r="U1480" s="99"/>
    </row>
    <row r="1481" spans="20:21" x14ac:dyDescent="0.25">
      <c r="T1481" s="98"/>
      <c r="U1481" s="99"/>
    </row>
    <row r="1482" spans="20:21" x14ac:dyDescent="0.25">
      <c r="T1482" s="98"/>
      <c r="U1482" s="99"/>
    </row>
    <row r="1483" spans="20:21" x14ac:dyDescent="0.25">
      <c r="T1483" s="98"/>
      <c r="U1483" s="99"/>
    </row>
    <row r="1484" spans="20:21" x14ac:dyDescent="0.25">
      <c r="T1484" s="98"/>
      <c r="U1484" s="99"/>
    </row>
    <row r="1485" spans="20:21" x14ac:dyDescent="0.25">
      <c r="T1485" s="98"/>
      <c r="U1485" s="99"/>
    </row>
    <row r="1486" spans="20:21" x14ac:dyDescent="0.25">
      <c r="T1486" s="98"/>
      <c r="U1486" s="99"/>
    </row>
    <row r="1487" spans="20:21" x14ac:dyDescent="0.25">
      <c r="T1487" s="98"/>
      <c r="U1487" s="99"/>
    </row>
    <row r="1488" spans="20:21" x14ac:dyDescent="0.25">
      <c r="T1488" s="98"/>
      <c r="U1488" s="99"/>
    </row>
    <row r="1489" spans="20:21" x14ac:dyDescent="0.25">
      <c r="T1489" s="98"/>
      <c r="U1489" s="99"/>
    </row>
    <row r="1490" spans="20:21" x14ac:dyDescent="0.25">
      <c r="T1490" s="98"/>
      <c r="U1490" s="99"/>
    </row>
    <row r="1491" spans="20:21" x14ac:dyDescent="0.25">
      <c r="T1491" s="98"/>
      <c r="U1491" s="99"/>
    </row>
    <row r="1492" spans="20:21" x14ac:dyDescent="0.25">
      <c r="T1492" s="98"/>
      <c r="U1492" s="99"/>
    </row>
    <row r="1493" spans="20:21" x14ac:dyDescent="0.25">
      <c r="T1493" s="98"/>
      <c r="U1493" s="99"/>
    </row>
    <row r="1494" spans="20:21" x14ac:dyDescent="0.25">
      <c r="T1494" s="98"/>
      <c r="U1494" s="99"/>
    </row>
    <row r="1495" spans="20:21" x14ac:dyDescent="0.25">
      <c r="T1495" s="98"/>
      <c r="U1495" s="99"/>
    </row>
    <row r="1496" spans="20:21" x14ac:dyDescent="0.25">
      <c r="T1496" s="98"/>
      <c r="U1496" s="99"/>
    </row>
    <row r="1497" spans="20:21" x14ac:dyDescent="0.25">
      <c r="T1497" s="98"/>
      <c r="U1497" s="99"/>
    </row>
    <row r="1498" spans="20:21" x14ac:dyDescent="0.25">
      <c r="T1498" s="98"/>
      <c r="U1498" s="99"/>
    </row>
    <row r="1499" spans="20:21" x14ac:dyDescent="0.25">
      <c r="T1499" s="98"/>
      <c r="U1499" s="99"/>
    </row>
    <row r="1500" spans="20:21" x14ac:dyDescent="0.25">
      <c r="T1500" s="98"/>
      <c r="U1500" s="99"/>
    </row>
    <row r="1501" spans="20:21" x14ac:dyDescent="0.25">
      <c r="T1501" s="98"/>
      <c r="U1501" s="99"/>
    </row>
    <row r="1502" spans="20:21" x14ac:dyDescent="0.25">
      <c r="T1502" s="98"/>
      <c r="U1502" s="99"/>
    </row>
    <row r="1503" spans="20:21" x14ac:dyDescent="0.25">
      <c r="T1503" s="98"/>
      <c r="U1503" s="99"/>
    </row>
    <row r="1504" spans="20:21" x14ac:dyDescent="0.25">
      <c r="T1504" s="98"/>
      <c r="U1504" s="99"/>
    </row>
    <row r="1505" spans="20:21" x14ac:dyDescent="0.25">
      <c r="T1505" s="98"/>
      <c r="U1505" s="99"/>
    </row>
    <row r="1506" spans="20:21" x14ac:dyDescent="0.25">
      <c r="T1506" s="98"/>
      <c r="U1506" s="99"/>
    </row>
    <row r="1507" spans="20:21" x14ac:dyDescent="0.25">
      <c r="T1507" s="98"/>
      <c r="U1507" s="99"/>
    </row>
    <row r="1508" spans="20:21" x14ac:dyDescent="0.25">
      <c r="T1508" s="98"/>
      <c r="U1508" s="99"/>
    </row>
    <row r="1509" spans="20:21" x14ac:dyDescent="0.25">
      <c r="T1509" s="98"/>
      <c r="U1509" s="99"/>
    </row>
    <row r="1510" spans="20:21" x14ac:dyDescent="0.25">
      <c r="T1510" s="98"/>
      <c r="U1510" s="99"/>
    </row>
    <row r="1511" spans="20:21" x14ac:dyDescent="0.25">
      <c r="T1511" s="98"/>
      <c r="U1511" s="99"/>
    </row>
    <row r="1512" spans="20:21" x14ac:dyDescent="0.25">
      <c r="T1512" s="98"/>
      <c r="U1512" s="99"/>
    </row>
    <row r="1513" spans="20:21" x14ac:dyDescent="0.25">
      <c r="T1513" s="98"/>
      <c r="U1513" s="99"/>
    </row>
    <row r="1514" spans="20:21" x14ac:dyDescent="0.25">
      <c r="T1514" s="98"/>
      <c r="U1514" s="99"/>
    </row>
    <row r="1515" spans="20:21" x14ac:dyDescent="0.25">
      <c r="T1515" s="98"/>
      <c r="U1515" s="99"/>
    </row>
    <row r="1516" spans="20:21" x14ac:dyDescent="0.25">
      <c r="T1516" s="98"/>
      <c r="U1516" s="99"/>
    </row>
    <row r="1517" spans="20:21" x14ac:dyDescent="0.25">
      <c r="T1517" s="98"/>
      <c r="U1517" s="99"/>
    </row>
    <row r="1518" spans="20:21" x14ac:dyDescent="0.25">
      <c r="T1518" s="98"/>
      <c r="U1518" s="99"/>
    </row>
    <row r="1519" spans="20:21" x14ac:dyDescent="0.25">
      <c r="T1519" s="98"/>
      <c r="U1519" s="99"/>
    </row>
    <row r="1520" spans="20:21" x14ac:dyDescent="0.25">
      <c r="T1520" s="98"/>
      <c r="U1520" s="99"/>
    </row>
    <row r="1521" spans="20:21" x14ac:dyDescent="0.25">
      <c r="T1521" s="98"/>
      <c r="U1521" s="99"/>
    </row>
    <row r="1522" spans="20:21" x14ac:dyDescent="0.25">
      <c r="T1522" s="98"/>
      <c r="U1522" s="99"/>
    </row>
    <row r="1523" spans="20:21" x14ac:dyDescent="0.25">
      <c r="T1523" s="98"/>
      <c r="U1523" s="99"/>
    </row>
    <row r="1524" spans="20:21" x14ac:dyDescent="0.25">
      <c r="T1524" s="98"/>
      <c r="U1524" s="99"/>
    </row>
    <row r="1525" spans="20:21" x14ac:dyDescent="0.25">
      <c r="T1525" s="98"/>
      <c r="U1525" s="99"/>
    </row>
    <row r="1526" spans="20:21" x14ac:dyDescent="0.25">
      <c r="T1526" s="98"/>
      <c r="U1526" s="99"/>
    </row>
    <row r="1527" spans="20:21" x14ac:dyDescent="0.25">
      <c r="T1527" s="98"/>
      <c r="U1527" s="99"/>
    </row>
    <row r="1528" spans="20:21" x14ac:dyDescent="0.25">
      <c r="T1528" s="98"/>
      <c r="U1528" s="99"/>
    </row>
    <row r="1529" spans="20:21" x14ac:dyDescent="0.25">
      <c r="T1529" s="98"/>
      <c r="U1529" s="99"/>
    </row>
    <row r="1530" spans="20:21" x14ac:dyDescent="0.25">
      <c r="T1530" s="98"/>
      <c r="U1530" s="99"/>
    </row>
    <row r="1531" spans="20:21" x14ac:dyDescent="0.25">
      <c r="T1531" s="98"/>
      <c r="U1531" s="99"/>
    </row>
    <row r="1532" spans="20:21" x14ac:dyDescent="0.25">
      <c r="T1532" s="98"/>
      <c r="U1532" s="99"/>
    </row>
    <row r="1533" spans="20:21" x14ac:dyDescent="0.25">
      <c r="T1533" s="98"/>
      <c r="U1533" s="99"/>
    </row>
    <row r="1534" spans="20:21" x14ac:dyDescent="0.25">
      <c r="T1534" s="98"/>
      <c r="U1534" s="99"/>
    </row>
    <row r="1535" spans="20:21" x14ac:dyDescent="0.25">
      <c r="T1535" s="98"/>
      <c r="U1535" s="99"/>
    </row>
    <row r="1536" spans="20:21" x14ac:dyDescent="0.25">
      <c r="T1536" s="98"/>
      <c r="U1536" s="99"/>
    </row>
    <row r="1537" spans="20:21" x14ac:dyDescent="0.25">
      <c r="T1537" s="98"/>
      <c r="U1537" s="99"/>
    </row>
    <row r="1538" spans="20:21" x14ac:dyDescent="0.25">
      <c r="T1538" s="98"/>
      <c r="U1538" s="99"/>
    </row>
    <row r="1539" spans="20:21" x14ac:dyDescent="0.25">
      <c r="T1539" s="98"/>
      <c r="U1539" s="99"/>
    </row>
    <row r="1540" spans="20:21" x14ac:dyDescent="0.25">
      <c r="T1540" s="98"/>
      <c r="U1540" s="99"/>
    </row>
    <row r="1541" spans="20:21" x14ac:dyDescent="0.25">
      <c r="T1541" s="98"/>
      <c r="U1541" s="99"/>
    </row>
    <row r="1542" spans="20:21" x14ac:dyDescent="0.25">
      <c r="T1542" s="98"/>
      <c r="U1542" s="99"/>
    </row>
    <row r="1543" spans="20:21" x14ac:dyDescent="0.25">
      <c r="T1543" s="98"/>
      <c r="U1543" s="99"/>
    </row>
    <row r="1544" spans="20:21" x14ac:dyDescent="0.25">
      <c r="T1544" s="98"/>
      <c r="U1544" s="99"/>
    </row>
    <row r="1545" spans="20:21" x14ac:dyDescent="0.25">
      <c r="T1545" s="98"/>
      <c r="U1545" s="99"/>
    </row>
    <row r="1546" spans="20:21" x14ac:dyDescent="0.25">
      <c r="T1546" s="98"/>
      <c r="U1546" s="99"/>
    </row>
    <row r="1547" spans="20:21" x14ac:dyDescent="0.25">
      <c r="T1547" s="98"/>
      <c r="U1547" s="99"/>
    </row>
    <row r="1548" spans="20:21" x14ac:dyDescent="0.25">
      <c r="T1548" s="98"/>
      <c r="U1548" s="99"/>
    </row>
    <row r="1549" spans="20:21" x14ac:dyDescent="0.25">
      <c r="T1549" s="98"/>
      <c r="U1549" s="99"/>
    </row>
    <row r="1550" spans="20:21" x14ac:dyDescent="0.25">
      <c r="T1550" s="98"/>
      <c r="U1550" s="99"/>
    </row>
    <row r="1551" spans="20:21" x14ac:dyDescent="0.25">
      <c r="T1551" s="98"/>
      <c r="U1551" s="99"/>
    </row>
    <row r="1552" spans="20:21" x14ac:dyDescent="0.25">
      <c r="T1552" s="98"/>
      <c r="U1552" s="99"/>
    </row>
    <row r="1553" spans="20:21" x14ac:dyDescent="0.25">
      <c r="T1553" s="98"/>
      <c r="U1553" s="99"/>
    </row>
    <row r="1554" spans="20:21" x14ac:dyDescent="0.25">
      <c r="T1554" s="98"/>
      <c r="U1554" s="99"/>
    </row>
    <row r="1555" spans="20:21" x14ac:dyDescent="0.25">
      <c r="T1555" s="98"/>
      <c r="U1555" s="99"/>
    </row>
    <row r="1556" spans="20:21" x14ac:dyDescent="0.25">
      <c r="T1556" s="98"/>
      <c r="U1556" s="99"/>
    </row>
    <row r="1557" spans="20:21" x14ac:dyDescent="0.25">
      <c r="T1557" s="98"/>
      <c r="U1557" s="99"/>
    </row>
    <row r="1558" spans="20:21" x14ac:dyDescent="0.25">
      <c r="T1558" s="98"/>
      <c r="U1558" s="99"/>
    </row>
    <row r="1559" spans="20:21" x14ac:dyDescent="0.25">
      <c r="T1559" s="98"/>
      <c r="U1559" s="99"/>
    </row>
    <row r="1560" spans="20:21" x14ac:dyDescent="0.25">
      <c r="T1560" s="98"/>
      <c r="U1560" s="99"/>
    </row>
    <row r="1561" spans="20:21" x14ac:dyDescent="0.25">
      <c r="T1561" s="98"/>
      <c r="U1561" s="99"/>
    </row>
    <row r="1562" spans="20:21" x14ac:dyDescent="0.25">
      <c r="T1562" s="98"/>
      <c r="U1562" s="99"/>
    </row>
    <row r="1563" spans="20:21" x14ac:dyDescent="0.25">
      <c r="T1563" s="98"/>
      <c r="U1563" s="99"/>
    </row>
    <row r="1564" spans="20:21" x14ac:dyDescent="0.25">
      <c r="T1564" s="98"/>
      <c r="U1564" s="99"/>
    </row>
    <row r="1565" spans="20:21" x14ac:dyDescent="0.25">
      <c r="T1565" s="98"/>
      <c r="U1565" s="99"/>
    </row>
    <row r="1566" spans="20:21" x14ac:dyDescent="0.25">
      <c r="T1566" s="98"/>
      <c r="U1566" s="99"/>
    </row>
    <row r="1567" spans="20:21" x14ac:dyDescent="0.25">
      <c r="T1567" s="98"/>
      <c r="U1567" s="99"/>
    </row>
    <row r="1568" spans="20:21" x14ac:dyDescent="0.25">
      <c r="T1568" s="98"/>
      <c r="U1568" s="99"/>
    </row>
    <row r="1569" spans="20:21" x14ac:dyDescent="0.25">
      <c r="T1569" s="98"/>
      <c r="U1569" s="99"/>
    </row>
    <row r="1570" spans="20:21" x14ac:dyDescent="0.25">
      <c r="T1570" s="98"/>
      <c r="U1570" s="99"/>
    </row>
    <row r="1571" spans="20:21" x14ac:dyDescent="0.25">
      <c r="T1571" s="98"/>
      <c r="U1571" s="99"/>
    </row>
    <row r="1572" spans="20:21" x14ac:dyDescent="0.25">
      <c r="T1572" s="98"/>
      <c r="U1572" s="99"/>
    </row>
    <row r="1573" spans="20:21" x14ac:dyDescent="0.25">
      <c r="T1573" s="98"/>
      <c r="U1573" s="99"/>
    </row>
    <row r="1574" spans="20:21" x14ac:dyDescent="0.25">
      <c r="T1574" s="98"/>
      <c r="U1574" s="99"/>
    </row>
    <row r="1575" spans="20:21" x14ac:dyDescent="0.25">
      <c r="T1575" s="98"/>
      <c r="U1575" s="99"/>
    </row>
    <row r="1576" spans="20:21" x14ac:dyDescent="0.25">
      <c r="T1576" s="98"/>
      <c r="U1576" s="99"/>
    </row>
    <row r="1577" spans="20:21" x14ac:dyDescent="0.25">
      <c r="T1577" s="98"/>
      <c r="U1577" s="99"/>
    </row>
    <row r="1578" spans="20:21" x14ac:dyDescent="0.25">
      <c r="T1578" s="98"/>
      <c r="U1578" s="99"/>
    </row>
    <row r="1579" spans="20:21" x14ac:dyDescent="0.25">
      <c r="T1579" s="98"/>
      <c r="U1579" s="99"/>
    </row>
    <row r="1580" spans="20:21" x14ac:dyDescent="0.25">
      <c r="T1580" s="98"/>
      <c r="U1580" s="99"/>
    </row>
    <row r="1581" spans="20:21" x14ac:dyDescent="0.25">
      <c r="T1581" s="98"/>
      <c r="U1581" s="99"/>
    </row>
    <row r="1582" spans="20:21" x14ac:dyDescent="0.25">
      <c r="T1582" s="98"/>
      <c r="U1582" s="99"/>
    </row>
    <row r="1583" spans="20:21" x14ac:dyDescent="0.25">
      <c r="T1583" s="98"/>
      <c r="U1583" s="99"/>
    </row>
    <row r="1584" spans="20:21" x14ac:dyDescent="0.25">
      <c r="T1584" s="98"/>
      <c r="U1584" s="99"/>
    </row>
    <row r="1585" spans="20:21" x14ac:dyDescent="0.25">
      <c r="T1585" s="98"/>
      <c r="U1585" s="99"/>
    </row>
    <row r="1586" spans="20:21" x14ac:dyDescent="0.25">
      <c r="T1586" s="98"/>
      <c r="U1586" s="99"/>
    </row>
    <row r="1587" spans="20:21" x14ac:dyDescent="0.25">
      <c r="T1587" s="98"/>
      <c r="U1587" s="99"/>
    </row>
    <row r="1588" spans="20:21" x14ac:dyDescent="0.25">
      <c r="T1588" s="98"/>
      <c r="U1588" s="99"/>
    </row>
    <row r="1589" spans="20:21" x14ac:dyDescent="0.25">
      <c r="T1589" s="98"/>
      <c r="U1589" s="99"/>
    </row>
    <row r="1590" spans="20:21" x14ac:dyDescent="0.25">
      <c r="T1590" s="98"/>
      <c r="U1590" s="99"/>
    </row>
    <row r="1591" spans="20:21" x14ac:dyDescent="0.25">
      <c r="T1591" s="98"/>
      <c r="U1591" s="99"/>
    </row>
    <row r="1592" spans="20:21" x14ac:dyDescent="0.25">
      <c r="T1592" s="98"/>
      <c r="U1592" s="99"/>
    </row>
    <row r="1593" spans="20:21" x14ac:dyDescent="0.25">
      <c r="T1593" s="98"/>
      <c r="U1593" s="99"/>
    </row>
    <row r="1594" spans="20:21" x14ac:dyDescent="0.25">
      <c r="T1594" s="98"/>
      <c r="U1594" s="99"/>
    </row>
    <row r="1595" spans="20:21" x14ac:dyDescent="0.25">
      <c r="T1595" s="98"/>
      <c r="U1595" s="99"/>
    </row>
    <row r="1596" spans="20:21" x14ac:dyDescent="0.25">
      <c r="T1596" s="98"/>
      <c r="U1596" s="99"/>
    </row>
    <row r="1597" spans="20:21" x14ac:dyDescent="0.25">
      <c r="T1597" s="98"/>
      <c r="U1597" s="99"/>
    </row>
    <row r="1598" spans="20:21" x14ac:dyDescent="0.25">
      <c r="T1598" s="98"/>
      <c r="U1598" s="99"/>
    </row>
    <row r="1599" spans="20:21" x14ac:dyDescent="0.25">
      <c r="T1599" s="98"/>
      <c r="U1599" s="99"/>
    </row>
    <row r="1600" spans="20:21" x14ac:dyDescent="0.25">
      <c r="T1600" s="98"/>
      <c r="U1600" s="99"/>
    </row>
    <row r="1601" spans="20:21" x14ac:dyDescent="0.25">
      <c r="T1601" s="98"/>
      <c r="U1601" s="99"/>
    </row>
    <row r="1602" spans="20:21" x14ac:dyDescent="0.25">
      <c r="T1602" s="98"/>
      <c r="U1602" s="99"/>
    </row>
    <row r="1603" spans="20:21" x14ac:dyDescent="0.25">
      <c r="T1603" s="98"/>
      <c r="U1603" s="99"/>
    </row>
    <row r="1604" spans="20:21" x14ac:dyDescent="0.25">
      <c r="T1604" s="98"/>
      <c r="U1604" s="99"/>
    </row>
    <row r="1605" spans="20:21" x14ac:dyDescent="0.25">
      <c r="T1605" s="98"/>
      <c r="U1605" s="99"/>
    </row>
    <row r="1606" spans="20:21" x14ac:dyDescent="0.25">
      <c r="T1606" s="98"/>
      <c r="U1606" s="99"/>
    </row>
    <row r="1607" spans="20:21" x14ac:dyDescent="0.25">
      <c r="T1607" s="98"/>
      <c r="U1607" s="99"/>
    </row>
    <row r="1608" spans="20:21" x14ac:dyDescent="0.25">
      <c r="T1608" s="98"/>
      <c r="U1608" s="99"/>
    </row>
    <row r="1609" spans="20:21" x14ac:dyDescent="0.25">
      <c r="T1609" s="98"/>
      <c r="U1609" s="99"/>
    </row>
    <row r="1610" spans="20:21" x14ac:dyDescent="0.25">
      <c r="T1610" s="98"/>
      <c r="U1610" s="99"/>
    </row>
    <row r="1611" spans="20:21" x14ac:dyDescent="0.25">
      <c r="T1611" s="98"/>
      <c r="U1611" s="99"/>
    </row>
    <row r="1612" spans="20:21" x14ac:dyDescent="0.25">
      <c r="T1612" s="98"/>
      <c r="U1612" s="99"/>
    </row>
    <row r="1613" spans="20:21" x14ac:dyDescent="0.25">
      <c r="T1613" s="98"/>
      <c r="U1613" s="99"/>
    </row>
    <row r="1614" spans="20:21" x14ac:dyDescent="0.25">
      <c r="T1614" s="98"/>
      <c r="U1614" s="99"/>
    </row>
    <row r="1615" spans="20:21" x14ac:dyDescent="0.25">
      <c r="T1615" s="98"/>
      <c r="U1615" s="99"/>
    </row>
    <row r="1616" spans="20:21" x14ac:dyDescent="0.25">
      <c r="T1616" s="98"/>
      <c r="U1616" s="99"/>
    </row>
    <row r="1617" spans="20:21" x14ac:dyDescent="0.25">
      <c r="T1617" s="98"/>
      <c r="U1617" s="99"/>
    </row>
    <row r="1618" spans="20:21" x14ac:dyDescent="0.25">
      <c r="T1618" s="98"/>
      <c r="U1618" s="99"/>
    </row>
    <row r="1619" spans="20:21" x14ac:dyDescent="0.25">
      <c r="T1619" s="98"/>
      <c r="U1619" s="99"/>
    </row>
    <row r="1620" spans="20:21" x14ac:dyDescent="0.25">
      <c r="T1620" s="98"/>
      <c r="U1620" s="99"/>
    </row>
    <row r="1621" spans="20:21" x14ac:dyDescent="0.25">
      <c r="T1621" s="98"/>
      <c r="U1621" s="99"/>
    </row>
    <row r="1622" spans="20:21" x14ac:dyDescent="0.25">
      <c r="T1622" s="98"/>
      <c r="U1622" s="99"/>
    </row>
    <row r="1623" spans="20:21" x14ac:dyDescent="0.25">
      <c r="T1623" s="98"/>
      <c r="U1623" s="99"/>
    </row>
    <row r="1624" spans="20:21" x14ac:dyDescent="0.25">
      <c r="T1624" s="98"/>
      <c r="U1624" s="99"/>
    </row>
    <row r="1625" spans="20:21" x14ac:dyDescent="0.25">
      <c r="T1625" s="98"/>
      <c r="U1625" s="99"/>
    </row>
    <row r="1626" spans="20:21" x14ac:dyDescent="0.25">
      <c r="T1626" s="98"/>
      <c r="U1626" s="99"/>
    </row>
    <row r="1627" spans="20:21" x14ac:dyDescent="0.25">
      <c r="T1627" s="98"/>
      <c r="U1627" s="99"/>
    </row>
    <row r="1628" spans="20:21" x14ac:dyDescent="0.25">
      <c r="T1628" s="98"/>
      <c r="U1628" s="99"/>
    </row>
    <row r="1629" spans="20:21" x14ac:dyDescent="0.25">
      <c r="T1629" s="98"/>
      <c r="U1629" s="99"/>
    </row>
    <row r="1630" spans="20:21" x14ac:dyDescent="0.25">
      <c r="T1630" s="98"/>
      <c r="U1630" s="99"/>
    </row>
    <row r="1631" spans="20:21" x14ac:dyDescent="0.25">
      <c r="T1631" s="98"/>
      <c r="U1631" s="99"/>
    </row>
    <row r="1632" spans="20:21" x14ac:dyDescent="0.25">
      <c r="T1632" s="98"/>
      <c r="U1632" s="99"/>
    </row>
    <row r="1633" spans="20:21" x14ac:dyDescent="0.25">
      <c r="T1633" s="98"/>
      <c r="U1633" s="99"/>
    </row>
    <row r="1634" spans="20:21" x14ac:dyDescent="0.25">
      <c r="T1634" s="98"/>
      <c r="U1634" s="99"/>
    </row>
    <row r="1635" spans="20:21" x14ac:dyDescent="0.25">
      <c r="T1635" s="98"/>
      <c r="U1635" s="99"/>
    </row>
    <row r="1636" spans="20:21" x14ac:dyDescent="0.25">
      <c r="T1636" s="98"/>
      <c r="U1636" s="99"/>
    </row>
    <row r="1637" spans="20:21" x14ac:dyDescent="0.25">
      <c r="T1637" s="98"/>
      <c r="U1637" s="99"/>
    </row>
    <row r="1638" spans="20:21" x14ac:dyDescent="0.25">
      <c r="T1638" s="98"/>
      <c r="U1638" s="99"/>
    </row>
    <row r="1639" spans="20:21" x14ac:dyDescent="0.25">
      <c r="T1639" s="98"/>
      <c r="U1639" s="99"/>
    </row>
    <row r="1640" spans="20:21" x14ac:dyDescent="0.25">
      <c r="T1640" s="98"/>
      <c r="U1640" s="99"/>
    </row>
    <row r="1641" spans="20:21" x14ac:dyDescent="0.25">
      <c r="T1641" s="98"/>
      <c r="U1641" s="99"/>
    </row>
    <row r="1642" spans="20:21" x14ac:dyDescent="0.25">
      <c r="T1642" s="98"/>
      <c r="U1642" s="99"/>
    </row>
    <row r="1643" spans="20:21" x14ac:dyDescent="0.25">
      <c r="T1643" s="98"/>
      <c r="U1643" s="99"/>
    </row>
    <row r="1644" spans="20:21" x14ac:dyDescent="0.25">
      <c r="T1644" s="98"/>
      <c r="U1644" s="99"/>
    </row>
    <row r="1645" spans="20:21" x14ac:dyDescent="0.25">
      <c r="T1645" s="98"/>
      <c r="U1645" s="99"/>
    </row>
    <row r="1646" spans="20:21" x14ac:dyDescent="0.25">
      <c r="T1646" s="98"/>
      <c r="U1646" s="99"/>
    </row>
    <row r="1647" spans="20:21" x14ac:dyDescent="0.25">
      <c r="T1647" s="98"/>
      <c r="U1647" s="99"/>
    </row>
    <row r="1648" spans="20:21" x14ac:dyDescent="0.25">
      <c r="T1648" s="98"/>
      <c r="U1648" s="99"/>
    </row>
    <row r="1649" spans="20:21" x14ac:dyDescent="0.25">
      <c r="T1649" s="98"/>
      <c r="U1649" s="99"/>
    </row>
    <row r="1650" spans="20:21" x14ac:dyDescent="0.25">
      <c r="T1650" s="98"/>
      <c r="U1650" s="99"/>
    </row>
    <row r="1651" spans="20:21" x14ac:dyDescent="0.25">
      <c r="T1651" s="98"/>
      <c r="U1651" s="99"/>
    </row>
    <row r="1652" spans="20:21" x14ac:dyDescent="0.25">
      <c r="T1652" s="98"/>
      <c r="U1652" s="99"/>
    </row>
    <row r="1653" spans="20:21" x14ac:dyDescent="0.25">
      <c r="T1653" s="98"/>
      <c r="U1653" s="99"/>
    </row>
    <row r="1654" spans="20:21" x14ac:dyDescent="0.25">
      <c r="T1654" s="98"/>
      <c r="U1654" s="99"/>
    </row>
    <row r="1655" spans="20:21" x14ac:dyDescent="0.25">
      <c r="T1655" s="98"/>
      <c r="U1655" s="99"/>
    </row>
    <row r="1656" spans="20:21" x14ac:dyDescent="0.25">
      <c r="T1656" s="98"/>
      <c r="U1656" s="99"/>
    </row>
    <row r="1657" spans="20:21" x14ac:dyDescent="0.25">
      <c r="T1657" s="98"/>
      <c r="U1657" s="99"/>
    </row>
    <row r="1658" spans="20:21" x14ac:dyDescent="0.25">
      <c r="T1658" s="98"/>
      <c r="U1658" s="99"/>
    </row>
    <row r="1659" spans="20:21" x14ac:dyDescent="0.25">
      <c r="T1659" s="98"/>
      <c r="U1659" s="99"/>
    </row>
    <row r="1660" spans="20:21" x14ac:dyDescent="0.25">
      <c r="T1660" s="98"/>
      <c r="U1660" s="99"/>
    </row>
    <row r="1661" spans="20:21" x14ac:dyDescent="0.25">
      <c r="T1661" s="98"/>
      <c r="U1661" s="99"/>
    </row>
    <row r="1662" spans="20:21" x14ac:dyDescent="0.25">
      <c r="T1662" s="98"/>
      <c r="U1662" s="99"/>
    </row>
    <row r="1663" spans="20:21" x14ac:dyDescent="0.25">
      <c r="T1663" s="98"/>
      <c r="U1663" s="99"/>
    </row>
    <row r="1664" spans="20:21" x14ac:dyDescent="0.25">
      <c r="T1664" s="98"/>
      <c r="U1664" s="99"/>
    </row>
    <row r="1665" spans="20:21" x14ac:dyDescent="0.25">
      <c r="T1665" s="98"/>
      <c r="U1665" s="99"/>
    </row>
    <row r="1666" spans="20:21" x14ac:dyDescent="0.25">
      <c r="T1666" s="98"/>
      <c r="U1666" s="99"/>
    </row>
    <row r="1667" spans="20:21" x14ac:dyDescent="0.25">
      <c r="T1667" s="98"/>
      <c r="U1667" s="99"/>
    </row>
    <row r="1668" spans="20:21" x14ac:dyDescent="0.25">
      <c r="T1668" s="98"/>
      <c r="U1668" s="99"/>
    </row>
    <row r="1669" spans="20:21" x14ac:dyDescent="0.25">
      <c r="T1669" s="98"/>
      <c r="U1669" s="99"/>
    </row>
    <row r="1670" spans="20:21" x14ac:dyDescent="0.25">
      <c r="T1670" s="98"/>
      <c r="U1670" s="99"/>
    </row>
    <row r="1671" spans="20:21" x14ac:dyDescent="0.25">
      <c r="T1671" s="98"/>
      <c r="U1671" s="99"/>
    </row>
    <row r="1672" spans="20:21" x14ac:dyDescent="0.25">
      <c r="T1672" s="98"/>
      <c r="U1672" s="99"/>
    </row>
    <row r="1673" spans="20:21" x14ac:dyDescent="0.25">
      <c r="T1673" s="98"/>
      <c r="U1673" s="99"/>
    </row>
    <row r="1674" spans="20:21" x14ac:dyDescent="0.25">
      <c r="T1674" s="98"/>
      <c r="U1674" s="99"/>
    </row>
    <row r="1675" spans="20:21" x14ac:dyDescent="0.25">
      <c r="T1675" s="98"/>
      <c r="U1675" s="99"/>
    </row>
    <row r="1676" spans="20:21" x14ac:dyDescent="0.25">
      <c r="T1676" s="98"/>
      <c r="U1676" s="99"/>
    </row>
    <row r="1677" spans="20:21" x14ac:dyDescent="0.25">
      <c r="T1677" s="98"/>
      <c r="U1677" s="99"/>
    </row>
    <row r="1678" spans="20:21" x14ac:dyDescent="0.25">
      <c r="T1678" s="98"/>
      <c r="U1678" s="99"/>
    </row>
    <row r="1679" spans="20:21" x14ac:dyDescent="0.25">
      <c r="T1679" s="98"/>
      <c r="U1679" s="99"/>
    </row>
    <row r="1680" spans="20:21" x14ac:dyDescent="0.25">
      <c r="T1680" s="98"/>
      <c r="U1680" s="99"/>
    </row>
    <row r="1681" spans="20:21" x14ac:dyDescent="0.25">
      <c r="T1681" s="98"/>
      <c r="U1681" s="99"/>
    </row>
    <row r="1682" spans="20:21" x14ac:dyDescent="0.25">
      <c r="T1682" s="98"/>
      <c r="U1682" s="99"/>
    </row>
    <row r="1683" spans="20:21" x14ac:dyDescent="0.25">
      <c r="T1683" s="98"/>
      <c r="U1683" s="99"/>
    </row>
    <row r="1684" spans="20:21" x14ac:dyDescent="0.25">
      <c r="T1684" s="98"/>
      <c r="U1684" s="99"/>
    </row>
    <row r="1685" spans="20:21" x14ac:dyDescent="0.25">
      <c r="T1685" s="98"/>
      <c r="U1685" s="99"/>
    </row>
    <row r="1686" spans="20:21" x14ac:dyDescent="0.25">
      <c r="T1686" s="98"/>
      <c r="U1686" s="99"/>
    </row>
    <row r="1687" spans="20:21" x14ac:dyDescent="0.25">
      <c r="T1687" s="98"/>
      <c r="U1687" s="99"/>
    </row>
    <row r="1688" spans="20:21" x14ac:dyDescent="0.25">
      <c r="T1688" s="98"/>
      <c r="U1688" s="99"/>
    </row>
    <row r="1689" spans="20:21" x14ac:dyDescent="0.25">
      <c r="T1689" s="98"/>
      <c r="U1689" s="99"/>
    </row>
    <row r="1690" spans="20:21" x14ac:dyDescent="0.25">
      <c r="T1690" s="98"/>
      <c r="U1690" s="99"/>
    </row>
    <row r="1691" spans="20:21" x14ac:dyDescent="0.25">
      <c r="T1691" s="98"/>
      <c r="U1691" s="99"/>
    </row>
    <row r="1692" spans="20:21" x14ac:dyDescent="0.25">
      <c r="T1692" s="98"/>
      <c r="U1692" s="99"/>
    </row>
    <row r="1693" spans="20:21" x14ac:dyDescent="0.25">
      <c r="T1693" s="98"/>
      <c r="U1693" s="99"/>
    </row>
    <row r="1694" spans="20:21" x14ac:dyDescent="0.25">
      <c r="T1694" s="98"/>
      <c r="U1694" s="99"/>
    </row>
    <row r="1695" spans="20:21" x14ac:dyDescent="0.25">
      <c r="T1695" s="98"/>
      <c r="U1695" s="99"/>
    </row>
    <row r="1696" spans="20:21" x14ac:dyDescent="0.25">
      <c r="T1696" s="98"/>
      <c r="U1696" s="99"/>
    </row>
    <row r="1697" spans="20:21" x14ac:dyDescent="0.25">
      <c r="T1697" s="98"/>
      <c r="U1697" s="99"/>
    </row>
    <row r="1698" spans="20:21" x14ac:dyDescent="0.25">
      <c r="T1698" s="98"/>
      <c r="U1698" s="99"/>
    </row>
    <row r="1699" spans="20:21" x14ac:dyDescent="0.25">
      <c r="T1699" s="98"/>
      <c r="U1699" s="99"/>
    </row>
    <row r="1700" spans="20:21" x14ac:dyDescent="0.25">
      <c r="T1700" s="98"/>
      <c r="U1700" s="99"/>
    </row>
    <row r="1701" spans="20:21" x14ac:dyDescent="0.25">
      <c r="T1701" s="98"/>
      <c r="U1701" s="99"/>
    </row>
    <row r="1702" spans="20:21" x14ac:dyDescent="0.25">
      <c r="T1702" s="98"/>
      <c r="U1702" s="99"/>
    </row>
    <row r="1703" spans="20:21" x14ac:dyDescent="0.25">
      <c r="T1703" s="98"/>
      <c r="U1703" s="99"/>
    </row>
    <row r="1704" spans="20:21" x14ac:dyDescent="0.25">
      <c r="T1704" s="98"/>
      <c r="U1704" s="99"/>
    </row>
    <row r="1705" spans="20:21" x14ac:dyDescent="0.25">
      <c r="T1705" s="98"/>
      <c r="U1705" s="99"/>
    </row>
    <row r="1706" spans="20:21" x14ac:dyDescent="0.25">
      <c r="T1706" s="98"/>
      <c r="U1706" s="99"/>
    </row>
    <row r="1707" spans="20:21" x14ac:dyDescent="0.25">
      <c r="T1707" s="98"/>
      <c r="U1707" s="99"/>
    </row>
    <row r="1708" spans="20:21" x14ac:dyDescent="0.25">
      <c r="T1708" s="98"/>
      <c r="U1708" s="99"/>
    </row>
    <row r="1709" spans="20:21" x14ac:dyDescent="0.25">
      <c r="T1709" s="98"/>
      <c r="U1709" s="99"/>
    </row>
    <row r="1710" spans="20:21" x14ac:dyDescent="0.25">
      <c r="T1710" s="98"/>
      <c r="U1710" s="99"/>
    </row>
    <row r="1711" spans="20:21" x14ac:dyDescent="0.25">
      <c r="T1711" s="98"/>
      <c r="U1711" s="99"/>
    </row>
    <row r="1712" spans="20:21" x14ac:dyDescent="0.25">
      <c r="T1712" s="98"/>
      <c r="U1712" s="99"/>
    </row>
    <row r="1713" spans="20:21" x14ac:dyDescent="0.25">
      <c r="T1713" s="98"/>
      <c r="U1713" s="99"/>
    </row>
    <row r="1714" spans="20:21" x14ac:dyDescent="0.25">
      <c r="T1714" s="98"/>
      <c r="U1714" s="99"/>
    </row>
    <row r="1715" spans="20:21" x14ac:dyDescent="0.25">
      <c r="T1715" s="98"/>
      <c r="U1715" s="99"/>
    </row>
    <row r="1716" spans="20:21" x14ac:dyDescent="0.25">
      <c r="T1716" s="98"/>
      <c r="U1716" s="99"/>
    </row>
    <row r="1717" spans="20:21" x14ac:dyDescent="0.25">
      <c r="T1717" s="98"/>
      <c r="U1717" s="99"/>
    </row>
    <row r="1718" spans="20:21" x14ac:dyDescent="0.25">
      <c r="T1718" s="98"/>
      <c r="U1718" s="99"/>
    </row>
    <row r="1719" spans="20:21" x14ac:dyDescent="0.25">
      <c r="T1719" s="98"/>
      <c r="U1719" s="99"/>
    </row>
    <row r="1720" spans="20:21" x14ac:dyDescent="0.25">
      <c r="T1720" s="98"/>
      <c r="U1720" s="99"/>
    </row>
    <row r="1721" spans="20:21" x14ac:dyDescent="0.25">
      <c r="T1721" s="98"/>
      <c r="U1721" s="99"/>
    </row>
    <row r="1722" spans="20:21" x14ac:dyDescent="0.25">
      <c r="T1722" s="98"/>
      <c r="U1722" s="99"/>
    </row>
    <row r="1723" spans="20:21" x14ac:dyDescent="0.25">
      <c r="T1723" s="98"/>
      <c r="U1723" s="99"/>
    </row>
    <row r="1724" spans="20:21" x14ac:dyDescent="0.25">
      <c r="T1724" s="98"/>
      <c r="U1724" s="99"/>
    </row>
    <row r="1725" spans="20:21" x14ac:dyDescent="0.25">
      <c r="T1725" s="98"/>
      <c r="U1725" s="99"/>
    </row>
    <row r="1726" spans="20:21" x14ac:dyDescent="0.25">
      <c r="T1726" s="98"/>
      <c r="U1726" s="99"/>
    </row>
    <row r="1727" spans="20:21" x14ac:dyDescent="0.25">
      <c r="T1727" s="98"/>
      <c r="U1727" s="99"/>
    </row>
    <row r="1728" spans="20:21" x14ac:dyDescent="0.25">
      <c r="T1728" s="98"/>
      <c r="U1728" s="99"/>
    </row>
    <row r="1729" spans="20:21" x14ac:dyDescent="0.25">
      <c r="T1729" s="98"/>
      <c r="U1729" s="99"/>
    </row>
    <row r="1730" spans="20:21" x14ac:dyDescent="0.25">
      <c r="T1730" s="98"/>
      <c r="U1730" s="99"/>
    </row>
    <row r="1731" spans="20:21" x14ac:dyDescent="0.25">
      <c r="T1731" s="98"/>
      <c r="U1731" s="99"/>
    </row>
    <row r="1732" spans="20:21" x14ac:dyDescent="0.25">
      <c r="T1732" s="98"/>
      <c r="U1732" s="99"/>
    </row>
    <row r="1733" spans="20:21" x14ac:dyDescent="0.25">
      <c r="T1733" s="98"/>
      <c r="U1733" s="99"/>
    </row>
    <row r="1734" spans="20:21" x14ac:dyDescent="0.25">
      <c r="T1734" s="98"/>
      <c r="U1734" s="99"/>
    </row>
    <row r="1735" spans="20:21" x14ac:dyDescent="0.25">
      <c r="T1735" s="98"/>
      <c r="U1735" s="99"/>
    </row>
    <row r="1736" spans="20:21" x14ac:dyDescent="0.25">
      <c r="T1736" s="98"/>
      <c r="U1736" s="99"/>
    </row>
    <row r="1737" spans="20:21" x14ac:dyDescent="0.25">
      <c r="T1737" s="98"/>
      <c r="U1737" s="99"/>
    </row>
    <row r="1738" spans="20:21" x14ac:dyDescent="0.25">
      <c r="T1738" s="98"/>
      <c r="U1738" s="99"/>
    </row>
    <row r="1739" spans="20:21" x14ac:dyDescent="0.25">
      <c r="T1739" s="98"/>
      <c r="U1739" s="99"/>
    </row>
    <row r="1740" spans="20:21" x14ac:dyDescent="0.25">
      <c r="T1740" s="98"/>
      <c r="U1740" s="99"/>
    </row>
    <row r="1741" spans="20:21" x14ac:dyDescent="0.25">
      <c r="T1741" s="98"/>
      <c r="U1741" s="99"/>
    </row>
    <row r="1742" spans="20:21" x14ac:dyDescent="0.25">
      <c r="T1742" s="98"/>
      <c r="U1742" s="99"/>
    </row>
    <row r="1743" spans="20:21" x14ac:dyDescent="0.25">
      <c r="T1743" s="98"/>
      <c r="U1743" s="99"/>
    </row>
    <row r="1744" spans="20:21" x14ac:dyDescent="0.25">
      <c r="T1744" s="98"/>
      <c r="U1744" s="99"/>
    </row>
    <row r="1745" spans="20:21" x14ac:dyDescent="0.25">
      <c r="T1745" s="98"/>
      <c r="U1745" s="99"/>
    </row>
    <row r="1746" spans="20:21" x14ac:dyDescent="0.25">
      <c r="T1746" s="98"/>
      <c r="U1746" s="99"/>
    </row>
    <row r="1747" spans="20:21" x14ac:dyDescent="0.25">
      <c r="T1747" s="98"/>
      <c r="U1747" s="99"/>
    </row>
    <row r="1748" spans="20:21" x14ac:dyDescent="0.25">
      <c r="T1748" s="98"/>
      <c r="U1748" s="99"/>
    </row>
    <row r="1749" spans="20:21" x14ac:dyDescent="0.25">
      <c r="T1749" s="98"/>
      <c r="U1749" s="99"/>
    </row>
    <row r="1750" spans="20:21" x14ac:dyDescent="0.25">
      <c r="T1750" s="98"/>
      <c r="U1750" s="99"/>
    </row>
    <row r="1751" spans="20:21" x14ac:dyDescent="0.25">
      <c r="T1751" s="98"/>
      <c r="U1751" s="99"/>
    </row>
    <row r="1752" spans="20:21" x14ac:dyDescent="0.25">
      <c r="T1752" s="98"/>
      <c r="U1752" s="99"/>
    </row>
    <row r="1753" spans="20:21" x14ac:dyDescent="0.25">
      <c r="T1753" s="98"/>
      <c r="U1753" s="99"/>
    </row>
    <row r="1754" spans="20:21" x14ac:dyDescent="0.25">
      <c r="T1754" s="98"/>
      <c r="U1754" s="99"/>
    </row>
    <row r="1755" spans="20:21" x14ac:dyDescent="0.25">
      <c r="T1755" s="98"/>
      <c r="U1755" s="99"/>
    </row>
    <row r="1756" spans="20:21" x14ac:dyDescent="0.25">
      <c r="T1756" s="98"/>
      <c r="U1756" s="99"/>
    </row>
    <row r="1757" spans="20:21" x14ac:dyDescent="0.25">
      <c r="T1757" s="98"/>
      <c r="U1757" s="99"/>
    </row>
    <row r="1758" spans="20:21" x14ac:dyDescent="0.25">
      <c r="T1758" s="98"/>
      <c r="U1758" s="99"/>
    </row>
    <row r="1759" spans="20:21" x14ac:dyDescent="0.25">
      <c r="T1759" s="98"/>
      <c r="U1759" s="99"/>
    </row>
    <row r="1760" spans="20:21" x14ac:dyDescent="0.25">
      <c r="T1760" s="98"/>
      <c r="U1760" s="99"/>
    </row>
    <row r="1761" spans="20:21" x14ac:dyDescent="0.25">
      <c r="T1761" s="98"/>
      <c r="U1761" s="99"/>
    </row>
    <row r="1762" spans="20:21" x14ac:dyDescent="0.25">
      <c r="T1762" s="98"/>
      <c r="U1762" s="99"/>
    </row>
    <row r="1763" spans="20:21" x14ac:dyDescent="0.25">
      <c r="T1763" s="98"/>
      <c r="U1763" s="99"/>
    </row>
    <row r="1764" spans="20:21" x14ac:dyDescent="0.25">
      <c r="T1764" s="98"/>
      <c r="U1764" s="99"/>
    </row>
    <row r="1765" spans="20:21" x14ac:dyDescent="0.25">
      <c r="T1765" s="98"/>
      <c r="U1765" s="99"/>
    </row>
    <row r="1766" spans="20:21" x14ac:dyDescent="0.25">
      <c r="T1766" s="98"/>
      <c r="U1766" s="99"/>
    </row>
    <row r="1767" spans="20:21" x14ac:dyDescent="0.25">
      <c r="T1767" s="98"/>
      <c r="U1767" s="99"/>
    </row>
    <row r="1768" spans="20:21" x14ac:dyDescent="0.25">
      <c r="T1768" s="98"/>
      <c r="U1768" s="99"/>
    </row>
    <row r="1769" spans="20:21" x14ac:dyDescent="0.25">
      <c r="T1769" s="98"/>
      <c r="U1769" s="99"/>
    </row>
    <row r="1770" spans="20:21" x14ac:dyDescent="0.25">
      <c r="T1770" s="98"/>
      <c r="U1770" s="99"/>
    </row>
    <row r="1771" spans="20:21" x14ac:dyDescent="0.25">
      <c r="T1771" s="98"/>
      <c r="U1771" s="99"/>
    </row>
    <row r="1772" spans="20:21" x14ac:dyDescent="0.25">
      <c r="T1772" s="98"/>
      <c r="U1772" s="99"/>
    </row>
    <row r="1773" spans="20:21" x14ac:dyDescent="0.25">
      <c r="T1773" s="98"/>
      <c r="U1773" s="99"/>
    </row>
    <row r="1774" spans="20:21" x14ac:dyDescent="0.25">
      <c r="T1774" s="98"/>
      <c r="U1774" s="99"/>
    </row>
    <row r="1775" spans="20:21" x14ac:dyDescent="0.25">
      <c r="T1775" s="98"/>
      <c r="U1775" s="99"/>
    </row>
    <row r="1776" spans="20:21" x14ac:dyDescent="0.25">
      <c r="T1776" s="98"/>
      <c r="U1776" s="99"/>
    </row>
    <row r="1777" spans="20:21" x14ac:dyDescent="0.25">
      <c r="T1777" s="98"/>
      <c r="U1777" s="99"/>
    </row>
    <row r="1778" spans="20:21" x14ac:dyDescent="0.25">
      <c r="T1778" s="98"/>
      <c r="U1778" s="99"/>
    </row>
    <row r="1779" spans="20:21" x14ac:dyDescent="0.25">
      <c r="T1779" s="98"/>
      <c r="U1779" s="99"/>
    </row>
    <row r="1780" spans="20:21" x14ac:dyDescent="0.25">
      <c r="T1780" s="98"/>
      <c r="U1780" s="99"/>
    </row>
    <row r="1781" spans="20:21" x14ac:dyDescent="0.25">
      <c r="T1781" s="98"/>
      <c r="U1781" s="99"/>
    </row>
    <row r="1782" spans="20:21" x14ac:dyDescent="0.25">
      <c r="T1782" s="98"/>
      <c r="U1782" s="99"/>
    </row>
    <row r="1783" spans="20:21" x14ac:dyDescent="0.25">
      <c r="T1783" s="98"/>
      <c r="U1783" s="99"/>
    </row>
    <row r="1784" spans="20:21" x14ac:dyDescent="0.25">
      <c r="T1784" s="98"/>
      <c r="U1784" s="99"/>
    </row>
    <row r="1785" spans="20:21" x14ac:dyDescent="0.25">
      <c r="T1785" s="98"/>
      <c r="U1785" s="99"/>
    </row>
    <row r="1786" spans="20:21" x14ac:dyDescent="0.25">
      <c r="T1786" s="98"/>
      <c r="U1786" s="99"/>
    </row>
    <row r="1787" spans="20:21" x14ac:dyDescent="0.25">
      <c r="T1787" s="98"/>
      <c r="U1787" s="99"/>
    </row>
    <row r="1788" spans="20:21" x14ac:dyDescent="0.25">
      <c r="T1788" s="98"/>
      <c r="U1788" s="99"/>
    </row>
    <row r="1789" spans="20:21" x14ac:dyDescent="0.25">
      <c r="T1789" s="98"/>
      <c r="U1789" s="99"/>
    </row>
    <row r="1790" spans="20:21" x14ac:dyDescent="0.25">
      <c r="T1790" s="98"/>
      <c r="U1790" s="99"/>
    </row>
    <row r="1791" spans="20:21" x14ac:dyDescent="0.25">
      <c r="T1791" s="98"/>
      <c r="U1791" s="99"/>
    </row>
    <row r="1792" spans="20:21" x14ac:dyDescent="0.25">
      <c r="T1792" s="98"/>
      <c r="U1792" s="99"/>
    </row>
    <row r="1793" spans="20:21" x14ac:dyDescent="0.25">
      <c r="T1793" s="98"/>
      <c r="U1793" s="99"/>
    </row>
    <row r="1794" spans="20:21" x14ac:dyDescent="0.25">
      <c r="T1794" s="98"/>
      <c r="U1794" s="99"/>
    </row>
    <row r="1795" spans="20:21" x14ac:dyDescent="0.25">
      <c r="T1795" s="98"/>
      <c r="U1795" s="99"/>
    </row>
    <row r="1796" spans="20:21" x14ac:dyDescent="0.25">
      <c r="T1796" s="98"/>
      <c r="U1796" s="99"/>
    </row>
    <row r="1797" spans="20:21" x14ac:dyDescent="0.25">
      <c r="T1797" s="98"/>
      <c r="U1797" s="99"/>
    </row>
    <row r="1798" spans="20:21" x14ac:dyDescent="0.25">
      <c r="T1798" s="98"/>
      <c r="U1798" s="99"/>
    </row>
    <row r="1799" spans="20:21" x14ac:dyDescent="0.25">
      <c r="T1799" s="98"/>
      <c r="U1799" s="99"/>
    </row>
    <row r="1800" spans="20:21" x14ac:dyDescent="0.25">
      <c r="T1800" s="98"/>
      <c r="U1800" s="99"/>
    </row>
    <row r="1801" spans="20:21" x14ac:dyDescent="0.25">
      <c r="T1801" s="98"/>
      <c r="U1801" s="99"/>
    </row>
    <row r="1802" spans="20:21" x14ac:dyDescent="0.25">
      <c r="T1802" s="98"/>
      <c r="U1802" s="99"/>
    </row>
    <row r="1803" spans="20:21" x14ac:dyDescent="0.25">
      <c r="T1803" s="98"/>
      <c r="U1803" s="99"/>
    </row>
    <row r="1804" spans="20:21" x14ac:dyDescent="0.25">
      <c r="T1804" s="98"/>
      <c r="U1804" s="99"/>
    </row>
    <row r="1805" spans="20:21" x14ac:dyDescent="0.25">
      <c r="T1805" s="98"/>
      <c r="U1805" s="99"/>
    </row>
    <row r="1806" spans="20:21" x14ac:dyDescent="0.25">
      <c r="T1806" s="98"/>
      <c r="U1806" s="99"/>
    </row>
    <row r="1807" spans="20:21" x14ac:dyDescent="0.25">
      <c r="T1807" s="98"/>
      <c r="U1807" s="99"/>
    </row>
    <row r="1808" spans="20:21" x14ac:dyDescent="0.25">
      <c r="T1808" s="98"/>
      <c r="U1808" s="99"/>
    </row>
    <row r="1809" spans="20:21" x14ac:dyDescent="0.25">
      <c r="T1809" s="98"/>
      <c r="U1809" s="99"/>
    </row>
    <row r="1810" spans="20:21" x14ac:dyDescent="0.25">
      <c r="T1810" s="98"/>
      <c r="U1810" s="99"/>
    </row>
    <row r="1811" spans="20:21" x14ac:dyDescent="0.25">
      <c r="T1811" s="98"/>
      <c r="U1811" s="99"/>
    </row>
    <row r="1812" spans="20:21" x14ac:dyDescent="0.25">
      <c r="T1812" s="98"/>
      <c r="U1812" s="99"/>
    </row>
    <row r="1813" spans="20:21" x14ac:dyDescent="0.25">
      <c r="T1813" s="98"/>
      <c r="U1813" s="99"/>
    </row>
    <row r="1814" spans="20:21" x14ac:dyDescent="0.25">
      <c r="T1814" s="98"/>
      <c r="U1814" s="99"/>
    </row>
    <row r="1815" spans="20:21" x14ac:dyDescent="0.25">
      <c r="T1815" s="98"/>
      <c r="U1815" s="99"/>
    </row>
    <row r="1816" spans="20:21" x14ac:dyDescent="0.25">
      <c r="T1816" s="98"/>
      <c r="U1816" s="99"/>
    </row>
    <row r="1817" spans="20:21" x14ac:dyDescent="0.25">
      <c r="T1817" s="98"/>
      <c r="U1817" s="99"/>
    </row>
    <row r="1818" spans="20:21" x14ac:dyDescent="0.25">
      <c r="T1818" s="98"/>
      <c r="U1818" s="99"/>
    </row>
    <row r="1819" spans="20:21" x14ac:dyDescent="0.25">
      <c r="T1819" s="98"/>
      <c r="U1819" s="99"/>
    </row>
    <row r="1820" spans="20:21" x14ac:dyDescent="0.25">
      <c r="T1820" s="98"/>
      <c r="U1820" s="99"/>
    </row>
    <row r="1821" spans="20:21" x14ac:dyDescent="0.25">
      <c r="T1821" s="98"/>
      <c r="U1821" s="99"/>
    </row>
    <row r="1822" spans="20:21" x14ac:dyDescent="0.25">
      <c r="T1822" s="98"/>
      <c r="U1822" s="99"/>
    </row>
    <row r="1823" spans="20:21" x14ac:dyDescent="0.25">
      <c r="T1823" s="98"/>
      <c r="U1823" s="99"/>
    </row>
    <row r="1824" spans="20:21" x14ac:dyDescent="0.25">
      <c r="T1824" s="98"/>
      <c r="U1824" s="99"/>
    </row>
    <row r="1825" spans="20:21" x14ac:dyDescent="0.25">
      <c r="T1825" s="98"/>
      <c r="U1825" s="99"/>
    </row>
    <row r="1826" spans="20:21" x14ac:dyDescent="0.25">
      <c r="T1826" s="98"/>
      <c r="U1826" s="99"/>
    </row>
    <row r="1827" spans="20:21" x14ac:dyDescent="0.25">
      <c r="T1827" s="98"/>
      <c r="U1827" s="99"/>
    </row>
    <row r="1828" spans="20:21" x14ac:dyDescent="0.25">
      <c r="T1828" s="98"/>
      <c r="U1828" s="99"/>
    </row>
    <row r="1829" spans="20:21" x14ac:dyDescent="0.25">
      <c r="T1829" s="98"/>
      <c r="U1829" s="99"/>
    </row>
    <row r="1830" spans="20:21" x14ac:dyDescent="0.25">
      <c r="T1830" s="98"/>
      <c r="U1830" s="99"/>
    </row>
    <row r="1831" spans="20:21" x14ac:dyDescent="0.25">
      <c r="T1831" s="98"/>
      <c r="U1831" s="99"/>
    </row>
    <row r="1832" spans="20:21" x14ac:dyDescent="0.25">
      <c r="T1832" s="98"/>
      <c r="U1832" s="99"/>
    </row>
    <row r="1833" spans="20:21" x14ac:dyDescent="0.25">
      <c r="T1833" s="98"/>
      <c r="U1833" s="99"/>
    </row>
    <row r="1834" spans="20:21" x14ac:dyDescent="0.25">
      <c r="T1834" s="98"/>
      <c r="U1834" s="99"/>
    </row>
    <row r="1835" spans="20:21" x14ac:dyDescent="0.25">
      <c r="T1835" s="98"/>
      <c r="U1835" s="99"/>
    </row>
    <row r="1836" spans="20:21" x14ac:dyDescent="0.25">
      <c r="T1836" s="98"/>
      <c r="U1836" s="99"/>
    </row>
    <row r="1837" spans="20:21" x14ac:dyDescent="0.25">
      <c r="T1837" s="98"/>
      <c r="U1837" s="99"/>
    </row>
    <row r="1838" spans="20:21" x14ac:dyDescent="0.25">
      <c r="T1838" s="98"/>
      <c r="U1838" s="99"/>
    </row>
    <row r="1839" spans="20:21" x14ac:dyDescent="0.25">
      <c r="T1839" s="98"/>
      <c r="U1839" s="99"/>
    </row>
    <row r="1840" spans="20:21" x14ac:dyDescent="0.25">
      <c r="T1840" s="98"/>
      <c r="U1840" s="99"/>
    </row>
    <row r="1841" spans="20:21" x14ac:dyDescent="0.25">
      <c r="T1841" s="98"/>
      <c r="U1841" s="99"/>
    </row>
    <row r="1842" spans="20:21" x14ac:dyDescent="0.25">
      <c r="T1842" s="98"/>
      <c r="U1842" s="99"/>
    </row>
    <row r="1843" spans="20:21" x14ac:dyDescent="0.25">
      <c r="T1843" s="98"/>
      <c r="U1843" s="99"/>
    </row>
    <row r="1844" spans="20:21" x14ac:dyDescent="0.25">
      <c r="T1844" s="98"/>
      <c r="U1844" s="99"/>
    </row>
    <row r="1845" spans="20:21" x14ac:dyDescent="0.25">
      <c r="T1845" s="98"/>
      <c r="U1845" s="99"/>
    </row>
    <row r="1846" spans="20:21" x14ac:dyDescent="0.25">
      <c r="T1846" s="98"/>
      <c r="U1846" s="99"/>
    </row>
    <row r="1847" spans="20:21" x14ac:dyDescent="0.25">
      <c r="T1847" s="98"/>
      <c r="U1847" s="99"/>
    </row>
    <row r="1848" spans="20:21" x14ac:dyDescent="0.25">
      <c r="T1848" s="98"/>
      <c r="U1848" s="99"/>
    </row>
    <row r="1849" spans="20:21" x14ac:dyDescent="0.25">
      <c r="T1849" s="98"/>
      <c r="U1849" s="99"/>
    </row>
    <row r="1850" spans="20:21" x14ac:dyDescent="0.25">
      <c r="T1850" s="98"/>
      <c r="U1850" s="99"/>
    </row>
    <row r="1851" spans="20:21" x14ac:dyDescent="0.25">
      <c r="T1851" s="98"/>
      <c r="U1851" s="99"/>
    </row>
    <row r="1852" spans="20:21" x14ac:dyDescent="0.25">
      <c r="T1852" s="98"/>
      <c r="U1852" s="99"/>
    </row>
    <row r="1853" spans="20:21" x14ac:dyDescent="0.25">
      <c r="T1853" s="98"/>
      <c r="U1853" s="99"/>
    </row>
    <row r="1854" spans="20:21" x14ac:dyDescent="0.25">
      <c r="T1854" s="98"/>
      <c r="U1854" s="99"/>
    </row>
    <row r="1855" spans="20:21" x14ac:dyDescent="0.25">
      <c r="T1855" s="98"/>
      <c r="U1855" s="99"/>
    </row>
    <row r="1856" spans="20:21" x14ac:dyDescent="0.25">
      <c r="T1856" s="98"/>
      <c r="U1856" s="99"/>
    </row>
    <row r="1857" spans="20:21" x14ac:dyDescent="0.25">
      <c r="T1857" s="98"/>
      <c r="U1857" s="99"/>
    </row>
    <row r="1858" spans="20:21" x14ac:dyDescent="0.25">
      <c r="T1858" s="98"/>
      <c r="U1858" s="99"/>
    </row>
    <row r="1859" spans="20:21" x14ac:dyDescent="0.25">
      <c r="T1859" s="98"/>
      <c r="U1859" s="99"/>
    </row>
    <row r="1860" spans="20:21" x14ac:dyDescent="0.25">
      <c r="T1860" s="98"/>
      <c r="U1860" s="99"/>
    </row>
    <row r="1861" spans="20:21" x14ac:dyDescent="0.25">
      <c r="T1861" s="98"/>
      <c r="U1861" s="99"/>
    </row>
    <row r="1862" spans="20:21" x14ac:dyDescent="0.25">
      <c r="T1862" s="98"/>
      <c r="U1862" s="99"/>
    </row>
    <row r="1863" spans="20:21" x14ac:dyDescent="0.25">
      <c r="T1863" s="98"/>
      <c r="U1863" s="99"/>
    </row>
    <row r="1864" spans="20:21" x14ac:dyDescent="0.25">
      <c r="T1864" s="98"/>
      <c r="U1864" s="99"/>
    </row>
    <row r="1865" spans="20:21" x14ac:dyDescent="0.25">
      <c r="T1865" s="98"/>
      <c r="U1865" s="99"/>
    </row>
    <row r="1866" spans="20:21" x14ac:dyDescent="0.25">
      <c r="T1866" s="98"/>
      <c r="U1866" s="99"/>
    </row>
    <row r="1867" spans="20:21" x14ac:dyDescent="0.25">
      <c r="T1867" s="98"/>
      <c r="U1867" s="99"/>
    </row>
    <row r="1868" spans="20:21" x14ac:dyDescent="0.25">
      <c r="T1868" s="98"/>
      <c r="U1868" s="99"/>
    </row>
    <row r="1869" spans="20:21" x14ac:dyDescent="0.25">
      <c r="T1869" s="98"/>
      <c r="U1869" s="99"/>
    </row>
    <row r="1870" spans="20:21" x14ac:dyDescent="0.25">
      <c r="T1870" s="98"/>
      <c r="U1870" s="99"/>
    </row>
    <row r="1871" spans="20:21" x14ac:dyDescent="0.25">
      <c r="T1871" s="98"/>
      <c r="U1871" s="99"/>
    </row>
    <row r="1872" spans="20:21" x14ac:dyDescent="0.25">
      <c r="T1872" s="98"/>
      <c r="U1872" s="99"/>
    </row>
    <row r="1873" spans="20:21" x14ac:dyDescent="0.25">
      <c r="T1873" s="98"/>
      <c r="U1873" s="99"/>
    </row>
    <row r="1874" spans="20:21" x14ac:dyDescent="0.25">
      <c r="T1874" s="98"/>
      <c r="U1874" s="99"/>
    </row>
    <row r="1875" spans="20:21" x14ac:dyDescent="0.25">
      <c r="T1875" s="98"/>
      <c r="U1875" s="99"/>
    </row>
    <row r="1876" spans="20:21" x14ac:dyDescent="0.25">
      <c r="T1876" s="98"/>
      <c r="U1876" s="99"/>
    </row>
    <row r="1877" spans="20:21" x14ac:dyDescent="0.25">
      <c r="T1877" s="98"/>
      <c r="U1877" s="99"/>
    </row>
    <row r="1878" spans="20:21" x14ac:dyDescent="0.25">
      <c r="T1878" s="98"/>
      <c r="U1878" s="99"/>
    </row>
    <row r="1879" spans="20:21" x14ac:dyDescent="0.25">
      <c r="T1879" s="98"/>
      <c r="U1879" s="99"/>
    </row>
    <row r="1880" spans="20:21" x14ac:dyDescent="0.25">
      <c r="T1880" s="98"/>
      <c r="U1880" s="99"/>
    </row>
    <row r="1881" spans="20:21" x14ac:dyDescent="0.25">
      <c r="T1881" s="98"/>
      <c r="U1881" s="99"/>
    </row>
    <row r="1882" spans="20:21" x14ac:dyDescent="0.25">
      <c r="T1882" s="98"/>
      <c r="U1882" s="99"/>
    </row>
    <row r="1883" spans="20:21" x14ac:dyDescent="0.25">
      <c r="T1883" s="98"/>
      <c r="U1883" s="99"/>
    </row>
    <row r="1884" spans="20:21" x14ac:dyDescent="0.25">
      <c r="T1884" s="98"/>
      <c r="U1884" s="99"/>
    </row>
    <row r="1885" spans="20:21" x14ac:dyDescent="0.25">
      <c r="T1885" s="98"/>
      <c r="U1885" s="99"/>
    </row>
    <row r="1886" spans="20:21" x14ac:dyDescent="0.25">
      <c r="T1886" s="98"/>
      <c r="U1886" s="99"/>
    </row>
    <row r="1887" spans="20:21" x14ac:dyDescent="0.25">
      <c r="T1887" s="98"/>
      <c r="U1887" s="99"/>
    </row>
    <row r="1888" spans="20:21" x14ac:dyDescent="0.25">
      <c r="T1888" s="98"/>
      <c r="U1888" s="99"/>
    </row>
    <row r="1889" spans="20:21" x14ac:dyDescent="0.25">
      <c r="T1889" s="98"/>
      <c r="U1889" s="99"/>
    </row>
    <row r="1890" spans="20:21" x14ac:dyDescent="0.25">
      <c r="T1890" s="98"/>
      <c r="U1890" s="99"/>
    </row>
    <row r="1891" spans="20:21" x14ac:dyDescent="0.25">
      <c r="T1891" s="98"/>
      <c r="U1891" s="99"/>
    </row>
    <row r="1892" spans="20:21" x14ac:dyDescent="0.25">
      <c r="T1892" s="98"/>
      <c r="U1892" s="99"/>
    </row>
    <row r="1893" spans="20:21" x14ac:dyDescent="0.25">
      <c r="T1893" s="98"/>
      <c r="U1893" s="99"/>
    </row>
    <row r="1894" spans="20:21" x14ac:dyDescent="0.25">
      <c r="T1894" s="98"/>
      <c r="U1894" s="99"/>
    </row>
    <row r="1895" spans="20:21" x14ac:dyDescent="0.25">
      <c r="T1895" s="98"/>
      <c r="U1895" s="99"/>
    </row>
    <row r="1896" spans="20:21" x14ac:dyDescent="0.25">
      <c r="T1896" s="98"/>
      <c r="U1896" s="99"/>
    </row>
    <row r="1897" spans="20:21" x14ac:dyDescent="0.25">
      <c r="T1897" s="98"/>
      <c r="U1897" s="99"/>
    </row>
    <row r="1898" spans="20:21" x14ac:dyDescent="0.25">
      <c r="T1898" s="98"/>
      <c r="U1898" s="99"/>
    </row>
    <row r="1899" spans="20:21" x14ac:dyDescent="0.25">
      <c r="T1899" s="98"/>
      <c r="U1899" s="99"/>
    </row>
    <row r="1900" spans="20:21" x14ac:dyDescent="0.25">
      <c r="T1900" s="98"/>
      <c r="U1900" s="99"/>
    </row>
    <row r="1901" spans="20:21" x14ac:dyDescent="0.25">
      <c r="T1901" s="98"/>
      <c r="U1901" s="99"/>
    </row>
    <row r="1902" spans="20:21" x14ac:dyDescent="0.25">
      <c r="T1902" s="98"/>
      <c r="U1902" s="99"/>
    </row>
    <row r="1903" spans="20:21" x14ac:dyDescent="0.25">
      <c r="T1903" s="98"/>
      <c r="U1903" s="99"/>
    </row>
    <row r="1904" spans="20:21" x14ac:dyDescent="0.25">
      <c r="T1904" s="98"/>
      <c r="U1904" s="99"/>
    </row>
    <row r="1905" spans="20:21" x14ac:dyDescent="0.25">
      <c r="T1905" s="98"/>
      <c r="U1905" s="99"/>
    </row>
    <row r="1906" spans="20:21" x14ac:dyDescent="0.25">
      <c r="T1906" s="98"/>
      <c r="U1906" s="99"/>
    </row>
    <row r="1907" spans="20:21" x14ac:dyDescent="0.25">
      <c r="T1907" s="98"/>
      <c r="U1907" s="99"/>
    </row>
    <row r="1908" spans="20:21" x14ac:dyDescent="0.25">
      <c r="T1908" s="98"/>
      <c r="U1908" s="99"/>
    </row>
    <row r="1909" spans="20:21" x14ac:dyDescent="0.25">
      <c r="T1909" s="98"/>
      <c r="U1909" s="99"/>
    </row>
    <row r="1910" spans="20:21" x14ac:dyDescent="0.25">
      <c r="T1910" s="98"/>
      <c r="U1910" s="99"/>
    </row>
    <row r="1911" spans="20:21" x14ac:dyDescent="0.25">
      <c r="T1911" s="98"/>
      <c r="U1911" s="99"/>
    </row>
    <row r="1912" spans="20:21" x14ac:dyDescent="0.25">
      <c r="T1912" s="98"/>
      <c r="U1912" s="99"/>
    </row>
    <row r="1913" spans="20:21" x14ac:dyDescent="0.25">
      <c r="T1913" s="98"/>
      <c r="U1913" s="99"/>
    </row>
    <row r="1914" spans="20:21" x14ac:dyDescent="0.25">
      <c r="T1914" s="98"/>
      <c r="U1914" s="99"/>
    </row>
    <row r="1915" spans="20:21" x14ac:dyDescent="0.25">
      <c r="T1915" s="98"/>
      <c r="U1915" s="99"/>
    </row>
    <row r="1916" spans="20:21" x14ac:dyDescent="0.25">
      <c r="T1916" s="98"/>
      <c r="U1916" s="99"/>
    </row>
    <row r="1917" spans="20:21" x14ac:dyDescent="0.25">
      <c r="T1917" s="98"/>
      <c r="U1917" s="99"/>
    </row>
    <row r="1918" spans="20:21" x14ac:dyDescent="0.25">
      <c r="T1918" s="98"/>
      <c r="U1918" s="99"/>
    </row>
    <row r="1919" spans="20:21" x14ac:dyDescent="0.25">
      <c r="T1919" s="98"/>
      <c r="U1919" s="99"/>
    </row>
    <row r="1920" spans="20:21" x14ac:dyDescent="0.25">
      <c r="T1920" s="98"/>
      <c r="U1920" s="99"/>
    </row>
    <row r="1921" spans="20:21" x14ac:dyDescent="0.25">
      <c r="T1921" s="98"/>
      <c r="U1921" s="99"/>
    </row>
    <row r="1922" spans="20:21" x14ac:dyDescent="0.25">
      <c r="T1922" s="98"/>
      <c r="U1922" s="99"/>
    </row>
    <row r="1923" spans="20:21" x14ac:dyDescent="0.25">
      <c r="T1923" s="98"/>
      <c r="U1923" s="99"/>
    </row>
    <row r="1924" spans="20:21" x14ac:dyDescent="0.25">
      <c r="T1924" s="98"/>
      <c r="U1924" s="99"/>
    </row>
    <row r="1925" spans="20:21" x14ac:dyDescent="0.25">
      <c r="T1925" s="98"/>
      <c r="U1925" s="99"/>
    </row>
    <row r="1926" spans="20:21" x14ac:dyDescent="0.25">
      <c r="T1926" s="98"/>
      <c r="U1926" s="99"/>
    </row>
    <row r="1927" spans="20:21" x14ac:dyDescent="0.25">
      <c r="T1927" s="98"/>
      <c r="U1927" s="99"/>
    </row>
    <row r="1928" spans="20:21" x14ac:dyDescent="0.25">
      <c r="T1928" s="98"/>
      <c r="U1928" s="99"/>
    </row>
    <row r="1929" spans="20:21" x14ac:dyDescent="0.25">
      <c r="T1929" s="98"/>
      <c r="U1929" s="99"/>
    </row>
    <row r="1930" spans="20:21" x14ac:dyDescent="0.25">
      <c r="T1930" s="98"/>
      <c r="U1930" s="99"/>
    </row>
    <row r="1931" spans="20:21" x14ac:dyDescent="0.25">
      <c r="T1931" s="98"/>
      <c r="U1931" s="99"/>
    </row>
    <row r="1932" spans="20:21" x14ac:dyDescent="0.25">
      <c r="T1932" s="98"/>
      <c r="U1932" s="99"/>
    </row>
    <row r="1933" spans="20:21" x14ac:dyDescent="0.25">
      <c r="T1933" s="98"/>
      <c r="U1933" s="99"/>
    </row>
    <row r="1934" spans="20:21" x14ac:dyDescent="0.25">
      <c r="T1934" s="98"/>
      <c r="U1934" s="99"/>
    </row>
    <row r="1935" spans="20:21" x14ac:dyDescent="0.25">
      <c r="T1935" s="98"/>
      <c r="U1935" s="99"/>
    </row>
    <row r="1936" spans="20:21" x14ac:dyDescent="0.25">
      <c r="T1936" s="98"/>
      <c r="U1936" s="99"/>
    </row>
    <row r="1937" spans="20:21" x14ac:dyDescent="0.25">
      <c r="T1937" s="98"/>
      <c r="U1937" s="99"/>
    </row>
    <row r="1938" spans="20:21" x14ac:dyDescent="0.25">
      <c r="T1938" s="98"/>
      <c r="U1938" s="99"/>
    </row>
    <row r="1939" spans="20:21" x14ac:dyDescent="0.25">
      <c r="T1939" s="98"/>
      <c r="U1939" s="99"/>
    </row>
    <row r="1940" spans="20:21" x14ac:dyDescent="0.25">
      <c r="T1940" s="98"/>
      <c r="U1940" s="99"/>
    </row>
    <row r="1941" spans="20:21" x14ac:dyDescent="0.25">
      <c r="T1941" s="98"/>
      <c r="U1941" s="99"/>
    </row>
    <row r="1942" spans="20:21" x14ac:dyDescent="0.25">
      <c r="T1942" s="98"/>
      <c r="U1942" s="99"/>
    </row>
    <row r="1943" spans="20:21" x14ac:dyDescent="0.25">
      <c r="T1943" s="98"/>
      <c r="U1943" s="99"/>
    </row>
    <row r="1944" spans="20:21" x14ac:dyDescent="0.25">
      <c r="T1944" s="98"/>
      <c r="U1944" s="99"/>
    </row>
    <row r="1945" spans="20:21" x14ac:dyDescent="0.25">
      <c r="T1945" s="98"/>
      <c r="U1945" s="99"/>
    </row>
    <row r="1946" spans="20:21" x14ac:dyDescent="0.25">
      <c r="T1946" s="98"/>
      <c r="U1946" s="99"/>
    </row>
    <row r="1947" spans="20:21" x14ac:dyDescent="0.25">
      <c r="T1947" s="98"/>
      <c r="U1947" s="99"/>
    </row>
    <row r="1948" spans="20:21" x14ac:dyDescent="0.25">
      <c r="T1948" s="98"/>
      <c r="U1948" s="99"/>
    </row>
    <row r="1949" spans="20:21" x14ac:dyDescent="0.25">
      <c r="T1949" s="98"/>
      <c r="U1949" s="99"/>
    </row>
    <row r="1950" spans="20:21" x14ac:dyDescent="0.25">
      <c r="T1950" s="98"/>
      <c r="U1950" s="99"/>
    </row>
    <row r="1951" spans="20:21" x14ac:dyDescent="0.25">
      <c r="T1951" s="98"/>
      <c r="U1951" s="99"/>
    </row>
    <row r="1952" spans="20:21" x14ac:dyDescent="0.25">
      <c r="T1952" s="98"/>
      <c r="U1952" s="99"/>
    </row>
    <row r="1953" spans="20:21" x14ac:dyDescent="0.25">
      <c r="T1953" s="98"/>
      <c r="U1953" s="99"/>
    </row>
    <row r="1954" spans="20:21" x14ac:dyDescent="0.25">
      <c r="T1954" s="98"/>
      <c r="U1954" s="99"/>
    </row>
    <row r="1955" spans="20:21" x14ac:dyDescent="0.25">
      <c r="T1955" s="98"/>
      <c r="U1955" s="99"/>
    </row>
    <row r="1956" spans="20:21" x14ac:dyDescent="0.25">
      <c r="T1956" s="98"/>
      <c r="U1956" s="99"/>
    </row>
    <row r="1957" spans="20:21" x14ac:dyDescent="0.25">
      <c r="T1957" s="98"/>
      <c r="U1957" s="99"/>
    </row>
    <row r="1958" spans="20:21" x14ac:dyDescent="0.25">
      <c r="T1958" s="98"/>
      <c r="U1958" s="99"/>
    </row>
    <row r="1959" spans="20:21" x14ac:dyDescent="0.25">
      <c r="T1959" s="98"/>
      <c r="U1959" s="99"/>
    </row>
    <row r="1960" spans="20:21" x14ac:dyDescent="0.25">
      <c r="T1960" s="98"/>
      <c r="U1960" s="99"/>
    </row>
    <row r="1961" spans="20:21" x14ac:dyDescent="0.25">
      <c r="T1961" s="98"/>
      <c r="U1961" s="99"/>
    </row>
    <row r="1962" spans="20:21" x14ac:dyDescent="0.25">
      <c r="T1962" s="98"/>
      <c r="U1962" s="99"/>
    </row>
    <row r="1963" spans="20:21" x14ac:dyDescent="0.25">
      <c r="T1963" s="98"/>
      <c r="U1963" s="99"/>
    </row>
    <row r="1964" spans="20:21" x14ac:dyDescent="0.25">
      <c r="T1964" s="98"/>
      <c r="U1964" s="99"/>
    </row>
    <row r="1965" spans="20:21" x14ac:dyDescent="0.25">
      <c r="T1965" s="98"/>
      <c r="U1965" s="99"/>
    </row>
    <row r="1966" spans="20:21" x14ac:dyDescent="0.25">
      <c r="T1966" s="98"/>
      <c r="U1966" s="99"/>
    </row>
    <row r="1967" spans="20:21" x14ac:dyDescent="0.25">
      <c r="T1967" s="98"/>
      <c r="U1967" s="99"/>
    </row>
    <row r="1968" spans="20:21" x14ac:dyDescent="0.25">
      <c r="T1968" s="98"/>
      <c r="U1968" s="99"/>
    </row>
    <row r="1969" spans="20:21" x14ac:dyDescent="0.25">
      <c r="T1969" s="98"/>
      <c r="U1969" s="99"/>
    </row>
    <row r="1970" spans="20:21" x14ac:dyDescent="0.25">
      <c r="T1970" s="98"/>
      <c r="U1970" s="99"/>
    </row>
    <row r="1971" spans="20:21" x14ac:dyDescent="0.25">
      <c r="T1971" s="98"/>
      <c r="U1971" s="99"/>
    </row>
    <row r="1972" spans="20:21" x14ac:dyDescent="0.25">
      <c r="T1972" s="98"/>
      <c r="U1972" s="99"/>
    </row>
    <row r="1973" spans="20:21" x14ac:dyDescent="0.25">
      <c r="T1973" s="98"/>
      <c r="U1973" s="99"/>
    </row>
    <row r="1974" spans="20:21" x14ac:dyDescent="0.25">
      <c r="T1974" s="98"/>
      <c r="U1974" s="99"/>
    </row>
    <row r="1975" spans="20:21" x14ac:dyDescent="0.25">
      <c r="T1975" s="98"/>
      <c r="U1975" s="99"/>
    </row>
    <row r="1976" spans="20:21" x14ac:dyDescent="0.25">
      <c r="T1976" s="98"/>
      <c r="U1976" s="99"/>
    </row>
    <row r="1977" spans="20:21" x14ac:dyDescent="0.25">
      <c r="T1977" s="98"/>
      <c r="U1977" s="99"/>
    </row>
    <row r="1978" spans="20:21" x14ac:dyDescent="0.25">
      <c r="T1978" s="98"/>
      <c r="U1978" s="99"/>
    </row>
    <row r="1979" spans="20:21" x14ac:dyDescent="0.25">
      <c r="T1979" s="98"/>
      <c r="U1979" s="99"/>
    </row>
    <row r="1980" spans="20:21" x14ac:dyDescent="0.25">
      <c r="T1980" s="98"/>
      <c r="U1980" s="99"/>
    </row>
    <row r="1981" spans="20:21" x14ac:dyDescent="0.25">
      <c r="T1981" s="98"/>
      <c r="U1981" s="99"/>
    </row>
    <row r="1982" spans="20:21" x14ac:dyDescent="0.25">
      <c r="T1982" s="98"/>
      <c r="U1982" s="99"/>
    </row>
    <row r="1983" spans="20:21" x14ac:dyDescent="0.25">
      <c r="T1983" s="98"/>
      <c r="U1983" s="99"/>
    </row>
    <row r="1984" spans="20:21" x14ac:dyDescent="0.25">
      <c r="T1984" s="98"/>
      <c r="U1984" s="99"/>
    </row>
    <row r="1985" spans="20:21" x14ac:dyDescent="0.25">
      <c r="T1985" s="98"/>
      <c r="U1985" s="99"/>
    </row>
    <row r="1986" spans="20:21" x14ac:dyDescent="0.25">
      <c r="T1986" s="98"/>
      <c r="U1986" s="99"/>
    </row>
    <row r="1987" spans="20:21" x14ac:dyDescent="0.25">
      <c r="T1987" s="98"/>
      <c r="U1987" s="99"/>
    </row>
    <row r="1988" spans="20:21" x14ac:dyDescent="0.25">
      <c r="T1988" s="98"/>
      <c r="U1988" s="99"/>
    </row>
    <row r="1989" spans="20:21" x14ac:dyDescent="0.25">
      <c r="T1989" s="98"/>
      <c r="U1989" s="99"/>
    </row>
    <row r="1990" spans="20:21" x14ac:dyDescent="0.25">
      <c r="T1990" s="98"/>
      <c r="U1990" s="99"/>
    </row>
    <row r="1991" spans="20:21" x14ac:dyDescent="0.25">
      <c r="T1991" s="98"/>
      <c r="U1991" s="99"/>
    </row>
    <row r="1992" spans="20:21" x14ac:dyDescent="0.25">
      <c r="T1992" s="98"/>
      <c r="U1992" s="99"/>
    </row>
    <row r="1993" spans="20:21" x14ac:dyDescent="0.25">
      <c r="T1993" s="98"/>
      <c r="U1993" s="99"/>
    </row>
    <row r="1994" spans="20:21" x14ac:dyDescent="0.25">
      <c r="T1994" s="98"/>
      <c r="U1994" s="99"/>
    </row>
    <row r="1995" spans="20:21" x14ac:dyDescent="0.25">
      <c r="T1995" s="98"/>
      <c r="U1995" s="99"/>
    </row>
    <row r="1996" spans="20:21" x14ac:dyDescent="0.25">
      <c r="T1996" s="98"/>
      <c r="U1996" s="99"/>
    </row>
    <row r="1997" spans="20:21" x14ac:dyDescent="0.25">
      <c r="T1997" s="98"/>
      <c r="U1997" s="99"/>
    </row>
    <row r="1998" spans="20:21" x14ac:dyDescent="0.25">
      <c r="T1998" s="98"/>
      <c r="U1998" s="99"/>
    </row>
    <row r="1999" spans="20:21" x14ac:dyDescent="0.25">
      <c r="T1999" s="98"/>
      <c r="U1999" s="99"/>
    </row>
    <row r="2000" spans="20:21" x14ac:dyDescent="0.25">
      <c r="T2000" s="98"/>
      <c r="U2000" s="99"/>
    </row>
    <row r="2001" spans="20:21" x14ac:dyDescent="0.25">
      <c r="T2001" s="98"/>
      <c r="U2001" s="99"/>
    </row>
    <row r="2002" spans="20:21" x14ac:dyDescent="0.25">
      <c r="T2002" s="98"/>
      <c r="U2002" s="99"/>
    </row>
    <row r="2003" spans="20:21" x14ac:dyDescent="0.25">
      <c r="T2003" s="98"/>
      <c r="U2003" s="99"/>
    </row>
    <row r="2004" spans="20:21" x14ac:dyDescent="0.25">
      <c r="T2004" s="98"/>
      <c r="U2004" s="99"/>
    </row>
    <row r="2005" spans="20:21" x14ac:dyDescent="0.25">
      <c r="T2005" s="98"/>
      <c r="U2005" s="99"/>
    </row>
    <row r="2006" spans="20:21" x14ac:dyDescent="0.25">
      <c r="T2006" s="98"/>
      <c r="U2006" s="99"/>
    </row>
    <row r="2007" spans="20:21" x14ac:dyDescent="0.25">
      <c r="T2007" s="98"/>
      <c r="U2007" s="99"/>
    </row>
    <row r="2008" spans="20:21" x14ac:dyDescent="0.25">
      <c r="T2008" s="98"/>
      <c r="U2008" s="99"/>
    </row>
    <row r="2009" spans="20:21" x14ac:dyDescent="0.25">
      <c r="T2009" s="98"/>
      <c r="U2009" s="99"/>
    </row>
    <row r="2010" spans="20:21" x14ac:dyDescent="0.25">
      <c r="T2010" s="98"/>
      <c r="U2010" s="99"/>
    </row>
    <row r="2011" spans="20:21" x14ac:dyDescent="0.25">
      <c r="T2011" s="98"/>
      <c r="U2011" s="99"/>
    </row>
    <row r="2012" spans="20:21" x14ac:dyDescent="0.25">
      <c r="T2012" s="98"/>
      <c r="U2012" s="99"/>
    </row>
    <row r="2013" spans="20:21" x14ac:dyDescent="0.25">
      <c r="T2013" s="98"/>
      <c r="U2013" s="99"/>
    </row>
    <row r="2014" spans="20:21" x14ac:dyDescent="0.25">
      <c r="T2014" s="98"/>
      <c r="U2014" s="99"/>
    </row>
    <row r="2015" spans="20:21" x14ac:dyDescent="0.25">
      <c r="T2015" s="98"/>
      <c r="U2015" s="99"/>
    </row>
    <row r="2016" spans="20:21" x14ac:dyDescent="0.25">
      <c r="T2016" s="98"/>
      <c r="U2016" s="99"/>
    </row>
    <row r="2017" spans="20:21" x14ac:dyDescent="0.25">
      <c r="T2017" s="98"/>
      <c r="U2017" s="99"/>
    </row>
    <row r="2018" spans="20:21" x14ac:dyDescent="0.25">
      <c r="T2018" s="98"/>
      <c r="U2018" s="99"/>
    </row>
    <row r="2019" spans="20:21" x14ac:dyDescent="0.25">
      <c r="T2019" s="98"/>
      <c r="U2019" s="99"/>
    </row>
    <row r="2020" spans="20:21" x14ac:dyDescent="0.25">
      <c r="T2020" s="98"/>
      <c r="U2020" s="99"/>
    </row>
    <row r="2021" spans="20:21" x14ac:dyDescent="0.25">
      <c r="T2021" s="98"/>
      <c r="U2021" s="99"/>
    </row>
    <row r="2022" spans="20:21" x14ac:dyDescent="0.25">
      <c r="T2022" s="98"/>
      <c r="U2022" s="99"/>
    </row>
    <row r="2023" spans="20:21" x14ac:dyDescent="0.25">
      <c r="T2023" s="98"/>
      <c r="U2023" s="99"/>
    </row>
    <row r="2024" spans="20:21" x14ac:dyDescent="0.25">
      <c r="T2024" s="98"/>
      <c r="U2024" s="99"/>
    </row>
    <row r="2025" spans="20:21" x14ac:dyDescent="0.25">
      <c r="T2025" s="98"/>
      <c r="U2025" s="99"/>
    </row>
    <row r="2026" spans="20:21" x14ac:dyDescent="0.25">
      <c r="T2026" s="98"/>
      <c r="U2026" s="99"/>
    </row>
    <row r="2027" spans="20:21" x14ac:dyDescent="0.25">
      <c r="T2027" s="98"/>
      <c r="U2027" s="99"/>
    </row>
    <row r="2028" spans="20:21" x14ac:dyDescent="0.25">
      <c r="T2028" s="98"/>
      <c r="U2028" s="99"/>
    </row>
    <row r="2029" spans="20:21" x14ac:dyDescent="0.25">
      <c r="T2029" s="98"/>
      <c r="U2029" s="99"/>
    </row>
    <row r="2030" spans="20:21" x14ac:dyDescent="0.25">
      <c r="T2030" s="98"/>
      <c r="U2030" s="99"/>
    </row>
    <row r="2031" spans="20:21" x14ac:dyDescent="0.25">
      <c r="T2031" s="98"/>
      <c r="U2031" s="99"/>
    </row>
    <row r="2032" spans="20:21" x14ac:dyDescent="0.25">
      <c r="T2032" s="98"/>
      <c r="U2032" s="99"/>
    </row>
    <row r="2033" spans="20:21" x14ac:dyDescent="0.25">
      <c r="T2033" s="98"/>
      <c r="U2033" s="99"/>
    </row>
    <row r="2034" spans="20:21" x14ac:dyDescent="0.25">
      <c r="T2034" s="98"/>
      <c r="U2034" s="99"/>
    </row>
    <row r="2035" spans="20:21" x14ac:dyDescent="0.25">
      <c r="T2035" s="98"/>
      <c r="U2035" s="99"/>
    </row>
    <row r="2036" spans="20:21" x14ac:dyDescent="0.25">
      <c r="T2036" s="98"/>
      <c r="U2036" s="99"/>
    </row>
    <row r="2037" spans="20:21" x14ac:dyDescent="0.25">
      <c r="T2037" s="98"/>
      <c r="U2037" s="99"/>
    </row>
    <row r="2038" spans="20:21" x14ac:dyDescent="0.25">
      <c r="T2038" s="98"/>
      <c r="U2038" s="99"/>
    </row>
    <row r="2039" spans="20:21" x14ac:dyDescent="0.25">
      <c r="T2039" s="98"/>
      <c r="U2039" s="99"/>
    </row>
    <row r="2040" spans="20:21" x14ac:dyDescent="0.25">
      <c r="T2040" s="98"/>
      <c r="U2040" s="99"/>
    </row>
    <row r="2041" spans="20:21" x14ac:dyDescent="0.25">
      <c r="T2041" s="98"/>
      <c r="U2041" s="99"/>
    </row>
    <row r="2042" spans="20:21" x14ac:dyDescent="0.25">
      <c r="T2042" s="98"/>
      <c r="U2042" s="99"/>
    </row>
    <row r="2043" spans="20:21" x14ac:dyDescent="0.25">
      <c r="T2043" s="98"/>
      <c r="U2043" s="99"/>
    </row>
    <row r="2044" spans="20:21" x14ac:dyDescent="0.25">
      <c r="T2044" s="98"/>
      <c r="U2044" s="99"/>
    </row>
    <row r="2045" spans="20:21" x14ac:dyDescent="0.25">
      <c r="T2045" s="98"/>
      <c r="U2045" s="99"/>
    </row>
    <row r="2046" spans="20:21" x14ac:dyDescent="0.25">
      <c r="T2046" s="98"/>
      <c r="U2046" s="99"/>
    </row>
    <row r="2047" spans="20:21" x14ac:dyDescent="0.25">
      <c r="T2047" s="98"/>
      <c r="U2047" s="99"/>
    </row>
    <row r="2048" spans="20:21" x14ac:dyDescent="0.25">
      <c r="T2048" s="98"/>
      <c r="U2048" s="99"/>
    </row>
    <row r="2049" spans="20:21" x14ac:dyDescent="0.25">
      <c r="T2049" s="98"/>
      <c r="U2049" s="99"/>
    </row>
    <row r="2050" spans="20:21" x14ac:dyDescent="0.25">
      <c r="T2050" s="98"/>
      <c r="U2050" s="99"/>
    </row>
    <row r="2051" spans="20:21" x14ac:dyDescent="0.25">
      <c r="T2051" s="98"/>
      <c r="U2051" s="99"/>
    </row>
    <row r="2052" spans="20:21" x14ac:dyDescent="0.25">
      <c r="T2052" s="98"/>
      <c r="U2052" s="99"/>
    </row>
    <row r="2053" spans="20:21" x14ac:dyDescent="0.25">
      <c r="T2053" s="98"/>
      <c r="U2053" s="99"/>
    </row>
    <row r="2054" spans="20:21" x14ac:dyDescent="0.25">
      <c r="T2054" s="98"/>
      <c r="U2054" s="99"/>
    </row>
    <row r="2055" spans="20:21" x14ac:dyDescent="0.25">
      <c r="T2055" s="98"/>
      <c r="U2055" s="99"/>
    </row>
    <row r="2056" spans="20:21" x14ac:dyDescent="0.25">
      <c r="T2056" s="98"/>
      <c r="U2056" s="99"/>
    </row>
    <row r="2057" spans="20:21" x14ac:dyDescent="0.25">
      <c r="T2057" s="98"/>
      <c r="U2057" s="99"/>
    </row>
    <row r="2058" spans="20:21" x14ac:dyDescent="0.25">
      <c r="T2058" s="98"/>
      <c r="U2058" s="99"/>
    </row>
    <row r="2059" spans="20:21" x14ac:dyDescent="0.25">
      <c r="T2059" s="98"/>
      <c r="U2059" s="99"/>
    </row>
    <row r="2060" spans="20:21" x14ac:dyDescent="0.25">
      <c r="T2060" s="98"/>
      <c r="U2060" s="99"/>
    </row>
    <row r="2061" spans="20:21" x14ac:dyDescent="0.25">
      <c r="T2061" s="98"/>
      <c r="U2061" s="99"/>
    </row>
    <row r="2062" spans="20:21" x14ac:dyDescent="0.25">
      <c r="T2062" s="98"/>
      <c r="U2062" s="99"/>
    </row>
    <row r="2063" spans="20:21" x14ac:dyDescent="0.25">
      <c r="T2063" s="98"/>
      <c r="U2063" s="99"/>
    </row>
    <row r="2064" spans="20:21" x14ac:dyDescent="0.25">
      <c r="T2064" s="98"/>
      <c r="U2064" s="99"/>
    </row>
    <row r="2065" spans="20:21" x14ac:dyDescent="0.25">
      <c r="T2065" s="98"/>
      <c r="U2065" s="99"/>
    </row>
    <row r="2066" spans="20:21" x14ac:dyDescent="0.25">
      <c r="T2066" s="98"/>
      <c r="U2066" s="99"/>
    </row>
    <row r="2067" spans="20:21" x14ac:dyDescent="0.25">
      <c r="T2067" s="98"/>
      <c r="U2067" s="99"/>
    </row>
    <row r="2068" spans="20:21" x14ac:dyDescent="0.25">
      <c r="T2068" s="98"/>
      <c r="U2068" s="99"/>
    </row>
    <row r="2069" spans="20:21" x14ac:dyDescent="0.25">
      <c r="T2069" s="98"/>
      <c r="U2069" s="99"/>
    </row>
    <row r="2070" spans="20:21" x14ac:dyDescent="0.25">
      <c r="T2070" s="98"/>
      <c r="U2070" s="99"/>
    </row>
    <row r="2071" spans="20:21" x14ac:dyDescent="0.25">
      <c r="T2071" s="98"/>
      <c r="U2071" s="99"/>
    </row>
    <row r="2072" spans="20:21" x14ac:dyDescent="0.25">
      <c r="T2072" s="98"/>
      <c r="U2072" s="99"/>
    </row>
    <row r="2073" spans="20:21" x14ac:dyDescent="0.25">
      <c r="T2073" s="98"/>
      <c r="U2073" s="99"/>
    </row>
    <row r="2074" spans="20:21" x14ac:dyDescent="0.25">
      <c r="T2074" s="98"/>
      <c r="U2074" s="99"/>
    </row>
    <row r="2075" spans="20:21" x14ac:dyDescent="0.25">
      <c r="T2075" s="98"/>
      <c r="U2075" s="99"/>
    </row>
    <row r="2076" spans="20:21" x14ac:dyDescent="0.25">
      <c r="T2076" s="98"/>
      <c r="U2076" s="99"/>
    </row>
    <row r="2077" spans="20:21" x14ac:dyDescent="0.25">
      <c r="T2077" s="98"/>
      <c r="U2077" s="99"/>
    </row>
    <row r="2078" spans="20:21" x14ac:dyDescent="0.25">
      <c r="T2078" s="98"/>
      <c r="U2078" s="99"/>
    </row>
    <row r="2079" spans="20:21" x14ac:dyDescent="0.25">
      <c r="T2079" s="98"/>
      <c r="U2079" s="99"/>
    </row>
    <row r="2080" spans="20:21" x14ac:dyDescent="0.25">
      <c r="T2080" s="98"/>
      <c r="U2080" s="99"/>
    </row>
    <row r="2081" spans="20:21" x14ac:dyDescent="0.25">
      <c r="T2081" s="98"/>
      <c r="U2081" s="99"/>
    </row>
    <row r="2082" spans="20:21" x14ac:dyDescent="0.25">
      <c r="T2082" s="98"/>
      <c r="U2082" s="99"/>
    </row>
    <row r="2083" spans="20:21" x14ac:dyDescent="0.25">
      <c r="T2083" s="98"/>
      <c r="U2083" s="99"/>
    </row>
    <row r="2084" spans="20:21" x14ac:dyDescent="0.25">
      <c r="T2084" s="98"/>
      <c r="U2084" s="99"/>
    </row>
    <row r="2085" spans="20:21" x14ac:dyDescent="0.25">
      <c r="T2085" s="98"/>
      <c r="U2085" s="99"/>
    </row>
    <row r="2086" spans="20:21" x14ac:dyDescent="0.25">
      <c r="T2086" s="98"/>
      <c r="U2086" s="99"/>
    </row>
    <row r="2087" spans="20:21" x14ac:dyDescent="0.25">
      <c r="T2087" s="98"/>
      <c r="U2087" s="99"/>
    </row>
    <row r="2088" spans="20:21" x14ac:dyDescent="0.25">
      <c r="T2088" s="98"/>
      <c r="U2088" s="99"/>
    </row>
    <row r="2089" spans="20:21" x14ac:dyDescent="0.25">
      <c r="T2089" s="98"/>
      <c r="U2089" s="99"/>
    </row>
    <row r="2090" spans="20:21" x14ac:dyDescent="0.25">
      <c r="T2090" s="98"/>
      <c r="U2090" s="99"/>
    </row>
    <row r="2091" spans="20:21" x14ac:dyDescent="0.25">
      <c r="T2091" s="98"/>
      <c r="U2091" s="99"/>
    </row>
    <row r="2092" spans="20:21" x14ac:dyDescent="0.25">
      <c r="T2092" s="98"/>
      <c r="U2092" s="99"/>
    </row>
    <row r="2093" spans="20:21" x14ac:dyDescent="0.25">
      <c r="T2093" s="98"/>
      <c r="U2093" s="99"/>
    </row>
    <row r="2094" spans="20:21" x14ac:dyDescent="0.25">
      <c r="T2094" s="98"/>
      <c r="U2094" s="99"/>
    </row>
    <row r="2095" spans="20:21" x14ac:dyDescent="0.25">
      <c r="T2095" s="98"/>
      <c r="U2095" s="99"/>
    </row>
    <row r="2096" spans="20:21" x14ac:dyDescent="0.25">
      <c r="T2096" s="98"/>
      <c r="U2096" s="99"/>
    </row>
    <row r="2097" spans="20:21" x14ac:dyDescent="0.25">
      <c r="T2097" s="98"/>
      <c r="U2097" s="99"/>
    </row>
    <row r="2098" spans="20:21" x14ac:dyDescent="0.25">
      <c r="T2098" s="98"/>
      <c r="U2098" s="99"/>
    </row>
    <row r="2099" spans="20:21" x14ac:dyDescent="0.25">
      <c r="T2099" s="98"/>
      <c r="U2099" s="99"/>
    </row>
    <row r="2100" spans="20:21" x14ac:dyDescent="0.25">
      <c r="T2100" s="98"/>
      <c r="U2100" s="99"/>
    </row>
    <row r="2101" spans="20:21" x14ac:dyDescent="0.25">
      <c r="T2101" s="98"/>
      <c r="U2101" s="99"/>
    </row>
    <row r="2102" spans="20:21" x14ac:dyDescent="0.25">
      <c r="T2102" s="98"/>
      <c r="U2102" s="99"/>
    </row>
    <row r="2103" spans="20:21" x14ac:dyDescent="0.25">
      <c r="T2103" s="98"/>
      <c r="U2103" s="99"/>
    </row>
    <row r="2104" spans="20:21" x14ac:dyDescent="0.25">
      <c r="T2104" s="98"/>
      <c r="U2104" s="99"/>
    </row>
    <row r="2105" spans="20:21" x14ac:dyDescent="0.25">
      <c r="T2105" s="98"/>
      <c r="U2105" s="99"/>
    </row>
    <row r="2106" spans="20:21" x14ac:dyDescent="0.25">
      <c r="T2106" s="98"/>
      <c r="U2106" s="99"/>
    </row>
    <row r="2107" spans="20:21" x14ac:dyDescent="0.25">
      <c r="T2107" s="98"/>
      <c r="U2107" s="99"/>
    </row>
    <row r="2108" spans="20:21" x14ac:dyDescent="0.25">
      <c r="T2108" s="98"/>
      <c r="U2108" s="99"/>
    </row>
    <row r="2109" spans="20:21" x14ac:dyDescent="0.25">
      <c r="T2109" s="98"/>
      <c r="U2109" s="99"/>
    </row>
    <row r="2110" spans="20:21" x14ac:dyDescent="0.25">
      <c r="T2110" s="98"/>
      <c r="U2110" s="99"/>
    </row>
    <row r="2111" spans="20:21" x14ac:dyDescent="0.25">
      <c r="T2111" s="98"/>
      <c r="U2111" s="99"/>
    </row>
    <row r="2112" spans="20:21" x14ac:dyDescent="0.25">
      <c r="T2112" s="98"/>
      <c r="U2112" s="99"/>
    </row>
    <row r="2113" spans="20:21" x14ac:dyDescent="0.25">
      <c r="T2113" s="98"/>
      <c r="U2113" s="99"/>
    </row>
    <row r="2114" spans="20:21" x14ac:dyDescent="0.25">
      <c r="T2114" s="98"/>
      <c r="U2114" s="99"/>
    </row>
    <row r="2115" spans="20:21" x14ac:dyDescent="0.25">
      <c r="T2115" s="98"/>
      <c r="U2115" s="99"/>
    </row>
    <row r="2116" spans="20:21" x14ac:dyDescent="0.25">
      <c r="T2116" s="98"/>
      <c r="U2116" s="99"/>
    </row>
    <row r="2117" spans="20:21" x14ac:dyDescent="0.25">
      <c r="T2117" s="98"/>
      <c r="U2117" s="99"/>
    </row>
    <row r="2118" spans="20:21" x14ac:dyDescent="0.25">
      <c r="T2118" s="98"/>
      <c r="U2118" s="99"/>
    </row>
    <row r="2119" spans="20:21" x14ac:dyDescent="0.25">
      <c r="T2119" s="98"/>
      <c r="U2119" s="99"/>
    </row>
    <row r="2120" spans="20:21" x14ac:dyDescent="0.25">
      <c r="T2120" s="98"/>
      <c r="U2120" s="99"/>
    </row>
    <row r="2121" spans="20:21" x14ac:dyDescent="0.25">
      <c r="T2121" s="98"/>
      <c r="U2121" s="99"/>
    </row>
    <row r="2122" spans="20:21" x14ac:dyDescent="0.25">
      <c r="T2122" s="98"/>
      <c r="U2122" s="99"/>
    </row>
    <row r="2123" spans="20:21" x14ac:dyDescent="0.25">
      <c r="T2123" s="98"/>
      <c r="U2123" s="99"/>
    </row>
    <row r="2124" spans="20:21" x14ac:dyDescent="0.25">
      <c r="T2124" s="98"/>
      <c r="U2124" s="99"/>
    </row>
    <row r="2125" spans="20:21" x14ac:dyDescent="0.25">
      <c r="T2125" s="98"/>
      <c r="U2125" s="99"/>
    </row>
    <row r="2126" spans="20:21" x14ac:dyDescent="0.25">
      <c r="T2126" s="98"/>
      <c r="U2126" s="99"/>
    </row>
    <row r="2127" spans="20:21" x14ac:dyDescent="0.25">
      <c r="T2127" s="98"/>
      <c r="U2127" s="99"/>
    </row>
    <row r="2128" spans="20:21" x14ac:dyDescent="0.25">
      <c r="T2128" s="98"/>
      <c r="U2128" s="99"/>
    </row>
    <row r="2129" spans="20:21" x14ac:dyDescent="0.25">
      <c r="T2129" s="98"/>
      <c r="U2129" s="99"/>
    </row>
    <row r="2130" spans="20:21" x14ac:dyDescent="0.25">
      <c r="T2130" s="98"/>
      <c r="U2130" s="99"/>
    </row>
    <row r="2131" spans="20:21" x14ac:dyDescent="0.25">
      <c r="T2131" s="98"/>
      <c r="U2131" s="99"/>
    </row>
    <row r="2132" spans="20:21" x14ac:dyDescent="0.25">
      <c r="T2132" s="98"/>
      <c r="U2132" s="99"/>
    </row>
    <row r="2133" spans="20:21" x14ac:dyDescent="0.25">
      <c r="T2133" s="98"/>
      <c r="U2133" s="99"/>
    </row>
    <row r="2134" spans="20:21" x14ac:dyDescent="0.25">
      <c r="T2134" s="98"/>
      <c r="U2134" s="99"/>
    </row>
    <row r="2135" spans="20:21" x14ac:dyDescent="0.25">
      <c r="T2135" s="98"/>
      <c r="U2135" s="99"/>
    </row>
    <row r="2136" spans="20:21" x14ac:dyDescent="0.25">
      <c r="T2136" s="98"/>
      <c r="U2136" s="99"/>
    </row>
    <row r="2137" spans="20:21" x14ac:dyDescent="0.25">
      <c r="T2137" s="98"/>
      <c r="U2137" s="99"/>
    </row>
    <row r="2138" spans="20:21" x14ac:dyDescent="0.25">
      <c r="T2138" s="98"/>
      <c r="U2138" s="99"/>
    </row>
    <row r="2139" spans="20:21" x14ac:dyDescent="0.25">
      <c r="T2139" s="98"/>
      <c r="U2139" s="99"/>
    </row>
    <row r="2140" spans="20:21" x14ac:dyDescent="0.25">
      <c r="T2140" s="98"/>
      <c r="U2140" s="99"/>
    </row>
    <row r="2141" spans="20:21" x14ac:dyDescent="0.25">
      <c r="T2141" s="98"/>
      <c r="U2141" s="99"/>
    </row>
    <row r="2142" spans="20:21" x14ac:dyDescent="0.25">
      <c r="T2142" s="98"/>
      <c r="U2142" s="99"/>
    </row>
    <row r="2143" spans="20:21" x14ac:dyDescent="0.25">
      <c r="T2143" s="98"/>
      <c r="U2143" s="99"/>
    </row>
    <row r="2144" spans="20:21" x14ac:dyDescent="0.25">
      <c r="T2144" s="98"/>
      <c r="U2144" s="99"/>
    </row>
    <row r="2145" spans="20:21" x14ac:dyDescent="0.25">
      <c r="T2145" s="98"/>
      <c r="U2145" s="99"/>
    </row>
    <row r="2146" spans="20:21" x14ac:dyDescent="0.25">
      <c r="T2146" s="98"/>
      <c r="U2146" s="99"/>
    </row>
    <row r="2147" spans="20:21" x14ac:dyDescent="0.25">
      <c r="T2147" s="98"/>
      <c r="U2147" s="99"/>
    </row>
    <row r="2148" spans="20:21" x14ac:dyDescent="0.25">
      <c r="T2148" s="98"/>
      <c r="U2148" s="99"/>
    </row>
    <row r="2149" spans="20:21" x14ac:dyDescent="0.25">
      <c r="T2149" s="98"/>
      <c r="U2149" s="99"/>
    </row>
    <row r="2150" spans="20:21" x14ac:dyDescent="0.25">
      <c r="T2150" s="98"/>
      <c r="U2150" s="99"/>
    </row>
    <row r="2151" spans="20:21" x14ac:dyDescent="0.25">
      <c r="T2151" s="98"/>
      <c r="U2151" s="99"/>
    </row>
    <row r="2152" spans="20:21" x14ac:dyDescent="0.25">
      <c r="T2152" s="98"/>
      <c r="U2152" s="99"/>
    </row>
    <row r="2153" spans="20:21" x14ac:dyDescent="0.25">
      <c r="T2153" s="98"/>
      <c r="U2153" s="99"/>
    </row>
    <row r="2154" spans="20:21" x14ac:dyDescent="0.25">
      <c r="T2154" s="98"/>
      <c r="U2154" s="99"/>
    </row>
    <row r="2155" spans="20:21" x14ac:dyDescent="0.25">
      <c r="T2155" s="98"/>
      <c r="U2155" s="99"/>
    </row>
    <row r="2156" spans="20:21" x14ac:dyDescent="0.25">
      <c r="T2156" s="98"/>
      <c r="U2156" s="99"/>
    </row>
    <row r="2157" spans="20:21" x14ac:dyDescent="0.25">
      <c r="T2157" s="98"/>
      <c r="U2157" s="99"/>
    </row>
    <row r="2158" spans="20:21" x14ac:dyDescent="0.25">
      <c r="T2158" s="98"/>
      <c r="U2158" s="99"/>
    </row>
    <row r="2159" spans="20:21" x14ac:dyDescent="0.25">
      <c r="T2159" s="98"/>
      <c r="U2159" s="99"/>
    </row>
    <row r="2160" spans="20:21" x14ac:dyDescent="0.25">
      <c r="T2160" s="98"/>
      <c r="U2160" s="99"/>
    </row>
    <row r="2161" spans="20:21" x14ac:dyDescent="0.25">
      <c r="T2161" s="98"/>
      <c r="U2161" s="99"/>
    </row>
    <row r="2162" spans="20:21" x14ac:dyDescent="0.25">
      <c r="T2162" s="98"/>
      <c r="U2162" s="99"/>
    </row>
    <row r="2163" spans="20:21" x14ac:dyDescent="0.25">
      <c r="T2163" s="98"/>
      <c r="U2163" s="99"/>
    </row>
    <row r="2164" spans="20:21" x14ac:dyDescent="0.25">
      <c r="T2164" s="98"/>
      <c r="U2164" s="99"/>
    </row>
    <row r="2165" spans="20:21" x14ac:dyDescent="0.25">
      <c r="T2165" s="98"/>
      <c r="U2165" s="99"/>
    </row>
    <row r="2166" spans="20:21" x14ac:dyDescent="0.25">
      <c r="T2166" s="98"/>
      <c r="U2166" s="99"/>
    </row>
    <row r="2167" spans="20:21" x14ac:dyDescent="0.25">
      <c r="T2167" s="98"/>
      <c r="U2167" s="99"/>
    </row>
    <row r="2168" spans="20:21" x14ac:dyDescent="0.25">
      <c r="T2168" s="98"/>
      <c r="U2168" s="99"/>
    </row>
    <row r="2169" spans="20:21" x14ac:dyDescent="0.25">
      <c r="T2169" s="98"/>
      <c r="U2169" s="99"/>
    </row>
    <row r="2170" spans="20:21" x14ac:dyDescent="0.25">
      <c r="T2170" s="98"/>
      <c r="U2170" s="99"/>
    </row>
    <row r="2171" spans="20:21" x14ac:dyDescent="0.25">
      <c r="T2171" s="98"/>
      <c r="U2171" s="99"/>
    </row>
    <row r="2172" spans="20:21" x14ac:dyDescent="0.25">
      <c r="T2172" s="98"/>
      <c r="U2172" s="99"/>
    </row>
    <row r="2173" spans="20:21" x14ac:dyDescent="0.25">
      <c r="T2173" s="98"/>
      <c r="U2173" s="99"/>
    </row>
    <row r="2174" spans="20:21" x14ac:dyDescent="0.25">
      <c r="T2174" s="98"/>
      <c r="U2174" s="99"/>
    </row>
    <row r="2175" spans="20:21" x14ac:dyDescent="0.25">
      <c r="T2175" s="98"/>
      <c r="U2175" s="99"/>
    </row>
    <row r="2176" spans="20:21" x14ac:dyDescent="0.25">
      <c r="T2176" s="98"/>
      <c r="U2176" s="99"/>
    </row>
    <row r="2177" spans="20:21" x14ac:dyDescent="0.25">
      <c r="T2177" s="98"/>
      <c r="U2177" s="99"/>
    </row>
    <row r="2178" spans="20:21" x14ac:dyDescent="0.25">
      <c r="T2178" s="98"/>
      <c r="U2178" s="99"/>
    </row>
    <row r="2179" spans="20:21" x14ac:dyDescent="0.25">
      <c r="T2179" s="98"/>
      <c r="U2179" s="99"/>
    </row>
    <row r="2180" spans="20:21" x14ac:dyDescent="0.25">
      <c r="T2180" s="98"/>
      <c r="U2180" s="99"/>
    </row>
    <row r="2181" spans="20:21" x14ac:dyDescent="0.25">
      <c r="T2181" s="98"/>
      <c r="U2181" s="99"/>
    </row>
    <row r="2182" spans="20:21" x14ac:dyDescent="0.25">
      <c r="T2182" s="98"/>
      <c r="U2182" s="99"/>
    </row>
    <row r="2183" spans="20:21" x14ac:dyDescent="0.25">
      <c r="T2183" s="98"/>
      <c r="U2183" s="99"/>
    </row>
    <row r="2184" spans="20:21" x14ac:dyDescent="0.25">
      <c r="T2184" s="98"/>
      <c r="U2184" s="99"/>
    </row>
    <row r="2185" spans="20:21" x14ac:dyDescent="0.25">
      <c r="T2185" s="98"/>
      <c r="U2185" s="99"/>
    </row>
    <row r="2186" spans="20:21" x14ac:dyDescent="0.25">
      <c r="T2186" s="98"/>
      <c r="U2186" s="99"/>
    </row>
    <row r="2187" spans="20:21" x14ac:dyDescent="0.25">
      <c r="T2187" s="98"/>
      <c r="U2187" s="99"/>
    </row>
    <row r="2188" spans="20:21" x14ac:dyDescent="0.25">
      <c r="T2188" s="98"/>
      <c r="U2188" s="99"/>
    </row>
    <row r="2189" spans="20:21" x14ac:dyDescent="0.25">
      <c r="T2189" s="98"/>
      <c r="U2189" s="99"/>
    </row>
    <row r="2190" spans="20:21" x14ac:dyDescent="0.25">
      <c r="T2190" s="98"/>
      <c r="U2190" s="99"/>
    </row>
    <row r="2191" spans="20:21" x14ac:dyDescent="0.25">
      <c r="T2191" s="98"/>
      <c r="U2191" s="99"/>
    </row>
    <row r="2192" spans="20:21" x14ac:dyDescent="0.25">
      <c r="T2192" s="98"/>
      <c r="U2192" s="99"/>
    </row>
    <row r="2193" spans="20:21" x14ac:dyDescent="0.25">
      <c r="T2193" s="98"/>
      <c r="U2193" s="99"/>
    </row>
    <row r="2194" spans="20:21" x14ac:dyDescent="0.25">
      <c r="T2194" s="98"/>
      <c r="U2194" s="99"/>
    </row>
    <row r="2195" spans="20:21" x14ac:dyDescent="0.25">
      <c r="T2195" s="98"/>
      <c r="U2195" s="99"/>
    </row>
    <row r="2196" spans="20:21" x14ac:dyDescent="0.25">
      <c r="T2196" s="98"/>
      <c r="U2196" s="99"/>
    </row>
    <row r="2197" spans="20:21" x14ac:dyDescent="0.25">
      <c r="T2197" s="98"/>
      <c r="U2197" s="99"/>
    </row>
    <row r="2198" spans="20:21" x14ac:dyDescent="0.25">
      <c r="T2198" s="98"/>
      <c r="U2198" s="99"/>
    </row>
    <row r="2199" spans="20:21" x14ac:dyDescent="0.25">
      <c r="T2199" s="98"/>
      <c r="U2199" s="99"/>
    </row>
    <row r="2200" spans="20:21" x14ac:dyDescent="0.25">
      <c r="T2200" s="98"/>
      <c r="U2200" s="99"/>
    </row>
    <row r="2201" spans="20:21" x14ac:dyDescent="0.25">
      <c r="T2201" s="98"/>
      <c r="U2201" s="99"/>
    </row>
    <row r="2202" spans="20:21" x14ac:dyDescent="0.25">
      <c r="T2202" s="98"/>
      <c r="U2202" s="99"/>
    </row>
    <row r="2203" spans="20:21" x14ac:dyDescent="0.25">
      <c r="T2203" s="98"/>
      <c r="U2203" s="99"/>
    </row>
    <row r="2204" spans="20:21" x14ac:dyDescent="0.25">
      <c r="T2204" s="98"/>
      <c r="U2204" s="99"/>
    </row>
    <row r="2205" spans="20:21" x14ac:dyDescent="0.25">
      <c r="T2205" s="98"/>
      <c r="U2205" s="99"/>
    </row>
    <row r="2206" spans="20:21" x14ac:dyDescent="0.25">
      <c r="T2206" s="98"/>
      <c r="U2206" s="99"/>
    </row>
    <row r="2207" spans="20:21" x14ac:dyDescent="0.25">
      <c r="T2207" s="98"/>
      <c r="U2207" s="99"/>
    </row>
    <row r="2208" spans="20:21" x14ac:dyDescent="0.25">
      <c r="T2208" s="98"/>
      <c r="U2208" s="99"/>
    </row>
    <row r="2209" spans="20:21" x14ac:dyDescent="0.25">
      <c r="T2209" s="98"/>
      <c r="U2209" s="99"/>
    </row>
    <row r="2210" spans="20:21" x14ac:dyDescent="0.25">
      <c r="T2210" s="98"/>
      <c r="U2210" s="99"/>
    </row>
    <row r="2211" spans="20:21" x14ac:dyDescent="0.25">
      <c r="T2211" s="98"/>
      <c r="U2211" s="99"/>
    </row>
    <row r="2212" spans="20:21" x14ac:dyDescent="0.25">
      <c r="T2212" s="98"/>
      <c r="U2212" s="99"/>
    </row>
    <row r="2213" spans="20:21" x14ac:dyDescent="0.25">
      <c r="T2213" s="98"/>
      <c r="U2213" s="99"/>
    </row>
    <row r="2214" spans="20:21" x14ac:dyDescent="0.25">
      <c r="T2214" s="98"/>
      <c r="U2214" s="99"/>
    </row>
    <row r="2215" spans="20:21" x14ac:dyDescent="0.25">
      <c r="T2215" s="98"/>
      <c r="U2215" s="99"/>
    </row>
    <row r="2216" spans="20:21" x14ac:dyDescent="0.25">
      <c r="T2216" s="98"/>
      <c r="U2216" s="99"/>
    </row>
    <row r="2217" spans="20:21" x14ac:dyDescent="0.25">
      <c r="T2217" s="98"/>
      <c r="U2217" s="99"/>
    </row>
    <row r="2218" spans="20:21" x14ac:dyDescent="0.25">
      <c r="T2218" s="98"/>
      <c r="U2218" s="99"/>
    </row>
    <row r="2219" spans="20:21" x14ac:dyDescent="0.25">
      <c r="T2219" s="98"/>
      <c r="U2219" s="99"/>
    </row>
    <row r="2220" spans="20:21" x14ac:dyDescent="0.25">
      <c r="T2220" s="98"/>
      <c r="U2220" s="99"/>
    </row>
    <row r="2221" spans="20:21" x14ac:dyDescent="0.25">
      <c r="T2221" s="98"/>
      <c r="U2221" s="99"/>
    </row>
    <row r="2222" spans="20:21" x14ac:dyDescent="0.25">
      <c r="T2222" s="98"/>
      <c r="U2222" s="99"/>
    </row>
    <row r="2223" spans="20:21" x14ac:dyDescent="0.25">
      <c r="T2223" s="98"/>
      <c r="U2223" s="99"/>
    </row>
    <row r="2224" spans="20:21" x14ac:dyDescent="0.25">
      <c r="T2224" s="98"/>
      <c r="U2224" s="99"/>
    </row>
    <row r="2225" spans="20:21" x14ac:dyDescent="0.25">
      <c r="T2225" s="98"/>
      <c r="U2225" s="99"/>
    </row>
    <row r="2226" spans="20:21" x14ac:dyDescent="0.25">
      <c r="T2226" s="98"/>
      <c r="U2226" s="99"/>
    </row>
    <row r="2227" spans="20:21" x14ac:dyDescent="0.25">
      <c r="T2227" s="98"/>
      <c r="U2227" s="99"/>
    </row>
    <row r="2228" spans="20:21" x14ac:dyDescent="0.25">
      <c r="T2228" s="98"/>
      <c r="U2228" s="99"/>
    </row>
    <row r="2229" spans="20:21" x14ac:dyDescent="0.25">
      <c r="T2229" s="98"/>
      <c r="U2229" s="99"/>
    </row>
    <row r="2230" spans="20:21" x14ac:dyDescent="0.25">
      <c r="T2230" s="98"/>
      <c r="U2230" s="99"/>
    </row>
    <row r="2231" spans="20:21" x14ac:dyDescent="0.25">
      <c r="T2231" s="98"/>
      <c r="U2231" s="99"/>
    </row>
    <row r="2232" spans="20:21" x14ac:dyDescent="0.25">
      <c r="T2232" s="98"/>
      <c r="U2232" s="99"/>
    </row>
    <row r="2233" spans="20:21" x14ac:dyDescent="0.25">
      <c r="T2233" s="98"/>
      <c r="U2233" s="99"/>
    </row>
    <row r="2234" spans="20:21" x14ac:dyDescent="0.25">
      <c r="T2234" s="98"/>
      <c r="U2234" s="99"/>
    </row>
    <row r="2235" spans="20:21" x14ac:dyDescent="0.25">
      <c r="T2235" s="98"/>
      <c r="U2235" s="99"/>
    </row>
    <row r="2236" spans="20:21" x14ac:dyDescent="0.25">
      <c r="T2236" s="98"/>
      <c r="U2236" s="99"/>
    </row>
    <row r="2237" spans="20:21" x14ac:dyDescent="0.25">
      <c r="T2237" s="98"/>
      <c r="U2237" s="99"/>
    </row>
    <row r="2238" spans="20:21" x14ac:dyDescent="0.25">
      <c r="T2238" s="98"/>
      <c r="U2238" s="99"/>
    </row>
    <row r="2239" spans="20:21" x14ac:dyDescent="0.25">
      <c r="T2239" s="98"/>
      <c r="U2239" s="99"/>
    </row>
    <row r="2240" spans="20:21" x14ac:dyDescent="0.25">
      <c r="T2240" s="98"/>
      <c r="U2240" s="99"/>
    </row>
    <row r="2241" spans="20:21" x14ac:dyDescent="0.25">
      <c r="T2241" s="98"/>
      <c r="U2241" s="99"/>
    </row>
    <row r="2242" spans="20:21" x14ac:dyDescent="0.25">
      <c r="T2242" s="98"/>
      <c r="U2242" s="99"/>
    </row>
    <row r="2243" spans="20:21" x14ac:dyDescent="0.25">
      <c r="T2243" s="98"/>
      <c r="U2243" s="99"/>
    </row>
    <row r="2244" spans="20:21" x14ac:dyDescent="0.25">
      <c r="T2244" s="98"/>
      <c r="U2244" s="99"/>
    </row>
    <row r="2245" spans="20:21" x14ac:dyDescent="0.25">
      <c r="T2245" s="98"/>
      <c r="U2245" s="99"/>
    </row>
    <row r="2246" spans="20:21" x14ac:dyDescent="0.25">
      <c r="T2246" s="98"/>
      <c r="U2246" s="99"/>
    </row>
    <row r="2247" spans="20:21" x14ac:dyDescent="0.25">
      <c r="T2247" s="98"/>
      <c r="U2247" s="99"/>
    </row>
    <row r="2248" spans="20:21" x14ac:dyDescent="0.25">
      <c r="T2248" s="98"/>
      <c r="U2248" s="99"/>
    </row>
    <row r="2249" spans="20:21" x14ac:dyDescent="0.25">
      <c r="T2249" s="98"/>
      <c r="U2249" s="99"/>
    </row>
    <row r="2250" spans="20:21" x14ac:dyDescent="0.25">
      <c r="T2250" s="98"/>
      <c r="U2250" s="99"/>
    </row>
    <row r="2251" spans="20:21" x14ac:dyDescent="0.25">
      <c r="T2251" s="98"/>
      <c r="U2251" s="99"/>
    </row>
    <row r="2252" spans="20:21" x14ac:dyDescent="0.25">
      <c r="T2252" s="98"/>
      <c r="U2252" s="99"/>
    </row>
    <row r="2253" spans="20:21" x14ac:dyDescent="0.25">
      <c r="T2253" s="98"/>
      <c r="U2253" s="99"/>
    </row>
    <row r="2254" spans="20:21" x14ac:dyDescent="0.25">
      <c r="T2254" s="98"/>
      <c r="U2254" s="99"/>
    </row>
    <row r="2255" spans="20:21" x14ac:dyDescent="0.25">
      <c r="T2255" s="98"/>
      <c r="U2255" s="99"/>
    </row>
    <row r="2256" spans="20:21" x14ac:dyDescent="0.25">
      <c r="T2256" s="98"/>
      <c r="U2256" s="99"/>
    </row>
    <row r="2257" spans="20:21" x14ac:dyDescent="0.25">
      <c r="T2257" s="98"/>
      <c r="U2257" s="99"/>
    </row>
    <row r="2258" spans="20:21" x14ac:dyDescent="0.25">
      <c r="T2258" s="98"/>
      <c r="U2258" s="99"/>
    </row>
    <row r="2259" spans="20:21" x14ac:dyDescent="0.25">
      <c r="T2259" s="98"/>
      <c r="U2259" s="99"/>
    </row>
    <row r="2260" spans="20:21" x14ac:dyDescent="0.25">
      <c r="T2260" s="98"/>
      <c r="U2260" s="99"/>
    </row>
    <row r="2261" spans="20:21" x14ac:dyDescent="0.25">
      <c r="T2261" s="98"/>
      <c r="U2261" s="99"/>
    </row>
    <row r="2262" spans="20:21" x14ac:dyDescent="0.25">
      <c r="T2262" s="98"/>
      <c r="U2262" s="99"/>
    </row>
    <row r="2263" spans="20:21" x14ac:dyDescent="0.25">
      <c r="T2263" s="98"/>
      <c r="U2263" s="99"/>
    </row>
    <row r="2264" spans="20:21" x14ac:dyDescent="0.25">
      <c r="T2264" s="98"/>
      <c r="U2264" s="99"/>
    </row>
    <row r="2265" spans="20:21" x14ac:dyDescent="0.25">
      <c r="T2265" s="98"/>
      <c r="U2265" s="99"/>
    </row>
    <row r="2266" spans="20:21" x14ac:dyDescent="0.25">
      <c r="T2266" s="98"/>
      <c r="U2266" s="99"/>
    </row>
    <row r="2267" spans="20:21" x14ac:dyDescent="0.25">
      <c r="T2267" s="98"/>
      <c r="U2267" s="99"/>
    </row>
    <row r="2268" spans="20:21" x14ac:dyDescent="0.25">
      <c r="T2268" s="98"/>
      <c r="U2268" s="99"/>
    </row>
    <row r="2269" spans="20:21" x14ac:dyDescent="0.25">
      <c r="T2269" s="98"/>
      <c r="U2269" s="99"/>
    </row>
    <row r="2270" spans="20:21" x14ac:dyDescent="0.25">
      <c r="T2270" s="98"/>
      <c r="U2270" s="99"/>
    </row>
    <row r="2271" spans="20:21" x14ac:dyDescent="0.25">
      <c r="T2271" s="98"/>
      <c r="U2271" s="99"/>
    </row>
    <row r="2272" spans="20:21" x14ac:dyDescent="0.25">
      <c r="T2272" s="98"/>
      <c r="U2272" s="99"/>
    </row>
    <row r="2273" spans="20:21" x14ac:dyDescent="0.25">
      <c r="T2273" s="98"/>
      <c r="U2273" s="99"/>
    </row>
    <row r="2274" spans="20:21" x14ac:dyDescent="0.25">
      <c r="T2274" s="98"/>
      <c r="U2274" s="99"/>
    </row>
    <row r="2275" spans="20:21" x14ac:dyDescent="0.25">
      <c r="T2275" s="98"/>
      <c r="U2275" s="99"/>
    </row>
    <row r="2276" spans="20:21" x14ac:dyDescent="0.25">
      <c r="T2276" s="98"/>
      <c r="U2276" s="99"/>
    </row>
    <row r="2277" spans="20:21" x14ac:dyDescent="0.25">
      <c r="T2277" s="98"/>
      <c r="U2277" s="99"/>
    </row>
    <row r="2278" spans="20:21" x14ac:dyDescent="0.25">
      <c r="T2278" s="98"/>
      <c r="U2278" s="99"/>
    </row>
    <row r="2279" spans="20:21" x14ac:dyDescent="0.25">
      <c r="T2279" s="98"/>
      <c r="U2279" s="99"/>
    </row>
    <row r="2280" spans="20:21" x14ac:dyDescent="0.25">
      <c r="T2280" s="98"/>
      <c r="U2280" s="99"/>
    </row>
    <row r="2281" spans="20:21" x14ac:dyDescent="0.25">
      <c r="T2281" s="98"/>
      <c r="U2281" s="99"/>
    </row>
    <row r="2282" spans="20:21" x14ac:dyDescent="0.25">
      <c r="T2282" s="98"/>
      <c r="U2282" s="99"/>
    </row>
    <row r="2283" spans="20:21" x14ac:dyDescent="0.25">
      <c r="T2283" s="98"/>
      <c r="U2283" s="99"/>
    </row>
    <row r="2284" spans="20:21" x14ac:dyDescent="0.25">
      <c r="T2284" s="98"/>
      <c r="U2284" s="99"/>
    </row>
    <row r="2285" spans="20:21" x14ac:dyDescent="0.25">
      <c r="T2285" s="98"/>
      <c r="U2285" s="99"/>
    </row>
    <row r="2286" spans="20:21" x14ac:dyDescent="0.25">
      <c r="T2286" s="98"/>
      <c r="U2286" s="99"/>
    </row>
    <row r="2287" spans="20:21" x14ac:dyDescent="0.25">
      <c r="T2287" s="98"/>
      <c r="U2287" s="99"/>
    </row>
    <row r="2288" spans="20:21" x14ac:dyDescent="0.25">
      <c r="T2288" s="98"/>
      <c r="U2288" s="99"/>
    </row>
    <row r="2289" spans="20:21" x14ac:dyDescent="0.25">
      <c r="T2289" s="98"/>
      <c r="U2289" s="99"/>
    </row>
    <row r="2290" spans="20:21" x14ac:dyDescent="0.25">
      <c r="T2290" s="98"/>
      <c r="U2290" s="99"/>
    </row>
    <row r="2291" spans="20:21" x14ac:dyDescent="0.25">
      <c r="T2291" s="98"/>
      <c r="U2291" s="99"/>
    </row>
    <row r="2292" spans="20:21" x14ac:dyDescent="0.25">
      <c r="T2292" s="98"/>
      <c r="U2292" s="99"/>
    </row>
    <row r="2293" spans="20:21" x14ac:dyDescent="0.25">
      <c r="T2293" s="98"/>
      <c r="U2293" s="99"/>
    </row>
    <row r="2294" spans="20:21" x14ac:dyDescent="0.25">
      <c r="T2294" s="98"/>
      <c r="U2294" s="99"/>
    </row>
    <row r="2295" spans="20:21" x14ac:dyDescent="0.25">
      <c r="T2295" s="98"/>
      <c r="U2295" s="99"/>
    </row>
    <row r="2296" spans="20:21" x14ac:dyDescent="0.25">
      <c r="T2296" s="98"/>
      <c r="U2296" s="99"/>
    </row>
    <row r="2297" spans="20:21" x14ac:dyDescent="0.25">
      <c r="T2297" s="98"/>
      <c r="U2297" s="99"/>
    </row>
    <row r="2298" spans="20:21" x14ac:dyDescent="0.25">
      <c r="T2298" s="98"/>
      <c r="U2298" s="99"/>
    </row>
    <row r="2299" spans="20:21" x14ac:dyDescent="0.25">
      <c r="T2299" s="98"/>
      <c r="U2299" s="99"/>
    </row>
    <row r="2300" spans="20:21" x14ac:dyDescent="0.25">
      <c r="T2300" s="98"/>
      <c r="U2300" s="99"/>
    </row>
    <row r="2301" spans="20:21" x14ac:dyDescent="0.25">
      <c r="T2301" s="98"/>
      <c r="U2301" s="99"/>
    </row>
    <row r="2302" spans="20:21" x14ac:dyDescent="0.25">
      <c r="T2302" s="98"/>
      <c r="U2302" s="99"/>
    </row>
    <row r="2303" spans="20:21" x14ac:dyDescent="0.25">
      <c r="T2303" s="98"/>
      <c r="U2303" s="99"/>
    </row>
    <row r="2304" spans="20:21" x14ac:dyDescent="0.25">
      <c r="T2304" s="98"/>
      <c r="U2304" s="99"/>
    </row>
    <row r="2305" spans="20:21" x14ac:dyDescent="0.25">
      <c r="T2305" s="98"/>
      <c r="U2305" s="99"/>
    </row>
    <row r="2306" spans="20:21" x14ac:dyDescent="0.25">
      <c r="T2306" s="98"/>
      <c r="U2306" s="99"/>
    </row>
    <row r="2307" spans="20:21" x14ac:dyDescent="0.25">
      <c r="T2307" s="98"/>
      <c r="U2307" s="99"/>
    </row>
    <row r="2308" spans="20:21" x14ac:dyDescent="0.25">
      <c r="T2308" s="98"/>
      <c r="U2308" s="99"/>
    </row>
    <row r="2309" spans="20:21" x14ac:dyDescent="0.25">
      <c r="T2309" s="98"/>
      <c r="U2309" s="99"/>
    </row>
    <row r="2310" spans="20:21" x14ac:dyDescent="0.25">
      <c r="T2310" s="98"/>
      <c r="U2310" s="99"/>
    </row>
    <row r="2311" spans="20:21" x14ac:dyDescent="0.25">
      <c r="T2311" s="98"/>
      <c r="U2311" s="99"/>
    </row>
    <row r="2312" spans="20:21" x14ac:dyDescent="0.25">
      <c r="T2312" s="98"/>
      <c r="U2312" s="99"/>
    </row>
    <row r="2313" spans="20:21" x14ac:dyDescent="0.25">
      <c r="T2313" s="98"/>
      <c r="U2313" s="99"/>
    </row>
    <row r="2314" spans="20:21" x14ac:dyDescent="0.25">
      <c r="T2314" s="98"/>
      <c r="U2314" s="99"/>
    </row>
    <row r="2315" spans="20:21" x14ac:dyDescent="0.25">
      <c r="T2315" s="98"/>
      <c r="U2315" s="99"/>
    </row>
    <row r="2316" spans="20:21" x14ac:dyDescent="0.25">
      <c r="T2316" s="98"/>
      <c r="U2316" s="99"/>
    </row>
    <row r="2317" spans="20:21" x14ac:dyDescent="0.25">
      <c r="T2317" s="98"/>
      <c r="U2317" s="99"/>
    </row>
    <row r="2318" spans="20:21" x14ac:dyDescent="0.25">
      <c r="T2318" s="98"/>
      <c r="U2318" s="99"/>
    </row>
    <row r="2319" spans="20:21" x14ac:dyDescent="0.25">
      <c r="T2319" s="98"/>
      <c r="U2319" s="99"/>
    </row>
    <row r="2320" spans="20:21" x14ac:dyDescent="0.25">
      <c r="T2320" s="98"/>
      <c r="U2320" s="99"/>
    </row>
    <row r="2321" spans="20:21" x14ac:dyDescent="0.25">
      <c r="T2321" s="98"/>
      <c r="U2321" s="99"/>
    </row>
    <row r="2322" spans="20:21" x14ac:dyDescent="0.25">
      <c r="T2322" s="98"/>
      <c r="U2322" s="99"/>
    </row>
    <row r="2323" spans="20:21" x14ac:dyDescent="0.25">
      <c r="T2323" s="98"/>
      <c r="U2323" s="99"/>
    </row>
    <row r="2324" spans="20:21" x14ac:dyDescent="0.25">
      <c r="T2324" s="98"/>
      <c r="U2324" s="99"/>
    </row>
    <row r="2325" spans="20:21" x14ac:dyDescent="0.25">
      <c r="T2325" s="98"/>
      <c r="U2325" s="99"/>
    </row>
    <row r="2326" spans="20:21" x14ac:dyDescent="0.25">
      <c r="T2326" s="98"/>
      <c r="U2326" s="99"/>
    </row>
    <row r="2327" spans="20:21" x14ac:dyDescent="0.25">
      <c r="T2327" s="98"/>
      <c r="U2327" s="99"/>
    </row>
    <row r="2328" spans="20:21" x14ac:dyDescent="0.25">
      <c r="T2328" s="98"/>
      <c r="U2328" s="99"/>
    </row>
    <row r="2329" spans="20:21" x14ac:dyDescent="0.25">
      <c r="T2329" s="98"/>
      <c r="U2329" s="99"/>
    </row>
    <row r="2330" spans="20:21" x14ac:dyDescent="0.25">
      <c r="T2330" s="98"/>
      <c r="U2330" s="99"/>
    </row>
    <row r="2331" spans="20:21" x14ac:dyDescent="0.25">
      <c r="T2331" s="98"/>
      <c r="U2331" s="99"/>
    </row>
    <row r="2332" spans="20:21" x14ac:dyDescent="0.25">
      <c r="T2332" s="98"/>
      <c r="U2332" s="99"/>
    </row>
    <row r="2333" spans="20:21" x14ac:dyDescent="0.25">
      <c r="T2333" s="98"/>
      <c r="U2333" s="99"/>
    </row>
    <row r="2334" spans="20:21" x14ac:dyDescent="0.25">
      <c r="T2334" s="98"/>
      <c r="U2334" s="99"/>
    </row>
    <row r="2335" spans="20:21" x14ac:dyDescent="0.25">
      <c r="T2335" s="98"/>
      <c r="U2335" s="99"/>
    </row>
    <row r="2336" spans="20:21" x14ac:dyDescent="0.25">
      <c r="T2336" s="98"/>
      <c r="U2336" s="99"/>
    </row>
    <row r="2337" spans="20:21" x14ac:dyDescent="0.25">
      <c r="T2337" s="98"/>
      <c r="U2337" s="99"/>
    </row>
    <row r="2338" spans="20:21" x14ac:dyDescent="0.25">
      <c r="T2338" s="98"/>
      <c r="U2338" s="99"/>
    </row>
    <row r="2339" spans="20:21" x14ac:dyDescent="0.25">
      <c r="T2339" s="98"/>
      <c r="U2339" s="99"/>
    </row>
    <row r="2340" spans="20:21" x14ac:dyDescent="0.25">
      <c r="T2340" s="98"/>
      <c r="U2340" s="99"/>
    </row>
    <row r="2341" spans="20:21" x14ac:dyDescent="0.25">
      <c r="T2341" s="98"/>
      <c r="U2341" s="99"/>
    </row>
    <row r="2342" spans="20:21" x14ac:dyDescent="0.25">
      <c r="T2342" s="98"/>
      <c r="U2342" s="99"/>
    </row>
    <row r="2343" spans="20:21" x14ac:dyDescent="0.25">
      <c r="T2343" s="98"/>
      <c r="U2343" s="99"/>
    </row>
    <row r="2344" spans="20:21" x14ac:dyDescent="0.25">
      <c r="T2344" s="98"/>
      <c r="U2344" s="99"/>
    </row>
    <row r="2345" spans="20:21" x14ac:dyDescent="0.25">
      <c r="T2345" s="98"/>
      <c r="U2345" s="99"/>
    </row>
    <row r="2346" spans="20:21" x14ac:dyDescent="0.25">
      <c r="T2346" s="98"/>
      <c r="U2346" s="99"/>
    </row>
    <row r="2347" spans="20:21" x14ac:dyDescent="0.25">
      <c r="T2347" s="98"/>
      <c r="U2347" s="99"/>
    </row>
    <row r="2348" spans="20:21" x14ac:dyDescent="0.25">
      <c r="T2348" s="98"/>
      <c r="U2348" s="99"/>
    </row>
    <row r="2349" spans="20:21" x14ac:dyDescent="0.25">
      <c r="T2349" s="98"/>
      <c r="U2349" s="99"/>
    </row>
    <row r="2350" spans="20:21" x14ac:dyDescent="0.25">
      <c r="T2350" s="98"/>
      <c r="U2350" s="99"/>
    </row>
    <row r="2351" spans="20:21" x14ac:dyDescent="0.25">
      <c r="T2351" s="98"/>
      <c r="U2351" s="99"/>
    </row>
    <row r="2352" spans="20:21" x14ac:dyDescent="0.25">
      <c r="T2352" s="98"/>
      <c r="U2352" s="99"/>
    </row>
    <row r="2353" spans="20:21" x14ac:dyDescent="0.25">
      <c r="T2353" s="98"/>
      <c r="U2353" s="99"/>
    </row>
    <row r="2354" spans="20:21" x14ac:dyDescent="0.25">
      <c r="T2354" s="98"/>
      <c r="U2354" s="99"/>
    </row>
    <row r="2355" spans="20:21" x14ac:dyDescent="0.25">
      <c r="T2355" s="98"/>
      <c r="U2355" s="99"/>
    </row>
    <row r="2356" spans="20:21" x14ac:dyDescent="0.25">
      <c r="T2356" s="98"/>
      <c r="U2356" s="99"/>
    </row>
    <row r="2357" spans="20:21" x14ac:dyDescent="0.25">
      <c r="T2357" s="98"/>
      <c r="U2357" s="99"/>
    </row>
    <row r="2358" spans="20:21" x14ac:dyDescent="0.25">
      <c r="T2358" s="98"/>
      <c r="U2358" s="99"/>
    </row>
    <row r="2359" spans="20:21" x14ac:dyDescent="0.25">
      <c r="T2359" s="98"/>
      <c r="U2359" s="99"/>
    </row>
    <row r="2360" spans="20:21" x14ac:dyDescent="0.25">
      <c r="T2360" s="98"/>
      <c r="U2360" s="99"/>
    </row>
    <row r="2361" spans="20:21" x14ac:dyDescent="0.25">
      <c r="T2361" s="98"/>
      <c r="U2361" s="99"/>
    </row>
    <row r="2362" spans="20:21" x14ac:dyDescent="0.25">
      <c r="T2362" s="98"/>
      <c r="U2362" s="99"/>
    </row>
    <row r="2363" spans="20:21" x14ac:dyDescent="0.25">
      <c r="T2363" s="98"/>
      <c r="U2363" s="99"/>
    </row>
    <row r="2364" spans="20:21" x14ac:dyDescent="0.25">
      <c r="T2364" s="98"/>
      <c r="U2364" s="99"/>
    </row>
    <row r="2365" spans="20:21" x14ac:dyDescent="0.25">
      <c r="T2365" s="98"/>
      <c r="U2365" s="99"/>
    </row>
    <row r="2366" spans="20:21" x14ac:dyDescent="0.25">
      <c r="T2366" s="98"/>
      <c r="U2366" s="99"/>
    </row>
    <row r="2367" spans="20:21" x14ac:dyDescent="0.25">
      <c r="T2367" s="98"/>
      <c r="U2367" s="99"/>
    </row>
    <row r="2368" spans="20:21" x14ac:dyDescent="0.25">
      <c r="T2368" s="98"/>
      <c r="U2368" s="99"/>
    </row>
    <row r="2369" spans="20:21" x14ac:dyDescent="0.25">
      <c r="T2369" s="98"/>
      <c r="U2369" s="99"/>
    </row>
    <row r="2370" spans="20:21" x14ac:dyDescent="0.25">
      <c r="T2370" s="98"/>
      <c r="U2370" s="99"/>
    </row>
    <row r="2371" spans="20:21" x14ac:dyDescent="0.25">
      <c r="T2371" s="98"/>
      <c r="U2371" s="99"/>
    </row>
    <row r="2372" spans="20:21" x14ac:dyDescent="0.25">
      <c r="T2372" s="98"/>
      <c r="U2372" s="99"/>
    </row>
    <row r="2373" spans="20:21" x14ac:dyDescent="0.25">
      <c r="T2373" s="98"/>
      <c r="U2373" s="99"/>
    </row>
    <row r="2374" spans="20:21" x14ac:dyDescent="0.25">
      <c r="T2374" s="98"/>
      <c r="U2374" s="99"/>
    </row>
    <row r="2375" spans="20:21" x14ac:dyDescent="0.25">
      <c r="T2375" s="98"/>
      <c r="U2375" s="99"/>
    </row>
    <row r="2376" spans="20:21" x14ac:dyDescent="0.25">
      <c r="T2376" s="98"/>
      <c r="U2376" s="99"/>
    </row>
    <row r="2377" spans="20:21" x14ac:dyDescent="0.25">
      <c r="T2377" s="98"/>
      <c r="U2377" s="99"/>
    </row>
    <row r="2378" spans="20:21" x14ac:dyDescent="0.25">
      <c r="T2378" s="98"/>
      <c r="U2378" s="99"/>
    </row>
    <row r="2379" spans="20:21" x14ac:dyDescent="0.25">
      <c r="T2379" s="98"/>
      <c r="U2379" s="99"/>
    </row>
    <row r="2380" spans="20:21" x14ac:dyDescent="0.25">
      <c r="T2380" s="98"/>
      <c r="U2380" s="99"/>
    </row>
    <row r="2381" spans="20:21" x14ac:dyDescent="0.25">
      <c r="T2381" s="98"/>
      <c r="U2381" s="99"/>
    </row>
    <row r="2382" spans="20:21" x14ac:dyDescent="0.25">
      <c r="T2382" s="98"/>
      <c r="U2382" s="99"/>
    </row>
    <row r="2383" spans="20:21" x14ac:dyDescent="0.25">
      <c r="T2383" s="98"/>
      <c r="U2383" s="99"/>
    </row>
    <row r="2384" spans="20:21" x14ac:dyDescent="0.25">
      <c r="T2384" s="98"/>
      <c r="U2384" s="99"/>
    </row>
    <row r="2385" spans="20:21" x14ac:dyDescent="0.25">
      <c r="T2385" s="98"/>
      <c r="U2385" s="99"/>
    </row>
    <row r="2386" spans="20:21" x14ac:dyDescent="0.25">
      <c r="T2386" s="98"/>
      <c r="U2386" s="99"/>
    </row>
    <row r="2387" spans="20:21" x14ac:dyDescent="0.25">
      <c r="T2387" s="98"/>
      <c r="U2387" s="99"/>
    </row>
    <row r="2388" spans="20:21" x14ac:dyDescent="0.25">
      <c r="T2388" s="98"/>
      <c r="U2388" s="99"/>
    </row>
    <row r="2389" spans="20:21" x14ac:dyDescent="0.25">
      <c r="T2389" s="98"/>
      <c r="U2389" s="99"/>
    </row>
    <row r="2390" spans="20:21" x14ac:dyDescent="0.25">
      <c r="T2390" s="98"/>
      <c r="U2390" s="99"/>
    </row>
    <row r="2391" spans="20:21" x14ac:dyDescent="0.25">
      <c r="T2391" s="98"/>
      <c r="U2391" s="99"/>
    </row>
    <row r="2392" spans="20:21" x14ac:dyDescent="0.25">
      <c r="T2392" s="98"/>
      <c r="U2392" s="99"/>
    </row>
    <row r="2393" spans="20:21" x14ac:dyDescent="0.25">
      <c r="T2393" s="98"/>
      <c r="U2393" s="99"/>
    </row>
    <row r="2394" spans="20:21" x14ac:dyDescent="0.25">
      <c r="T2394" s="98"/>
      <c r="U2394" s="99"/>
    </row>
    <row r="2395" spans="20:21" x14ac:dyDescent="0.25">
      <c r="T2395" s="98"/>
      <c r="U2395" s="99"/>
    </row>
    <row r="2396" spans="20:21" x14ac:dyDescent="0.25">
      <c r="T2396" s="98"/>
      <c r="U2396" s="99"/>
    </row>
    <row r="2397" spans="20:21" x14ac:dyDescent="0.25">
      <c r="T2397" s="98"/>
      <c r="U2397" s="99"/>
    </row>
    <row r="2398" spans="20:21" x14ac:dyDescent="0.25">
      <c r="T2398" s="98"/>
      <c r="U2398" s="99"/>
    </row>
    <row r="2399" spans="20:21" x14ac:dyDescent="0.25">
      <c r="T2399" s="98"/>
      <c r="U2399" s="99"/>
    </row>
    <row r="2400" spans="20:21" x14ac:dyDescent="0.25">
      <c r="T2400" s="98"/>
      <c r="U2400" s="99"/>
    </row>
    <row r="2401" spans="20:21" x14ac:dyDescent="0.25">
      <c r="T2401" s="98"/>
      <c r="U2401" s="99"/>
    </row>
    <row r="2402" spans="20:21" x14ac:dyDescent="0.25">
      <c r="T2402" s="98"/>
      <c r="U2402" s="99"/>
    </row>
    <row r="2403" spans="20:21" x14ac:dyDescent="0.25">
      <c r="T2403" s="98"/>
      <c r="U2403" s="99"/>
    </row>
    <row r="2404" spans="20:21" x14ac:dyDescent="0.25">
      <c r="T2404" s="98"/>
      <c r="U2404" s="99"/>
    </row>
    <row r="2405" spans="20:21" x14ac:dyDescent="0.25">
      <c r="T2405" s="98"/>
      <c r="U2405" s="99"/>
    </row>
    <row r="2406" spans="20:21" x14ac:dyDescent="0.25">
      <c r="T2406" s="98"/>
      <c r="U2406" s="99"/>
    </row>
    <row r="2407" spans="20:21" x14ac:dyDescent="0.25">
      <c r="T2407" s="98"/>
      <c r="U2407" s="99"/>
    </row>
    <row r="2408" spans="20:21" x14ac:dyDescent="0.25">
      <c r="T2408" s="98"/>
      <c r="U2408" s="99"/>
    </row>
    <row r="2409" spans="20:21" x14ac:dyDescent="0.25">
      <c r="T2409" s="98"/>
      <c r="U2409" s="99"/>
    </row>
    <row r="2410" spans="20:21" x14ac:dyDescent="0.25">
      <c r="T2410" s="98"/>
      <c r="U2410" s="99"/>
    </row>
    <row r="2411" spans="20:21" x14ac:dyDescent="0.25">
      <c r="T2411" s="98"/>
      <c r="U2411" s="99"/>
    </row>
    <row r="2412" spans="20:21" x14ac:dyDescent="0.25">
      <c r="T2412" s="98"/>
      <c r="U2412" s="99"/>
    </row>
    <row r="2413" spans="20:21" x14ac:dyDescent="0.25">
      <c r="T2413" s="98"/>
      <c r="U2413" s="99"/>
    </row>
    <row r="2414" spans="20:21" x14ac:dyDescent="0.25">
      <c r="T2414" s="98"/>
      <c r="U2414" s="99"/>
    </row>
    <row r="2415" spans="20:21" x14ac:dyDescent="0.25">
      <c r="T2415" s="98"/>
      <c r="U2415" s="99"/>
    </row>
    <row r="2416" spans="20:21" x14ac:dyDescent="0.25">
      <c r="T2416" s="98"/>
      <c r="U2416" s="99"/>
    </row>
    <row r="2417" spans="20:21" x14ac:dyDescent="0.25">
      <c r="T2417" s="98"/>
      <c r="U2417" s="99"/>
    </row>
    <row r="2418" spans="20:21" x14ac:dyDescent="0.25">
      <c r="T2418" s="98"/>
      <c r="U2418" s="99"/>
    </row>
    <row r="2419" spans="20:21" x14ac:dyDescent="0.25">
      <c r="T2419" s="98"/>
      <c r="U2419" s="99"/>
    </row>
    <row r="2420" spans="20:21" x14ac:dyDescent="0.25">
      <c r="T2420" s="98"/>
      <c r="U2420" s="99"/>
    </row>
    <row r="2421" spans="20:21" x14ac:dyDescent="0.25">
      <c r="T2421" s="98"/>
      <c r="U2421" s="99"/>
    </row>
    <row r="2422" spans="20:21" x14ac:dyDescent="0.25">
      <c r="T2422" s="98"/>
      <c r="U2422" s="99"/>
    </row>
    <row r="2423" spans="20:21" x14ac:dyDescent="0.25">
      <c r="T2423" s="98"/>
      <c r="U2423" s="99"/>
    </row>
    <row r="2424" spans="20:21" x14ac:dyDescent="0.25">
      <c r="T2424" s="98"/>
      <c r="U2424" s="99"/>
    </row>
    <row r="2425" spans="20:21" x14ac:dyDescent="0.25">
      <c r="T2425" s="98"/>
      <c r="U2425" s="99"/>
    </row>
    <row r="2426" spans="20:21" x14ac:dyDescent="0.25">
      <c r="T2426" s="98"/>
      <c r="U2426" s="99"/>
    </row>
    <row r="2427" spans="20:21" x14ac:dyDescent="0.25">
      <c r="T2427" s="98"/>
      <c r="U2427" s="99"/>
    </row>
    <row r="2428" spans="20:21" x14ac:dyDescent="0.25">
      <c r="T2428" s="98"/>
      <c r="U2428" s="99"/>
    </row>
    <row r="2429" spans="20:21" x14ac:dyDescent="0.25">
      <c r="T2429" s="98"/>
      <c r="U2429" s="99"/>
    </row>
    <row r="2430" spans="20:21" x14ac:dyDescent="0.25">
      <c r="T2430" s="98"/>
      <c r="U2430" s="99"/>
    </row>
    <row r="2431" spans="20:21" x14ac:dyDescent="0.25">
      <c r="T2431" s="98"/>
      <c r="U2431" s="99"/>
    </row>
    <row r="2432" spans="20:21" x14ac:dyDescent="0.25">
      <c r="T2432" s="98"/>
      <c r="U2432" s="99"/>
    </row>
    <row r="2433" spans="20:21" x14ac:dyDescent="0.25">
      <c r="T2433" s="98"/>
      <c r="U2433" s="99"/>
    </row>
    <row r="2434" spans="20:21" x14ac:dyDescent="0.25">
      <c r="T2434" s="98"/>
      <c r="U2434" s="99"/>
    </row>
    <row r="2435" spans="20:21" x14ac:dyDescent="0.25">
      <c r="T2435" s="98"/>
      <c r="U2435" s="99"/>
    </row>
    <row r="2436" spans="20:21" x14ac:dyDescent="0.25">
      <c r="T2436" s="98"/>
      <c r="U2436" s="99"/>
    </row>
    <row r="2437" spans="20:21" x14ac:dyDescent="0.25">
      <c r="T2437" s="98"/>
      <c r="U2437" s="99"/>
    </row>
    <row r="2438" spans="20:21" x14ac:dyDescent="0.25">
      <c r="T2438" s="98"/>
      <c r="U2438" s="99"/>
    </row>
    <row r="2439" spans="20:21" x14ac:dyDescent="0.25">
      <c r="T2439" s="98"/>
      <c r="U2439" s="99"/>
    </row>
    <row r="2440" spans="20:21" x14ac:dyDescent="0.25">
      <c r="T2440" s="98"/>
      <c r="U2440" s="99"/>
    </row>
    <row r="2441" spans="20:21" x14ac:dyDescent="0.25">
      <c r="T2441" s="98"/>
      <c r="U2441" s="99"/>
    </row>
    <row r="2442" spans="20:21" x14ac:dyDescent="0.25">
      <c r="T2442" s="98"/>
      <c r="U2442" s="99"/>
    </row>
    <row r="2443" spans="20:21" x14ac:dyDescent="0.25">
      <c r="T2443" s="98"/>
      <c r="U2443" s="99"/>
    </row>
    <row r="2444" spans="20:21" x14ac:dyDescent="0.25">
      <c r="T2444" s="98"/>
      <c r="U2444" s="99"/>
    </row>
    <row r="2445" spans="20:21" x14ac:dyDescent="0.25">
      <c r="T2445" s="98"/>
      <c r="U2445" s="99"/>
    </row>
    <row r="2446" spans="20:21" x14ac:dyDescent="0.25">
      <c r="T2446" s="98"/>
      <c r="U2446" s="99"/>
    </row>
    <row r="2447" spans="20:21" x14ac:dyDescent="0.25">
      <c r="T2447" s="98"/>
      <c r="U2447" s="99"/>
    </row>
    <row r="2448" spans="20:21" x14ac:dyDescent="0.25">
      <c r="T2448" s="98"/>
      <c r="U2448" s="99"/>
    </row>
    <row r="2449" spans="20:21" x14ac:dyDescent="0.25">
      <c r="T2449" s="98"/>
      <c r="U2449" s="99"/>
    </row>
    <row r="2450" spans="20:21" x14ac:dyDescent="0.25">
      <c r="T2450" s="98"/>
      <c r="U2450" s="99"/>
    </row>
    <row r="2451" spans="20:21" x14ac:dyDescent="0.25">
      <c r="T2451" s="98"/>
      <c r="U2451" s="99"/>
    </row>
    <row r="2452" spans="20:21" x14ac:dyDescent="0.25">
      <c r="T2452" s="98"/>
      <c r="U2452" s="99"/>
    </row>
    <row r="2453" spans="20:21" x14ac:dyDescent="0.25">
      <c r="T2453" s="98"/>
      <c r="U2453" s="99"/>
    </row>
    <row r="2454" spans="20:21" x14ac:dyDescent="0.25">
      <c r="T2454" s="98"/>
      <c r="U2454" s="99"/>
    </row>
    <row r="2455" spans="20:21" x14ac:dyDescent="0.25">
      <c r="T2455" s="98"/>
      <c r="U2455" s="99"/>
    </row>
    <row r="2456" spans="20:21" x14ac:dyDescent="0.25">
      <c r="T2456" s="98"/>
      <c r="U2456" s="99"/>
    </row>
    <row r="2457" spans="20:21" x14ac:dyDescent="0.25">
      <c r="T2457" s="98"/>
      <c r="U2457" s="99"/>
    </row>
    <row r="2458" spans="20:21" x14ac:dyDescent="0.25">
      <c r="T2458" s="98"/>
      <c r="U2458" s="99"/>
    </row>
    <row r="2459" spans="20:21" x14ac:dyDescent="0.25">
      <c r="T2459" s="98"/>
      <c r="U2459" s="99"/>
    </row>
    <row r="2460" spans="20:21" x14ac:dyDescent="0.25">
      <c r="T2460" s="98"/>
      <c r="U2460" s="99"/>
    </row>
    <row r="2461" spans="20:21" x14ac:dyDescent="0.25">
      <c r="T2461" s="98"/>
      <c r="U2461" s="99"/>
    </row>
    <row r="2462" spans="20:21" x14ac:dyDescent="0.25">
      <c r="T2462" s="98"/>
      <c r="U2462" s="99"/>
    </row>
    <row r="2463" spans="20:21" x14ac:dyDescent="0.25">
      <c r="T2463" s="98"/>
      <c r="U2463" s="99"/>
    </row>
    <row r="2464" spans="20:21" x14ac:dyDescent="0.25">
      <c r="T2464" s="98"/>
      <c r="U2464" s="99"/>
    </row>
    <row r="2465" spans="20:21" x14ac:dyDescent="0.25">
      <c r="T2465" s="98"/>
      <c r="U2465" s="99"/>
    </row>
    <row r="2466" spans="20:21" x14ac:dyDescent="0.25">
      <c r="T2466" s="98"/>
      <c r="U2466" s="99"/>
    </row>
    <row r="2467" spans="20:21" x14ac:dyDescent="0.25">
      <c r="T2467" s="98"/>
      <c r="U2467" s="99"/>
    </row>
    <row r="2468" spans="20:21" x14ac:dyDescent="0.25">
      <c r="T2468" s="98"/>
      <c r="U2468" s="99"/>
    </row>
    <row r="2469" spans="20:21" x14ac:dyDescent="0.25">
      <c r="T2469" s="98"/>
      <c r="U2469" s="99"/>
    </row>
    <row r="2470" spans="20:21" x14ac:dyDescent="0.25">
      <c r="T2470" s="98"/>
      <c r="U2470" s="99"/>
    </row>
    <row r="2471" spans="20:21" x14ac:dyDescent="0.25">
      <c r="T2471" s="98"/>
      <c r="U2471" s="99"/>
    </row>
    <row r="2472" spans="20:21" x14ac:dyDescent="0.25">
      <c r="T2472" s="98"/>
      <c r="U2472" s="99"/>
    </row>
    <row r="2473" spans="20:21" x14ac:dyDescent="0.25">
      <c r="T2473" s="98"/>
      <c r="U2473" s="99"/>
    </row>
    <row r="2474" spans="20:21" x14ac:dyDescent="0.25">
      <c r="T2474" s="98"/>
      <c r="U2474" s="99"/>
    </row>
    <row r="2475" spans="20:21" x14ac:dyDescent="0.25">
      <c r="T2475" s="98"/>
      <c r="U2475" s="99"/>
    </row>
    <row r="2476" spans="20:21" x14ac:dyDescent="0.25">
      <c r="T2476" s="98"/>
      <c r="U2476" s="99"/>
    </row>
    <row r="2477" spans="20:21" x14ac:dyDescent="0.25">
      <c r="T2477" s="98"/>
      <c r="U2477" s="99"/>
    </row>
    <row r="2478" spans="20:21" x14ac:dyDescent="0.25">
      <c r="T2478" s="98"/>
      <c r="U2478" s="99"/>
    </row>
    <row r="2479" spans="20:21" x14ac:dyDescent="0.25">
      <c r="T2479" s="98"/>
      <c r="U2479" s="99"/>
    </row>
    <row r="2480" spans="20:21" x14ac:dyDescent="0.25">
      <c r="T2480" s="98"/>
      <c r="U2480" s="99"/>
    </row>
    <row r="2481" spans="20:21" x14ac:dyDescent="0.25">
      <c r="T2481" s="98"/>
      <c r="U2481" s="99"/>
    </row>
    <row r="2482" spans="20:21" x14ac:dyDescent="0.25">
      <c r="T2482" s="98"/>
      <c r="U2482" s="99"/>
    </row>
    <row r="2483" spans="20:21" x14ac:dyDescent="0.25">
      <c r="T2483" s="98"/>
      <c r="U2483" s="99"/>
    </row>
    <row r="2484" spans="20:21" x14ac:dyDescent="0.25">
      <c r="T2484" s="98"/>
      <c r="U2484" s="99"/>
    </row>
    <row r="2485" spans="20:21" x14ac:dyDescent="0.25">
      <c r="T2485" s="98"/>
      <c r="U2485" s="99"/>
    </row>
    <row r="2486" spans="20:21" x14ac:dyDescent="0.25">
      <c r="T2486" s="98"/>
      <c r="U2486" s="99"/>
    </row>
    <row r="2487" spans="20:21" x14ac:dyDescent="0.25">
      <c r="T2487" s="98"/>
      <c r="U2487" s="99"/>
    </row>
    <row r="2488" spans="20:21" x14ac:dyDescent="0.25">
      <c r="T2488" s="98"/>
      <c r="U2488" s="99"/>
    </row>
    <row r="2489" spans="20:21" x14ac:dyDescent="0.25">
      <c r="T2489" s="98"/>
      <c r="U2489" s="99"/>
    </row>
    <row r="2490" spans="20:21" x14ac:dyDescent="0.25">
      <c r="T2490" s="98"/>
      <c r="U2490" s="99"/>
    </row>
    <row r="2491" spans="20:21" x14ac:dyDescent="0.25">
      <c r="T2491" s="98"/>
      <c r="U2491" s="99"/>
    </row>
    <row r="2492" spans="20:21" x14ac:dyDescent="0.25">
      <c r="T2492" s="98"/>
      <c r="U2492" s="99"/>
    </row>
    <row r="2493" spans="20:21" x14ac:dyDescent="0.25">
      <c r="T2493" s="98"/>
      <c r="U2493" s="99"/>
    </row>
    <row r="2494" spans="20:21" x14ac:dyDescent="0.25">
      <c r="T2494" s="98"/>
      <c r="U2494" s="99"/>
    </row>
    <row r="2495" spans="20:21" x14ac:dyDescent="0.25">
      <c r="T2495" s="98"/>
      <c r="U2495" s="99"/>
    </row>
    <row r="2496" spans="20:21" x14ac:dyDescent="0.25">
      <c r="T2496" s="98"/>
      <c r="U2496" s="99"/>
    </row>
    <row r="2497" spans="20:21" x14ac:dyDescent="0.25">
      <c r="T2497" s="98"/>
      <c r="U2497" s="99"/>
    </row>
    <row r="2498" spans="20:21" x14ac:dyDescent="0.25">
      <c r="T2498" s="98"/>
      <c r="U2498" s="99"/>
    </row>
    <row r="2499" spans="20:21" x14ac:dyDescent="0.25">
      <c r="T2499" s="98"/>
      <c r="U2499" s="99"/>
    </row>
    <row r="2500" spans="20:21" x14ac:dyDescent="0.25">
      <c r="T2500" s="98"/>
      <c r="U2500" s="99"/>
    </row>
    <row r="2501" spans="20:21" x14ac:dyDescent="0.25">
      <c r="T2501" s="98"/>
      <c r="U2501" s="99"/>
    </row>
    <row r="2502" spans="20:21" x14ac:dyDescent="0.25">
      <c r="T2502" s="98"/>
      <c r="U2502" s="99"/>
    </row>
    <row r="2503" spans="20:21" x14ac:dyDescent="0.25">
      <c r="T2503" s="98"/>
      <c r="U2503" s="99"/>
    </row>
    <row r="2504" spans="20:21" x14ac:dyDescent="0.25">
      <c r="T2504" s="98"/>
      <c r="U2504" s="99"/>
    </row>
    <row r="2505" spans="20:21" x14ac:dyDescent="0.25">
      <c r="T2505" s="98"/>
      <c r="U2505" s="99"/>
    </row>
    <row r="2506" spans="20:21" x14ac:dyDescent="0.25">
      <c r="T2506" s="98"/>
      <c r="U2506" s="99"/>
    </row>
    <row r="2507" spans="20:21" x14ac:dyDescent="0.25">
      <c r="T2507" s="98"/>
      <c r="U2507" s="99"/>
    </row>
    <row r="2508" spans="20:21" x14ac:dyDescent="0.25">
      <c r="T2508" s="98"/>
      <c r="U2508" s="99"/>
    </row>
    <row r="2509" spans="20:21" x14ac:dyDescent="0.25">
      <c r="T2509" s="98"/>
      <c r="U2509" s="99"/>
    </row>
    <row r="2510" spans="20:21" x14ac:dyDescent="0.25">
      <c r="T2510" s="98"/>
      <c r="U2510" s="99"/>
    </row>
    <row r="2511" spans="20:21" x14ac:dyDescent="0.25">
      <c r="T2511" s="98"/>
      <c r="U2511" s="99"/>
    </row>
    <row r="2512" spans="20:21" x14ac:dyDescent="0.25">
      <c r="T2512" s="98"/>
      <c r="U2512" s="99"/>
    </row>
    <row r="2513" spans="20:21" x14ac:dyDescent="0.25">
      <c r="T2513" s="98"/>
      <c r="U2513" s="99"/>
    </row>
    <row r="2514" spans="20:21" x14ac:dyDescent="0.25">
      <c r="T2514" s="98"/>
      <c r="U2514" s="99"/>
    </row>
    <row r="2515" spans="20:21" x14ac:dyDescent="0.25">
      <c r="T2515" s="98"/>
      <c r="U2515" s="99"/>
    </row>
    <row r="2516" spans="20:21" x14ac:dyDescent="0.25">
      <c r="T2516" s="98"/>
      <c r="U2516" s="99"/>
    </row>
    <row r="2517" spans="20:21" x14ac:dyDescent="0.25">
      <c r="T2517" s="98"/>
      <c r="U2517" s="99"/>
    </row>
    <row r="2518" spans="20:21" x14ac:dyDescent="0.25">
      <c r="T2518" s="98"/>
      <c r="U2518" s="99"/>
    </row>
    <row r="2519" spans="20:21" x14ac:dyDescent="0.25">
      <c r="T2519" s="98"/>
      <c r="U2519" s="99"/>
    </row>
    <row r="2520" spans="20:21" x14ac:dyDescent="0.25">
      <c r="T2520" s="98"/>
      <c r="U2520" s="99"/>
    </row>
    <row r="2521" spans="20:21" x14ac:dyDescent="0.25">
      <c r="T2521" s="98"/>
      <c r="U2521" s="99"/>
    </row>
    <row r="2522" spans="20:21" x14ac:dyDescent="0.25">
      <c r="T2522" s="98"/>
      <c r="U2522" s="99"/>
    </row>
    <row r="2523" spans="20:21" x14ac:dyDescent="0.25">
      <c r="T2523" s="98"/>
      <c r="U2523" s="99"/>
    </row>
    <row r="2524" spans="20:21" x14ac:dyDescent="0.25">
      <c r="T2524" s="98"/>
      <c r="U2524" s="99"/>
    </row>
    <row r="2525" spans="20:21" x14ac:dyDescent="0.25">
      <c r="T2525" s="98"/>
      <c r="U2525" s="99"/>
    </row>
    <row r="2526" spans="20:21" x14ac:dyDescent="0.25">
      <c r="T2526" s="98"/>
      <c r="U2526" s="99"/>
    </row>
    <row r="2527" spans="20:21" x14ac:dyDescent="0.25">
      <c r="T2527" s="98"/>
      <c r="U2527" s="99"/>
    </row>
    <row r="2528" spans="20:21" x14ac:dyDescent="0.25">
      <c r="T2528" s="98"/>
      <c r="U2528" s="99"/>
    </row>
    <row r="2529" spans="20:21" x14ac:dyDescent="0.25">
      <c r="T2529" s="98"/>
      <c r="U2529" s="99"/>
    </row>
    <row r="2530" spans="20:21" x14ac:dyDescent="0.25">
      <c r="T2530" s="98"/>
      <c r="U2530" s="99"/>
    </row>
    <row r="2531" spans="20:21" x14ac:dyDescent="0.25">
      <c r="T2531" s="98"/>
      <c r="U2531" s="99"/>
    </row>
    <row r="2532" spans="20:21" x14ac:dyDescent="0.25">
      <c r="T2532" s="98"/>
      <c r="U2532" s="99"/>
    </row>
    <row r="2533" spans="20:21" x14ac:dyDescent="0.25">
      <c r="T2533" s="98"/>
      <c r="U2533" s="99"/>
    </row>
    <row r="2534" spans="20:21" x14ac:dyDescent="0.25">
      <c r="T2534" s="98"/>
      <c r="U2534" s="99"/>
    </row>
    <row r="2535" spans="20:21" x14ac:dyDescent="0.25">
      <c r="T2535" s="98"/>
      <c r="U2535" s="99"/>
    </row>
    <row r="2536" spans="20:21" x14ac:dyDescent="0.25">
      <c r="T2536" s="98"/>
      <c r="U2536" s="99"/>
    </row>
    <row r="2537" spans="20:21" x14ac:dyDescent="0.25">
      <c r="T2537" s="98"/>
      <c r="U2537" s="99"/>
    </row>
    <row r="2538" spans="20:21" x14ac:dyDescent="0.25">
      <c r="T2538" s="98"/>
      <c r="U2538" s="99"/>
    </row>
    <row r="2539" spans="20:21" x14ac:dyDescent="0.25">
      <c r="T2539" s="98"/>
      <c r="U2539" s="99"/>
    </row>
    <row r="2540" spans="20:21" x14ac:dyDescent="0.25">
      <c r="T2540" s="98"/>
      <c r="U2540" s="99"/>
    </row>
    <row r="2541" spans="20:21" x14ac:dyDescent="0.25">
      <c r="T2541" s="98"/>
      <c r="U2541" s="99"/>
    </row>
    <row r="2542" spans="20:21" x14ac:dyDescent="0.25">
      <c r="T2542" s="98"/>
      <c r="U2542" s="99"/>
    </row>
    <row r="2543" spans="20:21" x14ac:dyDescent="0.25">
      <c r="T2543" s="98"/>
      <c r="U2543" s="99"/>
    </row>
    <row r="2544" spans="20:21" x14ac:dyDescent="0.25">
      <c r="T2544" s="98"/>
      <c r="U2544" s="99"/>
    </row>
    <row r="2545" spans="20:21" x14ac:dyDescent="0.25">
      <c r="T2545" s="98"/>
      <c r="U2545" s="99"/>
    </row>
    <row r="2546" spans="20:21" x14ac:dyDescent="0.25">
      <c r="T2546" s="98"/>
      <c r="U2546" s="99"/>
    </row>
    <row r="2547" spans="20:21" x14ac:dyDescent="0.25">
      <c r="T2547" s="98"/>
      <c r="U2547" s="99"/>
    </row>
    <row r="2548" spans="20:21" x14ac:dyDescent="0.25">
      <c r="T2548" s="98"/>
      <c r="U2548" s="99"/>
    </row>
    <row r="2549" spans="20:21" x14ac:dyDescent="0.25">
      <c r="T2549" s="98"/>
      <c r="U2549" s="99"/>
    </row>
    <row r="2550" spans="20:21" x14ac:dyDescent="0.25">
      <c r="T2550" s="98"/>
      <c r="U2550" s="99"/>
    </row>
    <row r="2551" spans="20:21" x14ac:dyDescent="0.25">
      <c r="T2551" s="98"/>
      <c r="U2551" s="99"/>
    </row>
    <row r="2552" spans="20:21" x14ac:dyDescent="0.25">
      <c r="T2552" s="98"/>
      <c r="U2552" s="99"/>
    </row>
    <row r="2553" spans="20:21" x14ac:dyDescent="0.25">
      <c r="T2553" s="98"/>
      <c r="U2553" s="99"/>
    </row>
    <row r="2554" spans="20:21" x14ac:dyDescent="0.25">
      <c r="T2554" s="98"/>
      <c r="U2554" s="99"/>
    </row>
    <row r="2555" spans="20:21" x14ac:dyDescent="0.25">
      <c r="T2555" s="98"/>
      <c r="U2555" s="99"/>
    </row>
    <row r="2556" spans="20:21" x14ac:dyDescent="0.25">
      <c r="T2556" s="98"/>
      <c r="U2556" s="99"/>
    </row>
    <row r="2557" spans="20:21" x14ac:dyDescent="0.25">
      <c r="T2557" s="98"/>
      <c r="U2557" s="99"/>
    </row>
    <row r="2558" spans="20:21" x14ac:dyDescent="0.25">
      <c r="T2558" s="98"/>
      <c r="U2558" s="99"/>
    </row>
    <row r="2559" spans="20:21" x14ac:dyDescent="0.25">
      <c r="T2559" s="98"/>
      <c r="U2559" s="99"/>
    </row>
    <row r="2560" spans="20:21" x14ac:dyDescent="0.25">
      <c r="T2560" s="98"/>
      <c r="U2560" s="99"/>
    </row>
    <row r="2561" spans="20:21" x14ac:dyDescent="0.25">
      <c r="T2561" s="98"/>
      <c r="U2561" s="99"/>
    </row>
    <row r="2562" spans="20:21" x14ac:dyDescent="0.25">
      <c r="T2562" s="98"/>
      <c r="U2562" s="99"/>
    </row>
    <row r="2563" spans="20:21" x14ac:dyDescent="0.25">
      <c r="T2563" s="98"/>
      <c r="U2563" s="99"/>
    </row>
    <row r="2564" spans="20:21" x14ac:dyDescent="0.25">
      <c r="T2564" s="98"/>
      <c r="U2564" s="99"/>
    </row>
    <row r="2565" spans="20:21" x14ac:dyDescent="0.25">
      <c r="T2565" s="98"/>
      <c r="U2565" s="99"/>
    </row>
    <row r="2566" spans="20:21" x14ac:dyDescent="0.25">
      <c r="T2566" s="98"/>
      <c r="U2566" s="99"/>
    </row>
    <row r="2567" spans="20:21" x14ac:dyDescent="0.25">
      <c r="T2567" s="98"/>
      <c r="U2567" s="99"/>
    </row>
    <row r="2568" spans="20:21" x14ac:dyDescent="0.25">
      <c r="T2568" s="98"/>
      <c r="U2568" s="99"/>
    </row>
    <row r="2569" spans="20:21" x14ac:dyDescent="0.25">
      <c r="T2569" s="98"/>
      <c r="U2569" s="99"/>
    </row>
    <row r="2570" spans="20:21" x14ac:dyDescent="0.25">
      <c r="T2570" s="98"/>
      <c r="U2570" s="99"/>
    </row>
    <row r="2571" spans="20:21" x14ac:dyDescent="0.25">
      <c r="T2571" s="98"/>
      <c r="U2571" s="99"/>
    </row>
    <row r="2572" spans="20:21" x14ac:dyDescent="0.25">
      <c r="T2572" s="98"/>
      <c r="U2572" s="99"/>
    </row>
    <row r="2573" spans="20:21" x14ac:dyDescent="0.25">
      <c r="T2573" s="98"/>
      <c r="U2573" s="99"/>
    </row>
    <row r="2574" spans="20:21" x14ac:dyDescent="0.25">
      <c r="T2574" s="98"/>
      <c r="U2574" s="99"/>
    </row>
    <row r="2575" spans="20:21" x14ac:dyDescent="0.25">
      <c r="T2575" s="98"/>
      <c r="U2575" s="99"/>
    </row>
    <row r="2576" spans="20:21" x14ac:dyDescent="0.25">
      <c r="T2576" s="98"/>
      <c r="U2576" s="99"/>
    </row>
    <row r="2577" spans="20:21" x14ac:dyDescent="0.25">
      <c r="T2577" s="98"/>
      <c r="U2577" s="99"/>
    </row>
    <row r="2578" spans="20:21" x14ac:dyDescent="0.25">
      <c r="T2578" s="98"/>
      <c r="U2578" s="99"/>
    </row>
    <row r="2579" spans="20:21" x14ac:dyDescent="0.25">
      <c r="T2579" s="98"/>
      <c r="U2579" s="99"/>
    </row>
    <row r="2580" spans="20:21" x14ac:dyDescent="0.25">
      <c r="T2580" s="98"/>
      <c r="U2580" s="99"/>
    </row>
    <row r="2581" spans="20:21" x14ac:dyDescent="0.25">
      <c r="T2581" s="98"/>
      <c r="U2581" s="99"/>
    </row>
    <row r="2582" spans="20:21" x14ac:dyDescent="0.25">
      <c r="T2582" s="98"/>
      <c r="U2582" s="99"/>
    </row>
    <row r="2583" spans="20:21" x14ac:dyDescent="0.25">
      <c r="T2583" s="98"/>
      <c r="U2583" s="99"/>
    </row>
    <row r="2584" spans="20:21" x14ac:dyDescent="0.25">
      <c r="T2584" s="98"/>
      <c r="U2584" s="99"/>
    </row>
    <row r="2585" spans="20:21" x14ac:dyDescent="0.25">
      <c r="T2585" s="98"/>
      <c r="U2585" s="99"/>
    </row>
    <row r="2586" spans="20:21" x14ac:dyDescent="0.25">
      <c r="T2586" s="98"/>
      <c r="U2586" s="99"/>
    </row>
    <row r="2587" spans="20:21" x14ac:dyDescent="0.25">
      <c r="T2587" s="98"/>
      <c r="U2587" s="99"/>
    </row>
    <row r="2588" spans="20:21" x14ac:dyDescent="0.25">
      <c r="T2588" s="98"/>
      <c r="U2588" s="99"/>
    </row>
    <row r="2589" spans="20:21" x14ac:dyDescent="0.25">
      <c r="T2589" s="98"/>
      <c r="U2589" s="99"/>
    </row>
    <row r="2590" spans="20:21" x14ac:dyDescent="0.25">
      <c r="T2590" s="98"/>
      <c r="U2590" s="99"/>
    </row>
    <row r="2591" spans="20:21" x14ac:dyDescent="0.25">
      <c r="T2591" s="98"/>
      <c r="U2591" s="99"/>
    </row>
    <row r="2592" spans="20:21" x14ac:dyDescent="0.25">
      <c r="T2592" s="98"/>
      <c r="U2592" s="99"/>
    </row>
    <row r="2593" spans="20:21" x14ac:dyDescent="0.25">
      <c r="T2593" s="98"/>
      <c r="U2593" s="99"/>
    </row>
    <row r="2594" spans="20:21" x14ac:dyDescent="0.25">
      <c r="T2594" s="98"/>
      <c r="U2594" s="99"/>
    </row>
    <row r="2595" spans="20:21" x14ac:dyDescent="0.25">
      <c r="T2595" s="98"/>
      <c r="U2595" s="99"/>
    </row>
    <row r="2596" spans="20:21" x14ac:dyDescent="0.25">
      <c r="T2596" s="98"/>
      <c r="U2596" s="99"/>
    </row>
    <row r="2597" spans="20:21" x14ac:dyDescent="0.25">
      <c r="T2597" s="98"/>
      <c r="U2597" s="99"/>
    </row>
    <row r="2598" spans="20:21" x14ac:dyDescent="0.25">
      <c r="T2598" s="98"/>
      <c r="U2598" s="99"/>
    </row>
    <row r="2599" spans="20:21" x14ac:dyDescent="0.25">
      <c r="T2599" s="98"/>
      <c r="U2599" s="99"/>
    </row>
    <row r="2600" spans="20:21" x14ac:dyDescent="0.25">
      <c r="T2600" s="98"/>
      <c r="U2600" s="99"/>
    </row>
    <row r="2601" spans="20:21" x14ac:dyDescent="0.25">
      <c r="T2601" s="98"/>
      <c r="U2601" s="99"/>
    </row>
    <row r="2602" spans="20:21" x14ac:dyDescent="0.25">
      <c r="T2602" s="98"/>
      <c r="U2602" s="99"/>
    </row>
    <row r="2603" spans="20:21" x14ac:dyDescent="0.25">
      <c r="T2603" s="98"/>
      <c r="U2603" s="99"/>
    </row>
    <row r="2604" spans="20:21" x14ac:dyDescent="0.25">
      <c r="T2604" s="98"/>
      <c r="U2604" s="99"/>
    </row>
    <row r="2605" spans="20:21" x14ac:dyDescent="0.25">
      <c r="T2605" s="98"/>
      <c r="U2605" s="99"/>
    </row>
    <row r="2606" spans="20:21" x14ac:dyDescent="0.25">
      <c r="T2606" s="98"/>
      <c r="U2606" s="99"/>
    </row>
    <row r="2607" spans="20:21" x14ac:dyDescent="0.25">
      <c r="T2607" s="98"/>
      <c r="U2607" s="99"/>
    </row>
    <row r="2608" spans="20:21" x14ac:dyDescent="0.25">
      <c r="T2608" s="98"/>
      <c r="U2608" s="99"/>
    </row>
    <row r="2609" spans="20:21" x14ac:dyDescent="0.25">
      <c r="T2609" s="98"/>
      <c r="U2609" s="99"/>
    </row>
    <row r="2610" spans="20:21" x14ac:dyDescent="0.25">
      <c r="T2610" s="98"/>
      <c r="U2610" s="99"/>
    </row>
    <row r="2611" spans="20:21" x14ac:dyDescent="0.25">
      <c r="T2611" s="98"/>
      <c r="U2611" s="99"/>
    </row>
    <row r="2612" spans="20:21" x14ac:dyDescent="0.25">
      <c r="T2612" s="98"/>
      <c r="U2612" s="99"/>
    </row>
    <row r="2613" spans="20:21" x14ac:dyDescent="0.25">
      <c r="T2613" s="98"/>
      <c r="U2613" s="99"/>
    </row>
    <row r="2614" spans="20:21" x14ac:dyDescent="0.25">
      <c r="T2614" s="98"/>
      <c r="U2614" s="99"/>
    </row>
    <row r="2615" spans="20:21" x14ac:dyDescent="0.25">
      <c r="T2615" s="98"/>
      <c r="U2615" s="99"/>
    </row>
    <row r="2616" spans="20:21" x14ac:dyDescent="0.25">
      <c r="T2616" s="98"/>
      <c r="U2616" s="99"/>
    </row>
    <row r="2617" spans="20:21" x14ac:dyDescent="0.25">
      <c r="T2617" s="98"/>
      <c r="U2617" s="99"/>
    </row>
    <row r="2618" spans="20:21" x14ac:dyDescent="0.25">
      <c r="T2618" s="98"/>
      <c r="U2618" s="99"/>
    </row>
    <row r="2619" spans="20:21" x14ac:dyDescent="0.25">
      <c r="T2619" s="98"/>
      <c r="U2619" s="99"/>
    </row>
    <row r="2620" spans="20:21" x14ac:dyDescent="0.25">
      <c r="T2620" s="98"/>
      <c r="U2620" s="99"/>
    </row>
    <row r="2621" spans="20:21" x14ac:dyDescent="0.25">
      <c r="T2621" s="98"/>
      <c r="U2621" s="99"/>
    </row>
    <row r="2622" spans="20:21" x14ac:dyDescent="0.25">
      <c r="T2622" s="98"/>
      <c r="U2622" s="99"/>
    </row>
    <row r="2623" spans="20:21" x14ac:dyDescent="0.25">
      <c r="T2623" s="98"/>
      <c r="U2623" s="99"/>
    </row>
    <row r="2624" spans="20:21" x14ac:dyDescent="0.25">
      <c r="T2624" s="98"/>
      <c r="U2624" s="99"/>
    </row>
    <row r="2625" spans="20:21" x14ac:dyDescent="0.25">
      <c r="T2625" s="98"/>
      <c r="U2625" s="99"/>
    </row>
    <row r="2626" spans="20:21" x14ac:dyDescent="0.25">
      <c r="T2626" s="98"/>
      <c r="U2626" s="99"/>
    </row>
    <row r="2627" spans="20:21" x14ac:dyDescent="0.25">
      <c r="T2627" s="98"/>
      <c r="U2627" s="99"/>
    </row>
    <row r="2628" spans="20:21" x14ac:dyDescent="0.25">
      <c r="T2628" s="98"/>
      <c r="U2628" s="99"/>
    </row>
    <row r="2629" spans="20:21" x14ac:dyDescent="0.25">
      <c r="T2629" s="98"/>
      <c r="U2629" s="99"/>
    </row>
    <row r="2630" spans="20:21" x14ac:dyDescent="0.25">
      <c r="T2630" s="98"/>
      <c r="U2630" s="99"/>
    </row>
    <row r="2631" spans="20:21" x14ac:dyDescent="0.25">
      <c r="T2631" s="98"/>
      <c r="U2631" s="99"/>
    </row>
    <row r="2632" spans="20:21" x14ac:dyDescent="0.25">
      <c r="T2632" s="98"/>
      <c r="U2632" s="99"/>
    </row>
    <row r="2633" spans="20:21" x14ac:dyDescent="0.25">
      <c r="T2633" s="98"/>
      <c r="U2633" s="99"/>
    </row>
    <row r="2634" spans="20:21" x14ac:dyDescent="0.25">
      <c r="T2634" s="98"/>
      <c r="U2634" s="99"/>
    </row>
    <row r="2635" spans="20:21" x14ac:dyDescent="0.25">
      <c r="T2635" s="98"/>
      <c r="U2635" s="99"/>
    </row>
    <row r="2636" spans="20:21" x14ac:dyDescent="0.25">
      <c r="T2636" s="98"/>
      <c r="U2636" s="99"/>
    </row>
    <row r="2637" spans="20:21" x14ac:dyDescent="0.25">
      <c r="T2637" s="98"/>
      <c r="U2637" s="99"/>
    </row>
    <row r="2638" spans="20:21" x14ac:dyDescent="0.25">
      <c r="T2638" s="98"/>
      <c r="U2638" s="99"/>
    </row>
    <row r="2639" spans="20:21" x14ac:dyDescent="0.25">
      <c r="T2639" s="98"/>
      <c r="U2639" s="99"/>
    </row>
    <row r="2640" spans="20:21" x14ac:dyDescent="0.25">
      <c r="T2640" s="98"/>
      <c r="U2640" s="99"/>
    </row>
    <row r="2641" spans="20:21" x14ac:dyDescent="0.25">
      <c r="T2641" s="98"/>
      <c r="U2641" s="99"/>
    </row>
    <row r="2642" spans="20:21" x14ac:dyDescent="0.25">
      <c r="T2642" s="98"/>
      <c r="U2642" s="99"/>
    </row>
    <row r="2643" spans="20:21" x14ac:dyDescent="0.25">
      <c r="T2643" s="98"/>
      <c r="U2643" s="99"/>
    </row>
    <row r="2644" spans="20:21" x14ac:dyDescent="0.25">
      <c r="T2644" s="98"/>
      <c r="U2644" s="99"/>
    </row>
    <row r="2645" spans="20:21" x14ac:dyDescent="0.25">
      <c r="T2645" s="98"/>
      <c r="U2645" s="99"/>
    </row>
    <row r="2646" spans="20:21" x14ac:dyDescent="0.25">
      <c r="T2646" s="98"/>
      <c r="U2646" s="99"/>
    </row>
    <row r="2647" spans="20:21" x14ac:dyDescent="0.25">
      <c r="T2647" s="98"/>
      <c r="U2647" s="99"/>
    </row>
    <row r="2648" spans="20:21" x14ac:dyDescent="0.25">
      <c r="T2648" s="98"/>
      <c r="U2648" s="99"/>
    </row>
    <row r="2649" spans="20:21" x14ac:dyDescent="0.25">
      <c r="T2649" s="98"/>
      <c r="U2649" s="99"/>
    </row>
    <row r="2650" spans="20:21" x14ac:dyDescent="0.25">
      <c r="T2650" s="98"/>
      <c r="U2650" s="99"/>
    </row>
    <row r="2651" spans="20:21" x14ac:dyDescent="0.25">
      <c r="T2651" s="98"/>
      <c r="U2651" s="99"/>
    </row>
    <row r="2652" spans="20:21" x14ac:dyDescent="0.25">
      <c r="T2652" s="98"/>
      <c r="U2652" s="99"/>
    </row>
    <row r="2653" spans="20:21" x14ac:dyDescent="0.25">
      <c r="T2653" s="98"/>
      <c r="U2653" s="99"/>
    </row>
    <row r="2654" spans="20:21" x14ac:dyDescent="0.25">
      <c r="T2654" s="98"/>
      <c r="U2654" s="99"/>
    </row>
    <row r="2655" spans="20:21" x14ac:dyDescent="0.25">
      <c r="T2655" s="98"/>
      <c r="U2655" s="99"/>
    </row>
    <row r="2656" spans="20:21" x14ac:dyDescent="0.25">
      <c r="T2656" s="98"/>
      <c r="U2656" s="99"/>
    </row>
    <row r="2657" spans="20:21" x14ac:dyDescent="0.25">
      <c r="T2657" s="98"/>
      <c r="U2657" s="99"/>
    </row>
    <row r="2658" spans="20:21" x14ac:dyDescent="0.25">
      <c r="T2658" s="98"/>
      <c r="U2658" s="99"/>
    </row>
    <row r="2659" spans="20:21" x14ac:dyDescent="0.25">
      <c r="T2659" s="98"/>
      <c r="U2659" s="99"/>
    </row>
    <row r="2660" spans="20:21" x14ac:dyDescent="0.25">
      <c r="T2660" s="98"/>
      <c r="U2660" s="99"/>
    </row>
    <row r="2661" spans="20:21" x14ac:dyDescent="0.25">
      <c r="T2661" s="98"/>
      <c r="U2661" s="99"/>
    </row>
    <row r="2662" spans="20:21" x14ac:dyDescent="0.25">
      <c r="T2662" s="98"/>
      <c r="U2662" s="99"/>
    </row>
    <row r="2663" spans="20:21" x14ac:dyDescent="0.25">
      <c r="T2663" s="98"/>
      <c r="U2663" s="99"/>
    </row>
    <row r="2664" spans="20:21" x14ac:dyDescent="0.25">
      <c r="T2664" s="98"/>
      <c r="U2664" s="99"/>
    </row>
    <row r="2665" spans="20:21" x14ac:dyDescent="0.25">
      <c r="T2665" s="98"/>
      <c r="U2665" s="99"/>
    </row>
    <row r="2666" spans="20:21" x14ac:dyDescent="0.25">
      <c r="T2666" s="98"/>
      <c r="U2666" s="99"/>
    </row>
    <row r="2667" spans="20:21" x14ac:dyDescent="0.25">
      <c r="T2667" s="98"/>
      <c r="U2667" s="99"/>
    </row>
    <row r="2668" spans="20:21" x14ac:dyDescent="0.25">
      <c r="T2668" s="98"/>
      <c r="U2668" s="99"/>
    </row>
    <row r="2669" spans="20:21" x14ac:dyDescent="0.25">
      <c r="T2669" s="98"/>
      <c r="U2669" s="99"/>
    </row>
    <row r="2670" spans="20:21" x14ac:dyDescent="0.25">
      <c r="T2670" s="98"/>
      <c r="U2670" s="99"/>
    </row>
    <row r="2671" spans="20:21" x14ac:dyDescent="0.25">
      <c r="T2671" s="98"/>
      <c r="U2671" s="99"/>
    </row>
    <row r="2672" spans="20:21" x14ac:dyDescent="0.25">
      <c r="T2672" s="98"/>
      <c r="U2672" s="99"/>
    </row>
    <row r="2673" spans="20:21" x14ac:dyDescent="0.25">
      <c r="T2673" s="98"/>
      <c r="U2673" s="99"/>
    </row>
    <row r="2674" spans="20:21" x14ac:dyDescent="0.25">
      <c r="T2674" s="98"/>
      <c r="U2674" s="99"/>
    </row>
    <row r="2675" spans="20:21" x14ac:dyDescent="0.25">
      <c r="T2675" s="98"/>
      <c r="U2675" s="99"/>
    </row>
    <row r="2676" spans="20:21" x14ac:dyDescent="0.25">
      <c r="T2676" s="98"/>
      <c r="U2676" s="99"/>
    </row>
    <row r="2677" spans="20:21" x14ac:dyDescent="0.25">
      <c r="T2677" s="98"/>
      <c r="U2677" s="99"/>
    </row>
    <row r="2678" spans="20:21" x14ac:dyDescent="0.25">
      <c r="T2678" s="98"/>
      <c r="U2678" s="99"/>
    </row>
    <row r="2679" spans="20:21" x14ac:dyDescent="0.25">
      <c r="T2679" s="98"/>
      <c r="U2679" s="99"/>
    </row>
    <row r="2680" spans="20:21" x14ac:dyDescent="0.25">
      <c r="T2680" s="98"/>
      <c r="U2680" s="99"/>
    </row>
    <row r="2681" spans="20:21" x14ac:dyDescent="0.25">
      <c r="T2681" s="98"/>
      <c r="U2681" s="99"/>
    </row>
    <row r="2682" spans="20:21" x14ac:dyDescent="0.25">
      <c r="T2682" s="98"/>
      <c r="U2682" s="99"/>
    </row>
    <row r="2683" spans="20:21" x14ac:dyDescent="0.25">
      <c r="T2683" s="98"/>
      <c r="U2683" s="99"/>
    </row>
    <row r="2684" spans="20:21" x14ac:dyDescent="0.25">
      <c r="T2684" s="98"/>
      <c r="U2684" s="99"/>
    </row>
    <row r="2685" spans="20:21" x14ac:dyDescent="0.25">
      <c r="T2685" s="98"/>
      <c r="U2685" s="99"/>
    </row>
    <row r="2686" spans="20:21" x14ac:dyDescent="0.25">
      <c r="T2686" s="98"/>
      <c r="U2686" s="99"/>
    </row>
    <row r="2687" spans="20:21" x14ac:dyDescent="0.25">
      <c r="T2687" s="98"/>
      <c r="U2687" s="99"/>
    </row>
    <row r="2688" spans="20:21" x14ac:dyDescent="0.25">
      <c r="T2688" s="98"/>
      <c r="U2688" s="99"/>
    </row>
    <row r="2689" spans="20:21" x14ac:dyDescent="0.25">
      <c r="T2689" s="98"/>
      <c r="U2689" s="99"/>
    </row>
    <row r="2690" spans="20:21" x14ac:dyDescent="0.25">
      <c r="T2690" s="98"/>
      <c r="U2690" s="99"/>
    </row>
    <row r="2691" spans="20:21" x14ac:dyDescent="0.25">
      <c r="T2691" s="98"/>
      <c r="U2691" s="99"/>
    </row>
    <row r="2692" spans="20:21" x14ac:dyDescent="0.25">
      <c r="T2692" s="98"/>
      <c r="U2692" s="99"/>
    </row>
    <row r="2693" spans="20:21" x14ac:dyDescent="0.25">
      <c r="T2693" s="98"/>
      <c r="U2693" s="99"/>
    </row>
    <row r="2694" spans="20:21" x14ac:dyDescent="0.25">
      <c r="T2694" s="98"/>
      <c r="U2694" s="99"/>
    </row>
    <row r="2695" spans="20:21" x14ac:dyDescent="0.25">
      <c r="T2695" s="98"/>
      <c r="U2695" s="99"/>
    </row>
    <row r="2696" spans="20:21" x14ac:dyDescent="0.25">
      <c r="T2696" s="98"/>
      <c r="U2696" s="99"/>
    </row>
    <row r="2697" spans="20:21" x14ac:dyDescent="0.25">
      <c r="T2697" s="98"/>
      <c r="U2697" s="99"/>
    </row>
    <row r="2698" spans="20:21" x14ac:dyDescent="0.25">
      <c r="T2698" s="98"/>
      <c r="U2698" s="99"/>
    </row>
    <row r="2699" spans="20:21" x14ac:dyDescent="0.25">
      <c r="T2699" s="98"/>
      <c r="U2699" s="99"/>
    </row>
    <row r="2700" spans="20:21" x14ac:dyDescent="0.25">
      <c r="T2700" s="98"/>
      <c r="U2700" s="99"/>
    </row>
    <row r="2701" spans="20:21" x14ac:dyDescent="0.25">
      <c r="T2701" s="98"/>
      <c r="U2701" s="99"/>
    </row>
    <row r="2702" spans="20:21" x14ac:dyDescent="0.25">
      <c r="T2702" s="98"/>
      <c r="U2702" s="99"/>
    </row>
    <row r="2703" spans="20:21" x14ac:dyDescent="0.25">
      <c r="T2703" s="98"/>
      <c r="U2703" s="99"/>
    </row>
    <row r="2704" spans="20:21" x14ac:dyDescent="0.25">
      <c r="T2704" s="98"/>
      <c r="U2704" s="99"/>
    </row>
    <row r="2705" spans="20:21" x14ac:dyDescent="0.25">
      <c r="T2705" s="98"/>
      <c r="U2705" s="99"/>
    </row>
    <row r="2706" spans="20:21" x14ac:dyDescent="0.25">
      <c r="T2706" s="98"/>
      <c r="U2706" s="99"/>
    </row>
    <row r="2707" spans="20:21" x14ac:dyDescent="0.25">
      <c r="T2707" s="98"/>
      <c r="U2707" s="99"/>
    </row>
    <row r="2708" spans="20:21" x14ac:dyDescent="0.25">
      <c r="T2708" s="98"/>
      <c r="U2708" s="99"/>
    </row>
    <row r="2709" spans="20:21" x14ac:dyDescent="0.25">
      <c r="T2709" s="98"/>
      <c r="U2709" s="99"/>
    </row>
    <row r="2710" spans="20:21" x14ac:dyDescent="0.25">
      <c r="T2710" s="98"/>
      <c r="U2710" s="99"/>
    </row>
    <row r="2711" spans="20:21" x14ac:dyDescent="0.25">
      <c r="T2711" s="98"/>
      <c r="U2711" s="99"/>
    </row>
    <row r="2712" spans="20:21" x14ac:dyDescent="0.25">
      <c r="T2712" s="98"/>
      <c r="U2712" s="99"/>
    </row>
    <row r="2713" spans="20:21" x14ac:dyDescent="0.25">
      <c r="T2713" s="98"/>
      <c r="U2713" s="99"/>
    </row>
    <row r="2714" spans="20:21" x14ac:dyDescent="0.25">
      <c r="T2714" s="98"/>
      <c r="U2714" s="99"/>
    </row>
    <row r="2715" spans="20:21" x14ac:dyDescent="0.25">
      <c r="T2715" s="98"/>
      <c r="U2715" s="99"/>
    </row>
    <row r="2716" spans="20:21" x14ac:dyDescent="0.25">
      <c r="T2716" s="98"/>
      <c r="U2716" s="99"/>
    </row>
    <row r="2717" spans="20:21" x14ac:dyDescent="0.25">
      <c r="T2717" s="98"/>
      <c r="U2717" s="99"/>
    </row>
    <row r="2718" spans="20:21" x14ac:dyDescent="0.25">
      <c r="T2718" s="98"/>
      <c r="U2718" s="99"/>
    </row>
    <row r="2719" spans="20:21" x14ac:dyDescent="0.25">
      <c r="T2719" s="98"/>
      <c r="U2719" s="99"/>
    </row>
    <row r="2720" spans="20:21" x14ac:dyDescent="0.25">
      <c r="T2720" s="98"/>
      <c r="U2720" s="99"/>
    </row>
    <row r="2721" spans="20:21" x14ac:dyDescent="0.25">
      <c r="T2721" s="98"/>
      <c r="U2721" s="99"/>
    </row>
    <row r="2722" spans="20:21" x14ac:dyDescent="0.25">
      <c r="T2722" s="98"/>
      <c r="U2722" s="99"/>
    </row>
    <row r="2723" spans="20:21" x14ac:dyDescent="0.25">
      <c r="T2723" s="98"/>
      <c r="U2723" s="99"/>
    </row>
    <row r="2724" spans="20:21" x14ac:dyDescent="0.25">
      <c r="T2724" s="98"/>
      <c r="U2724" s="99"/>
    </row>
    <row r="2725" spans="20:21" x14ac:dyDescent="0.25">
      <c r="T2725" s="98"/>
      <c r="U2725" s="99"/>
    </row>
    <row r="2726" spans="20:21" x14ac:dyDescent="0.25">
      <c r="T2726" s="98"/>
      <c r="U2726" s="99"/>
    </row>
    <row r="2727" spans="20:21" x14ac:dyDescent="0.25">
      <c r="T2727" s="98"/>
      <c r="U2727" s="99"/>
    </row>
    <row r="2728" spans="20:21" x14ac:dyDescent="0.25">
      <c r="T2728" s="98"/>
      <c r="U2728" s="99"/>
    </row>
    <row r="2729" spans="20:21" x14ac:dyDescent="0.25">
      <c r="T2729" s="98"/>
      <c r="U2729" s="99"/>
    </row>
    <row r="2730" spans="20:21" x14ac:dyDescent="0.25">
      <c r="T2730" s="98"/>
      <c r="U2730" s="99"/>
    </row>
    <row r="2731" spans="20:21" x14ac:dyDescent="0.25">
      <c r="T2731" s="98"/>
      <c r="U2731" s="99"/>
    </row>
    <row r="2732" spans="20:21" x14ac:dyDescent="0.25">
      <c r="T2732" s="98"/>
      <c r="U2732" s="99"/>
    </row>
    <row r="2733" spans="20:21" x14ac:dyDescent="0.25">
      <c r="T2733" s="98"/>
      <c r="U2733" s="99"/>
    </row>
    <row r="2734" spans="20:21" x14ac:dyDescent="0.25">
      <c r="T2734" s="98"/>
      <c r="U2734" s="99"/>
    </row>
    <row r="2735" spans="20:21" x14ac:dyDescent="0.25">
      <c r="T2735" s="98"/>
      <c r="U2735" s="99"/>
    </row>
    <row r="2736" spans="20:21" x14ac:dyDescent="0.25">
      <c r="T2736" s="98"/>
      <c r="U2736" s="99"/>
    </row>
    <row r="2737" spans="20:21" x14ac:dyDescent="0.25">
      <c r="T2737" s="98"/>
      <c r="U2737" s="99"/>
    </row>
    <row r="2738" spans="20:21" x14ac:dyDescent="0.25">
      <c r="T2738" s="98"/>
      <c r="U2738" s="99"/>
    </row>
    <row r="2739" spans="20:21" x14ac:dyDescent="0.25">
      <c r="T2739" s="98"/>
      <c r="U2739" s="99"/>
    </row>
    <row r="2740" spans="20:21" x14ac:dyDescent="0.25">
      <c r="T2740" s="98"/>
      <c r="U2740" s="99"/>
    </row>
    <row r="2741" spans="20:21" x14ac:dyDescent="0.25">
      <c r="T2741" s="98"/>
      <c r="U2741" s="99"/>
    </row>
    <row r="2742" spans="20:21" x14ac:dyDescent="0.25">
      <c r="T2742" s="98"/>
      <c r="U2742" s="99"/>
    </row>
    <row r="2743" spans="20:21" x14ac:dyDescent="0.25">
      <c r="T2743" s="98"/>
      <c r="U2743" s="99"/>
    </row>
    <row r="2744" spans="20:21" x14ac:dyDescent="0.25">
      <c r="T2744" s="98"/>
      <c r="U2744" s="99"/>
    </row>
    <row r="2745" spans="20:21" x14ac:dyDescent="0.25">
      <c r="T2745" s="98"/>
      <c r="U2745" s="99"/>
    </row>
    <row r="2746" spans="20:21" x14ac:dyDescent="0.25">
      <c r="T2746" s="98"/>
      <c r="U2746" s="99"/>
    </row>
    <row r="2747" spans="20:21" x14ac:dyDescent="0.25">
      <c r="T2747" s="98"/>
      <c r="U2747" s="99"/>
    </row>
    <row r="2748" spans="20:21" x14ac:dyDescent="0.25">
      <c r="T2748" s="98"/>
      <c r="U2748" s="99"/>
    </row>
    <row r="2749" spans="20:21" x14ac:dyDescent="0.25">
      <c r="T2749" s="98"/>
      <c r="U2749" s="99"/>
    </row>
    <row r="2750" spans="20:21" x14ac:dyDescent="0.25">
      <c r="T2750" s="98"/>
      <c r="U2750" s="99"/>
    </row>
    <row r="2751" spans="20:21" x14ac:dyDescent="0.25">
      <c r="T2751" s="98"/>
      <c r="U2751" s="99"/>
    </row>
    <row r="2752" spans="20:21" x14ac:dyDescent="0.25">
      <c r="T2752" s="98"/>
      <c r="U2752" s="99"/>
    </row>
    <row r="2753" spans="20:21" x14ac:dyDescent="0.25">
      <c r="T2753" s="98"/>
      <c r="U2753" s="99"/>
    </row>
    <row r="2754" spans="20:21" x14ac:dyDescent="0.25">
      <c r="T2754" s="98"/>
      <c r="U2754" s="99"/>
    </row>
    <row r="2755" spans="20:21" x14ac:dyDescent="0.25">
      <c r="T2755" s="98"/>
      <c r="U2755" s="99"/>
    </row>
    <row r="2756" spans="20:21" x14ac:dyDescent="0.25">
      <c r="T2756" s="98"/>
      <c r="U2756" s="99"/>
    </row>
    <row r="2757" spans="20:21" x14ac:dyDescent="0.25">
      <c r="T2757" s="98"/>
      <c r="U2757" s="99"/>
    </row>
    <row r="2758" spans="20:21" x14ac:dyDescent="0.25">
      <c r="T2758" s="98"/>
      <c r="U2758" s="99"/>
    </row>
    <row r="2759" spans="20:21" x14ac:dyDescent="0.25">
      <c r="T2759" s="98"/>
      <c r="U2759" s="99"/>
    </row>
    <row r="2760" spans="20:21" x14ac:dyDescent="0.25">
      <c r="T2760" s="98"/>
      <c r="U2760" s="99"/>
    </row>
    <row r="2761" spans="20:21" x14ac:dyDescent="0.25">
      <c r="T2761" s="98"/>
      <c r="U2761" s="99"/>
    </row>
    <row r="2762" spans="20:21" x14ac:dyDescent="0.25">
      <c r="T2762" s="98"/>
      <c r="U2762" s="99"/>
    </row>
    <row r="2763" spans="20:21" x14ac:dyDescent="0.25">
      <c r="T2763" s="98"/>
      <c r="U2763" s="99"/>
    </row>
    <row r="2764" spans="20:21" x14ac:dyDescent="0.25">
      <c r="T2764" s="98"/>
      <c r="U2764" s="99"/>
    </row>
    <row r="2765" spans="20:21" x14ac:dyDescent="0.25">
      <c r="T2765" s="98"/>
      <c r="U2765" s="99"/>
    </row>
    <row r="2766" spans="20:21" x14ac:dyDescent="0.25">
      <c r="T2766" s="98"/>
      <c r="U2766" s="99"/>
    </row>
    <row r="2767" spans="20:21" x14ac:dyDescent="0.25">
      <c r="T2767" s="98"/>
      <c r="U2767" s="99"/>
    </row>
    <row r="2768" spans="20:21" x14ac:dyDescent="0.25">
      <c r="T2768" s="98"/>
      <c r="U2768" s="99"/>
    </row>
    <row r="2769" spans="20:21" x14ac:dyDescent="0.25">
      <c r="T2769" s="98"/>
      <c r="U2769" s="99"/>
    </row>
    <row r="2770" spans="20:21" x14ac:dyDescent="0.25">
      <c r="T2770" s="98"/>
      <c r="U2770" s="99"/>
    </row>
    <row r="2771" spans="20:21" x14ac:dyDescent="0.25">
      <c r="T2771" s="98"/>
      <c r="U2771" s="99"/>
    </row>
    <row r="2772" spans="20:21" x14ac:dyDescent="0.25">
      <c r="T2772" s="98"/>
      <c r="U2772" s="99"/>
    </row>
    <row r="2773" spans="20:21" x14ac:dyDescent="0.25">
      <c r="T2773" s="98"/>
      <c r="U2773" s="99"/>
    </row>
    <row r="2774" spans="20:21" x14ac:dyDescent="0.25">
      <c r="T2774" s="98"/>
      <c r="U2774" s="99"/>
    </row>
    <row r="2775" spans="20:21" x14ac:dyDescent="0.25">
      <c r="T2775" s="98"/>
      <c r="U2775" s="99"/>
    </row>
    <row r="2776" spans="20:21" x14ac:dyDescent="0.25">
      <c r="T2776" s="98"/>
      <c r="U2776" s="99"/>
    </row>
    <row r="2777" spans="20:21" x14ac:dyDescent="0.25">
      <c r="T2777" s="98"/>
      <c r="U2777" s="99"/>
    </row>
    <row r="2778" spans="20:21" x14ac:dyDescent="0.25">
      <c r="T2778" s="98"/>
      <c r="U2778" s="99"/>
    </row>
    <row r="2779" spans="20:21" x14ac:dyDescent="0.25">
      <c r="T2779" s="98"/>
      <c r="U2779" s="99"/>
    </row>
    <row r="2780" spans="20:21" x14ac:dyDescent="0.25">
      <c r="T2780" s="98"/>
      <c r="U2780" s="99"/>
    </row>
    <row r="2781" spans="20:21" x14ac:dyDescent="0.25">
      <c r="T2781" s="98"/>
      <c r="U2781" s="99"/>
    </row>
    <row r="2782" spans="20:21" x14ac:dyDescent="0.25">
      <c r="T2782" s="98"/>
      <c r="U2782" s="99"/>
    </row>
    <row r="2783" spans="20:21" x14ac:dyDescent="0.25">
      <c r="T2783" s="98"/>
      <c r="U2783" s="99"/>
    </row>
    <row r="2784" spans="20:21" x14ac:dyDescent="0.25">
      <c r="T2784" s="98"/>
      <c r="U2784" s="99"/>
    </row>
    <row r="2785" spans="20:21" x14ac:dyDescent="0.25">
      <c r="T2785" s="98"/>
      <c r="U2785" s="99"/>
    </row>
    <row r="2786" spans="20:21" x14ac:dyDescent="0.25">
      <c r="T2786" s="98"/>
      <c r="U2786" s="99"/>
    </row>
    <row r="2787" spans="20:21" x14ac:dyDescent="0.25">
      <c r="T2787" s="98"/>
      <c r="U2787" s="99"/>
    </row>
    <row r="2788" spans="20:21" x14ac:dyDescent="0.25">
      <c r="T2788" s="98"/>
      <c r="U2788" s="99"/>
    </row>
    <row r="2789" spans="20:21" x14ac:dyDescent="0.25">
      <c r="T2789" s="98"/>
      <c r="U2789" s="99"/>
    </row>
    <row r="2790" spans="20:21" x14ac:dyDescent="0.25">
      <c r="T2790" s="98"/>
      <c r="U2790" s="99"/>
    </row>
    <row r="2791" spans="20:21" x14ac:dyDescent="0.25">
      <c r="T2791" s="98"/>
      <c r="U2791" s="99"/>
    </row>
    <row r="2792" spans="20:21" x14ac:dyDescent="0.25">
      <c r="T2792" s="98"/>
      <c r="U2792" s="99"/>
    </row>
    <row r="2793" spans="20:21" x14ac:dyDescent="0.25">
      <c r="T2793" s="98"/>
      <c r="U2793" s="99"/>
    </row>
    <row r="2794" spans="20:21" x14ac:dyDescent="0.25">
      <c r="T2794" s="98"/>
      <c r="U2794" s="99"/>
    </row>
    <row r="2795" spans="20:21" x14ac:dyDescent="0.25">
      <c r="T2795" s="98"/>
      <c r="U2795" s="99"/>
    </row>
    <row r="2796" spans="20:21" x14ac:dyDescent="0.25">
      <c r="T2796" s="98"/>
      <c r="U2796" s="99"/>
    </row>
    <row r="2797" spans="20:21" x14ac:dyDescent="0.25">
      <c r="T2797" s="98"/>
      <c r="U2797" s="99"/>
    </row>
    <row r="2798" spans="20:21" x14ac:dyDescent="0.25">
      <c r="T2798" s="98"/>
      <c r="U2798" s="99"/>
    </row>
    <row r="2799" spans="20:21" x14ac:dyDescent="0.25">
      <c r="T2799" s="98"/>
      <c r="U2799" s="99"/>
    </row>
    <row r="2800" spans="20:21" x14ac:dyDescent="0.25">
      <c r="T2800" s="98"/>
      <c r="U2800" s="99"/>
    </row>
    <row r="2801" spans="20:21" x14ac:dyDescent="0.25">
      <c r="T2801" s="98"/>
      <c r="U2801" s="99"/>
    </row>
    <row r="2802" spans="20:21" x14ac:dyDescent="0.25">
      <c r="T2802" s="98"/>
      <c r="U2802" s="99"/>
    </row>
    <row r="2803" spans="20:21" x14ac:dyDescent="0.25">
      <c r="T2803" s="98"/>
      <c r="U2803" s="99"/>
    </row>
    <row r="2804" spans="20:21" x14ac:dyDescent="0.25">
      <c r="T2804" s="98"/>
      <c r="U2804" s="99"/>
    </row>
    <row r="2805" spans="20:21" x14ac:dyDescent="0.25">
      <c r="T2805" s="98"/>
      <c r="U2805" s="99"/>
    </row>
    <row r="2806" spans="20:21" x14ac:dyDescent="0.25">
      <c r="T2806" s="98"/>
      <c r="U2806" s="99"/>
    </row>
    <row r="2807" spans="20:21" x14ac:dyDescent="0.25">
      <c r="T2807" s="98"/>
      <c r="U2807" s="99"/>
    </row>
    <row r="2808" spans="20:21" x14ac:dyDescent="0.25">
      <c r="T2808" s="98"/>
      <c r="U2808" s="99"/>
    </row>
    <row r="2809" spans="20:21" x14ac:dyDescent="0.25">
      <c r="T2809" s="98"/>
      <c r="U2809" s="99"/>
    </row>
    <row r="2810" spans="20:21" x14ac:dyDescent="0.25">
      <c r="T2810" s="98"/>
      <c r="U2810" s="99"/>
    </row>
    <row r="2811" spans="20:21" x14ac:dyDescent="0.25">
      <c r="T2811" s="98"/>
      <c r="U2811" s="99"/>
    </row>
    <row r="2812" spans="20:21" x14ac:dyDescent="0.25">
      <c r="T2812" s="98"/>
      <c r="U2812" s="99"/>
    </row>
    <row r="2813" spans="20:21" x14ac:dyDescent="0.25">
      <c r="T2813" s="98"/>
      <c r="U2813" s="99"/>
    </row>
    <row r="2814" spans="20:21" x14ac:dyDescent="0.25">
      <c r="T2814" s="98"/>
      <c r="U2814" s="99"/>
    </row>
    <row r="2815" spans="20:21" x14ac:dyDescent="0.25">
      <c r="T2815" s="98"/>
      <c r="U2815" s="99"/>
    </row>
    <row r="2816" spans="20:21" x14ac:dyDescent="0.25">
      <c r="T2816" s="98"/>
      <c r="U2816" s="99"/>
    </row>
    <row r="2817" spans="20:21" x14ac:dyDescent="0.25">
      <c r="T2817" s="98"/>
      <c r="U2817" s="99"/>
    </row>
    <row r="2818" spans="20:21" x14ac:dyDescent="0.25">
      <c r="T2818" s="98"/>
      <c r="U2818" s="99"/>
    </row>
    <row r="2819" spans="20:21" x14ac:dyDescent="0.25">
      <c r="T2819" s="98"/>
      <c r="U2819" s="99"/>
    </row>
    <row r="2820" spans="20:21" x14ac:dyDescent="0.25">
      <c r="T2820" s="98"/>
      <c r="U2820" s="99"/>
    </row>
    <row r="2821" spans="20:21" x14ac:dyDescent="0.25">
      <c r="T2821" s="98"/>
      <c r="U2821" s="99"/>
    </row>
    <row r="2822" spans="20:21" x14ac:dyDescent="0.25">
      <c r="T2822" s="98"/>
      <c r="U2822" s="99"/>
    </row>
    <row r="2823" spans="20:21" x14ac:dyDescent="0.25">
      <c r="T2823" s="98"/>
      <c r="U2823" s="99"/>
    </row>
    <row r="2824" spans="20:21" x14ac:dyDescent="0.25">
      <c r="T2824" s="98"/>
      <c r="U2824" s="99"/>
    </row>
    <row r="2825" spans="20:21" x14ac:dyDescent="0.25">
      <c r="T2825" s="98"/>
      <c r="U2825" s="99"/>
    </row>
    <row r="2826" spans="20:21" x14ac:dyDescent="0.25">
      <c r="T2826" s="98"/>
      <c r="U2826" s="99"/>
    </row>
    <row r="2827" spans="20:21" x14ac:dyDescent="0.25">
      <c r="T2827" s="98"/>
      <c r="U2827" s="99"/>
    </row>
    <row r="2828" spans="20:21" x14ac:dyDescent="0.25">
      <c r="T2828" s="98"/>
      <c r="U2828" s="99"/>
    </row>
    <row r="2829" spans="20:21" x14ac:dyDescent="0.25">
      <c r="T2829" s="98"/>
      <c r="U2829" s="99"/>
    </row>
    <row r="2830" spans="20:21" x14ac:dyDescent="0.25">
      <c r="T2830" s="98"/>
      <c r="U2830" s="99"/>
    </row>
    <row r="2831" spans="20:21" x14ac:dyDescent="0.25">
      <c r="T2831" s="98"/>
      <c r="U2831" s="99"/>
    </row>
    <row r="2832" spans="20:21" x14ac:dyDescent="0.25">
      <c r="T2832" s="98"/>
      <c r="U2832" s="99"/>
    </row>
    <row r="2833" spans="20:21" x14ac:dyDescent="0.25">
      <c r="T2833" s="98"/>
      <c r="U2833" s="99"/>
    </row>
    <row r="2834" spans="20:21" x14ac:dyDescent="0.25">
      <c r="T2834" s="98"/>
      <c r="U2834" s="99"/>
    </row>
    <row r="2835" spans="20:21" x14ac:dyDescent="0.25">
      <c r="T2835" s="98"/>
      <c r="U2835" s="99"/>
    </row>
    <row r="2836" spans="20:21" x14ac:dyDescent="0.25">
      <c r="T2836" s="98"/>
      <c r="U2836" s="99"/>
    </row>
    <row r="2837" spans="20:21" x14ac:dyDescent="0.25">
      <c r="T2837" s="98"/>
      <c r="U2837" s="99"/>
    </row>
    <row r="2838" spans="20:21" x14ac:dyDescent="0.25">
      <c r="T2838" s="98"/>
      <c r="U2838" s="99"/>
    </row>
    <row r="2839" spans="20:21" x14ac:dyDescent="0.25">
      <c r="T2839" s="98"/>
      <c r="U2839" s="99"/>
    </row>
    <row r="2840" spans="20:21" x14ac:dyDescent="0.25">
      <c r="T2840" s="98"/>
      <c r="U2840" s="99"/>
    </row>
    <row r="2841" spans="20:21" x14ac:dyDescent="0.25">
      <c r="T2841" s="98"/>
      <c r="U2841" s="99"/>
    </row>
    <row r="2842" spans="20:21" x14ac:dyDescent="0.25">
      <c r="T2842" s="98"/>
      <c r="U2842" s="99"/>
    </row>
    <row r="2843" spans="20:21" x14ac:dyDescent="0.25">
      <c r="T2843" s="98"/>
      <c r="U2843" s="99"/>
    </row>
    <row r="2844" spans="20:21" x14ac:dyDescent="0.25">
      <c r="T2844" s="98"/>
      <c r="U2844" s="99"/>
    </row>
    <row r="2845" spans="20:21" x14ac:dyDescent="0.25">
      <c r="T2845" s="98"/>
      <c r="U2845" s="99"/>
    </row>
    <row r="2846" spans="20:21" x14ac:dyDescent="0.25">
      <c r="T2846" s="98"/>
      <c r="U2846" s="99"/>
    </row>
    <row r="2847" spans="20:21" x14ac:dyDescent="0.25">
      <c r="T2847" s="98"/>
      <c r="U2847" s="99"/>
    </row>
    <row r="2848" spans="20:21" x14ac:dyDescent="0.25">
      <c r="T2848" s="98"/>
      <c r="U2848" s="99"/>
    </row>
    <row r="2849" spans="20:21" x14ac:dyDescent="0.25">
      <c r="T2849" s="98"/>
      <c r="U2849" s="99"/>
    </row>
    <row r="2850" spans="20:21" x14ac:dyDescent="0.25">
      <c r="T2850" s="98"/>
      <c r="U2850" s="99"/>
    </row>
    <row r="2851" spans="20:21" x14ac:dyDescent="0.25">
      <c r="T2851" s="98"/>
      <c r="U2851" s="99"/>
    </row>
    <row r="2852" spans="20:21" x14ac:dyDescent="0.25">
      <c r="T2852" s="98"/>
      <c r="U2852" s="99"/>
    </row>
    <row r="2853" spans="20:21" x14ac:dyDescent="0.25">
      <c r="T2853" s="98"/>
      <c r="U2853" s="99"/>
    </row>
    <row r="2854" spans="20:21" x14ac:dyDescent="0.25">
      <c r="T2854" s="98"/>
      <c r="U2854" s="99"/>
    </row>
    <row r="2855" spans="20:21" x14ac:dyDescent="0.25">
      <c r="T2855" s="98"/>
      <c r="U2855" s="99"/>
    </row>
    <row r="2856" spans="20:21" x14ac:dyDescent="0.25">
      <c r="T2856" s="98"/>
      <c r="U2856" s="99"/>
    </row>
    <row r="2857" spans="20:21" x14ac:dyDescent="0.25">
      <c r="T2857" s="98"/>
      <c r="U2857" s="99"/>
    </row>
    <row r="2858" spans="20:21" x14ac:dyDescent="0.25">
      <c r="T2858" s="98"/>
      <c r="U2858" s="99"/>
    </row>
    <row r="2859" spans="20:21" x14ac:dyDescent="0.25">
      <c r="T2859" s="98"/>
      <c r="U2859" s="99"/>
    </row>
    <row r="2860" spans="20:21" x14ac:dyDescent="0.25">
      <c r="T2860" s="98"/>
      <c r="U2860" s="99"/>
    </row>
    <row r="2861" spans="20:21" x14ac:dyDescent="0.25">
      <c r="T2861" s="98"/>
      <c r="U2861" s="99"/>
    </row>
    <row r="2862" spans="20:21" x14ac:dyDescent="0.25">
      <c r="T2862" s="98"/>
      <c r="U2862" s="99"/>
    </row>
    <row r="2863" spans="20:21" x14ac:dyDescent="0.25">
      <c r="T2863" s="98"/>
      <c r="U2863" s="99"/>
    </row>
    <row r="2864" spans="20:21" x14ac:dyDescent="0.25">
      <c r="T2864" s="98"/>
      <c r="U2864" s="99"/>
    </row>
    <row r="2865" spans="20:21" x14ac:dyDescent="0.25">
      <c r="T2865" s="98"/>
      <c r="U2865" s="99"/>
    </row>
    <row r="2866" spans="20:21" x14ac:dyDescent="0.25">
      <c r="T2866" s="98"/>
      <c r="U2866" s="99"/>
    </row>
    <row r="2867" spans="20:21" x14ac:dyDescent="0.25">
      <c r="T2867" s="98"/>
      <c r="U2867" s="99"/>
    </row>
    <row r="2868" spans="20:21" x14ac:dyDescent="0.25">
      <c r="T2868" s="98"/>
      <c r="U2868" s="99"/>
    </row>
    <row r="2869" spans="20:21" x14ac:dyDescent="0.25">
      <c r="T2869" s="98"/>
      <c r="U2869" s="99"/>
    </row>
    <row r="2870" spans="20:21" x14ac:dyDescent="0.25">
      <c r="T2870" s="98"/>
      <c r="U2870" s="99"/>
    </row>
    <row r="2871" spans="20:21" x14ac:dyDescent="0.25">
      <c r="T2871" s="98"/>
      <c r="U2871" s="99"/>
    </row>
    <row r="2872" spans="20:21" x14ac:dyDescent="0.25">
      <c r="T2872" s="98"/>
      <c r="U2872" s="99"/>
    </row>
    <row r="2873" spans="20:21" x14ac:dyDescent="0.25">
      <c r="T2873" s="98"/>
      <c r="U2873" s="99"/>
    </row>
    <row r="2874" spans="20:21" x14ac:dyDescent="0.25">
      <c r="T2874" s="98"/>
      <c r="U2874" s="99"/>
    </row>
    <row r="2875" spans="20:21" x14ac:dyDescent="0.25">
      <c r="T2875" s="98"/>
      <c r="U2875" s="99"/>
    </row>
    <row r="2876" spans="20:21" x14ac:dyDescent="0.25">
      <c r="T2876" s="98"/>
      <c r="U2876" s="99"/>
    </row>
    <row r="2877" spans="20:21" x14ac:dyDescent="0.25">
      <c r="T2877" s="98"/>
      <c r="U2877" s="99"/>
    </row>
    <row r="2878" spans="20:21" x14ac:dyDescent="0.25">
      <c r="T2878" s="98"/>
      <c r="U2878" s="99"/>
    </row>
    <row r="2879" spans="20:21" x14ac:dyDescent="0.25">
      <c r="T2879" s="98"/>
      <c r="U2879" s="99"/>
    </row>
    <row r="2880" spans="20:21" x14ac:dyDescent="0.25">
      <c r="T2880" s="98"/>
      <c r="U2880" s="99"/>
    </row>
    <row r="2881" spans="20:21" x14ac:dyDescent="0.25">
      <c r="T2881" s="98"/>
      <c r="U2881" s="99"/>
    </row>
    <row r="2882" spans="20:21" x14ac:dyDescent="0.25">
      <c r="T2882" s="98"/>
      <c r="U2882" s="99"/>
    </row>
    <row r="2883" spans="20:21" x14ac:dyDescent="0.25">
      <c r="T2883" s="98"/>
      <c r="U2883" s="99"/>
    </row>
    <row r="2884" spans="20:21" x14ac:dyDescent="0.25">
      <c r="T2884" s="98"/>
      <c r="U2884" s="99"/>
    </row>
    <row r="2885" spans="20:21" x14ac:dyDescent="0.25">
      <c r="T2885" s="98"/>
      <c r="U2885" s="99"/>
    </row>
    <row r="2886" spans="20:21" x14ac:dyDescent="0.25">
      <c r="T2886" s="98"/>
      <c r="U2886" s="99"/>
    </row>
    <row r="2887" spans="20:21" x14ac:dyDescent="0.25">
      <c r="T2887" s="98"/>
      <c r="U2887" s="99"/>
    </row>
    <row r="2888" spans="20:21" x14ac:dyDescent="0.25">
      <c r="T2888" s="98"/>
      <c r="U2888" s="99"/>
    </row>
    <row r="2889" spans="20:21" x14ac:dyDescent="0.25">
      <c r="T2889" s="98"/>
      <c r="U2889" s="99"/>
    </row>
    <row r="2890" spans="20:21" x14ac:dyDescent="0.25">
      <c r="T2890" s="98"/>
      <c r="U2890" s="99"/>
    </row>
    <row r="2891" spans="20:21" x14ac:dyDescent="0.25">
      <c r="T2891" s="98"/>
      <c r="U2891" s="99"/>
    </row>
    <row r="2892" spans="20:21" x14ac:dyDescent="0.25">
      <c r="T2892" s="98"/>
      <c r="U2892" s="99"/>
    </row>
    <row r="2893" spans="20:21" x14ac:dyDescent="0.25">
      <c r="T2893" s="98"/>
      <c r="U2893" s="99"/>
    </row>
    <row r="2894" spans="20:21" x14ac:dyDescent="0.25">
      <c r="T2894" s="98"/>
      <c r="U2894" s="99"/>
    </row>
    <row r="2895" spans="20:21" x14ac:dyDescent="0.25">
      <c r="T2895" s="98"/>
      <c r="U2895" s="99"/>
    </row>
    <row r="2896" spans="20:21" x14ac:dyDescent="0.25">
      <c r="T2896" s="98"/>
      <c r="U2896" s="99"/>
    </row>
    <row r="2897" spans="20:21" x14ac:dyDescent="0.25">
      <c r="T2897" s="98"/>
      <c r="U2897" s="99"/>
    </row>
    <row r="2898" spans="20:21" x14ac:dyDescent="0.25">
      <c r="T2898" s="98"/>
      <c r="U2898" s="99"/>
    </row>
    <row r="2899" spans="20:21" x14ac:dyDescent="0.25">
      <c r="T2899" s="98"/>
      <c r="U2899" s="99"/>
    </row>
    <row r="2900" spans="20:21" x14ac:dyDescent="0.25">
      <c r="T2900" s="98"/>
      <c r="U2900" s="99"/>
    </row>
    <row r="2901" spans="20:21" x14ac:dyDescent="0.25">
      <c r="T2901" s="98"/>
      <c r="U2901" s="99"/>
    </row>
    <row r="2902" spans="20:21" x14ac:dyDescent="0.25">
      <c r="T2902" s="98"/>
      <c r="U2902" s="99"/>
    </row>
    <row r="2903" spans="20:21" x14ac:dyDescent="0.25">
      <c r="T2903" s="98"/>
      <c r="U2903" s="99"/>
    </row>
    <row r="2904" spans="20:21" x14ac:dyDescent="0.25">
      <c r="T2904" s="98"/>
      <c r="U2904" s="99"/>
    </row>
    <row r="2905" spans="20:21" x14ac:dyDescent="0.25">
      <c r="T2905" s="98"/>
      <c r="U2905" s="99"/>
    </row>
    <row r="2906" spans="20:21" x14ac:dyDescent="0.25">
      <c r="T2906" s="98"/>
      <c r="U2906" s="99"/>
    </row>
    <row r="2907" spans="20:21" x14ac:dyDescent="0.25">
      <c r="T2907" s="98"/>
      <c r="U2907" s="99"/>
    </row>
    <row r="2908" spans="20:21" x14ac:dyDescent="0.25">
      <c r="T2908" s="98"/>
      <c r="U2908" s="99"/>
    </row>
    <row r="2909" spans="20:21" x14ac:dyDescent="0.25">
      <c r="T2909" s="98"/>
      <c r="U2909" s="99"/>
    </row>
    <row r="2910" spans="20:21" x14ac:dyDescent="0.25">
      <c r="T2910" s="98"/>
      <c r="U2910" s="99"/>
    </row>
    <row r="2911" spans="20:21" x14ac:dyDescent="0.25">
      <c r="T2911" s="98"/>
      <c r="U2911" s="99"/>
    </row>
    <row r="2912" spans="20:21" x14ac:dyDescent="0.25">
      <c r="T2912" s="98"/>
      <c r="U2912" s="99"/>
    </row>
    <row r="2913" spans="20:21" x14ac:dyDescent="0.25">
      <c r="T2913" s="98"/>
      <c r="U2913" s="99"/>
    </row>
    <row r="2914" spans="20:21" x14ac:dyDescent="0.25">
      <c r="T2914" s="98"/>
      <c r="U2914" s="99"/>
    </row>
    <row r="2915" spans="20:21" x14ac:dyDescent="0.25">
      <c r="T2915" s="98"/>
      <c r="U2915" s="99"/>
    </row>
    <row r="2916" spans="20:21" x14ac:dyDescent="0.25">
      <c r="T2916" s="98"/>
      <c r="U2916" s="99"/>
    </row>
    <row r="2917" spans="20:21" x14ac:dyDescent="0.25">
      <c r="T2917" s="98"/>
      <c r="U2917" s="99"/>
    </row>
    <row r="2918" spans="20:21" x14ac:dyDescent="0.25">
      <c r="T2918" s="98"/>
      <c r="U2918" s="99"/>
    </row>
    <row r="2919" spans="20:21" x14ac:dyDescent="0.25">
      <c r="T2919" s="98"/>
      <c r="U2919" s="99"/>
    </row>
    <row r="2920" spans="20:21" x14ac:dyDescent="0.25">
      <c r="T2920" s="98"/>
      <c r="U2920" s="99"/>
    </row>
    <row r="2921" spans="20:21" x14ac:dyDescent="0.25">
      <c r="T2921" s="98"/>
      <c r="U2921" s="99"/>
    </row>
    <row r="2922" spans="20:21" x14ac:dyDescent="0.25">
      <c r="T2922" s="98"/>
      <c r="U2922" s="99"/>
    </row>
    <row r="2923" spans="20:21" x14ac:dyDescent="0.25">
      <c r="T2923" s="98"/>
      <c r="U2923" s="99"/>
    </row>
    <row r="2924" spans="20:21" x14ac:dyDescent="0.25">
      <c r="T2924" s="98"/>
      <c r="U2924" s="99"/>
    </row>
    <row r="2925" spans="20:21" x14ac:dyDescent="0.25">
      <c r="T2925" s="98"/>
      <c r="U2925" s="99"/>
    </row>
    <row r="2926" spans="20:21" x14ac:dyDescent="0.25">
      <c r="T2926" s="98"/>
      <c r="U2926" s="99"/>
    </row>
    <row r="2927" spans="20:21" x14ac:dyDescent="0.25">
      <c r="T2927" s="98"/>
      <c r="U2927" s="99"/>
    </row>
    <row r="2928" spans="20:21" x14ac:dyDescent="0.25">
      <c r="T2928" s="98"/>
      <c r="U2928" s="99"/>
    </row>
    <row r="2929" spans="20:21" x14ac:dyDescent="0.25">
      <c r="T2929" s="98"/>
      <c r="U2929" s="99"/>
    </row>
    <row r="2930" spans="20:21" x14ac:dyDescent="0.25">
      <c r="T2930" s="98"/>
      <c r="U2930" s="99"/>
    </row>
    <row r="2931" spans="20:21" x14ac:dyDescent="0.25">
      <c r="T2931" s="98"/>
      <c r="U2931" s="99"/>
    </row>
    <row r="2932" spans="20:21" x14ac:dyDescent="0.25">
      <c r="T2932" s="98"/>
      <c r="U2932" s="99"/>
    </row>
    <row r="2933" spans="20:21" x14ac:dyDescent="0.25">
      <c r="T2933" s="98"/>
      <c r="U2933" s="99"/>
    </row>
    <row r="2934" spans="20:21" x14ac:dyDescent="0.25">
      <c r="T2934" s="98"/>
      <c r="U2934" s="99"/>
    </row>
    <row r="2935" spans="20:21" x14ac:dyDescent="0.25">
      <c r="T2935" s="98"/>
      <c r="U2935" s="99"/>
    </row>
    <row r="2936" spans="20:21" x14ac:dyDescent="0.25">
      <c r="T2936" s="98"/>
      <c r="U2936" s="99"/>
    </row>
    <row r="2937" spans="20:21" x14ac:dyDescent="0.25">
      <c r="T2937" s="98"/>
      <c r="U2937" s="99"/>
    </row>
    <row r="2938" spans="20:21" x14ac:dyDescent="0.25">
      <c r="T2938" s="98"/>
      <c r="U2938" s="99"/>
    </row>
    <row r="2939" spans="20:21" x14ac:dyDescent="0.25">
      <c r="T2939" s="98"/>
      <c r="U2939" s="99"/>
    </row>
    <row r="2940" spans="20:21" x14ac:dyDescent="0.25">
      <c r="T2940" s="98"/>
      <c r="U2940" s="99"/>
    </row>
    <row r="2941" spans="20:21" x14ac:dyDescent="0.25">
      <c r="T2941" s="98"/>
      <c r="U2941" s="99"/>
    </row>
    <row r="2942" spans="20:21" x14ac:dyDescent="0.25">
      <c r="T2942" s="98"/>
      <c r="U2942" s="99"/>
    </row>
    <row r="2943" spans="20:21" x14ac:dyDescent="0.25">
      <c r="T2943" s="98"/>
      <c r="U2943" s="99"/>
    </row>
    <row r="2944" spans="20:21" x14ac:dyDescent="0.25">
      <c r="T2944" s="98"/>
      <c r="U2944" s="99"/>
    </row>
    <row r="2945" spans="20:21" x14ac:dyDescent="0.25">
      <c r="T2945" s="98"/>
      <c r="U2945" s="99"/>
    </row>
    <row r="2946" spans="20:21" x14ac:dyDescent="0.25">
      <c r="T2946" s="98"/>
      <c r="U2946" s="99"/>
    </row>
    <row r="2947" spans="20:21" x14ac:dyDescent="0.25">
      <c r="T2947" s="98"/>
      <c r="U2947" s="99"/>
    </row>
    <row r="2948" spans="20:21" x14ac:dyDescent="0.25">
      <c r="T2948" s="98"/>
      <c r="U2948" s="99"/>
    </row>
    <row r="2949" spans="20:21" x14ac:dyDescent="0.25">
      <c r="T2949" s="98"/>
      <c r="U2949" s="99"/>
    </row>
    <row r="2950" spans="20:21" x14ac:dyDescent="0.25">
      <c r="T2950" s="98"/>
      <c r="U2950" s="99"/>
    </row>
    <row r="2951" spans="20:21" x14ac:dyDescent="0.25">
      <c r="T2951" s="98"/>
      <c r="U2951" s="99"/>
    </row>
    <row r="2952" spans="20:21" x14ac:dyDescent="0.25">
      <c r="T2952" s="98"/>
      <c r="U2952" s="99"/>
    </row>
    <row r="2953" spans="20:21" x14ac:dyDescent="0.25">
      <c r="T2953" s="98"/>
      <c r="U2953" s="99"/>
    </row>
    <row r="2954" spans="20:21" x14ac:dyDescent="0.25">
      <c r="T2954" s="98"/>
      <c r="U2954" s="99"/>
    </row>
    <row r="2955" spans="20:21" x14ac:dyDescent="0.25">
      <c r="T2955" s="98"/>
      <c r="U2955" s="99"/>
    </row>
    <row r="2956" spans="20:21" x14ac:dyDescent="0.25">
      <c r="T2956" s="98"/>
      <c r="U2956" s="99"/>
    </row>
    <row r="2957" spans="20:21" x14ac:dyDescent="0.25">
      <c r="T2957" s="98"/>
      <c r="U2957" s="99"/>
    </row>
    <row r="2958" spans="20:21" x14ac:dyDescent="0.25">
      <c r="T2958" s="98"/>
      <c r="U2958" s="99"/>
    </row>
    <row r="2959" spans="20:21" x14ac:dyDescent="0.25">
      <c r="T2959" s="98"/>
      <c r="U2959" s="99"/>
    </row>
    <row r="2960" spans="20:21" x14ac:dyDescent="0.25">
      <c r="T2960" s="98"/>
      <c r="U2960" s="99"/>
    </row>
    <row r="2961" spans="20:21" x14ac:dyDescent="0.25">
      <c r="T2961" s="98"/>
      <c r="U2961" s="99"/>
    </row>
    <row r="2962" spans="20:21" x14ac:dyDescent="0.25">
      <c r="T2962" s="98"/>
      <c r="U2962" s="99"/>
    </row>
    <row r="2963" spans="20:21" x14ac:dyDescent="0.25">
      <c r="T2963" s="98"/>
      <c r="U2963" s="99"/>
    </row>
    <row r="2964" spans="20:21" x14ac:dyDescent="0.25">
      <c r="T2964" s="98"/>
      <c r="U2964" s="99"/>
    </row>
    <row r="2965" spans="20:21" x14ac:dyDescent="0.25">
      <c r="T2965" s="98"/>
      <c r="U2965" s="99"/>
    </row>
    <row r="2966" spans="20:21" x14ac:dyDescent="0.25">
      <c r="T2966" s="98"/>
      <c r="U2966" s="99"/>
    </row>
    <row r="2967" spans="20:21" x14ac:dyDescent="0.25">
      <c r="T2967" s="98"/>
      <c r="U2967" s="99"/>
    </row>
    <row r="2968" spans="20:21" x14ac:dyDescent="0.25">
      <c r="T2968" s="98"/>
      <c r="U2968" s="99"/>
    </row>
    <row r="2969" spans="20:21" x14ac:dyDescent="0.25">
      <c r="T2969" s="98"/>
      <c r="U2969" s="99"/>
    </row>
    <row r="2970" spans="20:21" x14ac:dyDescent="0.25">
      <c r="T2970" s="98"/>
      <c r="U2970" s="99"/>
    </row>
    <row r="2971" spans="20:21" x14ac:dyDescent="0.25">
      <c r="T2971" s="98"/>
      <c r="U2971" s="99"/>
    </row>
    <row r="2972" spans="20:21" x14ac:dyDescent="0.25">
      <c r="T2972" s="98"/>
      <c r="U2972" s="99"/>
    </row>
    <row r="2973" spans="20:21" x14ac:dyDescent="0.25">
      <c r="T2973" s="98"/>
      <c r="U2973" s="99"/>
    </row>
    <row r="2974" spans="20:21" x14ac:dyDescent="0.25">
      <c r="T2974" s="98"/>
      <c r="U2974" s="99"/>
    </row>
    <row r="2975" spans="20:21" x14ac:dyDescent="0.25">
      <c r="T2975" s="98"/>
      <c r="U2975" s="99"/>
    </row>
    <row r="2976" spans="20:21" x14ac:dyDescent="0.25">
      <c r="T2976" s="98"/>
      <c r="U2976" s="99"/>
    </row>
    <row r="2977" spans="20:21" x14ac:dyDescent="0.25">
      <c r="T2977" s="98"/>
      <c r="U2977" s="99"/>
    </row>
    <row r="2978" spans="20:21" x14ac:dyDescent="0.25">
      <c r="T2978" s="98"/>
      <c r="U2978" s="99"/>
    </row>
    <row r="2979" spans="20:21" x14ac:dyDescent="0.25">
      <c r="T2979" s="98"/>
      <c r="U2979" s="99"/>
    </row>
    <row r="2980" spans="20:21" x14ac:dyDescent="0.25">
      <c r="T2980" s="98"/>
      <c r="U2980" s="99"/>
    </row>
    <row r="2981" spans="20:21" x14ac:dyDescent="0.25">
      <c r="T2981" s="98"/>
      <c r="U2981" s="99"/>
    </row>
    <row r="2982" spans="20:21" x14ac:dyDescent="0.25">
      <c r="T2982" s="98"/>
      <c r="U2982" s="99"/>
    </row>
    <row r="2983" spans="20:21" x14ac:dyDescent="0.25">
      <c r="T2983" s="98"/>
      <c r="U2983" s="99"/>
    </row>
    <row r="2984" spans="20:21" x14ac:dyDescent="0.25">
      <c r="T2984" s="98"/>
      <c r="U2984" s="99"/>
    </row>
    <row r="2985" spans="20:21" x14ac:dyDescent="0.25">
      <c r="T2985" s="98"/>
      <c r="U2985" s="99"/>
    </row>
    <row r="2986" spans="20:21" x14ac:dyDescent="0.25">
      <c r="T2986" s="98"/>
      <c r="U2986" s="99"/>
    </row>
    <row r="2987" spans="20:21" x14ac:dyDescent="0.25">
      <c r="T2987" s="98"/>
      <c r="U2987" s="99"/>
    </row>
    <row r="2988" spans="20:21" x14ac:dyDescent="0.25">
      <c r="T2988" s="98"/>
      <c r="U2988" s="99"/>
    </row>
    <row r="2989" spans="20:21" x14ac:dyDescent="0.25">
      <c r="T2989" s="98"/>
      <c r="U2989" s="99"/>
    </row>
    <row r="2990" spans="20:21" x14ac:dyDescent="0.25">
      <c r="T2990" s="98"/>
      <c r="U2990" s="99"/>
    </row>
    <row r="2991" spans="20:21" x14ac:dyDescent="0.25">
      <c r="T2991" s="98"/>
      <c r="U2991" s="99"/>
    </row>
    <row r="2992" spans="20:21" x14ac:dyDescent="0.25">
      <c r="T2992" s="98"/>
      <c r="U2992" s="99"/>
    </row>
    <row r="2993" spans="20:21" x14ac:dyDescent="0.25">
      <c r="T2993" s="98"/>
      <c r="U2993" s="99"/>
    </row>
    <row r="2994" spans="20:21" x14ac:dyDescent="0.25">
      <c r="T2994" s="98"/>
      <c r="U2994" s="99"/>
    </row>
    <row r="2995" spans="20:21" x14ac:dyDescent="0.25">
      <c r="T2995" s="98"/>
      <c r="U2995" s="99"/>
    </row>
    <row r="2996" spans="20:21" x14ac:dyDescent="0.25">
      <c r="T2996" s="98"/>
      <c r="U2996" s="99"/>
    </row>
    <row r="2997" spans="20:21" x14ac:dyDescent="0.25">
      <c r="T2997" s="98"/>
      <c r="U2997" s="99"/>
    </row>
    <row r="2998" spans="20:21" x14ac:dyDescent="0.25">
      <c r="T2998" s="98"/>
      <c r="U2998" s="99"/>
    </row>
    <row r="2999" spans="20:21" x14ac:dyDescent="0.25">
      <c r="T2999" s="98"/>
      <c r="U2999" s="99"/>
    </row>
    <row r="3000" spans="20:21" x14ac:dyDescent="0.25">
      <c r="T3000" s="98"/>
      <c r="U3000" s="99"/>
    </row>
    <row r="3001" spans="20:21" x14ac:dyDescent="0.25">
      <c r="T3001" s="98"/>
      <c r="U3001" s="99"/>
    </row>
    <row r="3002" spans="20:21" x14ac:dyDescent="0.25">
      <c r="T3002" s="98"/>
      <c r="U3002" s="99"/>
    </row>
    <row r="3003" spans="20:21" x14ac:dyDescent="0.25">
      <c r="T3003" s="98"/>
      <c r="U3003" s="99"/>
    </row>
    <row r="3004" spans="20:21" x14ac:dyDescent="0.25">
      <c r="T3004" s="98"/>
      <c r="U3004" s="99"/>
    </row>
    <row r="3005" spans="20:21" x14ac:dyDescent="0.25">
      <c r="T3005" s="98"/>
      <c r="U3005" s="99"/>
    </row>
    <row r="3006" spans="20:21" x14ac:dyDescent="0.25">
      <c r="T3006" s="98"/>
      <c r="U3006" s="99"/>
    </row>
    <row r="3007" spans="20:21" x14ac:dyDescent="0.25">
      <c r="T3007" s="98"/>
      <c r="U3007" s="99"/>
    </row>
    <row r="3008" spans="20:21" x14ac:dyDescent="0.25">
      <c r="T3008" s="98"/>
      <c r="U3008" s="99"/>
    </row>
    <row r="3009" spans="20:21" x14ac:dyDescent="0.25">
      <c r="T3009" s="98"/>
      <c r="U3009" s="99"/>
    </row>
    <row r="3010" spans="20:21" x14ac:dyDescent="0.25">
      <c r="T3010" s="98"/>
      <c r="U3010" s="99"/>
    </row>
    <row r="3011" spans="20:21" x14ac:dyDescent="0.25">
      <c r="T3011" s="98"/>
      <c r="U3011" s="99"/>
    </row>
    <row r="3012" spans="20:21" x14ac:dyDescent="0.25">
      <c r="T3012" s="98"/>
      <c r="U3012" s="99"/>
    </row>
    <row r="3013" spans="20:21" x14ac:dyDescent="0.25">
      <c r="T3013" s="98"/>
      <c r="U3013" s="99"/>
    </row>
    <row r="3014" spans="20:21" x14ac:dyDescent="0.25">
      <c r="T3014" s="98"/>
      <c r="U3014" s="99"/>
    </row>
    <row r="3015" spans="20:21" x14ac:dyDescent="0.25">
      <c r="T3015" s="98"/>
      <c r="U3015" s="99"/>
    </row>
    <row r="3016" spans="20:21" x14ac:dyDescent="0.25">
      <c r="T3016" s="98"/>
      <c r="U3016" s="99"/>
    </row>
    <row r="3017" spans="20:21" x14ac:dyDescent="0.25">
      <c r="T3017" s="98"/>
      <c r="U3017" s="99"/>
    </row>
    <row r="3018" spans="20:21" x14ac:dyDescent="0.25">
      <c r="T3018" s="98"/>
      <c r="U3018" s="99"/>
    </row>
    <row r="3019" spans="20:21" x14ac:dyDescent="0.25">
      <c r="T3019" s="98"/>
      <c r="U3019" s="99"/>
    </row>
    <row r="3020" spans="20:21" x14ac:dyDescent="0.25">
      <c r="T3020" s="98"/>
      <c r="U3020" s="99"/>
    </row>
    <row r="3021" spans="20:21" x14ac:dyDescent="0.25">
      <c r="T3021" s="98"/>
      <c r="U3021" s="99"/>
    </row>
    <row r="3022" spans="20:21" x14ac:dyDescent="0.25">
      <c r="T3022" s="98"/>
      <c r="U3022" s="99"/>
    </row>
    <row r="3023" spans="20:21" x14ac:dyDescent="0.25">
      <c r="T3023" s="98"/>
      <c r="U3023" s="99"/>
    </row>
    <row r="3024" spans="20:21" x14ac:dyDescent="0.25">
      <c r="T3024" s="98"/>
      <c r="U3024" s="99"/>
    </row>
    <row r="3025" spans="20:21" x14ac:dyDescent="0.25">
      <c r="T3025" s="98"/>
      <c r="U3025" s="99"/>
    </row>
    <row r="3026" spans="20:21" x14ac:dyDescent="0.25">
      <c r="T3026" s="98"/>
      <c r="U3026" s="99"/>
    </row>
    <row r="3027" spans="20:21" x14ac:dyDescent="0.25">
      <c r="T3027" s="98"/>
      <c r="U3027" s="99"/>
    </row>
    <row r="3028" spans="20:21" x14ac:dyDescent="0.25">
      <c r="T3028" s="98"/>
      <c r="U3028" s="99"/>
    </row>
    <row r="3029" spans="20:21" x14ac:dyDescent="0.25">
      <c r="T3029" s="98"/>
      <c r="U3029" s="99"/>
    </row>
    <row r="3030" spans="20:21" x14ac:dyDescent="0.25">
      <c r="T3030" s="98"/>
      <c r="U3030" s="99"/>
    </row>
    <row r="3031" spans="20:21" x14ac:dyDescent="0.25">
      <c r="T3031" s="98"/>
      <c r="U3031" s="99"/>
    </row>
    <row r="3032" spans="20:21" x14ac:dyDescent="0.25">
      <c r="T3032" s="98"/>
      <c r="U3032" s="99"/>
    </row>
    <row r="3033" spans="20:21" x14ac:dyDescent="0.25">
      <c r="T3033" s="98"/>
      <c r="U3033" s="99"/>
    </row>
    <row r="3034" spans="20:21" x14ac:dyDescent="0.25">
      <c r="T3034" s="98"/>
      <c r="U3034" s="99"/>
    </row>
    <row r="3035" spans="20:21" x14ac:dyDescent="0.25">
      <c r="T3035" s="98"/>
      <c r="U3035" s="99"/>
    </row>
    <row r="3036" spans="20:21" x14ac:dyDescent="0.25">
      <c r="T3036" s="98"/>
      <c r="U3036" s="99"/>
    </row>
    <row r="3037" spans="20:21" x14ac:dyDescent="0.25">
      <c r="T3037" s="98"/>
      <c r="U3037" s="99"/>
    </row>
    <row r="3038" spans="20:21" x14ac:dyDescent="0.25">
      <c r="T3038" s="98"/>
      <c r="U3038" s="99"/>
    </row>
    <row r="3039" spans="20:21" x14ac:dyDescent="0.25">
      <c r="T3039" s="98"/>
      <c r="U3039" s="99"/>
    </row>
    <row r="3040" spans="20:21" x14ac:dyDescent="0.25">
      <c r="T3040" s="98"/>
      <c r="U3040" s="99"/>
    </row>
    <row r="3041" spans="20:21" x14ac:dyDescent="0.25">
      <c r="T3041" s="98"/>
      <c r="U3041" s="99"/>
    </row>
    <row r="3042" spans="20:21" x14ac:dyDescent="0.25">
      <c r="T3042" s="98"/>
      <c r="U3042" s="99"/>
    </row>
    <row r="3043" spans="20:21" x14ac:dyDescent="0.25">
      <c r="T3043" s="98"/>
      <c r="U3043" s="99"/>
    </row>
    <row r="3044" spans="20:21" x14ac:dyDescent="0.25">
      <c r="T3044" s="98"/>
      <c r="U3044" s="99"/>
    </row>
    <row r="3045" spans="20:21" x14ac:dyDescent="0.25">
      <c r="T3045" s="98"/>
      <c r="U3045" s="99"/>
    </row>
    <row r="3046" spans="20:21" x14ac:dyDescent="0.25">
      <c r="T3046" s="98"/>
      <c r="U3046" s="99"/>
    </row>
    <row r="3047" spans="20:21" x14ac:dyDescent="0.25">
      <c r="T3047" s="98"/>
      <c r="U3047" s="99"/>
    </row>
    <row r="3048" spans="20:21" x14ac:dyDescent="0.25">
      <c r="T3048" s="98"/>
      <c r="U3048" s="99"/>
    </row>
    <row r="3049" spans="20:21" x14ac:dyDescent="0.25">
      <c r="T3049" s="98"/>
      <c r="U3049" s="99"/>
    </row>
    <row r="3050" spans="20:21" x14ac:dyDescent="0.25">
      <c r="T3050" s="98"/>
      <c r="U3050" s="99"/>
    </row>
    <row r="3051" spans="20:21" x14ac:dyDescent="0.25">
      <c r="T3051" s="98"/>
      <c r="U3051" s="99"/>
    </row>
    <row r="3052" spans="20:21" x14ac:dyDescent="0.25">
      <c r="T3052" s="98"/>
      <c r="U3052" s="99"/>
    </row>
    <row r="3053" spans="20:21" x14ac:dyDescent="0.25">
      <c r="T3053" s="98"/>
      <c r="U3053" s="99"/>
    </row>
    <row r="3054" spans="20:21" x14ac:dyDescent="0.25">
      <c r="T3054" s="98"/>
      <c r="U3054" s="99"/>
    </row>
    <row r="3055" spans="20:21" x14ac:dyDescent="0.25">
      <c r="T3055" s="98"/>
      <c r="U3055" s="99"/>
    </row>
    <row r="3056" spans="20:21" x14ac:dyDescent="0.25">
      <c r="T3056" s="98"/>
      <c r="U3056" s="99"/>
    </row>
    <row r="3057" spans="20:21" x14ac:dyDescent="0.25">
      <c r="T3057" s="98"/>
      <c r="U3057" s="99"/>
    </row>
    <row r="3058" spans="20:21" x14ac:dyDescent="0.25">
      <c r="T3058" s="98"/>
      <c r="U3058" s="99"/>
    </row>
    <row r="3059" spans="20:21" x14ac:dyDescent="0.25">
      <c r="T3059" s="98"/>
      <c r="U3059" s="99"/>
    </row>
    <row r="3060" spans="20:21" x14ac:dyDescent="0.25">
      <c r="T3060" s="98"/>
      <c r="U3060" s="99"/>
    </row>
    <row r="3061" spans="20:21" x14ac:dyDescent="0.25">
      <c r="T3061" s="98"/>
      <c r="U3061" s="99"/>
    </row>
    <row r="3062" spans="20:21" x14ac:dyDescent="0.25">
      <c r="T3062" s="98"/>
      <c r="U3062" s="99"/>
    </row>
    <row r="3063" spans="20:21" x14ac:dyDescent="0.25">
      <c r="T3063" s="98"/>
      <c r="U3063" s="99"/>
    </row>
    <row r="3064" spans="20:21" x14ac:dyDescent="0.25">
      <c r="T3064" s="98"/>
      <c r="U3064" s="99"/>
    </row>
    <row r="3065" spans="20:21" x14ac:dyDescent="0.25">
      <c r="T3065" s="98"/>
      <c r="U3065" s="99"/>
    </row>
    <row r="3066" spans="20:21" x14ac:dyDescent="0.25">
      <c r="T3066" s="98"/>
      <c r="U3066" s="99"/>
    </row>
    <row r="3067" spans="20:21" x14ac:dyDescent="0.25">
      <c r="T3067" s="98"/>
      <c r="U3067" s="99"/>
    </row>
    <row r="3068" spans="20:21" x14ac:dyDescent="0.25">
      <c r="T3068" s="98"/>
      <c r="U3068" s="99"/>
    </row>
    <row r="3069" spans="20:21" x14ac:dyDescent="0.25">
      <c r="T3069" s="98"/>
      <c r="U3069" s="99"/>
    </row>
    <row r="3070" spans="20:21" x14ac:dyDescent="0.25">
      <c r="T3070" s="98"/>
      <c r="U3070" s="99"/>
    </row>
    <row r="3071" spans="20:21" x14ac:dyDescent="0.25">
      <c r="T3071" s="98"/>
      <c r="U3071" s="99"/>
    </row>
    <row r="3072" spans="20:21" x14ac:dyDescent="0.25">
      <c r="T3072" s="98"/>
      <c r="U3072" s="99"/>
    </row>
    <row r="3073" spans="20:21" x14ac:dyDescent="0.25">
      <c r="T3073" s="98"/>
      <c r="U3073" s="99"/>
    </row>
    <row r="3074" spans="20:21" x14ac:dyDescent="0.25">
      <c r="T3074" s="98"/>
      <c r="U3074" s="99"/>
    </row>
    <row r="3075" spans="20:21" x14ac:dyDescent="0.25">
      <c r="T3075" s="98"/>
      <c r="U3075" s="99"/>
    </row>
    <row r="3076" spans="20:21" x14ac:dyDescent="0.25">
      <c r="T3076" s="98"/>
      <c r="U3076" s="99"/>
    </row>
    <row r="3077" spans="20:21" x14ac:dyDescent="0.25">
      <c r="T3077" s="98"/>
      <c r="U3077" s="99"/>
    </row>
    <row r="3078" spans="20:21" x14ac:dyDescent="0.25">
      <c r="T3078" s="98"/>
      <c r="U3078" s="99"/>
    </row>
    <row r="3079" spans="20:21" x14ac:dyDescent="0.25">
      <c r="T3079" s="98"/>
      <c r="U3079" s="99"/>
    </row>
    <row r="3080" spans="20:21" x14ac:dyDescent="0.25">
      <c r="T3080" s="98"/>
      <c r="U3080" s="99"/>
    </row>
    <row r="3081" spans="20:21" x14ac:dyDescent="0.25">
      <c r="T3081" s="98"/>
      <c r="U3081" s="99"/>
    </row>
    <row r="3082" spans="20:21" x14ac:dyDescent="0.25">
      <c r="T3082" s="98"/>
      <c r="U3082" s="99"/>
    </row>
    <row r="3083" spans="20:21" x14ac:dyDescent="0.25">
      <c r="T3083" s="98"/>
      <c r="U3083" s="99"/>
    </row>
    <row r="3084" spans="20:21" x14ac:dyDescent="0.25">
      <c r="T3084" s="98"/>
      <c r="U3084" s="99"/>
    </row>
    <row r="3085" spans="20:21" x14ac:dyDescent="0.25">
      <c r="T3085" s="98"/>
      <c r="U3085" s="99"/>
    </row>
    <row r="3086" spans="20:21" x14ac:dyDescent="0.25">
      <c r="T3086" s="98"/>
      <c r="U3086" s="99"/>
    </row>
    <row r="3087" spans="20:21" x14ac:dyDescent="0.25">
      <c r="T3087" s="98"/>
      <c r="U3087" s="99"/>
    </row>
    <row r="3088" spans="20:21" x14ac:dyDescent="0.25">
      <c r="T3088" s="98"/>
      <c r="U3088" s="99"/>
    </row>
    <row r="3089" spans="20:21" x14ac:dyDescent="0.25">
      <c r="T3089" s="98"/>
      <c r="U3089" s="99"/>
    </row>
    <row r="3090" spans="20:21" x14ac:dyDescent="0.25">
      <c r="T3090" s="98"/>
      <c r="U3090" s="99"/>
    </row>
    <row r="3091" spans="20:21" x14ac:dyDescent="0.25">
      <c r="T3091" s="98"/>
      <c r="U3091" s="99"/>
    </row>
    <row r="3092" spans="20:21" x14ac:dyDescent="0.25">
      <c r="T3092" s="98"/>
      <c r="U3092" s="99"/>
    </row>
    <row r="3093" spans="20:21" x14ac:dyDescent="0.25">
      <c r="T3093" s="98"/>
      <c r="U3093" s="99"/>
    </row>
    <row r="3094" spans="20:21" x14ac:dyDescent="0.25">
      <c r="T3094" s="98"/>
      <c r="U3094" s="99"/>
    </row>
    <row r="3095" spans="20:21" x14ac:dyDescent="0.25">
      <c r="T3095" s="98"/>
      <c r="U3095" s="99"/>
    </row>
    <row r="3096" spans="20:21" x14ac:dyDescent="0.25">
      <c r="T3096" s="98"/>
      <c r="U3096" s="99"/>
    </row>
    <row r="3097" spans="20:21" x14ac:dyDescent="0.25">
      <c r="T3097" s="98"/>
      <c r="U3097" s="99"/>
    </row>
    <row r="3098" spans="20:21" x14ac:dyDescent="0.25">
      <c r="T3098" s="98"/>
      <c r="U3098" s="99"/>
    </row>
    <row r="3099" spans="20:21" x14ac:dyDescent="0.25">
      <c r="T3099" s="98"/>
      <c r="U3099" s="99"/>
    </row>
    <row r="3100" spans="20:21" x14ac:dyDescent="0.25">
      <c r="T3100" s="98"/>
      <c r="U3100" s="99"/>
    </row>
    <row r="3101" spans="20:21" x14ac:dyDescent="0.25">
      <c r="T3101" s="98"/>
      <c r="U3101" s="99"/>
    </row>
    <row r="3102" spans="20:21" x14ac:dyDescent="0.25">
      <c r="T3102" s="98"/>
      <c r="U3102" s="99"/>
    </row>
    <row r="3103" spans="20:21" x14ac:dyDescent="0.25">
      <c r="T3103" s="98"/>
      <c r="U3103" s="99"/>
    </row>
    <row r="3104" spans="20:21" x14ac:dyDescent="0.25">
      <c r="T3104" s="98"/>
      <c r="U3104" s="99"/>
    </row>
    <row r="3105" spans="20:21" x14ac:dyDescent="0.25">
      <c r="T3105" s="98"/>
      <c r="U3105" s="99"/>
    </row>
    <row r="3106" spans="20:21" x14ac:dyDescent="0.25">
      <c r="T3106" s="98"/>
      <c r="U3106" s="99"/>
    </row>
    <row r="3107" spans="20:21" x14ac:dyDescent="0.25">
      <c r="T3107" s="98"/>
      <c r="U3107" s="99"/>
    </row>
    <row r="3108" spans="20:21" x14ac:dyDescent="0.25">
      <c r="T3108" s="98"/>
      <c r="U3108" s="99"/>
    </row>
    <row r="3109" spans="20:21" x14ac:dyDescent="0.25">
      <c r="T3109" s="98"/>
      <c r="U3109" s="99"/>
    </row>
    <row r="3110" spans="20:21" x14ac:dyDescent="0.25">
      <c r="T3110" s="98"/>
      <c r="U3110" s="99"/>
    </row>
    <row r="3111" spans="20:21" x14ac:dyDescent="0.25">
      <c r="T3111" s="98"/>
      <c r="U3111" s="99"/>
    </row>
    <row r="3112" spans="20:21" x14ac:dyDescent="0.25">
      <c r="T3112" s="98"/>
      <c r="U3112" s="99"/>
    </row>
    <row r="3113" spans="20:21" x14ac:dyDescent="0.25">
      <c r="T3113" s="98"/>
      <c r="U3113" s="99"/>
    </row>
    <row r="3114" spans="20:21" x14ac:dyDescent="0.25">
      <c r="T3114" s="98"/>
      <c r="U3114" s="99"/>
    </row>
    <row r="3115" spans="20:21" x14ac:dyDescent="0.25">
      <c r="T3115" s="98"/>
      <c r="U3115" s="99"/>
    </row>
    <row r="3116" spans="20:21" x14ac:dyDescent="0.25">
      <c r="T3116" s="98"/>
      <c r="U3116" s="99"/>
    </row>
    <row r="3117" spans="20:21" x14ac:dyDescent="0.25">
      <c r="T3117" s="98"/>
      <c r="U3117" s="99"/>
    </row>
    <row r="3118" spans="20:21" x14ac:dyDescent="0.25">
      <c r="T3118" s="98"/>
      <c r="U3118" s="99"/>
    </row>
    <row r="3119" spans="20:21" x14ac:dyDescent="0.25">
      <c r="T3119" s="98"/>
      <c r="U3119" s="99"/>
    </row>
    <row r="3120" spans="20:21" x14ac:dyDescent="0.25">
      <c r="T3120" s="98"/>
      <c r="U3120" s="99"/>
    </row>
    <row r="3121" spans="20:21" x14ac:dyDescent="0.25">
      <c r="T3121" s="98"/>
      <c r="U3121" s="99"/>
    </row>
    <row r="3122" spans="20:21" x14ac:dyDescent="0.25">
      <c r="T3122" s="98"/>
      <c r="U3122" s="99"/>
    </row>
    <row r="3123" spans="20:21" x14ac:dyDescent="0.25">
      <c r="T3123" s="98"/>
      <c r="U3123" s="99"/>
    </row>
    <row r="3124" spans="20:21" x14ac:dyDescent="0.25">
      <c r="T3124" s="98"/>
      <c r="U3124" s="99"/>
    </row>
    <row r="3125" spans="20:21" x14ac:dyDescent="0.25">
      <c r="T3125" s="98"/>
      <c r="U3125" s="99"/>
    </row>
    <row r="3126" spans="20:21" x14ac:dyDescent="0.25">
      <c r="T3126" s="98"/>
      <c r="U3126" s="99"/>
    </row>
    <row r="3127" spans="20:21" x14ac:dyDescent="0.25">
      <c r="T3127" s="98"/>
      <c r="U3127" s="99"/>
    </row>
    <row r="3128" spans="20:21" x14ac:dyDescent="0.25">
      <c r="T3128" s="98"/>
      <c r="U3128" s="99"/>
    </row>
    <row r="3129" spans="20:21" x14ac:dyDescent="0.25">
      <c r="T3129" s="98"/>
      <c r="U3129" s="99"/>
    </row>
    <row r="3130" spans="20:21" x14ac:dyDescent="0.25">
      <c r="T3130" s="98"/>
      <c r="U3130" s="99"/>
    </row>
    <row r="3131" spans="20:21" x14ac:dyDescent="0.25">
      <c r="T3131" s="98"/>
      <c r="U3131" s="99"/>
    </row>
    <row r="3132" spans="20:21" x14ac:dyDescent="0.25">
      <c r="T3132" s="98"/>
      <c r="U3132" s="99"/>
    </row>
    <row r="3133" spans="20:21" x14ac:dyDescent="0.25">
      <c r="T3133" s="98"/>
      <c r="U3133" s="99"/>
    </row>
    <row r="3134" spans="20:21" x14ac:dyDescent="0.25">
      <c r="T3134" s="98"/>
      <c r="U3134" s="99"/>
    </row>
    <row r="3135" spans="20:21" x14ac:dyDescent="0.25">
      <c r="T3135" s="98"/>
      <c r="U3135" s="99"/>
    </row>
    <row r="3136" spans="20:21" x14ac:dyDescent="0.25">
      <c r="T3136" s="98"/>
      <c r="U3136" s="99"/>
    </row>
    <row r="3137" spans="20:21" x14ac:dyDescent="0.25">
      <c r="T3137" s="98"/>
      <c r="U3137" s="99"/>
    </row>
    <row r="3138" spans="20:21" x14ac:dyDescent="0.25">
      <c r="T3138" s="98"/>
      <c r="U3138" s="99"/>
    </row>
    <row r="3139" spans="20:21" x14ac:dyDescent="0.25">
      <c r="T3139" s="98"/>
      <c r="U3139" s="99"/>
    </row>
    <row r="3140" spans="20:21" x14ac:dyDescent="0.25">
      <c r="T3140" s="98"/>
      <c r="U3140" s="99"/>
    </row>
    <row r="3141" spans="20:21" x14ac:dyDescent="0.25">
      <c r="T3141" s="98"/>
      <c r="U3141" s="99"/>
    </row>
    <row r="3142" spans="20:21" x14ac:dyDescent="0.25">
      <c r="T3142" s="98"/>
      <c r="U3142" s="99"/>
    </row>
    <row r="3143" spans="20:21" x14ac:dyDescent="0.25">
      <c r="T3143" s="98"/>
      <c r="U3143" s="99"/>
    </row>
    <row r="3144" spans="20:21" x14ac:dyDescent="0.25">
      <c r="T3144" s="98"/>
      <c r="U3144" s="99"/>
    </row>
    <row r="3145" spans="20:21" x14ac:dyDescent="0.25">
      <c r="T3145" s="98"/>
      <c r="U3145" s="99"/>
    </row>
    <row r="3146" spans="20:21" x14ac:dyDescent="0.25">
      <c r="T3146" s="98"/>
      <c r="U3146" s="99"/>
    </row>
    <row r="3147" spans="20:21" x14ac:dyDescent="0.25">
      <c r="T3147" s="98"/>
      <c r="U3147" s="99"/>
    </row>
    <row r="3148" spans="20:21" x14ac:dyDescent="0.25">
      <c r="T3148" s="98"/>
      <c r="U3148" s="99"/>
    </row>
    <row r="3149" spans="20:21" x14ac:dyDescent="0.25">
      <c r="T3149" s="98"/>
      <c r="U3149" s="99"/>
    </row>
    <row r="3150" spans="20:21" x14ac:dyDescent="0.25">
      <c r="T3150" s="98"/>
      <c r="U3150" s="99"/>
    </row>
    <row r="3151" spans="20:21" x14ac:dyDescent="0.25">
      <c r="T3151" s="98"/>
      <c r="U3151" s="99"/>
    </row>
    <row r="3152" spans="20:21" x14ac:dyDescent="0.25">
      <c r="T3152" s="98"/>
      <c r="U3152" s="99"/>
    </row>
    <row r="3153" spans="20:21" x14ac:dyDescent="0.25">
      <c r="T3153" s="98"/>
      <c r="U3153" s="99"/>
    </row>
    <row r="3154" spans="20:21" x14ac:dyDescent="0.25">
      <c r="T3154" s="98"/>
      <c r="U3154" s="99"/>
    </row>
    <row r="3155" spans="20:21" x14ac:dyDescent="0.25">
      <c r="T3155" s="98"/>
      <c r="U3155" s="99"/>
    </row>
    <row r="3156" spans="20:21" x14ac:dyDescent="0.25">
      <c r="T3156" s="98"/>
      <c r="U3156" s="99"/>
    </row>
    <row r="3157" spans="20:21" x14ac:dyDescent="0.25">
      <c r="T3157" s="98"/>
      <c r="U3157" s="99"/>
    </row>
    <row r="3158" spans="20:21" x14ac:dyDescent="0.25">
      <c r="T3158" s="98"/>
      <c r="U3158" s="99"/>
    </row>
    <row r="3159" spans="20:21" x14ac:dyDescent="0.25">
      <c r="T3159" s="98"/>
      <c r="U3159" s="99"/>
    </row>
    <row r="3160" spans="20:21" x14ac:dyDescent="0.25">
      <c r="T3160" s="98"/>
      <c r="U3160" s="99"/>
    </row>
    <row r="3161" spans="20:21" x14ac:dyDescent="0.25">
      <c r="T3161" s="98"/>
      <c r="U3161" s="99"/>
    </row>
    <row r="3162" spans="20:21" x14ac:dyDescent="0.25">
      <c r="T3162" s="98"/>
      <c r="U3162" s="99"/>
    </row>
    <row r="3163" spans="20:21" x14ac:dyDescent="0.25">
      <c r="T3163" s="98"/>
      <c r="U3163" s="99"/>
    </row>
    <row r="3164" spans="20:21" x14ac:dyDescent="0.25">
      <c r="T3164" s="98"/>
      <c r="U3164" s="99"/>
    </row>
    <row r="3165" spans="20:21" x14ac:dyDescent="0.25">
      <c r="T3165" s="98"/>
      <c r="U3165" s="99"/>
    </row>
    <row r="3166" spans="20:21" x14ac:dyDescent="0.25">
      <c r="T3166" s="98"/>
      <c r="U3166" s="99"/>
    </row>
    <row r="3167" spans="20:21" x14ac:dyDescent="0.25">
      <c r="T3167" s="98"/>
      <c r="U3167" s="99"/>
    </row>
    <row r="3168" spans="20:21" x14ac:dyDescent="0.25">
      <c r="T3168" s="98"/>
      <c r="U3168" s="99"/>
    </row>
    <row r="3169" spans="20:21" x14ac:dyDescent="0.25">
      <c r="T3169" s="98"/>
      <c r="U3169" s="99"/>
    </row>
    <row r="3170" spans="20:21" x14ac:dyDescent="0.25">
      <c r="T3170" s="98"/>
      <c r="U3170" s="99"/>
    </row>
    <row r="3171" spans="20:21" x14ac:dyDescent="0.25">
      <c r="T3171" s="98"/>
      <c r="U3171" s="99"/>
    </row>
    <row r="3172" spans="20:21" x14ac:dyDescent="0.25">
      <c r="T3172" s="98"/>
      <c r="U3172" s="99"/>
    </row>
    <row r="3173" spans="20:21" x14ac:dyDescent="0.25">
      <c r="T3173" s="98"/>
      <c r="U3173" s="99"/>
    </row>
    <row r="3174" spans="20:21" x14ac:dyDescent="0.25">
      <c r="T3174" s="98"/>
      <c r="U3174" s="99"/>
    </row>
    <row r="3175" spans="20:21" x14ac:dyDescent="0.25">
      <c r="T3175" s="98"/>
      <c r="U3175" s="99"/>
    </row>
    <row r="3176" spans="20:21" x14ac:dyDescent="0.25">
      <c r="T3176" s="98"/>
      <c r="U3176" s="99"/>
    </row>
    <row r="3177" spans="20:21" x14ac:dyDescent="0.25">
      <c r="T3177" s="98"/>
      <c r="U3177" s="99"/>
    </row>
    <row r="3178" spans="20:21" x14ac:dyDescent="0.25">
      <c r="T3178" s="98"/>
      <c r="U3178" s="99"/>
    </row>
    <row r="3179" spans="20:21" x14ac:dyDescent="0.25">
      <c r="T3179" s="98"/>
      <c r="U3179" s="99"/>
    </row>
    <row r="3180" spans="20:21" x14ac:dyDescent="0.25">
      <c r="T3180" s="98"/>
      <c r="U3180" s="99"/>
    </row>
    <row r="3181" spans="20:21" x14ac:dyDescent="0.25">
      <c r="T3181" s="98"/>
      <c r="U3181" s="99"/>
    </row>
    <row r="3182" spans="20:21" x14ac:dyDescent="0.25">
      <c r="T3182" s="98"/>
      <c r="U3182" s="99"/>
    </row>
    <row r="3183" spans="20:21" x14ac:dyDescent="0.25">
      <c r="T3183" s="98"/>
      <c r="U3183" s="99"/>
    </row>
    <row r="3184" spans="20:21" x14ac:dyDescent="0.25">
      <c r="T3184" s="98"/>
      <c r="U3184" s="99"/>
    </row>
    <row r="3185" spans="20:21" x14ac:dyDescent="0.25">
      <c r="T3185" s="98"/>
      <c r="U3185" s="99"/>
    </row>
    <row r="3186" spans="20:21" x14ac:dyDescent="0.25">
      <c r="T3186" s="98"/>
      <c r="U3186" s="99"/>
    </row>
    <row r="3187" spans="20:21" x14ac:dyDescent="0.25">
      <c r="T3187" s="98"/>
      <c r="U3187" s="99"/>
    </row>
    <row r="3188" spans="20:21" x14ac:dyDescent="0.25">
      <c r="T3188" s="98"/>
      <c r="U3188" s="99"/>
    </row>
    <row r="3189" spans="20:21" x14ac:dyDescent="0.25">
      <c r="T3189" s="98"/>
      <c r="U3189" s="99"/>
    </row>
    <row r="3190" spans="20:21" x14ac:dyDescent="0.25">
      <c r="T3190" s="98"/>
      <c r="U3190" s="99"/>
    </row>
    <row r="3191" spans="20:21" x14ac:dyDescent="0.25">
      <c r="T3191" s="98"/>
      <c r="U3191" s="99"/>
    </row>
    <row r="3192" spans="20:21" x14ac:dyDescent="0.25">
      <c r="T3192" s="98"/>
      <c r="U3192" s="99"/>
    </row>
    <row r="3193" spans="20:21" x14ac:dyDescent="0.25">
      <c r="T3193" s="98"/>
      <c r="U3193" s="99"/>
    </row>
    <row r="3194" spans="20:21" x14ac:dyDescent="0.25">
      <c r="T3194" s="98"/>
      <c r="U3194" s="99"/>
    </row>
    <row r="3195" spans="20:21" x14ac:dyDescent="0.25">
      <c r="T3195" s="98"/>
      <c r="U3195" s="99"/>
    </row>
    <row r="3196" spans="20:21" x14ac:dyDescent="0.25">
      <c r="T3196" s="98"/>
      <c r="U3196" s="99"/>
    </row>
    <row r="3197" spans="20:21" x14ac:dyDescent="0.25">
      <c r="T3197" s="98"/>
      <c r="U3197" s="99"/>
    </row>
    <row r="3198" spans="20:21" x14ac:dyDescent="0.25">
      <c r="T3198" s="98"/>
      <c r="U3198" s="99"/>
    </row>
    <row r="3199" spans="20:21" x14ac:dyDescent="0.25">
      <c r="T3199" s="98"/>
      <c r="U3199" s="99"/>
    </row>
    <row r="3200" spans="20:21" x14ac:dyDescent="0.25">
      <c r="T3200" s="98"/>
      <c r="U3200" s="99"/>
    </row>
    <row r="3201" spans="20:21" x14ac:dyDescent="0.25">
      <c r="T3201" s="98"/>
      <c r="U3201" s="99"/>
    </row>
    <row r="3202" spans="20:21" x14ac:dyDescent="0.25">
      <c r="T3202" s="98"/>
      <c r="U3202" s="99"/>
    </row>
    <row r="3203" spans="20:21" x14ac:dyDescent="0.25">
      <c r="T3203" s="98"/>
      <c r="U3203" s="99"/>
    </row>
    <row r="3204" spans="20:21" x14ac:dyDescent="0.25">
      <c r="T3204" s="98"/>
      <c r="U3204" s="99"/>
    </row>
    <row r="3205" spans="20:21" x14ac:dyDescent="0.25">
      <c r="T3205" s="98"/>
      <c r="U3205" s="99"/>
    </row>
    <row r="3206" spans="20:21" x14ac:dyDescent="0.25">
      <c r="T3206" s="98"/>
      <c r="U3206" s="99"/>
    </row>
    <row r="3207" spans="20:21" x14ac:dyDescent="0.25">
      <c r="T3207" s="98"/>
      <c r="U3207" s="99"/>
    </row>
    <row r="3208" spans="20:21" x14ac:dyDescent="0.25">
      <c r="T3208" s="98"/>
      <c r="U3208" s="99"/>
    </row>
    <row r="3209" spans="20:21" x14ac:dyDescent="0.25">
      <c r="T3209" s="98"/>
      <c r="U3209" s="99"/>
    </row>
    <row r="3210" spans="20:21" x14ac:dyDescent="0.25">
      <c r="T3210" s="98"/>
      <c r="U3210" s="99"/>
    </row>
    <row r="3211" spans="20:21" x14ac:dyDescent="0.25">
      <c r="T3211" s="98"/>
      <c r="U3211" s="99"/>
    </row>
    <row r="3212" spans="20:21" x14ac:dyDescent="0.25">
      <c r="T3212" s="98"/>
      <c r="U3212" s="99"/>
    </row>
    <row r="3213" spans="20:21" x14ac:dyDescent="0.25">
      <c r="T3213" s="98"/>
      <c r="U3213" s="99"/>
    </row>
    <row r="3214" spans="20:21" x14ac:dyDescent="0.25">
      <c r="T3214" s="98"/>
      <c r="U3214" s="99"/>
    </row>
    <row r="3215" spans="20:21" x14ac:dyDescent="0.25">
      <c r="T3215" s="98"/>
      <c r="U3215" s="99"/>
    </row>
    <row r="3216" spans="20:21" x14ac:dyDescent="0.25">
      <c r="T3216" s="98"/>
      <c r="U3216" s="99"/>
    </row>
    <row r="3217" spans="20:21" x14ac:dyDescent="0.25">
      <c r="T3217" s="98"/>
      <c r="U3217" s="99"/>
    </row>
    <row r="3218" spans="20:21" x14ac:dyDescent="0.25">
      <c r="T3218" s="98"/>
      <c r="U3218" s="99"/>
    </row>
    <row r="3219" spans="20:21" x14ac:dyDescent="0.25">
      <c r="T3219" s="98"/>
      <c r="U3219" s="99"/>
    </row>
    <row r="3220" spans="20:21" x14ac:dyDescent="0.25">
      <c r="T3220" s="98"/>
      <c r="U3220" s="99"/>
    </row>
    <row r="3221" spans="20:21" x14ac:dyDescent="0.25">
      <c r="T3221" s="98"/>
      <c r="U3221" s="99"/>
    </row>
    <row r="3222" spans="20:21" x14ac:dyDescent="0.25">
      <c r="T3222" s="98"/>
      <c r="U3222" s="99"/>
    </row>
    <row r="3223" spans="20:21" x14ac:dyDescent="0.25">
      <c r="T3223" s="98"/>
      <c r="U3223" s="99"/>
    </row>
    <row r="3224" spans="20:21" x14ac:dyDescent="0.25">
      <c r="T3224" s="98"/>
      <c r="U3224" s="99"/>
    </row>
    <row r="3225" spans="20:21" x14ac:dyDescent="0.25">
      <c r="T3225" s="98"/>
      <c r="U3225" s="99"/>
    </row>
    <row r="3226" spans="20:21" x14ac:dyDescent="0.25">
      <c r="T3226" s="98"/>
      <c r="U3226" s="99"/>
    </row>
    <row r="3227" spans="20:21" x14ac:dyDescent="0.25">
      <c r="T3227" s="98"/>
      <c r="U3227" s="99"/>
    </row>
    <row r="3228" spans="20:21" x14ac:dyDescent="0.25">
      <c r="T3228" s="98"/>
      <c r="U3228" s="99"/>
    </row>
    <row r="3229" spans="20:21" x14ac:dyDescent="0.25">
      <c r="T3229" s="98"/>
      <c r="U3229" s="99"/>
    </row>
    <row r="3230" spans="20:21" x14ac:dyDescent="0.25">
      <c r="T3230" s="98"/>
      <c r="U3230" s="99"/>
    </row>
    <row r="3231" spans="20:21" x14ac:dyDescent="0.25">
      <c r="T3231" s="98"/>
      <c r="U3231" s="99"/>
    </row>
    <row r="3232" spans="20:21" x14ac:dyDescent="0.25">
      <c r="T3232" s="98"/>
      <c r="U3232" s="99"/>
    </row>
    <row r="3233" spans="20:21" x14ac:dyDescent="0.25">
      <c r="T3233" s="98"/>
      <c r="U3233" s="99"/>
    </row>
    <row r="3234" spans="20:21" x14ac:dyDescent="0.25">
      <c r="T3234" s="98"/>
      <c r="U3234" s="99"/>
    </row>
    <row r="3235" spans="20:21" x14ac:dyDescent="0.25">
      <c r="T3235" s="98"/>
      <c r="U3235" s="99"/>
    </row>
    <row r="3236" spans="20:21" x14ac:dyDescent="0.25">
      <c r="T3236" s="98"/>
      <c r="U3236" s="99"/>
    </row>
    <row r="3237" spans="20:21" x14ac:dyDescent="0.25">
      <c r="T3237" s="98"/>
      <c r="U3237" s="99"/>
    </row>
    <row r="3238" spans="20:21" x14ac:dyDescent="0.25">
      <c r="T3238" s="98"/>
      <c r="U3238" s="99"/>
    </row>
    <row r="3239" spans="20:21" x14ac:dyDescent="0.25">
      <c r="T3239" s="98"/>
      <c r="U3239" s="99"/>
    </row>
    <row r="3240" spans="20:21" x14ac:dyDescent="0.25">
      <c r="T3240" s="98"/>
      <c r="U3240" s="99"/>
    </row>
    <row r="3241" spans="20:21" x14ac:dyDescent="0.25">
      <c r="T3241" s="98"/>
      <c r="U3241" s="99"/>
    </row>
    <row r="3242" spans="20:21" x14ac:dyDescent="0.25">
      <c r="T3242" s="98"/>
      <c r="U3242" s="99"/>
    </row>
    <row r="3243" spans="20:21" x14ac:dyDescent="0.25">
      <c r="T3243" s="98"/>
      <c r="U3243" s="99"/>
    </row>
    <row r="3244" spans="20:21" x14ac:dyDescent="0.25">
      <c r="T3244" s="98"/>
      <c r="U3244" s="99"/>
    </row>
    <row r="3245" spans="20:21" x14ac:dyDescent="0.25">
      <c r="T3245" s="98"/>
      <c r="U3245" s="99"/>
    </row>
    <row r="3246" spans="20:21" x14ac:dyDescent="0.25">
      <c r="T3246" s="98"/>
      <c r="U3246" s="99"/>
    </row>
    <row r="3247" spans="20:21" x14ac:dyDescent="0.25">
      <c r="T3247" s="98"/>
      <c r="U3247" s="99"/>
    </row>
    <row r="3248" spans="20:21" x14ac:dyDescent="0.25">
      <c r="T3248" s="98"/>
      <c r="U3248" s="99"/>
    </row>
    <row r="3249" spans="20:21" x14ac:dyDescent="0.25">
      <c r="T3249" s="98"/>
      <c r="U3249" s="99"/>
    </row>
    <row r="3250" spans="20:21" x14ac:dyDescent="0.25">
      <c r="T3250" s="98"/>
      <c r="U3250" s="99"/>
    </row>
    <row r="3251" spans="20:21" x14ac:dyDescent="0.25">
      <c r="T3251" s="98"/>
      <c r="U3251" s="99"/>
    </row>
    <row r="3252" spans="20:21" x14ac:dyDescent="0.25">
      <c r="T3252" s="98"/>
      <c r="U3252" s="99"/>
    </row>
    <row r="3253" spans="20:21" x14ac:dyDescent="0.25">
      <c r="T3253" s="98"/>
      <c r="U3253" s="99"/>
    </row>
    <row r="3254" spans="20:21" x14ac:dyDescent="0.25">
      <c r="T3254" s="98"/>
      <c r="U3254" s="99"/>
    </row>
    <row r="3255" spans="20:21" x14ac:dyDescent="0.25">
      <c r="T3255" s="98"/>
      <c r="U3255" s="99"/>
    </row>
    <row r="3256" spans="20:21" x14ac:dyDescent="0.25">
      <c r="T3256" s="98"/>
      <c r="U3256" s="99"/>
    </row>
    <row r="3257" spans="20:21" x14ac:dyDescent="0.25">
      <c r="T3257" s="98"/>
      <c r="U3257" s="99"/>
    </row>
    <row r="3258" spans="20:21" x14ac:dyDescent="0.25">
      <c r="T3258" s="98"/>
      <c r="U3258" s="99"/>
    </row>
    <row r="3259" spans="20:21" x14ac:dyDescent="0.25">
      <c r="T3259" s="98"/>
      <c r="U3259" s="99"/>
    </row>
    <row r="3260" spans="20:21" x14ac:dyDescent="0.25">
      <c r="T3260" s="98"/>
      <c r="U3260" s="99"/>
    </row>
    <row r="3261" spans="20:21" x14ac:dyDescent="0.25">
      <c r="T3261" s="98"/>
      <c r="U3261" s="99"/>
    </row>
    <row r="3262" spans="20:21" x14ac:dyDescent="0.25">
      <c r="T3262" s="98"/>
      <c r="U3262" s="99"/>
    </row>
    <row r="3263" spans="20:21" x14ac:dyDescent="0.25">
      <c r="T3263" s="98"/>
      <c r="U3263" s="99"/>
    </row>
    <row r="3264" spans="20:21" x14ac:dyDescent="0.25">
      <c r="T3264" s="98"/>
      <c r="U3264" s="99"/>
    </row>
    <row r="3265" spans="20:21" x14ac:dyDescent="0.25">
      <c r="T3265" s="98"/>
      <c r="U3265" s="99"/>
    </row>
    <row r="3266" spans="20:21" x14ac:dyDescent="0.25">
      <c r="T3266" s="98"/>
      <c r="U3266" s="99"/>
    </row>
    <row r="3267" spans="20:21" x14ac:dyDescent="0.25">
      <c r="T3267" s="98"/>
      <c r="U3267" s="99"/>
    </row>
    <row r="3268" spans="20:21" x14ac:dyDescent="0.25">
      <c r="T3268" s="98"/>
      <c r="U3268" s="99"/>
    </row>
    <row r="3269" spans="20:21" x14ac:dyDescent="0.25">
      <c r="T3269" s="98"/>
      <c r="U3269" s="99"/>
    </row>
    <row r="3270" spans="20:21" x14ac:dyDescent="0.25">
      <c r="T3270" s="98"/>
      <c r="U3270" s="99"/>
    </row>
    <row r="3271" spans="20:21" x14ac:dyDescent="0.25">
      <c r="T3271" s="98"/>
      <c r="U3271" s="99"/>
    </row>
    <row r="3272" spans="20:21" x14ac:dyDescent="0.25">
      <c r="T3272" s="98"/>
      <c r="U3272" s="99"/>
    </row>
    <row r="3273" spans="20:21" x14ac:dyDescent="0.25">
      <c r="T3273" s="98"/>
      <c r="U3273" s="99"/>
    </row>
    <row r="3274" spans="20:21" x14ac:dyDescent="0.25">
      <c r="T3274" s="98"/>
      <c r="U3274" s="99"/>
    </row>
    <row r="3275" spans="20:21" x14ac:dyDescent="0.25">
      <c r="T3275" s="98"/>
      <c r="U3275" s="99"/>
    </row>
    <row r="3276" spans="20:21" x14ac:dyDescent="0.25">
      <c r="T3276" s="98"/>
      <c r="U3276" s="99"/>
    </row>
    <row r="3277" spans="20:21" x14ac:dyDescent="0.25">
      <c r="T3277" s="98"/>
      <c r="U3277" s="99"/>
    </row>
    <row r="3278" spans="20:21" x14ac:dyDescent="0.25">
      <c r="T3278" s="98"/>
      <c r="U3278" s="99"/>
    </row>
    <row r="3279" spans="20:21" x14ac:dyDescent="0.25">
      <c r="T3279" s="98"/>
      <c r="U3279" s="99"/>
    </row>
    <row r="3280" spans="20:21" x14ac:dyDescent="0.25">
      <c r="T3280" s="98"/>
      <c r="U3280" s="99"/>
    </row>
    <row r="3281" spans="20:21" x14ac:dyDescent="0.25">
      <c r="T3281" s="98"/>
      <c r="U3281" s="99"/>
    </row>
    <row r="3282" spans="20:21" x14ac:dyDescent="0.25">
      <c r="T3282" s="98"/>
      <c r="U3282" s="99"/>
    </row>
    <row r="3283" spans="20:21" x14ac:dyDescent="0.25">
      <c r="T3283" s="98"/>
      <c r="U3283" s="99"/>
    </row>
    <row r="3284" spans="20:21" x14ac:dyDescent="0.25">
      <c r="T3284" s="98"/>
      <c r="U3284" s="99"/>
    </row>
    <row r="3285" spans="20:21" x14ac:dyDescent="0.25">
      <c r="T3285" s="98"/>
      <c r="U3285" s="99"/>
    </row>
    <row r="3286" spans="20:21" x14ac:dyDescent="0.25">
      <c r="T3286" s="98"/>
      <c r="U3286" s="99"/>
    </row>
    <row r="3287" spans="20:21" x14ac:dyDescent="0.25">
      <c r="T3287" s="98"/>
      <c r="U3287" s="99"/>
    </row>
    <row r="3288" spans="20:21" x14ac:dyDescent="0.25">
      <c r="T3288" s="98"/>
      <c r="U3288" s="99"/>
    </row>
    <row r="3289" spans="20:21" x14ac:dyDescent="0.25">
      <c r="T3289" s="98"/>
      <c r="U3289" s="99"/>
    </row>
    <row r="3290" spans="20:21" x14ac:dyDescent="0.25">
      <c r="T3290" s="98"/>
      <c r="U3290" s="99"/>
    </row>
    <row r="3291" spans="20:21" x14ac:dyDescent="0.25">
      <c r="T3291" s="98"/>
      <c r="U3291" s="99"/>
    </row>
    <row r="3292" spans="20:21" x14ac:dyDescent="0.25">
      <c r="T3292" s="98"/>
      <c r="U3292" s="99"/>
    </row>
    <row r="3293" spans="20:21" x14ac:dyDescent="0.25">
      <c r="T3293" s="98"/>
      <c r="U3293" s="99"/>
    </row>
    <row r="3294" spans="20:21" x14ac:dyDescent="0.25">
      <c r="T3294" s="98"/>
      <c r="U3294" s="99"/>
    </row>
    <row r="3295" spans="20:21" x14ac:dyDescent="0.25">
      <c r="T3295" s="98"/>
      <c r="U3295" s="99"/>
    </row>
    <row r="3296" spans="20:21" x14ac:dyDescent="0.25">
      <c r="T3296" s="98"/>
      <c r="U3296" s="99"/>
    </row>
    <row r="3297" spans="20:21" x14ac:dyDescent="0.25">
      <c r="T3297" s="98"/>
      <c r="U3297" s="99"/>
    </row>
    <row r="3298" spans="20:21" x14ac:dyDescent="0.25">
      <c r="T3298" s="98"/>
      <c r="U3298" s="99"/>
    </row>
    <row r="3299" spans="20:21" x14ac:dyDescent="0.25">
      <c r="T3299" s="98"/>
      <c r="U3299" s="99"/>
    </row>
    <row r="3300" spans="20:21" x14ac:dyDescent="0.25">
      <c r="T3300" s="98"/>
      <c r="U3300" s="99"/>
    </row>
    <row r="3301" spans="20:21" x14ac:dyDescent="0.25">
      <c r="T3301" s="98"/>
      <c r="U3301" s="99"/>
    </row>
    <row r="3302" spans="20:21" x14ac:dyDescent="0.25">
      <c r="T3302" s="98"/>
      <c r="U3302" s="99"/>
    </row>
    <row r="3303" spans="20:21" x14ac:dyDescent="0.25">
      <c r="T3303" s="98"/>
      <c r="U3303" s="99"/>
    </row>
    <row r="3304" spans="20:21" x14ac:dyDescent="0.25">
      <c r="T3304" s="98"/>
      <c r="U3304" s="99"/>
    </row>
    <row r="3305" spans="20:21" x14ac:dyDescent="0.25">
      <c r="T3305" s="98"/>
      <c r="U3305" s="99"/>
    </row>
    <row r="3306" spans="20:21" x14ac:dyDescent="0.25">
      <c r="T3306" s="98"/>
      <c r="U3306" s="99"/>
    </row>
    <row r="3307" spans="20:21" x14ac:dyDescent="0.25">
      <c r="T3307" s="98"/>
      <c r="U3307" s="99"/>
    </row>
    <row r="3308" spans="20:21" x14ac:dyDescent="0.25">
      <c r="T3308" s="98"/>
      <c r="U3308" s="99"/>
    </row>
    <row r="3309" spans="20:21" x14ac:dyDescent="0.25">
      <c r="T3309" s="98"/>
      <c r="U3309" s="99"/>
    </row>
    <row r="3310" spans="20:21" x14ac:dyDescent="0.25">
      <c r="T3310" s="98"/>
      <c r="U3310" s="99"/>
    </row>
    <row r="3311" spans="20:21" x14ac:dyDescent="0.25">
      <c r="T3311" s="98"/>
      <c r="U3311" s="99"/>
    </row>
    <row r="3312" spans="20:21" x14ac:dyDescent="0.25">
      <c r="T3312" s="98"/>
      <c r="U3312" s="99"/>
    </row>
    <row r="3313" spans="20:21" x14ac:dyDescent="0.25">
      <c r="T3313" s="98"/>
      <c r="U3313" s="99"/>
    </row>
    <row r="3314" spans="20:21" x14ac:dyDescent="0.25">
      <c r="T3314" s="98"/>
      <c r="U3314" s="99"/>
    </row>
    <row r="3315" spans="20:21" x14ac:dyDescent="0.25">
      <c r="T3315" s="98"/>
      <c r="U3315" s="99"/>
    </row>
    <row r="3316" spans="20:21" x14ac:dyDescent="0.25">
      <c r="T3316" s="98"/>
      <c r="U3316" s="99"/>
    </row>
    <row r="3317" spans="20:21" x14ac:dyDescent="0.25">
      <c r="T3317" s="98"/>
      <c r="U3317" s="99"/>
    </row>
    <row r="3318" spans="20:21" x14ac:dyDescent="0.25">
      <c r="T3318" s="98"/>
      <c r="U3318" s="99"/>
    </row>
    <row r="3319" spans="20:21" x14ac:dyDescent="0.25">
      <c r="T3319" s="98"/>
      <c r="U3319" s="99"/>
    </row>
    <row r="3320" spans="20:21" x14ac:dyDescent="0.25">
      <c r="T3320" s="98"/>
      <c r="U3320" s="99"/>
    </row>
    <row r="3321" spans="20:21" x14ac:dyDescent="0.25">
      <c r="T3321" s="98"/>
      <c r="U3321" s="99"/>
    </row>
    <row r="3322" spans="20:21" x14ac:dyDescent="0.25">
      <c r="T3322" s="98"/>
      <c r="U3322" s="99"/>
    </row>
    <row r="3323" spans="20:21" x14ac:dyDescent="0.25">
      <c r="T3323" s="98"/>
      <c r="U3323" s="99"/>
    </row>
    <row r="3324" spans="20:21" x14ac:dyDescent="0.25">
      <c r="T3324" s="98"/>
      <c r="U3324" s="99"/>
    </row>
    <row r="3325" spans="20:21" x14ac:dyDescent="0.25">
      <c r="T3325" s="98"/>
      <c r="U3325" s="99"/>
    </row>
    <row r="3326" spans="20:21" x14ac:dyDescent="0.25">
      <c r="T3326" s="98"/>
      <c r="U3326" s="99"/>
    </row>
    <row r="3327" spans="20:21" x14ac:dyDescent="0.25">
      <c r="T3327" s="98"/>
      <c r="U3327" s="99"/>
    </row>
    <row r="3328" spans="20:21" x14ac:dyDescent="0.25">
      <c r="T3328" s="98"/>
      <c r="U3328" s="99"/>
    </row>
    <row r="3329" spans="20:21" x14ac:dyDescent="0.25">
      <c r="T3329" s="98"/>
      <c r="U3329" s="99"/>
    </row>
    <row r="3330" spans="20:21" x14ac:dyDescent="0.25">
      <c r="T3330" s="98"/>
      <c r="U3330" s="99"/>
    </row>
    <row r="3331" spans="20:21" x14ac:dyDescent="0.25">
      <c r="T3331" s="98"/>
      <c r="U3331" s="99"/>
    </row>
    <row r="3332" spans="20:21" x14ac:dyDescent="0.25">
      <c r="T3332" s="98"/>
      <c r="U3332" s="99"/>
    </row>
    <row r="3333" spans="20:21" x14ac:dyDescent="0.25">
      <c r="T3333" s="98"/>
      <c r="U3333" s="99"/>
    </row>
    <row r="3334" spans="20:21" x14ac:dyDescent="0.25">
      <c r="T3334" s="98"/>
      <c r="U3334" s="99"/>
    </row>
    <row r="3335" spans="20:21" x14ac:dyDescent="0.25">
      <c r="T3335" s="98"/>
      <c r="U3335" s="99"/>
    </row>
    <row r="3336" spans="20:21" x14ac:dyDescent="0.25">
      <c r="T3336" s="98"/>
      <c r="U3336" s="99"/>
    </row>
    <row r="3337" spans="20:21" x14ac:dyDescent="0.25">
      <c r="T3337" s="98"/>
      <c r="U3337" s="99"/>
    </row>
    <row r="3338" spans="20:21" x14ac:dyDescent="0.25">
      <c r="T3338" s="98"/>
      <c r="U3338" s="99"/>
    </row>
    <row r="3339" spans="20:21" x14ac:dyDescent="0.25">
      <c r="T3339" s="98"/>
      <c r="U3339" s="99"/>
    </row>
    <row r="3340" spans="20:21" x14ac:dyDescent="0.25">
      <c r="T3340" s="98"/>
      <c r="U3340" s="99"/>
    </row>
    <row r="3341" spans="20:21" x14ac:dyDescent="0.25">
      <c r="T3341" s="98"/>
      <c r="U3341" s="99"/>
    </row>
    <row r="3342" spans="20:21" x14ac:dyDescent="0.25">
      <c r="T3342" s="98"/>
      <c r="U3342" s="99"/>
    </row>
    <row r="3343" spans="20:21" x14ac:dyDescent="0.25">
      <c r="T3343" s="98"/>
      <c r="U3343" s="99"/>
    </row>
    <row r="3344" spans="20:21" x14ac:dyDescent="0.25">
      <c r="T3344" s="98"/>
      <c r="U3344" s="99"/>
    </row>
    <row r="3345" spans="20:21" x14ac:dyDescent="0.25">
      <c r="T3345" s="98"/>
      <c r="U3345" s="99"/>
    </row>
    <row r="3346" spans="20:21" x14ac:dyDescent="0.25">
      <c r="T3346" s="98"/>
      <c r="U3346" s="99"/>
    </row>
    <row r="3347" spans="20:21" x14ac:dyDescent="0.25">
      <c r="T3347" s="98"/>
      <c r="U3347" s="99"/>
    </row>
    <row r="3348" spans="20:21" x14ac:dyDescent="0.25">
      <c r="T3348" s="98"/>
      <c r="U3348" s="99"/>
    </row>
    <row r="3349" spans="20:21" x14ac:dyDescent="0.25">
      <c r="T3349" s="98"/>
      <c r="U3349" s="99"/>
    </row>
    <row r="3350" spans="20:21" x14ac:dyDescent="0.25">
      <c r="T3350" s="98"/>
      <c r="U3350" s="99"/>
    </row>
    <row r="3351" spans="20:21" x14ac:dyDescent="0.25">
      <c r="T3351" s="98"/>
      <c r="U3351" s="99"/>
    </row>
    <row r="3352" spans="20:21" x14ac:dyDescent="0.25">
      <c r="T3352" s="98"/>
      <c r="U3352" s="99"/>
    </row>
    <row r="3353" spans="20:21" x14ac:dyDescent="0.25">
      <c r="T3353" s="98"/>
      <c r="U3353" s="99"/>
    </row>
    <row r="3354" spans="20:21" x14ac:dyDescent="0.25">
      <c r="T3354" s="98"/>
      <c r="U3354" s="99"/>
    </row>
    <row r="3355" spans="20:21" x14ac:dyDescent="0.25">
      <c r="T3355" s="98"/>
      <c r="U3355" s="99"/>
    </row>
    <row r="3356" spans="20:21" x14ac:dyDescent="0.25">
      <c r="T3356" s="98"/>
      <c r="U3356" s="99"/>
    </row>
    <row r="3357" spans="20:21" x14ac:dyDescent="0.25">
      <c r="T3357" s="98"/>
      <c r="U3357" s="99"/>
    </row>
    <row r="3358" spans="20:21" x14ac:dyDescent="0.25">
      <c r="T3358" s="98"/>
      <c r="U3358" s="99"/>
    </row>
    <row r="3359" spans="20:21" x14ac:dyDescent="0.25">
      <c r="T3359" s="98"/>
      <c r="U3359" s="99"/>
    </row>
    <row r="3360" spans="20:21" x14ac:dyDescent="0.25">
      <c r="T3360" s="98"/>
      <c r="U3360" s="99"/>
    </row>
    <row r="3361" spans="20:21" x14ac:dyDescent="0.25">
      <c r="T3361" s="98"/>
      <c r="U3361" s="99"/>
    </row>
    <row r="3362" spans="20:21" x14ac:dyDescent="0.25">
      <c r="T3362" s="98"/>
      <c r="U3362" s="99"/>
    </row>
    <row r="3363" spans="20:21" x14ac:dyDescent="0.25">
      <c r="T3363" s="98"/>
      <c r="U3363" s="99"/>
    </row>
    <row r="3364" spans="20:21" x14ac:dyDescent="0.25">
      <c r="T3364" s="98"/>
      <c r="U3364" s="99"/>
    </row>
    <row r="3365" spans="20:21" x14ac:dyDescent="0.25">
      <c r="T3365" s="98"/>
      <c r="U3365" s="99"/>
    </row>
    <row r="3366" spans="20:21" x14ac:dyDescent="0.25">
      <c r="T3366" s="98"/>
      <c r="U3366" s="99"/>
    </row>
    <row r="3367" spans="20:21" x14ac:dyDescent="0.25">
      <c r="T3367" s="98"/>
      <c r="U3367" s="99"/>
    </row>
    <row r="3368" spans="20:21" x14ac:dyDescent="0.25">
      <c r="T3368" s="98"/>
      <c r="U3368" s="99"/>
    </row>
    <row r="3369" spans="20:21" x14ac:dyDescent="0.25">
      <c r="T3369" s="98"/>
      <c r="U3369" s="99"/>
    </row>
    <row r="3370" spans="20:21" x14ac:dyDescent="0.25">
      <c r="T3370" s="98"/>
      <c r="U3370" s="99"/>
    </row>
    <row r="3371" spans="20:21" x14ac:dyDescent="0.25">
      <c r="T3371" s="98"/>
      <c r="U3371" s="99"/>
    </row>
    <row r="3372" spans="20:21" x14ac:dyDescent="0.25">
      <c r="T3372" s="98"/>
      <c r="U3372" s="99"/>
    </row>
    <row r="3373" spans="20:21" x14ac:dyDescent="0.25">
      <c r="T3373" s="98"/>
      <c r="U3373" s="99"/>
    </row>
    <row r="3374" spans="20:21" x14ac:dyDescent="0.25">
      <c r="T3374" s="98"/>
      <c r="U3374" s="99"/>
    </row>
    <row r="3375" spans="20:21" x14ac:dyDescent="0.25">
      <c r="T3375" s="98"/>
      <c r="U3375" s="99"/>
    </row>
    <row r="3376" spans="20:21" x14ac:dyDescent="0.25">
      <c r="T3376" s="98"/>
      <c r="U3376" s="99"/>
    </row>
    <row r="3377" spans="20:21" x14ac:dyDescent="0.25">
      <c r="T3377" s="98"/>
      <c r="U3377" s="99"/>
    </row>
    <row r="3378" spans="20:21" x14ac:dyDescent="0.25">
      <c r="T3378" s="98"/>
      <c r="U3378" s="99"/>
    </row>
    <row r="3379" spans="20:21" x14ac:dyDescent="0.25">
      <c r="T3379" s="98"/>
      <c r="U3379" s="99"/>
    </row>
    <row r="3380" spans="20:21" x14ac:dyDescent="0.25">
      <c r="T3380" s="98"/>
      <c r="U3380" s="99"/>
    </row>
    <row r="3381" spans="20:21" x14ac:dyDescent="0.25">
      <c r="T3381" s="98"/>
      <c r="U3381" s="99"/>
    </row>
    <row r="3382" spans="20:21" x14ac:dyDescent="0.25">
      <c r="T3382" s="98"/>
      <c r="U3382" s="99"/>
    </row>
    <row r="3383" spans="20:21" x14ac:dyDescent="0.25">
      <c r="T3383" s="98"/>
      <c r="U3383" s="99"/>
    </row>
    <row r="3384" spans="20:21" x14ac:dyDescent="0.25">
      <c r="T3384" s="98"/>
      <c r="U3384" s="99"/>
    </row>
    <row r="3385" spans="20:21" x14ac:dyDescent="0.25">
      <c r="T3385" s="98"/>
      <c r="U3385" s="99"/>
    </row>
    <row r="3386" spans="20:21" x14ac:dyDescent="0.25">
      <c r="T3386" s="98"/>
      <c r="U3386" s="99"/>
    </row>
    <row r="3387" spans="20:21" x14ac:dyDescent="0.25">
      <c r="T3387" s="98"/>
      <c r="U3387" s="99"/>
    </row>
    <row r="3388" spans="20:21" x14ac:dyDescent="0.25">
      <c r="T3388" s="98"/>
      <c r="U3388" s="99"/>
    </row>
    <row r="3389" spans="20:21" x14ac:dyDescent="0.25">
      <c r="T3389" s="98"/>
      <c r="U3389" s="99"/>
    </row>
    <row r="3390" spans="20:21" x14ac:dyDescent="0.25">
      <c r="T3390" s="98"/>
      <c r="U3390" s="99"/>
    </row>
    <row r="3391" spans="20:21" x14ac:dyDescent="0.25">
      <c r="T3391" s="98"/>
      <c r="U3391" s="99"/>
    </row>
    <row r="3392" spans="20:21" x14ac:dyDescent="0.25">
      <c r="T3392" s="98"/>
      <c r="U3392" s="99"/>
    </row>
    <row r="3393" spans="20:21" x14ac:dyDescent="0.25">
      <c r="T3393" s="98"/>
      <c r="U3393" s="99"/>
    </row>
    <row r="3394" spans="20:21" x14ac:dyDescent="0.25">
      <c r="T3394" s="98"/>
      <c r="U3394" s="99"/>
    </row>
    <row r="3395" spans="20:21" x14ac:dyDescent="0.25">
      <c r="T3395" s="98"/>
      <c r="U3395" s="99"/>
    </row>
    <row r="3396" spans="20:21" x14ac:dyDescent="0.25">
      <c r="T3396" s="98"/>
      <c r="U3396" s="99"/>
    </row>
    <row r="3397" spans="20:21" x14ac:dyDescent="0.25">
      <c r="T3397" s="98"/>
      <c r="U3397" s="99"/>
    </row>
    <row r="3398" spans="20:21" x14ac:dyDescent="0.25">
      <c r="T3398" s="98"/>
      <c r="U3398" s="99"/>
    </row>
    <row r="3399" spans="20:21" x14ac:dyDescent="0.25">
      <c r="T3399" s="98"/>
      <c r="U3399" s="99"/>
    </row>
    <row r="3400" spans="20:21" x14ac:dyDescent="0.25">
      <c r="T3400" s="98"/>
      <c r="U3400" s="99"/>
    </row>
    <row r="3401" spans="20:21" x14ac:dyDescent="0.25">
      <c r="T3401" s="98"/>
      <c r="U3401" s="99"/>
    </row>
    <row r="3402" spans="20:21" x14ac:dyDescent="0.25">
      <c r="T3402" s="98"/>
      <c r="U3402" s="99"/>
    </row>
    <row r="3403" spans="20:21" x14ac:dyDescent="0.25">
      <c r="T3403" s="98"/>
      <c r="U3403" s="99"/>
    </row>
    <row r="3404" spans="20:21" x14ac:dyDescent="0.25">
      <c r="T3404" s="98"/>
      <c r="U3404" s="99"/>
    </row>
    <row r="3405" spans="20:21" x14ac:dyDescent="0.25">
      <c r="T3405" s="98"/>
      <c r="U3405" s="99"/>
    </row>
    <row r="3406" spans="20:21" x14ac:dyDescent="0.25">
      <c r="T3406" s="98"/>
      <c r="U3406" s="99"/>
    </row>
    <row r="3407" spans="20:21" x14ac:dyDescent="0.25">
      <c r="T3407" s="98"/>
      <c r="U3407" s="99"/>
    </row>
    <row r="3408" spans="20:21" x14ac:dyDescent="0.25">
      <c r="T3408" s="98"/>
      <c r="U3408" s="99"/>
    </row>
    <row r="3409" spans="20:21" x14ac:dyDescent="0.25">
      <c r="T3409" s="98"/>
      <c r="U3409" s="99"/>
    </row>
    <row r="3410" spans="20:21" x14ac:dyDescent="0.25">
      <c r="T3410" s="98"/>
      <c r="U3410" s="99"/>
    </row>
    <row r="3411" spans="20:21" x14ac:dyDescent="0.25">
      <c r="T3411" s="98"/>
      <c r="U3411" s="99"/>
    </row>
    <row r="3412" spans="20:21" x14ac:dyDescent="0.25">
      <c r="T3412" s="98"/>
      <c r="U3412" s="99"/>
    </row>
    <row r="3413" spans="20:21" x14ac:dyDescent="0.25">
      <c r="T3413" s="98"/>
      <c r="U3413" s="99"/>
    </row>
    <row r="3414" spans="20:21" x14ac:dyDescent="0.25">
      <c r="T3414" s="98"/>
      <c r="U3414" s="99"/>
    </row>
    <row r="3415" spans="20:21" x14ac:dyDescent="0.25">
      <c r="T3415" s="98"/>
      <c r="U3415" s="99"/>
    </row>
    <row r="3416" spans="20:21" x14ac:dyDescent="0.25">
      <c r="T3416" s="98"/>
      <c r="U3416" s="99"/>
    </row>
    <row r="3417" spans="20:21" x14ac:dyDescent="0.25">
      <c r="T3417" s="98"/>
      <c r="U3417" s="99"/>
    </row>
    <row r="3418" spans="20:21" x14ac:dyDescent="0.25">
      <c r="T3418" s="98"/>
      <c r="U3418" s="99"/>
    </row>
    <row r="3419" spans="20:21" x14ac:dyDescent="0.25">
      <c r="T3419" s="98"/>
      <c r="U3419" s="99"/>
    </row>
    <row r="3420" spans="20:21" x14ac:dyDescent="0.25">
      <c r="T3420" s="98"/>
      <c r="U3420" s="99"/>
    </row>
    <row r="3421" spans="20:21" x14ac:dyDescent="0.25">
      <c r="T3421" s="98"/>
      <c r="U3421" s="99"/>
    </row>
    <row r="3422" spans="20:21" x14ac:dyDescent="0.25">
      <c r="T3422" s="98"/>
      <c r="U3422" s="99"/>
    </row>
    <row r="3423" spans="20:21" x14ac:dyDescent="0.25">
      <c r="T3423" s="98"/>
      <c r="U3423" s="99"/>
    </row>
    <row r="3424" spans="20:21" x14ac:dyDescent="0.25">
      <c r="T3424" s="98"/>
      <c r="U3424" s="99"/>
    </row>
    <row r="3425" spans="20:21" x14ac:dyDescent="0.25">
      <c r="T3425" s="98"/>
      <c r="U3425" s="99"/>
    </row>
    <row r="3426" spans="20:21" x14ac:dyDescent="0.25">
      <c r="T3426" s="98"/>
      <c r="U3426" s="99"/>
    </row>
    <row r="3427" spans="20:21" x14ac:dyDescent="0.25">
      <c r="T3427" s="98"/>
      <c r="U3427" s="99"/>
    </row>
    <row r="3428" spans="20:21" x14ac:dyDescent="0.25">
      <c r="T3428" s="98"/>
      <c r="U3428" s="99"/>
    </row>
    <row r="3429" spans="20:21" x14ac:dyDescent="0.25">
      <c r="T3429" s="98"/>
      <c r="U3429" s="99"/>
    </row>
    <row r="3430" spans="20:21" x14ac:dyDescent="0.25">
      <c r="T3430" s="98"/>
      <c r="U3430" s="99"/>
    </row>
    <row r="3431" spans="20:21" x14ac:dyDescent="0.25">
      <c r="T3431" s="98"/>
      <c r="U3431" s="99"/>
    </row>
    <row r="3432" spans="20:21" x14ac:dyDescent="0.25">
      <c r="T3432" s="98"/>
      <c r="U3432" s="99"/>
    </row>
    <row r="3433" spans="20:21" x14ac:dyDescent="0.25">
      <c r="T3433" s="98"/>
      <c r="U3433" s="99"/>
    </row>
    <row r="3434" spans="20:21" x14ac:dyDescent="0.25">
      <c r="T3434" s="98"/>
      <c r="U3434" s="99"/>
    </row>
    <row r="3435" spans="20:21" x14ac:dyDescent="0.25">
      <c r="T3435" s="98"/>
      <c r="U3435" s="99"/>
    </row>
    <row r="3436" spans="20:21" x14ac:dyDescent="0.25">
      <c r="T3436" s="98"/>
      <c r="U3436" s="99"/>
    </row>
    <row r="3437" spans="20:21" x14ac:dyDescent="0.25">
      <c r="T3437" s="98"/>
      <c r="U3437" s="99"/>
    </row>
    <row r="3438" spans="20:21" x14ac:dyDescent="0.25">
      <c r="T3438" s="98"/>
      <c r="U3438" s="99"/>
    </row>
    <row r="3439" spans="20:21" x14ac:dyDescent="0.25">
      <c r="T3439" s="98"/>
      <c r="U3439" s="99"/>
    </row>
    <row r="3440" spans="20:21" x14ac:dyDescent="0.25">
      <c r="T3440" s="98"/>
      <c r="U3440" s="99"/>
    </row>
    <row r="3441" spans="20:21" x14ac:dyDescent="0.25">
      <c r="T3441" s="98"/>
      <c r="U3441" s="99"/>
    </row>
    <row r="3442" spans="20:21" x14ac:dyDescent="0.25">
      <c r="T3442" s="98"/>
      <c r="U3442" s="99"/>
    </row>
    <row r="3443" spans="20:21" x14ac:dyDescent="0.25">
      <c r="T3443" s="98"/>
      <c r="U3443" s="99"/>
    </row>
    <row r="3444" spans="20:21" x14ac:dyDescent="0.25">
      <c r="T3444" s="98"/>
      <c r="U3444" s="99"/>
    </row>
    <row r="3445" spans="20:21" x14ac:dyDescent="0.25">
      <c r="T3445" s="98"/>
      <c r="U3445" s="99"/>
    </row>
    <row r="3446" spans="20:21" x14ac:dyDescent="0.25">
      <c r="T3446" s="98"/>
      <c r="U3446" s="99"/>
    </row>
    <row r="3447" spans="20:21" x14ac:dyDescent="0.25">
      <c r="T3447" s="98"/>
      <c r="U3447" s="99"/>
    </row>
    <row r="3448" spans="20:21" x14ac:dyDescent="0.25">
      <c r="T3448" s="98"/>
      <c r="U3448" s="99"/>
    </row>
    <row r="3449" spans="20:21" x14ac:dyDescent="0.25">
      <c r="T3449" s="98"/>
      <c r="U3449" s="99"/>
    </row>
    <row r="3450" spans="20:21" x14ac:dyDescent="0.25">
      <c r="T3450" s="98"/>
      <c r="U3450" s="99"/>
    </row>
    <row r="3451" spans="20:21" x14ac:dyDescent="0.25">
      <c r="T3451" s="98"/>
      <c r="U3451" s="99"/>
    </row>
    <row r="3452" spans="20:21" x14ac:dyDescent="0.25">
      <c r="T3452" s="98"/>
      <c r="U3452" s="99"/>
    </row>
    <row r="3453" spans="20:21" x14ac:dyDescent="0.25">
      <c r="T3453" s="98"/>
      <c r="U3453" s="99"/>
    </row>
    <row r="3454" spans="20:21" x14ac:dyDescent="0.25">
      <c r="T3454" s="98"/>
      <c r="U3454" s="99"/>
    </row>
    <row r="3455" spans="20:21" x14ac:dyDescent="0.25">
      <c r="T3455" s="98"/>
      <c r="U3455" s="99"/>
    </row>
    <row r="3456" spans="20:21" x14ac:dyDescent="0.25">
      <c r="T3456" s="98"/>
      <c r="U3456" s="99"/>
    </row>
    <row r="3457" spans="20:21" x14ac:dyDescent="0.25">
      <c r="T3457" s="98"/>
      <c r="U3457" s="99"/>
    </row>
    <row r="3458" spans="20:21" x14ac:dyDescent="0.25">
      <c r="T3458" s="98"/>
      <c r="U3458" s="99"/>
    </row>
    <row r="3459" spans="20:21" x14ac:dyDescent="0.25">
      <c r="T3459" s="98"/>
      <c r="U3459" s="99"/>
    </row>
    <row r="3460" spans="20:21" x14ac:dyDescent="0.25">
      <c r="T3460" s="98"/>
      <c r="U3460" s="99"/>
    </row>
    <row r="3461" spans="20:21" x14ac:dyDescent="0.25">
      <c r="T3461" s="98"/>
      <c r="U3461" s="99"/>
    </row>
    <row r="3462" spans="20:21" x14ac:dyDescent="0.25">
      <c r="T3462" s="98"/>
      <c r="U3462" s="99"/>
    </row>
    <row r="3463" spans="20:21" x14ac:dyDescent="0.25">
      <c r="T3463" s="98"/>
      <c r="U3463" s="99"/>
    </row>
    <row r="3464" spans="20:21" x14ac:dyDescent="0.25">
      <c r="T3464" s="98"/>
      <c r="U3464" s="99"/>
    </row>
    <row r="3465" spans="20:21" x14ac:dyDescent="0.25">
      <c r="T3465" s="98"/>
      <c r="U3465" s="99"/>
    </row>
    <row r="3466" spans="20:21" x14ac:dyDescent="0.25">
      <c r="T3466" s="98"/>
      <c r="U3466" s="99"/>
    </row>
    <row r="3467" spans="20:21" x14ac:dyDescent="0.25">
      <c r="T3467" s="98"/>
      <c r="U3467" s="99"/>
    </row>
    <row r="3468" spans="20:21" x14ac:dyDescent="0.25">
      <c r="T3468" s="98"/>
      <c r="U3468" s="99"/>
    </row>
    <row r="3469" spans="20:21" x14ac:dyDescent="0.25">
      <c r="T3469" s="98"/>
      <c r="U3469" s="99"/>
    </row>
    <row r="3470" spans="20:21" x14ac:dyDescent="0.25">
      <c r="T3470" s="98"/>
      <c r="U3470" s="99"/>
    </row>
    <row r="3471" spans="20:21" x14ac:dyDescent="0.25">
      <c r="T3471" s="98"/>
      <c r="U3471" s="99"/>
    </row>
    <row r="3472" spans="20:21" x14ac:dyDescent="0.25">
      <c r="T3472" s="98"/>
      <c r="U3472" s="99"/>
    </row>
    <row r="3473" spans="20:21" x14ac:dyDescent="0.25">
      <c r="T3473" s="98"/>
      <c r="U3473" s="99"/>
    </row>
    <row r="3474" spans="20:21" x14ac:dyDescent="0.25">
      <c r="T3474" s="98"/>
      <c r="U3474" s="99"/>
    </row>
    <row r="3475" spans="20:21" x14ac:dyDescent="0.25">
      <c r="T3475" s="98"/>
      <c r="U3475" s="99"/>
    </row>
    <row r="3476" spans="20:21" x14ac:dyDescent="0.25">
      <c r="T3476" s="98"/>
      <c r="U3476" s="99"/>
    </row>
    <row r="3477" spans="20:21" x14ac:dyDescent="0.25">
      <c r="T3477" s="98"/>
      <c r="U3477" s="99"/>
    </row>
    <row r="3478" spans="20:21" x14ac:dyDescent="0.25">
      <c r="T3478" s="98"/>
      <c r="U3478" s="99"/>
    </row>
    <row r="3479" spans="20:21" x14ac:dyDescent="0.25">
      <c r="T3479" s="98"/>
      <c r="U3479" s="99"/>
    </row>
    <row r="3480" spans="20:21" x14ac:dyDescent="0.25">
      <c r="T3480" s="98"/>
      <c r="U3480" s="99"/>
    </row>
    <row r="3481" spans="20:21" x14ac:dyDescent="0.25">
      <c r="T3481" s="98"/>
      <c r="U3481" s="99"/>
    </row>
    <row r="3482" spans="20:21" x14ac:dyDescent="0.25">
      <c r="T3482" s="98"/>
      <c r="U3482" s="99"/>
    </row>
    <row r="3483" spans="20:21" x14ac:dyDescent="0.25">
      <c r="T3483" s="98"/>
      <c r="U3483" s="99"/>
    </row>
    <row r="3484" spans="20:21" x14ac:dyDescent="0.25">
      <c r="T3484" s="98"/>
      <c r="U3484" s="99"/>
    </row>
    <row r="3485" spans="20:21" x14ac:dyDescent="0.25">
      <c r="T3485" s="98"/>
      <c r="U3485" s="99"/>
    </row>
    <row r="3486" spans="20:21" x14ac:dyDescent="0.25">
      <c r="T3486" s="98"/>
      <c r="U3486" s="99"/>
    </row>
    <row r="3487" spans="20:21" x14ac:dyDescent="0.25">
      <c r="T3487" s="98"/>
      <c r="U3487" s="99"/>
    </row>
    <row r="3488" spans="20:21" x14ac:dyDescent="0.25">
      <c r="T3488" s="98"/>
      <c r="U3488" s="99"/>
    </row>
    <row r="3489" spans="20:21" x14ac:dyDescent="0.25">
      <c r="T3489" s="98"/>
      <c r="U3489" s="99"/>
    </row>
    <row r="3490" spans="20:21" x14ac:dyDescent="0.25">
      <c r="T3490" s="98"/>
      <c r="U3490" s="99"/>
    </row>
    <row r="3491" spans="20:21" x14ac:dyDescent="0.25">
      <c r="T3491" s="98"/>
      <c r="U3491" s="99"/>
    </row>
    <row r="3492" spans="20:21" x14ac:dyDescent="0.25">
      <c r="T3492" s="98"/>
      <c r="U3492" s="99"/>
    </row>
    <row r="3493" spans="20:21" x14ac:dyDescent="0.25">
      <c r="T3493" s="98"/>
      <c r="U3493" s="99"/>
    </row>
    <row r="3494" spans="20:21" x14ac:dyDescent="0.25">
      <c r="T3494" s="98"/>
      <c r="U3494" s="99"/>
    </row>
    <row r="3495" spans="20:21" x14ac:dyDescent="0.25">
      <c r="T3495" s="98"/>
      <c r="U3495" s="99"/>
    </row>
    <row r="3496" spans="20:21" x14ac:dyDescent="0.25">
      <c r="T3496" s="98"/>
      <c r="U3496" s="99"/>
    </row>
    <row r="3497" spans="20:21" x14ac:dyDescent="0.25">
      <c r="T3497" s="98"/>
      <c r="U3497" s="99"/>
    </row>
    <row r="3498" spans="20:21" x14ac:dyDescent="0.25">
      <c r="T3498" s="98"/>
      <c r="U3498" s="99"/>
    </row>
    <row r="3499" spans="20:21" x14ac:dyDescent="0.25">
      <c r="T3499" s="98"/>
      <c r="U3499" s="99"/>
    </row>
    <row r="3500" spans="20:21" x14ac:dyDescent="0.25">
      <c r="T3500" s="98"/>
      <c r="U3500" s="99"/>
    </row>
    <row r="3501" spans="20:21" x14ac:dyDescent="0.25">
      <c r="T3501" s="98"/>
      <c r="U3501" s="99"/>
    </row>
    <row r="3502" spans="20:21" x14ac:dyDescent="0.25">
      <c r="T3502" s="98"/>
      <c r="U3502" s="99"/>
    </row>
    <row r="3503" spans="20:21" x14ac:dyDescent="0.25">
      <c r="T3503" s="98"/>
      <c r="U3503" s="99"/>
    </row>
    <row r="3504" spans="20:21" x14ac:dyDescent="0.25">
      <c r="T3504" s="98"/>
      <c r="U3504" s="99"/>
    </row>
    <row r="3505" spans="20:21" x14ac:dyDescent="0.25">
      <c r="T3505" s="98"/>
      <c r="U3505" s="99"/>
    </row>
    <row r="3506" spans="20:21" x14ac:dyDescent="0.25">
      <c r="T3506" s="98"/>
      <c r="U3506" s="99"/>
    </row>
    <row r="3507" spans="20:21" x14ac:dyDescent="0.25">
      <c r="T3507" s="98"/>
      <c r="U3507" s="99"/>
    </row>
    <row r="3508" spans="20:21" x14ac:dyDescent="0.25">
      <c r="T3508" s="98"/>
      <c r="U3508" s="99"/>
    </row>
    <row r="3509" spans="20:21" x14ac:dyDescent="0.25">
      <c r="T3509" s="98"/>
      <c r="U3509" s="99"/>
    </row>
    <row r="3510" spans="20:21" x14ac:dyDescent="0.25">
      <c r="T3510" s="98"/>
      <c r="U3510" s="99"/>
    </row>
    <row r="3511" spans="20:21" x14ac:dyDescent="0.25">
      <c r="T3511" s="98"/>
      <c r="U3511" s="99"/>
    </row>
    <row r="3512" spans="20:21" x14ac:dyDescent="0.25">
      <c r="T3512" s="98"/>
      <c r="U3512" s="99"/>
    </row>
    <row r="3513" spans="20:21" x14ac:dyDescent="0.25">
      <c r="T3513" s="98"/>
      <c r="U3513" s="99"/>
    </row>
    <row r="3514" spans="20:21" x14ac:dyDescent="0.25">
      <c r="T3514" s="98"/>
      <c r="U3514" s="99"/>
    </row>
    <row r="3515" spans="20:21" x14ac:dyDescent="0.25">
      <c r="T3515" s="98"/>
      <c r="U3515" s="99"/>
    </row>
    <row r="3516" spans="20:21" x14ac:dyDescent="0.25">
      <c r="T3516" s="98"/>
      <c r="U3516" s="99"/>
    </row>
    <row r="3517" spans="20:21" x14ac:dyDescent="0.25">
      <c r="T3517" s="98"/>
      <c r="U3517" s="99"/>
    </row>
    <row r="3518" spans="20:21" x14ac:dyDescent="0.25">
      <c r="T3518" s="98"/>
      <c r="U3518" s="99"/>
    </row>
    <row r="3519" spans="20:21" x14ac:dyDescent="0.25">
      <c r="T3519" s="98"/>
      <c r="U3519" s="99"/>
    </row>
    <row r="3520" spans="20:21" x14ac:dyDescent="0.25">
      <c r="T3520" s="98"/>
      <c r="U3520" s="99"/>
    </row>
    <row r="3521" spans="20:21" x14ac:dyDescent="0.25">
      <c r="T3521" s="98"/>
      <c r="U3521" s="99"/>
    </row>
    <row r="3522" spans="20:21" x14ac:dyDescent="0.25">
      <c r="T3522" s="98"/>
      <c r="U3522" s="99"/>
    </row>
    <row r="3523" spans="20:21" x14ac:dyDescent="0.25">
      <c r="T3523" s="98"/>
      <c r="U3523" s="99"/>
    </row>
    <row r="3524" spans="20:21" x14ac:dyDescent="0.25">
      <c r="T3524" s="98"/>
      <c r="U3524" s="99"/>
    </row>
    <row r="3525" spans="20:21" x14ac:dyDescent="0.25">
      <c r="T3525" s="98"/>
      <c r="U3525" s="99"/>
    </row>
    <row r="3526" spans="20:21" x14ac:dyDescent="0.25">
      <c r="T3526" s="98"/>
      <c r="U3526" s="99"/>
    </row>
    <row r="3527" spans="20:21" x14ac:dyDescent="0.25">
      <c r="T3527" s="98"/>
      <c r="U3527" s="99"/>
    </row>
    <row r="3528" spans="20:21" x14ac:dyDescent="0.25">
      <c r="T3528" s="98"/>
      <c r="U3528" s="99"/>
    </row>
    <row r="3529" spans="20:21" x14ac:dyDescent="0.25">
      <c r="T3529" s="98"/>
      <c r="U3529" s="99"/>
    </row>
    <row r="3530" spans="20:21" x14ac:dyDescent="0.25">
      <c r="T3530" s="98"/>
      <c r="U3530" s="99"/>
    </row>
    <row r="3531" spans="20:21" x14ac:dyDescent="0.25">
      <c r="T3531" s="98"/>
      <c r="U3531" s="99"/>
    </row>
    <row r="3532" spans="20:21" x14ac:dyDescent="0.25">
      <c r="T3532" s="98"/>
      <c r="U3532" s="99"/>
    </row>
    <row r="3533" spans="20:21" x14ac:dyDescent="0.25">
      <c r="T3533" s="98"/>
      <c r="U3533" s="99"/>
    </row>
    <row r="3534" spans="20:21" x14ac:dyDescent="0.25">
      <c r="T3534" s="98"/>
      <c r="U3534" s="99"/>
    </row>
    <row r="3535" spans="20:21" x14ac:dyDescent="0.25">
      <c r="T3535" s="98"/>
      <c r="U3535" s="99"/>
    </row>
    <row r="3536" spans="20:21" x14ac:dyDescent="0.25">
      <c r="T3536" s="98"/>
      <c r="U3536" s="99"/>
    </row>
    <row r="3537" spans="20:21" x14ac:dyDescent="0.25">
      <c r="T3537" s="98"/>
      <c r="U3537" s="99"/>
    </row>
    <row r="3538" spans="20:21" x14ac:dyDescent="0.25">
      <c r="T3538" s="98"/>
      <c r="U3538" s="99"/>
    </row>
    <row r="3539" spans="20:21" x14ac:dyDescent="0.25">
      <c r="T3539" s="98"/>
      <c r="U3539" s="99"/>
    </row>
    <row r="3540" spans="20:21" x14ac:dyDescent="0.25">
      <c r="T3540" s="98"/>
      <c r="U3540" s="99"/>
    </row>
    <row r="3541" spans="20:21" x14ac:dyDescent="0.25">
      <c r="T3541" s="98"/>
      <c r="U3541" s="99"/>
    </row>
    <row r="3542" spans="20:21" x14ac:dyDescent="0.25">
      <c r="T3542" s="98"/>
      <c r="U3542" s="99"/>
    </row>
    <row r="3543" spans="20:21" x14ac:dyDescent="0.25">
      <c r="T3543" s="98"/>
      <c r="U3543" s="99"/>
    </row>
    <row r="3544" spans="20:21" x14ac:dyDescent="0.25">
      <c r="T3544" s="98"/>
      <c r="U3544" s="99"/>
    </row>
    <row r="3545" spans="20:21" x14ac:dyDescent="0.25">
      <c r="T3545" s="98"/>
      <c r="U3545" s="99"/>
    </row>
    <row r="3546" spans="20:21" x14ac:dyDescent="0.25">
      <c r="T3546" s="98"/>
      <c r="U3546" s="99"/>
    </row>
    <row r="3547" spans="20:21" x14ac:dyDescent="0.25">
      <c r="T3547" s="98"/>
      <c r="U3547" s="99"/>
    </row>
    <row r="3548" spans="20:21" x14ac:dyDescent="0.25">
      <c r="T3548" s="98"/>
      <c r="U3548" s="99"/>
    </row>
    <row r="3549" spans="20:21" x14ac:dyDescent="0.25">
      <c r="T3549" s="98"/>
      <c r="U3549" s="99"/>
    </row>
    <row r="3550" spans="20:21" x14ac:dyDescent="0.25">
      <c r="T3550" s="98"/>
      <c r="U3550" s="99"/>
    </row>
    <row r="3551" spans="20:21" x14ac:dyDescent="0.25">
      <c r="T3551" s="98"/>
      <c r="U3551" s="99"/>
    </row>
    <row r="3552" spans="20:21" x14ac:dyDescent="0.25">
      <c r="T3552" s="98"/>
      <c r="U3552" s="99"/>
    </row>
    <row r="3553" spans="20:21" x14ac:dyDescent="0.25">
      <c r="T3553" s="98"/>
      <c r="U3553" s="99"/>
    </row>
    <row r="3554" spans="20:21" x14ac:dyDescent="0.25">
      <c r="T3554" s="98"/>
      <c r="U3554" s="99"/>
    </row>
    <row r="3555" spans="20:21" x14ac:dyDescent="0.25">
      <c r="T3555" s="98"/>
      <c r="U3555" s="99"/>
    </row>
    <row r="3556" spans="20:21" x14ac:dyDescent="0.25">
      <c r="T3556" s="98"/>
      <c r="U3556" s="99"/>
    </row>
    <row r="3557" spans="20:21" x14ac:dyDescent="0.25">
      <c r="T3557" s="98"/>
      <c r="U3557" s="99"/>
    </row>
    <row r="3558" spans="20:21" x14ac:dyDescent="0.25">
      <c r="T3558" s="98"/>
      <c r="U3558" s="99"/>
    </row>
    <row r="3559" spans="20:21" x14ac:dyDescent="0.25">
      <c r="T3559" s="98"/>
      <c r="U3559" s="99"/>
    </row>
    <row r="3560" spans="20:21" x14ac:dyDescent="0.25">
      <c r="T3560" s="98"/>
      <c r="U3560" s="99"/>
    </row>
    <row r="3561" spans="20:21" x14ac:dyDescent="0.25">
      <c r="T3561" s="98"/>
      <c r="U3561" s="99"/>
    </row>
    <row r="3562" spans="20:21" x14ac:dyDescent="0.25">
      <c r="T3562" s="98"/>
      <c r="U3562" s="99"/>
    </row>
    <row r="3563" spans="20:21" x14ac:dyDescent="0.25">
      <c r="T3563" s="98"/>
      <c r="U3563" s="99"/>
    </row>
    <row r="3564" spans="20:21" x14ac:dyDescent="0.25">
      <c r="T3564" s="98"/>
      <c r="U3564" s="99"/>
    </row>
    <row r="3565" spans="20:21" x14ac:dyDescent="0.25">
      <c r="T3565" s="98"/>
      <c r="U3565" s="99"/>
    </row>
    <row r="3566" spans="20:21" x14ac:dyDescent="0.25">
      <c r="T3566" s="98"/>
      <c r="U3566" s="99"/>
    </row>
    <row r="3567" spans="20:21" x14ac:dyDescent="0.25">
      <c r="T3567" s="98"/>
      <c r="U3567" s="99"/>
    </row>
    <row r="3568" spans="20:21" x14ac:dyDescent="0.25">
      <c r="T3568" s="98"/>
      <c r="U3568" s="99"/>
    </row>
    <row r="3569" spans="20:21" x14ac:dyDescent="0.25">
      <c r="T3569" s="98"/>
      <c r="U3569" s="99"/>
    </row>
    <row r="3570" spans="20:21" x14ac:dyDescent="0.25">
      <c r="T3570" s="98"/>
      <c r="U3570" s="99"/>
    </row>
    <row r="3571" spans="20:21" x14ac:dyDescent="0.25">
      <c r="T3571" s="98"/>
      <c r="U3571" s="99"/>
    </row>
    <row r="3572" spans="20:21" x14ac:dyDescent="0.25">
      <c r="T3572" s="98"/>
      <c r="U3572" s="99"/>
    </row>
    <row r="3573" spans="20:21" x14ac:dyDescent="0.25">
      <c r="T3573" s="98"/>
      <c r="U3573" s="99"/>
    </row>
    <row r="3574" spans="20:21" x14ac:dyDescent="0.25">
      <c r="T3574" s="98"/>
      <c r="U3574" s="99"/>
    </row>
    <row r="3575" spans="20:21" x14ac:dyDescent="0.25">
      <c r="T3575" s="98"/>
      <c r="U3575" s="99"/>
    </row>
    <row r="3576" spans="20:21" x14ac:dyDescent="0.25">
      <c r="T3576" s="98"/>
      <c r="U3576" s="99"/>
    </row>
    <row r="3577" spans="20:21" x14ac:dyDescent="0.25">
      <c r="T3577" s="98"/>
      <c r="U3577" s="99"/>
    </row>
    <row r="3578" spans="20:21" x14ac:dyDescent="0.25">
      <c r="T3578" s="98"/>
      <c r="U3578" s="99"/>
    </row>
    <row r="3579" spans="20:21" x14ac:dyDescent="0.25">
      <c r="T3579" s="98"/>
      <c r="U3579" s="99"/>
    </row>
    <row r="3580" spans="20:21" x14ac:dyDescent="0.25">
      <c r="T3580" s="98"/>
      <c r="U3580" s="99"/>
    </row>
    <row r="3581" spans="20:21" x14ac:dyDescent="0.25">
      <c r="T3581" s="98"/>
      <c r="U3581" s="99"/>
    </row>
    <row r="3582" spans="20:21" x14ac:dyDescent="0.25">
      <c r="T3582" s="98"/>
      <c r="U3582" s="99"/>
    </row>
    <row r="3583" spans="20:21" x14ac:dyDescent="0.25">
      <c r="T3583" s="98"/>
      <c r="U3583" s="99"/>
    </row>
    <row r="3584" spans="20:21" x14ac:dyDescent="0.25">
      <c r="T3584" s="98"/>
      <c r="U3584" s="99"/>
    </row>
    <row r="3585" spans="20:21" x14ac:dyDescent="0.25">
      <c r="T3585" s="98"/>
      <c r="U3585" s="99"/>
    </row>
    <row r="3586" spans="20:21" x14ac:dyDescent="0.25">
      <c r="T3586" s="98"/>
      <c r="U3586" s="99"/>
    </row>
    <row r="3587" spans="20:21" x14ac:dyDescent="0.25">
      <c r="T3587" s="98"/>
      <c r="U3587" s="99"/>
    </row>
    <row r="3588" spans="20:21" x14ac:dyDescent="0.25">
      <c r="T3588" s="98"/>
      <c r="U3588" s="99"/>
    </row>
    <row r="3589" spans="20:21" x14ac:dyDescent="0.25">
      <c r="T3589" s="98"/>
      <c r="U3589" s="99"/>
    </row>
    <row r="3590" spans="20:21" x14ac:dyDescent="0.25">
      <c r="T3590" s="98"/>
      <c r="U3590" s="99"/>
    </row>
    <row r="3591" spans="20:21" x14ac:dyDescent="0.25">
      <c r="T3591" s="98"/>
      <c r="U3591" s="99"/>
    </row>
    <row r="3592" spans="20:21" x14ac:dyDescent="0.25">
      <c r="T3592" s="98"/>
      <c r="U3592" s="99"/>
    </row>
    <row r="3593" spans="20:21" x14ac:dyDescent="0.25">
      <c r="T3593" s="98"/>
      <c r="U3593" s="99"/>
    </row>
    <row r="3594" spans="20:21" x14ac:dyDescent="0.25">
      <c r="T3594" s="98"/>
      <c r="U3594" s="99"/>
    </row>
    <row r="3595" spans="20:21" x14ac:dyDescent="0.25">
      <c r="T3595" s="98"/>
      <c r="U3595" s="99"/>
    </row>
    <row r="3596" spans="20:21" x14ac:dyDescent="0.25">
      <c r="T3596" s="98"/>
      <c r="U3596" s="99"/>
    </row>
    <row r="3597" spans="20:21" x14ac:dyDescent="0.25">
      <c r="T3597" s="98"/>
      <c r="U3597" s="99"/>
    </row>
    <row r="3598" spans="20:21" x14ac:dyDescent="0.25">
      <c r="T3598" s="98"/>
      <c r="U3598" s="99"/>
    </row>
    <row r="3599" spans="20:21" x14ac:dyDescent="0.25">
      <c r="T3599" s="98"/>
      <c r="U3599" s="99"/>
    </row>
    <row r="3600" spans="20:21" x14ac:dyDescent="0.25">
      <c r="T3600" s="98"/>
      <c r="U3600" s="99"/>
    </row>
    <row r="3601" spans="20:21" x14ac:dyDescent="0.25">
      <c r="T3601" s="98"/>
      <c r="U3601" s="99"/>
    </row>
    <row r="3602" spans="20:21" x14ac:dyDescent="0.25">
      <c r="T3602" s="98"/>
      <c r="U3602" s="99"/>
    </row>
    <row r="3603" spans="20:21" x14ac:dyDescent="0.25">
      <c r="T3603" s="98"/>
      <c r="U3603" s="99"/>
    </row>
    <row r="3604" spans="20:21" x14ac:dyDescent="0.25">
      <c r="T3604" s="98"/>
      <c r="U3604" s="99"/>
    </row>
    <row r="3605" spans="20:21" x14ac:dyDescent="0.25">
      <c r="T3605" s="98"/>
      <c r="U3605" s="99"/>
    </row>
    <row r="3606" spans="20:21" x14ac:dyDescent="0.25">
      <c r="T3606" s="98"/>
      <c r="U3606" s="99"/>
    </row>
    <row r="3607" spans="20:21" x14ac:dyDescent="0.25">
      <c r="T3607" s="98"/>
      <c r="U3607" s="99"/>
    </row>
    <row r="3608" spans="20:21" x14ac:dyDescent="0.25">
      <c r="T3608" s="98"/>
      <c r="U3608" s="99"/>
    </row>
    <row r="3609" spans="20:21" x14ac:dyDescent="0.25">
      <c r="T3609" s="98"/>
      <c r="U3609" s="99"/>
    </row>
    <row r="3610" spans="20:21" x14ac:dyDescent="0.25">
      <c r="T3610" s="98"/>
      <c r="U3610" s="99"/>
    </row>
    <row r="3611" spans="20:21" x14ac:dyDescent="0.25">
      <c r="T3611" s="98"/>
      <c r="U3611" s="99"/>
    </row>
    <row r="3612" spans="20:21" x14ac:dyDescent="0.25">
      <c r="T3612" s="98"/>
      <c r="U3612" s="99"/>
    </row>
    <row r="3613" spans="20:21" x14ac:dyDescent="0.25">
      <c r="T3613" s="98"/>
      <c r="U3613" s="99"/>
    </row>
    <row r="3614" spans="20:21" x14ac:dyDescent="0.25">
      <c r="T3614" s="98"/>
      <c r="U3614" s="99"/>
    </row>
    <row r="3615" spans="20:21" x14ac:dyDescent="0.25">
      <c r="T3615" s="98"/>
      <c r="U3615" s="99"/>
    </row>
    <row r="3616" spans="20:21" x14ac:dyDescent="0.25">
      <c r="T3616" s="98"/>
      <c r="U3616" s="99"/>
    </row>
    <row r="3617" spans="20:21" x14ac:dyDescent="0.25">
      <c r="T3617" s="98"/>
      <c r="U3617" s="99"/>
    </row>
    <row r="3618" spans="20:21" x14ac:dyDescent="0.25">
      <c r="T3618" s="98"/>
      <c r="U3618" s="99"/>
    </row>
    <row r="3619" spans="20:21" x14ac:dyDescent="0.25">
      <c r="T3619" s="98"/>
      <c r="U3619" s="99"/>
    </row>
    <row r="3620" spans="20:21" x14ac:dyDescent="0.25">
      <c r="T3620" s="98"/>
      <c r="U3620" s="99"/>
    </row>
    <row r="3621" spans="20:21" x14ac:dyDescent="0.25">
      <c r="T3621" s="98"/>
      <c r="U3621" s="99"/>
    </row>
    <row r="3622" spans="20:21" x14ac:dyDescent="0.25">
      <c r="T3622" s="98"/>
      <c r="U3622" s="99"/>
    </row>
    <row r="3623" spans="20:21" x14ac:dyDescent="0.25">
      <c r="T3623" s="98"/>
      <c r="U3623" s="99"/>
    </row>
    <row r="3624" spans="20:21" x14ac:dyDescent="0.25">
      <c r="T3624" s="98"/>
      <c r="U3624" s="99"/>
    </row>
    <row r="3625" spans="20:21" x14ac:dyDescent="0.25">
      <c r="T3625" s="98"/>
      <c r="U3625" s="99"/>
    </row>
    <row r="3626" spans="20:21" x14ac:dyDescent="0.25">
      <c r="T3626" s="98"/>
      <c r="U3626" s="99"/>
    </row>
    <row r="3627" spans="20:21" x14ac:dyDescent="0.25">
      <c r="T3627" s="98"/>
      <c r="U3627" s="99"/>
    </row>
    <row r="3628" spans="20:21" x14ac:dyDescent="0.25">
      <c r="T3628" s="98"/>
      <c r="U3628" s="99"/>
    </row>
    <row r="3629" spans="20:21" x14ac:dyDescent="0.25">
      <c r="T3629" s="98"/>
      <c r="U3629" s="99"/>
    </row>
    <row r="3630" spans="20:21" x14ac:dyDescent="0.25">
      <c r="T3630" s="98"/>
      <c r="U3630" s="99"/>
    </row>
    <row r="3631" spans="20:21" x14ac:dyDescent="0.25">
      <c r="T3631" s="98"/>
      <c r="U3631" s="99"/>
    </row>
    <row r="3632" spans="20:21" x14ac:dyDescent="0.25">
      <c r="T3632" s="98"/>
      <c r="U3632" s="99"/>
    </row>
    <row r="3633" spans="20:21" x14ac:dyDescent="0.25">
      <c r="T3633" s="98"/>
      <c r="U3633" s="99"/>
    </row>
    <row r="3634" spans="20:21" x14ac:dyDescent="0.25">
      <c r="T3634" s="98"/>
      <c r="U3634" s="99"/>
    </row>
    <row r="3635" spans="20:21" x14ac:dyDescent="0.25">
      <c r="T3635" s="98"/>
      <c r="U3635" s="99"/>
    </row>
    <row r="3636" spans="20:21" x14ac:dyDescent="0.25">
      <c r="T3636" s="98"/>
      <c r="U3636" s="99"/>
    </row>
    <row r="3637" spans="20:21" x14ac:dyDescent="0.25">
      <c r="T3637" s="98"/>
      <c r="U3637" s="99"/>
    </row>
    <row r="3638" spans="20:21" x14ac:dyDescent="0.25">
      <c r="T3638" s="98"/>
      <c r="U3638" s="99"/>
    </row>
    <row r="3639" spans="20:21" x14ac:dyDescent="0.25">
      <c r="T3639" s="98"/>
      <c r="U3639" s="99"/>
    </row>
    <row r="3640" spans="20:21" x14ac:dyDescent="0.25">
      <c r="T3640" s="98"/>
      <c r="U3640" s="99"/>
    </row>
    <row r="3641" spans="20:21" x14ac:dyDescent="0.25">
      <c r="T3641" s="98"/>
      <c r="U3641" s="99"/>
    </row>
    <row r="3642" spans="20:21" x14ac:dyDescent="0.25">
      <c r="T3642" s="98"/>
      <c r="U3642" s="99"/>
    </row>
    <row r="3643" spans="20:21" x14ac:dyDescent="0.25">
      <c r="T3643" s="98"/>
      <c r="U3643" s="99"/>
    </row>
    <row r="3644" spans="20:21" x14ac:dyDescent="0.25">
      <c r="T3644" s="98"/>
      <c r="U3644" s="99"/>
    </row>
    <row r="3645" spans="20:21" x14ac:dyDescent="0.25">
      <c r="T3645" s="98"/>
      <c r="U3645" s="99"/>
    </row>
    <row r="3646" spans="20:21" x14ac:dyDescent="0.25">
      <c r="T3646" s="98"/>
      <c r="U3646" s="99"/>
    </row>
    <row r="3647" spans="20:21" x14ac:dyDescent="0.25">
      <c r="T3647" s="98"/>
      <c r="U3647" s="99"/>
    </row>
    <row r="3648" spans="20:21" x14ac:dyDescent="0.25">
      <c r="T3648" s="98"/>
      <c r="U3648" s="99"/>
    </row>
    <row r="3649" spans="20:21" x14ac:dyDescent="0.25">
      <c r="T3649" s="98"/>
      <c r="U3649" s="99"/>
    </row>
    <row r="3650" spans="20:21" x14ac:dyDescent="0.25">
      <c r="T3650" s="98"/>
      <c r="U3650" s="99"/>
    </row>
    <row r="3651" spans="20:21" x14ac:dyDescent="0.25">
      <c r="T3651" s="98"/>
      <c r="U3651" s="99"/>
    </row>
    <row r="3652" spans="20:21" x14ac:dyDescent="0.25">
      <c r="T3652" s="98"/>
      <c r="U3652" s="99"/>
    </row>
    <row r="3653" spans="20:21" x14ac:dyDescent="0.25">
      <c r="T3653" s="98"/>
      <c r="U3653" s="99"/>
    </row>
    <row r="3654" spans="20:21" x14ac:dyDescent="0.25">
      <c r="T3654" s="98"/>
      <c r="U3654" s="99"/>
    </row>
    <row r="3655" spans="20:21" x14ac:dyDescent="0.25">
      <c r="T3655" s="98"/>
      <c r="U3655" s="99"/>
    </row>
    <row r="3656" spans="20:21" x14ac:dyDescent="0.25">
      <c r="T3656" s="98"/>
      <c r="U3656" s="99"/>
    </row>
    <row r="3657" spans="20:21" x14ac:dyDescent="0.25">
      <c r="T3657" s="98"/>
      <c r="U3657" s="99"/>
    </row>
    <row r="3658" spans="20:21" x14ac:dyDescent="0.25">
      <c r="T3658" s="98"/>
      <c r="U3658" s="99"/>
    </row>
    <row r="3659" spans="20:21" x14ac:dyDescent="0.25">
      <c r="T3659" s="98"/>
      <c r="U3659" s="99"/>
    </row>
    <row r="3660" spans="20:21" x14ac:dyDescent="0.25">
      <c r="T3660" s="98"/>
      <c r="U3660" s="99"/>
    </row>
    <row r="3661" spans="20:21" x14ac:dyDescent="0.25">
      <c r="T3661" s="98"/>
      <c r="U3661" s="99"/>
    </row>
    <row r="3662" spans="20:21" x14ac:dyDescent="0.25">
      <c r="T3662" s="98"/>
      <c r="U3662" s="99"/>
    </row>
    <row r="3663" spans="20:21" x14ac:dyDescent="0.25">
      <c r="T3663" s="98"/>
      <c r="U3663" s="99"/>
    </row>
    <row r="3664" spans="20:21" x14ac:dyDescent="0.25">
      <c r="T3664" s="98"/>
      <c r="U3664" s="99"/>
    </row>
    <row r="3665" spans="20:21" x14ac:dyDescent="0.25">
      <c r="T3665" s="98"/>
      <c r="U3665" s="99"/>
    </row>
    <row r="3666" spans="20:21" x14ac:dyDescent="0.25">
      <c r="T3666" s="98"/>
      <c r="U3666" s="99"/>
    </row>
    <row r="3667" spans="20:21" x14ac:dyDescent="0.25">
      <c r="T3667" s="98"/>
      <c r="U3667" s="99"/>
    </row>
    <row r="3668" spans="20:21" x14ac:dyDescent="0.25">
      <c r="T3668" s="98"/>
      <c r="U3668" s="99"/>
    </row>
    <row r="3669" spans="20:21" x14ac:dyDescent="0.25">
      <c r="T3669" s="98"/>
      <c r="U3669" s="99"/>
    </row>
    <row r="3670" spans="20:21" x14ac:dyDescent="0.25">
      <c r="T3670" s="98"/>
      <c r="U3670" s="99"/>
    </row>
    <row r="3671" spans="20:21" x14ac:dyDescent="0.25">
      <c r="T3671" s="98"/>
      <c r="U3671" s="99"/>
    </row>
    <row r="3672" spans="20:21" x14ac:dyDescent="0.25">
      <c r="T3672" s="98"/>
      <c r="U3672" s="99"/>
    </row>
    <row r="3673" spans="20:21" x14ac:dyDescent="0.25">
      <c r="T3673" s="98"/>
      <c r="U3673" s="99"/>
    </row>
    <row r="3674" spans="20:21" x14ac:dyDescent="0.25">
      <c r="T3674" s="98"/>
      <c r="U3674" s="99"/>
    </row>
    <row r="3675" spans="20:21" x14ac:dyDescent="0.25">
      <c r="T3675" s="98"/>
      <c r="U3675" s="99"/>
    </row>
    <row r="3676" spans="20:21" x14ac:dyDescent="0.25">
      <c r="T3676" s="98"/>
      <c r="U3676" s="99"/>
    </row>
    <row r="3677" spans="20:21" x14ac:dyDescent="0.25">
      <c r="T3677" s="98"/>
      <c r="U3677" s="99"/>
    </row>
    <row r="3678" spans="20:21" x14ac:dyDescent="0.25">
      <c r="T3678" s="98"/>
      <c r="U3678" s="99"/>
    </row>
    <row r="3679" spans="20:21" x14ac:dyDescent="0.25">
      <c r="T3679" s="98"/>
      <c r="U3679" s="99"/>
    </row>
    <row r="3680" spans="20:21" x14ac:dyDescent="0.25">
      <c r="T3680" s="98"/>
      <c r="U3680" s="99"/>
    </row>
    <row r="3681" spans="20:21" x14ac:dyDescent="0.25">
      <c r="T3681" s="98"/>
      <c r="U3681" s="99"/>
    </row>
    <row r="3682" spans="20:21" x14ac:dyDescent="0.25">
      <c r="T3682" s="98"/>
      <c r="U3682" s="99"/>
    </row>
    <row r="3683" spans="20:21" x14ac:dyDescent="0.25">
      <c r="T3683" s="98"/>
      <c r="U3683" s="99"/>
    </row>
    <row r="3684" spans="20:21" x14ac:dyDescent="0.25">
      <c r="T3684" s="98"/>
      <c r="U3684" s="99"/>
    </row>
    <row r="3685" spans="20:21" x14ac:dyDescent="0.25">
      <c r="T3685" s="98"/>
      <c r="U3685" s="99"/>
    </row>
    <row r="3686" spans="20:21" x14ac:dyDescent="0.25">
      <c r="T3686" s="98"/>
      <c r="U3686" s="99"/>
    </row>
    <row r="3687" spans="20:21" x14ac:dyDescent="0.25">
      <c r="T3687" s="98"/>
      <c r="U3687" s="99"/>
    </row>
    <row r="3688" spans="20:21" x14ac:dyDescent="0.25">
      <c r="T3688" s="98"/>
      <c r="U3688" s="99"/>
    </row>
    <row r="3689" spans="20:21" x14ac:dyDescent="0.25">
      <c r="T3689" s="98"/>
      <c r="U3689" s="99"/>
    </row>
    <row r="3690" spans="20:21" x14ac:dyDescent="0.25">
      <c r="T3690" s="98"/>
      <c r="U3690" s="99"/>
    </row>
    <row r="3691" spans="20:21" x14ac:dyDescent="0.25">
      <c r="T3691" s="98"/>
      <c r="U3691" s="99"/>
    </row>
    <row r="3692" spans="20:21" x14ac:dyDescent="0.25">
      <c r="T3692" s="98"/>
      <c r="U3692" s="99"/>
    </row>
    <row r="3693" spans="20:21" x14ac:dyDescent="0.25">
      <c r="T3693" s="98"/>
      <c r="U3693" s="99"/>
    </row>
    <row r="3694" spans="20:21" x14ac:dyDescent="0.25">
      <c r="T3694" s="98"/>
      <c r="U3694" s="99"/>
    </row>
    <row r="3695" spans="20:21" x14ac:dyDescent="0.25">
      <c r="T3695" s="98"/>
      <c r="U3695" s="99"/>
    </row>
    <row r="3696" spans="20:21" x14ac:dyDescent="0.25">
      <c r="T3696" s="98"/>
      <c r="U3696" s="99"/>
    </row>
    <row r="3697" spans="20:21" x14ac:dyDescent="0.25">
      <c r="T3697" s="98"/>
      <c r="U3697" s="99"/>
    </row>
    <row r="3698" spans="20:21" x14ac:dyDescent="0.25">
      <c r="T3698" s="98"/>
      <c r="U3698" s="99"/>
    </row>
    <row r="3699" spans="20:21" x14ac:dyDescent="0.25">
      <c r="T3699" s="98"/>
      <c r="U3699" s="99"/>
    </row>
    <row r="3700" spans="20:21" x14ac:dyDescent="0.25">
      <c r="T3700" s="98"/>
      <c r="U3700" s="99"/>
    </row>
    <row r="3701" spans="20:21" x14ac:dyDescent="0.25">
      <c r="T3701" s="98"/>
      <c r="U3701" s="99"/>
    </row>
    <row r="3702" spans="20:21" x14ac:dyDescent="0.25">
      <c r="T3702" s="98"/>
      <c r="U3702" s="99"/>
    </row>
    <row r="3703" spans="20:21" x14ac:dyDescent="0.25">
      <c r="T3703" s="98"/>
      <c r="U3703" s="99"/>
    </row>
    <row r="3704" spans="20:21" x14ac:dyDescent="0.25">
      <c r="T3704" s="98"/>
      <c r="U3704" s="99"/>
    </row>
    <row r="3705" spans="20:21" x14ac:dyDescent="0.25">
      <c r="T3705" s="98"/>
      <c r="U3705" s="99"/>
    </row>
    <row r="3706" spans="20:21" x14ac:dyDescent="0.25">
      <c r="T3706" s="98"/>
      <c r="U3706" s="99"/>
    </row>
    <row r="3707" spans="20:21" x14ac:dyDescent="0.25">
      <c r="T3707" s="98"/>
      <c r="U3707" s="99"/>
    </row>
    <row r="3708" spans="20:21" x14ac:dyDescent="0.25">
      <c r="T3708" s="98"/>
      <c r="U3708" s="99"/>
    </row>
    <row r="3709" spans="20:21" x14ac:dyDescent="0.25">
      <c r="T3709" s="98"/>
      <c r="U3709" s="99"/>
    </row>
    <row r="3710" spans="20:21" x14ac:dyDescent="0.25">
      <c r="T3710" s="98"/>
      <c r="U3710" s="99"/>
    </row>
    <row r="3711" spans="20:21" x14ac:dyDescent="0.25">
      <c r="T3711" s="98"/>
      <c r="U3711" s="99"/>
    </row>
    <row r="3712" spans="20:21" x14ac:dyDescent="0.25">
      <c r="T3712" s="98"/>
      <c r="U3712" s="99"/>
    </row>
    <row r="3713" spans="20:21" x14ac:dyDescent="0.25">
      <c r="T3713" s="98"/>
      <c r="U3713" s="99"/>
    </row>
    <row r="3714" spans="20:21" x14ac:dyDescent="0.25">
      <c r="T3714" s="98"/>
      <c r="U3714" s="99"/>
    </row>
    <row r="3715" spans="20:21" x14ac:dyDescent="0.25">
      <c r="T3715" s="98"/>
      <c r="U3715" s="99"/>
    </row>
    <row r="3716" spans="20:21" x14ac:dyDescent="0.25">
      <c r="T3716" s="98"/>
      <c r="U3716" s="99"/>
    </row>
    <row r="3717" spans="20:21" x14ac:dyDescent="0.25">
      <c r="T3717" s="98"/>
      <c r="U3717" s="99"/>
    </row>
    <row r="3718" spans="20:21" x14ac:dyDescent="0.25">
      <c r="T3718" s="98"/>
      <c r="U3718" s="99"/>
    </row>
    <row r="3719" spans="20:21" x14ac:dyDescent="0.25">
      <c r="T3719" s="98"/>
      <c r="U3719" s="99"/>
    </row>
    <row r="3720" spans="20:21" x14ac:dyDescent="0.25">
      <c r="T3720" s="98"/>
      <c r="U3720" s="99"/>
    </row>
    <row r="3721" spans="20:21" x14ac:dyDescent="0.25">
      <c r="T3721" s="98"/>
      <c r="U3721" s="99"/>
    </row>
    <row r="3722" spans="20:21" x14ac:dyDescent="0.25">
      <c r="T3722" s="98"/>
      <c r="U3722" s="99"/>
    </row>
    <row r="3723" spans="20:21" x14ac:dyDescent="0.25">
      <c r="T3723" s="98"/>
      <c r="U3723" s="99"/>
    </row>
    <row r="3724" spans="20:21" x14ac:dyDescent="0.25">
      <c r="T3724" s="98"/>
      <c r="U3724" s="99"/>
    </row>
    <row r="3725" spans="20:21" x14ac:dyDescent="0.25">
      <c r="T3725" s="98"/>
      <c r="U3725" s="99"/>
    </row>
    <row r="3726" spans="20:21" x14ac:dyDescent="0.25">
      <c r="T3726" s="98"/>
      <c r="U3726" s="99"/>
    </row>
    <row r="3727" spans="20:21" x14ac:dyDescent="0.25">
      <c r="T3727" s="98"/>
      <c r="U3727" s="99"/>
    </row>
    <row r="3728" spans="20:21" x14ac:dyDescent="0.25">
      <c r="T3728" s="98"/>
      <c r="U3728" s="99"/>
    </row>
    <row r="3729" spans="20:21" x14ac:dyDescent="0.25">
      <c r="T3729" s="98"/>
      <c r="U3729" s="99"/>
    </row>
    <row r="3730" spans="20:21" x14ac:dyDescent="0.25">
      <c r="T3730" s="98"/>
      <c r="U3730" s="99"/>
    </row>
    <row r="3731" spans="20:21" x14ac:dyDescent="0.25">
      <c r="T3731" s="98"/>
      <c r="U3731" s="99"/>
    </row>
    <row r="3732" spans="20:21" x14ac:dyDescent="0.25">
      <c r="T3732" s="98"/>
      <c r="U3732" s="99"/>
    </row>
    <row r="3733" spans="20:21" x14ac:dyDescent="0.25">
      <c r="T3733" s="98"/>
      <c r="U3733" s="99"/>
    </row>
    <row r="3734" spans="20:21" x14ac:dyDescent="0.25">
      <c r="T3734" s="98"/>
      <c r="U3734" s="99"/>
    </row>
    <row r="3735" spans="20:21" x14ac:dyDescent="0.25">
      <c r="T3735" s="98"/>
      <c r="U3735" s="99"/>
    </row>
    <row r="3736" spans="20:21" x14ac:dyDescent="0.25">
      <c r="T3736" s="98"/>
      <c r="U3736" s="99"/>
    </row>
    <row r="3737" spans="20:21" x14ac:dyDescent="0.25">
      <c r="T3737" s="98"/>
      <c r="U3737" s="99"/>
    </row>
    <row r="3738" spans="20:21" x14ac:dyDescent="0.25">
      <c r="T3738" s="98"/>
      <c r="U3738" s="99"/>
    </row>
    <row r="3739" spans="20:21" x14ac:dyDescent="0.25">
      <c r="T3739" s="98"/>
      <c r="U3739" s="99"/>
    </row>
    <row r="3740" spans="20:21" x14ac:dyDescent="0.25">
      <c r="T3740" s="98"/>
      <c r="U3740" s="99"/>
    </row>
    <row r="3741" spans="20:21" x14ac:dyDescent="0.25">
      <c r="T3741" s="98"/>
      <c r="U3741" s="99"/>
    </row>
    <row r="3742" spans="20:21" x14ac:dyDescent="0.25">
      <c r="T3742" s="98"/>
      <c r="U3742" s="99"/>
    </row>
    <row r="3743" spans="20:21" x14ac:dyDescent="0.25">
      <c r="T3743" s="98"/>
      <c r="U3743" s="99"/>
    </row>
    <row r="3744" spans="20:21" x14ac:dyDescent="0.25">
      <c r="T3744" s="98"/>
      <c r="U3744" s="99"/>
    </row>
    <row r="3745" spans="20:21" x14ac:dyDescent="0.25">
      <c r="T3745" s="98"/>
      <c r="U3745" s="99"/>
    </row>
    <row r="3746" spans="20:21" x14ac:dyDescent="0.25">
      <c r="T3746" s="98"/>
      <c r="U3746" s="99"/>
    </row>
    <row r="3747" spans="20:21" x14ac:dyDescent="0.25">
      <c r="T3747" s="98"/>
      <c r="U3747" s="99"/>
    </row>
    <row r="3748" spans="20:21" x14ac:dyDescent="0.25">
      <c r="T3748" s="98"/>
      <c r="U3748" s="99"/>
    </row>
    <row r="3749" spans="20:21" x14ac:dyDescent="0.25">
      <c r="T3749" s="98"/>
      <c r="U3749" s="99"/>
    </row>
    <row r="3750" spans="20:21" x14ac:dyDescent="0.25">
      <c r="T3750" s="98"/>
      <c r="U3750" s="99"/>
    </row>
    <row r="3751" spans="20:21" x14ac:dyDescent="0.25">
      <c r="T3751" s="98"/>
      <c r="U3751" s="99"/>
    </row>
    <row r="3752" spans="20:21" x14ac:dyDescent="0.25">
      <c r="T3752" s="98"/>
      <c r="U3752" s="99"/>
    </row>
    <row r="3753" spans="20:21" x14ac:dyDescent="0.25">
      <c r="T3753" s="98"/>
      <c r="U3753" s="99"/>
    </row>
    <row r="3754" spans="20:21" x14ac:dyDescent="0.25">
      <c r="T3754" s="98"/>
      <c r="U3754" s="99"/>
    </row>
    <row r="3755" spans="20:21" x14ac:dyDescent="0.25">
      <c r="T3755" s="98"/>
      <c r="U3755" s="99"/>
    </row>
    <row r="3756" spans="20:21" x14ac:dyDescent="0.25">
      <c r="T3756" s="98"/>
      <c r="U3756" s="99"/>
    </row>
    <row r="3757" spans="20:21" x14ac:dyDescent="0.25">
      <c r="T3757" s="98"/>
      <c r="U3757" s="99"/>
    </row>
    <row r="3758" spans="20:21" x14ac:dyDescent="0.25">
      <c r="T3758" s="98"/>
      <c r="U3758" s="99"/>
    </row>
    <row r="3759" spans="20:21" x14ac:dyDescent="0.25">
      <c r="T3759" s="98"/>
      <c r="U3759" s="99"/>
    </row>
    <row r="3760" spans="20:21" x14ac:dyDescent="0.25">
      <c r="T3760" s="98"/>
      <c r="U3760" s="99"/>
    </row>
    <row r="3761" spans="20:21" x14ac:dyDescent="0.25">
      <c r="T3761" s="98"/>
      <c r="U3761" s="99"/>
    </row>
    <row r="3762" spans="20:21" x14ac:dyDescent="0.25">
      <c r="T3762" s="98"/>
      <c r="U3762" s="99"/>
    </row>
    <row r="3763" spans="20:21" x14ac:dyDescent="0.25">
      <c r="T3763" s="98"/>
      <c r="U3763" s="99"/>
    </row>
    <row r="3764" spans="20:21" x14ac:dyDescent="0.25">
      <c r="T3764" s="98"/>
      <c r="U3764" s="99"/>
    </row>
    <row r="3765" spans="20:21" x14ac:dyDescent="0.25">
      <c r="T3765" s="98"/>
      <c r="U3765" s="99"/>
    </row>
    <row r="3766" spans="20:21" x14ac:dyDescent="0.25">
      <c r="T3766" s="98"/>
      <c r="U3766" s="99"/>
    </row>
    <row r="3767" spans="20:21" x14ac:dyDescent="0.25">
      <c r="T3767" s="98"/>
      <c r="U3767" s="99"/>
    </row>
    <row r="3768" spans="20:21" x14ac:dyDescent="0.25">
      <c r="T3768" s="98"/>
      <c r="U3768" s="99"/>
    </row>
    <row r="3769" spans="20:21" x14ac:dyDescent="0.25">
      <c r="T3769" s="98"/>
      <c r="U3769" s="99"/>
    </row>
    <row r="3770" spans="20:21" x14ac:dyDescent="0.25">
      <c r="T3770" s="98"/>
      <c r="U3770" s="99"/>
    </row>
    <row r="3771" spans="20:21" x14ac:dyDescent="0.25">
      <c r="T3771" s="98"/>
      <c r="U3771" s="99"/>
    </row>
    <row r="3772" spans="20:21" x14ac:dyDescent="0.25">
      <c r="T3772" s="98"/>
      <c r="U3772" s="99"/>
    </row>
    <row r="3773" spans="20:21" x14ac:dyDescent="0.25">
      <c r="T3773" s="98"/>
      <c r="U3773" s="99"/>
    </row>
    <row r="3774" spans="20:21" x14ac:dyDescent="0.25">
      <c r="T3774" s="98"/>
      <c r="U3774" s="99"/>
    </row>
    <row r="3775" spans="20:21" x14ac:dyDescent="0.25">
      <c r="T3775" s="98"/>
      <c r="U3775" s="99"/>
    </row>
    <row r="3776" spans="20:21" x14ac:dyDescent="0.25">
      <c r="T3776" s="98"/>
      <c r="U3776" s="99"/>
    </row>
    <row r="3777" spans="20:21" x14ac:dyDescent="0.25">
      <c r="T3777" s="98"/>
      <c r="U3777" s="99"/>
    </row>
    <row r="3778" spans="20:21" x14ac:dyDescent="0.25">
      <c r="T3778" s="98"/>
      <c r="U3778" s="99"/>
    </row>
    <row r="3779" spans="20:21" x14ac:dyDescent="0.25">
      <c r="T3779" s="98"/>
      <c r="U3779" s="99"/>
    </row>
    <row r="3780" spans="20:21" x14ac:dyDescent="0.25">
      <c r="T3780" s="98"/>
      <c r="U3780" s="99"/>
    </row>
    <row r="3781" spans="20:21" x14ac:dyDescent="0.25">
      <c r="T3781" s="98"/>
      <c r="U3781" s="99"/>
    </row>
    <row r="3782" spans="20:21" x14ac:dyDescent="0.25">
      <c r="T3782" s="98"/>
      <c r="U3782" s="99"/>
    </row>
    <row r="3783" spans="20:21" x14ac:dyDescent="0.25">
      <c r="T3783" s="98"/>
      <c r="U3783" s="99"/>
    </row>
    <row r="3784" spans="20:21" x14ac:dyDescent="0.25">
      <c r="T3784" s="98"/>
      <c r="U3784" s="99"/>
    </row>
    <row r="3785" spans="20:21" x14ac:dyDescent="0.25">
      <c r="T3785" s="98"/>
      <c r="U3785" s="99"/>
    </row>
    <row r="3786" spans="20:21" x14ac:dyDescent="0.25">
      <c r="T3786" s="98"/>
      <c r="U3786" s="99"/>
    </row>
    <row r="3787" spans="20:21" x14ac:dyDescent="0.25">
      <c r="T3787" s="98"/>
      <c r="U3787" s="99"/>
    </row>
    <row r="3788" spans="20:21" x14ac:dyDescent="0.25">
      <c r="T3788" s="98"/>
      <c r="U3788" s="99"/>
    </row>
    <row r="3789" spans="20:21" x14ac:dyDescent="0.25">
      <c r="T3789" s="98"/>
      <c r="U3789" s="99"/>
    </row>
    <row r="3790" spans="20:21" x14ac:dyDescent="0.25">
      <c r="T3790" s="98"/>
      <c r="U3790" s="99"/>
    </row>
    <row r="3791" spans="20:21" x14ac:dyDescent="0.25">
      <c r="T3791" s="98"/>
      <c r="U3791" s="99"/>
    </row>
    <row r="3792" spans="20:21" x14ac:dyDescent="0.25">
      <c r="T3792" s="98"/>
      <c r="U3792" s="99"/>
    </row>
    <row r="3793" spans="20:21" x14ac:dyDescent="0.25">
      <c r="T3793" s="98"/>
      <c r="U3793" s="99"/>
    </row>
    <row r="3794" spans="20:21" x14ac:dyDescent="0.25">
      <c r="T3794" s="98"/>
      <c r="U3794" s="99"/>
    </row>
    <row r="3795" spans="20:21" x14ac:dyDescent="0.25">
      <c r="T3795" s="98"/>
      <c r="U3795" s="99"/>
    </row>
    <row r="3796" spans="20:21" x14ac:dyDescent="0.25">
      <c r="T3796" s="98"/>
      <c r="U3796" s="99"/>
    </row>
    <row r="3797" spans="20:21" x14ac:dyDescent="0.25">
      <c r="T3797" s="98"/>
      <c r="U3797" s="99"/>
    </row>
    <row r="3798" spans="20:21" x14ac:dyDescent="0.25">
      <c r="T3798" s="98"/>
      <c r="U3798" s="99"/>
    </row>
    <row r="3799" spans="20:21" x14ac:dyDescent="0.25">
      <c r="T3799" s="98"/>
      <c r="U3799" s="99"/>
    </row>
    <row r="3800" spans="20:21" x14ac:dyDescent="0.25">
      <c r="T3800" s="98"/>
      <c r="U3800" s="99"/>
    </row>
    <row r="3801" spans="20:21" x14ac:dyDescent="0.25">
      <c r="T3801" s="98"/>
      <c r="U3801" s="99"/>
    </row>
    <row r="3802" spans="20:21" x14ac:dyDescent="0.25">
      <c r="T3802" s="98"/>
      <c r="U3802" s="99"/>
    </row>
    <row r="3803" spans="20:21" x14ac:dyDescent="0.25">
      <c r="T3803" s="98"/>
      <c r="U3803" s="99"/>
    </row>
    <row r="3804" spans="20:21" x14ac:dyDescent="0.25">
      <c r="T3804" s="98"/>
      <c r="U3804" s="99"/>
    </row>
    <row r="3805" spans="20:21" x14ac:dyDescent="0.25">
      <c r="T3805" s="98"/>
      <c r="U3805" s="99"/>
    </row>
    <row r="3806" spans="20:21" x14ac:dyDescent="0.25">
      <c r="T3806" s="98"/>
      <c r="U3806" s="99"/>
    </row>
    <row r="3807" spans="20:21" x14ac:dyDescent="0.25">
      <c r="T3807" s="98"/>
      <c r="U3807" s="99"/>
    </row>
    <row r="3808" spans="20:21" x14ac:dyDescent="0.25">
      <c r="T3808" s="98"/>
      <c r="U3808" s="99"/>
    </row>
    <row r="3809" spans="20:21" x14ac:dyDescent="0.25">
      <c r="T3809" s="98"/>
      <c r="U3809" s="99"/>
    </row>
    <row r="3810" spans="20:21" x14ac:dyDescent="0.25">
      <c r="T3810" s="98"/>
      <c r="U3810" s="99"/>
    </row>
    <row r="3811" spans="20:21" x14ac:dyDescent="0.25">
      <c r="T3811" s="98"/>
      <c r="U3811" s="99"/>
    </row>
    <row r="3812" spans="20:21" x14ac:dyDescent="0.25">
      <c r="T3812" s="98"/>
      <c r="U3812" s="99"/>
    </row>
    <row r="3813" spans="20:21" x14ac:dyDescent="0.25">
      <c r="T3813" s="98"/>
      <c r="U3813" s="99"/>
    </row>
    <row r="3814" spans="20:21" x14ac:dyDescent="0.25">
      <c r="T3814" s="98"/>
      <c r="U3814" s="99"/>
    </row>
    <row r="3815" spans="20:21" x14ac:dyDescent="0.25">
      <c r="T3815" s="98"/>
      <c r="U3815" s="99"/>
    </row>
    <row r="3816" spans="20:21" x14ac:dyDescent="0.25">
      <c r="T3816" s="98"/>
      <c r="U3816" s="99"/>
    </row>
    <row r="3817" spans="20:21" x14ac:dyDescent="0.25">
      <c r="T3817" s="98"/>
      <c r="U3817" s="99"/>
    </row>
    <row r="3818" spans="20:21" x14ac:dyDescent="0.25">
      <c r="T3818" s="98"/>
      <c r="U3818" s="99"/>
    </row>
    <row r="3819" spans="20:21" x14ac:dyDescent="0.25">
      <c r="T3819" s="98"/>
      <c r="U3819" s="99"/>
    </row>
    <row r="3820" spans="20:21" x14ac:dyDescent="0.25">
      <c r="T3820" s="98"/>
      <c r="U3820" s="99"/>
    </row>
    <row r="3821" spans="20:21" x14ac:dyDescent="0.25">
      <c r="T3821" s="98"/>
      <c r="U3821" s="99"/>
    </row>
    <row r="3822" spans="20:21" x14ac:dyDescent="0.25">
      <c r="T3822" s="98"/>
      <c r="U3822" s="99"/>
    </row>
    <row r="3823" spans="20:21" x14ac:dyDescent="0.25">
      <c r="T3823" s="98"/>
      <c r="U3823" s="99"/>
    </row>
    <row r="3824" spans="20:21" x14ac:dyDescent="0.25">
      <c r="T3824" s="98"/>
      <c r="U3824" s="99"/>
    </row>
    <row r="3825" spans="20:21" x14ac:dyDescent="0.25">
      <c r="T3825" s="98"/>
      <c r="U3825" s="99"/>
    </row>
    <row r="3826" spans="20:21" x14ac:dyDescent="0.25">
      <c r="T3826" s="98"/>
      <c r="U3826" s="99"/>
    </row>
    <row r="3827" spans="20:21" x14ac:dyDescent="0.25">
      <c r="T3827" s="98"/>
      <c r="U3827" s="99"/>
    </row>
    <row r="3828" spans="20:21" x14ac:dyDescent="0.25">
      <c r="T3828" s="98"/>
      <c r="U3828" s="99"/>
    </row>
    <row r="3829" spans="20:21" x14ac:dyDescent="0.25">
      <c r="T3829" s="98"/>
      <c r="U3829" s="99"/>
    </row>
    <row r="3830" spans="20:21" x14ac:dyDescent="0.25">
      <c r="T3830" s="98"/>
      <c r="U3830" s="99"/>
    </row>
    <row r="3831" spans="20:21" x14ac:dyDescent="0.25">
      <c r="T3831" s="98"/>
      <c r="U3831" s="99"/>
    </row>
    <row r="3832" spans="20:21" x14ac:dyDescent="0.25">
      <c r="T3832" s="98"/>
      <c r="U3832" s="99"/>
    </row>
    <row r="3833" spans="20:21" x14ac:dyDescent="0.25">
      <c r="T3833" s="98"/>
      <c r="U3833" s="99"/>
    </row>
    <row r="3834" spans="20:21" x14ac:dyDescent="0.25">
      <c r="T3834" s="98"/>
      <c r="U3834" s="99"/>
    </row>
    <row r="3835" spans="20:21" x14ac:dyDescent="0.25">
      <c r="T3835" s="98"/>
      <c r="U3835" s="99"/>
    </row>
    <row r="3836" spans="20:21" x14ac:dyDescent="0.25">
      <c r="T3836" s="98"/>
      <c r="U3836" s="99"/>
    </row>
    <row r="3837" spans="20:21" x14ac:dyDescent="0.25">
      <c r="T3837" s="98"/>
      <c r="U3837" s="99"/>
    </row>
    <row r="3838" spans="20:21" x14ac:dyDescent="0.25">
      <c r="T3838" s="98"/>
      <c r="U3838" s="99"/>
    </row>
    <row r="3839" spans="20:21" x14ac:dyDescent="0.25">
      <c r="T3839" s="98"/>
      <c r="U3839" s="99"/>
    </row>
    <row r="3840" spans="20:21" x14ac:dyDescent="0.25">
      <c r="T3840" s="98"/>
      <c r="U3840" s="99"/>
    </row>
    <row r="3841" spans="20:21" x14ac:dyDescent="0.25">
      <c r="T3841" s="98"/>
      <c r="U3841" s="99"/>
    </row>
    <row r="3842" spans="20:21" x14ac:dyDescent="0.25">
      <c r="T3842" s="98"/>
      <c r="U3842" s="99"/>
    </row>
    <row r="3843" spans="20:21" x14ac:dyDescent="0.25">
      <c r="T3843" s="98"/>
      <c r="U3843" s="99"/>
    </row>
    <row r="3844" spans="20:21" x14ac:dyDescent="0.25">
      <c r="T3844" s="98"/>
      <c r="U3844" s="99"/>
    </row>
    <row r="3845" spans="20:21" x14ac:dyDescent="0.25">
      <c r="T3845" s="98"/>
      <c r="U3845" s="99"/>
    </row>
    <row r="3846" spans="20:21" x14ac:dyDescent="0.25">
      <c r="T3846" s="98"/>
      <c r="U3846" s="99"/>
    </row>
    <row r="3847" spans="20:21" x14ac:dyDescent="0.25">
      <c r="T3847" s="98"/>
      <c r="U3847" s="99"/>
    </row>
    <row r="3848" spans="20:21" x14ac:dyDescent="0.25">
      <c r="T3848" s="98"/>
      <c r="U3848" s="99"/>
    </row>
    <row r="3849" spans="20:21" x14ac:dyDescent="0.25">
      <c r="T3849" s="98"/>
      <c r="U3849" s="99"/>
    </row>
    <row r="3850" spans="20:21" x14ac:dyDescent="0.25">
      <c r="T3850" s="98"/>
      <c r="U3850" s="99"/>
    </row>
    <row r="3851" spans="20:21" x14ac:dyDescent="0.25">
      <c r="T3851" s="98"/>
      <c r="U3851" s="99"/>
    </row>
    <row r="3852" spans="20:21" x14ac:dyDescent="0.25">
      <c r="T3852" s="98"/>
      <c r="U3852" s="99"/>
    </row>
    <row r="3853" spans="20:21" x14ac:dyDescent="0.25">
      <c r="T3853" s="98"/>
      <c r="U3853" s="99"/>
    </row>
    <row r="3854" spans="20:21" x14ac:dyDescent="0.25">
      <c r="T3854" s="98"/>
      <c r="U3854" s="99"/>
    </row>
    <row r="3855" spans="20:21" x14ac:dyDescent="0.25">
      <c r="T3855" s="98"/>
      <c r="U3855" s="99"/>
    </row>
    <row r="3856" spans="20:21" x14ac:dyDescent="0.25">
      <c r="T3856" s="98"/>
      <c r="U3856" s="99"/>
    </row>
    <row r="3857" spans="20:21" x14ac:dyDescent="0.25">
      <c r="T3857" s="98"/>
      <c r="U3857" s="99"/>
    </row>
    <row r="3858" spans="20:21" x14ac:dyDescent="0.25">
      <c r="T3858" s="98"/>
      <c r="U3858" s="99"/>
    </row>
    <row r="3859" spans="20:21" x14ac:dyDescent="0.25">
      <c r="T3859" s="98"/>
      <c r="U3859" s="99"/>
    </row>
    <row r="3860" spans="20:21" x14ac:dyDescent="0.25">
      <c r="T3860" s="98"/>
      <c r="U3860" s="99"/>
    </row>
    <row r="3861" spans="20:21" x14ac:dyDescent="0.25">
      <c r="T3861" s="98"/>
      <c r="U3861" s="99"/>
    </row>
    <row r="3862" spans="20:21" x14ac:dyDescent="0.25">
      <c r="T3862" s="98"/>
      <c r="U3862" s="99"/>
    </row>
    <row r="3863" spans="20:21" x14ac:dyDescent="0.25">
      <c r="T3863" s="98"/>
      <c r="U3863" s="99"/>
    </row>
    <row r="3864" spans="20:21" x14ac:dyDescent="0.25">
      <c r="T3864" s="98"/>
      <c r="U3864" s="99"/>
    </row>
    <row r="3865" spans="20:21" x14ac:dyDescent="0.25">
      <c r="T3865" s="98"/>
      <c r="U3865" s="99"/>
    </row>
    <row r="3866" spans="20:21" x14ac:dyDescent="0.25">
      <c r="T3866" s="98"/>
      <c r="U3866" s="99"/>
    </row>
    <row r="3867" spans="20:21" x14ac:dyDescent="0.25">
      <c r="T3867" s="98"/>
      <c r="U3867" s="99"/>
    </row>
    <row r="3868" spans="20:21" x14ac:dyDescent="0.25">
      <c r="T3868" s="98"/>
      <c r="U3868" s="99"/>
    </row>
    <row r="3869" spans="20:21" x14ac:dyDescent="0.25">
      <c r="T3869" s="98"/>
      <c r="U3869" s="99"/>
    </row>
    <row r="3870" spans="20:21" x14ac:dyDescent="0.25">
      <c r="T3870" s="98"/>
      <c r="U3870" s="99"/>
    </row>
    <row r="3871" spans="20:21" x14ac:dyDescent="0.25">
      <c r="T3871" s="98"/>
      <c r="U3871" s="99"/>
    </row>
    <row r="3872" spans="20:21" x14ac:dyDescent="0.25">
      <c r="T3872" s="98"/>
      <c r="U3872" s="99"/>
    </row>
    <row r="3873" spans="20:21" x14ac:dyDescent="0.25">
      <c r="T3873" s="98"/>
      <c r="U3873" s="99"/>
    </row>
    <row r="3874" spans="20:21" x14ac:dyDescent="0.25">
      <c r="T3874" s="98"/>
      <c r="U3874" s="99"/>
    </row>
    <row r="3875" spans="20:21" x14ac:dyDescent="0.25">
      <c r="T3875" s="98"/>
      <c r="U3875" s="99"/>
    </row>
    <row r="3876" spans="20:21" x14ac:dyDescent="0.25">
      <c r="T3876" s="98"/>
      <c r="U3876" s="99"/>
    </row>
    <row r="3877" spans="20:21" x14ac:dyDescent="0.25">
      <c r="T3877" s="98"/>
      <c r="U3877" s="99"/>
    </row>
    <row r="3878" spans="20:21" x14ac:dyDescent="0.25">
      <c r="T3878" s="98"/>
      <c r="U3878" s="99"/>
    </row>
    <row r="3879" spans="20:21" x14ac:dyDescent="0.25">
      <c r="T3879" s="98"/>
      <c r="U3879" s="99"/>
    </row>
    <row r="3880" spans="20:21" x14ac:dyDescent="0.25">
      <c r="T3880" s="98"/>
      <c r="U3880" s="99"/>
    </row>
    <row r="3881" spans="20:21" x14ac:dyDescent="0.25">
      <c r="T3881" s="98"/>
      <c r="U3881" s="99"/>
    </row>
    <row r="3882" spans="20:21" x14ac:dyDescent="0.25">
      <c r="T3882" s="98"/>
      <c r="U3882" s="99"/>
    </row>
    <row r="3883" spans="20:21" x14ac:dyDescent="0.25">
      <c r="T3883" s="98"/>
      <c r="U3883" s="99"/>
    </row>
    <row r="3884" spans="20:21" x14ac:dyDescent="0.25">
      <c r="T3884" s="98"/>
      <c r="U3884" s="99"/>
    </row>
    <row r="3885" spans="20:21" x14ac:dyDescent="0.25">
      <c r="T3885" s="98"/>
      <c r="U3885" s="99"/>
    </row>
    <row r="3886" spans="20:21" x14ac:dyDescent="0.25">
      <c r="T3886" s="98"/>
      <c r="U3886" s="99"/>
    </row>
    <row r="3887" spans="20:21" x14ac:dyDescent="0.25">
      <c r="T3887" s="98"/>
      <c r="U3887" s="99"/>
    </row>
    <row r="3888" spans="20:21" x14ac:dyDescent="0.25">
      <c r="T3888" s="98"/>
      <c r="U3888" s="99"/>
    </row>
    <row r="3889" spans="20:21" x14ac:dyDescent="0.25">
      <c r="T3889" s="98"/>
      <c r="U3889" s="99"/>
    </row>
    <row r="3890" spans="20:21" x14ac:dyDescent="0.25">
      <c r="T3890" s="98"/>
      <c r="U3890" s="99"/>
    </row>
    <row r="3891" spans="20:21" x14ac:dyDescent="0.25">
      <c r="T3891" s="98"/>
      <c r="U3891" s="99"/>
    </row>
    <row r="3892" spans="20:21" x14ac:dyDescent="0.25">
      <c r="T3892" s="98"/>
      <c r="U3892" s="99"/>
    </row>
    <row r="3893" spans="20:21" x14ac:dyDescent="0.25">
      <c r="T3893" s="98"/>
      <c r="U3893" s="99"/>
    </row>
    <row r="3894" spans="20:21" x14ac:dyDescent="0.25">
      <c r="T3894" s="98"/>
      <c r="U3894" s="99"/>
    </row>
    <row r="3895" spans="20:21" x14ac:dyDescent="0.25">
      <c r="T3895" s="98"/>
      <c r="U3895" s="99"/>
    </row>
    <row r="3896" spans="20:21" x14ac:dyDescent="0.25">
      <c r="T3896" s="98"/>
      <c r="U3896" s="99"/>
    </row>
    <row r="3897" spans="20:21" x14ac:dyDescent="0.25">
      <c r="T3897" s="98"/>
      <c r="U3897" s="99"/>
    </row>
    <row r="3898" spans="20:21" x14ac:dyDescent="0.25">
      <c r="T3898" s="98"/>
      <c r="U3898" s="99"/>
    </row>
    <row r="3899" spans="20:21" x14ac:dyDescent="0.25">
      <c r="T3899" s="98"/>
      <c r="U3899" s="99"/>
    </row>
    <row r="3900" spans="20:21" x14ac:dyDescent="0.25">
      <c r="T3900" s="98"/>
      <c r="U3900" s="99"/>
    </row>
    <row r="3901" spans="20:21" x14ac:dyDescent="0.25">
      <c r="T3901" s="98"/>
      <c r="U3901" s="99"/>
    </row>
    <row r="3902" spans="20:21" x14ac:dyDescent="0.25">
      <c r="T3902" s="98"/>
      <c r="U3902" s="99"/>
    </row>
    <row r="3903" spans="20:21" x14ac:dyDescent="0.25">
      <c r="T3903" s="98"/>
      <c r="U3903" s="99"/>
    </row>
    <row r="3904" spans="20:21" x14ac:dyDescent="0.25">
      <c r="T3904" s="98"/>
      <c r="U3904" s="99"/>
    </row>
    <row r="3905" spans="20:21" x14ac:dyDescent="0.25">
      <c r="T3905" s="98"/>
      <c r="U3905" s="99"/>
    </row>
    <row r="3906" spans="20:21" x14ac:dyDescent="0.25">
      <c r="T3906" s="98"/>
      <c r="U3906" s="99"/>
    </row>
    <row r="3907" spans="20:21" x14ac:dyDescent="0.25">
      <c r="T3907" s="98"/>
      <c r="U3907" s="99"/>
    </row>
    <row r="3908" spans="20:21" x14ac:dyDescent="0.25">
      <c r="T3908" s="98"/>
      <c r="U3908" s="99"/>
    </row>
    <row r="3909" spans="20:21" x14ac:dyDescent="0.25">
      <c r="T3909" s="98"/>
      <c r="U3909" s="99"/>
    </row>
    <row r="3910" spans="20:21" x14ac:dyDescent="0.25">
      <c r="T3910" s="98"/>
      <c r="U3910" s="99"/>
    </row>
    <row r="3911" spans="20:21" x14ac:dyDescent="0.25">
      <c r="T3911" s="98"/>
      <c r="U3911" s="99"/>
    </row>
    <row r="3912" spans="20:21" x14ac:dyDescent="0.25">
      <c r="T3912" s="98"/>
      <c r="U3912" s="99"/>
    </row>
    <row r="3913" spans="20:21" x14ac:dyDescent="0.25">
      <c r="T3913" s="98"/>
      <c r="U3913" s="99"/>
    </row>
    <row r="3914" spans="20:21" x14ac:dyDescent="0.25">
      <c r="T3914" s="98"/>
      <c r="U3914" s="99"/>
    </row>
    <row r="3915" spans="20:21" x14ac:dyDescent="0.25">
      <c r="T3915" s="98"/>
      <c r="U3915" s="99"/>
    </row>
    <row r="3916" spans="20:21" x14ac:dyDescent="0.25">
      <c r="T3916" s="98"/>
      <c r="U3916" s="99"/>
    </row>
    <row r="3917" spans="20:21" x14ac:dyDescent="0.25">
      <c r="T3917" s="98"/>
      <c r="U3917" s="99"/>
    </row>
    <row r="3918" spans="20:21" x14ac:dyDescent="0.25">
      <c r="T3918" s="98"/>
      <c r="U3918" s="99"/>
    </row>
    <row r="3919" spans="20:21" x14ac:dyDescent="0.25">
      <c r="T3919" s="98"/>
      <c r="U3919" s="99"/>
    </row>
    <row r="3920" spans="20:21" x14ac:dyDescent="0.25">
      <c r="T3920" s="98"/>
      <c r="U3920" s="99"/>
    </row>
    <row r="3921" spans="20:21" x14ac:dyDescent="0.25">
      <c r="T3921" s="98"/>
      <c r="U3921" s="99"/>
    </row>
    <row r="3922" spans="20:21" x14ac:dyDescent="0.25">
      <c r="T3922" s="98"/>
      <c r="U3922" s="99"/>
    </row>
    <row r="3923" spans="20:21" x14ac:dyDescent="0.25">
      <c r="T3923" s="98"/>
      <c r="U3923" s="99"/>
    </row>
    <row r="3924" spans="20:21" x14ac:dyDescent="0.25">
      <c r="T3924" s="98"/>
      <c r="U3924" s="99"/>
    </row>
    <row r="3925" spans="20:21" x14ac:dyDescent="0.25">
      <c r="T3925" s="98"/>
      <c r="U3925" s="99"/>
    </row>
    <row r="3926" spans="20:21" x14ac:dyDescent="0.25">
      <c r="T3926" s="98"/>
      <c r="U3926" s="99"/>
    </row>
    <row r="3927" spans="20:21" x14ac:dyDescent="0.25">
      <c r="T3927" s="98"/>
      <c r="U3927" s="99"/>
    </row>
    <row r="3928" spans="20:21" x14ac:dyDescent="0.25">
      <c r="T3928" s="98"/>
      <c r="U3928" s="99"/>
    </row>
    <row r="3929" spans="20:21" x14ac:dyDescent="0.25">
      <c r="T3929" s="98"/>
      <c r="U3929" s="99"/>
    </row>
    <row r="3930" spans="20:21" x14ac:dyDescent="0.25">
      <c r="T3930" s="98"/>
      <c r="U3930" s="99"/>
    </row>
    <row r="3931" spans="20:21" x14ac:dyDescent="0.25">
      <c r="T3931" s="98"/>
      <c r="U3931" s="99"/>
    </row>
    <row r="3932" spans="20:21" x14ac:dyDescent="0.25">
      <c r="T3932" s="98"/>
      <c r="U3932" s="99"/>
    </row>
    <row r="3933" spans="20:21" x14ac:dyDescent="0.25">
      <c r="T3933" s="98"/>
      <c r="U3933" s="99"/>
    </row>
    <row r="3934" spans="20:21" x14ac:dyDescent="0.25">
      <c r="T3934" s="98"/>
      <c r="U3934" s="99"/>
    </row>
    <row r="3935" spans="20:21" x14ac:dyDescent="0.25">
      <c r="T3935" s="98"/>
      <c r="U3935" s="99"/>
    </row>
    <row r="3936" spans="20:21" x14ac:dyDescent="0.25">
      <c r="T3936" s="98"/>
      <c r="U3936" s="99"/>
    </row>
    <row r="3937" spans="20:21" x14ac:dyDescent="0.25">
      <c r="T3937" s="98"/>
      <c r="U3937" s="99"/>
    </row>
    <row r="3938" spans="20:21" x14ac:dyDescent="0.25">
      <c r="T3938" s="98"/>
      <c r="U3938" s="99"/>
    </row>
    <row r="3939" spans="20:21" x14ac:dyDescent="0.25">
      <c r="T3939" s="98"/>
      <c r="U3939" s="99"/>
    </row>
    <row r="3940" spans="20:21" x14ac:dyDescent="0.25">
      <c r="T3940" s="98"/>
      <c r="U3940" s="99"/>
    </row>
    <row r="3941" spans="20:21" x14ac:dyDescent="0.25">
      <c r="T3941" s="98"/>
      <c r="U3941" s="99"/>
    </row>
    <row r="3942" spans="20:21" x14ac:dyDescent="0.25">
      <c r="T3942" s="98"/>
      <c r="U3942" s="99"/>
    </row>
    <row r="3943" spans="20:21" x14ac:dyDescent="0.25">
      <c r="T3943" s="98"/>
      <c r="U3943" s="99"/>
    </row>
    <row r="3944" spans="20:21" x14ac:dyDescent="0.25">
      <c r="T3944" s="98"/>
      <c r="U3944" s="99"/>
    </row>
    <row r="3945" spans="20:21" x14ac:dyDescent="0.25">
      <c r="T3945" s="98"/>
      <c r="U3945" s="99"/>
    </row>
    <row r="3946" spans="20:21" x14ac:dyDescent="0.25">
      <c r="T3946" s="98"/>
      <c r="U3946" s="99"/>
    </row>
    <row r="3947" spans="20:21" x14ac:dyDescent="0.25">
      <c r="T3947" s="98"/>
      <c r="U3947" s="99"/>
    </row>
    <row r="3948" spans="20:21" x14ac:dyDescent="0.25">
      <c r="T3948" s="98"/>
      <c r="U3948" s="99"/>
    </row>
    <row r="3949" spans="20:21" x14ac:dyDescent="0.25">
      <c r="T3949" s="98"/>
      <c r="U3949" s="99"/>
    </row>
    <row r="3950" spans="20:21" x14ac:dyDescent="0.25">
      <c r="T3950" s="98"/>
      <c r="U3950" s="99"/>
    </row>
    <row r="3951" spans="20:21" x14ac:dyDescent="0.25">
      <c r="T3951" s="98"/>
      <c r="U3951" s="99"/>
    </row>
    <row r="3952" spans="20:21" x14ac:dyDescent="0.25">
      <c r="T3952" s="98"/>
      <c r="U3952" s="99"/>
    </row>
    <row r="3953" spans="20:21" x14ac:dyDescent="0.25">
      <c r="T3953" s="98"/>
      <c r="U3953" s="99"/>
    </row>
    <row r="3954" spans="20:21" x14ac:dyDescent="0.25">
      <c r="T3954" s="98"/>
      <c r="U3954" s="99"/>
    </row>
    <row r="3955" spans="20:21" x14ac:dyDescent="0.25">
      <c r="T3955" s="98"/>
      <c r="U3955" s="99"/>
    </row>
    <row r="3956" spans="20:21" x14ac:dyDescent="0.25">
      <c r="T3956" s="98"/>
      <c r="U3956" s="99"/>
    </row>
    <row r="3957" spans="20:21" x14ac:dyDescent="0.25">
      <c r="T3957" s="98"/>
      <c r="U3957" s="99"/>
    </row>
    <row r="3958" spans="20:21" x14ac:dyDescent="0.25">
      <c r="T3958" s="98"/>
      <c r="U3958" s="99"/>
    </row>
    <row r="3959" spans="20:21" x14ac:dyDescent="0.25">
      <c r="T3959" s="98"/>
      <c r="U3959" s="99"/>
    </row>
    <row r="3960" spans="20:21" x14ac:dyDescent="0.25">
      <c r="T3960" s="98"/>
      <c r="U3960" s="99"/>
    </row>
    <row r="3961" spans="20:21" x14ac:dyDescent="0.25">
      <c r="T3961" s="98"/>
      <c r="U3961" s="99"/>
    </row>
    <row r="3962" spans="20:21" x14ac:dyDescent="0.25">
      <c r="T3962" s="98"/>
      <c r="U3962" s="99"/>
    </row>
    <row r="3963" spans="20:21" x14ac:dyDescent="0.25">
      <c r="T3963" s="98"/>
      <c r="U3963" s="99"/>
    </row>
    <row r="3964" spans="20:21" x14ac:dyDescent="0.25">
      <c r="T3964" s="98"/>
      <c r="U3964" s="99"/>
    </row>
    <row r="3965" spans="20:21" x14ac:dyDescent="0.25">
      <c r="T3965" s="98"/>
      <c r="U3965" s="99"/>
    </row>
    <row r="3966" spans="20:21" x14ac:dyDescent="0.25">
      <c r="T3966" s="98"/>
      <c r="U3966" s="99"/>
    </row>
    <row r="3967" spans="20:21" x14ac:dyDescent="0.25">
      <c r="T3967" s="98"/>
      <c r="U3967" s="99"/>
    </row>
    <row r="3968" spans="20:21" x14ac:dyDescent="0.25">
      <c r="T3968" s="98"/>
      <c r="U3968" s="99"/>
    </row>
    <row r="3969" spans="20:21" x14ac:dyDescent="0.25">
      <c r="T3969" s="98"/>
      <c r="U3969" s="99"/>
    </row>
    <row r="3970" spans="20:21" x14ac:dyDescent="0.25">
      <c r="T3970" s="98"/>
      <c r="U3970" s="99"/>
    </row>
    <row r="3971" spans="20:21" x14ac:dyDescent="0.25">
      <c r="T3971" s="98"/>
      <c r="U3971" s="99"/>
    </row>
    <row r="3972" spans="20:21" x14ac:dyDescent="0.25">
      <c r="T3972" s="98"/>
      <c r="U3972" s="99"/>
    </row>
    <row r="3973" spans="20:21" x14ac:dyDescent="0.25">
      <c r="T3973" s="98"/>
      <c r="U3973" s="99"/>
    </row>
    <row r="3974" spans="20:21" x14ac:dyDescent="0.25">
      <c r="T3974" s="98"/>
      <c r="U3974" s="99"/>
    </row>
    <row r="3975" spans="20:21" x14ac:dyDescent="0.25">
      <c r="T3975" s="98"/>
      <c r="U3975" s="99"/>
    </row>
    <row r="3976" spans="20:21" x14ac:dyDescent="0.25">
      <c r="T3976" s="98"/>
      <c r="U3976" s="99"/>
    </row>
    <row r="3977" spans="20:21" x14ac:dyDescent="0.25">
      <c r="T3977" s="98"/>
      <c r="U3977" s="99"/>
    </row>
    <row r="3978" spans="20:21" x14ac:dyDescent="0.25">
      <c r="T3978" s="98"/>
      <c r="U3978" s="99"/>
    </row>
    <row r="3979" spans="20:21" x14ac:dyDescent="0.25">
      <c r="T3979" s="98"/>
      <c r="U3979" s="99"/>
    </row>
    <row r="3980" spans="20:21" x14ac:dyDescent="0.25">
      <c r="T3980" s="98"/>
      <c r="U3980" s="99"/>
    </row>
    <row r="3981" spans="20:21" x14ac:dyDescent="0.25">
      <c r="T3981" s="98"/>
      <c r="U3981" s="99"/>
    </row>
    <row r="3982" spans="20:21" x14ac:dyDescent="0.25">
      <c r="T3982" s="98"/>
      <c r="U3982" s="99"/>
    </row>
    <row r="3983" spans="20:21" x14ac:dyDescent="0.25">
      <c r="T3983" s="98"/>
      <c r="U3983" s="99"/>
    </row>
    <row r="3984" spans="20:21" x14ac:dyDescent="0.25">
      <c r="T3984" s="98"/>
      <c r="U3984" s="99"/>
    </row>
    <row r="3985" spans="20:21" x14ac:dyDescent="0.25">
      <c r="T3985" s="98"/>
      <c r="U3985" s="99"/>
    </row>
    <row r="3986" spans="20:21" x14ac:dyDescent="0.25">
      <c r="T3986" s="98"/>
      <c r="U3986" s="99"/>
    </row>
    <row r="3987" spans="20:21" x14ac:dyDescent="0.25">
      <c r="T3987" s="98"/>
      <c r="U3987" s="99"/>
    </row>
    <row r="3988" spans="20:21" x14ac:dyDescent="0.25">
      <c r="T3988" s="98"/>
      <c r="U3988" s="99"/>
    </row>
    <row r="3989" spans="20:21" x14ac:dyDescent="0.25">
      <c r="T3989" s="98"/>
      <c r="U3989" s="99"/>
    </row>
    <row r="3990" spans="20:21" x14ac:dyDescent="0.25">
      <c r="T3990" s="98"/>
      <c r="U3990" s="99"/>
    </row>
    <row r="3991" spans="20:21" x14ac:dyDescent="0.25">
      <c r="T3991" s="98"/>
      <c r="U3991" s="99"/>
    </row>
    <row r="3992" spans="20:21" x14ac:dyDescent="0.25">
      <c r="T3992" s="98"/>
      <c r="U3992" s="99"/>
    </row>
    <row r="3993" spans="20:21" x14ac:dyDescent="0.25">
      <c r="T3993" s="98"/>
      <c r="U3993" s="99"/>
    </row>
    <row r="3994" spans="20:21" x14ac:dyDescent="0.25">
      <c r="T3994" s="98"/>
      <c r="U3994" s="99"/>
    </row>
    <row r="3995" spans="20:21" x14ac:dyDescent="0.25">
      <c r="T3995" s="98"/>
      <c r="U3995" s="99"/>
    </row>
    <row r="3996" spans="20:21" x14ac:dyDescent="0.25">
      <c r="T3996" s="98"/>
      <c r="U3996" s="99"/>
    </row>
    <row r="3997" spans="20:21" x14ac:dyDescent="0.25">
      <c r="T3997" s="98"/>
      <c r="U3997" s="99"/>
    </row>
    <row r="3998" spans="20:21" x14ac:dyDescent="0.25">
      <c r="T3998" s="98"/>
      <c r="U3998" s="99"/>
    </row>
    <row r="3999" spans="20:21" x14ac:dyDescent="0.25">
      <c r="T3999" s="98"/>
      <c r="U3999" s="99"/>
    </row>
    <row r="4000" spans="20:21" x14ac:dyDescent="0.25">
      <c r="T4000" s="98"/>
      <c r="U4000" s="99"/>
    </row>
    <row r="4001" spans="20:21" x14ac:dyDescent="0.25">
      <c r="T4001" s="98"/>
      <c r="U4001" s="99"/>
    </row>
    <row r="4002" spans="20:21" x14ac:dyDescent="0.25">
      <c r="T4002" s="98"/>
      <c r="U4002" s="99"/>
    </row>
    <row r="4003" spans="20:21" x14ac:dyDescent="0.25">
      <c r="T4003" s="98"/>
      <c r="U4003" s="99"/>
    </row>
    <row r="4004" spans="20:21" x14ac:dyDescent="0.25">
      <c r="T4004" s="98"/>
      <c r="U4004" s="99"/>
    </row>
    <row r="4005" spans="20:21" x14ac:dyDescent="0.25">
      <c r="T4005" s="98"/>
      <c r="U4005" s="99"/>
    </row>
    <row r="4006" spans="20:21" x14ac:dyDescent="0.25">
      <c r="T4006" s="98"/>
      <c r="U4006" s="99"/>
    </row>
    <row r="4007" spans="20:21" x14ac:dyDescent="0.25">
      <c r="T4007" s="98"/>
      <c r="U4007" s="99"/>
    </row>
    <row r="4008" spans="20:21" x14ac:dyDescent="0.25">
      <c r="T4008" s="98"/>
      <c r="U4008" s="99"/>
    </row>
    <row r="4009" spans="20:21" x14ac:dyDescent="0.25">
      <c r="T4009" s="98"/>
      <c r="U4009" s="99"/>
    </row>
    <row r="4010" spans="20:21" x14ac:dyDescent="0.25">
      <c r="T4010" s="98"/>
      <c r="U4010" s="99"/>
    </row>
    <row r="4011" spans="20:21" x14ac:dyDescent="0.25">
      <c r="T4011" s="98"/>
      <c r="U4011" s="99"/>
    </row>
    <row r="4012" spans="20:21" x14ac:dyDescent="0.25">
      <c r="T4012" s="98"/>
      <c r="U4012" s="99"/>
    </row>
    <row r="4013" spans="20:21" x14ac:dyDescent="0.25">
      <c r="T4013" s="98"/>
      <c r="U4013" s="99"/>
    </row>
    <row r="4014" spans="20:21" x14ac:dyDescent="0.25">
      <c r="T4014" s="98"/>
      <c r="U4014" s="99"/>
    </row>
    <row r="4015" spans="20:21" x14ac:dyDescent="0.25">
      <c r="T4015" s="98"/>
      <c r="U4015" s="99"/>
    </row>
    <row r="4016" spans="20:21" x14ac:dyDescent="0.25">
      <c r="T4016" s="98"/>
      <c r="U4016" s="99"/>
    </row>
    <row r="4017" spans="20:21" x14ac:dyDescent="0.25">
      <c r="T4017" s="98"/>
      <c r="U4017" s="99"/>
    </row>
    <row r="4018" spans="20:21" x14ac:dyDescent="0.25">
      <c r="T4018" s="98"/>
      <c r="U4018" s="99"/>
    </row>
    <row r="4019" spans="20:21" x14ac:dyDescent="0.25">
      <c r="T4019" s="98"/>
      <c r="U4019" s="99"/>
    </row>
    <row r="4020" spans="20:21" x14ac:dyDescent="0.25">
      <c r="T4020" s="98"/>
      <c r="U4020" s="99"/>
    </row>
    <row r="4021" spans="20:21" x14ac:dyDescent="0.25">
      <c r="T4021" s="98"/>
      <c r="U4021" s="99"/>
    </row>
    <row r="4022" spans="20:21" x14ac:dyDescent="0.25">
      <c r="T4022" s="98"/>
      <c r="U4022" s="99"/>
    </row>
    <row r="4023" spans="20:21" x14ac:dyDescent="0.25">
      <c r="T4023" s="98"/>
      <c r="U4023" s="99"/>
    </row>
    <row r="4024" spans="20:21" x14ac:dyDescent="0.25">
      <c r="T4024" s="98"/>
      <c r="U4024" s="99"/>
    </row>
    <row r="4025" spans="20:21" x14ac:dyDescent="0.25">
      <c r="T4025" s="98"/>
      <c r="U4025" s="99"/>
    </row>
    <row r="4026" spans="20:21" x14ac:dyDescent="0.25">
      <c r="T4026" s="98"/>
      <c r="U4026" s="99"/>
    </row>
    <row r="4027" spans="20:21" x14ac:dyDescent="0.25">
      <c r="T4027" s="98"/>
      <c r="U4027" s="99"/>
    </row>
    <row r="4028" spans="20:21" x14ac:dyDescent="0.25">
      <c r="T4028" s="98"/>
      <c r="U4028" s="99"/>
    </row>
    <row r="4029" spans="20:21" x14ac:dyDescent="0.25">
      <c r="T4029" s="98"/>
      <c r="U4029" s="99"/>
    </row>
    <row r="4030" spans="20:21" x14ac:dyDescent="0.25">
      <c r="T4030" s="98"/>
      <c r="U4030" s="99"/>
    </row>
    <row r="4031" spans="20:21" x14ac:dyDescent="0.25">
      <c r="T4031" s="98"/>
      <c r="U4031" s="99"/>
    </row>
    <row r="4032" spans="20:21" x14ac:dyDescent="0.25">
      <c r="T4032" s="98"/>
      <c r="U4032" s="99"/>
    </row>
    <row r="4033" spans="20:21" x14ac:dyDescent="0.25">
      <c r="T4033" s="98"/>
      <c r="U4033" s="99"/>
    </row>
    <row r="4034" spans="20:21" x14ac:dyDescent="0.25">
      <c r="T4034" s="98"/>
      <c r="U4034" s="99"/>
    </row>
    <row r="4035" spans="20:21" x14ac:dyDescent="0.25">
      <c r="T4035" s="98"/>
      <c r="U4035" s="99"/>
    </row>
    <row r="4036" spans="20:21" x14ac:dyDescent="0.25">
      <c r="T4036" s="98"/>
      <c r="U4036" s="99"/>
    </row>
    <row r="4037" spans="20:21" x14ac:dyDescent="0.25">
      <c r="T4037" s="98"/>
      <c r="U4037" s="99"/>
    </row>
    <row r="4038" spans="20:21" x14ac:dyDescent="0.25">
      <c r="T4038" s="98"/>
      <c r="U4038" s="99"/>
    </row>
    <row r="4039" spans="20:21" x14ac:dyDescent="0.25">
      <c r="T4039" s="98"/>
      <c r="U4039" s="99"/>
    </row>
    <row r="4040" spans="20:21" x14ac:dyDescent="0.25">
      <c r="T4040" s="98"/>
      <c r="U4040" s="99"/>
    </row>
    <row r="4041" spans="20:21" x14ac:dyDescent="0.25">
      <c r="T4041" s="98"/>
      <c r="U4041" s="99"/>
    </row>
    <row r="4042" spans="20:21" x14ac:dyDescent="0.25">
      <c r="T4042" s="98"/>
      <c r="U4042" s="99"/>
    </row>
    <row r="4043" spans="20:21" x14ac:dyDescent="0.25">
      <c r="T4043" s="98"/>
      <c r="U4043" s="99"/>
    </row>
    <row r="4044" spans="20:21" x14ac:dyDescent="0.25">
      <c r="T4044" s="98"/>
      <c r="U4044" s="99"/>
    </row>
    <row r="4045" spans="20:21" x14ac:dyDescent="0.25">
      <c r="T4045" s="98"/>
      <c r="U4045" s="99"/>
    </row>
    <row r="4046" spans="20:21" x14ac:dyDescent="0.25">
      <c r="T4046" s="98"/>
      <c r="U4046" s="99"/>
    </row>
    <row r="4047" spans="20:21" x14ac:dyDescent="0.25">
      <c r="T4047" s="98"/>
      <c r="U4047" s="99"/>
    </row>
    <row r="4048" spans="20:21" x14ac:dyDescent="0.25">
      <c r="T4048" s="98"/>
      <c r="U4048" s="99"/>
    </row>
    <row r="4049" spans="20:21" x14ac:dyDescent="0.25">
      <c r="T4049" s="98"/>
      <c r="U4049" s="99"/>
    </row>
    <row r="4050" spans="20:21" x14ac:dyDescent="0.25">
      <c r="T4050" s="98"/>
      <c r="U4050" s="99"/>
    </row>
    <row r="4051" spans="20:21" x14ac:dyDescent="0.25">
      <c r="T4051" s="98"/>
      <c r="U4051" s="99"/>
    </row>
    <row r="4052" spans="20:21" x14ac:dyDescent="0.25">
      <c r="T4052" s="98"/>
      <c r="U4052" s="99"/>
    </row>
    <row r="4053" spans="20:21" x14ac:dyDescent="0.25">
      <c r="T4053" s="98"/>
      <c r="U4053" s="99"/>
    </row>
    <row r="4054" spans="20:21" x14ac:dyDescent="0.25">
      <c r="T4054" s="98"/>
      <c r="U4054" s="99"/>
    </row>
    <row r="4055" spans="20:21" x14ac:dyDescent="0.25">
      <c r="T4055" s="98"/>
      <c r="U4055" s="99"/>
    </row>
    <row r="4056" spans="20:21" x14ac:dyDescent="0.25">
      <c r="T4056" s="98"/>
      <c r="U4056" s="99"/>
    </row>
    <row r="4057" spans="20:21" x14ac:dyDescent="0.25">
      <c r="T4057" s="98"/>
      <c r="U4057" s="99"/>
    </row>
    <row r="4058" spans="20:21" x14ac:dyDescent="0.25">
      <c r="T4058" s="98"/>
      <c r="U4058" s="99"/>
    </row>
    <row r="4059" spans="20:21" x14ac:dyDescent="0.25">
      <c r="T4059" s="98"/>
      <c r="U4059" s="99"/>
    </row>
    <row r="4060" spans="20:21" x14ac:dyDescent="0.25">
      <c r="T4060" s="98"/>
      <c r="U4060" s="99"/>
    </row>
    <row r="4061" spans="20:21" x14ac:dyDescent="0.25">
      <c r="T4061" s="98"/>
      <c r="U4061" s="99"/>
    </row>
    <row r="4062" spans="20:21" x14ac:dyDescent="0.25">
      <c r="T4062" s="98"/>
      <c r="U4062" s="99"/>
    </row>
    <row r="4063" spans="20:21" x14ac:dyDescent="0.25">
      <c r="T4063" s="98"/>
      <c r="U4063" s="99"/>
    </row>
    <row r="4064" spans="20:21" x14ac:dyDescent="0.25">
      <c r="T4064" s="98"/>
      <c r="U4064" s="99"/>
    </row>
    <row r="4065" spans="20:21" x14ac:dyDescent="0.25">
      <c r="T4065" s="98"/>
      <c r="U4065" s="99"/>
    </row>
    <row r="4066" spans="20:21" x14ac:dyDescent="0.25">
      <c r="T4066" s="98"/>
      <c r="U4066" s="99"/>
    </row>
    <row r="4067" spans="20:21" x14ac:dyDescent="0.25">
      <c r="T4067" s="98"/>
      <c r="U4067" s="99"/>
    </row>
    <row r="4068" spans="20:21" x14ac:dyDescent="0.25">
      <c r="T4068" s="98"/>
      <c r="U4068" s="99"/>
    </row>
    <row r="4069" spans="20:21" x14ac:dyDescent="0.25">
      <c r="T4069" s="98"/>
      <c r="U4069" s="99"/>
    </row>
    <row r="4070" spans="20:21" x14ac:dyDescent="0.25">
      <c r="T4070" s="98"/>
      <c r="U4070" s="99"/>
    </row>
    <row r="4071" spans="20:21" x14ac:dyDescent="0.25">
      <c r="T4071" s="98"/>
      <c r="U4071" s="99"/>
    </row>
    <row r="4072" spans="20:21" x14ac:dyDescent="0.25">
      <c r="T4072" s="98"/>
      <c r="U4072" s="99"/>
    </row>
    <row r="4073" spans="20:21" x14ac:dyDescent="0.25">
      <c r="T4073" s="98"/>
      <c r="U4073" s="99"/>
    </row>
    <row r="4074" spans="20:21" x14ac:dyDescent="0.25">
      <c r="T4074" s="98"/>
      <c r="U4074" s="99"/>
    </row>
    <row r="4075" spans="20:21" x14ac:dyDescent="0.25">
      <c r="T4075" s="98"/>
      <c r="U4075" s="99"/>
    </row>
    <row r="4076" spans="20:21" x14ac:dyDescent="0.25">
      <c r="T4076" s="98"/>
      <c r="U4076" s="99"/>
    </row>
    <row r="4077" spans="20:21" x14ac:dyDescent="0.25">
      <c r="T4077" s="98"/>
      <c r="U4077" s="99"/>
    </row>
    <row r="4078" spans="20:21" x14ac:dyDescent="0.25">
      <c r="T4078" s="98"/>
      <c r="U4078" s="99"/>
    </row>
    <row r="4079" spans="20:21" x14ac:dyDescent="0.25">
      <c r="T4079" s="98"/>
      <c r="U4079" s="99"/>
    </row>
    <row r="4080" spans="20:21" x14ac:dyDescent="0.25">
      <c r="T4080" s="98"/>
      <c r="U4080" s="99"/>
    </row>
    <row r="4081" spans="20:21" x14ac:dyDescent="0.25">
      <c r="T4081" s="98"/>
      <c r="U4081" s="99"/>
    </row>
    <row r="4082" spans="20:21" x14ac:dyDescent="0.25">
      <c r="T4082" s="98"/>
      <c r="U4082" s="99"/>
    </row>
    <row r="4083" spans="20:21" x14ac:dyDescent="0.25">
      <c r="T4083" s="98"/>
      <c r="U4083" s="99"/>
    </row>
    <row r="4084" spans="20:21" x14ac:dyDescent="0.25">
      <c r="T4084" s="98"/>
      <c r="U4084" s="99"/>
    </row>
    <row r="4085" spans="20:21" x14ac:dyDescent="0.25">
      <c r="T4085" s="98"/>
      <c r="U4085" s="99"/>
    </row>
    <row r="4086" spans="20:21" x14ac:dyDescent="0.25">
      <c r="T4086" s="98"/>
      <c r="U4086" s="99"/>
    </row>
    <row r="4087" spans="20:21" x14ac:dyDescent="0.25">
      <c r="T4087" s="98"/>
      <c r="U4087" s="99"/>
    </row>
    <row r="4088" spans="20:21" x14ac:dyDescent="0.25">
      <c r="T4088" s="98"/>
      <c r="U4088" s="99"/>
    </row>
    <row r="4089" spans="20:21" x14ac:dyDescent="0.25">
      <c r="T4089" s="98"/>
      <c r="U4089" s="99"/>
    </row>
    <row r="4090" spans="20:21" x14ac:dyDescent="0.25">
      <c r="T4090" s="98"/>
      <c r="U4090" s="99"/>
    </row>
    <row r="4091" spans="20:21" x14ac:dyDescent="0.25">
      <c r="T4091" s="98"/>
      <c r="U4091" s="99"/>
    </row>
    <row r="4092" spans="20:21" x14ac:dyDescent="0.25">
      <c r="T4092" s="98"/>
      <c r="U4092" s="99"/>
    </row>
    <row r="4093" spans="20:21" x14ac:dyDescent="0.25">
      <c r="T4093" s="98"/>
      <c r="U4093" s="99"/>
    </row>
    <row r="4094" spans="20:21" x14ac:dyDescent="0.25">
      <c r="T4094" s="98"/>
      <c r="U4094" s="99"/>
    </row>
    <row r="4095" spans="20:21" x14ac:dyDescent="0.25">
      <c r="T4095" s="98"/>
      <c r="U4095" s="99"/>
    </row>
    <row r="4096" spans="20:21" x14ac:dyDescent="0.25">
      <c r="T4096" s="98"/>
      <c r="U4096" s="99"/>
    </row>
    <row r="4097" spans="20:21" x14ac:dyDescent="0.25">
      <c r="T4097" s="98"/>
      <c r="U4097" s="99"/>
    </row>
    <row r="4098" spans="20:21" x14ac:dyDescent="0.25">
      <c r="T4098" s="98"/>
      <c r="U4098" s="99"/>
    </row>
    <row r="4099" spans="20:21" x14ac:dyDescent="0.25">
      <c r="T4099" s="98"/>
      <c r="U4099" s="99"/>
    </row>
    <row r="4100" spans="20:21" x14ac:dyDescent="0.25">
      <c r="T4100" s="98"/>
      <c r="U4100" s="99"/>
    </row>
    <row r="4101" spans="20:21" x14ac:dyDescent="0.25">
      <c r="T4101" s="98"/>
      <c r="U4101" s="99"/>
    </row>
    <row r="4102" spans="20:21" x14ac:dyDescent="0.25">
      <c r="T4102" s="98"/>
      <c r="U4102" s="99"/>
    </row>
    <row r="4103" spans="20:21" x14ac:dyDescent="0.25">
      <c r="T4103" s="98"/>
      <c r="U4103" s="99"/>
    </row>
    <row r="4104" spans="20:21" x14ac:dyDescent="0.25">
      <c r="T4104" s="98"/>
      <c r="U4104" s="99"/>
    </row>
    <row r="4105" spans="20:21" x14ac:dyDescent="0.25">
      <c r="T4105" s="98"/>
      <c r="U4105" s="99"/>
    </row>
    <row r="4106" spans="20:21" x14ac:dyDescent="0.25">
      <c r="T4106" s="98"/>
      <c r="U4106" s="99"/>
    </row>
    <row r="4107" spans="20:21" x14ac:dyDescent="0.25">
      <c r="T4107" s="98"/>
      <c r="U4107" s="99"/>
    </row>
    <row r="4108" spans="20:21" x14ac:dyDescent="0.25">
      <c r="T4108" s="98"/>
      <c r="U4108" s="99"/>
    </row>
    <row r="4109" spans="20:21" x14ac:dyDescent="0.25">
      <c r="T4109" s="98"/>
      <c r="U4109" s="99"/>
    </row>
    <row r="4110" spans="20:21" x14ac:dyDescent="0.25">
      <c r="T4110" s="98"/>
      <c r="U4110" s="99"/>
    </row>
    <row r="4111" spans="20:21" x14ac:dyDescent="0.25">
      <c r="T4111" s="98"/>
      <c r="U4111" s="99"/>
    </row>
    <row r="4112" spans="20:21" x14ac:dyDescent="0.25">
      <c r="T4112" s="98"/>
      <c r="U4112" s="99"/>
    </row>
    <row r="4113" spans="20:21" x14ac:dyDescent="0.25">
      <c r="T4113" s="98"/>
      <c r="U4113" s="99"/>
    </row>
    <row r="4114" spans="20:21" x14ac:dyDescent="0.25">
      <c r="T4114" s="98"/>
      <c r="U4114" s="99"/>
    </row>
    <row r="4115" spans="20:21" x14ac:dyDescent="0.25">
      <c r="T4115" s="98"/>
      <c r="U4115" s="99"/>
    </row>
    <row r="4116" spans="20:21" x14ac:dyDescent="0.25">
      <c r="T4116" s="98"/>
      <c r="U4116" s="99"/>
    </row>
    <row r="4117" spans="20:21" x14ac:dyDescent="0.25">
      <c r="T4117" s="98"/>
      <c r="U4117" s="99"/>
    </row>
    <row r="4118" spans="20:21" x14ac:dyDescent="0.25">
      <c r="T4118" s="98"/>
      <c r="U4118" s="99"/>
    </row>
    <row r="4119" spans="20:21" x14ac:dyDescent="0.25">
      <c r="T4119" s="98"/>
      <c r="U4119" s="99"/>
    </row>
    <row r="4120" spans="20:21" x14ac:dyDescent="0.25">
      <c r="T4120" s="98"/>
      <c r="U4120" s="99"/>
    </row>
    <row r="4121" spans="20:21" x14ac:dyDescent="0.25">
      <c r="T4121" s="98"/>
      <c r="U4121" s="99"/>
    </row>
    <row r="4122" spans="20:21" x14ac:dyDescent="0.25">
      <c r="T4122" s="98"/>
      <c r="U4122" s="99"/>
    </row>
    <row r="4123" spans="20:21" x14ac:dyDescent="0.25">
      <c r="T4123" s="98"/>
      <c r="U4123" s="99"/>
    </row>
    <row r="4124" spans="20:21" x14ac:dyDescent="0.25">
      <c r="T4124" s="98"/>
      <c r="U4124" s="99"/>
    </row>
    <row r="4125" spans="20:21" x14ac:dyDescent="0.25">
      <c r="T4125" s="98"/>
      <c r="U4125" s="99"/>
    </row>
    <row r="4126" spans="20:21" x14ac:dyDescent="0.25">
      <c r="T4126" s="98"/>
      <c r="U4126" s="99"/>
    </row>
    <row r="4127" spans="20:21" x14ac:dyDescent="0.25">
      <c r="T4127" s="98"/>
      <c r="U4127" s="99"/>
    </row>
    <row r="4128" spans="20:21" x14ac:dyDescent="0.25">
      <c r="T4128" s="98"/>
      <c r="U4128" s="99"/>
    </row>
    <row r="4129" spans="20:21" x14ac:dyDescent="0.25">
      <c r="T4129" s="98"/>
      <c r="U4129" s="99"/>
    </row>
    <row r="4130" spans="20:21" x14ac:dyDescent="0.25">
      <c r="T4130" s="98"/>
      <c r="U4130" s="99"/>
    </row>
    <row r="4131" spans="20:21" x14ac:dyDescent="0.25">
      <c r="T4131" s="98"/>
      <c r="U4131" s="99"/>
    </row>
    <row r="4132" spans="20:21" x14ac:dyDescent="0.25">
      <c r="T4132" s="98"/>
      <c r="U4132" s="99"/>
    </row>
    <row r="4133" spans="20:21" x14ac:dyDescent="0.25">
      <c r="T4133" s="98"/>
      <c r="U4133" s="99"/>
    </row>
    <row r="4134" spans="20:21" x14ac:dyDescent="0.25">
      <c r="T4134" s="98"/>
      <c r="U4134" s="99"/>
    </row>
    <row r="4135" spans="20:21" x14ac:dyDescent="0.25">
      <c r="T4135" s="98"/>
      <c r="U4135" s="99"/>
    </row>
    <row r="4136" spans="20:21" x14ac:dyDescent="0.25">
      <c r="T4136" s="98"/>
      <c r="U4136" s="99"/>
    </row>
    <row r="4137" spans="20:21" x14ac:dyDescent="0.25">
      <c r="T4137" s="98"/>
      <c r="U4137" s="99"/>
    </row>
    <row r="4138" spans="20:21" x14ac:dyDescent="0.25">
      <c r="T4138" s="98"/>
      <c r="U4138" s="99"/>
    </row>
    <row r="4139" spans="20:21" x14ac:dyDescent="0.25">
      <c r="T4139" s="98"/>
      <c r="U4139" s="99"/>
    </row>
    <row r="4140" spans="20:21" x14ac:dyDescent="0.25">
      <c r="T4140" s="98"/>
      <c r="U4140" s="99"/>
    </row>
    <row r="4141" spans="20:21" x14ac:dyDescent="0.25">
      <c r="T4141" s="98"/>
      <c r="U4141" s="99"/>
    </row>
    <row r="4142" spans="20:21" x14ac:dyDescent="0.25">
      <c r="T4142" s="98"/>
      <c r="U4142" s="99"/>
    </row>
    <row r="4143" spans="20:21" x14ac:dyDescent="0.25">
      <c r="T4143" s="98"/>
      <c r="U4143" s="99"/>
    </row>
    <row r="4144" spans="20:21" x14ac:dyDescent="0.25">
      <c r="T4144" s="98"/>
      <c r="U4144" s="99"/>
    </row>
    <row r="4145" spans="20:21" x14ac:dyDescent="0.25">
      <c r="T4145" s="98"/>
      <c r="U4145" s="99"/>
    </row>
    <row r="4146" spans="20:21" x14ac:dyDescent="0.25">
      <c r="T4146" s="98"/>
      <c r="U4146" s="99"/>
    </row>
    <row r="4147" spans="20:21" x14ac:dyDescent="0.25">
      <c r="T4147" s="98"/>
      <c r="U4147" s="99"/>
    </row>
    <row r="4148" spans="20:21" x14ac:dyDescent="0.25">
      <c r="T4148" s="98"/>
      <c r="U4148" s="99"/>
    </row>
    <row r="4149" spans="20:21" x14ac:dyDescent="0.25">
      <c r="T4149" s="98"/>
      <c r="U4149" s="99"/>
    </row>
    <row r="4150" spans="20:21" x14ac:dyDescent="0.25">
      <c r="T4150" s="98"/>
      <c r="U4150" s="99"/>
    </row>
    <row r="4151" spans="20:21" x14ac:dyDescent="0.25">
      <c r="T4151" s="98"/>
      <c r="U4151" s="99"/>
    </row>
    <row r="4152" spans="20:21" x14ac:dyDescent="0.25">
      <c r="T4152" s="98"/>
      <c r="U4152" s="99"/>
    </row>
    <row r="4153" spans="20:21" x14ac:dyDescent="0.25">
      <c r="T4153" s="98"/>
      <c r="U4153" s="99"/>
    </row>
    <row r="4154" spans="20:21" x14ac:dyDescent="0.25">
      <c r="T4154" s="98"/>
      <c r="U4154" s="99"/>
    </row>
    <row r="4155" spans="20:21" x14ac:dyDescent="0.25">
      <c r="T4155" s="98"/>
      <c r="U4155" s="99"/>
    </row>
    <row r="4156" spans="20:21" x14ac:dyDescent="0.25">
      <c r="T4156" s="98"/>
      <c r="U4156" s="99"/>
    </row>
    <row r="4157" spans="20:21" x14ac:dyDescent="0.25">
      <c r="T4157" s="98"/>
      <c r="U4157" s="99"/>
    </row>
    <row r="4158" spans="20:21" x14ac:dyDescent="0.25">
      <c r="T4158" s="98"/>
      <c r="U4158" s="99"/>
    </row>
    <row r="4159" spans="20:21" x14ac:dyDescent="0.25">
      <c r="T4159" s="98"/>
      <c r="U4159" s="99"/>
    </row>
    <row r="4160" spans="20:21" x14ac:dyDescent="0.25">
      <c r="T4160" s="98"/>
      <c r="U4160" s="99"/>
    </row>
    <row r="4161" spans="20:21" x14ac:dyDescent="0.25">
      <c r="T4161" s="98"/>
      <c r="U4161" s="99"/>
    </row>
    <row r="4162" spans="20:21" x14ac:dyDescent="0.25">
      <c r="T4162" s="98"/>
      <c r="U4162" s="99"/>
    </row>
    <row r="4163" spans="20:21" x14ac:dyDescent="0.25">
      <c r="T4163" s="98"/>
      <c r="U4163" s="99"/>
    </row>
    <row r="4164" spans="20:21" x14ac:dyDescent="0.25">
      <c r="T4164" s="98"/>
      <c r="U4164" s="99"/>
    </row>
    <row r="4165" spans="20:21" x14ac:dyDescent="0.25">
      <c r="T4165" s="98"/>
      <c r="U4165" s="99"/>
    </row>
    <row r="4166" spans="20:21" x14ac:dyDescent="0.25">
      <c r="T4166" s="98"/>
      <c r="U4166" s="99"/>
    </row>
    <row r="4167" spans="20:21" x14ac:dyDescent="0.25">
      <c r="T4167" s="98"/>
      <c r="U4167" s="99"/>
    </row>
    <row r="4168" spans="20:21" x14ac:dyDescent="0.25">
      <c r="T4168" s="98"/>
      <c r="U4168" s="99"/>
    </row>
    <row r="4169" spans="20:21" x14ac:dyDescent="0.25">
      <c r="T4169" s="98"/>
      <c r="U4169" s="99"/>
    </row>
    <row r="4170" spans="20:21" x14ac:dyDescent="0.25">
      <c r="T4170" s="98"/>
      <c r="U4170" s="99"/>
    </row>
    <row r="4171" spans="20:21" x14ac:dyDescent="0.25">
      <c r="T4171" s="98"/>
      <c r="U4171" s="99"/>
    </row>
    <row r="4172" spans="20:21" x14ac:dyDescent="0.25">
      <c r="T4172" s="98"/>
      <c r="U4172" s="99"/>
    </row>
    <row r="4173" spans="20:21" x14ac:dyDescent="0.25">
      <c r="T4173" s="98"/>
      <c r="U4173" s="99"/>
    </row>
    <row r="4174" spans="20:21" x14ac:dyDescent="0.25">
      <c r="T4174" s="98"/>
      <c r="U4174" s="99"/>
    </row>
    <row r="4175" spans="20:21" x14ac:dyDescent="0.25">
      <c r="T4175" s="98"/>
      <c r="U4175" s="99"/>
    </row>
    <row r="4176" spans="20:21" x14ac:dyDescent="0.25">
      <c r="T4176" s="98"/>
      <c r="U4176" s="99"/>
    </row>
    <row r="4177" spans="20:21" x14ac:dyDescent="0.25">
      <c r="T4177" s="98"/>
      <c r="U4177" s="99"/>
    </row>
    <row r="4178" spans="20:21" x14ac:dyDescent="0.25">
      <c r="T4178" s="98"/>
      <c r="U4178" s="99"/>
    </row>
    <row r="4179" spans="20:21" x14ac:dyDescent="0.25">
      <c r="T4179" s="98"/>
      <c r="U4179" s="99"/>
    </row>
    <row r="4180" spans="20:21" x14ac:dyDescent="0.25">
      <c r="T4180" s="98"/>
      <c r="U4180" s="99"/>
    </row>
    <row r="4181" spans="20:21" x14ac:dyDescent="0.25">
      <c r="T4181" s="98"/>
      <c r="U4181" s="99"/>
    </row>
    <row r="4182" spans="20:21" x14ac:dyDescent="0.25">
      <c r="T4182" s="98"/>
      <c r="U4182" s="99"/>
    </row>
    <row r="4183" spans="20:21" x14ac:dyDescent="0.25">
      <c r="T4183" s="98"/>
      <c r="U4183" s="99"/>
    </row>
    <row r="4184" spans="20:21" x14ac:dyDescent="0.25">
      <c r="T4184" s="98"/>
      <c r="U4184" s="99"/>
    </row>
    <row r="4185" spans="20:21" x14ac:dyDescent="0.25">
      <c r="T4185" s="98"/>
      <c r="U4185" s="99"/>
    </row>
    <row r="4186" spans="20:21" x14ac:dyDescent="0.25">
      <c r="T4186" s="98"/>
      <c r="U4186" s="99"/>
    </row>
    <row r="4187" spans="20:21" x14ac:dyDescent="0.25">
      <c r="T4187" s="98"/>
      <c r="U4187" s="99"/>
    </row>
    <row r="4188" spans="20:21" x14ac:dyDescent="0.25">
      <c r="T4188" s="98"/>
      <c r="U4188" s="99"/>
    </row>
    <row r="4189" spans="20:21" x14ac:dyDescent="0.25">
      <c r="T4189" s="98"/>
      <c r="U4189" s="99"/>
    </row>
    <row r="4190" spans="20:21" x14ac:dyDescent="0.25">
      <c r="T4190" s="98"/>
      <c r="U4190" s="99"/>
    </row>
    <row r="4191" spans="20:21" x14ac:dyDescent="0.25">
      <c r="T4191" s="98"/>
      <c r="U4191" s="99"/>
    </row>
    <row r="4192" spans="20:21" x14ac:dyDescent="0.25">
      <c r="T4192" s="98"/>
      <c r="U4192" s="99"/>
    </row>
    <row r="4193" spans="20:21" x14ac:dyDescent="0.25">
      <c r="T4193" s="98"/>
      <c r="U4193" s="99"/>
    </row>
    <row r="4194" spans="20:21" x14ac:dyDescent="0.25">
      <c r="T4194" s="98"/>
      <c r="U4194" s="99"/>
    </row>
    <row r="4195" spans="20:21" x14ac:dyDescent="0.25">
      <c r="T4195" s="98"/>
      <c r="U4195" s="99"/>
    </row>
    <row r="4196" spans="20:21" x14ac:dyDescent="0.25">
      <c r="T4196" s="98"/>
      <c r="U4196" s="99"/>
    </row>
    <row r="4197" spans="20:21" x14ac:dyDescent="0.25">
      <c r="T4197" s="98"/>
      <c r="U4197" s="99"/>
    </row>
    <row r="4198" spans="20:21" x14ac:dyDescent="0.25">
      <c r="T4198" s="98"/>
      <c r="U4198" s="99"/>
    </row>
    <row r="4199" spans="20:21" x14ac:dyDescent="0.25">
      <c r="T4199" s="98"/>
      <c r="U4199" s="99"/>
    </row>
    <row r="4200" spans="20:21" x14ac:dyDescent="0.25">
      <c r="T4200" s="98"/>
      <c r="U4200" s="99"/>
    </row>
    <row r="4201" spans="20:21" x14ac:dyDescent="0.25">
      <c r="T4201" s="98"/>
      <c r="U4201" s="99"/>
    </row>
    <row r="4202" spans="20:21" x14ac:dyDescent="0.25">
      <c r="T4202" s="98"/>
      <c r="U4202" s="99"/>
    </row>
    <row r="4203" spans="20:21" x14ac:dyDescent="0.25">
      <c r="T4203" s="98"/>
      <c r="U4203" s="99"/>
    </row>
    <row r="4204" spans="20:21" x14ac:dyDescent="0.25">
      <c r="T4204" s="98"/>
      <c r="U4204" s="99"/>
    </row>
    <row r="4205" spans="20:21" x14ac:dyDescent="0.25">
      <c r="T4205" s="98"/>
      <c r="U4205" s="99"/>
    </row>
    <row r="4206" spans="20:21" x14ac:dyDescent="0.25">
      <c r="T4206" s="98"/>
      <c r="U4206" s="99"/>
    </row>
    <row r="4207" spans="20:21" x14ac:dyDescent="0.25">
      <c r="T4207" s="98"/>
      <c r="U4207" s="99"/>
    </row>
    <row r="4208" spans="20:21" x14ac:dyDescent="0.25">
      <c r="T4208" s="98"/>
      <c r="U4208" s="99"/>
    </row>
    <row r="4209" spans="20:21" x14ac:dyDescent="0.25">
      <c r="T4209" s="98"/>
      <c r="U4209" s="99"/>
    </row>
    <row r="4210" spans="20:21" x14ac:dyDescent="0.25">
      <c r="T4210" s="98"/>
      <c r="U4210" s="99"/>
    </row>
    <row r="4211" spans="20:21" x14ac:dyDescent="0.25">
      <c r="T4211" s="98"/>
      <c r="U4211" s="99"/>
    </row>
    <row r="4212" spans="20:21" x14ac:dyDescent="0.25">
      <c r="T4212" s="98"/>
      <c r="U4212" s="99"/>
    </row>
    <row r="4213" spans="20:21" x14ac:dyDescent="0.25">
      <c r="T4213" s="98"/>
      <c r="U4213" s="99"/>
    </row>
    <row r="4214" spans="20:21" x14ac:dyDescent="0.25">
      <c r="T4214" s="98"/>
      <c r="U4214" s="99"/>
    </row>
    <row r="4215" spans="20:21" x14ac:dyDescent="0.25">
      <c r="T4215" s="98"/>
      <c r="U4215" s="99"/>
    </row>
    <row r="4216" spans="20:21" x14ac:dyDescent="0.25">
      <c r="T4216" s="98"/>
      <c r="U4216" s="99"/>
    </row>
    <row r="4217" spans="20:21" x14ac:dyDescent="0.25">
      <c r="T4217" s="98"/>
      <c r="U4217" s="99"/>
    </row>
    <row r="4218" spans="20:21" x14ac:dyDescent="0.25">
      <c r="T4218" s="98"/>
      <c r="U4218" s="99"/>
    </row>
    <row r="4219" spans="20:21" x14ac:dyDescent="0.25">
      <c r="T4219" s="98"/>
      <c r="U4219" s="99"/>
    </row>
    <row r="4220" spans="20:21" x14ac:dyDescent="0.25">
      <c r="T4220" s="98"/>
      <c r="U4220" s="99"/>
    </row>
    <row r="4221" spans="20:21" x14ac:dyDescent="0.25">
      <c r="T4221" s="98"/>
      <c r="U4221" s="99"/>
    </row>
    <row r="4222" spans="20:21" x14ac:dyDescent="0.25">
      <c r="T4222" s="98"/>
      <c r="U4222" s="99"/>
    </row>
    <row r="4223" spans="20:21" x14ac:dyDescent="0.25">
      <c r="T4223" s="98"/>
      <c r="U4223" s="99"/>
    </row>
    <row r="4224" spans="20:21" x14ac:dyDescent="0.25">
      <c r="T4224" s="98"/>
      <c r="U4224" s="99"/>
    </row>
    <row r="4225" spans="20:21" x14ac:dyDescent="0.25">
      <c r="T4225" s="98"/>
      <c r="U4225" s="99"/>
    </row>
    <row r="4226" spans="20:21" x14ac:dyDescent="0.25">
      <c r="T4226" s="98"/>
      <c r="U4226" s="99"/>
    </row>
    <row r="4227" spans="20:21" x14ac:dyDescent="0.25">
      <c r="T4227" s="98"/>
      <c r="U4227" s="99"/>
    </row>
    <row r="4228" spans="20:21" x14ac:dyDescent="0.25">
      <c r="T4228" s="98"/>
      <c r="U4228" s="99"/>
    </row>
    <row r="4229" spans="20:21" x14ac:dyDescent="0.25">
      <c r="T4229" s="98"/>
      <c r="U4229" s="99"/>
    </row>
    <row r="4230" spans="20:21" x14ac:dyDescent="0.25">
      <c r="T4230" s="98"/>
      <c r="U4230" s="99"/>
    </row>
    <row r="4231" spans="20:21" x14ac:dyDescent="0.25">
      <c r="T4231" s="98"/>
      <c r="U4231" s="99"/>
    </row>
    <row r="4232" spans="20:21" x14ac:dyDescent="0.25">
      <c r="T4232" s="98"/>
      <c r="U4232" s="99"/>
    </row>
    <row r="4233" spans="20:21" x14ac:dyDescent="0.25">
      <c r="T4233" s="98"/>
      <c r="U4233" s="99"/>
    </row>
    <row r="4234" spans="20:21" x14ac:dyDescent="0.25">
      <c r="T4234" s="98"/>
      <c r="U4234" s="99"/>
    </row>
    <row r="4235" spans="20:21" x14ac:dyDescent="0.25">
      <c r="T4235" s="98"/>
      <c r="U4235" s="99"/>
    </row>
    <row r="4236" spans="20:21" x14ac:dyDescent="0.25">
      <c r="T4236" s="98"/>
      <c r="U4236" s="99"/>
    </row>
    <row r="4237" spans="20:21" x14ac:dyDescent="0.25">
      <c r="T4237" s="98"/>
      <c r="U4237" s="99"/>
    </row>
    <row r="4238" spans="20:21" x14ac:dyDescent="0.25">
      <c r="T4238" s="98"/>
      <c r="U4238" s="99"/>
    </row>
    <row r="4239" spans="20:21" x14ac:dyDescent="0.25">
      <c r="T4239" s="98"/>
      <c r="U4239" s="99"/>
    </row>
    <row r="4240" spans="20:21" x14ac:dyDescent="0.25">
      <c r="T4240" s="98"/>
      <c r="U4240" s="99"/>
    </row>
    <row r="4241" spans="20:21" x14ac:dyDescent="0.25">
      <c r="T4241" s="98"/>
      <c r="U4241" s="99"/>
    </row>
    <row r="4242" spans="20:21" x14ac:dyDescent="0.25">
      <c r="T4242" s="98"/>
      <c r="U4242" s="99"/>
    </row>
    <row r="4243" spans="20:21" x14ac:dyDescent="0.25">
      <c r="T4243" s="98"/>
      <c r="U4243" s="99"/>
    </row>
    <row r="4244" spans="20:21" x14ac:dyDescent="0.25">
      <c r="T4244" s="98"/>
      <c r="U4244" s="99"/>
    </row>
    <row r="4245" spans="20:21" x14ac:dyDescent="0.25">
      <c r="T4245" s="98"/>
      <c r="U4245" s="99"/>
    </row>
    <row r="4246" spans="20:21" x14ac:dyDescent="0.25">
      <c r="T4246" s="98"/>
      <c r="U4246" s="99"/>
    </row>
    <row r="4247" spans="20:21" x14ac:dyDescent="0.25">
      <c r="T4247" s="98"/>
      <c r="U4247" s="99"/>
    </row>
    <row r="4248" spans="20:21" x14ac:dyDescent="0.25">
      <c r="T4248" s="98"/>
      <c r="U4248" s="99"/>
    </row>
    <row r="4249" spans="20:21" x14ac:dyDescent="0.25">
      <c r="T4249" s="98"/>
      <c r="U4249" s="99"/>
    </row>
    <row r="4250" spans="20:21" x14ac:dyDescent="0.25">
      <c r="T4250" s="98"/>
      <c r="U4250" s="99"/>
    </row>
    <row r="4251" spans="20:21" x14ac:dyDescent="0.25">
      <c r="T4251" s="98"/>
      <c r="U4251" s="99"/>
    </row>
    <row r="4252" spans="20:21" x14ac:dyDescent="0.25">
      <c r="T4252" s="98"/>
      <c r="U4252" s="99"/>
    </row>
    <row r="4253" spans="20:21" x14ac:dyDescent="0.25">
      <c r="T4253" s="98"/>
      <c r="U4253" s="99"/>
    </row>
    <row r="4254" spans="20:21" x14ac:dyDescent="0.25">
      <c r="T4254" s="98"/>
      <c r="U4254" s="99"/>
    </row>
    <row r="4255" spans="20:21" x14ac:dyDescent="0.25">
      <c r="T4255" s="98"/>
      <c r="U4255" s="99"/>
    </row>
    <row r="4256" spans="20:21" x14ac:dyDescent="0.25">
      <c r="T4256" s="98"/>
      <c r="U4256" s="99"/>
    </row>
    <row r="4257" spans="20:21" x14ac:dyDescent="0.25">
      <c r="T4257" s="98"/>
      <c r="U4257" s="99"/>
    </row>
    <row r="4258" spans="20:21" x14ac:dyDescent="0.25">
      <c r="T4258" s="98"/>
      <c r="U4258" s="99"/>
    </row>
    <row r="4259" spans="20:21" x14ac:dyDescent="0.25">
      <c r="T4259" s="98"/>
      <c r="U4259" s="99"/>
    </row>
    <row r="4260" spans="20:21" x14ac:dyDescent="0.25">
      <c r="T4260" s="98"/>
      <c r="U4260" s="99"/>
    </row>
    <row r="4261" spans="20:21" x14ac:dyDescent="0.25">
      <c r="T4261" s="98"/>
      <c r="U4261" s="99"/>
    </row>
    <row r="4262" spans="20:21" x14ac:dyDescent="0.25">
      <c r="T4262" s="98"/>
      <c r="U4262" s="99"/>
    </row>
    <row r="4263" spans="20:21" x14ac:dyDescent="0.25">
      <c r="T4263" s="98"/>
      <c r="U4263" s="99"/>
    </row>
    <row r="4264" spans="20:21" x14ac:dyDescent="0.25">
      <c r="T4264" s="98"/>
      <c r="U4264" s="99"/>
    </row>
    <row r="4265" spans="20:21" x14ac:dyDescent="0.25">
      <c r="T4265" s="98"/>
      <c r="U4265" s="99"/>
    </row>
    <row r="4266" spans="20:21" x14ac:dyDescent="0.25">
      <c r="T4266" s="98"/>
      <c r="U4266" s="99"/>
    </row>
    <row r="4267" spans="20:21" x14ac:dyDescent="0.25">
      <c r="T4267" s="98"/>
      <c r="U4267" s="99"/>
    </row>
    <row r="4268" spans="20:21" x14ac:dyDescent="0.25">
      <c r="T4268" s="98"/>
      <c r="U4268" s="99"/>
    </row>
    <row r="4269" spans="20:21" x14ac:dyDescent="0.25">
      <c r="T4269" s="98"/>
      <c r="U4269" s="99"/>
    </row>
    <row r="4270" spans="20:21" x14ac:dyDescent="0.25">
      <c r="T4270" s="98"/>
      <c r="U4270" s="99"/>
    </row>
    <row r="4271" spans="20:21" x14ac:dyDescent="0.25">
      <c r="T4271" s="98"/>
      <c r="U4271" s="99"/>
    </row>
    <row r="4272" spans="20:21" x14ac:dyDescent="0.25">
      <c r="T4272" s="98"/>
      <c r="U4272" s="99"/>
    </row>
    <row r="4273" spans="20:21" x14ac:dyDescent="0.25">
      <c r="T4273" s="98"/>
      <c r="U4273" s="99"/>
    </row>
    <row r="4274" spans="20:21" x14ac:dyDescent="0.25">
      <c r="T4274" s="98"/>
      <c r="U4274" s="99"/>
    </row>
    <row r="4275" spans="20:21" x14ac:dyDescent="0.25">
      <c r="T4275" s="98"/>
      <c r="U4275" s="99"/>
    </row>
    <row r="4276" spans="20:21" x14ac:dyDescent="0.25">
      <c r="T4276" s="98"/>
      <c r="U4276" s="99"/>
    </row>
    <row r="4277" spans="20:21" x14ac:dyDescent="0.25">
      <c r="T4277" s="98"/>
      <c r="U4277" s="99"/>
    </row>
    <row r="4278" spans="20:21" x14ac:dyDescent="0.25">
      <c r="T4278" s="98"/>
      <c r="U4278" s="99"/>
    </row>
    <row r="4279" spans="20:21" x14ac:dyDescent="0.25">
      <c r="T4279" s="98"/>
      <c r="U4279" s="99"/>
    </row>
    <row r="4280" spans="20:21" x14ac:dyDescent="0.25">
      <c r="T4280" s="98"/>
      <c r="U4280" s="99"/>
    </row>
    <row r="4281" spans="20:21" x14ac:dyDescent="0.25">
      <c r="T4281" s="98"/>
      <c r="U4281" s="99"/>
    </row>
    <row r="4282" spans="20:21" x14ac:dyDescent="0.25">
      <c r="T4282" s="98"/>
      <c r="U4282" s="99"/>
    </row>
    <row r="4283" spans="20:21" x14ac:dyDescent="0.25">
      <c r="T4283" s="98"/>
      <c r="U4283" s="99"/>
    </row>
    <row r="4284" spans="20:21" x14ac:dyDescent="0.25">
      <c r="T4284" s="98"/>
      <c r="U4284" s="99"/>
    </row>
    <row r="4285" spans="20:21" x14ac:dyDescent="0.25">
      <c r="T4285" s="98"/>
      <c r="U4285" s="99"/>
    </row>
    <row r="4286" spans="20:21" x14ac:dyDescent="0.25">
      <c r="T4286" s="98"/>
      <c r="U4286" s="99"/>
    </row>
    <row r="4287" spans="20:21" x14ac:dyDescent="0.25">
      <c r="T4287" s="98"/>
      <c r="U4287" s="99"/>
    </row>
    <row r="4288" spans="20:21" x14ac:dyDescent="0.25">
      <c r="T4288" s="98"/>
      <c r="U4288" s="99"/>
    </row>
    <row r="4289" spans="20:21" x14ac:dyDescent="0.25">
      <c r="T4289" s="98"/>
      <c r="U4289" s="99"/>
    </row>
    <row r="4290" spans="20:21" x14ac:dyDescent="0.25">
      <c r="T4290" s="98"/>
      <c r="U4290" s="99"/>
    </row>
    <row r="4291" spans="20:21" x14ac:dyDescent="0.25">
      <c r="T4291" s="98"/>
      <c r="U4291" s="99"/>
    </row>
    <row r="4292" spans="20:21" x14ac:dyDescent="0.25">
      <c r="T4292" s="98"/>
      <c r="U4292" s="99"/>
    </row>
    <row r="4293" spans="20:21" x14ac:dyDescent="0.25">
      <c r="T4293" s="98"/>
      <c r="U4293" s="99"/>
    </row>
    <row r="4294" spans="20:21" x14ac:dyDescent="0.25">
      <c r="T4294" s="98"/>
      <c r="U4294" s="99"/>
    </row>
    <row r="4295" spans="20:21" x14ac:dyDescent="0.25">
      <c r="T4295" s="98"/>
      <c r="U4295" s="99"/>
    </row>
    <row r="4296" spans="20:21" x14ac:dyDescent="0.25">
      <c r="T4296" s="98"/>
      <c r="U4296" s="99"/>
    </row>
    <row r="4297" spans="20:21" x14ac:dyDescent="0.25">
      <c r="T4297" s="98"/>
      <c r="U4297" s="99"/>
    </row>
    <row r="4298" spans="20:21" x14ac:dyDescent="0.25">
      <c r="T4298" s="98"/>
      <c r="U4298" s="99"/>
    </row>
    <row r="4299" spans="20:21" x14ac:dyDescent="0.25">
      <c r="T4299" s="98"/>
      <c r="U4299" s="99"/>
    </row>
    <row r="4300" spans="20:21" x14ac:dyDescent="0.25">
      <c r="T4300" s="98"/>
      <c r="U4300" s="99"/>
    </row>
    <row r="4301" spans="20:21" x14ac:dyDescent="0.25">
      <c r="T4301" s="98"/>
      <c r="U4301" s="99"/>
    </row>
    <row r="4302" spans="20:21" x14ac:dyDescent="0.25">
      <c r="T4302" s="98"/>
      <c r="U4302" s="99"/>
    </row>
    <row r="4303" spans="20:21" x14ac:dyDescent="0.25">
      <c r="T4303" s="98"/>
      <c r="U4303" s="99"/>
    </row>
    <row r="4304" spans="20:21" x14ac:dyDescent="0.25">
      <c r="T4304" s="98"/>
      <c r="U4304" s="99"/>
    </row>
    <row r="4305" spans="20:21" x14ac:dyDescent="0.25">
      <c r="T4305" s="98"/>
      <c r="U4305" s="99"/>
    </row>
    <row r="4306" spans="20:21" x14ac:dyDescent="0.25">
      <c r="T4306" s="98"/>
      <c r="U4306" s="99"/>
    </row>
    <row r="4307" spans="20:21" x14ac:dyDescent="0.25">
      <c r="T4307" s="98"/>
      <c r="U4307" s="99"/>
    </row>
    <row r="4308" spans="20:21" x14ac:dyDescent="0.25">
      <c r="T4308" s="98"/>
      <c r="U4308" s="99"/>
    </row>
    <row r="4309" spans="20:21" x14ac:dyDescent="0.25">
      <c r="T4309" s="98"/>
      <c r="U4309" s="99"/>
    </row>
    <row r="4310" spans="20:21" x14ac:dyDescent="0.25">
      <c r="T4310" s="98"/>
      <c r="U4310" s="99"/>
    </row>
    <row r="4311" spans="20:21" x14ac:dyDescent="0.25">
      <c r="T4311" s="98"/>
      <c r="U4311" s="99"/>
    </row>
    <row r="4312" spans="20:21" x14ac:dyDescent="0.25">
      <c r="T4312" s="98"/>
      <c r="U4312" s="99"/>
    </row>
    <row r="4313" spans="20:21" x14ac:dyDescent="0.25">
      <c r="T4313" s="98"/>
      <c r="U4313" s="99"/>
    </row>
    <row r="4314" spans="20:21" x14ac:dyDescent="0.25">
      <c r="T4314" s="98"/>
      <c r="U4314" s="99"/>
    </row>
    <row r="4315" spans="20:21" x14ac:dyDescent="0.25">
      <c r="T4315" s="98"/>
      <c r="U4315" s="99"/>
    </row>
    <row r="4316" spans="20:21" x14ac:dyDescent="0.25">
      <c r="T4316" s="98"/>
      <c r="U4316" s="99"/>
    </row>
    <row r="4317" spans="20:21" x14ac:dyDescent="0.25">
      <c r="T4317" s="98"/>
      <c r="U4317" s="99"/>
    </row>
    <row r="4318" spans="20:21" x14ac:dyDescent="0.25">
      <c r="T4318" s="98"/>
      <c r="U4318" s="99"/>
    </row>
    <row r="4319" spans="20:21" x14ac:dyDescent="0.25">
      <c r="T4319" s="98"/>
      <c r="U4319" s="99"/>
    </row>
    <row r="4320" spans="20:21" x14ac:dyDescent="0.25">
      <c r="T4320" s="98"/>
      <c r="U4320" s="99"/>
    </row>
    <row r="4321" spans="20:21" x14ac:dyDescent="0.25">
      <c r="T4321" s="98"/>
      <c r="U4321" s="99"/>
    </row>
    <row r="4322" spans="20:21" x14ac:dyDescent="0.25">
      <c r="T4322" s="98"/>
      <c r="U4322" s="99"/>
    </row>
    <row r="4323" spans="20:21" x14ac:dyDescent="0.25">
      <c r="T4323" s="98"/>
      <c r="U4323" s="99"/>
    </row>
    <row r="4324" spans="20:21" x14ac:dyDescent="0.25">
      <c r="T4324" s="98"/>
      <c r="U4324" s="99"/>
    </row>
    <row r="4325" spans="20:21" x14ac:dyDescent="0.25">
      <c r="T4325" s="98"/>
      <c r="U4325" s="99"/>
    </row>
    <row r="4326" spans="20:21" x14ac:dyDescent="0.25">
      <c r="T4326" s="98"/>
      <c r="U4326" s="99"/>
    </row>
    <row r="4327" spans="20:21" x14ac:dyDescent="0.25">
      <c r="T4327" s="98"/>
      <c r="U4327" s="99"/>
    </row>
    <row r="4328" spans="20:21" x14ac:dyDescent="0.25">
      <c r="T4328" s="98"/>
      <c r="U4328" s="99"/>
    </row>
    <row r="4329" spans="20:21" x14ac:dyDescent="0.25">
      <c r="T4329" s="98"/>
      <c r="U4329" s="99"/>
    </row>
    <row r="4330" spans="20:21" x14ac:dyDescent="0.25">
      <c r="T4330" s="98"/>
      <c r="U4330" s="99"/>
    </row>
    <row r="4331" spans="20:21" x14ac:dyDescent="0.25">
      <c r="T4331" s="98"/>
      <c r="U4331" s="99"/>
    </row>
    <row r="4332" spans="20:21" x14ac:dyDescent="0.25">
      <c r="T4332" s="98"/>
      <c r="U4332" s="99"/>
    </row>
    <row r="4333" spans="20:21" x14ac:dyDescent="0.25">
      <c r="T4333" s="98"/>
      <c r="U4333" s="99"/>
    </row>
    <row r="4334" spans="20:21" x14ac:dyDescent="0.25">
      <c r="T4334" s="98"/>
      <c r="U4334" s="99"/>
    </row>
    <row r="4335" spans="20:21" x14ac:dyDescent="0.25">
      <c r="T4335" s="98"/>
      <c r="U4335" s="99"/>
    </row>
    <row r="4336" spans="20:21" x14ac:dyDescent="0.25">
      <c r="T4336" s="98"/>
      <c r="U4336" s="99"/>
    </row>
    <row r="4337" spans="20:21" x14ac:dyDescent="0.25">
      <c r="T4337" s="98"/>
      <c r="U4337" s="99"/>
    </row>
    <row r="4338" spans="20:21" x14ac:dyDescent="0.25">
      <c r="T4338" s="98"/>
      <c r="U4338" s="99"/>
    </row>
    <row r="4339" spans="20:21" x14ac:dyDescent="0.25">
      <c r="T4339" s="98"/>
      <c r="U4339" s="99"/>
    </row>
    <row r="4340" spans="20:21" x14ac:dyDescent="0.25">
      <c r="T4340" s="98"/>
      <c r="U4340" s="99"/>
    </row>
    <row r="4341" spans="20:21" x14ac:dyDescent="0.25">
      <c r="T4341" s="98"/>
      <c r="U4341" s="99"/>
    </row>
    <row r="4342" spans="20:21" x14ac:dyDescent="0.25">
      <c r="T4342" s="98"/>
      <c r="U4342" s="99"/>
    </row>
    <row r="4343" spans="20:21" x14ac:dyDescent="0.25">
      <c r="T4343" s="98"/>
      <c r="U4343" s="99"/>
    </row>
    <row r="4344" spans="20:21" x14ac:dyDescent="0.25">
      <c r="T4344" s="98"/>
      <c r="U4344" s="99"/>
    </row>
    <row r="4345" spans="20:21" x14ac:dyDescent="0.25">
      <c r="T4345" s="98"/>
      <c r="U4345" s="99"/>
    </row>
    <row r="4346" spans="20:21" x14ac:dyDescent="0.25">
      <c r="T4346" s="98"/>
      <c r="U4346" s="99"/>
    </row>
    <row r="4347" spans="20:21" x14ac:dyDescent="0.25">
      <c r="T4347" s="98"/>
      <c r="U4347" s="99"/>
    </row>
    <row r="4348" spans="20:21" x14ac:dyDescent="0.25">
      <c r="T4348" s="98"/>
      <c r="U4348" s="99"/>
    </row>
    <row r="4349" spans="20:21" x14ac:dyDescent="0.25">
      <c r="T4349" s="98"/>
      <c r="U4349" s="99"/>
    </row>
    <row r="4350" spans="20:21" x14ac:dyDescent="0.25">
      <c r="T4350" s="98"/>
      <c r="U4350" s="99"/>
    </row>
    <row r="4351" spans="20:21" x14ac:dyDescent="0.25">
      <c r="T4351" s="98"/>
      <c r="U4351" s="99"/>
    </row>
    <row r="4352" spans="20:21" x14ac:dyDescent="0.25">
      <c r="T4352" s="98"/>
      <c r="U4352" s="99"/>
    </row>
    <row r="4353" spans="20:21" x14ac:dyDescent="0.25">
      <c r="T4353" s="98"/>
      <c r="U4353" s="99"/>
    </row>
    <row r="4354" spans="20:21" x14ac:dyDescent="0.25">
      <c r="T4354" s="98"/>
      <c r="U4354" s="99"/>
    </row>
    <row r="4355" spans="20:21" x14ac:dyDescent="0.25">
      <c r="T4355" s="98"/>
      <c r="U4355" s="99"/>
    </row>
    <row r="4356" spans="20:21" x14ac:dyDescent="0.25">
      <c r="T4356" s="98"/>
      <c r="U4356" s="99"/>
    </row>
    <row r="4357" spans="20:21" x14ac:dyDescent="0.25">
      <c r="T4357" s="98"/>
      <c r="U4357" s="99"/>
    </row>
    <row r="4358" spans="20:21" x14ac:dyDescent="0.25">
      <c r="T4358" s="98"/>
      <c r="U4358" s="99"/>
    </row>
    <row r="4359" spans="20:21" x14ac:dyDescent="0.25">
      <c r="T4359" s="98"/>
      <c r="U4359" s="99"/>
    </row>
    <row r="4360" spans="20:21" x14ac:dyDescent="0.25">
      <c r="T4360" s="98"/>
      <c r="U4360" s="99"/>
    </row>
    <row r="4361" spans="20:21" x14ac:dyDescent="0.25">
      <c r="T4361" s="98"/>
      <c r="U4361" s="99"/>
    </row>
    <row r="4362" spans="20:21" x14ac:dyDescent="0.25">
      <c r="T4362" s="98"/>
      <c r="U4362" s="99"/>
    </row>
    <row r="4363" spans="20:21" x14ac:dyDescent="0.25">
      <c r="T4363" s="98"/>
      <c r="U4363" s="99"/>
    </row>
    <row r="4364" spans="20:21" x14ac:dyDescent="0.25">
      <c r="T4364" s="98"/>
      <c r="U4364" s="99"/>
    </row>
    <row r="4365" spans="20:21" x14ac:dyDescent="0.25">
      <c r="T4365" s="98"/>
      <c r="U4365" s="99"/>
    </row>
    <row r="4366" spans="20:21" x14ac:dyDescent="0.25">
      <c r="T4366" s="98"/>
      <c r="U4366" s="99"/>
    </row>
    <row r="4367" spans="20:21" x14ac:dyDescent="0.25">
      <c r="T4367" s="98"/>
      <c r="U4367" s="99"/>
    </row>
    <row r="4368" spans="20:21" x14ac:dyDescent="0.25">
      <c r="T4368" s="98"/>
      <c r="U4368" s="99"/>
    </row>
    <row r="4369" spans="20:21" x14ac:dyDescent="0.25">
      <c r="T4369" s="98"/>
      <c r="U4369" s="99"/>
    </row>
    <row r="4370" spans="20:21" x14ac:dyDescent="0.25">
      <c r="T4370" s="98"/>
      <c r="U4370" s="99"/>
    </row>
    <row r="4371" spans="20:21" x14ac:dyDescent="0.25">
      <c r="T4371" s="98"/>
      <c r="U4371" s="99"/>
    </row>
    <row r="4372" spans="20:21" x14ac:dyDescent="0.25">
      <c r="T4372" s="98"/>
      <c r="U4372" s="99"/>
    </row>
    <row r="4373" spans="20:21" x14ac:dyDescent="0.25">
      <c r="T4373" s="98"/>
      <c r="U4373" s="99"/>
    </row>
    <row r="4374" spans="20:21" x14ac:dyDescent="0.25">
      <c r="T4374" s="98"/>
      <c r="U4374" s="99"/>
    </row>
    <row r="4375" spans="20:21" x14ac:dyDescent="0.25">
      <c r="T4375" s="98"/>
      <c r="U4375" s="99"/>
    </row>
    <row r="4376" spans="20:21" x14ac:dyDescent="0.25">
      <c r="T4376" s="98"/>
      <c r="U4376" s="99"/>
    </row>
    <row r="4377" spans="20:21" x14ac:dyDescent="0.25">
      <c r="T4377" s="98"/>
      <c r="U4377" s="99"/>
    </row>
    <row r="4378" spans="20:21" x14ac:dyDescent="0.25">
      <c r="T4378" s="98"/>
      <c r="U4378" s="99"/>
    </row>
    <row r="4379" spans="20:21" x14ac:dyDescent="0.25">
      <c r="T4379" s="98"/>
      <c r="U4379" s="99"/>
    </row>
    <row r="4380" spans="20:21" x14ac:dyDescent="0.25">
      <c r="T4380" s="98"/>
      <c r="U4380" s="99"/>
    </row>
    <row r="4381" spans="20:21" x14ac:dyDescent="0.25">
      <c r="T4381" s="98"/>
      <c r="U4381" s="99"/>
    </row>
    <row r="4382" spans="20:21" x14ac:dyDescent="0.25">
      <c r="T4382" s="98"/>
      <c r="U4382" s="99"/>
    </row>
    <row r="4383" spans="20:21" x14ac:dyDescent="0.25">
      <c r="T4383" s="98"/>
      <c r="U4383" s="99"/>
    </row>
    <row r="4384" spans="20:21" x14ac:dyDescent="0.25">
      <c r="T4384" s="98"/>
      <c r="U4384" s="99"/>
    </row>
    <row r="4385" spans="20:21" x14ac:dyDescent="0.25">
      <c r="T4385" s="98"/>
      <c r="U4385" s="99"/>
    </row>
    <row r="4386" spans="20:21" x14ac:dyDescent="0.25">
      <c r="T4386" s="98"/>
      <c r="U4386" s="99"/>
    </row>
    <row r="4387" spans="20:21" x14ac:dyDescent="0.25">
      <c r="T4387" s="98"/>
      <c r="U4387" s="99"/>
    </row>
    <row r="4388" spans="20:21" x14ac:dyDescent="0.25">
      <c r="T4388" s="98"/>
      <c r="U4388" s="99"/>
    </row>
    <row r="4389" spans="20:21" x14ac:dyDescent="0.25">
      <c r="T4389" s="98"/>
      <c r="U4389" s="99"/>
    </row>
    <row r="4390" spans="20:21" x14ac:dyDescent="0.25">
      <c r="T4390" s="98"/>
      <c r="U4390" s="99"/>
    </row>
    <row r="4391" spans="20:21" x14ac:dyDescent="0.25">
      <c r="T4391" s="98"/>
      <c r="U4391" s="99"/>
    </row>
    <row r="4392" spans="20:21" x14ac:dyDescent="0.25">
      <c r="T4392" s="98"/>
      <c r="U4392" s="99"/>
    </row>
    <row r="4393" spans="20:21" x14ac:dyDescent="0.25">
      <c r="T4393" s="98"/>
      <c r="U4393" s="99"/>
    </row>
    <row r="4394" spans="20:21" x14ac:dyDescent="0.25">
      <c r="T4394" s="98"/>
      <c r="U4394" s="99"/>
    </row>
    <row r="4395" spans="20:21" x14ac:dyDescent="0.25">
      <c r="T4395" s="98"/>
      <c r="U4395" s="99"/>
    </row>
    <row r="4396" spans="20:21" x14ac:dyDescent="0.25">
      <c r="T4396" s="98"/>
      <c r="U4396" s="99"/>
    </row>
    <row r="4397" spans="20:21" x14ac:dyDescent="0.25">
      <c r="T4397" s="98"/>
      <c r="U4397" s="99"/>
    </row>
    <row r="4398" spans="20:21" x14ac:dyDescent="0.25">
      <c r="T4398" s="98"/>
      <c r="U4398" s="99"/>
    </row>
    <row r="4399" spans="20:21" x14ac:dyDescent="0.25">
      <c r="T4399" s="98"/>
      <c r="U4399" s="99"/>
    </row>
    <row r="4400" spans="20:21" x14ac:dyDescent="0.25">
      <c r="T4400" s="98"/>
      <c r="U4400" s="99"/>
    </row>
    <row r="4401" spans="20:21" x14ac:dyDescent="0.25">
      <c r="T4401" s="98"/>
      <c r="U4401" s="99"/>
    </row>
    <row r="4402" spans="20:21" x14ac:dyDescent="0.25">
      <c r="T4402" s="98"/>
      <c r="U4402" s="99"/>
    </row>
    <row r="4403" spans="20:21" x14ac:dyDescent="0.25">
      <c r="T4403" s="98"/>
      <c r="U4403" s="99"/>
    </row>
    <row r="4404" spans="20:21" x14ac:dyDescent="0.25">
      <c r="T4404" s="98"/>
      <c r="U4404" s="99"/>
    </row>
    <row r="4405" spans="20:21" x14ac:dyDescent="0.25">
      <c r="T4405" s="98"/>
      <c r="U4405" s="99"/>
    </row>
    <row r="4406" spans="20:21" x14ac:dyDescent="0.25">
      <c r="T4406" s="98"/>
      <c r="U4406" s="99"/>
    </row>
    <row r="4407" spans="20:21" x14ac:dyDescent="0.25">
      <c r="T4407" s="98"/>
      <c r="U4407" s="99"/>
    </row>
    <row r="4408" spans="20:21" x14ac:dyDescent="0.25">
      <c r="T4408" s="98"/>
      <c r="U4408" s="99"/>
    </row>
    <row r="4409" spans="20:21" x14ac:dyDescent="0.25">
      <c r="T4409" s="98"/>
      <c r="U4409" s="99"/>
    </row>
    <row r="4410" spans="20:21" x14ac:dyDescent="0.25">
      <c r="T4410" s="98"/>
      <c r="U4410" s="99"/>
    </row>
    <row r="4411" spans="20:21" x14ac:dyDescent="0.25">
      <c r="T4411" s="98"/>
      <c r="U4411" s="99"/>
    </row>
    <row r="4412" spans="20:21" x14ac:dyDescent="0.25">
      <c r="T4412" s="98"/>
      <c r="U4412" s="99"/>
    </row>
    <row r="4413" spans="20:21" x14ac:dyDescent="0.25">
      <c r="T4413" s="98"/>
      <c r="U4413" s="99"/>
    </row>
    <row r="4414" spans="20:21" x14ac:dyDescent="0.25">
      <c r="T4414" s="98"/>
      <c r="U4414" s="99"/>
    </row>
    <row r="4415" spans="20:21" x14ac:dyDescent="0.25">
      <c r="T4415" s="98"/>
      <c r="U4415" s="99"/>
    </row>
    <row r="4416" spans="20:21" x14ac:dyDescent="0.25">
      <c r="T4416" s="98"/>
      <c r="U4416" s="99"/>
    </row>
    <row r="4417" spans="20:21" x14ac:dyDescent="0.25">
      <c r="T4417" s="98"/>
      <c r="U4417" s="99"/>
    </row>
    <row r="4418" spans="20:21" x14ac:dyDescent="0.25">
      <c r="T4418" s="98"/>
      <c r="U4418" s="99"/>
    </row>
    <row r="4419" spans="20:21" x14ac:dyDescent="0.25">
      <c r="T4419" s="98"/>
      <c r="U4419" s="99"/>
    </row>
    <row r="4420" spans="20:21" x14ac:dyDescent="0.25">
      <c r="T4420" s="98"/>
      <c r="U4420" s="99"/>
    </row>
    <row r="4421" spans="20:21" x14ac:dyDescent="0.25">
      <c r="T4421" s="98"/>
      <c r="U4421" s="99"/>
    </row>
    <row r="4422" spans="20:21" x14ac:dyDescent="0.25">
      <c r="T4422" s="98"/>
      <c r="U4422" s="99"/>
    </row>
    <row r="4423" spans="20:21" x14ac:dyDescent="0.25">
      <c r="T4423" s="98"/>
      <c r="U4423" s="99"/>
    </row>
    <row r="4424" spans="20:21" x14ac:dyDescent="0.25">
      <c r="T4424" s="98"/>
      <c r="U4424" s="99"/>
    </row>
    <row r="4425" spans="20:21" x14ac:dyDescent="0.25">
      <c r="T4425" s="98"/>
      <c r="U4425" s="99"/>
    </row>
    <row r="4426" spans="20:21" x14ac:dyDescent="0.25">
      <c r="T4426" s="98"/>
      <c r="U4426" s="99"/>
    </row>
    <row r="4427" spans="20:21" x14ac:dyDescent="0.25">
      <c r="T4427" s="98"/>
      <c r="U4427" s="99"/>
    </row>
    <row r="4428" spans="20:21" x14ac:dyDescent="0.25">
      <c r="T4428" s="98"/>
      <c r="U4428" s="99"/>
    </row>
    <row r="4429" spans="20:21" x14ac:dyDescent="0.25">
      <c r="T4429" s="98"/>
      <c r="U4429" s="99"/>
    </row>
    <row r="4430" spans="20:21" x14ac:dyDescent="0.25">
      <c r="T4430" s="98"/>
      <c r="U4430" s="99"/>
    </row>
    <row r="4431" spans="20:21" x14ac:dyDescent="0.25">
      <c r="T4431" s="98"/>
      <c r="U4431" s="99"/>
    </row>
    <row r="4432" spans="20:21" x14ac:dyDescent="0.25">
      <c r="T4432" s="98"/>
      <c r="U4432" s="99"/>
    </row>
    <row r="4433" spans="20:21" x14ac:dyDescent="0.25">
      <c r="T4433" s="98"/>
      <c r="U4433" s="99"/>
    </row>
    <row r="4434" spans="20:21" x14ac:dyDescent="0.25">
      <c r="T4434" s="98"/>
      <c r="U4434" s="99"/>
    </row>
    <row r="4435" spans="20:21" x14ac:dyDescent="0.25">
      <c r="T4435" s="98"/>
      <c r="U4435" s="99"/>
    </row>
    <row r="4436" spans="20:21" x14ac:dyDescent="0.25">
      <c r="T4436" s="98"/>
      <c r="U4436" s="99"/>
    </row>
    <row r="4437" spans="20:21" x14ac:dyDescent="0.25">
      <c r="T4437" s="98"/>
      <c r="U4437" s="99"/>
    </row>
    <row r="4438" spans="20:21" x14ac:dyDescent="0.25">
      <c r="T4438" s="98"/>
      <c r="U4438" s="99"/>
    </row>
    <row r="4439" spans="20:21" x14ac:dyDescent="0.25">
      <c r="T4439" s="98"/>
      <c r="U4439" s="99"/>
    </row>
    <row r="4440" spans="20:21" x14ac:dyDescent="0.25">
      <c r="T4440" s="98"/>
      <c r="U4440" s="99"/>
    </row>
    <row r="4441" spans="20:21" x14ac:dyDescent="0.25">
      <c r="T4441" s="98"/>
      <c r="U4441" s="99"/>
    </row>
    <row r="4442" spans="20:21" x14ac:dyDescent="0.25">
      <c r="T4442" s="98"/>
      <c r="U4442" s="99"/>
    </row>
    <row r="4443" spans="20:21" x14ac:dyDescent="0.25">
      <c r="T4443" s="98"/>
      <c r="U4443" s="99"/>
    </row>
    <row r="4444" spans="20:21" x14ac:dyDescent="0.25">
      <c r="T4444" s="98"/>
      <c r="U4444" s="99"/>
    </row>
    <row r="4445" spans="20:21" x14ac:dyDescent="0.25">
      <c r="T4445" s="98"/>
      <c r="U4445" s="99"/>
    </row>
    <row r="4446" spans="20:21" x14ac:dyDescent="0.25">
      <c r="T4446" s="98"/>
      <c r="U4446" s="99"/>
    </row>
    <row r="4447" spans="20:21" x14ac:dyDescent="0.25">
      <c r="T4447" s="98"/>
      <c r="U4447" s="99"/>
    </row>
    <row r="4448" spans="20:21" x14ac:dyDescent="0.25">
      <c r="T4448" s="98"/>
      <c r="U4448" s="99"/>
    </row>
    <row r="4449" spans="20:21" x14ac:dyDescent="0.25">
      <c r="T4449" s="98"/>
      <c r="U4449" s="99"/>
    </row>
    <row r="4450" spans="20:21" x14ac:dyDescent="0.25">
      <c r="T4450" s="98"/>
      <c r="U4450" s="99"/>
    </row>
    <row r="4451" spans="20:21" x14ac:dyDescent="0.25">
      <c r="T4451" s="98"/>
      <c r="U4451" s="99"/>
    </row>
    <row r="4452" spans="20:21" x14ac:dyDescent="0.25">
      <c r="T4452" s="98"/>
      <c r="U4452" s="99"/>
    </row>
    <row r="4453" spans="20:21" x14ac:dyDescent="0.25">
      <c r="T4453" s="98"/>
      <c r="U4453" s="99"/>
    </row>
    <row r="4454" spans="20:21" x14ac:dyDescent="0.25">
      <c r="T4454" s="98"/>
      <c r="U4454" s="99"/>
    </row>
    <row r="4455" spans="20:21" x14ac:dyDescent="0.25">
      <c r="T4455" s="98"/>
      <c r="U4455" s="99"/>
    </row>
    <row r="4456" spans="20:21" x14ac:dyDescent="0.25">
      <c r="T4456" s="98"/>
      <c r="U4456" s="99"/>
    </row>
    <row r="4457" spans="20:21" x14ac:dyDescent="0.25">
      <c r="T4457" s="98"/>
      <c r="U4457" s="99"/>
    </row>
    <row r="4458" spans="20:21" x14ac:dyDescent="0.25">
      <c r="T4458" s="98"/>
      <c r="U4458" s="99"/>
    </row>
    <row r="4459" spans="20:21" x14ac:dyDescent="0.25">
      <c r="T4459" s="98"/>
      <c r="U4459" s="99"/>
    </row>
    <row r="4460" spans="20:21" x14ac:dyDescent="0.25">
      <c r="T4460" s="98"/>
      <c r="U4460" s="99"/>
    </row>
    <row r="4461" spans="20:21" x14ac:dyDescent="0.25">
      <c r="T4461" s="98"/>
      <c r="U4461" s="99"/>
    </row>
    <row r="4462" spans="20:21" x14ac:dyDescent="0.25">
      <c r="T4462" s="98"/>
      <c r="U4462" s="99"/>
    </row>
    <row r="4463" spans="20:21" x14ac:dyDescent="0.25">
      <c r="T4463" s="98"/>
      <c r="U4463" s="99"/>
    </row>
    <row r="4464" spans="20:21" x14ac:dyDescent="0.25">
      <c r="T4464" s="98"/>
      <c r="U4464" s="99"/>
    </row>
    <row r="4465" spans="20:21" x14ac:dyDescent="0.25">
      <c r="T4465" s="98"/>
      <c r="U4465" s="99"/>
    </row>
    <row r="4466" spans="20:21" x14ac:dyDescent="0.25">
      <c r="T4466" s="98"/>
      <c r="U4466" s="99"/>
    </row>
    <row r="4467" spans="20:21" x14ac:dyDescent="0.25">
      <c r="T4467" s="98"/>
      <c r="U4467" s="99"/>
    </row>
    <row r="4468" spans="20:21" x14ac:dyDescent="0.25">
      <c r="T4468" s="98"/>
      <c r="U4468" s="99"/>
    </row>
    <row r="4469" spans="20:21" x14ac:dyDescent="0.25">
      <c r="T4469" s="98"/>
      <c r="U4469" s="99"/>
    </row>
    <row r="4470" spans="20:21" x14ac:dyDescent="0.25">
      <c r="T4470" s="98"/>
      <c r="U4470" s="99"/>
    </row>
    <row r="4471" spans="20:21" x14ac:dyDescent="0.25">
      <c r="T4471" s="98"/>
      <c r="U4471" s="99"/>
    </row>
    <row r="4472" spans="20:21" x14ac:dyDescent="0.25">
      <c r="T4472" s="98"/>
      <c r="U4472" s="99"/>
    </row>
    <row r="4473" spans="20:21" x14ac:dyDescent="0.25">
      <c r="T4473" s="98"/>
      <c r="U4473" s="99"/>
    </row>
    <row r="4474" spans="20:21" x14ac:dyDescent="0.25">
      <c r="T4474" s="98"/>
      <c r="U4474" s="99"/>
    </row>
    <row r="4475" spans="20:21" x14ac:dyDescent="0.25">
      <c r="T4475" s="98"/>
      <c r="U4475" s="99"/>
    </row>
    <row r="4476" spans="20:21" x14ac:dyDescent="0.25">
      <c r="T4476" s="98"/>
      <c r="U4476" s="99"/>
    </row>
    <row r="4477" spans="20:21" x14ac:dyDescent="0.25">
      <c r="T4477" s="98"/>
      <c r="U4477" s="99"/>
    </row>
    <row r="4478" spans="20:21" x14ac:dyDescent="0.25">
      <c r="T4478" s="98"/>
      <c r="U4478" s="99"/>
    </row>
    <row r="4479" spans="20:21" x14ac:dyDescent="0.25">
      <c r="T4479" s="98"/>
      <c r="U4479" s="99"/>
    </row>
    <row r="4480" spans="20:21" x14ac:dyDescent="0.25">
      <c r="T4480" s="98"/>
      <c r="U4480" s="99"/>
    </row>
    <row r="4481" spans="20:21" x14ac:dyDescent="0.25">
      <c r="T4481" s="98"/>
      <c r="U4481" s="99"/>
    </row>
    <row r="4482" spans="20:21" x14ac:dyDescent="0.25">
      <c r="T4482" s="98"/>
      <c r="U4482" s="99"/>
    </row>
    <row r="4483" spans="20:21" x14ac:dyDescent="0.25">
      <c r="T4483" s="98"/>
      <c r="U4483" s="99"/>
    </row>
    <row r="4484" spans="20:21" x14ac:dyDescent="0.25">
      <c r="T4484" s="98"/>
      <c r="U4484" s="99"/>
    </row>
    <row r="4485" spans="20:21" x14ac:dyDescent="0.25">
      <c r="T4485" s="98"/>
      <c r="U4485" s="99"/>
    </row>
    <row r="4486" spans="20:21" x14ac:dyDescent="0.25">
      <c r="T4486" s="98"/>
      <c r="U4486" s="99"/>
    </row>
    <row r="4487" spans="20:21" x14ac:dyDescent="0.25">
      <c r="T4487" s="98"/>
      <c r="U4487" s="99"/>
    </row>
    <row r="4488" spans="20:21" x14ac:dyDescent="0.25">
      <c r="T4488" s="98"/>
      <c r="U4488" s="99"/>
    </row>
    <row r="4489" spans="20:21" x14ac:dyDescent="0.25">
      <c r="T4489" s="98"/>
      <c r="U4489" s="99"/>
    </row>
    <row r="4490" spans="20:21" x14ac:dyDescent="0.25">
      <c r="T4490" s="98"/>
      <c r="U4490" s="99"/>
    </row>
    <row r="4491" spans="20:21" x14ac:dyDescent="0.25">
      <c r="T4491" s="98"/>
      <c r="U4491" s="99"/>
    </row>
    <row r="4492" spans="20:21" x14ac:dyDescent="0.25">
      <c r="T4492" s="98"/>
      <c r="U4492" s="99"/>
    </row>
    <row r="4493" spans="20:21" x14ac:dyDescent="0.25">
      <c r="T4493" s="98"/>
      <c r="U4493" s="99"/>
    </row>
    <row r="4494" spans="20:21" x14ac:dyDescent="0.25">
      <c r="T4494" s="98"/>
      <c r="U4494" s="99"/>
    </row>
    <row r="4495" spans="20:21" x14ac:dyDescent="0.25">
      <c r="T4495" s="98"/>
      <c r="U4495" s="99"/>
    </row>
    <row r="4496" spans="20:21" x14ac:dyDescent="0.25">
      <c r="T4496" s="98"/>
      <c r="U4496" s="99"/>
    </row>
    <row r="4497" spans="20:21" x14ac:dyDescent="0.25">
      <c r="T4497" s="98"/>
      <c r="U4497" s="99"/>
    </row>
    <row r="4498" spans="20:21" x14ac:dyDescent="0.25">
      <c r="T4498" s="98"/>
      <c r="U4498" s="99"/>
    </row>
    <row r="4499" spans="20:21" x14ac:dyDescent="0.25">
      <c r="T4499" s="98"/>
      <c r="U4499" s="99"/>
    </row>
    <row r="4500" spans="20:21" x14ac:dyDescent="0.25">
      <c r="T4500" s="98"/>
      <c r="U4500" s="99"/>
    </row>
    <row r="4501" spans="20:21" x14ac:dyDescent="0.25">
      <c r="T4501" s="98"/>
      <c r="U4501" s="99"/>
    </row>
    <row r="4502" spans="20:21" x14ac:dyDescent="0.25">
      <c r="T4502" s="98"/>
      <c r="U4502" s="99"/>
    </row>
    <row r="4503" spans="20:21" x14ac:dyDescent="0.25">
      <c r="T4503" s="98"/>
      <c r="U4503" s="99"/>
    </row>
    <row r="4504" spans="20:21" x14ac:dyDescent="0.25">
      <c r="T4504" s="98"/>
      <c r="U4504" s="99"/>
    </row>
    <row r="4505" spans="20:21" x14ac:dyDescent="0.25">
      <c r="T4505" s="98"/>
      <c r="U4505" s="99"/>
    </row>
    <row r="4506" spans="20:21" x14ac:dyDescent="0.25">
      <c r="T4506" s="98"/>
      <c r="U4506" s="99"/>
    </row>
    <row r="4507" spans="20:21" x14ac:dyDescent="0.25">
      <c r="T4507" s="98"/>
      <c r="U4507" s="99"/>
    </row>
    <row r="4508" spans="20:21" x14ac:dyDescent="0.25">
      <c r="T4508" s="98"/>
      <c r="U4508" s="99"/>
    </row>
    <row r="4509" spans="20:21" x14ac:dyDescent="0.25">
      <c r="T4509" s="98"/>
      <c r="U4509" s="99"/>
    </row>
    <row r="4510" spans="20:21" x14ac:dyDescent="0.25">
      <c r="T4510" s="98"/>
      <c r="U4510" s="99"/>
    </row>
    <row r="4511" spans="20:21" x14ac:dyDescent="0.25">
      <c r="T4511" s="98"/>
      <c r="U4511" s="99"/>
    </row>
    <row r="4512" spans="20:21" x14ac:dyDescent="0.25">
      <c r="T4512" s="98"/>
      <c r="U4512" s="99"/>
    </row>
    <row r="4513" spans="20:21" x14ac:dyDescent="0.25">
      <c r="T4513" s="98"/>
      <c r="U4513" s="99"/>
    </row>
    <row r="4514" spans="20:21" x14ac:dyDescent="0.25">
      <c r="T4514" s="98"/>
      <c r="U4514" s="99"/>
    </row>
    <row r="4515" spans="20:21" x14ac:dyDescent="0.25">
      <c r="T4515" s="98"/>
      <c r="U4515" s="99"/>
    </row>
    <row r="4516" spans="20:21" x14ac:dyDescent="0.25">
      <c r="T4516" s="98"/>
      <c r="U4516" s="99"/>
    </row>
    <row r="4517" spans="20:21" x14ac:dyDescent="0.25">
      <c r="T4517" s="98"/>
      <c r="U4517" s="99"/>
    </row>
    <row r="4518" spans="20:21" x14ac:dyDescent="0.25">
      <c r="T4518" s="98"/>
      <c r="U4518" s="99"/>
    </row>
    <row r="4519" spans="20:21" x14ac:dyDescent="0.25">
      <c r="T4519" s="98"/>
      <c r="U4519" s="99"/>
    </row>
    <row r="4520" spans="20:21" x14ac:dyDescent="0.25">
      <c r="T4520" s="98"/>
      <c r="U4520" s="99"/>
    </row>
    <row r="4521" spans="20:21" x14ac:dyDescent="0.25">
      <c r="T4521" s="98"/>
      <c r="U4521" s="99"/>
    </row>
    <row r="4522" spans="20:21" x14ac:dyDescent="0.25">
      <c r="T4522" s="98"/>
      <c r="U4522" s="99"/>
    </row>
    <row r="4523" spans="20:21" x14ac:dyDescent="0.25">
      <c r="T4523" s="98"/>
      <c r="U4523" s="99"/>
    </row>
    <row r="4524" spans="20:21" x14ac:dyDescent="0.25">
      <c r="T4524" s="98"/>
      <c r="U4524" s="99"/>
    </row>
    <row r="4525" spans="20:21" x14ac:dyDescent="0.25">
      <c r="T4525" s="98"/>
      <c r="U4525" s="99"/>
    </row>
    <row r="4526" spans="20:21" x14ac:dyDescent="0.25">
      <c r="T4526" s="98"/>
      <c r="U4526" s="99"/>
    </row>
    <row r="4527" spans="20:21" x14ac:dyDescent="0.25">
      <c r="T4527" s="98"/>
      <c r="U4527" s="99"/>
    </row>
    <row r="4528" spans="20:21" x14ac:dyDescent="0.25">
      <c r="T4528" s="98"/>
      <c r="U4528" s="99"/>
    </row>
    <row r="4529" spans="20:21" x14ac:dyDescent="0.25">
      <c r="T4529" s="98"/>
      <c r="U4529" s="99"/>
    </row>
    <row r="4530" spans="20:21" x14ac:dyDescent="0.25">
      <c r="T4530" s="98"/>
      <c r="U4530" s="99"/>
    </row>
    <row r="4531" spans="20:21" x14ac:dyDescent="0.25">
      <c r="T4531" s="98"/>
      <c r="U4531" s="99"/>
    </row>
    <row r="4532" spans="20:21" x14ac:dyDescent="0.25">
      <c r="T4532" s="98"/>
      <c r="U4532" s="99"/>
    </row>
    <row r="4533" spans="20:21" x14ac:dyDescent="0.25">
      <c r="T4533" s="98"/>
      <c r="U4533" s="99"/>
    </row>
    <row r="4534" spans="20:21" x14ac:dyDescent="0.25">
      <c r="T4534" s="98"/>
      <c r="U4534" s="99"/>
    </row>
    <row r="4535" spans="20:21" x14ac:dyDescent="0.25">
      <c r="T4535" s="98"/>
      <c r="U4535" s="99"/>
    </row>
    <row r="4536" spans="20:21" x14ac:dyDescent="0.25">
      <c r="T4536" s="98"/>
      <c r="U4536" s="99"/>
    </row>
    <row r="4537" spans="20:21" x14ac:dyDescent="0.25">
      <c r="T4537" s="98"/>
      <c r="U4537" s="99"/>
    </row>
    <row r="4538" spans="20:21" x14ac:dyDescent="0.25">
      <c r="T4538" s="98"/>
      <c r="U4538" s="99"/>
    </row>
    <row r="4539" spans="20:21" x14ac:dyDescent="0.25">
      <c r="T4539" s="98"/>
      <c r="U4539" s="99"/>
    </row>
    <row r="4540" spans="20:21" x14ac:dyDescent="0.25">
      <c r="T4540" s="98"/>
      <c r="U4540" s="99"/>
    </row>
    <row r="4541" spans="20:21" x14ac:dyDescent="0.25">
      <c r="T4541" s="98"/>
      <c r="U4541" s="99"/>
    </row>
    <row r="4542" spans="20:21" x14ac:dyDescent="0.25">
      <c r="T4542" s="98"/>
      <c r="U4542" s="99"/>
    </row>
    <row r="4543" spans="20:21" x14ac:dyDescent="0.25">
      <c r="T4543" s="98"/>
      <c r="U4543" s="99"/>
    </row>
    <row r="4544" spans="20:21" x14ac:dyDescent="0.25">
      <c r="T4544" s="98"/>
      <c r="U4544" s="99"/>
    </row>
    <row r="4545" spans="20:21" x14ac:dyDescent="0.25">
      <c r="T4545" s="98"/>
      <c r="U4545" s="99"/>
    </row>
    <row r="4546" spans="20:21" x14ac:dyDescent="0.25">
      <c r="T4546" s="98"/>
      <c r="U4546" s="99"/>
    </row>
    <row r="4547" spans="20:21" x14ac:dyDescent="0.25">
      <c r="T4547" s="98"/>
      <c r="U4547" s="99"/>
    </row>
    <row r="4548" spans="20:21" x14ac:dyDescent="0.25">
      <c r="T4548" s="98"/>
      <c r="U4548" s="99"/>
    </row>
    <row r="4549" spans="20:21" x14ac:dyDescent="0.25">
      <c r="T4549" s="98"/>
      <c r="U4549" s="99"/>
    </row>
    <row r="4550" spans="20:21" x14ac:dyDescent="0.25">
      <c r="T4550" s="98"/>
      <c r="U4550" s="99"/>
    </row>
    <row r="4551" spans="20:21" x14ac:dyDescent="0.25">
      <c r="T4551" s="98"/>
      <c r="U4551" s="99"/>
    </row>
    <row r="4552" spans="20:21" x14ac:dyDescent="0.25">
      <c r="T4552" s="98"/>
      <c r="U4552" s="99"/>
    </row>
    <row r="4553" spans="20:21" x14ac:dyDescent="0.25">
      <c r="T4553" s="98"/>
      <c r="U4553" s="99"/>
    </row>
    <row r="4554" spans="20:21" x14ac:dyDescent="0.25">
      <c r="T4554" s="98"/>
      <c r="U4554" s="99"/>
    </row>
    <row r="4555" spans="20:21" x14ac:dyDescent="0.25">
      <c r="T4555" s="98"/>
      <c r="U4555" s="99"/>
    </row>
    <row r="4556" spans="20:21" x14ac:dyDescent="0.25">
      <c r="T4556" s="98"/>
      <c r="U4556" s="99"/>
    </row>
    <row r="4557" spans="20:21" x14ac:dyDescent="0.25">
      <c r="T4557" s="98"/>
      <c r="U4557" s="99"/>
    </row>
    <row r="4558" spans="20:21" x14ac:dyDescent="0.25">
      <c r="T4558" s="98"/>
      <c r="U4558" s="99"/>
    </row>
    <row r="4559" spans="20:21" x14ac:dyDescent="0.25">
      <c r="T4559" s="98"/>
      <c r="U4559" s="99"/>
    </row>
    <row r="4560" spans="20:21" x14ac:dyDescent="0.25">
      <c r="T4560" s="98"/>
      <c r="U4560" s="99"/>
    </row>
    <row r="4561" spans="20:21" x14ac:dyDescent="0.25">
      <c r="T4561" s="98"/>
      <c r="U4561" s="99"/>
    </row>
    <row r="4562" spans="20:21" x14ac:dyDescent="0.25">
      <c r="T4562" s="98"/>
      <c r="U4562" s="99"/>
    </row>
    <row r="4563" spans="20:21" x14ac:dyDescent="0.25">
      <c r="T4563" s="98"/>
      <c r="U4563" s="99"/>
    </row>
    <row r="4564" spans="20:21" x14ac:dyDescent="0.25">
      <c r="T4564" s="98"/>
      <c r="U4564" s="99"/>
    </row>
    <row r="4565" spans="20:21" x14ac:dyDescent="0.25">
      <c r="T4565" s="98"/>
      <c r="U4565" s="99"/>
    </row>
    <row r="4566" spans="20:21" x14ac:dyDescent="0.25">
      <c r="T4566" s="98"/>
      <c r="U4566" s="99"/>
    </row>
    <row r="4567" spans="20:21" x14ac:dyDescent="0.25">
      <c r="T4567" s="98"/>
      <c r="U4567" s="99"/>
    </row>
    <row r="4568" spans="20:21" x14ac:dyDescent="0.25">
      <c r="T4568" s="98"/>
      <c r="U4568" s="99"/>
    </row>
    <row r="4569" spans="20:21" x14ac:dyDescent="0.25">
      <c r="T4569" s="98"/>
      <c r="U4569" s="99"/>
    </row>
    <row r="4570" spans="20:21" x14ac:dyDescent="0.25">
      <c r="T4570" s="98"/>
      <c r="U4570" s="99"/>
    </row>
    <row r="4571" spans="20:21" x14ac:dyDescent="0.25">
      <c r="T4571" s="98"/>
      <c r="U4571" s="99"/>
    </row>
    <row r="4572" spans="20:21" x14ac:dyDescent="0.25">
      <c r="T4572" s="98"/>
      <c r="U4572" s="99"/>
    </row>
    <row r="4573" spans="20:21" x14ac:dyDescent="0.25">
      <c r="T4573" s="98"/>
      <c r="U4573" s="99"/>
    </row>
    <row r="4574" spans="20:21" x14ac:dyDescent="0.25">
      <c r="T4574" s="98"/>
      <c r="U4574" s="99"/>
    </row>
    <row r="4575" spans="20:21" x14ac:dyDescent="0.25">
      <c r="T4575" s="98"/>
      <c r="U4575" s="99"/>
    </row>
    <row r="4576" spans="20:21" x14ac:dyDescent="0.25">
      <c r="T4576" s="98"/>
      <c r="U4576" s="99"/>
    </row>
    <row r="4577" spans="20:21" x14ac:dyDescent="0.25">
      <c r="T4577" s="98"/>
      <c r="U4577" s="99"/>
    </row>
    <row r="4578" spans="20:21" x14ac:dyDescent="0.25">
      <c r="T4578" s="98"/>
      <c r="U4578" s="99"/>
    </row>
    <row r="4579" spans="20:21" x14ac:dyDescent="0.25">
      <c r="T4579" s="98"/>
      <c r="U4579" s="99"/>
    </row>
    <row r="4580" spans="20:21" x14ac:dyDescent="0.25">
      <c r="T4580" s="98"/>
      <c r="U4580" s="99"/>
    </row>
    <row r="4581" spans="20:21" x14ac:dyDescent="0.25">
      <c r="T4581" s="98"/>
      <c r="U4581" s="99"/>
    </row>
    <row r="4582" spans="20:21" x14ac:dyDescent="0.25">
      <c r="T4582" s="98"/>
      <c r="U4582" s="99"/>
    </row>
    <row r="4583" spans="20:21" x14ac:dyDescent="0.25">
      <c r="T4583" s="98"/>
      <c r="U4583" s="99"/>
    </row>
    <row r="4584" spans="20:21" x14ac:dyDescent="0.25">
      <c r="T4584" s="98"/>
      <c r="U4584" s="99"/>
    </row>
    <row r="4585" spans="20:21" x14ac:dyDescent="0.25">
      <c r="T4585" s="98"/>
      <c r="U4585" s="99"/>
    </row>
    <row r="4586" spans="20:21" x14ac:dyDescent="0.25">
      <c r="T4586" s="98"/>
      <c r="U4586" s="99"/>
    </row>
    <row r="4587" spans="20:21" x14ac:dyDescent="0.25">
      <c r="T4587" s="98"/>
      <c r="U4587" s="99"/>
    </row>
    <row r="4588" spans="20:21" x14ac:dyDescent="0.25">
      <c r="T4588" s="98"/>
      <c r="U4588" s="99"/>
    </row>
    <row r="4589" spans="20:21" x14ac:dyDescent="0.25">
      <c r="T4589" s="98"/>
      <c r="U4589" s="99"/>
    </row>
    <row r="4590" spans="20:21" x14ac:dyDescent="0.25">
      <c r="T4590" s="98"/>
      <c r="U4590" s="99"/>
    </row>
    <row r="4591" spans="20:21" x14ac:dyDescent="0.25">
      <c r="T4591" s="98"/>
      <c r="U4591" s="99"/>
    </row>
    <row r="4592" spans="20:21" x14ac:dyDescent="0.25">
      <c r="T4592" s="98"/>
      <c r="U4592" s="99"/>
    </row>
    <row r="4593" spans="20:21" x14ac:dyDescent="0.25">
      <c r="T4593" s="98"/>
      <c r="U4593" s="99"/>
    </row>
    <row r="4594" spans="20:21" x14ac:dyDescent="0.25">
      <c r="T4594" s="98"/>
      <c r="U4594" s="99"/>
    </row>
    <row r="4595" spans="20:21" x14ac:dyDescent="0.25">
      <c r="T4595" s="98"/>
      <c r="U4595" s="99"/>
    </row>
    <row r="4596" spans="20:21" x14ac:dyDescent="0.25">
      <c r="T4596" s="98"/>
      <c r="U4596" s="99"/>
    </row>
    <row r="4597" spans="20:21" x14ac:dyDescent="0.25">
      <c r="T4597" s="98"/>
      <c r="U4597" s="99"/>
    </row>
    <row r="4598" spans="20:21" x14ac:dyDescent="0.25">
      <c r="T4598" s="98"/>
      <c r="U4598" s="99"/>
    </row>
    <row r="4599" spans="20:21" x14ac:dyDescent="0.25">
      <c r="T4599" s="98"/>
      <c r="U4599" s="99"/>
    </row>
    <row r="4600" spans="20:21" x14ac:dyDescent="0.25">
      <c r="T4600" s="98"/>
      <c r="U4600" s="99"/>
    </row>
    <row r="4601" spans="20:21" x14ac:dyDescent="0.25">
      <c r="T4601" s="98"/>
      <c r="U4601" s="99"/>
    </row>
    <row r="4602" spans="20:21" x14ac:dyDescent="0.25">
      <c r="T4602" s="98"/>
      <c r="U4602" s="99"/>
    </row>
    <row r="4603" spans="20:21" x14ac:dyDescent="0.25">
      <c r="T4603" s="98"/>
      <c r="U4603" s="99"/>
    </row>
    <row r="4604" spans="20:21" x14ac:dyDescent="0.25">
      <c r="T4604" s="98"/>
      <c r="U4604" s="99"/>
    </row>
    <row r="4605" spans="20:21" x14ac:dyDescent="0.25">
      <c r="T4605" s="98"/>
      <c r="U4605" s="99"/>
    </row>
    <row r="4606" spans="20:21" x14ac:dyDescent="0.25">
      <c r="T4606" s="98"/>
      <c r="U4606" s="99"/>
    </row>
    <row r="4607" spans="20:21" x14ac:dyDescent="0.25">
      <c r="T4607" s="98"/>
      <c r="U4607" s="99"/>
    </row>
    <row r="4608" spans="20:21" x14ac:dyDescent="0.25">
      <c r="T4608" s="98"/>
      <c r="U4608" s="99"/>
    </row>
    <row r="4609" spans="20:21" x14ac:dyDescent="0.25">
      <c r="T4609" s="98"/>
      <c r="U4609" s="99"/>
    </row>
    <row r="4610" spans="20:21" x14ac:dyDescent="0.25">
      <c r="T4610" s="98"/>
      <c r="U4610" s="99"/>
    </row>
    <row r="4611" spans="20:21" x14ac:dyDescent="0.25">
      <c r="T4611" s="98"/>
      <c r="U4611" s="99"/>
    </row>
    <row r="4612" spans="20:21" x14ac:dyDescent="0.25">
      <c r="T4612" s="98"/>
      <c r="U4612" s="99"/>
    </row>
    <row r="4613" spans="20:21" x14ac:dyDescent="0.25">
      <c r="T4613" s="98"/>
      <c r="U4613" s="99"/>
    </row>
    <row r="4614" spans="20:21" x14ac:dyDescent="0.25">
      <c r="T4614" s="98"/>
      <c r="U4614" s="99"/>
    </row>
    <row r="4615" spans="20:21" x14ac:dyDescent="0.25">
      <c r="T4615" s="98"/>
      <c r="U4615" s="99"/>
    </row>
    <row r="4616" spans="20:21" x14ac:dyDescent="0.25">
      <c r="T4616" s="98"/>
      <c r="U4616" s="99"/>
    </row>
    <row r="4617" spans="20:21" x14ac:dyDescent="0.25">
      <c r="T4617" s="98"/>
      <c r="U4617" s="99"/>
    </row>
    <row r="4618" spans="20:21" x14ac:dyDescent="0.25">
      <c r="T4618" s="98"/>
      <c r="U4618" s="99"/>
    </row>
    <row r="4619" spans="20:21" x14ac:dyDescent="0.25">
      <c r="T4619" s="98"/>
      <c r="U4619" s="99"/>
    </row>
    <row r="4620" spans="20:21" x14ac:dyDescent="0.25">
      <c r="T4620" s="98"/>
      <c r="U4620" s="99"/>
    </row>
    <row r="4621" spans="20:21" x14ac:dyDescent="0.25">
      <c r="T4621" s="98"/>
      <c r="U4621" s="99"/>
    </row>
    <row r="4622" spans="20:21" x14ac:dyDescent="0.25">
      <c r="T4622" s="98"/>
      <c r="U4622" s="99"/>
    </row>
    <row r="4623" spans="20:21" x14ac:dyDescent="0.25">
      <c r="T4623" s="98"/>
      <c r="U4623" s="99"/>
    </row>
    <row r="4624" spans="20:21" x14ac:dyDescent="0.25">
      <c r="T4624" s="98"/>
      <c r="U4624" s="99"/>
    </row>
    <row r="4625" spans="20:21" x14ac:dyDescent="0.25">
      <c r="T4625" s="98"/>
      <c r="U4625" s="99"/>
    </row>
    <row r="4626" spans="20:21" x14ac:dyDescent="0.25">
      <c r="T4626" s="98"/>
      <c r="U4626" s="99"/>
    </row>
    <row r="4627" spans="20:21" x14ac:dyDescent="0.25">
      <c r="T4627" s="98"/>
      <c r="U4627" s="99"/>
    </row>
    <row r="4628" spans="20:21" x14ac:dyDescent="0.25">
      <c r="T4628" s="98"/>
      <c r="U4628" s="99"/>
    </row>
    <row r="4629" spans="20:21" x14ac:dyDescent="0.25">
      <c r="T4629" s="98"/>
      <c r="U4629" s="99"/>
    </row>
    <row r="4630" spans="20:21" x14ac:dyDescent="0.25">
      <c r="T4630" s="98"/>
      <c r="U4630" s="99"/>
    </row>
    <row r="4631" spans="20:21" x14ac:dyDescent="0.25">
      <c r="T4631" s="98"/>
      <c r="U4631" s="99"/>
    </row>
    <row r="4632" spans="20:21" x14ac:dyDescent="0.25">
      <c r="T4632" s="98"/>
      <c r="U4632" s="99"/>
    </row>
    <row r="4633" spans="20:21" x14ac:dyDescent="0.25">
      <c r="T4633" s="98"/>
      <c r="U4633" s="99"/>
    </row>
    <row r="4634" spans="20:21" x14ac:dyDescent="0.25">
      <c r="T4634" s="98"/>
      <c r="U4634" s="99"/>
    </row>
    <row r="4635" spans="20:21" x14ac:dyDescent="0.25">
      <c r="T4635" s="98"/>
      <c r="U4635" s="99"/>
    </row>
    <row r="4636" spans="20:21" x14ac:dyDescent="0.25">
      <c r="T4636" s="98"/>
      <c r="U4636" s="99"/>
    </row>
    <row r="4637" spans="20:21" x14ac:dyDescent="0.25">
      <c r="T4637" s="98"/>
      <c r="U4637" s="99"/>
    </row>
    <row r="4638" spans="20:21" x14ac:dyDescent="0.25">
      <c r="T4638" s="98"/>
      <c r="U4638" s="99"/>
    </row>
    <row r="4639" spans="20:21" x14ac:dyDescent="0.25">
      <c r="T4639" s="98"/>
      <c r="U4639" s="99"/>
    </row>
    <row r="4640" spans="20:21" x14ac:dyDescent="0.25">
      <c r="T4640" s="98"/>
      <c r="U4640" s="99"/>
    </row>
    <row r="4641" spans="20:21" x14ac:dyDescent="0.25">
      <c r="T4641" s="98"/>
      <c r="U4641" s="99"/>
    </row>
    <row r="4642" spans="20:21" x14ac:dyDescent="0.25">
      <c r="T4642" s="98"/>
      <c r="U4642" s="99"/>
    </row>
    <row r="4643" spans="20:21" x14ac:dyDescent="0.25">
      <c r="T4643" s="98"/>
      <c r="U4643" s="99"/>
    </row>
    <row r="4644" spans="20:21" x14ac:dyDescent="0.25">
      <c r="T4644" s="98"/>
      <c r="U4644" s="99"/>
    </row>
    <row r="4645" spans="20:21" x14ac:dyDescent="0.25">
      <c r="T4645" s="98"/>
      <c r="U4645" s="99"/>
    </row>
    <row r="4646" spans="20:21" x14ac:dyDescent="0.25">
      <c r="T4646" s="98"/>
      <c r="U4646" s="99"/>
    </row>
    <row r="4647" spans="20:21" x14ac:dyDescent="0.25">
      <c r="T4647" s="98"/>
      <c r="U4647" s="99"/>
    </row>
    <row r="4648" spans="20:21" x14ac:dyDescent="0.25">
      <c r="T4648" s="98"/>
      <c r="U4648" s="99"/>
    </row>
    <row r="4649" spans="20:21" x14ac:dyDescent="0.25">
      <c r="T4649" s="98"/>
      <c r="U4649" s="99"/>
    </row>
    <row r="4650" spans="20:21" x14ac:dyDescent="0.25">
      <c r="T4650" s="98"/>
      <c r="U4650" s="99"/>
    </row>
    <row r="4651" spans="20:21" x14ac:dyDescent="0.25">
      <c r="T4651" s="98"/>
      <c r="U4651" s="99"/>
    </row>
    <row r="4652" spans="20:21" x14ac:dyDescent="0.25">
      <c r="T4652" s="98"/>
      <c r="U4652" s="99"/>
    </row>
    <row r="4653" spans="20:21" x14ac:dyDescent="0.25">
      <c r="T4653" s="98"/>
      <c r="U4653" s="99"/>
    </row>
    <row r="4654" spans="20:21" x14ac:dyDescent="0.25">
      <c r="T4654" s="98"/>
      <c r="U4654" s="99"/>
    </row>
    <row r="4655" spans="20:21" x14ac:dyDescent="0.25">
      <c r="T4655" s="98"/>
      <c r="U4655" s="99"/>
    </row>
    <row r="4656" spans="20:21" x14ac:dyDescent="0.25">
      <c r="T4656" s="98"/>
      <c r="U4656" s="99"/>
    </row>
    <row r="4657" spans="20:21" x14ac:dyDescent="0.25">
      <c r="T4657" s="98"/>
      <c r="U4657" s="99"/>
    </row>
    <row r="4658" spans="20:21" x14ac:dyDescent="0.25">
      <c r="T4658" s="98"/>
      <c r="U4658" s="99"/>
    </row>
    <row r="4659" spans="20:21" x14ac:dyDescent="0.25">
      <c r="T4659" s="98"/>
      <c r="U4659" s="99"/>
    </row>
    <row r="4660" spans="20:21" x14ac:dyDescent="0.25">
      <c r="T4660" s="98"/>
      <c r="U4660" s="99"/>
    </row>
    <row r="4661" spans="20:21" x14ac:dyDescent="0.25">
      <c r="T4661" s="98"/>
      <c r="U4661" s="99"/>
    </row>
    <row r="4662" spans="20:21" x14ac:dyDescent="0.25">
      <c r="T4662" s="98"/>
      <c r="U4662" s="99"/>
    </row>
    <row r="4663" spans="20:21" x14ac:dyDescent="0.25">
      <c r="T4663" s="98"/>
      <c r="U4663" s="99"/>
    </row>
    <row r="4664" spans="20:21" x14ac:dyDescent="0.25">
      <c r="T4664" s="98"/>
      <c r="U4664" s="99"/>
    </row>
    <row r="4665" spans="20:21" x14ac:dyDescent="0.25">
      <c r="T4665" s="98"/>
      <c r="U4665" s="99"/>
    </row>
    <row r="4666" spans="20:21" x14ac:dyDescent="0.25">
      <c r="T4666" s="98"/>
      <c r="U4666" s="99"/>
    </row>
    <row r="4667" spans="20:21" x14ac:dyDescent="0.25">
      <c r="T4667" s="98"/>
      <c r="U4667" s="99"/>
    </row>
    <row r="4668" spans="20:21" x14ac:dyDescent="0.25">
      <c r="T4668" s="98"/>
      <c r="U4668" s="99"/>
    </row>
    <row r="4669" spans="20:21" x14ac:dyDescent="0.25">
      <c r="T4669" s="98"/>
      <c r="U4669" s="99"/>
    </row>
    <row r="4670" spans="20:21" x14ac:dyDescent="0.25">
      <c r="T4670" s="98"/>
      <c r="U4670" s="99"/>
    </row>
    <row r="4671" spans="20:21" x14ac:dyDescent="0.25">
      <c r="T4671" s="98"/>
      <c r="U4671" s="99"/>
    </row>
    <row r="4672" spans="20:21" x14ac:dyDescent="0.25">
      <c r="T4672" s="98"/>
      <c r="U4672" s="99"/>
    </row>
    <row r="4673" spans="20:21" x14ac:dyDescent="0.25">
      <c r="T4673" s="98"/>
      <c r="U4673" s="99"/>
    </row>
    <row r="4674" spans="20:21" x14ac:dyDescent="0.25">
      <c r="T4674" s="98"/>
      <c r="U4674" s="99"/>
    </row>
    <row r="4675" spans="20:21" x14ac:dyDescent="0.25">
      <c r="T4675" s="98"/>
      <c r="U4675" s="99"/>
    </row>
    <row r="4676" spans="20:21" x14ac:dyDescent="0.25">
      <c r="T4676" s="98"/>
      <c r="U4676" s="99"/>
    </row>
    <row r="4677" spans="20:21" x14ac:dyDescent="0.25">
      <c r="T4677" s="98"/>
      <c r="U4677" s="99"/>
    </row>
    <row r="4678" spans="20:21" x14ac:dyDescent="0.25">
      <c r="T4678" s="98"/>
      <c r="U4678" s="99"/>
    </row>
    <row r="4679" spans="20:21" x14ac:dyDescent="0.25">
      <c r="T4679" s="98"/>
      <c r="U4679" s="99"/>
    </row>
    <row r="4680" spans="20:21" x14ac:dyDescent="0.25">
      <c r="T4680" s="98"/>
      <c r="U4680" s="99"/>
    </row>
    <row r="4681" spans="20:21" x14ac:dyDescent="0.25">
      <c r="T4681" s="98"/>
      <c r="U4681" s="99"/>
    </row>
    <row r="4682" spans="20:21" x14ac:dyDescent="0.25">
      <c r="T4682" s="98"/>
      <c r="U4682" s="99"/>
    </row>
    <row r="4683" spans="20:21" x14ac:dyDescent="0.25">
      <c r="T4683" s="98"/>
      <c r="U4683" s="99"/>
    </row>
    <row r="4684" spans="20:21" x14ac:dyDescent="0.25">
      <c r="T4684" s="98"/>
      <c r="U4684" s="99"/>
    </row>
    <row r="4685" spans="20:21" x14ac:dyDescent="0.25">
      <c r="T4685" s="98"/>
      <c r="U4685" s="99"/>
    </row>
    <row r="4686" spans="20:21" x14ac:dyDescent="0.25">
      <c r="T4686" s="98"/>
      <c r="U4686" s="99"/>
    </row>
    <row r="4687" spans="20:21" x14ac:dyDescent="0.25">
      <c r="T4687" s="98"/>
      <c r="U4687" s="99"/>
    </row>
    <row r="4688" spans="20:21" x14ac:dyDescent="0.25">
      <c r="T4688" s="98"/>
      <c r="U4688" s="99"/>
    </row>
    <row r="4689" spans="20:21" x14ac:dyDescent="0.25">
      <c r="T4689" s="98"/>
      <c r="U4689" s="99"/>
    </row>
    <row r="4690" spans="20:21" x14ac:dyDescent="0.25">
      <c r="T4690" s="98"/>
      <c r="U4690" s="99"/>
    </row>
    <row r="4691" spans="20:21" x14ac:dyDescent="0.25">
      <c r="T4691" s="98"/>
      <c r="U4691" s="99"/>
    </row>
    <row r="4692" spans="20:21" x14ac:dyDescent="0.25">
      <c r="T4692" s="98"/>
      <c r="U4692" s="99"/>
    </row>
    <row r="4693" spans="20:21" x14ac:dyDescent="0.25">
      <c r="T4693" s="98"/>
      <c r="U4693" s="99"/>
    </row>
    <row r="4694" spans="20:21" x14ac:dyDescent="0.25">
      <c r="T4694" s="98"/>
      <c r="U4694" s="99"/>
    </row>
    <row r="4695" spans="20:21" x14ac:dyDescent="0.25">
      <c r="T4695" s="98"/>
      <c r="U4695" s="99"/>
    </row>
    <row r="4696" spans="20:21" x14ac:dyDescent="0.25">
      <c r="T4696" s="98"/>
      <c r="U4696" s="99"/>
    </row>
    <row r="4697" spans="20:21" x14ac:dyDescent="0.25">
      <c r="T4697" s="98"/>
      <c r="U4697" s="99"/>
    </row>
    <row r="4698" spans="20:21" x14ac:dyDescent="0.25">
      <c r="T4698" s="98"/>
      <c r="U4698" s="99"/>
    </row>
    <row r="4699" spans="20:21" x14ac:dyDescent="0.25">
      <c r="T4699" s="98"/>
      <c r="U4699" s="99"/>
    </row>
    <row r="4700" spans="20:21" x14ac:dyDescent="0.25">
      <c r="T4700" s="98"/>
      <c r="U4700" s="99"/>
    </row>
    <row r="4701" spans="20:21" x14ac:dyDescent="0.25">
      <c r="T4701" s="98"/>
      <c r="U4701" s="99"/>
    </row>
    <row r="4702" spans="20:21" x14ac:dyDescent="0.25">
      <c r="T4702" s="98"/>
      <c r="U4702" s="99"/>
    </row>
    <row r="4703" spans="20:21" x14ac:dyDescent="0.25">
      <c r="T4703" s="98"/>
      <c r="U4703" s="99"/>
    </row>
    <row r="4704" spans="20:21" x14ac:dyDescent="0.25">
      <c r="T4704" s="98"/>
      <c r="U4704" s="99"/>
    </row>
    <row r="4705" spans="20:21" x14ac:dyDescent="0.25">
      <c r="T4705" s="98"/>
      <c r="U4705" s="99"/>
    </row>
    <row r="4706" spans="20:21" x14ac:dyDescent="0.25">
      <c r="T4706" s="98"/>
      <c r="U4706" s="99"/>
    </row>
    <row r="4707" spans="20:21" x14ac:dyDescent="0.25">
      <c r="T4707" s="98"/>
      <c r="U4707" s="99"/>
    </row>
    <row r="4708" spans="20:21" x14ac:dyDescent="0.25">
      <c r="T4708" s="98"/>
      <c r="U4708" s="99"/>
    </row>
    <row r="4709" spans="20:21" x14ac:dyDescent="0.25">
      <c r="T4709" s="98"/>
      <c r="U4709" s="99"/>
    </row>
    <row r="4710" spans="20:21" x14ac:dyDescent="0.25">
      <c r="T4710" s="98"/>
      <c r="U4710" s="99"/>
    </row>
    <row r="4711" spans="20:21" x14ac:dyDescent="0.25">
      <c r="T4711" s="98"/>
      <c r="U4711" s="99"/>
    </row>
    <row r="4712" spans="20:21" x14ac:dyDescent="0.25">
      <c r="T4712" s="98"/>
      <c r="U4712" s="99"/>
    </row>
    <row r="4713" spans="20:21" x14ac:dyDescent="0.25">
      <c r="T4713" s="98"/>
      <c r="U4713" s="99"/>
    </row>
    <row r="4714" spans="20:21" x14ac:dyDescent="0.25">
      <c r="T4714" s="98"/>
      <c r="U4714" s="99"/>
    </row>
    <row r="4715" spans="20:21" x14ac:dyDescent="0.25">
      <c r="T4715" s="98"/>
      <c r="U4715" s="99"/>
    </row>
    <row r="4716" spans="20:21" x14ac:dyDescent="0.25">
      <c r="T4716" s="98"/>
      <c r="U4716" s="99"/>
    </row>
    <row r="4717" spans="20:21" x14ac:dyDescent="0.25">
      <c r="T4717" s="98"/>
      <c r="U4717" s="99"/>
    </row>
    <row r="4718" spans="20:21" x14ac:dyDescent="0.25">
      <c r="T4718" s="98"/>
      <c r="U4718" s="99"/>
    </row>
    <row r="4719" spans="20:21" x14ac:dyDescent="0.25">
      <c r="T4719" s="98"/>
      <c r="U4719" s="99"/>
    </row>
    <row r="4720" spans="20:21" x14ac:dyDescent="0.25">
      <c r="T4720" s="98"/>
      <c r="U4720" s="99"/>
    </row>
    <row r="4721" spans="20:21" x14ac:dyDescent="0.25">
      <c r="T4721" s="98"/>
      <c r="U4721" s="99"/>
    </row>
    <row r="4722" spans="20:21" x14ac:dyDescent="0.25">
      <c r="T4722" s="98"/>
      <c r="U4722" s="99"/>
    </row>
    <row r="4723" spans="20:21" x14ac:dyDescent="0.25">
      <c r="T4723" s="98"/>
      <c r="U4723" s="99"/>
    </row>
    <row r="4724" spans="20:21" x14ac:dyDescent="0.25">
      <c r="T4724" s="98"/>
      <c r="U4724" s="99"/>
    </row>
    <row r="4725" spans="20:21" x14ac:dyDescent="0.25">
      <c r="T4725" s="98"/>
      <c r="U4725" s="99"/>
    </row>
    <row r="4726" spans="20:21" x14ac:dyDescent="0.25">
      <c r="T4726" s="98"/>
      <c r="U4726" s="99"/>
    </row>
    <row r="4727" spans="20:21" x14ac:dyDescent="0.25">
      <c r="T4727" s="98"/>
      <c r="U4727" s="99"/>
    </row>
    <row r="4728" spans="20:21" x14ac:dyDescent="0.25">
      <c r="T4728" s="98"/>
      <c r="U4728" s="99"/>
    </row>
    <row r="4729" spans="20:21" x14ac:dyDescent="0.25">
      <c r="T4729" s="98"/>
      <c r="U4729" s="99"/>
    </row>
    <row r="4730" spans="20:21" x14ac:dyDescent="0.25">
      <c r="T4730" s="98"/>
      <c r="U4730" s="99"/>
    </row>
    <row r="4731" spans="20:21" x14ac:dyDescent="0.25">
      <c r="T4731" s="98"/>
      <c r="U4731" s="99"/>
    </row>
    <row r="4732" spans="20:21" x14ac:dyDescent="0.25">
      <c r="T4732" s="98"/>
      <c r="U4732" s="99"/>
    </row>
    <row r="4733" spans="20:21" x14ac:dyDescent="0.25">
      <c r="T4733" s="98"/>
      <c r="U4733" s="99"/>
    </row>
    <row r="4734" spans="20:21" x14ac:dyDescent="0.25">
      <c r="T4734" s="98"/>
      <c r="U4734" s="99"/>
    </row>
    <row r="4735" spans="20:21" x14ac:dyDescent="0.25">
      <c r="T4735" s="98"/>
      <c r="U4735" s="99"/>
    </row>
    <row r="4736" spans="20:21" x14ac:dyDescent="0.25">
      <c r="T4736" s="98"/>
      <c r="U4736" s="99"/>
    </row>
    <row r="4737" spans="20:21" x14ac:dyDescent="0.25">
      <c r="T4737" s="98"/>
      <c r="U4737" s="99"/>
    </row>
    <row r="4738" spans="20:21" x14ac:dyDescent="0.25">
      <c r="T4738" s="98"/>
      <c r="U4738" s="99"/>
    </row>
    <row r="4739" spans="20:21" x14ac:dyDescent="0.25">
      <c r="T4739" s="98"/>
      <c r="U4739" s="99"/>
    </row>
    <row r="4740" spans="20:21" x14ac:dyDescent="0.25">
      <c r="T4740" s="98"/>
      <c r="U4740" s="99"/>
    </row>
    <row r="4741" spans="20:21" x14ac:dyDescent="0.25">
      <c r="T4741" s="98"/>
      <c r="U4741" s="99"/>
    </row>
    <row r="4742" spans="20:21" x14ac:dyDescent="0.25">
      <c r="T4742" s="98"/>
      <c r="U4742" s="99"/>
    </row>
    <row r="4743" spans="20:21" x14ac:dyDescent="0.25">
      <c r="T4743" s="98"/>
      <c r="U4743" s="99"/>
    </row>
    <row r="4744" spans="20:21" x14ac:dyDescent="0.25">
      <c r="T4744" s="98"/>
      <c r="U4744" s="99"/>
    </row>
    <row r="4745" spans="20:21" x14ac:dyDescent="0.25">
      <c r="T4745" s="98"/>
      <c r="U4745" s="99"/>
    </row>
    <row r="4746" spans="20:21" x14ac:dyDescent="0.25">
      <c r="T4746" s="98"/>
      <c r="U4746" s="99"/>
    </row>
    <row r="4747" spans="20:21" x14ac:dyDescent="0.25">
      <c r="T4747" s="98"/>
      <c r="U4747" s="99"/>
    </row>
    <row r="4748" spans="20:21" x14ac:dyDescent="0.25">
      <c r="T4748" s="98"/>
      <c r="U4748" s="99"/>
    </row>
    <row r="4749" spans="20:21" x14ac:dyDescent="0.25">
      <c r="T4749" s="98"/>
      <c r="U4749" s="99"/>
    </row>
    <row r="4750" spans="20:21" x14ac:dyDescent="0.25">
      <c r="T4750" s="98"/>
      <c r="U4750" s="99"/>
    </row>
    <row r="4751" spans="20:21" x14ac:dyDescent="0.25">
      <c r="T4751" s="98"/>
      <c r="U4751" s="99"/>
    </row>
    <row r="4752" spans="20:21" x14ac:dyDescent="0.25">
      <c r="T4752" s="98"/>
      <c r="U4752" s="99"/>
    </row>
    <row r="4753" spans="20:21" x14ac:dyDescent="0.25">
      <c r="T4753" s="98"/>
      <c r="U4753" s="99"/>
    </row>
    <row r="4754" spans="20:21" x14ac:dyDescent="0.25">
      <c r="T4754" s="98"/>
      <c r="U4754" s="99"/>
    </row>
    <row r="4755" spans="20:21" x14ac:dyDescent="0.25">
      <c r="T4755" s="98"/>
      <c r="U4755" s="99"/>
    </row>
    <row r="4756" spans="20:21" x14ac:dyDescent="0.25">
      <c r="T4756" s="98"/>
      <c r="U4756" s="99"/>
    </row>
    <row r="4757" spans="20:21" x14ac:dyDescent="0.25">
      <c r="T4757" s="98"/>
      <c r="U4757" s="99"/>
    </row>
    <row r="4758" spans="20:21" x14ac:dyDescent="0.25">
      <c r="T4758" s="98"/>
      <c r="U4758" s="99"/>
    </row>
    <row r="4759" spans="20:21" x14ac:dyDescent="0.25">
      <c r="T4759" s="98"/>
      <c r="U4759" s="99"/>
    </row>
    <row r="4760" spans="20:21" x14ac:dyDescent="0.25">
      <c r="T4760" s="98"/>
      <c r="U4760" s="99"/>
    </row>
    <row r="4761" spans="20:21" x14ac:dyDescent="0.25">
      <c r="T4761" s="98"/>
      <c r="U4761" s="99"/>
    </row>
    <row r="4762" spans="20:21" x14ac:dyDescent="0.25">
      <c r="T4762" s="98"/>
      <c r="U4762" s="99"/>
    </row>
    <row r="4763" spans="20:21" x14ac:dyDescent="0.25">
      <c r="T4763" s="98"/>
      <c r="U4763" s="99"/>
    </row>
    <row r="4764" spans="20:21" x14ac:dyDescent="0.25">
      <c r="T4764" s="98"/>
      <c r="U4764" s="99"/>
    </row>
    <row r="4765" spans="20:21" x14ac:dyDescent="0.25">
      <c r="T4765" s="98"/>
      <c r="U4765" s="99"/>
    </row>
    <row r="4766" spans="20:21" x14ac:dyDescent="0.25">
      <c r="T4766" s="98"/>
      <c r="U4766" s="99"/>
    </row>
    <row r="4767" spans="20:21" x14ac:dyDescent="0.25">
      <c r="T4767" s="98"/>
      <c r="U4767" s="99"/>
    </row>
    <row r="4768" spans="20:21" x14ac:dyDescent="0.25">
      <c r="T4768" s="98"/>
      <c r="U4768" s="99"/>
    </row>
    <row r="4769" spans="20:21" x14ac:dyDescent="0.25">
      <c r="T4769" s="98"/>
      <c r="U4769" s="99"/>
    </row>
    <row r="4770" spans="20:21" x14ac:dyDescent="0.25">
      <c r="T4770" s="98"/>
      <c r="U4770" s="99"/>
    </row>
    <row r="4771" spans="20:21" x14ac:dyDescent="0.25">
      <c r="T4771" s="98"/>
      <c r="U4771" s="99"/>
    </row>
    <row r="4772" spans="20:21" x14ac:dyDescent="0.25">
      <c r="T4772" s="98"/>
      <c r="U4772" s="99"/>
    </row>
    <row r="4773" spans="20:21" x14ac:dyDescent="0.25">
      <c r="T4773" s="98"/>
      <c r="U4773" s="99"/>
    </row>
    <row r="4774" spans="20:21" x14ac:dyDescent="0.25">
      <c r="T4774" s="98"/>
      <c r="U4774" s="99"/>
    </row>
    <row r="4775" spans="20:21" x14ac:dyDescent="0.25">
      <c r="T4775" s="98"/>
      <c r="U4775" s="99"/>
    </row>
    <row r="4776" spans="20:21" x14ac:dyDescent="0.25">
      <c r="T4776" s="98"/>
      <c r="U4776" s="99"/>
    </row>
    <row r="4777" spans="20:21" x14ac:dyDescent="0.25">
      <c r="T4777" s="98"/>
      <c r="U4777" s="99"/>
    </row>
    <row r="4778" spans="20:21" x14ac:dyDescent="0.25">
      <c r="T4778" s="98"/>
      <c r="U4778" s="99"/>
    </row>
    <row r="4779" spans="20:21" x14ac:dyDescent="0.25">
      <c r="T4779" s="98"/>
      <c r="U4779" s="99"/>
    </row>
    <row r="4780" spans="20:21" x14ac:dyDescent="0.25">
      <c r="T4780" s="98"/>
      <c r="U4780" s="99"/>
    </row>
    <row r="4781" spans="20:21" x14ac:dyDescent="0.25">
      <c r="T4781" s="98"/>
      <c r="U4781" s="99"/>
    </row>
    <row r="4782" spans="20:21" x14ac:dyDescent="0.25">
      <c r="T4782" s="98"/>
      <c r="U4782" s="99"/>
    </row>
    <row r="4783" spans="20:21" x14ac:dyDescent="0.25">
      <c r="T4783" s="98"/>
      <c r="U4783" s="99"/>
    </row>
    <row r="4784" spans="20:21" x14ac:dyDescent="0.25">
      <c r="T4784" s="98"/>
      <c r="U4784" s="99"/>
    </row>
    <row r="4785" spans="20:21" x14ac:dyDescent="0.25">
      <c r="T4785" s="98"/>
      <c r="U4785" s="99"/>
    </row>
    <row r="4786" spans="20:21" x14ac:dyDescent="0.25">
      <c r="T4786" s="98"/>
      <c r="U4786" s="99"/>
    </row>
    <row r="4787" spans="20:21" x14ac:dyDescent="0.25">
      <c r="T4787" s="98"/>
      <c r="U4787" s="99"/>
    </row>
    <row r="4788" spans="20:21" x14ac:dyDescent="0.25">
      <c r="T4788" s="98"/>
      <c r="U4788" s="99"/>
    </row>
    <row r="4789" spans="20:21" x14ac:dyDescent="0.25">
      <c r="T4789" s="98"/>
      <c r="U4789" s="99"/>
    </row>
    <row r="4790" spans="20:21" x14ac:dyDescent="0.25">
      <c r="T4790" s="98"/>
      <c r="U4790" s="99"/>
    </row>
    <row r="4791" spans="20:21" x14ac:dyDescent="0.25">
      <c r="T4791" s="98"/>
      <c r="U4791" s="99"/>
    </row>
    <row r="4792" spans="20:21" x14ac:dyDescent="0.25">
      <c r="T4792" s="98"/>
      <c r="U4792" s="99"/>
    </row>
    <row r="4793" spans="20:21" x14ac:dyDescent="0.25">
      <c r="T4793" s="98"/>
      <c r="U4793" s="99"/>
    </row>
    <row r="4794" spans="20:21" x14ac:dyDescent="0.25">
      <c r="T4794" s="98"/>
      <c r="U4794" s="99"/>
    </row>
    <row r="4795" spans="20:21" x14ac:dyDescent="0.25">
      <c r="T4795" s="98"/>
      <c r="U4795" s="99"/>
    </row>
    <row r="4796" spans="20:21" x14ac:dyDescent="0.25">
      <c r="T4796" s="98"/>
      <c r="U4796" s="99"/>
    </row>
    <row r="4797" spans="20:21" x14ac:dyDescent="0.25">
      <c r="T4797" s="98"/>
      <c r="U4797" s="99"/>
    </row>
    <row r="4798" spans="20:21" x14ac:dyDescent="0.25">
      <c r="T4798" s="98"/>
      <c r="U4798" s="99"/>
    </row>
    <row r="4799" spans="20:21" x14ac:dyDescent="0.25">
      <c r="T4799" s="98"/>
      <c r="U4799" s="99"/>
    </row>
    <row r="4800" spans="20:21" x14ac:dyDescent="0.25">
      <c r="T4800" s="98"/>
      <c r="U4800" s="99"/>
    </row>
    <row r="4801" spans="20:21" x14ac:dyDescent="0.25">
      <c r="T4801" s="98"/>
      <c r="U4801" s="99"/>
    </row>
    <row r="4802" spans="20:21" x14ac:dyDescent="0.25">
      <c r="T4802" s="98"/>
      <c r="U4802" s="99"/>
    </row>
    <row r="4803" spans="20:21" x14ac:dyDescent="0.25">
      <c r="T4803" s="98"/>
      <c r="U4803" s="99"/>
    </row>
    <row r="4804" spans="20:21" x14ac:dyDescent="0.25">
      <c r="T4804" s="98"/>
      <c r="U4804" s="99"/>
    </row>
    <row r="4805" spans="20:21" x14ac:dyDescent="0.25">
      <c r="T4805" s="98"/>
      <c r="U4805" s="99"/>
    </row>
    <row r="4806" spans="20:21" x14ac:dyDescent="0.25">
      <c r="T4806" s="98"/>
      <c r="U4806" s="99"/>
    </row>
    <row r="4807" spans="20:21" x14ac:dyDescent="0.25">
      <c r="T4807" s="98"/>
      <c r="U4807" s="99"/>
    </row>
    <row r="4808" spans="20:21" x14ac:dyDescent="0.25">
      <c r="T4808" s="98"/>
      <c r="U4808" s="99"/>
    </row>
    <row r="4809" spans="20:21" x14ac:dyDescent="0.25">
      <c r="T4809" s="98"/>
      <c r="U4809" s="99"/>
    </row>
    <row r="4810" spans="20:21" x14ac:dyDescent="0.25">
      <c r="T4810" s="98"/>
      <c r="U4810" s="99"/>
    </row>
    <row r="4811" spans="20:21" x14ac:dyDescent="0.25">
      <c r="T4811" s="98"/>
      <c r="U4811" s="99"/>
    </row>
    <row r="4812" spans="20:21" x14ac:dyDescent="0.25">
      <c r="T4812" s="98"/>
      <c r="U4812" s="99"/>
    </row>
    <row r="4813" spans="20:21" x14ac:dyDescent="0.25">
      <c r="T4813" s="98"/>
      <c r="U4813" s="99"/>
    </row>
    <row r="4814" spans="20:21" x14ac:dyDescent="0.25">
      <c r="T4814" s="98"/>
      <c r="U4814" s="99"/>
    </row>
    <row r="4815" spans="20:21" x14ac:dyDescent="0.25">
      <c r="T4815" s="98"/>
      <c r="U4815" s="99"/>
    </row>
    <row r="4816" spans="20:21" x14ac:dyDescent="0.25">
      <c r="T4816" s="98"/>
      <c r="U4816" s="99"/>
    </row>
    <row r="4817" spans="20:21" x14ac:dyDescent="0.25">
      <c r="T4817" s="98"/>
      <c r="U4817" s="99"/>
    </row>
    <row r="4818" spans="20:21" x14ac:dyDescent="0.25">
      <c r="T4818" s="98"/>
      <c r="U4818" s="99"/>
    </row>
    <row r="4819" spans="20:21" x14ac:dyDescent="0.25">
      <c r="T4819" s="98"/>
      <c r="U4819" s="99"/>
    </row>
    <row r="4820" spans="20:21" x14ac:dyDescent="0.25">
      <c r="T4820" s="98"/>
      <c r="U4820" s="99"/>
    </row>
    <row r="4821" spans="20:21" x14ac:dyDescent="0.25">
      <c r="T4821" s="98"/>
      <c r="U4821" s="99"/>
    </row>
    <row r="4822" spans="20:21" x14ac:dyDescent="0.25">
      <c r="T4822" s="98"/>
      <c r="U4822" s="99"/>
    </row>
    <row r="4823" spans="20:21" x14ac:dyDescent="0.25">
      <c r="T4823" s="98"/>
      <c r="U4823" s="99"/>
    </row>
    <row r="4824" spans="20:21" x14ac:dyDescent="0.25">
      <c r="T4824" s="98"/>
      <c r="U4824" s="99"/>
    </row>
    <row r="4825" spans="20:21" x14ac:dyDescent="0.25">
      <c r="T4825" s="98"/>
      <c r="U4825" s="99"/>
    </row>
    <row r="4826" spans="20:21" x14ac:dyDescent="0.25">
      <c r="T4826" s="98"/>
      <c r="U4826" s="99"/>
    </row>
    <row r="4827" spans="20:21" x14ac:dyDescent="0.25">
      <c r="T4827" s="98"/>
      <c r="U4827" s="99"/>
    </row>
    <row r="4828" spans="20:21" x14ac:dyDescent="0.25">
      <c r="T4828" s="98"/>
      <c r="U4828" s="99"/>
    </row>
    <row r="4829" spans="20:21" x14ac:dyDescent="0.25">
      <c r="T4829" s="98"/>
      <c r="U4829" s="99"/>
    </row>
    <row r="4830" spans="20:21" x14ac:dyDescent="0.25">
      <c r="T4830" s="98"/>
      <c r="U4830" s="99"/>
    </row>
    <row r="4831" spans="20:21" x14ac:dyDescent="0.25">
      <c r="T4831" s="98"/>
      <c r="U4831" s="99"/>
    </row>
    <row r="4832" spans="20:21" x14ac:dyDescent="0.25">
      <c r="T4832" s="98"/>
      <c r="U4832" s="99"/>
    </row>
    <row r="4833" spans="20:21" x14ac:dyDescent="0.25">
      <c r="T4833" s="98"/>
      <c r="U4833" s="99"/>
    </row>
    <row r="4834" spans="20:21" x14ac:dyDescent="0.25">
      <c r="T4834" s="98"/>
      <c r="U4834" s="99"/>
    </row>
    <row r="4835" spans="20:21" x14ac:dyDescent="0.25">
      <c r="T4835" s="98"/>
      <c r="U4835" s="99"/>
    </row>
    <row r="4836" spans="20:21" x14ac:dyDescent="0.25">
      <c r="T4836" s="98"/>
      <c r="U4836" s="99"/>
    </row>
    <row r="4837" spans="20:21" x14ac:dyDescent="0.25">
      <c r="T4837" s="98"/>
      <c r="U4837" s="99"/>
    </row>
    <row r="4838" spans="20:21" x14ac:dyDescent="0.25">
      <c r="T4838" s="98"/>
      <c r="U4838" s="99"/>
    </row>
    <row r="4839" spans="20:21" x14ac:dyDescent="0.25">
      <c r="T4839" s="98"/>
      <c r="U4839" s="99"/>
    </row>
    <row r="4840" spans="20:21" x14ac:dyDescent="0.25">
      <c r="T4840" s="98"/>
      <c r="U4840" s="99"/>
    </row>
    <row r="4841" spans="20:21" x14ac:dyDescent="0.25">
      <c r="T4841" s="98"/>
      <c r="U4841" s="99"/>
    </row>
    <row r="4842" spans="20:21" x14ac:dyDescent="0.25">
      <c r="T4842" s="98"/>
      <c r="U4842" s="99"/>
    </row>
    <row r="4843" spans="20:21" x14ac:dyDescent="0.25">
      <c r="T4843" s="98"/>
      <c r="U4843" s="99"/>
    </row>
    <row r="4844" spans="20:21" x14ac:dyDescent="0.25">
      <c r="T4844" s="98"/>
      <c r="U4844" s="99"/>
    </row>
    <row r="4845" spans="20:21" x14ac:dyDescent="0.25">
      <c r="T4845" s="98"/>
      <c r="U4845" s="99"/>
    </row>
    <row r="4846" spans="20:21" x14ac:dyDescent="0.25">
      <c r="T4846" s="98"/>
      <c r="U4846" s="99"/>
    </row>
    <row r="4847" spans="20:21" x14ac:dyDescent="0.25">
      <c r="T4847" s="98"/>
      <c r="U4847" s="99"/>
    </row>
    <row r="4848" spans="20:21" x14ac:dyDescent="0.25">
      <c r="T4848" s="98"/>
      <c r="U4848" s="99"/>
    </row>
    <row r="4849" spans="20:21" x14ac:dyDescent="0.25">
      <c r="T4849" s="98"/>
      <c r="U4849" s="99"/>
    </row>
    <row r="4850" spans="20:21" x14ac:dyDescent="0.25">
      <c r="T4850" s="98"/>
      <c r="U4850" s="99"/>
    </row>
    <row r="4851" spans="20:21" x14ac:dyDescent="0.25">
      <c r="T4851" s="98"/>
      <c r="U4851" s="99"/>
    </row>
    <row r="4852" spans="20:21" x14ac:dyDescent="0.25">
      <c r="T4852" s="98"/>
      <c r="U4852" s="99"/>
    </row>
    <row r="4853" spans="20:21" x14ac:dyDescent="0.25">
      <c r="T4853" s="98"/>
      <c r="U4853" s="99"/>
    </row>
    <row r="4854" spans="20:21" x14ac:dyDescent="0.25">
      <c r="T4854" s="98"/>
      <c r="U4854" s="99"/>
    </row>
    <row r="4855" spans="20:21" x14ac:dyDescent="0.25">
      <c r="T4855" s="98"/>
      <c r="U4855" s="99"/>
    </row>
    <row r="4856" spans="20:21" x14ac:dyDescent="0.25">
      <c r="T4856" s="98"/>
      <c r="U4856" s="99"/>
    </row>
    <row r="4857" spans="20:21" x14ac:dyDescent="0.25">
      <c r="T4857" s="98"/>
      <c r="U4857" s="99"/>
    </row>
    <row r="4858" spans="20:21" x14ac:dyDescent="0.25">
      <c r="T4858" s="98"/>
      <c r="U4858" s="99"/>
    </row>
    <row r="4859" spans="20:21" x14ac:dyDescent="0.25">
      <c r="T4859" s="98"/>
      <c r="U4859" s="99"/>
    </row>
    <row r="4860" spans="20:21" x14ac:dyDescent="0.25">
      <c r="T4860" s="98"/>
      <c r="U4860" s="99"/>
    </row>
    <row r="4861" spans="20:21" x14ac:dyDescent="0.25">
      <c r="T4861" s="98"/>
      <c r="U4861" s="99"/>
    </row>
    <row r="4862" spans="20:21" x14ac:dyDescent="0.25">
      <c r="T4862" s="98"/>
      <c r="U4862" s="99"/>
    </row>
    <row r="4863" spans="20:21" x14ac:dyDescent="0.25">
      <c r="T4863" s="98"/>
      <c r="U4863" s="99"/>
    </row>
    <row r="4864" spans="20:21" x14ac:dyDescent="0.25">
      <c r="T4864" s="98"/>
      <c r="U4864" s="99"/>
    </row>
    <row r="4865" spans="20:21" x14ac:dyDescent="0.25">
      <c r="T4865" s="98"/>
      <c r="U4865" s="99"/>
    </row>
    <row r="4866" spans="20:21" x14ac:dyDescent="0.25">
      <c r="T4866" s="98"/>
      <c r="U4866" s="99"/>
    </row>
    <row r="4867" spans="20:21" x14ac:dyDescent="0.25">
      <c r="T4867" s="98"/>
      <c r="U4867" s="99"/>
    </row>
    <row r="4868" spans="20:21" x14ac:dyDescent="0.25">
      <c r="T4868" s="98"/>
      <c r="U4868" s="99"/>
    </row>
    <row r="4869" spans="20:21" x14ac:dyDescent="0.25">
      <c r="T4869" s="98"/>
      <c r="U4869" s="99"/>
    </row>
    <row r="4870" spans="20:21" x14ac:dyDescent="0.25">
      <c r="T4870" s="98"/>
      <c r="U4870" s="99"/>
    </row>
    <row r="4871" spans="20:21" x14ac:dyDescent="0.25">
      <c r="T4871" s="98"/>
      <c r="U4871" s="99"/>
    </row>
    <row r="4872" spans="20:21" x14ac:dyDescent="0.25">
      <c r="T4872" s="98"/>
      <c r="U4872" s="99"/>
    </row>
    <row r="4873" spans="20:21" x14ac:dyDescent="0.25">
      <c r="T4873" s="98"/>
      <c r="U4873" s="99"/>
    </row>
    <row r="4874" spans="20:21" x14ac:dyDescent="0.25">
      <c r="T4874" s="98"/>
      <c r="U4874" s="99"/>
    </row>
    <row r="4875" spans="20:21" x14ac:dyDescent="0.25">
      <c r="T4875" s="98"/>
      <c r="U4875" s="99"/>
    </row>
    <row r="4876" spans="20:21" x14ac:dyDescent="0.25">
      <c r="T4876" s="98"/>
      <c r="U4876" s="99"/>
    </row>
    <row r="4877" spans="20:21" x14ac:dyDescent="0.25">
      <c r="T4877" s="98"/>
      <c r="U4877" s="99"/>
    </row>
    <row r="4878" spans="20:21" x14ac:dyDescent="0.25">
      <c r="T4878" s="98"/>
      <c r="U4878" s="99"/>
    </row>
    <row r="4879" spans="20:21" x14ac:dyDescent="0.25">
      <c r="T4879" s="98"/>
      <c r="U4879" s="99"/>
    </row>
    <row r="4880" spans="20:21" x14ac:dyDescent="0.25">
      <c r="T4880" s="98"/>
      <c r="U4880" s="99"/>
    </row>
    <row r="4881" spans="20:21" x14ac:dyDescent="0.25">
      <c r="T4881" s="98"/>
      <c r="U4881" s="99"/>
    </row>
    <row r="4882" spans="20:21" x14ac:dyDescent="0.25">
      <c r="T4882" s="98"/>
      <c r="U4882" s="99"/>
    </row>
    <row r="4883" spans="20:21" x14ac:dyDescent="0.25">
      <c r="T4883" s="98"/>
      <c r="U4883" s="99"/>
    </row>
    <row r="4884" spans="20:21" x14ac:dyDescent="0.25">
      <c r="T4884" s="98"/>
      <c r="U4884" s="99"/>
    </row>
    <row r="4885" spans="20:21" x14ac:dyDescent="0.25">
      <c r="T4885" s="98"/>
      <c r="U4885" s="99"/>
    </row>
    <row r="4886" spans="20:21" x14ac:dyDescent="0.25">
      <c r="T4886" s="98"/>
      <c r="U4886" s="99"/>
    </row>
    <row r="4887" spans="20:21" x14ac:dyDescent="0.25">
      <c r="T4887" s="98"/>
      <c r="U4887" s="99"/>
    </row>
    <row r="4888" spans="20:21" x14ac:dyDescent="0.25">
      <c r="T4888" s="98"/>
      <c r="U4888" s="99"/>
    </row>
    <row r="4889" spans="20:21" x14ac:dyDescent="0.25">
      <c r="T4889" s="98"/>
      <c r="U4889" s="99"/>
    </row>
    <row r="4890" spans="20:21" x14ac:dyDescent="0.25">
      <c r="T4890" s="98"/>
      <c r="U4890" s="99"/>
    </row>
    <row r="4891" spans="20:21" x14ac:dyDescent="0.25">
      <c r="T4891" s="98"/>
      <c r="U4891" s="99"/>
    </row>
    <row r="4892" spans="20:21" x14ac:dyDescent="0.25">
      <c r="T4892" s="98"/>
      <c r="U4892" s="99"/>
    </row>
    <row r="4893" spans="20:21" x14ac:dyDescent="0.25">
      <c r="T4893" s="98"/>
      <c r="U4893" s="99"/>
    </row>
    <row r="4894" spans="20:21" x14ac:dyDescent="0.25">
      <c r="T4894" s="98"/>
      <c r="U4894" s="99"/>
    </row>
    <row r="4895" spans="20:21" x14ac:dyDescent="0.25">
      <c r="T4895" s="98"/>
      <c r="U4895" s="99"/>
    </row>
    <row r="4896" spans="20:21" x14ac:dyDescent="0.25">
      <c r="T4896" s="98"/>
      <c r="U4896" s="99"/>
    </row>
    <row r="4897" spans="20:21" x14ac:dyDescent="0.25">
      <c r="T4897" s="98"/>
      <c r="U4897" s="99"/>
    </row>
    <row r="4898" spans="20:21" x14ac:dyDescent="0.25">
      <c r="T4898" s="98"/>
      <c r="U4898" s="99"/>
    </row>
    <row r="4899" spans="20:21" x14ac:dyDescent="0.25">
      <c r="T4899" s="98"/>
      <c r="U4899" s="99"/>
    </row>
    <row r="4900" spans="20:21" x14ac:dyDescent="0.25">
      <c r="T4900" s="98"/>
      <c r="U4900" s="99"/>
    </row>
    <row r="4901" spans="20:21" x14ac:dyDescent="0.25">
      <c r="T4901" s="98"/>
      <c r="U4901" s="99"/>
    </row>
    <row r="4902" spans="20:21" x14ac:dyDescent="0.25">
      <c r="T4902" s="98"/>
      <c r="U4902" s="99"/>
    </row>
    <row r="4903" spans="20:21" x14ac:dyDescent="0.25">
      <c r="T4903" s="98"/>
      <c r="U4903" s="99"/>
    </row>
    <row r="4904" spans="20:21" x14ac:dyDescent="0.25">
      <c r="T4904" s="98"/>
      <c r="U4904" s="99"/>
    </row>
    <row r="4905" spans="20:21" x14ac:dyDescent="0.25">
      <c r="T4905" s="98"/>
      <c r="U4905" s="99"/>
    </row>
    <row r="4906" spans="20:21" x14ac:dyDescent="0.25">
      <c r="T4906" s="98"/>
      <c r="U4906" s="99"/>
    </row>
    <row r="4907" spans="20:21" x14ac:dyDescent="0.25">
      <c r="T4907" s="98"/>
      <c r="U4907" s="99"/>
    </row>
    <row r="4908" spans="20:21" x14ac:dyDescent="0.25">
      <c r="T4908" s="98"/>
      <c r="U4908" s="99"/>
    </row>
    <row r="4909" spans="20:21" x14ac:dyDescent="0.25">
      <c r="T4909" s="98"/>
      <c r="U4909" s="99"/>
    </row>
    <row r="4910" spans="20:21" x14ac:dyDescent="0.25">
      <c r="T4910" s="98"/>
      <c r="U4910" s="99"/>
    </row>
    <row r="4911" spans="20:21" x14ac:dyDescent="0.25">
      <c r="T4911" s="98"/>
      <c r="U4911" s="99"/>
    </row>
    <row r="4912" spans="20:21" x14ac:dyDescent="0.25">
      <c r="T4912" s="98"/>
      <c r="U4912" s="99"/>
    </row>
    <row r="4913" spans="20:21" x14ac:dyDescent="0.25">
      <c r="T4913" s="98"/>
      <c r="U4913" s="99"/>
    </row>
    <row r="4914" spans="20:21" x14ac:dyDescent="0.25">
      <c r="T4914" s="98"/>
      <c r="U4914" s="99"/>
    </row>
    <row r="4915" spans="20:21" x14ac:dyDescent="0.25">
      <c r="T4915" s="98"/>
      <c r="U4915" s="99"/>
    </row>
    <row r="4916" spans="20:21" x14ac:dyDescent="0.25">
      <c r="T4916" s="98"/>
      <c r="U4916" s="99"/>
    </row>
    <row r="4917" spans="20:21" x14ac:dyDescent="0.25">
      <c r="T4917" s="98"/>
      <c r="U4917" s="99"/>
    </row>
    <row r="4918" spans="20:21" x14ac:dyDescent="0.25">
      <c r="T4918" s="98"/>
      <c r="U4918" s="99"/>
    </row>
    <row r="4919" spans="20:21" x14ac:dyDescent="0.25">
      <c r="T4919" s="98"/>
      <c r="U4919" s="99"/>
    </row>
    <row r="4920" spans="20:21" x14ac:dyDescent="0.25">
      <c r="T4920" s="98"/>
      <c r="U4920" s="99"/>
    </row>
    <row r="4921" spans="20:21" x14ac:dyDescent="0.25">
      <c r="T4921" s="98"/>
      <c r="U4921" s="99"/>
    </row>
    <row r="4922" spans="20:21" x14ac:dyDescent="0.25">
      <c r="T4922" s="98"/>
      <c r="U4922" s="99"/>
    </row>
    <row r="4923" spans="20:21" x14ac:dyDescent="0.25">
      <c r="T4923" s="98"/>
      <c r="U4923" s="99"/>
    </row>
    <row r="4924" spans="20:21" x14ac:dyDescent="0.25">
      <c r="T4924" s="98"/>
      <c r="U4924" s="99"/>
    </row>
    <row r="4925" spans="20:21" x14ac:dyDescent="0.25">
      <c r="T4925" s="98"/>
      <c r="U4925" s="99"/>
    </row>
    <row r="4926" spans="20:21" x14ac:dyDescent="0.25">
      <c r="T4926" s="98"/>
      <c r="U4926" s="99"/>
    </row>
    <row r="4927" spans="20:21" x14ac:dyDescent="0.25">
      <c r="T4927" s="98"/>
      <c r="U4927" s="99"/>
    </row>
    <row r="4928" spans="20:21" x14ac:dyDescent="0.25">
      <c r="T4928" s="98"/>
      <c r="U4928" s="99"/>
    </row>
    <row r="4929" spans="20:21" x14ac:dyDescent="0.25">
      <c r="T4929" s="98"/>
      <c r="U4929" s="99"/>
    </row>
    <row r="4930" spans="20:21" x14ac:dyDescent="0.25">
      <c r="T4930" s="98"/>
      <c r="U4930" s="99"/>
    </row>
    <row r="4931" spans="20:21" x14ac:dyDescent="0.25">
      <c r="T4931" s="98"/>
      <c r="U4931" s="99"/>
    </row>
    <row r="4932" spans="20:21" x14ac:dyDescent="0.25">
      <c r="T4932" s="98"/>
      <c r="U4932" s="99"/>
    </row>
    <row r="4933" spans="20:21" x14ac:dyDescent="0.25">
      <c r="T4933" s="98"/>
      <c r="U4933" s="99"/>
    </row>
    <row r="4934" spans="20:21" x14ac:dyDescent="0.25">
      <c r="T4934" s="98"/>
      <c r="U4934" s="99"/>
    </row>
    <row r="4935" spans="20:21" x14ac:dyDescent="0.25">
      <c r="T4935" s="98"/>
      <c r="U4935" s="99"/>
    </row>
    <row r="4936" spans="20:21" x14ac:dyDescent="0.25">
      <c r="T4936" s="98"/>
      <c r="U4936" s="99"/>
    </row>
    <row r="4937" spans="20:21" x14ac:dyDescent="0.25">
      <c r="T4937" s="98"/>
      <c r="U4937" s="99"/>
    </row>
    <row r="4938" spans="20:21" x14ac:dyDescent="0.25">
      <c r="T4938" s="98"/>
      <c r="U4938" s="99"/>
    </row>
    <row r="4939" spans="20:21" x14ac:dyDescent="0.25">
      <c r="T4939" s="98"/>
      <c r="U4939" s="99"/>
    </row>
    <row r="4940" spans="20:21" x14ac:dyDescent="0.25">
      <c r="T4940" s="98"/>
      <c r="U4940" s="99"/>
    </row>
    <row r="4941" spans="20:21" x14ac:dyDescent="0.25">
      <c r="T4941" s="98"/>
      <c r="U4941" s="99"/>
    </row>
    <row r="4942" spans="20:21" x14ac:dyDescent="0.25">
      <c r="T4942" s="98"/>
      <c r="U4942" s="99"/>
    </row>
    <row r="4943" spans="20:21" x14ac:dyDescent="0.25">
      <c r="T4943" s="98"/>
      <c r="U4943" s="99"/>
    </row>
    <row r="4944" spans="20:21" x14ac:dyDescent="0.25">
      <c r="T4944" s="98"/>
      <c r="U4944" s="99"/>
    </row>
    <row r="4945" spans="20:21" x14ac:dyDescent="0.25">
      <c r="T4945" s="98"/>
      <c r="U4945" s="99"/>
    </row>
    <row r="4946" spans="20:21" x14ac:dyDescent="0.25">
      <c r="T4946" s="98"/>
      <c r="U4946" s="99"/>
    </row>
    <row r="4947" spans="20:21" x14ac:dyDescent="0.25">
      <c r="T4947" s="98"/>
      <c r="U4947" s="99"/>
    </row>
    <row r="4948" spans="20:21" x14ac:dyDescent="0.25">
      <c r="T4948" s="98"/>
      <c r="U4948" s="99"/>
    </row>
    <row r="4949" spans="20:21" x14ac:dyDescent="0.25">
      <c r="T4949" s="98"/>
      <c r="U4949" s="99"/>
    </row>
    <row r="4950" spans="20:21" x14ac:dyDescent="0.25">
      <c r="T4950" s="98"/>
      <c r="U4950" s="99"/>
    </row>
    <row r="4951" spans="20:21" x14ac:dyDescent="0.25">
      <c r="T4951" s="98"/>
      <c r="U4951" s="99"/>
    </row>
    <row r="4952" spans="20:21" x14ac:dyDescent="0.25">
      <c r="T4952" s="98"/>
      <c r="U4952" s="99"/>
    </row>
    <row r="4953" spans="20:21" x14ac:dyDescent="0.25">
      <c r="T4953" s="98"/>
      <c r="U4953" s="99"/>
    </row>
    <row r="4954" spans="20:21" x14ac:dyDescent="0.25">
      <c r="T4954" s="98"/>
      <c r="U4954" s="99"/>
    </row>
    <row r="4955" spans="20:21" x14ac:dyDescent="0.25">
      <c r="T4955" s="98"/>
      <c r="U4955" s="99"/>
    </row>
    <row r="4956" spans="20:21" x14ac:dyDescent="0.25">
      <c r="T4956" s="98"/>
      <c r="U4956" s="99"/>
    </row>
    <row r="4957" spans="20:21" x14ac:dyDescent="0.25">
      <c r="T4957" s="98"/>
      <c r="U4957" s="99"/>
    </row>
    <row r="4958" spans="20:21" x14ac:dyDescent="0.25">
      <c r="T4958" s="98"/>
      <c r="U4958" s="99"/>
    </row>
    <row r="4959" spans="20:21" x14ac:dyDescent="0.25">
      <c r="T4959" s="98"/>
      <c r="U4959" s="99"/>
    </row>
    <row r="4960" spans="20:21" x14ac:dyDescent="0.25">
      <c r="T4960" s="98"/>
      <c r="U4960" s="99"/>
    </row>
    <row r="4961" spans="20:21" x14ac:dyDescent="0.25">
      <c r="T4961" s="98"/>
      <c r="U4961" s="99"/>
    </row>
    <row r="4962" spans="20:21" x14ac:dyDescent="0.25">
      <c r="T4962" s="98"/>
      <c r="U4962" s="99"/>
    </row>
    <row r="4963" spans="20:21" x14ac:dyDescent="0.25">
      <c r="T4963" s="98"/>
      <c r="U4963" s="99"/>
    </row>
    <row r="4964" spans="20:21" x14ac:dyDescent="0.25">
      <c r="T4964" s="98"/>
      <c r="U4964" s="99"/>
    </row>
    <row r="4965" spans="20:21" x14ac:dyDescent="0.25">
      <c r="T4965" s="98"/>
      <c r="U4965" s="99"/>
    </row>
    <row r="4966" spans="20:21" x14ac:dyDescent="0.25">
      <c r="T4966" s="98"/>
      <c r="U4966" s="99"/>
    </row>
    <row r="4967" spans="20:21" x14ac:dyDescent="0.25">
      <c r="T4967" s="98"/>
      <c r="U4967" s="99"/>
    </row>
    <row r="4968" spans="20:21" x14ac:dyDescent="0.25">
      <c r="T4968" s="98"/>
      <c r="U4968" s="99"/>
    </row>
    <row r="4969" spans="20:21" x14ac:dyDescent="0.25">
      <c r="T4969" s="98"/>
      <c r="U4969" s="99"/>
    </row>
    <row r="4970" spans="20:21" x14ac:dyDescent="0.25">
      <c r="T4970" s="98"/>
      <c r="U4970" s="99"/>
    </row>
    <row r="4971" spans="20:21" x14ac:dyDescent="0.25">
      <c r="T4971" s="98"/>
      <c r="U4971" s="99"/>
    </row>
    <row r="4972" spans="20:21" x14ac:dyDescent="0.25">
      <c r="T4972" s="98"/>
      <c r="U4972" s="99"/>
    </row>
    <row r="4973" spans="20:21" x14ac:dyDescent="0.25">
      <c r="T4973" s="98"/>
      <c r="U4973" s="99"/>
    </row>
    <row r="4974" spans="20:21" x14ac:dyDescent="0.25">
      <c r="T4974" s="98"/>
      <c r="U4974" s="99"/>
    </row>
    <row r="4975" spans="20:21" x14ac:dyDescent="0.25">
      <c r="T4975" s="98"/>
      <c r="U4975" s="99"/>
    </row>
    <row r="4976" spans="20:21" x14ac:dyDescent="0.25">
      <c r="T4976" s="98"/>
      <c r="U4976" s="99"/>
    </row>
    <row r="4977" spans="20:21" x14ac:dyDescent="0.25">
      <c r="T4977" s="98"/>
      <c r="U4977" s="99"/>
    </row>
    <row r="4978" spans="20:21" x14ac:dyDescent="0.25">
      <c r="T4978" s="98"/>
      <c r="U4978" s="99"/>
    </row>
    <row r="4979" spans="20:21" x14ac:dyDescent="0.25">
      <c r="T4979" s="98"/>
      <c r="U4979" s="99"/>
    </row>
    <row r="4980" spans="20:21" x14ac:dyDescent="0.25">
      <c r="T4980" s="98"/>
      <c r="U4980" s="99"/>
    </row>
    <row r="4981" spans="20:21" x14ac:dyDescent="0.25">
      <c r="T4981" s="98"/>
      <c r="U4981" s="99"/>
    </row>
    <row r="4982" spans="20:21" x14ac:dyDescent="0.25">
      <c r="T4982" s="98"/>
      <c r="U4982" s="99"/>
    </row>
    <row r="4983" spans="20:21" x14ac:dyDescent="0.25">
      <c r="T4983" s="98"/>
      <c r="U4983" s="99"/>
    </row>
    <row r="4984" spans="20:21" x14ac:dyDescent="0.25">
      <c r="T4984" s="98"/>
      <c r="U4984" s="99"/>
    </row>
    <row r="4985" spans="20:21" x14ac:dyDescent="0.25">
      <c r="T4985" s="98"/>
      <c r="U4985" s="99"/>
    </row>
    <row r="4986" spans="20:21" x14ac:dyDescent="0.25">
      <c r="T4986" s="98"/>
      <c r="U4986" s="99"/>
    </row>
    <row r="4987" spans="20:21" x14ac:dyDescent="0.25">
      <c r="T4987" s="98"/>
      <c r="U4987" s="99"/>
    </row>
    <row r="4988" spans="20:21" x14ac:dyDescent="0.25">
      <c r="T4988" s="98"/>
      <c r="U4988" s="99"/>
    </row>
    <row r="4989" spans="20:21" x14ac:dyDescent="0.25">
      <c r="T4989" s="98"/>
      <c r="U4989" s="99"/>
    </row>
    <row r="4990" spans="20:21" x14ac:dyDescent="0.25">
      <c r="T4990" s="98"/>
      <c r="U4990" s="99"/>
    </row>
    <row r="4991" spans="20:21" x14ac:dyDescent="0.25">
      <c r="T4991" s="98"/>
      <c r="U4991" s="99"/>
    </row>
    <row r="4992" spans="20:21" x14ac:dyDescent="0.25">
      <c r="T4992" s="98"/>
      <c r="U4992" s="99"/>
    </row>
    <row r="4993" spans="20:21" x14ac:dyDescent="0.25">
      <c r="T4993" s="98"/>
      <c r="U4993" s="99"/>
    </row>
    <row r="4994" spans="20:21" x14ac:dyDescent="0.25">
      <c r="T4994" s="98"/>
      <c r="U4994" s="99"/>
    </row>
    <row r="4995" spans="20:21" x14ac:dyDescent="0.25">
      <c r="T4995" s="98"/>
      <c r="U4995" s="99"/>
    </row>
    <row r="4996" spans="20:21" x14ac:dyDescent="0.25">
      <c r="T4996" s="98"/>
      <c r="U4996" s="99"/>
    </row>
    <row r="4997" spans="20:21" x14ac:dyDescent="0.25">
      <c r="T4997" s="98"/>
      <c r="U4997" s="99"/>
    </row>
    <row r="4998" spans="20:21" x14ac:dyDescent="0.25">
      <c r="T4998" s="98"/>
      <c r="U4998" s="99"/>
    </row>
    <row r="4999" spans="20:21" x14ac:dyDescent="0.25">
      <c r="T4999" s="98"/>
      <c r="U4999" s="99"/>
    </row>
    <row r="5000" spans="20:21" x14ac:dyDescent="0.25">
      <c r="T5000" s="98"/>
      <c r="U5000" s="99"/>
    </row>
    <row r="5001" spans="20:21" x14ac:dyDescent="0.25">
      <c r="T5001" s="98"/>
      <c r="U5001" s="99"/>
    </row>
    <row r="5002" spans="20:21" x14ac:dyDescent="0.25">
      <c r="T5002" s="98"/>
      <c r="U5002" s="99"/>
    </row>
    <row r="5003" spans="20:21" x14ac:dyDescent="0.25">
      <c r="T5003" s="98"/>
      <c r="U5003" s="99"/>
    </row>
    <row r="5004" spans="20:21" x14ac:dyDescent="0.25">
      <c r="T5004" s="98"/>
      <c r="U5004" s="99"/>
    </row>
    <row r="5005" spans="20:21" x14ac:dyDescent="0.25">
      <c r="T5005" s="98"/>
      <c r="U5005" s="99"/>
    </row>
    <row r="5006" spans="20:21" x14ac:dyDescent="0.25">
      <c r="T5006" s="98"/>
      <c r="U5006" s="99"/>
    </row>
    <row r="5007" spans="20:21" x14ac:dyDescent="0.25">
      <c r="T5007" s="98"/>
      <c r="U5007" s="99"/>
    </row>
    <row r="5008" spans="20:21" x14ac:dyDescent="0.25">
      <c r="T5008" s="98"/>
      <c r="U5008" s="99"/>
    </row>
    <row r="5009" spans="20:21" x14ac:dyDescent="0.25">
      <c r="T5009" s="98"/>
      <c r="U5009" s="99"/>
    </row>
    <row r="5010" spans="20:21" x14ac:dyDescent="0.25">
      <c r="T5010" s="98"/>
      <c r="U5010" s="99"/>
    </row>
    <row r="5011" spans="20:21" x14ac:dyDescent="0.25">
      <c r="T5011" s="98"/>
      <c r="U5011" s="99"/>
    </row>
    <row r="5012" spans="20:21" x14ac:dyDescent="0.25">
      <c r="T5012" s="98"/>
    </row>
    <row r="5013" spans="20:21" x14ac:dyDescent="0.25">
      <c r="T5013" s="98"/>
    </row>
    <row r="5014" spans="20:21" x14ac:dyDescent="0.25">
      <c r="T5014" s="98"/>
    </row>
    <row r="5015" spans="20:21" x14ac:dyDescent="0.25">
      <c r="T5015" s="98"/>
    </row>
    <row r="5016" spans="20:21" x14ac:dyDescent="0.25">
      <c r="T5016" s="98"/>
    </row>
    <row r="5017" spans="20:21" x14ac:dyDescent="0.25">
      <c r="T5017" s="98"/>
    </row>
    <row r="5018" spans="20:21" x14ac:dyDescent="0.25">
      <c r="T5018" s="98"/>
    </row>
    <row r="5019" spans="20:21" x14ac:dyDescent="0.25">
      <c r="T5019" s="98"/>
    </row>
    <row r="5020" spans="20:21" x14ac:dyDescent="0.25">
      <c r="T5020" s="98"/>
    </row>
    <row r="5021" spans="20:21" x14ac:dyDescent="0.25">
      <c r="T5021" s="98"/>
    </row>
    <row r="5022" spans="20:21" x14ac:dyDescent="0.25">
      <c r="T5022" s="98"/>
    </row>
    <row r="5023" spans="20:21" x14ac:dyDescent="0.25">
      <c r="T5023" s="98"/>
    </row>
    <row r="5024" spans="20:21" x14ac:dyDescent="0.25">
      <c r="T5024" s="98"/>
    </row>
    <row r="5025" spans="20:20" x14ac:dyDescent="0.25">
      <c r="T5025" s="98"/>
    </row>
    <row r="5026" spans="20:20" x14ac:dyDescent="0.25">
      <c r="T5026" s="98"/>
    </row>
    <row r="5027" spans="20:20" x14ac:dyDescent="0.25">
      <c r="T5027" s="98"/>
    </row>
    <row r="5028" spans="20:20" x14ac:dyDescent="0.25">
      <c r="T5028" s="98"/>
    </row>
    <row r="5029" spans="20:20" x14ac:dyDescent="0.25">
      <c r="T5029" s="98"/>
    </row>
    <row r="5030" spans="20:20" x14ac:dyDescent="0.25">
      <c r="T5030" s="98"/>
    </row>
    <row r="5031" spans="20:20" x14ac:dyDescent="0.25">
      <c r="T5031" s="98"/>
    </row>
    <row r="5032" spans="20:20" x14ac:dyDescent="0.25">
      <c r="T5032" s="98"/>
    </row>
    <row r="5033" spans="20:20" x14ac:dyDescent="0.25">
      <c r="T5033" s="98"/>
    </row>
    <row r="5034" spans="20:20" x14ac:dyDescent="0.25">
      <c r="T5034" s="98"/>
    </row>
    <row r="5035" spans="20:20" x14ac:dyDescent="0.25">
      <c r="T5035" s="98"/>
    </row>
    <row r="5036" spans="20:20" x14ac:dyDescent="0.25">
      <c r="T5036" s="98"/>
    </row>
    <row r="5037" spans="20:20" x14ac:dyDescent="0.25">
      <c r="T5037" s="98"/>
    </row>
    <row r="5038" spans="20:20" x14ac:dyDescent="0.25">
      <c r="T5038" s="98"/>
    </row>
    <row r="5039" spans="20:20" x14ac:dyDescent="0.25">
      <c r="T5039" s="98"/>
    </row>
    <row r="5040" spans="20:20" x14ac:dyDescent="0.25">
      <c r="T5040" s="98"/>
    </row>
    <row r="5041" spans="20:20" x14ac:dyDescent="0.25">
      <c r="T5041" s="98"/>
    </row>
    <row r="5042" spans="20:20" x14ac:dyDescent="0.25">
      <c r="T5042" s="98"/>
    </row>
    <row r="5043" spans="20:20" x14ac:dyDescent="0.25">
      <c r="T5043" s="98"/>
    </row>
    <row r="5044" spans="20:20" x14ac:dyDescent="0.25">
      <c r="T5044" s="98"/>
    </row>
    <row r="5045" spans="20:20" x14ac:dyDescent="0.25">
      <c r="T5045" s="98"/>
    </row>
    <row r="5046" spans="20:20" x14ac:dyDescent="0.25">
      <c r="T5046" s="98"/>
    </row>
    <row r="5047" spans="20:20" x14ac:dyDescent="0.25">
      <c r="T5047" s="98"/>
    </row>
    <row r="5048" spans="20:20" x14ac:dyDescent="0.25">
      <c r="T5048" s="98"/>
    </row>
    <row r="5049" spans="20:20" x14ac:dyDescent="0.25">
      <c r="T5049" s="98"/>
    </row>
    <row r="5050" spans="20:20" x14ac:dyDescent="0.25">
      <c r="T5050" s="98"/>
    </row>
    <row r="5051" spans="20:20" x14ac:dyDescent="0.25">
      <c r="T5051" s="98"/>
    </row>
    <row r="5052" spans="20:20" x14ac:dyDescent="0.25">
      <c r="T5052" s="98"/>
    </row>
    <row r="5053" spans="20:20" x14ac:dyDescent="0.25">
      <c r="T5053" s="98"/>
    </row>
    <row r="5054" spans="20:20" x14ac:dyDescent="0.25">
      <c r="T5054" s="98"/>
    </row>
    <row r="5055" spans="20:20" x14ac:dyDescent="0.25">
      <c r="T5055" s="98"/>
    </row>
    <row r="5056" spans="20:20" x14ac:dyDescent="0.25">
      <c r="T5056" s="98"/>
    </row>
    <row r="5057" spans="20:20" x14ac:dyDescent="0.25">
      <c r="T5057" s="98"/>
    </row>
    <row r="5058" spans="20:20" x14ac:dyDescent="0.25">
      <c r="T5058" s="98"/>
    </row>
    <row r="5059" spans="20:20" x14ac:dyDescent="0.25">
      <c r="T5059" s="98"/>
    </row>
    <row r="5060" spans="20:20" x14ac:dyDescent="0.25">
      <c r="T5060" s="98"/>
    </row>
    <row r="5061" spans="20:20" x14ac:dyDescent="0.25">
      <c r="T5061" s="98"/>
    </row>
    <row r="5062" spans="20:20" x14ac:dyDescent="0.25">
      <c r="T5062" s="98"/>
    </row>
    <row r="5063" spans="20:20" x14ac:dyDescent="0.25">
      <c r="T5063" s="98"/>
    </row>
    <row r="5064" spans="20:20" x14ac:dyDescent="0.25">
      <c r="T5064" s="98"/>
    </row>
    <row r="5065" spans="20:20" x14ac:dyDescent="0.25">
      <c r="T5065" s="98"/>
    </row>
    <row r="5066" spans="20:20" x14ac:dyDescent="0.25">
      <c r="T5066" s="98"/>
    </row>
    <row r="5067" spans="20:20" x14ac:dyDescent="0.25">
      <c r="T5067" s="98"/>
    </row>
    <row r="5068" spans="20:20" x14ac:dyDescent="0.25">
      <c r="T5068" s="98"/>
    </row>
    <row r="5069" spans="20:20" x14ac:dyDescent="0.25">
      <c r="T5069" s="98"/>
    </row>
    <row r="5070" spans="20:20" x14ac:dyDescent="0.25">
      <c r="T5070" s="98"/>
    </row>
    <row r="5071" spans="20:20" x14ac:dyDescent="0.25">
      <c r="T5071" s="98"/>
    </row>
    <row r="5072" spans="20:20" x14ac:dyDescent="0.25">
      <c r="T5072" s="98"/>
    </row>
    <row r="5073" spans="20:20" x14ac:dyDescent="0.25">
      <c r="T5073" s="98"/>
    </row>
    <row r="5074" spans="20:20" x14ac:dyDescent="0.25">
      <c r="T5074" s="98"/>
    </row>
    <row r="5075" spans="20:20" x14ac:dyDescent="0.25">
      <c r="T5075" s="98"/>
    </row>
    <row r="5076" spans="20:20" x14ac:dyDescent="0.25">
      <c r="T5076" s="98"/>
    </row>
    <row r="5077" spans="20:20" x14ac:dyDescent="0.25">
      <c r="T5077" s="98"/>
    </row>
    <row r="5078" spans="20:20" x14ac:dyDescent="0.25">
      <c r="T5078" s="98"/>
    </row>
    <row r="5079" spans="20:20" x14ac:dyDescent="0.25">
      <c r="T5079" s="98"/>
    </row>
    <row r="5080" spans="20:20" x14ac:dyDescent="0.25">
      <c r="T5080" s="98"/>
    </row>
    <row r="5081" spans="20:20" x14ac:dyDescent="0.25">
      <c r="T5081" s="98"/>
    </row>
    <row r="5082" spans="20:20" x14ac:dyDescent="0.25">
      <c r="T5082" s="98"/>
    </row>
    <row r="5083" spans="20:20" x14ac:dyDescent="0.25">
      <c r="T5083" s="98"/>
    </row>
    <row r="5084" spans="20:20" x14ac:dyDescent="0.25">
      <c r="T5084" s="98"/>
    </row>
    <row r="5085" spans="20:20" x14ac:dyDescent="0.25">
      <c r="T5085" s="98"/>
    </row>
    <row r="5086" spans="20:20" x14ac:dyDescent="0.25">
      <c r="T5086" s="98"/>
    </row>
    <row r="5087" spans="20:20" x14ac:dyDescent="0.25">
      <c r="T5087" s="98"/>
    </row>
    <row r="5088" spans="20:20" x14ac:dyDescent="0.25">
      <c r="T5088" s="98"/>
    </row>
    <row r="5089" spans="20:20" x14ac:dyDescent="0.25">
      <c r="T5089" s="98"/>
    </row>
    <row r="5090" spans="20:20" x14ac:dyDescent="0.25">
      <c r="T5090" s="98"/>
    </row>
    <row r="5091" spans="20:20" x14ac:dyDescent="0.25">
      <c r="T5091" s="98"/>
    </row>
    <row r="5092" spans="20:20" x14ac:dyDescent="0.25">
      <c r="T5092" s="98"/>
    </row>
    <row r="5093" spans="20:20" x14ac:dyDescent="0.25">
      <c r="T5093" s="98"/>
    </row>
    <row r="5094" spans="20:20" x14ac:dyDescent="0.25">
      <c r="T5094" s="98"/>
    </row>
    <row r="5095" spans="20:20" x14ac:dyDescent="0.25">
      <c r="T5095" s="98"/>
    </row>
    <row r="5096" spans="20:20" x14ac:dyDescent="0.25">
      <c r="T5096" s="98"/>
    </row>
    <row r="5097" spans="20:20" x14ac:dyDescent="0.25">
      <c r="T5097" s="98"/>
    </row>
    <row r="5098" spans="20:20" x14ac:dyDescent="0.25">
      <c r="T5098" s="98"/>
    </row>
    <row r="5099" spans="20:20" x14ac:dyDescent="0.25">
      <c r="T5099" s="98"/>
    </row>
    <row r="5100" spans="20:20" x14ac:dyDescent="0.25">
      <c r="T5100" s="98"/>
    </row>
    <row r="5101" spans="20:20" x14ac:dyDescent="0.25">
      <c r="T5101" s="98"/>
    </row>
    <row r="5102" spans="20:20" x14ac:dyDescent="0.25">
      <c r="T5102" s="98"/>
    </row>
    <row r="5103" spans="20:20" x14ac:dyDescent="0.25">
      <c r="T5103" s="98"/>
    </row>
    <row r="5104" spans="20:20" x14ac:dyDescent="0.25">
      <c r="T5104" s="98"/>
    </row>
    <row r="5105" spans="20:20" x14ac:dyDescent="0.25">
      <c r="T5105" s="98"/>
    </row>
    <row r="5106" spans="20:20" x14ac:dyDescent="0.25">
      <c r="T5106" s="98"/>
    </row>
    <row r="5107" spans="20:20" x14ac:dyDescent="0.25">
      <c r="T5107" s="98"/>
    </row>
    <row r="5108" spans="20:20" x14ac:dyDescent="0.25">
      <c r="T5108" s="98"/>
    </row>
    <row r="5109" spans="20:20" x14ac:dyDescent="0.25">
      <c r="T5109" s="98"/>
    </row>
    <row r="5110" spans="20:20" x14ac:dyDescent="0.25">
      <c r="T5110" s="98"/>
    </row>
    <row r="5111" spans="20:20" x14ac:dyDescent="0.25">
      <c r="T5111" s="98"/>
    </row>
    <row r="5112" spans="20:20" x14ac:dyDescent="0.25">
      <c r="T5112" s="98"/>
    </row>
    <row r="5113" spans="20:20" x14ac:dyDescent="0.25">
      <c r="T5113" s="98"/>
    </row>
    <row r="5114" spans="20:20" x14ac:dyDescent="0.25">
      <c r="T5114" s="98"/>
    </row>
    <row r="5115" spans="20:20" x14ac:dyDescent="0.25">
      <c r="T5115" s="98"/>
    </row>
    <row r="5116" spans="20:20" x14ac:dyDescent="0.25">
      <c r="T5116" s="98"/>
    </row>
    <row r="5117" spans="20:20" x14ac:dyDescent="0.25">
      <c r="T5117" s="98"/>
    </row>
    <row r="5118" spans="20:20" x14ac:dyDescent="0.25">
      <c r="T5118" s="98"/>
    </row>
    <row r="5119" spans="20:20" x14ac:dyDescent="0.25">
      <c r="T5119" s="98"/>
    </row>
    <row r="5120" spans="20:20" x14ac:dyDescent="0.25">
      <c r="T5120" s="98"/>
    </row>
    <row r="5121" spans="20:20" x14ac:dyDescent="0.25">
      <c r="T5121" s="98"/>
    </row>
    <row r="5122" spans="20:20" x14ac:dyDescent="0.25">
      <c r="T5122" s="98"/>
    </row>
    <row r="5123" spans="20:20" x14ac:dyDescent="0.25">
      <c r="T5123" s="98"/>
    </row>
    <row r="5124" spans="20:20" x14ac:dyDescent="0.25">
      <c r="T5124" s="98"/>
    </row>
    <row r="5125" spans="20:20" x14ac:dyDescent="0.25">
      <c r="T5125" s="98"/>
    </row>
    <row r="5126" spans="20:20" x14ac:dyDescent="0.25">
      <c r="T5126" s="98"/>
    </row>
    <row r="5127" spans="20:20" x14ac:dyDescent="0.25">
      <c r="T5127" s="98"/>
    </row>
    <row r="5128" spans="20:20" x14ac:dyDescent="0.25">
      <c r="T5128" s="98"/>
    </row>
    <row r="5129" spans="20:20" x14ac:dyDescent="0.25">
      <c r="T5129" s="98"/>
    </row>
    <row r="5130" spans="20:20" x14ac:dyDescent="0.25">
      <c r="T5130" s="98"/>
    </row>
    <row r="5131" spans="20:20" x14ac:dyDescent="0.25">
      <c r="T5131" s="98"/>
    </row>
    <row r="5132" spans="20:20" x14ac:dyDescent="0.25">
      <c r="T5132" s="98"/>
    </row>
    <row r="5133" spans="20:20" x14ac:dyDescent="0.25">
      <c r="T5133" s="98"/>
    </row>
    <row r="5134" spans="20:20" x14ac:dyDescent="0.25">
      <c r="T5134" s="98"/>
    </row>
    <row r="5135" spans="20:20" x14ac:dyDescent="0.25">
      <c r="T5135" s="98"/>
    </row>
    <row r="5136" spans="20:20" x14ac:dyDescent="0.25">
      <c r="T5136" s="98"/>
    </row>
    <row r="5137" spans="20:20" x14ac:dyDescent="0.25">
      <c r="T5137" s="98"/>
    </row>
    <row r="5138" spans="20:20" x14ac:dyDescent="0.25">
      <c r="T5138" s="98"/>
    </row>
    <row r="5139" spans="20:20" x14ac:dyDescent="0.25">
      <c r="T5139" s="98"/>
    </row>
    <row r="5140" spans="20:20" x14ac:dyDescent="0.25">
      <c r="T5140" s="98"/>
    </row>
    <row r="5141" spans="20:20" x14ac:dyDescent="0.25">
      <c r="T5141" s="98"/>
    </row>
    <row r="5142" spans="20:20" x14ac:dyDescent="0.25">
      <c r="T5142" s="98"/>
    </row>
    <row r="5143" spans="20:20" x14ac:dyDescent="0.25">
      <c r="T5143" s="98"/>
    </row>
    <row r="5144" spans="20:20" x14ac:dyDescent="0.25">
      <c r="T5144" s="98"/>
    </row>
    <row r="5145" spans="20:20" x14ac:dyDescent="0.25">
      <c r="T5145" s="98"/>
    </row>
    <row r="5146" spans="20:20" x14ac:dyDescent="0.25">
      <c r="T5146" s="98"/>
    </row>
    <row r="5147" spans="20:20" x14ac:dyDescent="0.25">
      <c r="T5147" s="98"/>
    </row>
    <row r="5148" spans="20:20" x14ac:dyDescent="0.25">
      <c r="T5148" s="98"/>
    </row>
    <row r="5149" spans="20:20" x14ac:dyDescent="0.25">
      <c r="T5149" s="98"/>
    </row>
    <row r="5150" spans="20:20" x14ac:dyDescent="0.25">
      <c r="T5150" s="98"/>
    </row>
    <row r="5151" spans="20:20" x14ac:dyDescent="0.25">
      <c r="T5151" s="98"/>
    </row>
    <row r="5152" spans="20:20" x14ac:dyDescent="0.25">
      <c r="T5152" s="98"/>
    </row>
    <row r="5153" spans="20:20" x14ac:dyDescent="0.25">
      <c r="T5153" s="98"/>
    </row>
    <row r="5154" spans="20:20" x14ac:dyDescent="0.25">
      <c r="T5154" s="98"/>
    </row>
    <row r="5155" spans="20:20" x14ac:dyDescent="0.25">
      <c r="T5155" s="98"/>
    </row>
    <row r="5156" spans="20:20" x14ac:dyDescent="0.25">
      <c r="T5156" s="98"/>
    </row>
    <row r="5157" spans="20:20" x14ac:dyDescent="0.25">
      <c r="T5157" s="98"/>
    </row>
    <row r="5158" spans="20:20" x14ac:dyDescent="0.25">
      <c r="T5158" s="98"/>
    </row>
    <row r="5159" spans="20:20" x14ac:dyDescent="0.25">
      <c r="T5159" s="98"/>
    </row>
    <row r="5160" spans="20:20" x14ac:dyDescent="0.25">
      <c r="T5160" s="98"/>
    </row>
    <row r="5161" spans="20:20" x14ac:dyDescent="0.25">
      <c r="T5161" s="98"/>
    </row>
    <row r="5162" spans="20:20" x14ac:dyDescent="0.25">
      <c r="T5162" s="98"/>
    </row>
    <row r="5163" spans="20:20" x14ac:dyDescent="0.25">
      <c r="T5163" s="98"/>
    </row>
    <row r="5164" spans="20:20" x14ac:dyDescent="0.25">
      <c r="T5164" s="98"/>
    </row>
    <row r="5165" spans="20:20" x14ac:dyDescent="0.25">
      <c r="T5165" s="98"/>
    </row>
    <row r="5166" spans="20:20" x14ac:dyDescent="0.25">
      <c r="T5166" s="98"/>
    </row>
    <row r="5167" spans="20:20" x14ac:dyDescent="0.25">
      <c r="T5167" s="98"/>
    </row>
    <row r="5168" spans="20:20" x14ac:dyDescent="0.25">
      <c r="T5168" s="98"/>
    </row>
    <row r="5169" spans="20:20" x14ac:dyDescent="0.25">
      <c r="T5169" s="98"/>
    </row>
    <row r="5170" spans="20:20" x14ac:dyDescent="0.25">
      <c r="T5170" s="98"/>
    </row>
    <row r="5171" spans="20:20" x14ac:dyDescent="0.25">
      <c r="T5171" s="98"/>
    </row>
    <row r="5172" spans="20:20" x14ac:dyDescent="0.25">
      <c r="T5172" s="98"/>
    </row>
    <row r="5173" spans="20:20" x14ac:dyDescent="0.25">
      <c r="T5173" s="98"/>
    </row>
    <row r="5174" spans="20:20" x14ac:dyDescent="0.25">
      <c r="T5174" s="98"/>
    </row>
    <row r="5175" spans="20:20" x14ac:dyDescent="0.25">
      <c r="T5175" s="98"/>
    </row>
    <row r="5176" spans="20:20" x14ac:dyDescent="0.25">
      <c r="T5176" s="98"/>
    </row>
    <row r="5177" spans="20:20" x14ac:dyDescent="0.25">
      <c r="T5177" s="98"/>
    </row>
    <row r="5178" spans="20:20" x14ac:dyDescent="0.25">
      <c r="T5178" s="98"/>
    </row>
    <row r="5179" spans="20:20" x14ac:dyDescent="0.25">
      <c r="T5179" s="98"/>
    </row>
    <row r="5180" spans="20:20" x14ac:dyDescent="0.25">
      <c r="T5180" s="98"/>
    </row>
    <row r="5181" spans="20:20" x14ac:dyDescent="0.25">
      <c r="T5181" s="98"/>
    </row>
    <row r="5182" spans="20:20" x14ac:dyDescent="0.25">
      <c r="T5182" s="98"/>
    </row>
    <row r="5183" spans="20:20" x14ac:dyDescent="0.25">
      <c r="T5183" s="98"/>
    </row>
    <row r="5184" spans="20:20" x14ac:dyDescent="0.25">
      <c r="T5184" s="98"/>
    </row>
    <row r="5185" spans="20:20" x14ac:dyDescent="0.25">
      <c r="T5185" s="98"/>
    </row>
    <row r="5186" spans="20:20" x14ac:dyDescent="0.25">
      <c r="T5186" s="98"/>
    </row>
    <row r="5187" spans="20:20" x14ac:dyDescent="0.25">
      <c r="T5187" s="98"/>
    </row>
    <row r="5188" spans="20:20" x14ac:dyDescent="0.25">
      <c r="T5188" s="98"/>
    </row>
    <row r="5189" spans="20:20" x14ac:dyDescent="0.25">
      <c r="T5189" s="98"/>
    </row>
    <row r="5190" spans="20:20" x14ac:dyDescent="0.25">
      <c r="T5190" s="98"/>
    </row>
    <row r="5191" spans="20:20" x14ac:dyDescent="0.25">
      <c r="T5191" s="98"/>
    </row>
    <row r="5192" spans="20:20" x14ac:dyDescent="0.25">
      <c r="T5192" s="98"/>
    </row>
    <row r="5193" spans="20:20" x14ac:dyDescent="0.25">
      <c r="T5193" s="98"/>
    </row>
    <row r="5194" spans="20:20" x14ac:dyDescent="0.25">
      <c r="T5194" s="98"/>
    </row>
    <row r="5195" spans="20:20" x14ac:dyDescent="0.25">
      <c r="T5195" s="98"/>
    </row>
    <row r="5196" spans="20:20" x14ac:dyDescent="0.25">
      <c r="T5196" s="98"/>
    </row>
    <row r="5197" spans="20:20" x14ac:dyDescent="0.25">
      <c r="T5197" s="98"/>
    </row>
    <row r="5198" spans="20:20" x14ac:dyDescent="0.25">
      <c r="T5198" s="98"/>
    </row>
    <row r="5199" spans="20:20" x14ac:dyDescent="0.25">
      <c r="T5199" s="98"/>
    </row>
    <row r="5200" spans="20:20" x14ac:dyDescent="0.25">
      <c r="T5200" s="98"/>
    </row>
    <row r="5201" spans="20:20" x14ac:dyDescent="0.25">
      <c r="T5201" s="98"/>
    </row>
    <row r="5202" spans="20:20" x14ac:dyDescent="0.25">
      <c r="T5202" s="98"/>
    </row>
    <row r="5203" spans="20:20" x14ac:dyDescent="0.25">
      <c r="T5203" s="98"/>
    </row>
    <row r="5204" spans="20:20" x14ac:dyDescent="0.25">
      <c r="T5204" s="98"/>
    </row>
    <row r="5205" spans="20:20" x14ac:dyDescent="0.25">
      <c r="T5205" s="98"/>
    </row>
    <row r="5206" spans="20:20" x14ac:dyDescent="0.25">
      <c r="T5206" s="98"/>
    </row>
    <row r="5207" spans="20:20" x14ac:dyDescent="0.25">
      <c r="T5207" s="98"/>
    </row>
    <row r="5208" spans="20:20" x14ac:dyDescent="0.25">
      <c r="T5208" s="98"/>
    </row>
    <row r="5209" spans="20:20" x14ac:dyDescent="0.25">
      <c r="T5209" s="98"/>
    </row>
    <row r="5210" spans="20:20" x14ac:dyDescent="0.25">
      <c r="T5210" s="98"/>
    </row>
    <row r="5211" spans="20:20" x14ac:dyDescent="0.25">
      <c r="T5211" s="98"/>
    </row>
    <row r="5212" spans="20:20" x14ac:dyDescent="0.25">
      <c r="T5212" s="98"/>
    </row>
    <row r="5213" spans="20:20" x14ac:dyDescent="0.25">
      <c r="T5213" s="98"/>
    </row>
    <row r="5214" spans="20:20" x14ac:dyDescent="0.25">
      <c r="T5214" s="98"/>
    </row>
    <row r="5215" spans="20:20" x14ac:dyDescent="0.25">
      <c r="T5215" s="98"/>
    </row>
    <row r="5216" spans="20:20" x14ac:dyDescent="0.25">
      <c r="T5216" s="98"/>
    </row>
    <row r="5217" spans="20:20" x14ac:dyDescent="0.25">
      <c r="T5217" s="98"/>
    </row>
    <row r="5218" spans="20:20" x14ac:dyDescent="0.25">
      <c r="T5218" s="98"/>
    </row>
    <row r="5219" spans="20:20" x14ac:dyDescent="0.25">
      <c r="T5219" s="98"/>
    </row>
    <row r="5220" spans="20:20" x14ac:dyDescent="0.25">
      <c r="T5220" s="98"/>
    </row>
    <row r="5221" spans="20:20" x14ac:dyDescent="0.25">
      <c r="T5221" s="98"/>
    </row>
    <row r="5222" spans="20:20" x14ac:dyDescent="0.25">
      <c r="T5222" s="98"/>
    </row>
    <row r="5223" spans="20:20" x14ac:dyDescent="0.25">
      <c r="T5223" s="98"/>
    </row>
    <row r="5224" spans="20:20" x14ac:dyDescent="0.25">
      <c r="T5224" s="98"/>
    </row>
    <row r="5225" spans="20:20" x14ac:dyDescent="0.25">
      <c r="T5225" s="98"/>
    </row>
    <row r="5226" spans="20:20" x14ac:dyDescent="0.25">
      <c r="T5226" s="98"/>
    </row>
    <row r="5227" spans="20:20" x14ac:dyDescent="0.25">
      <c r="T5227" s="98"/>
    </row>
    <row r="5228" spans="20:20" x14ac:dyDescent="0.25">
      <c r="T5228" s="98"/>
    </row>
    <row r="5229" spans="20:20" x14ac:dyDescent="0.25">
      <c r="T5229" s="98"/>
    </row>
    <row r="5230" spans="20:20" x14ac:dyDescent="0.25">
      <c r="T5230" s="98"/>
    </row>
    <row r="5231" spans="20:20" x14ac:dyDescent="0.25">
      <c r="T5231" s="98"/>
    </row>
    <row r="5232" spans="20:20" x14ac:dyDescent="0.25">
      <c r="T5232" s="98"/>
    </row>
    <row r="5233" spans="20:20" x14ac:dyDescent="0.25">
      <c r="T5233" s="98"/>
    </row>
    <row r="5234" spans="20:20" x14ac:dyDescent="0.25">
      <c r="T5234" s="98"/>
    </row>
    <row r="5235" spans="20:20" x14ac:dyDescent="0.25">
      <c r="T5235" s="98"/>
    </row>
    <row r="5236" spans="20:20" x14ac:dyDescent="0.25">
      <c r="T5236" s="98"/>
    </row>
    <row r="5237" spans="20:20" x14ac:dyDescent="0.25">
      <c r="T5237" s="98"/>
    </row>
    <row r="5238" spans="20:20" x14ac:dyDescent="0.25">
      <c r="T5238" s="98"/>
    </row>
    <row r="5239" spans="20:20" x14ac:dyDescent="0.25">
      <c r="T5239" s="98"/>
    </row>
    <row r="5240" spans="20:20" x14ac:dyDescent="0.25">
      <c r="T5240" s="98"/>
    </row>
    <row r="5241" spans="20:20" x14ac:dyDescent="0.25">
      <c r="T5241" s="98"/>
    </row>
    <row r="5242" spans="20:20" x14ac:dyDescent="0.25">
      <c r="T5242" s="98"/>
    </row>
    <row r="5243" spans="20:20" x14ac:dyDescent="0.25">
      <c r="T5243" s="98"/>
    </row>
    <row r="5244" spans="20:20" x14ac:dyDescent="0.25">
      <c r="T5244" s="98"/>
    </row>
    <row r="5245" spans="20:20" x14ac:dyDescent="0.25">
      <c r="T5245" s="98"/>
    </row>
    <row r="5246" spans="20:20" x14ac:dyDescent="0.25">
      <c r="T5246" s="98"/>
    </row>
    <row r="5247" spans="20:20" x14ac:dyDescent="0.25">
      <c r="T5247" s="98"/>
    </row>
    <row r="5248" spans="20:20" x14ac:dyDescent="0.25">
      <c r="T5248" s="98"/>
    </row>
    <row r="5249" spans="20:20" x14ac:dyDescent="0.25">
      <c r="T5249" s="98"/>
    </row>
    <row r="5250" spans="20:20" x14ac:dyDescent="0.25">
      <c r="T5250" s="98"/>
    </row>
    <row r="5251" spans="20:20" x14ac:dyDescent="0.25">
      <c r="T5251" s="98"/>
    </row>
    <row r="5252" spans="20:20" x14ac:dyDescent="0.25">
      <c r="T5252" s="98"/>
    </row>
    <row r="5253" spans="20:20" x14ac:dyDescent="0.25">
      <c r="T5253" s="98"/>
    </row>
    <row r="5254" spans="20:20" x14ac:dyDescent="0.25">
      <c r="T5254" s="98"/>
    </row>
    <row r="5255" spans="20:20" x14ac:dyDescent="0.25">
      <c r="T5255" s="98"/>
    </row>
    <row r="5256" spans="20:20" x14ac:dyDescent="0.25">
      <c r="T5256" s="98"/>
    </row>
    <row r="5257" spans="20:20" x14ac:dyDescent="0.25">
      <c r="T5257" s="98"/>
    </row>
    <row r="5258" spans="20:20" x14ac:dyDescent="0.25">
      <c r="T5258" s="98"/>
    </row>
    <row r="5259" spans="20:20" x14ac:dyDescent="0.25">
      <c r="T5259" s="98"/>
    </row>
    <row r="5260" spans="20:20" x14ac:dyDescent="0.25">
      <c r="T5260" s="98"/>
    </row>
    <row r="5261" spans="20:20" x14ac:dyDescent="0.25">
      <c r="T5261" s="98"/>
    </row>
    <row r="5262" spans="20:20" x14ac:dyDescent="0.25">
      <c r="T5262" s="98"/>
    </row>
    <row r="5263" spans="20:20" x14ac:dyDescent="0.25">
      <c r="T5263" s="98"/>
    </row>
    <row r="5264" spans="20:20" x14ac:dyDescent="0.25">
      <c r="T5264" s="98"/>
    </row>
    <row r="5265" spans="20:20" x14ac:dyDescent="0.25">
      <c r="T5265" s="98"/>
    </row>
    <row r="5266" spans="20:20" x14ac:dyDescent="0.25">
      <c r="T5266" s="98"/>
    </row>
    <row r="5267" spans="20:20" x14ac:dyDescent="0.25">
      <c r="T5267" s="98"/>
    </row>
    <row r="5268" spans="20:20" x14ac:dyDescent="0.25">
      <c r="T5268" s="98"/>
    </row>
    <row r="5269" spans="20:20" x14ac:dyDescent="0.25">
      <c r="T5269" s="98"/>
    </row>
    <row r="5270" spans="20:20" x14ac:dyDescent="0.25">
      <c r="T5270" s="98"/>
    </row>
    <row r="5271" spans="20:20" x14ac:dyDescent="0.25">
      <c r="T5271" s="98"/>
    </row>
    <row r="5272" spans="20:20" x14ac:dyDescent="0.25">
      <c r="T5272" s="98"/>
    </row>
    <row r="5273" spans="20:20" x14ac:dyDescent="0.25">
      <c r="T5273" s="98"/>
    </row>
    <row r="5274" spans="20:20" x14ac:dyDescent="0.25">
      <c r="T5274" s="98"/>
    </row>
    <row r="5275" spans="20:20" x14ac:dyDescent="0.25">
      <c r="T5275" s="98"/>
    </row>
    <row r="5276" spans="20:20" x14ac:dyDescent="0.25">
      <c r="T5276" s="98"/>
    </row>
    <row r="5277" spans="20:20" x14ac:dyDescent="0.25">
      <c r="T5277" s="98"/>
    </row>
    <row r="5278" spans="20:20" x14ac:dyDescent="0.25">
      <c r="T5278" s="98"/>
    </row>
    <row r="5279" spans="20:20" x14ac:dyDescent="0.25">
      <c r="T5279" s="98"/>
    </row>
    <row r="5280" spans="20:20" x14ac:dyDescent="0.25">
      <c r="T5280" s="98"/>
    </row>
    <row r="5281" spans="20:20" x14ac:dyDescent="0.25">
      <c r="T5281" s="98"/>
    </row>
    <row r="5282" spans="20:20" x14ac:dyDescent="0.25">
      <c r="T5282" s="98"/>
    </row>
    <row r="5283" spans="20:20" x14ac:dyDescent="0.25">
      <c r="T5283" s="98"/>
    </row>
    <row r="5284" spans="20:20" x14ac:dyDescent="0.25">
      <c r="T5284" s="98"/>
    </row>
    <row r="5285" spans="20:20" x14ac:dyDescent="0.25">
      <c r="T5285" s="98"/>
    </row>
    <row r="5286" spans="20:20" x14ac:dyDescent="0.25">
      <c r="T5286" s="98"/>
    </row>
    <row r="5287" spans="20:20" x14ac:dyDescent="0.25">
      <c r="T5287" s="98"/>
    </row>
    <row r="5288" spans="20:20" x14ac:dyDescent="0.25">
      <c r="T5288" s="98"/>
    </row>
    <row r="5289" spans="20:20" x14ac:dyDescent="0.25">
      <c r="T5289" s="98"/>
    </row>
    <row r="5290" spans="20:20" x14ac:dyDescent="0.25">
      <c r="T5290" s="98"/>
    </row>
    <row r="5291" spans="20:20" x14ac:dyDescent="0.25">
      <c r="T5291" s="98"/>
    </row>
    <row r="5292" spans="20:20" x14ac:dyDescent="0.25">
      <c r="T5292" s="98"/>
    </row>
    <row r="5293" spans="20:20" x14ac:dyDescent="0.25">
      <c r="T5293" s="98"/>
    </row>
    <row r="5294" spans="20:20" x14ac:dyDescent="0.25">
      <c r="T5294" s="98"/>
    </row>
    <row r="5295" spans="20:20" x14ac:dyDescent="0.25">
      <c r="T5295" s="98"/>
    </row>
    <row r="5296" spans="20:20" x14ac:dyDescent="0.25">
      <c r="T5296" s="98"/>
    </row>
    <row r="5297" spans="20:20" x14ac:dyDescent="0.25">
      <c r="T5297" s="98"/>
    </row>
    <row r="5298" spans="20:20" x14ac:dyDescent="0.25">
      <c r="T5298" s="98"/>
    </row>
    <row r="5299" spans="20:20" x14ac:dyDescent="0.25">
      <c r="T5299" s="98"/>
    </row>
    <row r="5300" spans="20:20" x14ac:dyDescent="0.25">
      <c r="T5300" s="98"/>
    </row>
    <row r="5301" spans="20:20" x14ac:dyDescent="0.25">
      <c r="T5301" s="98"/>
    </row>
    <row r="5302" spans="20:20" x14ac:dyDescent="0.25">
      <c r="T5302" s="98"/>
    </row>
    <row r="5303" spans="20:20" x14ac:dyDescent="0.25">
      <c r="T5303" s="98"/>
    </row>
    <row r="5304" spans="20:20" x14ac:dyDescent="0.25">
      <c r="T5304" s="98"/>
    </row>
    <row r="5305" spans="20:20" x14ac:dyDescent="0.25">
      <c r="T5305" s="98"/>
    </row>
    <row r="5306" spans="20:20" x14ac:dyDescent="0.25">
      <c r="T5306" s="98"/>
    </row>
    <row r="5307" spans="20:20" x14ac:dyDescent="0.25">
      <c r="T5307" s="98"/>
    </row>
    <row r="5308" spans="20:20" x14ac:dyDescent="0.25">
      <c r="T5308" s="98"/>
    </row>
    <row r="5309" spans="20:20" x14ac:dyDescent="0.25">
      <c r="T5309" s="98"/>
    </row>
    <row r="5310" spans="20:20" x14ac:dyDescent="0.25">
      <c r="T5310" s="98"/>
    </row>
    <row r="5311" spans="20:20" x14ac:dyDescent="0.25">
      <c r="T5311" s="98"/>
    </row>
    <row r="5312" spans="20:20" x14ac:dyDescent="0.25">
      <c r="T5312" s="98"/>
    </row>
    <row r="5313" spans="20:20" x14ac:dyDescent="0.25">
      <c r="T5313" s="98"/>
    </row>
    <row r="5314" spans="20:20" x14ac:dyDescent="0.25">
      <c r="T5314" s="98"/>
    </row>
    <row r="5315" spans="20:20" x14ac:dyDescent="0.25">
      <c r="T5315" s="98"/>
    </row>
    <row r="5316" spans="20:20" x14ac:dyDescent="0.25">
      <c r="T5316" s="98"/>
    </row>
    <row r="5317" spans="20:20" x14ac:dyDescent="0.25">
      <c r="T5317" s="98"/>
    </row>
    <row r="5318" spans="20:20" x14ac:dyDescent="0.25">
      <c r="T5318" s="98"/>
    </row>
    <row r="5319" spans="20:20" x14ac:dyDescent="0.25">
      <c r="T5319" s="98"/>
    </row>
    <row r="5320" spans="20:20" x14ac:dyDescent="0.25">
      <c r="T5320" s="98"/>
    </row>
    <row r="5321" spans="20:20" x14ac:dyDescent="0.25">
      <c r="T5321" s="98"/>
    </row>
    <row r="5322" spans="20:20" x14ac:dyDescent="0.25">
      <c r="T5322" s="98"/>
    </row>
    <row r="5323" spans="20:20" x14ac:dyDescent="0.25">
      <c r="T5323" s="98"/>
    </row>
    <row r="5324" spans="20:20" x14ac:dyDescent="0.25">
      <c r="T5324" s="98"/>
    </row>
    <row r="5325" spans="20:20" x14ac:dyDescent="0.25">
      <c r="T5325" s="98"/>
    </row>
    <row r="5326" spans="20:20" x14ac:dyDescent="0.25">
      <c r="T5326" s="98"/>
    </row>
    <row r="5327" spans="20:20" x14ac:dyDescent="0.25">
      <c r="T5327" s="98"/>
    </row>
    <row r="5328" spans="20:20" x14ac:dyDescent="0.25">
      <c r="T5328" s="98"/>
    </row>
    <row r="5329" spans="20:20" x14ac:dyDescent="0.25">
      <c r="T5329" s="98"/>
    </row>
    <row r="5330" spans="20:20" x14ac:dyDescent="0.25">
      <c r="T5330" s="98"/>
    </row>
    <row r="5331" spans="20:20" x14ac:dyDescent="0.25">
      <c r="T5331" s="98"/>
    </row>
    <row r="5332" spans="20:20" x14ac:dyDescent="0.25">
      <c r="T5332" s="98"/>
    </row>
    <row r="5333" spans="20:20" x14ac:dyDescent="0.25">
      <c r="T5333" s="98"/>
    </row>
    <row r="5334" spans="20:20" x14ac:dyDescent="0.25">
      <c r="T5334" s="98"/>
    </row>
    <row r="5335" spans="20:20" x14ac:dyDescent="0.25">
      <c r="T5335" s="98"/>
    </row>
    <row r="5336" spans="20:20" x14ac:dyDescent="0.25">
      <c r="T5336" s="98"/>
    </row>
    <row r="5337" spans="20:20" x14ac:dyDescent="0.25">
      <c r="T5337" s="98"/>
    </row>
    <row r="5338" spans="20:20" x14ac:dyDescent="0.25">
      <c r="T5338" s="98"/>
    </row>
    <row r="5339" spans="20:20" x14ac:dyDescent="0.25">
      <c r="T5339" s="98"/>
    </row>
    <row r="5340" spans="20:20" x14ac:dyDescent="0.25">
      <c r="T5340" s="98"/>
    </row>
    <row r="5341" spans="20:20" x14ac:dyDescent="0.25">
      <c r="T5341" s="98"/>
    </row>
    <row r="5342" spans="20:20" x14ac:dyDescent="0.25">
      <c r="T5342" s="98"/>
    </row>
    <row r="5343" spans="20:20" x14ac:dyDescent="0.25">
      <c r="T5343" s="98"/>
    </row>
    <row r="5344" spans="20:20" x14ac:dyDescent="0.25">
      <c r="T5344" s="98"/>
    </row>
    <row r="5345" spans="20:20" x14ac:dyDescent="0.25">
      <c r="T5345" s="98"/>
    </row>
    <row r="5346" spans="20:20" x14ac:dyDescent="0.25">
      <c r="T5346" s="98"/>
    </row>
    <row r="5347" spans="20:20" x14ac:dyDescent="0.25">
      <c r="T5347" s="98"/>
    </row>
    <row r="5348" spans="20:20" x14ac:dyDescent="0.25">
      <c r="T5348" s="98"/>
    </row>
    <row r="5349" spans="20:20" x14ac:dyDescent="0.25">
      <c r="T5349" s="98"/>
    </row>
    <row r="5350" spans="20:20" x14ac:dyDescent="0.25">
      <c r="T5350" s="98"/>
    </row>
    <row r="5351" spans="20:20" x14ac:dyDescent="0.25">
      <c r="T5351" s="98"/>
    </row>
    <row r="5352" spans="20:20" x14ac:dyDescent="0.25">
      <c r="T5352" s="98"/>
    </row>
    <row r="5353" spans="20:20" x14ac:dyDescent="0.25">
      <c r="T5353" s="98"/>
    </row>
    <row r="5354" spans="20:20" x14ac:dyDescent="0.25">
      <c r="T5354" s="98"/>
    </row>
    <row r="5355" spans="20:20" x14ac:dyDescent="0.25">
      <c r="T5355" s="98"/>
    </row>
    <row r="5356" spans="20:20" x14ac:dyDescent="0.25">
      <c r="T5356" s="98"/>
    </row>
    <row r="5357" spans="20:20" x14ac:dyDescent="0.25">
      <c r="T5357" s="98"/>
    </row>
    <row r="5358" spans="20:20" x14ac:dyDescent="0.25">
      <c r="T5358" s="98"/>
    </row>
    <row r="5359" spans="20:20" x14ac:dyDescent="0.25">
      <c r="T5359" s="98"/>
    </row>
    <row r="5360" spans="20:20" x14ac:dyDescent="0.25">
      <c r="T5360" s="98"/>
    </row>
    <row r="5361" spans="20:20" x14ac:dyDescent="0.25">
      <c r="T5361" s="98"/>
    </row>
    <row r="5362" spans="20:20" x14ac:dyDescent="0.25">
      <c r="T5362" s="98"/>
    </row>
    <row r="5363" spans="20:20" x14ac:dyDescent="0.25">
      <c r="T5363" s="98"/>
    </row>
    <row r="5364" spans="20:20" x14ac:dyDescent="0.25">
      <c r="T5364" s="98"/>
    </row>
    <row r="5365" spans="20:20" x14ac:dyDescent="0.25">
      <c r="T5365" s="98"/>
    </row>
    <row r="5366" spans="20:20" x14ac:dyDescent="0.25">
      <c r="T5366" s="98"/>
    </row>
    <row r="5367" spans="20:20" x14ac:dyDescent="0.25">
      <c r="T5367" s="98"/>
    </row>
    <row r="5368" spans="20:20" x14ac:dyDescent="0.25">
      <c r="T5368" s="98"/>
    </row>
    <row r="5369" spans="20:20" x14ac:dyDescent="0.25">
      <c r="T5369" s="98"/>
    </row>
    <row r="5370" spans="20:20" x14ac:dyDescent="0.25">
      <c r="T5370" s="98"/>
    </row>
    <row r="5371" spans="20:20" x14ac:dyDescent="0.25">
      <c r="T5371" s="98"/>
    </row>
    <row r="5372" spans="20:20" x14ac:dyDescent="0.25">
      <c r="T5372" s="98"/>
    </row>
    <row r="5373" spans="20:20" x14ac:dyDescent="0.25">
      <c r="T5373" s="98"/>
    </row>
    <row r="5374" spans="20:20" x14ac:dyDescent="0.25">
      <c r="T5374" s="98"/>
    </row>
    <row r="5375" spans="20:20" x14ac:dyDescent="0.25">
      <c r="T5375" s="98"/>
    </row>
    <row r="5376" spans="20:20" x14ac:dyDescent="0.25">
      <c r="T5376" s="98"/>
    </row>
    <row r="5377" spans="20:20" x14ac:dyDescent="0.25">
      <c r="T5377" s="98"/>
    </row>
    <row r="5378" spans="20:20" x14ac:dyDescent="0.25">
      <c r="T5378" s="98"/>
    </row>
    <row r="5379" spans="20:20" x14ac:dyDescent="0.25">
      <c r="T5379" s="98"/>
    </row>
    <row r="5380" spans="20:20" x14ac:dyDescent="0.25">
      <c r="T5380" s="98"/>
    </row>
    <row r="5381" spans="20:20" x14ac:dyDescent="0.25">
      <c r="T5381" s="98"/>
    </row>
    <row r="5382" spans="20:20" x14ac:dyDescent="0.25">
      <c r="T5382" s="98"/>
    </row>
    <row r="5383" spans="20:20" x14ac:dyDescent="0.25">
      <c r="T5383" s="98"/>
    </row>
    <row r="5384" spans="20:20" x14ac:dyDescent="0.25">
      <c r="T5384" s="98"/>
    </row>
    <row r="5385" spans="20:20" x14ac:dyDescent="0.25">
      <c r="T5385" s="98"/>
    </row>
    <row r="5386" spans="20:20" x14ac:dyDescent="0.25">
      <c r="T5386" s="98"/>
    </row>
    <row r="5387" spans="20:20" x14ac:dyDescent="0.25">
      <c r="T5387" s="98"/>
    </row>
    <row r="5388" spans="20:20" x14ac:dyDescent="0.25">
      <c r="T5388" s="98"/>
    </row>
    <row r="5389" spans="20:20" x14ac:dyDescent="0.25">
      <c r="T5389" s="98"/>
    </row>
    <row r="5390" spans="20:20" x14ac:dyDescent="0.25">
      <c r="T5390" s="98"/>
    </row>
    <row r="5391" spans="20:20" x14ac:dyDescent="0.25">
      <c r="T5391" s="98"/>
    </row>
    <row r="5392" spans="20:20" x14ac:dyDescent="0.25">
      <c r="T5392" s="98"/>
    </row>
    <row r="5393" spans="20:20" x14ac:dyDescent="0.25">
      <c r="T5393" s="98"/>
    </row>
    <row r="5394" spans="20:20" x14ac:dyDescent="0.25">
      <c r="T5394" s="98"/>
    </row>
    <row r="5395" spans="20:20" x14ac:dyDescent="0.25">
      <c r="T5395" s="98"/>
    </row>
    <row r="5396" spans="20:20" x14ac:dyDescent="0.25">
      <c r="T5396" s="98"/>
    </row>
    <row r="5397" spans="20:20" x14ac:dyDescent="0.25">
      <c r="T5397" s="98"/>
    </row>
    <row r="5398" spans="20:20" x14ac:dyDescent="0.25">
      <c r="T5398" s="98"/>
    </row>
    <row r="5399" spans="20:20" x14ac:dyDescent="0.25">
      <c r="T5399" s="98"/>
    </row>
    <row r="5400" spans="20:20" x14ac:dyDescent="0.25">
      <c r="T5400" s="98"/>
    </row>
    <row r="5401" spans="20:20" x14ac:dyDescent="0.25">
      <c r="T5401" s="98"/>
    </row>
    <row r="5402" spans="20:20" x14ac:dyDescent="0.25">
      <c r="T5402" s="98"/>
    </row>
    <row r="5403" spans="20:20" x14ac:dyDescent="0.25">
      <c r="T5403" s="98"/>
    </row>
    <row r="5404" spans="20:20" x14ac:dyDescent="0.25">
      <c r="T5404" s="98"/>
    </row>
    <row r="5405" spans="20:20" x14ac:dyDescent="0.25">
      <c r="T5405" s="98"/>
    </row>
    <row r="5406" spans="20:20" x14ac:dyDescent="0.25">
      <c r="T5406" s="98"/>
    </row>
    <row r="5407" spans="20:20" x14ac:dyDescent="0.25">
      <c r="T5407" s="98"/>
    </row>
    <row r="5408" spans="20:20" x14ac:dyDescent="0.25">
      <c r="T5408" s="98"/>
    </row>
    <row r="5409" spans="20:20" x14ac:dyDescent="0.25">
      <c r="T5409" s="98"/>
    </row>
    <row r="5410" spans="20:20" x14ac:dyDescent="0.25">
      <c r="T5410" s="98"/>
    </row>
    <row r="5411" spans="20:20" x14ac:dyDescent="0.25">
      <c r="T5411" s="98"/>
    </row>
    <row r="5412" spans="20:20" x14ac:dyDescent="0.25">
      <c r="T5412" s="98"/>
    </row>
    <row r="5413" spans="20:20" x14ac:dyDescent="0.25">
      <c r="T5413" s="98"/>
    </row>
    <row r="5414" spans="20:20" x14ac:dyDescent="0.25">
      <c r="T5414" s="98"/>
    </row>
    <row r="5415" spans="20:20" x14ac:dyDescent="0.25">
      <c r="T5415" s="98"/>
    </row>
    <row r="5416" spans="20:20" x14ac:dyDescent="0.25">
      <c r="T5416" s="98"/>
    </row>
    <row r="5417" spans="20:20" x14ac:dyDescent="0.25">
      <c r="T5417" s="98"/>
    </row>
    <row r="5418" spans="20:20" x14ac:dyDescent="0.25">
      <c r="T5418" s="98"/>
    </row>
    <row r="5419" spans="20:20" x14ac:dyDescent="0.25">
      <c r="T5419" s="98"/>
    </row>
    <row r="5420" spans="20:20" x14ac:dyDescent="0.25">
      <c r="T5420" s="98"/>
    </row>
    <row r="5421" spans="20:20" x14ac:dyDescent="0.25">
      <c r="T5421" s="98"/>
    </row>
    <row r="5422" spans="20:20" x14ac:dyDescent="0.25">
      <c r="T5422" s="98"/>
    </row>
    <row r="5423" spans="20:20" x14ac:dyDescent="0.25">
      <c r="T5423" s="98"/>
    </row>
    <row r="5424" spans="20:20" x14ac:dyDescent="0.25">
      <c r="T5424" s="98"/>
    </row>
    <row r="5425" spans="20:20" x14ac:dyDescent="0.25">
      <c r="T5425" s="98"/>
    </row>
    <row r="5426" spans="20:20" x14ac:dyDescent="0.25">
      <c r="T5426" s="98"/>
    </row>
    <row r="5427" spans="20:20" x14ac:dyDescent="0.25">
      <c r="T5427" s="98"/>
    </row>
    <row r="5428" spans="20:20" x14ac:dyDescent="0.25">
      <c r="T5428" s="98"/>
    </row>
    <row r="5429" spans="20:20" x14ac:dyDescent="0.25">
      <c r="T5429" s="98"/>
    </row>
    <row r="5430" spans="20:20" x14ac:dyDescent="0.25">
      <c r="T5430" s="98"/>
    </row>
    <row r="5431" spans="20:20" x14ac:dyDescent="0.25">
      <c r="T5431" s="98"/>
    </row>
    <row r="5432" spans="20:20" x14ac:dyDescent="0.25">
      <c r="T5432" s="98"/>
    </row>
    <row r="5433" spans="20:20" x14ac:dyDescent="0.25">
      <c r="T5433" s="98"/>
    </row>
    <row r="5434" spans="20:20" x14ac:dyDescent="0.25">
      <c r="T5434" s="98"/>
    </row>
    <row r="5435" spans="20:20" x14ac:dyDescent="0.25">
      <c r="T5435" s="98"/>
    </row>
    <row r="5436" spans="20:20" x14ac:dyDescent="0.25">
      <c r="T5436" s="98"/>
    </row>
    <row r="5437" spans="20:20" x14ac:dyDescent="0.25">
      <c r="T5437" s="98"/>
    </row>
    <row r="5438" spans="20:20" x14ac:dyDescent="0.25">
      <c r="T5438" s="98"/>
    </row>
    <row r="5439" spans="20:20" x14ac:dyDescent="0.25">
      <c r="T5439" s="98"/>
    </row>
    <row r="5440" spans="20:20" x14ac:dyDescent="0.25">
      <c r="T5440" s="98"/>
    </row>
    <row r="5441" spans="20:20" x14ac:dyDescent="0.25">
      <c r="T5441" s="98"/>
    </row>
    <row r="5442" spans="20:20" x14ac:dyDescent="0.25">
      <c r="T5442" s="98"/>
    </row>
    <row r="5443" spans="20:20" x14ac:dyDescent="0.25">
      <c r="T5443" s="98"/>
    </row>
    <row r="5444" spans="20:20" x14ac:dyDescent="0.25">
      <c r="T5444" s="98"/>
    </row>
    <row r="5445" spans="20:20" x14ac:dyDescent="0.25">
      <c r="T5445" s="98"/>
    </row>
    <row r="5446" spans="20:20" x14ac:dyDescent="0.25">
      <c r="T5446" s="98"/>
    </row>
    <row r="5447" spans="20:20" x14ac:dyDescent="0.25">
      <c r="T5447" s="98"/>
    </row>
    <row r="5448" spans="20:20" x14ac:dyDescent="0.25">
      <c r="T5448" s="98"/>
    </row>
    <row r="5449" spans="20:20" x14ac:dyDescent="0.25">
      <c r="T5449" s="98"/>
    </row>
    <row r="5450" spans="20:20" x14ac:dyDescent="0.25">
      <c r="T5450" s="98"/>
    </row>
    <row r="5451" spans="20:20" x14ac:dyDescent="0.25">
      <c r="T5451" s="98"/>
    </row>
    <row r="5452" spans="20:20" x14ac:dyDescent="0.25">
      <c r="T5452" s="98"/>
    </row>
    <row r="5453" spans="20:20" x14ac:dyDescent="0.25">
      <c r="T5453" s="98"/>
    </row>
    <row r="5454" spans="20:20" x14ac:dyDescent="0.25">
      <c r="T5454" s="98"/>
    </row>
    <row r="5455" spans="20:20" x14ac:dyDescent="0.25">
      <c r="T5455" s="98"/>
    </row>
    <row r="5456" spans="20:20" x14ac:dyDescent="0.25">
      <c r="T5456" s="98"/>
    </row>
    <row r="5457" spans="20:20" x14ac:dyDescent="0.25">
      <c r="T5457" s="98"/>
    </row>
    <row r="5458" spans="20:20" x14ac:dyDescent="0.25">
      <c r="T5458" s="98"/>
    </row>
    <row r="5459" spans="20:20" x14ac:dyDescent="0.25">
      <c r="T5459" s="98"/>
    </row>
    <row r="5460" spans="20:20" x14ac:dyDescent="0.25">
      <c r="T5460" s="98"/>
    </row>
    <row r="5461" spans="20:20" x14ac:dyDescent="0.25">
      <c r="T5461" s="98"/>
    </row>
    <row r="5462" spans="20:20" x14ac:dyDescent="0.25">
      <c r="T5462" s="98"/>
    </row>
    <row r="5463" spans="20:20" x14ac:dyDescent="0.25">
      <c r="T5463" s="98"/>
    </row>
    <row r="5464" spans="20:20" x14ac:dyDescent="0.25">
      <c r="T5464" s="98"/>
    </row>
    <row r="5465" spans="20:20" x14ac:dyDescent="0.25">
      <c r="T5465" s="98"/>
    </row>
    <row r="5466" spans="20:20" x14ac:dyDescent="0.25">
      <c r="T5466" s="98"/>
    </row>
    <row r="5467" spans="20:20" x14ac:dyDescent="0.25">
      <c r="T5467" s="98"/>
    </row>
    <row r="5468" spans="20:20" x14ac:dyDescent="0.25">
      <c r="T5468" s="98"/>
    </row>
    <row r="5469" spans="20:20" x14ac:dyDescent="0.25">
      <c r="T5469" s="98"/>
    </row>
    <row r="5470" spans="20:20" x14ac:dyDescent="0.25">
      <c r="T5470" s="98"/>
    </row>
    <row r="5471" spans="20:20" x14ac:dyDescent="0.25">
      <c r="T5471" s="98"/>
    </row>
    <row r="5472" spans="20:20" x14ac:dyDescent="0.25">
      <c r="T5472" s="98"/>
    </row>
    <row r="5473" spans="20:20" x14ac:dyDescent="0.25">
      <c r="T5473" s="98"/>
    </row>
    <row r="5474" spans="20:20" x14ac:dyDescent="0.25">
      <c r="T5474" s="98"/>
    </row>
    <row r="5475" spans="20:20" x14ac:dyDescent="0.25">
      <c r="T5475" s="98"/>
    </row>
    <row r="5476" spans="20:20" x14ac:dyDescent="0.25">
      <c r="T5476" s="98"/>
    </row>
    <row r="5477" spans="20:20" x14ac:dyDescent="0.25">
      <c r="T5477" s="98"/>
    </row>
    <row r="5478" spans="20:20" x14ac:dyDescent="0.25">
      <c r="T5478" s="98"/>
    </row>
    <row r="5479" spans="20:20" x14ac:dyDescent="0.25">
      <c r="T5479" s="98"/>
    </row>
    <row r="5480" spans="20:20" x14ac:dyDescent="0.25">
      <c r="T5480" s="98"/>
    </row>
    <row r="5481" spans="20:20" x14ac:dyDescent="0.25">
      <c r="T5481" s="98"/>
    </row>
    <row r="5482" spans="20:20" x14ac:dyDescent="0.25">
      <c r="T5482" s="98"/>
    </row>
    <row r="5483" spans="20:20" x14ac:dyDescent="0.25">
      <c r="T5483" s="98"/>
    </row>
    <row r="5484" spans="20:20" x14ac:dyDescent="0.25">
      <c r="T5484" s="98"/>
    </row>
    <row r="5485" spans="20:20" x14ac:dyDescent="0.25">
      <c r="T5485" s="98"/>
    </row>
    <row r="5486" spans="20:20" x14ac:dyDescent="0.25">
      <c r="T5486" s="98"/>
    </row>
    <row r="5487" spans="20:20" x14ac:dyDescent="0.25">
      <c r="T5487" s="98"/>
    </row>
    <row r="5488" spans="20:20" x14ac:dyDescent="0.25">
      <c r="T5488" s="98"/>
    </row>
    <row r="5489" spans="20:20" x14ac:dyDescent="0.25">
      <c r="T5489" s="98"/>
    </row>
    <row r="5490" spans="20:20" x14ac:dyDescent="0.25">
      <c r="T5490" s="98"/>
    </row>
    <row r="5491" spans="20:20" x14ac:dyDescent="0.25">
      <c r="T5491" s="98"/>
    </row>
    <row r="5492" spans="20:20" x14ac:dyDescent="0.25">
      <c r="T5492" s="98"/>
    </row>
    <row r="5493" spans="20:20" x14ac:dyDescent="0.25">
      <c r="T5493" s="98"/>
    </row>
    <row r="5494" spans="20:20" x14ac:dyDescent="0.25">
      <c r="T5494" s="98"/>
    </row>
    <row r="5495" spans="20:20" x14ac:dyDescent="0.25">
      <c r="T5495" s="98"/>
    </row>
    <row r="5496" spans="20:20" x14ac:dyDescent="0.25">
      <c r="T5496" s="98"/>
    </row>
    <row r="5497" spans="20:20" x14ac:dyDescent="0.25">
      <c r="T5497" s="98"/>
    </row>
    <row r="5498" spans="20:20" x14ac:dyDescent="0.25">
      <c r="T5498" s="98"/>
    </row>
    <row r="5499" spans="20:20" x14ac:dyDescent="0.25">
      <c r="T5499" s="98"/>
    </row>
    <row r="5500" spans="20:20" x14ac:dyDescent="0.25">
      <c r="T5500" s="98"/>
    </row>
    <row r="5501" spans="20:20" x14ac:dyDescent="0.25">
      <c r="T5501" s="98"/>
    </row>
    <row r="5502" spans="20:20" x14ac:dyDescent="0.25">
      <c r="T5502" s="98"/>
    </row>
    <row r="5503" spans="20:20" x14ac:dyDescent="0.25">
      <c r="T5503" s="98"/>
    </row>
    <row r="5504" spans="20:20" x14ac:dyDescent="0.25">
      <c r="T5504" s="98"/>
    </row>
    <row r="5505" spans="20:20" x14ac:dyDescent="0.25">
      <c r="T5505" s="98"/>
    </row>
    <row r="5506" spans="20:20" x14ac:dyDescent="0.25">
      <c r="T5506" s="98"/>
    </row>
    <row r="5507" spans="20:20" x14ac:dyDescent="0.25">
      <c r="T5507" s="98"/>
    </row>
    <row r="5508" spans="20:20" x14ac:dyDescent="0.25">
      <c r="T5508" s="98"/>
    </row>
    <row r="5509" spans="20:20" x14ac:dyDescent="0.25">
      <c r="T5509" s="98"/>
    </row>
    <row r="5510" spans="20:20" x14ac:dyDescent="0.25">
      <c r="T5510" s="98"/>
    </row>
    <row r="5511" spans="20:20" x14ac:dyDescent="0.25">
      <c r="T5511" s="98"/>
    </row>
    <row r="5512" spans="20:20" x14ac:dyDescent="0.25">
      <c r="T5512" s="98"/>
    </row>
    <row r="5513" spans="20:20" x14ac:dyDescent="0.25">
      <c r="T5513" s="98"/>
    </row>
    <row r="5514" spans="20:20" x14ac:dyDescent="0.25">
      <c r="T5514" s="98"/>
    </row>
    <row r="5515" spans="20:20" x14ac:dyDescent="0.25">
      <c r="T5515" s="98"/>
    </row>
    <row r="5516" spans="20:20" x14ac:dyDescent="0.25">
      <c r="T5516" s="98"/>
    </row>
    <row r="5517" spans="20:20" x14ac:dyDescent="0.25">
      <c r="T5517" s="98"/>
    </row>
    <row r="5518" spans="20:20" x14ac:dyDescent="0.25">
      <c r="T5518" s="98"/>
    </row>
    <row r="5519" spans="20:20" x14ac:dyDescent="0.25">
      <c r="T5519" s="98"/>
    </row>
    <row r="5520" spans="20:20" x14ac:dyDescent="0.25">
      <c r="T5520" s="98"/>
    </row>
    <row r="5521" spans="20:20" x14ac:dyDescent="0.25">
      <c r="T5521" s="98"/>
    </row>
    <row r="5522" spans="20:20" x14ac:dyDescent="0.25">
      <c r="T5522" s="98"/>
    </row>
    <row r="5523" spans="20:20" x14ac:dyDescent="0.25">
      <c r="T5523" s="98"/>
    </row>
    <row r="5524" spans="20:20" x14ac:dyDescent="0.25">
      <c r="T5524" s="98"/>
    </row>
    <row r="5525" spans="20:20" x14ac:dyDescent="0.25">
      <c r="T5525" s="98"/>
    </row>
    <row r="5526" spans="20:20" x14ac:dyDescent="0.25">
      <c r="T5526" s="98"/>
    </row>
    <row r="5527" spans="20:20" x14ac:dyDescent="0.25">
      <c r="T5527" s="98"/>
    </row>
    <row r="5528" spans="20:20" x14ac:dyDescent="0.25">
      <c r="T5528" s="98"/>
    </row>
    <row r="5529" spans="20:20" x14ac:dyDescent="0.25">
      <c r="T5529" s="98"/>
    </row>
    <row r="5530" spans="20:20" x14ac:dyDescent="0.25">
      <c r="T5530" s="98"/>
    </row>
    <row r="5531" spans="20:20" x14ac:dyDescent="0.25">
      <c r="T5531" s="98"/>
    </row>
    <row r="5532" spans="20:20" x14ac:dyDescent="0.25">
      <c r="T5532" s="98"/>
    </row>
    <row r="5533" spans="20:20" x14ac:dyDescent="0.25">
      <c r="T5533" s="98"/>
    </row>
    <row r="5534" spans="20:20" x14ac:dyDescent="0.25">
      <c r="T5534" s="98"/>
    </row>
    <row r="5535" spans="20:20" x14ac:dyDescent="0.25">
      <c r="T5535" s="98"/>
    </row>
    <row r="5536" spans="20:20" x14ac:dyDescent="0.25">
      <c r="T5536" s="98"/>
    </row>
    <row r="5537" spans="20:20" x14ac:dyDescent="0.25">
      <c r="T5537" s="98"/>
    </row>
    <row r="5538" spans="20:20" x14ac:dyDescent="0.25">
      <c r="T5538" s="98"/>
    </row>
    <row r="5539" spans="20:20" x14ac:dyDescent="0.25">
      <c r="T5539" s="98"/>
    </row>
    <row r="5540" spans="20:20" x14ac:dyDescent="0.25">
      <c r="T5540" s="98"/>
    </row>
    <row r="5541" spans="20:20" x14ac:dyDescent="0.25">
      <c r="T5541" s="98"/>
    </row>
    <row r="5542" spans="20:20" x14ac:dyDescent="0.25">
      <c r="T5542" s="98"/>
    </row>
    <row r="5543" spans="20:20" x14ac:dyDescent="0.25">
      <c r="T5543" s="98"/>
    </row>
    <row r="5544" spans="20:20" x14ac:dyDescent="0.25">
      <c r="T5544" s="98"/>
    </row>
    <row r="5545" spans="20:20" x14ac:dyDescent="0.25">
      <c r="T5545" s="98"/>
    </row>
    <row r="5546" spans="20:20" x14ac:dyDescent="0.25">
      <c r="T5546" s="98"/>
    </row>
    <row r="5547" spans="20:20" x14ac:dyDescent="0.25">
      <c r="T5547" s="98"/>
    </row>
    <row r="5548" spans="20:20" x14ac:dyDescent="0.25">
      <c r="T5548" s="98"/>
    </row>
    <row r="5549" spans="20:20" x14ac:dyDescent="0.25">
      <c r="T5549" s="98"/>
    </row>
    <row r="5550" spans="20:20" x14ac:dyDescent="0.25">
      <c r="T5550" s="98"/>
    </row>
    <row r="5551" spans="20:20" x14ac:dyDescent="0.25">
      <c r="T5551" s="98"/>
    </row>
    <row r="5552" spans="20:20" x14ac:dyDescent="0.25">
      <c r="T5552" s="98"/>
    </row>
    <row r="5553" spans="20:20" x14ac:dyDescent="0.25">
      <c r="T5553" s="98"/>
    </row>
    <row r="5554" spans="20:20" x14ac:dyDescent="0.25">
      <c r="T5554" s="98"/>
    </row>
    <row r="5555" spans="20:20" x14ac:dyDescent="0.25">
      <c r="T5555" s="98"/>
    </row>
    <row r="5556" spans="20:20" x14ac:dyDescent="0.25">
      <c r="T5556" s="98"/>
    </row>
    <row r="5557" spans="20:20" x14ac:dyDescent="0.25">
      <c r="T5557" s="98"/>
    </row>
    <row r="5558" spans="20:20" x14ac:dyDescent="0.25">
      <c r="T5558" s="98"/>
    </row>
    <row r="5559" spans="20:20" x14ac:dyDescent="0.25">
      <c r="T5559" s="98"/>
    </row>
    <row r="5560" spans="20:20" x14ac:dyDescent="0.25">
      <c r="T5560" s="98"/>
    </row>
    <row r="5561" spans="20:20" x14ac:dyDescent="0.25">
      <c r="T5561" s="98"/>
    </row>
    <row r="5562" spans="20:20" x14ac:dyDescent="0.25">
      <c r="T5562" s="98"/>
    </row>
    <row r="5563" spans="20:20" x14ac:dyDescent="0.25">
      <c r="T5563" s="98"/>
    </row>
    <row r="5564" spans="20:20" x14ac:dyDescent="0.25">
      <c r="T5564" s="98"/>
    </row>
    <row r="5565" spans="20:20" x14ac:dyDescent="0.25">
      <c r="T5565" s="98"/>
    </row>
    <row r="5566" spans="20:20" x14ac:dyDescent="0.25">
      <c r="T5566" s="98"/>
    </row>
    <row r="5567" spans="20:20" x14ac:dyDescent="0.25">
      <c r="T5567" s="98"/>
    </row>
    <row r="5568" spans="20:20" x14ac:dyDescent="0.25">
      <c r="T5568" s="98"/>
    </row>
    <row r="5569" spans="20:20" x14ac:dyDescent="0.25">
      <c r="T5569" s="98"/>
    </row>
    <row r="5570" spans="20:20" x14ac:dyDescent="0.25">
      <c r="T5570" s="98"/>
    </row>
    <row r="5571" spans="20:20" x14ac:dyDescent="0.25">
      <c r="T5571" s="98"/>
    </row>
    <row r="5572" spans="20:20" x14ac:dyDescent="0.25">
      <c r="T5572" s="98"/>
    </row>
    <row r="5573" spans="20:20" x14ac:dyDescent="0.25">
      <c r="T5573" s="98"/>
    </row>
    <row r="5574" spans="20:20" x14ac:dyDescent="0.25">
      <c r="T5574" s="98"/>
    </row>
    <row r="5575" spans="20:20" x14ac:dyDescent="0.25">
      <c r="T5575" s="98"/>
    </row>
    <row r="5576" spans="20:20" x14ac:dyDescent="0.25">
      <c r="T5576" s="98"/>
    </row>
    <row r="5577" spans="20:20" x14ac:dyDescent="0.25">
      <c r="T5577" s="98"/>
    </row>
    <row r="5578" spans="20:20" x14ac:dyDescent="0.25">
      <c r="T5578" s="98"/>
    </row>
    <row r="5579" spans="20:20" x14ac:dyDescent="0.25">
      <c r="T5579" s="98"/>
    </row>
    <row r="5580" spans="20:20" x14ac:dyDescent="0.25">
      <c r="T5580" s="98"/>
    </row>
    <row r="5581" spans="20:20" x14ac:dyDescent="0.25">
      <c r="T5581" s="98"/>
    </row>
    <row r="5582" spans="20:20" x14ac:dyDescent="0.25">
      <c r="T5582" s="98"/>
    </row>
    <row r="5583" spans="20:20" x14ac:dyDescent="0.25">
      <c r="T5583" s="98"/>
    </row>
    <row r="5584" spans="20:20" x14ac:dyDescent="0.25">
      <c r="T5584" s="98"/>
    </row>
    <row r="5585" spans="20:20" x14ac:dyDescent="0.25">
      <c r="T5585" s="98"/>
    </row>
    <row r="5586" spans="20:20" x14ac:dyDescent="0.25">
      <c r="T5586" s="98"/>
    </row>
    <row r="5587" spans="20:20" x14ac:dyDescent="0.25">
      <c r="T5587" s="98"/>
    </row>
    <row r="5588" spans="20:20" x14ac:dyDescent="0.25">
      <c r="T5588" s="98"/>
    </row>
    <row r="5589" spans="20:20" x14ac:dyDescent="0.25">
      <c r="T5589" s="98"/>
    </row>
    <row r="5590" spans="20:20" x14ac:dyDescent="0.25">
      <c r="T5590" s="98"/>
    </row>
    <row r="5591" spans="20:20" x14ac:dyDescent="0.25">
      <c r="T5591" s="98"/>
    </row>
    <row r="5592" spans="20:20" x14ac:dyDescent="0.25">
      <c r="T5592" s="98"/>
    </row>
    <row r="5593" spans="20:20" x14ac:dyDescent="0.25">
      <c r="T5593" s="98"/>
    </row>
    <row r="5594" spans="20:20" x14ac:dyDescent="0.25">
      <c r="T5594" s="98"/>
    </row>
    <row r="5595" spans="20:20" x14ac:dyDescent="0.25">
      <c r="T5595" s="98"/>
    </row>
    <row r="5596" spans="20:20" x14ac:dyDescent="0.25">
      <c r="T5596" s="98"/>
    </row>
    <row r="5597" spans="20:20" x14ac:dyDescent="0.25">
      <c r="T5597" s="98"/>
    </row>
    <row r="5598" spans="20:20" x14ac:dyDescent="0.25">
      <c r="T5598" s="98"/>
    </row>
    <row r="5599" spans="20:20" x14ac:dyDescent="0.25">
      <c r="T5599" s="98"/>
    </row>
    <row r="5600" spans="20:20" x14ac:dyDescent="0.25">
      <c r="T5600" s="98"/>
    </row>
    <row r="5601" spans="20:20" x14ac:dyDescent="0.25">
      <c r="T5601" s="98"/>
    </row>
    <row r="5602" spans="20:20" x14ac:dyDescent="0.25">
      <c r="T5602" s="98"/>
    </row>
    <row r="5603" spans="20:20" x14ac:dyDescent="0.25">
      <c r="T5603" s="98"/>
    </row>
    <row r="5604" spans="20:20" x14ac:dyDescent="0.25">
      <c r="T5604" s="98"/>
    </row>
    <row r="5605" spans="20:20" x14ac:dyDescent="0.25">
      <c r="T5605" s="98"/>
    </row>
    <row r="5606" spans="20:20" x14ac:dyDescent="0.25">
      <c r="T5606" s="98"/>
    </row>
    <row r="5607" spans="20:20" x14ac:dyDescent="0.25">
      <c r="T5607" s="98"/>
    </row>
    <row r="5608" spans="20:20" x14ac:dyDescent="0.25">
      <c r="T5608" s="98"/>
    </row>
    <row r="5609" spans="20:20" x14ac:dyDescent="0.25">
      <c r="T5609" s="98"/>
    </row>
    <row r="5610" spans="20:20" x14ac:dyDescent="0.25">
      <c r="T5610" s="98"/>
    </row>
    <row r="5611" spans="20:20" x14ac:dyDescent="0.25">
      <c r="T5611" s="98"/>
    </row>
    <row r="5612" spans="20:20" x14ac:dyDescent="0.25">
      <c r="T5612" s="98"/>
    </row>
    <row r="5613" spans="20:20" x14ac:dyDescent="0.25">
      <c r="T5613" s="98"/>
    </row>
    <row r="5614" spans="20:20" x14ac:dyDescent="0.25">
      <c r="T5614" s="98"/>
    </row>
    <row r="5615" spans="20:20" x14ac:dyDescent="0.25">
      <c r="T5615" s="98"/>
    </row>
    <row r="5616" spans="20:20" x14ac:dyDescent="0.25">
      <c r="T5616" s="98"/>
    </row>
    <row r="5617" spans="20:20" x14ac:dyDescent="0.25">
      <c r="T5617" s="98"/>
    </row>
    <row r="5618" spans="20:20" x14ac:dyDescent="0.25">
      <c r="T5618" s="98"/>
    </row>
    <row r="5619" spans="20:20" x14ac:dyDescent="0.25">
      <c r="T5619" s="98"/>
    </row>
    <row r="5620" spans="20:20" x14ac:dyDescent="0.25">
      <c r="T5620" s="98"/>
    </row>
    <row r="5621" spans="20:20" x14ac:dyDescent="0.25">
      <c r="T5621" s="98"/>
    </row>
    <row r="5622" spans="20:20" x14ac:dyDescent="0.25">
      <c r="T5622" s="98"/>
    </row>
    <row r="5623" spans="20:20" x14ac:dyDescent="0.25">
      <c r="T5623" s="98"/>
    </row>
    <row r="5624" spans="20:20" x14ac:dyDescent="0.25">
      <c r="T5624" s="98"/>
    </row>
    <row r="5625" spans="20:20" x14ac:dyDescent="0.25">
      <c r="T5625" s="98"/>
    </row>
    <row r="5626" spans="20:20" x14ac:dyDescent="0.25">
      <c r="T5626" s="98"/>
    </row>
    <row r="5627" spans="20:20" x14ac:dyDescent="0.25">
      <c r="T5627" s="98"/>
    </row>
    <row r="5628" spans="20:20" x14ac:dyDescent="0.25">
      <c r="T5628" s="98"/>
    </row>
    <row r="5629" spans="20:20" x14ac:dyDescent="0.25">
      <c r="T5629" s="98"/>
    </row>
    <row r="5630" spans="20:20" x14ac:dyDescent="0.25">
      <c r="T5630" s="98"/>
    </row>
    <row r="5631" spans="20:20" x14ac:dyDescent="0.25">
      <c r="T5631" s="98"/>
    </row>
    <row r="5632" spans="20:20" x14ac:dyDescent="0.25">
      <c r="T5632" s="98"/>
    </row>
    <row r="5633" spans="20:20" x14ac:dyDescent="0.25">
      <c r="T5633" s="98"/>
    </row>
    <row r="5634" spans="20:20" x14ac:dyDescent="0.25">
      <c r="T5634" s="98"/>
    </row>
    <row r="5635" spans="20:20" x14ac:dyDescent="0.25">
      <c r="T5635" s="98"/>
    </row>
    <row r="5636" spans="20:20" x14ac:dyDescent="0.25">
      <c r="T5636" s="98"/>
    </row>
    <row r="5637" spans="20:20" x14ac:dyDescent="0.25">
      <c r="T5637" s="98"/>
    </row>
    <row r="5638" spans="20:20" x14ac:dyDescent="0.25">
      <c r="T5638" s="98"/>
    </row>
    <row r="5639" spans="20:20" x14ac:dyDescent="0.25">
      <c r="T5639" s="98"/>
    </row>
    <row r="5640" spans="20:20" x14ac:dyDescent="0.25">
      <c r="T5640" s="98"/>
    </row>
    <row r="5641" spans="20:20" x14ac:dyDescent="0.25">
      <c r="T5641" s="98"/>
    </row>
    <row r="5642" spans="20:20" x14ac:dyDescent="0.25">
      <c r="T5642" s="98"/>
    </row>
    <row r="5643" spans="20:20" x14ac:dyDescent="0.25">
      <c r="T5643" s="98"/>
    </row>
    <row r="5644" spans="20:20" x14ac:dyDescent="0.25">
      <c r="T5644" s="98"/>
    </row>
    <row r="5645" spans="20:20" x14ac:dyDescent="0.25">
      <c r="T5645" s="98"/>
    </row>
    <row r="5646" spans="20:20" x14ac:dyDescent="0.25">
      <c r="T5646" s="98"/>
    </row>
    <row r="5647" spans="20:20" x14ac:dyDescent="0.25">
      <c r="T5647" s="98"/>
    </row>
    <row r="5648" spans="20:20" x14ac:dyDescent="0.25">
      <c r="T5648" s="98"/>
    </row>
    <row r="5649" spans="20:20" x14ac:dyDescent="0.25">
      <c r="T5649" s="98"/>
    </row>
    <row r="5650" spans="20:20" x14ac:dyDescent="0.25">
      <c r="T5650" s="98"/>
    </row>
    <row r="5651" spans="20:20" x14ac:dyDescent="0.25">
      <c r="T5651" s="98"/>
    </row>
    <row r="5652" spans="20:20" x14ac:dyDescent="0.25">
      <c r="T5652" s="98"/>
    </row>
    <row r="5653" spans="20:20" x14ac:dyDescent="0.25">
      <c r="T5653" s="98"/>
    </row>
    <row r="5654" spans="20:20" x14ac:dyDescent="0.25">
      <c r="T5654" s="98"/>
    </row>
    <row r="5655" spans="20:20" x14ac:dyDescent="0.25">
      <c r="T5655" s="98"/>
    </row>
    <row r="5656" spans="20:20" x14ac:dyDescent="0.25">
      <c r="T5656" s="98"/>
    </row>
    <row r="5657" spans="20:20" x14ac:dyDescent="0.25">
      <c r="T5657" s="98"/>
    </row>
    <row r="5658" spans="20:20" x14ac:dyDescent="0.25">
      <c r="T5658" s="98"/>
    </row>
    <row r="5659" spans="20:20" x14ac:dyDescent="0.25">
      <c r="T5659" s="98"/>
    </row>
    <row r="5660" spans="20:20" x14ac:dyDescent="0.25">
      <c r="T5660" s="98"/>
    </row>
    <row r="5661" spans="20:20" x14ac:dyDescent="0.25">
      <c r="T5661" s="98"/>
    </row>
    <row r="5662" spans="20:20" x14ac:dyDescent="0.25">
      <c r="T5662" s="98"/>
    </row>
    <row r="5663" spans="20:20" x14ac:dyDescent="0.25">
      <c r="T5663" s="98"/>
    </row>
    <row r="5664" spans="20:20" x14ac:dyDescent="0.25">
      <c r="T5664" s="98"/>
    </row>
    <row r="5665" spans="20:20" x14ac:dyDescent="0.25">
      <c r="T5665" s="98"/>
    </row>
    <row r="5666" spans="20:20" x14ac:dyDescent="0.25">
      <c r="T5666" s="98"/>
    </row>
    <row r="5667" spans="20:20" x14ac:dyDescent="0.25">
      <c r="T5667" s="98"/>
    </row>
    <row r="5668" spans="20:20" x14ac:dyDescent="0.25">
      <c r="T5668" s="98"/>
    </row>
    <row r="5669" spans="20:20" x14ac:dyDescent="0.25">
      <c r="T5669" s="98"/>
    </row>
    <row r="5670" spans="20:20" x14ac:dyDescent="0.25">
      <c r="T5670" s="98"/>
    </row>
    <row r="5671" spans="20:20" x14ac:dyDescent="0.25">
      <c r="T5671" s="98"/>
    </row>
    <row r="5672" spans="20:20" x14ac:dyDescent="0.25">
      <c r="T5672" s="98"/>
    </row>
    <row r="5673" spans="20:20" x14ac:dyDescent="0.25">
      <c r="T5673" s="98"/>
    </row>
    <row r="5674" spans="20:20" x14ac:dyDescent="0.25">
      <c r="T5674" s="98"/>
    </row>
    <row r="5675" spans="20:20" x14ac:dyDescent="0.25">
      <c r="T5675" s="98"/>
    </row>
    <row r="5676" spans="20:20" x14ac:dyDescent="0.25">
      <c r="T5676" s="98"/>
    </row>
    <row r="5677" spans="20:20" x14ac:dyDescent="0.25">
      <c r="T5677" s="98"/>
    </row>
    <row r="5678" spans="20:20" x14ac:dyDescent="0.25">
      <c r="T5678" s="98"/>
    </row>
    <row r="5679" spans="20:20" x14ac:dyDescent="0.25">
      <c r="T5679" s="98"/>
    </row>
    <row r="5680" spans="20:20" x14ac:dyDescent="0.25">
      <c r="T5680" s="98"/>
    </row>
    <row r="5681" spans="20:20" x14ac:dyDescent="0.25">
      <c r="T5681" s="98"/>
    </row>
    <row r="5682" spans="20:20" x14ac:dyDescent="0.25">
      <c r="T5682" s="98"/>
    </row>
    <row r="5683" spans="20:20" x14ac:dyDescent="0.25">
      <c r="T5683" s="98"/>
    </row>
    <row r="5684" spans="20:20" x14ac:dyDescent="0.25">
      <c r="T5684" s="98"/>
    </row>
    <row r="5685" spans="20:20" x14ac:dyDescent="0.25">
      <c r="T5685" s="98"/>
    </row>
    <row r="5686" spans="20:20" x14ac:dyDescent="0.25">
      <c r="T5686" s="98"/>
    </row>
    <row r="5687" spans="20:20" x14ac:dyDescent="0.25">
      <c r="T5687" s="98"/>
    </row>
    <row r="5688" spans="20:20" x14ac:dyDescent="0.25">
      <c r="T5688" s="98"/>
    </row>
    <row r="5689" spans="20:20" x14ac:dyDescent="0.25">
      <c r="T5689" s="98"/>
    </row>
    <row r="5690" spans="20:20" x14ac:dyDescent="0.25">
      <c r="T5690" s="98"/>
    </row>
    <row r="5691" spans="20:20" x14ac:dyDescent="0.25">
      <c r="T5691" s="98"/>
    </row>
    <row r="5692" spans="20:20" x14ac:dyDescent="0.25">
      <c r="T5692" s="98"/>
    </row>
    <row r="5693" spans="20:20" x14ac:dyDescent="0.25">
      <c r="T5693" s="98"/>
    </row>
    <row r="5694" spans="20:20" x14ac:dyDescent="0.25">
      <c r="T5694" s="98"/>
    </row>
    <row r="5695" spans="20:20" x14ac:dyDescent="0.25">
      <c r="T5695" s="98"/>
    </row>
    <row r="5696" spans="20:20" x14ac:dyDescent="0.25">
      <c r="T5696" s="98"/>
    </row>
    <row r="5697" spans="20:20" x14ac:dyDescent="0.25">
      <c r="T5697" s="98"/>
    </row>
    <row r="5698" spans="20:20" x14ac:dyDescent="0.25">
      <c r="T5698" s="98"/>
    </row>
    <row r="5699" spans="20:20" x14ac:dyDescent="0.25">
      <c r="T5699" s="98"/>
    </row>
    <row r="5700" spans="20:20" x14ac:dyDescent="0.25">
      <c r="T5700" s="98"/>
    </row>
    <row r="5701" spans="20:20" x14ac:dyDescent="0.25">
      <c r="T5701" s="98"/>
    </row>
    <row r="5702" spans="20:20" x14ac:dyDescent="0.25">
      <c r="T5702" s="98"/>
    </row>
    <row r="5703" spans="20:20" x14ac:dyDescent="0.25">
      <c r="T5703" s="98"/>
    </row>
    <row r="5704" spans="20:20" x14ac:dyDescent="0.25">
      <c r="T5704" s="98"/>
    </row>
    <row r="5705" spans="20:20" x14ac:dyDescent="0.25">
      <c r="T5705" s="98"/>
    </row>
    <row r="5706" spans="20:20" x14ac:dyDescent="0.25">
      <c r="T5706" s="98"/>
    </row>
    <row r="5707" spans="20:20" x14ac:dyDescent="0.25">
      <c r="T5707" s="98"/>
    </row>
    <row r="5708" spans="20:20" x14ac:dyDescent="0.25">
      <c r="T5708" s="98"/>
    </row>
    <row r="5709" spans="20:20" x14ac:dyDescent="0.25">
      <c r="T5709" s="98"/>
    </row>
    <row r="5710" spans="20:20" x14ac:dyDescent="0.25">
      <c r="T5710" s="98"/>
    </row>
    <row r="5711" spans="20:20" x14ac:dyDescent="0.25">
      <c r="T5711" s="98"/>
    </row>
    <row r="5712" spans="20:20" x14ac:dyDescent="0.25">
      <c r="T5712" s="98"/>
    </row>
    <row r="5713" spans="20:20" x14ac:dyDescent="0.25">
      <c r="T5713" s="98"/>
    </row>
    <row r="5714" spans="20:20" x14ac:dyDescent="0.25">
      <c r="T5714" s="98"/>
    </row>
    <row r="5715" spans="20:20" x14ac:dyDescent="0.25">
      <c r="T5715" s="98"/>
    </row>
    <row r="5716" spans="20:20" x14ac:dyDescent="0.25">
      <c r="T5716" s="98"/>
    </row>
    <row r="5717" spans="20:20" x14ac:dyDescent="0.25">
      <c r="T5717" s="98"/>
    </row>
    <row r="5718" spans="20:20" x14ac:dyDescent="0.25">
      <c r="T5718" s="98"/>
    </row>
    <row r="5719" spans="20:20" x14ac:dyDescent="0.25">
      <c r="T5719" s="98"/>
    </row>
    <row r="5720" spans="20:20" x14ac:dyDescent="0.25">
      <c r="T5720" s="98"/>
    </row>
    <row r="5721" spans="20:20" x14ac:dyDescent="0.25">
      <c r="T5721" s="98"/>
    </row>
    <row r="5722" spans="20:20" x14ac:dyDescent="0.25">
      <c r="T5722" s="98"/>
    </row>
    <row r="5723" spans="20:20" x14ac:dyDescent="0.25">
      <c r="T5723" s="98"/>
    </row>
    <row r="5724" spans="20:20" x14ac:dyDescent="0.25">
      <c r="T5724" s="98"/>
    </row>
    <row r="5725" spans="20:20" x14ac:dyDescent="0.25">
      <c r="T5725" s="98"/>
    </row>
    <row r="5726" spans="20:20" x14ac:dyDescent="0.25">
      <c r="T5726" s="98"/>
    </row>
    <row r="5727" spans="20:20" x14ac:dyDescent="0.25">
      <c r="T5727" s="98"/>
    </row>
    <row r="5728" spans="20:20" x14ac:dyDescent="0.25">
      <c r="T5728" s="98"/>
    </row>
    <row r="5729" spans="20:20" x14ac:dyDescent="0.25">
      <c r="T5729" s="98"/>
    </row>
    <row r="5730" spans="20:20" x14ac:dyDescent="0.25">
      <c r="T5730" s="98"/>
    </row>
    <row r="5731" spans="20:20" x14ac:dyDescent="0.25">
      <c r="T5731" s="98"/>
    </row>
    <row r="5732" spans="20:20" x14ac:dyDescent="0.25">
      <c r="T5732" s="98"/>
    </row>
    <row r="5733" spans="20:20" x14ac:dyDescent="0.25">
      <c r="T5733" s="98"/>
    </row>
    <row r="5734" spans="20:20" x14ac:dyDescent="0.25">
      <c r="T5734" s="98"/>
    </row>
    <row r="5735" spans="20:20" x14ac:dyDescent="0.25">
      <c r="T5735" s="98"/>
    </row>
    <row r="5736" spans="20:20" x14ac:dyDescent="0.25">
      <c r="T5736" s="98"/>
    </row>
    <row r="5737" spans="20:20" x14ac:dyDescent="0.25">
      <c r="T5737" s="98"/>
    </row>
    <row r="5738" spans="20:20" x14ac:dyDescent="0.25">
      <c r="T5738" s="98"/>
    </row>
    <row r="5739" spans="20:20" x14ac:dyDescent="0.25">
      <c r="T5739" s="98"/>
    </row>
    <row r="5740" spans="20:20" x14ac:dyDescent="0.25">
      <c r="T5740" s="98"/>
    </row>
    <row r="5741" spans="20:20" x14ac:dyDescent="0.25">
      <c r="T5741" s="98"/>
    </row>
    <row r="5742" spans="20:20" x14ac:dyDescent="0.25">
      <c r="T5742" s="98"/>
    </row>
    <row r="5743" spans="20:20" x14ac:dyDescent="0.25">
      <c r="T5743" s="98"/>
    </row>
    <row r="5744" spans="20:20" x14ac:dyDescent="0.25">
      <c r="T5744" s="98"/>
    </row>
    <row r="5745" spans="20:20" x14ac:dyDescent="0.25">
      <c r="T5745" s="98"/>
    </row>
    <row r="5746" spans="20:20" x14ac:dyDescent="0.25">
      <c r="T5746" s="98"/>
    </row>
    <row r="5747" spans="20:20" x14ac:dyDescent="0.25">
      <c r="T5747" s="98"/>
    </row>
    <row r="5748" spans="20:20" x14ac:dyDescent="0.25">
      <c r="T5748" s="98"/>
    </row>
    <row r="5749" spans="20:20" x14ac:dyDescent="0.25">
      <c r="T5749" s="98"/>
    </row>
    <row r="5750" spans="20:20" x14ac:dyDescent="0.25">
      <c r="T5750" s="98"/>
    </row>
    <row r="5751" spans="20:20" x14ac:dyDescent="0.25">
      <c r="T5751" s="98"/>
    </row>
    <row r="5752" spans="20:20" x14ac:dyDescent="0.25">
      <c r="T5752" s="98"/>
    </row>
    <row r="5753" spans="20:20" x14ac:dyDescent="0.25">
      <c r="T5753" s="98"/>
    </row>
    <row r="5754" spans="20:20" x14ac:dyDescent="0.25">
      <c r="T5754" s="98"/>
    </row>
    <row r="5755" spans="20:20" x14ac:dyDescent="0.25">
      <c r="T5755" s="98"/>
    </row>
    <row r="5756" spans="20:20" x14ac:dyDescent="0.25">
      <c r="T5756" s="98"/>
    </row>
    <row r="5757" spans="20:20" x14ac:dyDescent="0.25">
      <c r="T5757" s="98"/>
    </row>
    <row r="5758" spans="20:20" x14ac:dyDescent="0.25">
      <c r="T5758" s="98"/>
    </row>
    <row r="5759" spans="20:20" x14ac:dyDescent="0.25">
      <c r="T5759" s="98"/>
    </row>
    <row r="5760" spans="20:20" x14ac:dyDescent="0.25">
      <c r="T5760" s="98"/>
    </row>
    <row r="5761" spans="20:20" x14ac:dyDescent="0.25">
      <c r="T5761" s="98"/>
    </row>
    <row r="5762" spans="20:20" x14ac:dyDescent="0.25">
      <c r="T5762" s="98"/>
    </row>
    <row r="5763" spans="20:20" x14ac:dyDescent="0.25">
      <c r="T5763" s="98"/>
    </row>
    <row r="5764" spans="20:20" x14ac:dyDescent="0.25">
      <c r="T5764" s="98"/>
    </row>
    <row r="5765" spans="20:20" x14ac:dyDescent="0.25">
      <c r="T5765" s="98"/>
    </row>
    <row r="5766" spans="20:20" x14ac:dyDescent="0.25">
      <c r="T5766" s="98"/>
    </row>
    <row r="5767" spans="20:20" x14ac:dyDescent="0.25">
      <c r="T5767" s="98"/>
    </row>
    <row r="5768" spans="20:20" x14ac:dyDescent="0.25">
      <c r="T5768" s="98"/>
    </row>
    <row r="5769" spans="20:20" x14ac:dyDescent="0.25">
      <c r="T5769" s="98"/>
    </row>
    <row r="5770" spans="20:20" x14ac:dyDescent="0.25">
      <c r="T5770" s="98"/>
    </row>
    <row r="5771" spans="20:20" x14ac:dyDescent="0.25">
      <c r="T5771" s="98"/>
    </row>
    <row r="5772" spans="20:20" x14ac:dyDescent="0.25">
      <c r="T5772" s="98"/>
    </row>
    <row r="5773" spans="20:20" x14ac:dyDescent="0.25">
      <c r="T5773" s="98"/>
    </row>
    <row r="5774" spans="20:20" x14ac:dyDescent="0.25">
      <c r="T5774" s="98"/>
    </row>
    <row r="5775" spans="20:20" x14ac:dyDescent="0.25">
      <c r="T5775" s="98"/>
    </row>
    <row r="5776" spans="20:20" x14ac:dyDescent="0.25">
      <c r="T5776" s="98"/>
    </row>
    <row r="5777" spans="20:20" x14ac:dyDescent="0.25">
      <c r="T5777" s="98"/>
    </row>
    <row r="5778" spans="20:20" x14ac:dyDescent="0.25">
      <c r="T5778" s="98"/>
    </row>
    <row r="5779" spans="20:20" x14ac:dyDescent="0.25">
      <c r="T5779" s="98"/>
    </row>
    <row r="5780" spans="20:20" x14ac:dyDescent="0.25">
      <c r="T5780" s="98"/>
    </row>
    <row r="5781" spans="20:20" x14ac:dyDescent="0.25">
      <c r="T5781" s="98"/>
    </row>
    <row r="5782" spans="20:20" x14ac:dyDescent="0.25">
      <c r="T5782" s="98"/>
    </row>
    <row r="5783" spans="20:20" x14ac:dyDescent="0.25">
      <c r="T5783" s="98"/>
    </row>
    <row r="5784" spans="20:20" x14ac:dyDescent="0.25">
      <c r="T5784" s="98"/>
    </row>
    <row r="5785" spans="20:20" x14ac:dyDescent="0.25">
      <c r="T5785" s="98"/>
    </row>
    <row r="5786" spans="20:20" x14ac:dyDescent="0.25">
      <c r="T5786" s="98"/>
    </row>
    <row r="5787" spans="20:20" x14ac:dyDescent="0.25">
      <c r="T5787" s="98"/>
    </row>
    <row r="5788" spans="20:20" x14ac:dyDescent="0.25">
      <c r="T5788" s="98"/>
    </row>
    <row r="5789" spans="20:20" x14ac:dyDescent="0.25">
      <c r="T5789" s="98"/>
    </row>
    <row r="5790" spans="20:20" x14ac:dyDescent="0.25">
      <c r="T5790" s="98"/>
    </row>
    <row r="5791" spans="20:20" x14ac:dyDescent="0.25">
      <c r="T5791" s="98"/>
    </row>
    <row r="5792" spans="20:20" x14ac:dyDescent="0.25">
      <c r="T5792" s="98"/>
    </row>
    <row r="5793" spans="20:20" x14ac:dyDescent="0.25">
      <c r="T5793" s="98"/>
    </row>
    <row r="5794" spans="20:20" x14ac:dyDescent="0.25">
      <c r="T5794" s="98"/>
    </row>
    <row r="5795" spans="20:20" x14ac:dyDescent="0.25">
      <c r="T5795" s="98"/>
    </row>
    <row r="5796" spans="20:20" x14ac:dyDescent="0.25">
      <c r="T5796" s="98"/>
    </row>
    <row r="5797" spans="20:20" x14ac:dyDescent="0.25">
      <c r="T5797" s="98"/>
    </row>
    <row r="5798" spans="20:20" x14ac:dyDescent="0.25">
      <c r="T5798" s="98"/>
    </row>
    <row r="5799" spans="20:20" x14ac:dyDescent="0.25">
      <c r="T5799" s="98"/>
    </row>
    <row r="5800" spans="20:20" x14ac:dyDescent="0.25">
      <c r="T5800" s="98"/>
    </row>
    <row r="5801" spans="20:20" x14ac:dyDescent="0.25">
      <c r="T5801" s="98"/>
    </row>
    <row r="5802" spans="20:20" x14ac:dyDescent="0.25">
      <c r="T5802" s="98"/>
    </row>
    <row r="5803" spans="20:20" x14ac:dyDescent="0.25">
      <c r="T5803" s="98"/>
    </row>
    <row r="5804" spans="20:20" x14ac:dyDescent="0.25">
      <c r="T5804" s="98"/>
    </row>
    <row r="5805" spans="20:20" x14ac:dyDescent="0.25">
      <c r="T5805" s="98"/>
    </row>
    <row r="5806" spans="20:20" x14ac:dyDescent="0.25">
      <c r="T5806" s="98"/>
    </row>
    <row r="5807" spans="20:20" x14ac:dyDescent="0.25">
      <c r="T5807" s="98"/>
    </row>
    <row r="5808" spans="20:20" x14ac:dyDescent="0.25">
      <c r="T5808" s="98"/>
    </row>
    <row r="5809" spans="20:20" x14ac:dyDescent="0.25">
      <c r="T5809" s="98"/>
    </row>
    <row r="5810" spans="20:20" x14ac:dyDescent="0.25">
      <c r="T5810" s="98"/>
    </row>
    <row r="5811" spans="20:20" x14ac:dyDescent="0.25">
      <c r="T5811" s="98"/>
    </row>
    <row r="5812" spans="20:20" x14ac:dyDescent="0.25">
      <c r="T5812" s="98"/>
    </row>
    <row r="5813" spans="20:20" x14ac:dyDescent="0.25">
      <c r="T5813" s="98"/>
    </row>
    <row r="5814" spans="20:20" x14ac:dyDescent="0.25">
      <c r="T5814" s="98"/>
    </row>
    <row r="5815" spans="20:20" x14ac:dyDescent="0.25">
      <c r="T5815" s="98"/>
    </row>
    <row r="5816" spans="20:20" x14ac:dyDescent="0.25">
      <c r="T5816" s="98"/>
    </row>
    <row r="5817" spans="20:20" x14ac:dyDescent="0.25">
      <c r="T5817" s="98"/>
    </row>
    <row r="5818" spans="20:20" x14ac:dyDescent="0.25">
      <c r="T5818" s="98"/>
    </row>
    <row r="5819" spans="20:20" x14ac:dyDescent="0.25">
      <c r="T5819" s="98"/>
    </row>
    <row r="5820" spans="20:20" x14ac:dyDescent="0.25">
      <c r="T5820" s="98"/>
    </row>
    <row r="5821" spans="20:20" x14ac:dyDescent="0.25">
      <c r="T5821" s="98"/>
    </row>
    <row r="5822" spans="20:20" x14ac:dyDescent="0.25">
      <c r="T5822" s="98"/>
    </row>
    <row r="5823" spans="20:20" x14ac:dyDescent="0.25">
      <c r="T5823" s="98"/>
    </row>
    <row r="5824" spans="20:20" x14ac:dyDescent="0.25">
      <c r="T5824" s="98"/>
    </row>
    <row r="5825" spans="20:20" x14ac:dyDescent="0.25">
      <c r="T5825" s="98"/>
    </row>
    <row r="5826" spans="20:20" x14ac:dyDescent="0.25">
      <c r="T5826" s="98"/>
    </row>
    <row r="5827" spans="20:20" x14ac:dyDescent="0.25">
      <c r="T5827" s="98"/>
    </row>
    <row r="5828" spans="20:20" x14ac:dyDescent="0.25">
      <c r="T5828" s="98"/>
    </row>
    <row r="5829" spans="20:20" x14ac:dyDescent="0.25">
      <c r="T5829" s="98"/>
    </row>
    <row r="5830" spans="20:20" x14ac:dyDescent="0.25">
      <c r="T5830" s="98"/>
    </row>
    <row r="5831" spans="20:20" x14ac:dyDescent="0.25">
      <c r="T5831" s="98"/>
    </row>
    <row r="5832" spans="20:20" x14ac:dyDescent="0.25">
      <c r="T5832" s="98"/>
    </row>
    <row r="5833" spans="20:20" x14ac:dyDescent="0.25">
      <c r="T5833" s="98"/>
    </row>
    <row r="5834" spans="20:20" x14ac:dyDescent="0.25">
      <c r="T5834" s="98"/>
    </row>
    <row r="5835" spans="20:20" x14ac:dyDescent="0.25">
      <c r="T5835" s="98"/>
    </row>
    <row r="5836" spans="20:20" x14ac:dyDescent="0.25">
      <c r="T5836" s="98"/>
    </row>
    <row r="5837" spans="20:20" x14ac:dyDescent="0.25">
      <c r="T5837" s="98"/>
    </row>
    <row r="5838" spans="20:20" x14ac:dyDescent="0.25">
      <c r="T5838" s="98"/>
    </row>
    <row r="5839" spans="20:20" x14ac:dyDescent="0.25">
      <c r="T5839" s="98"/>
    </row>
    <row r="5840" spans="20:20" x14ac:dyDescent="0.25">
      <c r="T5840" s="98"/>
    </row>
    <row r="5841" spans="20:20" x14ac:dyDescent="0.25">
      <c r="T5841" s="98"/>
    </row>
    <row r="5842" spans="20:20" x14ac:dyDescent="0.25">
      <c r="T5842" s="98"/>
    </row>
    <row r="5843" spans="20:20" x14ac:dyDescent="0.25">
      <c r="T5843" s="98"/>
    </row>
    <row r="5844" spans="20:20" x14ac:dyDescent="0.25">
      <c r="T5844" s="98"/>
    </row>
    <row r="5845" spans="20:20" x14ac:dyDescent="0.25">
      <c r="T5845" s="98"/>
    </row>
    <row r="5846" spans="20:20" x14ac:dyDescent="0.25">
      <c r="T5846" s="98"/>
    </row>
    <row r="5847" spans="20:20" x14ac:dyDescent="0.25">
      <c r="T5847" s="98"/>
    </row>
    <row r="5848" spans="20:20" x14ac:dyDescent="0.25">
      <c r="T5848" s="98"/>
    </row>
    <row r="5849" spans="20:20" x14ac:dyDescent="0.25">
      <c r="T5849" s="98"/>
    </row>
    <row r="5850" spans="20:20" x14ac:dyDescent="0.25">
      <c r="T5850" s="98"/>
    </row>
    <row r="5851" spans="20:20" x14ac:dyDescent="0.25">
      <c r="T5851" s="98"/>
    </row>
    <row r="5852" spans="20:20" x14ac:dyDescent="0.25">
      <c r="T5852" s="98"/>
    </row>
    <row r="5853" spans="20:20" x14ac:dyDescent="0.25">
      <c r="T5853" s="98"/>
    </row>
    <row r="5854" spans="20:20" x14ac:dyDescent="0.25">
      <c r="T5854" s="98"/>
    </row>
    <row r="5855" spans="20:20" x14ac:dyDescent="0.25">
      <c r="T5855" s="98"/>
    </row>
    <row r="5856" spans="20:20" x14ac:dyDescent="0.25">
      <c r="T5856" s="98"/>
    </row>
    <row r="5857" spans="20:20" x14ac:dyDescent="0.25">
      <c r="T5857" s="98"/>
    </row>
    <row r="5858" spans="20:20" x14ac:dyDescent="0.25">
      <c r="T5858" s="98"/>
    </row>
    <row r="5859" spans="20:20" x14ac:dyDescent="0.25">
      <c r="T5859" s="98"/>
    </row>
    <row r="5860" spans="20:20" x14ac:dyDescent="0.25">
      <c r="T5860" s="98"/>
    </row>
    <row r="5861" spans="20:20" x14ac:dyDescent="0.25">
      <c r="T5861" s="98"/>
    </row>
    <row r="5862" spans="20:20" x14ac:dyDescent="0.25">
      <c r="T5862" s="98"/>
    </row>
    <row r="5863" spans="20:20" x14ac:dyDescent="0.25">
      <c r="T5863" s="98"/>
    </row>
    <row r="5864" spans="20:20" x14ac:dyDescent="0.25">
      <c r="T5864" s="98"/>
    </row>
    <row r="5865" spans="20:20" x14ac:dyDescent="0.25">
      <c r="T5865" s="98"/>
    </row>
    <row r="5866" spans="20:20" x14ac:dyDescent="0.25">
      <c r="T5866" s="98"/>
    </row>
    <row r="5867" spans="20:20" x14ac:dyDescent="0.25">
      <c r="T5867" s="98"/>
    </row>
    <row r="5868" spans="20:20" x14ac:dyDescent="0.25">
      <c r="T5868" s="98"/>
    </row>
    <row r="5869" spans="20:20" x14ac:dyDescent="0.25">
      <c r="T5869" s="98"/>
    </row>
    <row r="5870" spans="20:20" x14ac:dyDescent="0.25">
      <c r="T5870" s="98"/>
    </row>
    <row r="5871" spans="20:20" x14ac:dyDescent="0.25">
      <c r="T5871" s="98"/>
    </row>
    <row r="5872" spans="20:20" x14ac:dyDescent="0.25">
      <c r="T5872" s="98"/>
    </row>
    <row r="5873" spans="20:20" x14ac:dyDescent="0.25">
      <c r="T5873" s="98"/>
    </row>
    <row r="5874" spans="20:20" x14ac:dyDescent="0.25">
      <c r="T5874" s="98"/>
    </row>
    <row r="5875" spans="20:20" x14ac:dyDescent="0.25">
      <c r="T5875" s="98"/>
    </row>
    <row r="5876" spans="20:20" x14ac:dyDescent="0.25">
      <c r="T5876" s="98"/>
    </row>
    <row r="5877" spans="20:20" x14ac:dyDescent="0.25">
      <c r="T5877" s="98"/>
    </row>
    <row r="5878" spans="20:20" x14ac:dyDescent="0.25">
      <c r="T5878" s="98"/>
    </row>
    <row r="5879" spans="20:20" x14ac:dyDescent="0.25">
      <c r="T5879" s="98"/>
    </row>
    <row r="5880" spans="20:20" x14ac:dyDescent="0.25">
      <c r="T5880" s="98"/>
    </row>
    <row r="5881" spans="20:20" x14ac:dyDescent="0.25">
      <c r="T5881" s="98"/>
    </row>
    <row r="5882" spans="20:20" x14ac:dyDescent="0.25">
      <c r="T5882" s="98"/>
    </row>
    <row r="5883" spans="20:20" x14ac:dyDescent="0.25">
      <c r="T5883" s="98"/>
    </row>
    <row r="5884" spans="20:20" x14ac:dyDescent="0.25">
      <c r="T5884" s="98"/>
    </row>
    <row r="5885" spans="20:20" x14ac:dyDescent="0.25">
      <c r="T5885" s="98"/>
    </row>
    <row r="5886" spans="20:20" x14ac:dyDescent="0.25">
      <c r="T5886" s="98"/>
    </row>
    <row r="5887" spans="20:20" x14ac:dyDescent="0.25">
      <c r="T5887" s="98"/>
    </row>
    <row r="5888" spans="20:20" x14ac:dyDescent="0.25">
      <c r="T5888" s="98"/>
    </row>
    <row r="5889" spans="20:20" x14ac:dyDescent="0.25">
      <c r="T5889" s="98"/>
    </row>
    <row r="5890" spans="20:20" x14ac:dyDescent="0.25">
      <c r="T5890" s="98"/>
    </row>
    <row r="5891" spans="20:20" x14ac:dyDescent="0.25">
      <c r="T5891" s="98"/>
    </row>
    <row r="5892" spans="20:20" x14ac:dyDescent="0.25">
      <c r="T5892" s="98"/>
    </row>
    <row r="5893" spans="20:20" x14ac:dyDescent="0.25">
      <c r="T5893" s="98"/>
    </row>
    <row r="5894" spans="20:20" x14ac:dyDescent="0.25">
      <c r="T5894" s="98"/>
    </row>
    <row r="5895" spans="20:20" x14ac:dyDescent="0.25">
      <c r="T5895" s="98"/>
    </row>
    <row r="5896" spans="20:20" x14ac:dyDescent="0.25">
      <c r="T5896" s="98"/>
    </row>
    <row r="5897" spans="20:20" x14ac:dyDescent="0.25">
      <c r="T5897" s="98"/>
    </row>
    <row r="5898" spans="20:20" x14ac:dyDescent="0.25">
      <c r="T5898" s="98"/>
    </row>
    <row r="5899" spans="20:20" x14ac:dyDescent="0.25">
      <c r="T5899" s="98"/>
    </row>
    <row r="5900" spans="20:20" x14ac:dyDescent="0.25">
      <c r="T5900" s="98"/>
    </row>
    <row r="5901" spans="20:20" x14ac:dyDescent="0.25">
      <c r="T5901" s="98"/>
    </row>
    <row r="5902" spans="20:20" x14ac:dyDescent="0.25">
      <c r="T5902" s="98"/>
    </row>
    <row r="5903" spans="20:20" x14ac:dyDescent="0.25">
      <c r="T5903" s="98"/>
    </row>
    <row r="5904" spans="20:20" x14ac:dyDescent="0.25">
      <c r="T5904" s="98"/>
    </row>
    <row r="5905" spans="20:20" x14ac:dyDescent="0.25">
      <c r="T5905" s="98"/>
    </row>
    <row r="5906" spans="20:20" x14ac:dyDescent="0.25">
      <c r="T5906" s="98"/>
    </row>
    <row r="5907" spans="20:20" x14ac:dyDescent="0.25">
      <c r="T5907" s="98"/>
    </row>
    <row r="5908" spans="20:20" x14ac:dyDescent="0.25">
      <c r="T5908" s="98"/>
    </row>
    <row r="5909" spans="20:20" x14ac:dyDescent="0.25">
      <c r="T5909" s="98"/>
    </row>
    <row r="5910" spans="20:20" x14ac:dyDescent="0.25">
      <c r="T5910" s="98"/>
    </row>
    <row r="5911" spans="20:20" x14ac:dyDescent="0.25">
      <c r="T5911" s="98"/>
    </row>
    <row r="5912" spans="20:20" x14ac:dyDescent="0.25">
      <c r="T5912" s="98"/>
    </row>
    <row r="5913" spans="20:20" x14ac:dyDescent="0.25">
      <c r="T5913" s="98"/>
    </row>
    <row r="5914" spans="20:20" x14ac:dyDescent="0.25">
      <c r="T5914" s="98"/>
    </row>
    <row r="5915" spans="20:20" x14ac:dyDescent="0.25">
      <c r="T5915" s="98"/>
    </row>
    <row r="5916" spans="20:20" x14ac:dyDescent="0.25">
      <c r="T5916" s="98"/>
    </row>
    <row r="5917" spans="20:20" x14ac:dyDescent="0.25">
      <c r="T5917" s="98"/>
    </row>
    <row r="5918" spans="20:20" x14ac:dyDescent="0.25">
      <c r="T5918" s="98"/>
    </row>
    <row r="5919" spans="20:20" x14ac:dyDescent="0.25">
      <c r="T5919" s="98"/>
    </row>
    <row r="5920" spans="20:20" x14ac:dyDescent="0.25">
      <c r="T5920" s="98"/>
    </row>
    <row r="5921" spans="20:20" x14ac:dyDescent="0.25">
      <c r="T5921" s="98"/>
    </row>
    <row r="5922" spans="20:20" x14ac:dyDescent="0.25">
      <c r="T5922" s="98"/>
    </row>
    <row r="5923" spans="20:20" x14ac:dyDescent="0.25">
      <c r="T5923" s="98"/>
    </row>
    <row r="5924" spans="20:20" x14ac:dyDescent="0.25">
      <c r="T5924" s="98"/>
    </row>
    <row r="5925" spans="20:20" x14ac:dyDescent="0.25">
      <c r="T5925" s="98"/>
    </row>
    <row r="5926" spans="20:20" x14ac:dyDescent="0.25">
      <c r="T5926" s="98"/>
    </row>
    <row r="5927" spans="20:20" x14ac:dyDescent="0.25">
      <c r="T5927" s="98"/>
    </row>
    <row r="5928" spans="20:20" x14ac:dyDescent="0.25">
      <c r="T5928" s="98"/>
    </row>
    <row r="5929" spans="20:20" x14ac:dyDescent="0.25">
      <c r="T5929" s="98"/>
    </row>
    <row r="5930" spans="20:20" x14ac:dyDescent="0.25">
      <c r="T5930" s="98"/>
    </row>
    <row r="5931" spans="20:20" x14ac:dyDescent="0.25">
      <c r="T5931" s="98"/>
    </row>
    <row r="5932" spans="20:20" x14ac:dyDescent="0.25">
      <c r="T5932" s="98"/>
    </row>
    <row r="5933" spans="20:20" x14ac:dyDescent="0.25">
      <c r="T5933" s="98"/>
    </row>
    <row r="5934" spans="20:20" x14ac:dyDescent="0.25">
      <c r="T5934" s="98"/>
    </row>
    <row r="5935" spans="20:20" x14ac:dyDescent="0.25">
      <c r="T5935" s="98"/>
    </row>
    <row r="5936" spans="20:20" x14ac:dyDescent="0.25">
      <c r="T5936" s="98"/>
    </row>
    <row r="5937" spans="20:20" x14ac:dyDescent="0.25">
      <c r="T5937" s="98"/>
    </row>
    <row r="5938" spans="20:20" x14ac:dyDescent="0.25">
      <c r="T5938" s="98"/>
    </row>
    <row r="5939" spans="20:20" x14ac:dyDescent="0.25">
      <c r="T5939" s="98"/>
    </row>
    <row r="5940" spans="20:20" x14ac:dyDescent="0.25">
      <c r="T5940" s="98"/>
    </row>
    <row r="5941" spans="20:20" x14ac:dyDescent="0.25">
      <c r="T5941" s="98"/>
    </row>
    <row r="5942" spans="20:20" x14ac:dyDescent="0.25">
      <c r="T5942" s="98"/>
    </row>
    <row r="5943" spans="20:20" x14ac:dyDescent="0.25">
      <c r="T5943" s="98"/>
    </row>
    <row r="5944" spans="20:20" x14ac:dyDescent="0.25">
      <c r="T5944" s="98"/>
    </row>
    <row r="5945" spans="20:20" x14ac:dyDescent="0.25">
      <c r="T5945" s="98"/>
    </row>
    <row r="5946" spans="20:20" x14ac:dyDescent="0.25">
      <c r="T5946" s="98"/>
    </row>
    <row r="5947" spans="20:20" x14ac:dyDescent="0.25">
      <c r="T5947" s="98"/>
    </row>
    <row r="5948" spans="20:20" x14ac:dyDescent="0.25">
      <c r="T5948" s="98"/>
    </row>
    <row r="5949" spans="20:20" x14ac:dyDescent="0.25">
      <c r="T5949" s="98"/>
    </row>
    <row r="5950" spans="20:20" x14ac:dyDescent="0.25">
      <c r="T5950" s="98"/>
    </row>
    <row r="5951" spans="20:20" x14ac:dyDescent="0.25">
      <c r="T5951" s="98"/>
    </row>
    <row r="5952" spans="20:20" x14ac:dyDescent="0.25">
      <c r="T5952" s="98"/>
    </row>
    <row r="5953" spans="20:20" x14ac:dyDescent="0.25">
      <c r="T5953" s="98"/>
    </row>
    <row r="5954" spans="20:20" x14ac:dyDescent="0.25">
      <c r="T5954" s="98"/>
    </row>
    <row r="5955" spans="20:20" x14ac:dyDescent="0.25">
      <c r="T5955" s="98"/>
    </row>
    <row r="5956" spans="20:20" x14ac:dyDescent="0.25">
      <c r="T5956" s="98"/>
    </row>
    <row r="5957" spans="20:20" x14ac:dyDescent="0.25">
      <c r="T5957" s="98"/>
    </row>
    <row r="5958" spans="20:20" x14ac:dyDescent="0.25">
      <c r="T5958" s="98"/>
    </row>
    <row r="5959" spans="20:20" x14ac:dyDescent="0.25">
      <c r="T5959" s="98"/>
    </row>
    <row r="5960" spans="20:20" x14ac:dyDescent="0.25">
      <c r="T5960" s="98"/>
    </row>
    <row r="5961" spans="20:20" x14ac:dyDescent="0.25">
      <c r="T5961" s="98"/>
    </row>
    <row r="5962" spans="20:20" x14ac:dyDescent="0.25">
      <c r="T5962" s="98"/>
    </row>
    <row r="5963" spans="20:20" x14ac:dyDescent="0.25">
      <c r="T5963" s="98"/>
    </row>
    <row r="5964" spans="20:20" x14ac:dyDescent="0.25">
      <c r="T5964" s="98"/>
    </row>
    <row r="5965" spans="20:20" x14ac:dyDescent="0.25">
      <c r="T5965" s="98"/>
    </row>
    <row r="5966" spans="20:20" x14ac:dyDescent="0.25">
      <c r="T5966" s="98"/>
    </row>
    <row r="5967" spans="20:20" x14ac:dyDescent="0.25">
      <c r="T5967" s="98"/>
    </row>
    <row r="5968" spans="20:20" x14ac:dyDescent="0.25">
      <c r="T5968" s="98"/>
    </row>
    <row r="5969" spans="20:20" x14ac:dyDescent="0.25">
      <c r="T5969" s="98"/>
    </row>
    <row r="5970" spans="20:20" x14ac:dyDescent="0.25">
      <c r="T5970" s="98"/>
    </row>
    <row r="5971" spans="20:20" x14ac:dyDescent="0.25">
      <c r="T5971" s="98"/>
    </row>
    <row r="5972" spans="20:20" x14ac:dyDescent="0.25">
      <c r="T5972" s="98"/>
    </row>
    <row r="5973" spans="20:20" x14ac:dyDescent="0.25">
      <c r="T5973" s="98"/>
    </row>
    <row r="5974" spans="20:20" x14ac:dyDescent="0.25">
      <c r="T5974" s="98"/>
    </row>
    <row r="5975" spans="20:20" x14ac:dyDescent="0.25">
      <c r="T5975" s="98"/>
    </row>
    <row r="5976" spans="20:20" x14ac:dyDescent="0.25">
      <c r="T5976" s="98"/>
    </row>
    <row r="5977" spans="20:20" x14ac:dyDescent="0.25">
      <c r="T5977" s="98"/>
    </row>
    <row r="5978" spans="20:20" x14ac:dyDescent="0.25">
      <c r="T5978" s="98"/>
    </row>
    <row r="5979" spans="20:20" x14ac:dyDescent="0.25">
      <c r="T5979" s="98"/>
    </row>
    <row r="5980" spans="20:20" x14ac:dyDescent="0.25">
      <c r="T5980" s="98"/>
    </row>
    <row r="5981" spans="20:20" x14ac:dyDescent="0.25">
      <c r="T5981" s="98"/>
    </row>
    <row r="5982" spans="20:20" x14ac:dyDescent="0.25">
      <c r="T5982" s="98"/>
    </row>
    <row r="5983" spans="20:20" x14ac:dyDescent="0.25">
      <c r="T5983" s="98"/>
    </row>
    <row r="5984" spans="20:20" x14ac:dyDescent="0.25">
      <c r="T5984" s="98"/>
    </row>
    <row r="5985" spans="20:20" x14ac:dyDescent="0.25">
      <c r="T5985" s="98"/>
    </row>
    <row r="5986" spans="20:20" x14ac:dyDescent="0.25">
      <c r="T5986" s="98"/>
    </row>
    <row r="5987" spans="20:20" x14ac:dyDescent="0.25">
      <c r="T5987" s="98"/>
    </row>
    <row r="5988" spans="20:20" x14ac:dyDescent="0.25">
      <c r="T5988" s="98"/>
    </row>
    <row r="5989" spans="20:20" x14ac:dyDescent="0.25">
      <c r="T5989" s="98"/>
    </row>
    <row r="5990" spans="20:20" x14ac:dyDescent="0.25">
      <c r="T5990" s="98"/>
    </row>
    <row r="5991" spans="20:20" x14ac:dyDescent="0.25">
      <c r="T5991" s="98"/>
    </row>
    <row r="5992" spans="20:20" x14ac:dyDescent="0.25">
      <c r="T5992" s="98"/>
    </row>
    <row r="5993" spans="20:20" x14ac:dyDescent="0.25">
      <c r="T5993" s="98"/>
    </row>
    <row r="5994" spans="20:20" x14ac:dyDescent="0.25">
      <c r="T5994" s="98"/>
    </row>
    <row r="5995" spans="20:20" x14ac:dyDescent="0.25">
      <c r="T5995" s="98"/>
    </row>
    <row r="5996" spans="20:20" x14ac:dyDescent="0.25">
      <c r="T5996" s="98"/>
    </row>
    <row r="5997" spans="20:20" x14ac:dyDescent="0.25">
      <c r="T5997" s="98"/>
    </row>
    <row r="5998" spans="20:20" x14ac:dyDescent="0.25">
      <c r="T5998" s="98"/>
    </row>
    <row r="5999" spans="20:20" x14ac:dyDescent="0.25">
      <c r="T5999" s="98"/>
    </row>
    <row r="6000" spans="20:20" x14ac:dyDescent="0.25">
      <c r="T6000" s="98"/>
    </row>
    <row r="6001" spans="20:20" x14ac:dyDescent="0.25">
      <c r="T6001" s="98"/>
    </row>
    <row r="6002" spans="20:20" x14ac:dyDescent="0.25">
      <c r="T6002" s="98"/>
    </row>
    <row r="6003" spans="20:20" x14ac:dyDescent="0.25">
      <c r="T6003" s="98"/>
    </row>
    <row r="6004" spans="20:20" x14ac:dyDescent="0.25">
      <c r="T6004" s="98"/>
    </row>
    <row r="6005" spans="20:20" x14ac:dyDescent="0.25">
      <c r="T6005" s="98"/>
    </row>
    <row r="6006" spans="20:20" x14ac:dyDescent="0.25">
      <c r="T6006" s="98"/>
    </row>
    <row r="6007" spans="20:20" x14ac:dyDescent="0.25">
      <c r="T6007" s="98"/>
    </row>
    <row r="6008" spans="20:20" x14ac:dyDescent="0.25">
      <c r="T6008" s="98"/>
    </row>
    <row r="6009" spans="20:20" x14ac:dyDescent="0.25">
      <c r="T6009" s="98"/>
    </row>
    <row r="6010" spans="20:20" x14ac:dyDescent="0.25">
      <c r="T6010" s="98"/>
    </row>
    <row r="6011" spans="20:20" x14ac:dyDescent="0.25">
      <c r="T6011" s="98"/>
    </row>
    <row r="6012" spans="20:20" x14ac:dyDescent="0.25">
      <c r="T6012" s="98"/>
    </row>
    <row r="6013" spans="20:20" x14ac:dyDescent="0.25">
      <c r="T6013" s="98"/>
    </row>
    <row r="6014" spans="20:20" x14ac:dyDescent="0.25">
      <c r="T6014" s="98"/>
    </row>
    <row r="6015" spans="20:20" x14ac:dyDescent="0.25">
      <c r="T6015" s="98"/>
    </row>
    <row r="6016" spans="20:20" x14ac:dyDescent="0.25">
      <c r="T6016" s="98"/>
    </row>
    <row r="6017" spans="20:20" x14ac:dyDescent="0.25">
      <c r="T6017" s="98"/>
    </row>
    <row r="6018" spans="20:20" x14ac:dyDescent="0.25">
      <c r="T6018" s="98"/>
    </row>
    <row r="6019" spans="20:20" x14ac:dyDescent="0.25">
      <c r="T6019" s="98"/>
    </row>
    <row r="6020" spans="20:20" x14ac:dyDescent="0.25">
      <c r="T6020" s="98"/>
    </row>
    <row r="6021" spans="20:20" x14ac:dyDescent="0.25">
      <c r="T6021" s="98"/>
    </row>
    <row r="6022" spans="20:20" x14ac:dyDescent="0.25">
      <c r="T6022" s="98"/>
    </row>
    <row r="6023" spans="20:20" x14ac:dyDescent="0.25">
      <c r="T6023" s="98"/>
    </row>
    <row r="6024" spans="20:20" x14ac:dyDescent="0.25">
      <c r="T6024" s="98"/>
    </row>
    <row r="6025" spans="20:20" x14ac:dyDescent="0.25">
      <c r="T6025" s="98"/>
    </row>
    <row r="6026" spans="20:20" x14ac:dyDescent="0.25">
      <c r="T6026" s="98"/>
    </row>
    <row r="6027" spans="20:20" x14ac:dyDescent="0.25">
      <c r="T6027" s="98"/>
    </row>
    <row r="6028" spans="20:20" x14ac:dyDescent="0.25">
      <c r="T6028" s="98"/>
    </row>
    <row r="6029" spans="20:20" x14ac:dyDescent="0.25">
      <c r="T6029" s="98"/>
    </row>
    <row r="6030" spans="20:20" x14ac:dyDescent="0.25">
      <c r="T6030" s="98"/>
    </row>
    <row r="6031" spans="20:20" x14ac:dyDescent="0.25">
      <c r="T6031" s="98"/>
    </row>
    <row r="6032" spans="20:20" x14ac:dyDescent="0.25">
      <c r="T6032" s="98"/>
    </row>
    <row r="6033" spans="20:20" x14ac:dyDescent="0.25">
      <c r="T6033" s="98"/>
    </row>
    <row r="6034" spans="20:20" x14ac:dyDescent="0.25">
      <c r="T6034" s="98"/>
    </row>
    <row r="6035" spans="20:20" x14ac:dyDescent="0.25">
      <c r="T6035" s="98"/>
    </row>
    <row r="6036" spans="20:20" x14ac:dyDescent="0.25">
      <c r="T6036" s="98"/>
    </row>
    <row r="6037" spans="20:20" x14ac:dyDescent="0.25">
      <c r="T6037" s="98"/>
    </row>
    <row r="6038" spans="20:20" x14ac:dyDescent="0.25">
      <c r="T6038" s="98"/>
    </row>
    <row r="6039" spans="20:20" x14ac:dyDescent="0.25">
      <c r="T6039" s="98"/>
    </row>
    <row r="6040" spans="20:20" x14ac:dyDescent="0.25">
      <c r="T6040" s="98"/>
    </row>
    <row r="6041" spans="20:20" x14ac:dyDescent="0.25">
      <c r="T6041" s="98"/>
    </row>
    <row r="6042" spans="20:20" x14ac:dyDescent="0.25">
      <c r="T6042" s="98"/>
    </row>
    <row r="6043" spans="20:20" x14ac:dyDescent="0.25">
      <c r="T6043" s="98"/>
    </row>
    <row r="6044" spans="20:20" x14ac:dyDescent="0.25">
      <c r="T6044" s="98"/>
    </row>
    <row r="6045" spans="20:20" x14ac:dyDescent="0.25">
      <c r="T6045" s="98"/>
    </row>
    <row r="6046" spans="20:20" x14ac:dyDescent="0.25">
      <c r="T6046" s="98"/>
    </row>
    <row r="6047" spans="20:20" x14ac:dyDescent="0.25">
      <c r="T6047" s="98"/>
    </row>
    <row r="6048" spans="20:20" x14ac:dyDescent="0.25">
      <c r="T6048" s="98"/>
    </row>
    <row r="6049" spans="20:20" x14ac:dyDescent="0.25">
      <c r="T6049" s="98"/>
    </row>
    <row r="6050" spans="20:20" x14ac:dyDescent="0.25">
      <c r="T6050" s="98"/>
    </row>
    <row r="6051" spans="20:20" x14ac:dyDescent="0.25">
      <c r="T6051" s="98"/>
    </row>
    <row r="6052" spans="20:20" x14ac:dyDescent="0.25">
      <c r="T6052" s="98"/>
    </row>
    <row r="6053" spans="20:20" x14ac:dyDescent="0.25">
      <c r="T6053" s="98"/>
    </row>
    <row r="6054" spans="20:20" x14ac:dyDescent="0.25">
      <c r="T6054" s="98"/>
    </row>
    <row r="6055" spans="20:20" x14ac:dyDescent="0.25">
      <c r="T6055" s="98"/>
    </row>
    <row r="6056" spans="20:20" x14ac:dyDescent="0.25">
      <c r="T6056" s="98"/>
    </row>
    <row r="6057" spans="20:20" x14ac:dyDescent="0.25">
      <c r="T6057" s="98"/>
    </row>
    <row r="6058" spans="20:20" x14ac:dyDescent="0.25">
      <c r="T6058" s="98"/>
    </row>
    <row r="6059" spans="20:20" x14ac:dyDescent="0.25">
      <c r="T6059" s="98"/>
    </row>
    <row r="6060" spans="20:20" x14ac:dyDescent="0.25">
      <c r="T6060" s="98"/>
    </row>
    <row r="6061" spans="20:20" x14ac:dyDescent="0.25">
      <c r="T6061" s="98"/>
    </row>
    <row r="6062" spans="20:20" x14ac:dyDescent="0.25">
      <c r="T6062" s="98"/>
    </row>
    <row r="6063" spans="20:20" x14ac:dyDescent="0.25">
      <c r="T6063" s="98"/>
    </row>
    <row r="6064" spans="20:20" x14ac:dyDescent="0.25">
      <c r="T6064" s="98"/>
    </row>
    <row r="6065" spans="20:20" x14ac:dyDescent="0.25">
      <c r="T6065" s="98"/>
    </row>
    <row r="6066" spans="20:20" x14ac:dyDescent="0.25">
      <c r="T6066" s="98"/>
    </row>
    <row r="6067" spans="20:20" x14ac:dyDescent="0.25">
      <c r="T6067" s="98"/>
    </row>
    <row r="6068" spans="20:20" x14ac:dyDescent="0.25">
      <c r="T6068" s="98"/>
    </row>
    <row r="6069" spans="20:20" x14ac:dyDescent="0.25">
      <c r="T6069" s="98"/>
    </row>
    <row r="6070" spans="20:20" x14ac:dyDescent="0.25">
      <c r="T6070" s="98"/>
    </row>
    <row r="6071" spans="20:20" x14ac:dyDescent="0.25">
      <c r="T6071" s="98"/>
    </row>
    <row r="6072" spans="20:20" x14ac:dyDescent="0.25">
      <c r="T6072" s="98"/>
    </row>
    <row r="6073" spans="20:20" x14ac:dyDescent="0.25">
      <c r="T6073" s="98"/>
    </row>
    <row r="6074" spans="20:20" x14ac:dyDescent="0.25">
      <c r="T6074" s="98"/>
    </row>
    <row r="6075" spans="20:20" x14ac:dyDescent="0.25">
      <c r="T6075" s="98"/>
    </row>
    <row r="6076" spans="20:20" x14ac:dyDescent="0.25">
      <c r="T6076" s="98"/>
    </row>
    <row r="6077" spans="20:20" x14ac:dyDescent="0.25">
      <c r="T6077" s="98"/>
    </row>
    <row r="6078" spans="20:20" x14ac:dyDescent="0.25">
      <c r="T6078" s="98"/>
    </row>
    <row r="6079" spans="20:20" x14ac:dyDescent="0.25">
      <c r="T6079" s="98"/>
    </row>
    <row r="6080" spans="20:20" x14ac:dyDescent="0.25">
      <c r="T6080" s="98"/>
    </row>
    <row r="6081" spans="20:20" x14ac:dyDescent="0.25">
      <c r="T6081" s="98"/>
    </row>
    <row r="6082" spans="20:20" x14ac:dyDescent="0.25">
      <c r="T6082" s="98"/>
    </row>
    <row r="6083" spans="20:20" x14ac:dyDescent="0.25">
      <c r="T6083" s="98"/>
    </row>
    <row r="6084" spans="20:20" x14ac:dyDescent="0.25">
      <c r="T6084" s="98"/>
    </row>
    <row r="6085" spans="20:20" x14ac:dyDescent="0.25">
      <c r="T6085" s="98"/>
    </row>
    <row r="6086" spans="20:20" x14ac:dyDescent="0.25">
      <c r="T6086" s="98"/>
    </row>
    <row r="6087" spans="20:20" x14ac:dyDescent="0.25">
      <c r="T6087" s="98"/>
    </row>
    <row r="6088" spans="20:20" x14ac:dyDescent="0.25">
      <c r="T6088" s="98"/>
    </row>
    <row r="6089" spans="20:20" x14ac:dyDescent="0.25">
      <c r="T6089" s="98"/>
    </row>
    <row r="6090" spans="20:20" x14ac:dyDescent="0.25">
      <c r="T6090" s="98"/>
    </row>
    <row r="6091" spans="20:20" x14ac:dyDescent="0.25">
      <c r="T6091" s="98"/>
    </row>
    <row r="6092" spans="20:20" x14ac:dyDescent="0.25">
      <c r="T6092" s="98"/>
    </row>
    <row r="6093" spans="20:20" x14ac:dyDescent="0.25">
      <c r="T6093" s="98"/>
    </row>
    <row r="6094" spans="20:20" x14ac:dyDescent="0.25">
      <c r="T6094" s="98"/>
    </row>
    <row r="6095" spans="20:20" x14ac:dyDescent="0.25">
      <c r="T6095" s="98"/>
    </row>
    <row r="6096" spans="20:20" x14ac:dyDescent="0.25">
      <c r="T6096" s="98"/>
    </row>
    <row r="6097" spans="20:20" x14ac:dyDescent="0.25">
      <c r="T6097" s="98"/>
    </row>
    <row r="6098" spans="20:20" x14ac:dyDescent="0.25">
      <c r="T6098" s="98"/>
    </row>
    <row r="6099" spans="20:20" x14ac:dyDescent="0.25">
      <c r="T6099" s="98"/>
    </row>
    <row r="6100" spans="20:20" x14ac:dyDescent="0.25">
      <c r="T6100" s="98"/>
    </row>
    <row r="6101" spans="20:20" x14ac:dyDescent="0.25">
      <c r="T6101" s="98"/>
    </row>
    <row r="6102" spans="20:20" x14ac:dyDescent="0.25">
      <c r="T6102" s="98"/>
    </row>
    <row r="6103" spans="20:20" x14ac:dyDescent="0.25">
      <c r="T6103" s="98"/>
    </row>
    <row r="6104" spans="20:20" x14ac:dyDescent="0.25">
      <c r="T6104" s="98"/>
    </row>
    <row r="6105" spans="20:20" x14ac:dyDescent="0.25">
      <c r="T6105" s="98"/>
    </row>
    <row r="6106" spans="20:20" x14ac:dyDescent="0.25">
      <c r="T6106" s="98"/>
    </row>
    <row r="6107" spans="20:20" x14ac:dyDescent="0.25">
      <c r="T6107" s="98"/>
    </row>
    <row r="6108" spans="20:20" x14ac:dyDescent="0.25">
      <c r="T6108" s="98"/>
    </row>
    <row r="6109" spans="20:20" x14ac:dyDescent="0.25">
      <c r="T6109" s="98"/>
    </row>
    <row r="6110" spans="20:20" x14ac:dyDescent="0.25">
      <c r="T6110" s="98"/>
    </row>
    <row r="6111" spans="20:20" x14ac:dyDescent="0.25">
      <c r="T6111" s="98"/>
    </row>
    <row r="6112" spans="20:20" x14ac:dyDescent="0.25">
      <c r="T6112" s="98"/>
    </row>
    <row r="6113" spans="20:20" x14ac:dyDescent="0.25">
      <c r="T6113" s="98"/>
    </row>
    <row r="6114" spans="20:20" x14ac:dyDescent="0.25">
      <c r="T6114" s="98"/>
    </row>
    <row r="6115" spans="20:20" x14ac:dyDescent="0.25">
      <c r="T6115" s="98"/>
    </row>
    <row r="6116" spans="20:20" x14ac:dyDescent="0.25">
      <c r="T6116" s="98"/>
    </row>
    <row r="6117" spans="20:20" x14ac:dyDescent="0.25">
      <c r="T6117" s="98"/>
    </row>
    <row r="6118" spans="20:20" x14ac:dyDescent="0.25">
      <c r="T6118" s="98"/>
    </row>
    <row r="6119" spans="20:20" x14ac:dyDescent="0.25">
      <c r="T6119" s="98"/>
    </row>
    <row r="6120" spans="20:20" x14ac:dyDescent="0.25">
      <c r="T6120" s="98"/>
    </row>
    <row r="6121" spans="20:20" x14ac:dyDescent="0.25">
      <c r="T6121" s="98"/>
    </row>
    <row r="6122" spans="20:20" x14ac:dyDescent="0.25">
      <c r="T6122" s="98"/>
    </row>
    <row r="6123" spans="20:20" x14ac:dyDescent="0.25">
      <c r="T6123" s="98"/>
    </row>
    <row r="6124" spans="20:20" x14ac:dyDescent="0.25">
      <c r="T6124" s="98"/>
    </row>
    <row r="6125" spans="20:20" x14ac:dyDescent="0.25">
      <c r="T6125" s="98"/>
    </row>
    <row r="6126" spans="20:20" x14ac:dyDescent="0.25">
      <c r="T6126" s="98"/>
    </row>
    <row r="6127" spans="20:20" x14ac:dyDescent="0.25">
      <c r="T6127" s="98"/>
    </row>
    <row r="6128" spans="20:20" x14ac:dyDescent="0.25">
      <c r="T6128" s="98"/>
    </row>
    <row r="6129" spans="20:20" x14ac:dyDescent="0.25">
      <c r="T6129" s="98"/>
    </row>
    <row r="6130" spans="20:20" x14ac:dyDescent="0.25">
      <c r="T6130" s="98"/>
    </row>
    <row r="6131" spans="20:20" x14ac:dyDescent="0.25">
      <c r="T6131" s="98"/>
    </row>
    <row r="6132" spans="20:20" x14ac:dyDescent="0.25">
      <c r="T6132" s="98"/>
    </row>
    <row r="6133" spans="20:20" x14ac:dyDescent="0.25">
      <c r="T6133" s="98"/>
    </row>
    <row r="6134" spans="20:20" x14ac:dyDescent="0.25">
      <c r="T6134" s="98"/>
    </row>
    <row r="6135" spans="20:20" x14ac:dyDescent="0.25">
      <c r="T6135" s="98"/>
    </row>
    <row r="6136" spans="20:20" x14ac:dyDescent="0.25">
      <c r="T6136" s="98"/>
    </row>
    <row r="6137" spans="20:20" x14ac:dyDescent="0.25">
      <c r="T6137" s="98"/>
    </row>
    <row r="6138" spans="20:20" x14ac:dyDescent="0.25">
      <c r="T6138" s="98"/>
    </row>
    <row r="6139" spans="20:20" x14ac:dyDescent="0.25">
      <c r="T6139" s="98"/>
    </row>
    <row r="6140" spans="20:20" x14ac:dyDescent="0.25">
      <c r="T6140" s="98"/>
    </row>
    <row r="6141" spans="20:20" x14ac:dyDescent="0.25">
      <c r="T6141" s="98"/>
    </row>
    <row r="6142" spans="20:20" x14ac:dyDescent="0.25">
      <c r="T6142" s="98"/>
    </row>
    <row r="6143" spans="20:20" x14ac:dyDescent="0.25">
      <c r="T6143" s="98"/>
    </row>
    <row r="6144" spans="20:20" x14ac:dyDescent="0.25">
      <c r="T6144" s="98"/>
    </row>
    <row r="6145" spans="20:20" x14ac:dyDescent="0.25">
      <c r="T6145" s="98"/>
    </row>
    <row r="6146" spans="20:20" x14ac:dyDescent="0.25">
      <c r="T6146" s="98"/>
    </row>
    <row r="6147" spans="20:20" x14ac:dyDescent="0.25">
      <c r="T6147" s="98"/>
    </row>
    <row r="6148" spans="20:20" x14ac:dyDescent="0.25">
      <c r="T6148" s="98"/>
    </row>
    <row r="6149" spans="20:20" x14ac:dyDescent="0.25">
      <c r="T6149" s="98"/>
    </row>
    <row r="6150" spans="20:20" x14ac:dyDescent="0.25">
      <c r="T6150" s="98"/>
    </row>
    <row r="6151" spans="20:20" x14ac:dyDescent="0.25">
      <c r="T6151" s="98"/>
    </row>
    <row r="6152" spans="20:20" x14ac:dyDescent="0.25">
      <c r="T6152" s="98"/>
    </row>
    <row r="6153" spans="20:20" x14ac:dyDescent="0.25">
      <c r="T6153" s="98"/>
    </row>
    <row r="6154" spans="20:20" x14ac:dyDescent="0.25">
      <c r="T6154" s="98"/>
    </row>
    <row r="6155" spans="20:20" x14ac:dyDescent="0.25">
      <c r="T6155" s="98"/>
    </row>
    <row r="6156" spans="20:20" x14ac:dyDescent="0.25">
      <c r="T6156" s="98"/>
    </row>
    <row r="6157" spans="20:20" x14ac:dyDescent="0.25">
      <c r="T6157" s="98"/>
    </row>
    <row r="6158" spans="20:20" x14ac:dyDescent="0.25">
      <c r="T6158" s="98"/>
    </row>
    <row r="6159" spans="20:20" x14ac:dyDescent="0.25">
      <c r="T6159" s="98"/>
    </row>
    <row r="6160" spans="20:20" x14ac:dyDescent="0.25">
      <c r="T6160" s="98"/>
    </row>
    <row r="6161" spans="20:20" x14ac:dyDescent="0.25">
      <c r="T6161" s="98"/>
    </row>
    <row r="6162" spans="20:20" x14ac:dyDescent="0.25">
      <c r="T6162" s="98"/>
    </row>
    <row r="6163" spans="20:20" x14ac:dyDescent="0.25">
      <c r="T6163" s="98"/>
    </row>
    <row r="6164" spans="20:20" x14ac:dyDescent="0.25">
      <c r="T6164" s="98"/>
    </row>
    <row r="6165" spans="20:20" x14ac:dyDescent="0.25">
      <c r="T6165" s="98"/>
    </row>
    <row r="6166" spans="20:20" x14ac:dyDescent="0.25">
      <c r="T6166" s="98"/>
    </row>
    <row r="6167" spans="20:20" x14ac:dyDescent="0.25">
      <c r="T6167" s="98"/>
    </row>
    <row r="6168" spans="20:20" x14ac:dyDescent="0.25">
      <c r="T6168" s="98"/>
    </row>
    <row r="6169" spans="20:20" x14ac:dyDescent="0.25">
      <c r="T6169" s="98"/>
    </row>
    <row r="6170" spans="20:20" x14ac:dyDescent="0.25">
      <c r="T6170" s="98"/>
    </row>
    <row r="6171" spans="20:20" x14ac:dyDescent="0.25">
      <c r="T6171" s="98"/>
    </row>
    <row r="6172" spans="20:20" x14ac:dyDescent="0.25">
      <c r="T6172" s="98"/>
    </row>
    <row r="6173" spans="20:20" x14ac:dyDescent="0.25">
      <c r="T6173" s="98"/>
    </row>
    <row r="6174" spans="20:20" x14ac:dyDescent="0.25">
      <c r="T6174" s="98"/>
    </row>
    <row r="6175" spans="20:20" x14ac:dyDescent="0.25">
      <c r="T6175" s="98"/>
    </row>
    <row r="6176" spans="20:20" x14ac:dyDescent="0.25">
      <c r="T6176" s="98"/>
    </row>
    <row r="6177" spans="20:20" x14ac:dyDescent="0.25">
      <c r="T6177" s="98"/>
    </row>
    <row r="6178" spans="20:20" x14ac:dyDescent="0.25">
      <c r="T6178" s="98"/>
    </row>
    <row r="6179" spans="20:20" x14ac:dyDescent="0.25">
      <c r="T6179" s="98"/>
    </row>
    <row r="6180" spans="20:20" x14ac:dyDescent="0.25">
      <c r="T6180" s="98"/>
    </row>
    <row r="6181" spans="20:20" x14ac:dyDescent="0.25">
      <c r="T6181" s="98"/>
    </row>
    <row r="6182" spans="20:20" x14ac:dyDescent="0.25">
      <c r="T6182" s="98"/>
    </row>
    <row r="6183" spans="20:20" x14ac:dyDescent="0.25">
      <c r="T6183" s="98"/>
    </row>
    <row r="6184" spans="20:20" x14ac:dyDescent="0.25">
      <c r="T6184" s="98"/>
    </row>
    <row r="6185" spans="20:20" x14ac:dyDescent="0.25">
      <c r="T6185" s="98"/>
    </row>
    <row r="6186" spans="20:20" x14ac:dyDescent="0.25">
      <c r="T6186" s="98"/>
    </row>
    <row r="6187" spans="20:20" x14ac:dyDescent="0.25">
      <c r="T6187" s="98"/>
    </row>
    <row r="6188" spans="20:20" x14ac:dyDescent="0.25">
      <c r="T6188" s="98"/>
    </row>
    <row r="6189" spans="20:20" x14ac:dyDescent="0.25">
      <c r="T6189" s="98"/>
    </row>
    <row r="6190" spans="20:20" x14ac:dyDescent="0.25">
      <c r="T6190" s="98"/>
    </row>
    <row r="6191" spans="20:20" x14ac:dyDescent="0.25">
      <c r="T6191" s="98"/>
    </row>
    <row r="6192" spans="20:20" x14ac:dyDescent="0.25">
      <c r="T6192" s="98"/>
    </row>
    <row r="6193" spans="20:20" x14ac:dyDescent="0.25">
      <c r="T6193" s="98"/>
    </row>
    <row r="6194" spans="20:20" x14ac:dyDescent="0.25">
      <c r="T6194" s="98"/>
    </row>
    <row r="6195" spans="20:20" x14ac:dyDescent="0.25">
      <c r="T6195" s="98"/>
    </row>
    <row r="6196" spans="20:20" x14ac:dyDescent="0.25">
      <c r="T6196" s="98"/>
    </row>
    <row r="6197" spans="20:20" x14ac:dyDescent="0.25">
      <c r="T6197" s="98"/>
    </row>
    <row r="6198" spans="20:20" x14ac:dyDescent="0.25">
      <c r="T6198" s="98"/>
    </row>
    <row r="6199" spans="20:20" x14ac:dyDescent="0.25">
      <c r="T6199" s="98"/>
    </row>
    <row r="6200" spans="20:20" x14ac:dyDescent="0.25">
      <c r="T6200" s="98"/>
    </row>
    <row r="6201" spans="20:20" x14ac:dyDescent="0.25">
      <c r="T6201" s="98"/>
    </row>
    <row r="6202" spans="20:20" x14ac:dyDescent="0.25">
      <c r="T6202" s="98"/>
    </row>
    <row r="6203" spans="20:20" x14ac:dyDescent="0.25">
      <c r="T6203" s="98"/>
    </row>
    <row r="6204" spans="20:20" x14ac:dyDescent="0.25">
      <c r="T6204" s="98"/>
    </row>
    <row r="6205" spans="20:20" x14ac:dyDescent="0.25">
      <c r="T6205" s="98"/>
    </row>
    <row r="6206" spans="20:20" x14ac:dyDescent="0.25">
      <c r="T6206" s="98"/>
    </row>
    <row r="6207" spans="20:20" x14ac:dyDescent="0.25">
      <c r="T6207" s="98"/>
    </row>
    <row r="6208" spans="20:20" x14ac:dyDescent="0.25">
      <c r="T6208" s="98"/>
    </row>
    <row r="6209" spans="20:20" x14ac:dyDescent="0.25">
      <c r="T6209" s="98"/>
    </row>
    <row r="6210" spans="20:20" x14ac:dyDescent="0.25">
      <c r="T6210" s="98"/>
    </row>
    <row r="6211" spans="20:20" x14ac:dyDescent="0.25">
      <c r="T6211" s="98"/>
    </row>
    <row r="6212" spans="20:20" x14ac:dyDescent="0.25">
      <c r="T6212" s="98"/>
    </row>
    <row r="6213" spans="20:20" x14ac:dyDescent="0.25">
      <c r="T6213" s="98"/>
    </row>
    <row r="6214" spans="20:20" x14ac:dyDescent="0.25">
      <c r="T6214" s="98"/>
    </row>
    <row r="6215" spans="20:20" x14ac:dyDescent="0.25">
      <c r="T6215" s="98"/>
    </row>
    <row r="6216" spans="20:20" x14ac:dyDescent="0.25">
      <c r="T6216" s="98"/>
    </row>
    <row r="6217" spans="20:20" x14ac:dyDescent="0.25">
      <c r="T6217" s="98"/>
    </row>
    <row r="6218" spans="20:20" x14ac:dyDescent="0.25">
      <c r="T6218" s="98"/>
    </row>
    <row r="6219" spans="20:20" x14ac:dyDescent="0.25">
      <c r="T6219" s="98"/>
    </row>
    <row r="6220" spans="20:20" x14ac:dyDescent="0.25">
      <c r="T6220" s="98"/>
    </row>
    <row r="6221" spans="20:20" x14ac:dyDescent="0.25">
      <c r="T6221" s="98"/>
    </row>
    <row r="6222" spans="20:20" x14ac:dyDescent="0.25">
      <c r="T6222" s="98"/>
    </row>
    <row r="6223" spans="20:20" x14ac:dyDescent="0.25">
      <c r="T6223" s="98"/>
    </row>
    <row r="6224" spans="20:20" x14ac:dyDescent="0.25">
      <c r="T6224" s="98"/>
    </row>
    <row r="6225" spans="20:20" x14ac:dyDescent="0.25">
      <c r="T6225" s="98"/>
    </row>
    <row r="6226" spans="20:20" x14ac:dyDescent="0.25">
      <c r="T6226" s="98"/>
    </row>
    <row r="6227" spans="20:20" x14ac:dyDescent="0.25">
      <c r="T6227" s="98"/>
    </row>
    <row r="6228" spans="20:20" x14ac:dyDescent="0.25">
      <c r="T6228" s="98"/>
    </row>
    <row r="6229" spans="20:20" x14ac:dyDescent="0.25">
      <c r="T6229" s="98"/>
    </row>
    <row r="6230" spans="20:20" x14ac:dyDescent="0.25">
      <c r="T6230" s="98"/>
    </row>
    <row r="6231" spans="20:20" x14ac:dyDescent="0.25">
      <c r="T6231" s="98"/>
    </row>
    <row r="6232" spans="20:20" x14ac:dyDescent="0.25">
      <c r="T6232" s="98"/>
    </row>
    <row r="6233" spans="20:20" x14ac:dyDescent="0.25">
      <c r="T6233" s="98"/>
    </row>
    <row r="6234" spans="20:20" x14ac:dyDescent="0.25">
      <c r="T6234" s="98"/>
    </row>
    <row r="6235" spans="20:20" x14ac:dyDescent="0.25">
      <c r="T6235" s="98"/>
    </row>
    <row r="6236" spans="20:20" x14ac:dyDescent="0.25">
      <c r="T6236" s="98"/>
    </row>
    <row r="6237" spans="20:20" x14ac:dyDescent="0.25">
      <c r="T6237" s="98"/>
    </row>
    <row r="6238" spans="20:20" x14ac:dyDescent="0.25">
      <c r="T6238" s="98"/>
    </row>
    <row r="6239" spans="20:20" x14ac:dyDescent="0.25">
      <c r="T6239" s="98"/>
    </row>
    <row r="6240" spans="20:20" x14ac:dyDescent="0.25">
      <c r="T6240" s="98"/>
    </row>
    <row r="6241" spans="20:20" x14ac:dyDescent="0.25">
      <c r="T6241" s="98"/>
    </row>
    <row r="6242" spans="20:20" x14ac:dyDescent="0.25">
      <c r="T6242" s="98"/>
    </row>
    <row r="6243" spans="20:20" x14ac:dyDescent="0.25">
      <c r="T6243" s="98"/>
    </row>
    <row r="6244" spans="20:20" x14ac:dyDescent="0.25">
      <c r="T6244" s="98"/>
    </row>
    <row r="6245" spans="20:20" x14ac:dyDescent="0.25">
      <c r="T6245" s="98"/>
    </row>
    <row r="6246" spans="20:20" x14ac:dyDescent="0.25">
      <c r="T6246" s="98"/>
    </row>
    <row r="6247" spans="20:20" x14ac:dyDescent="0.25">
      <c r="T6247" s="98"/>
    </row>
    <row r="6248" spans="20:20" x14ac:dyDescent="0.25">
      <c r="T6248" s="98"/>
    </row>
    <row r="6249" spans="20:20" x14ac:dyDescent="0.25">
      <c r="T6249" s="98"/>
    </row>
    <row r="6250" spans="20:20" x14ac:dyDescent="0.25">
      <c r="T6250" s="98"/>
    </row>
    <row r="6251" spans="20:20" x14ac:dyDescent="0.25">
      <c r="T6251" s="98"/>
    </row>
    <row r="6252" spans="20:20" x14ac:dyDescent="0.25">
      <c r="T6252" s="98"/>
    </row>
    <row r="6253" spans="20:20" x14ac:dyDescent="0.25">
      <c r="T6253" s="98"/>
    </row>
    <row r="6254" spans="20:20" x14ac:dyDescent="0.25">
      <c r="T6254" s="98"/>
    </row>
    <row r="6255" spans="20:20" x14ac:dyDescent="0.25">
      <c r="T6255" s="98"/>
    </row>
    <row r="6256" spans="20:20" x14ac:dyDescent="0.25">
      <c r="T6256" s="98"/>
    </row>
    <row r="6257" spans="20:20" x14ac:dyDescent="0.25">
      <c r="T6257" s="98"/>
    </row>
    <row r="6258" spans="20:20" x14ac:dyDescent="0.25">
      <c r="T6258" s="98"/>
    </row>
    <row r="6259" spans="20:20" x14ac:dyDescent="0.25">
      <c r="T6259" s="98"/>
    </row>
    <row r="6260" spans="20:20" x14ac:dyDescent="0.25">
      <c r="T6260" s="98"/>
    </row>
    <row r="6261" spans="20:20" x14ac:dyDescent="0.25">
      <c r="T6261" s="98"/>
    </row>
    <row r="6262" spans="20:20" x14ac:dyDescent="0.25">
      <c r="T6262" s="98"/>
    </row>
    <row r="6263" spans="20:20" x14ac:dyDescent="0.25">
      <c r="T6263" s="98"/>
    </row>
    <row r="6264" spans="20:20" x14ac:dyDescent="0.25">
      <c r="T6264" s="98"/>
    </row>
    <row r="6265" spans="20:20" x14ac:dyDescent="0.25">
      <c r="T6265" s="98"/>
    </row>
    <row r="6266" spans="20:20" x14ac:dyDescent="0.25">
      <c r="T6266" s="98"/>
    </row>
    <row r="6267" spans="20:20" x14ac:dyDescent="0.25">
      <c r="T6267" s="98"/>
    </row>
    <row r="6268" spans="20:20" x14ac:dyDescent="0.25">
      <c r="T6268" s="98"/>
    </row>
    <row r="6269" spans="20:20" x14ac:dyDescent="0.25">
      <c r="T6269" s="98"/>
    </row>
    <row r="6270" spans="20:20" x14ac:dyDescent="0.25">
      <c r="T6270" s="98"/>
    </row>
    <row r="6271" spans="20:20" x14ac:dyDescent="0.25">
      <c r="T6271" s="98"/>
    </row>
    <row r="6272" spans="20:20" x14ac:dyDescent="0.25">
      <c r="T6272" s="98"/>
    </row>
    <row r="6273" spans="20:20" x14ac:dyDescent="0.25">
      <c r="T6273" s="98"/>
    </row>
    <row r="6274" spans="20:20" x14ac:dyDescent="0.25">
      <c r="T6274" s="98"/>
    </row>
    <row r="6275" spans="20:20" x14ac:dyDescent="0.25">
      <c r="T6275" s="98"/>
    </row>
    <row r="6276" spans="20:20" x14ac:dyDescent="0.25">
      <c r="T6276" s="98"/>
    </row>
    <row r="6277" spans="20:20" x14ac:dyDescent="0.25">
      <c r="T6277" s="98"/>
    </row>
    <row r="6278" spans="20:20" x14ac:dyDescent="0.25">
      <c r="T6278" s="98"/>
    </row>
    <row r="6279" spans="20:20" x14ac:dyDescent="0.25">
      <c r="T6279" s="98"/>
    </row>
    <row r="6280" spans="20:20" x14ac:dyDescent="0.25">
      <c r="T6280" s="98"/>
    </row>
    <row r="6281" spans="20:20" x14ac:dyDescent="0.25">
      <c r="T6281" s="98"/>
    </row>
    <row r="6282" spans="20:20" x14ac:dyDescent="0.25">
      <c r="T6282" s="98"/>
    </row>
    <row r="6283" spans="20:20" x14ac:dyDescent="0.25">
      <c r="T6283" s="98"/>
    </row>
    <row r="6284" spans="20:20" x14ac:dyDescent="0.25">
      <c r="T6284" s="98"/>
    </row>
    <row r="6285" spans="20:20" x14ac:dyDescent="0.25">
      <c r="T6285" s="98"/>
    </row>
    <row r="6286" spans="20:20" x14ac:dyDescent="0.25">
      <c r="T6286" s="98"/>
    </row>
    <row r="6287" spans="20:20" x14ac:dyDescent="0.25">
      <c r="T6287" s="98"/>
    </row>
    <row r="6288" spans="20:20" x14ac:dyDescent="0.25">
      <c r="T6288" s="98"/>
    </row>
    <row r="6289" spans="20:20" x14ac:dyDescent="0.25">
      <c r="T6289" s="98"/>
    </row>
    <row r="6290" spans="20:20" x14ac:dyDescent="0.25">
      <c r="T6290" s="98"/>
    </row>
    <row r="6291" spans="20:20" x14ac:dyDescent="0.25">
      <c r="T6291" s="98"/>
    </row>
    <row r="6292" spans="20:20" x14ac:dyDescent="0.25">
      <c r="T6292" s="98"/>
    </row>
    <row r="6293" spans="20:20" x14ac:dyDescent="0.25">
      <c r="T6293" s="98"/>
    </row>
    <row r="6294" spans="20:20" x14ac:dyDescent="0.25">
      <c r="T6294" s="98"/>
    </row>
    <row r="6295" spans="20:20" x14ac:dyDescent="0.25">
      <c r="T6295" s="98"/>
    </row>
    <row r="6296" spans="20:20" x14ac:dyDescent="0.25">
      <c r="T6296" s="98"/>
    </row>
    <row r="6297" spans="20:20" x14ac:dyDescent="0.25">
      <c r="T6297" s="98"/>
    </row>
    <row r="6298" spans="20:20" x14ac:dyDescent="0.25">
      <c r="T6298" s="98"/>
    </row>
    <row r="6299" spans="20:20" x14ac:dyDescent="0.25">
      <c r="T6299" s="98"/>
    </row>
    <row r="6300" spans="20:20" x14ac:dyDescent="0.25">
      <c r="T6300" s="98"/>
    </row>
    <row r="6301" spans="20:20" x14ac:dyDescent="0.25">
      <c r="T6301" s="98"/>
    </row>
    <row r="6302" spans="20:20" x14ac:dyDescent="0.25">
      <c r="T6302" s="98"/>
    </row>
    <row r="6303" spans="20:20" x14ac:dyDescent="0.25">
      <c r="T6303" s="98"/>
    </row>
    <row r="6304" spans="20:20" x14ac:dyDescent="0.25">
      <c r="T6304" s="98"/>
    </row>
    <row r="6305" spans="20:20" x14ac:dyDescent="0.25">
      <c r="T6305" s="98"/>
    </row>
    <row r="6306" spans="20:20" x14ac:dyDescent="0.25">
      <c r="T6306" s="98"/>
    </row>
    <row r="6307" spans="20:20" x14ac:dyDescent="0.25">
      <c r="T6307" s="98"/>
    </row>
    <row r="6308" spans="20:20" x14ac:dyDescent="0.25">
      <c r="T6308" s="98"/>
    </row>
    <row r="6309" spans="20:20" x14ac:dyDescent="0.25">
      <c r="T6309" s="98"/>
    </row>
    <row r="6310" spans="20:20" x14ac:dyDescent="0.25">
      <c r="T6310" s="98"/>
    </row>
    <row r="6311" spans="20:20" x14ac:dyDescent="0.25">
      <c r="T6311" s="98"/>
    </row>
    <row r="6312" spans="20:20" x14ac:dyDescent="0.25">
      <c r="T6312" s="98"/>
    </row>
    <row r="6313" spans="20:20" x14ac:dyDescent="0.25">
      <c r="T6313" s="98"/>
    </row>
    <row r="6314" spans="20:20" x14ac:dyDescent="0.25">
      <c r="T6314" s="98"/>
    </row>
    <row r="6315" spans="20:20" x14ac:dyDescent="0.25">
      <c r="T6315" s="98"/>
    </row>
    <row r="6316" spans="20:20" x14ac:dyDescent="0.25">
      <c r="T6316" s="98"/>
    </row>
    <row r="6317" spans="20:20" x14ac:dyDescent="0.25">
      <c r="T6317" s="98"/>
    </row>
    <row r="6318" spans="20:20" x14ac:dyDescent="0.25">
      <c r="T6318" s="98"/>
    </row>
    <row r="6319" spans="20:20" x14ac:dyDescent="0.25">
      <c r="T6319" s="98"/>
    </row>
    <row r="6320" spans="20:20" x14ac:dyDescent="0.25">
      <c r="T6320" s="98"/>
    </row>
    <row r="6321" spans="20:20" x14ac:dyDescent="0.25">
      <c r="T6321" s="98"/>
    </row>
    <row r="6322" spans="20:20" x14ac:dyDescent="0.25">
      <c r="T6322" s="98"/>
    </row>
    <row r="6323" spans="20:20" x14ac:dyDescent="0.25">
      <c r="T6323" s="98"/>
    </row>
    <row r="6324" spans="20:20" x14ac:dyDescent="0.25">
      <c r="T6324" s="98"/>
    </row>
    <row r="6325" spans="20:20" x14ac:dyDescent="0.25">
      <c r="T6325" s="98"/>
    </row>
    <row r="6326" spans="20:20" x14ac:dyDescent="0.25">
      <c r="T6326" s="98"/>
    </row>
    <row r="6327" spans="20:20" x14ac:dyDescent="0.25">
      <c r="T6327" s="98"/>
    </row>
    <row r="6328" spans="20:20" x14ac:dyDescent="0.25">
      <c r="T6328" s="98"/>
    </row>
    <row r="6329" spans="20:20" x14ac:dyDescent="0.25">
      <c r="T6329" s="98"/>
    </row>
    <row r="6330" spans="20:20" x14ac:dyDescent="0.25">
      <c r="T6330" s="98"/>
    </row>
    <row r="6331" spans="20:20" x14ac:dyDescent="0.25">
      <c r="T6331" s="98"/>
    </row>
    <row r="6332" spans="20:20" x14ac:dyDescent="0.25">
      <c r="T6332" s="98"/>
    </row>
    <row r="6333" spans="20:20" x14ac:dyDescent="0.25">
      <c r="T6333" s="98"/>
    </row>
    <row r="6334" spans="20:20" x14ac:dyDescent="0.25">
      <c r="T6334" s="98"/>
    </row>
    <row r="6335" spans="20:20" x14ac:dyDescent="0.25">
      <c r="T6335" s="98"/>
    </row>
    <row r="6336" spans="20:20" x14ac:dyDescent="0.25">
      <c r="T6336" s="98"/>
    </row>
    <row r="6337" spans="20:20" x14ac:dyDescent="0.25">
      <c r="T6337" s="98"/>
    </row>
    <row r="6338" spans="20:20" x14ac:dyDescent="0.25">
      <c r="T6338" s="98"/>
    </row>
    <row r="6339" spans="20:20" x14ac:dyDescent="0.25">
      <c r="T6339" s="98"/>
    </row>
    <row r="6340" spans="20:20" x14ac:dyDescent="0.25">
      <c r="T6340" s="98"/>
    </row>
    <row r="6341" spans="20:20" x14ac:dyDescent="0.25">
      <c r="T6341" s="98"/>
    </row>
    <row r="6342" spans="20:20" x14ac:dyDescent="0.25">
      <c r="T6342" s="98"/>
    </row>
    <row r="6343" spans="20:20" x14ac:dyDescent="0.25">
      <c r="T6343" s="98"/>
    </row>
    <row r="6344" spans="20:20" x14ac:dyDescent="0.25">
      <c r="T6344" s="98"/>
    </row>
    <row r="6345" spans="20:20" x14ac:dyDescent="0.25">
      <c r="T6345" s="98"/>
    </row>
    <row r="6346" spans="20:20" x14ac:dyDescent="0.25">
      <c r="T6346" s="98"/>
    </row>
    <row r="6347" spans="20:20" x14ac:dyDescent="0.25">
      <c r="T6347" s="98"/>
    </row>
    <row r="6348" spans="20:20" x14ac:dyDescent="0.25">
      <c r="T6348" s="98"/>
    </row>
    <row r="6349" spans="20:20" x14ac:dyDescent="0.25">
      <c r="T6349" s="98"/>
    </row>
    <row r="6350" spans="20:20" x14ac:dyDescent="0.25">
      <c r="T6350" s="98"/>
    </row>
    <row r="6351" spans="20:20" x14ac:dyDescent="0.25">
      <c r="T6351" s="98"/>
    </row>
    <row r="6352" spans="20:20" x14ac:dyDescent="0.25">
      <c r="T6352" s="98"/>
    </row>
    <row r="6353" spans="20:20" x14ac:dyDescent="0.25">
      <c r="T6353" s="98"/>
    </row>
    <row r="6354" spans="20:20" x14ac:dyDescent="0.25">
      <c r="T6354" s="98"/>
    </row>
    <row r="6355" spans="20:20" x14ac:dyDescent="0.25">
      <c r="T6355" s="98"/>
    </row>
    <row r="6356" spans="20:20" x14ac:dyDescent="0.25">
      <c r="T6356" s="98"/>
    </row>
    <row r="6357" spans="20:20" x14ac:dyDescent="0.25">
      <c r="T6357" s="98"/>
    </row>
    <row r="6358" spans="20:20" x14ac:dyDescent="0.25">
      <c r="T6358" s="98"/>
    </row>
    <row r="6359" spans="20:20" x14ac:dyDescent="0.25">
      <c r="T6359" s="98"/>
    </row>
    <row r="6360" spans="20:20" x14ac:dyDescent="0.25">
      <c r="T6360" s="98"/>
    </row>
    <row r="6361" spans="20:20" x14ac:dyDescent="0.25">
      <c r="T6361" s="98"/>
    </row>
    <row r="6362" spans="20:20" x14ac:dyDescent="0.25">
      <c r="T6362" s="98"/>
    </row>
    <row r="6363" spans="20:20" x14ac:dyDescent="0.25">
      <c r="T6363" s="98"/>
    </row>
    <row r="6364" spans="20:20" x14ac:dyDescent="0.25">
      <c r="T6364" s="98"/>
    </row>
    <row r="6365" spans="20:20" x14ac:dyDescent="0.25">
      <c r="T6365" s="98"/>
    </row>
    <row r="6366" spans="20:20" x14ac:dyDescent="0.25">
      <c r="T6366" s="98"/>
    </row>
    <row r="6367" spans="20:20" x14ac:dyDescent="0.25">
      <c r="T6367" s="98"/>
    </row>
    <row r="6368" spans="20:20" x14ac:dyDescent="0.25">
      <c r="T6368" s="98"/>
    </row>
    <row r="6369" spans="20:20" x14ac:dyDescent="0.25">
      <c r="T6369" s="98"/>
    </row>
    <row r="6370" spans="20:20" x14ac:dyDescent="0.25">
      <c r="T6370" s="98"/>
    </row>
    <row r="6371" spans="20:20" x14ac:dyDescent="0.25">
      <c r="T6371" s="98"/>
    </row>
    <row r="6372" spans="20:20" x14ac:dyDescent="0.25">
      <c r="T6372" s="98"/>
    </row>
    <row r="6373" spans="20:20" x14ac:dyDescent="0.25">
      <c r="T6373" s="98"/>
    </row>
    <row r="6374" spans="20:20" x14ac:dyDescent="0.25">
      <c r="T6374" s="98"/>
    </row>
    <row r="6375" spans="20:20" x14ac:dyDescent="0.25">
      <c r="T6375" s="98"/>
    </row>
    <row r="6376" spans="20:20" x14ac:dyDescent="0.25">
      <c r="T6376" s="98"/>
    </row>
    <row r="6377" spans="20:20" x14ac:dyDescent="0.25">
      <c r="T6377" s="98"/>
    </row>
    <row r="6378" spans="20:20" x14ac:dyDescent="0.25">
      <c r="T6378" s="98"/>
    </row>
    <row r="6379" spans="20:20" x14ac:dyDescent="0.25">
      <c r="T6379" s="98"/>
    </row>
    <row r="6380" spans="20:20" x14ac:dyDescent="0.25">
      <c r="T6380" s="98"/>
    </row>
    <row r="6381" spans="20:20" x14ac:dyDescent="0.25">
      <c r="T6381" s="98"/>
    </row>
    <row r="6382" spans="20:20" x14ac:dyDescent="0.25">
      <c r="T6382" s="98"/>
    </row>
    <row r="6383" spans="20:20" x14ac:dyDescent="0.25">
      <c r="T6383" s="98"/>
    </row>
    <row r="6384" spans="20:20" x14ac:dyDescent="0.25">
      <c r="T6384" s="98"/>
    </row>
    <row r="6385" spans="20:20" x14ac:dyDescent="0.25">
      <c r="T6385" s="98"/>
    </row>
    <row r="6386" spans="20:20" x14ac:dyDescent="0.25">
      <c r="T6386" s="98"/>
    </row>
    <row r="6387" spans="20:20" x14ac:dyDescent="0.25">
      <c r="T6387" s="98"/>
    </row>
    <row r="6388" spans="20:20" x14ac:dyDescent="0.25">
      <c r="T6388" s="98"/>
    </row>
    <row r="6389" spans="20:20" x14ac:dyDescent="0.25">
      <c r="T6389" s="98"/>
    </row>
    <row r="6390" spans="20:20" x14ac:dyDescent="0.25">
      <c r="T6390" s="98"/>
    </row>
    <row r="6391" spans="20:20" x14ac:dyDescent="0.25">
      <c r="T6391" s="98"/>
    </row>
    <row r="6392" spans="20:20" x14ac:dyDescent="0.25">
      <c r="T6392" s="98"/>
    </row>
    <row r="6393" spans="20:20" x14ac:dyDescent="0.25">
      <c r="T6393" s="98"/>
    </row>
    <row r="6394" spans="20:20" x14ac:dyDescent="0.25">
      <c r="T6394" s="98"/>
    </row>
    <row r="6395" spans="20:20" x14ac:dyDescent="0.25">
      <c r="T6395" s="98"/>
    </row>
    <row r="6396" spans="20:20" x14ac:dyDescent="0.25">
      <c r="T6396" s="98"/>
    </row>
    <row r="6397" spans="20:20" x14ac:dyDescent="0.25">
      <c r="T6397" s="98"/>
    </row>
    <row r="6398" spans="20:20" x14ac:dyDescent="0.25">
      <c r="T6398" s="98"/>
    </row>
    <row r="6399" spans="20:20" x14ac:dyDescent="0.25">
      <c r="T6399" s="98"/>
    </row>
    <row r="6400" spans="20:20" x14ac:dyDescent="0.25">
      <c r="T6400" s="98"/>
    </row>
    <row r="6401" spans="20:20" x14ac:dyDescent="0.25">
      <c r="T6401" s="98"/>
    </row>
    <row r="6402" spans="20:20" x14ac:dyDescent="0.25">
      <c r="T6402" s="98"/>
    </row>
    <row r="6403" spans="20:20" x14ac:dyDescent="0.25">
      <c r="T6403" s="98"/>
    </row>
    <row r="6404" spans="20:20" x14ac:dyDescent="0.25">
      <c r="T6404" s="98"/>
    </row>
    <row r="6405" spans="20:20" x14ac:dyDescent="0.25">
      <c r="T6405" s="98"/>
    </row>
    <row r="6406" spans="20:20" x14ac:dyDescent="0.25">
      <c r="T6406" s="98"/>
    </row>
    <row r="6407" spans="20:20" x14ac:dyDescent="0.25">
      <c r="T6407" s="98"/>
    </row>
    <row r="6408" spans="20:20" x14ac:dyDescent="0.25">
      <c r="T6408" s="98"/>
    </row>
    <row r="6409" spans="20:20" x14ac:dyDescent="0.25">
      <c r="T6409" s="98"/>
    </row>
    <row r="6410" spans="20:20" x14ac:dyDescent="0.25">
      <c r="T6410" s="98"/>
    </row>
    <row r="6411" spans="20:20" x14ac:dyDescent="0.25">
      <c r="T6411" s="98"/>
    </row>
    <row r="6412" spans="20:20" x14ac:dyDescent="0.25">
      <c r="T6412" s="98"/>
    </row>
    <row r="6413" spans="20:20" x14ac:dyDescent="0.25">
      <c r="T6413" s="98"/>
    </row>
    <row r="6414" spans="20:20" x14ac:dyDescent="0.25">
      <c r="T6414" s="98"/>
    </row>
    <row r="6415" spans="20:20" x14ac:dyDescent="0.25">
      <c r="T6415" s="98"/>
    </row>
    <row r="6416" spans="20:20" x14ac:dyDescent="0.25">
      <c r="T6416" s="98"/>
    </row>
    <row r="6417" spans="20:20" x14ac:dyDescent="0.25">
      <c r="T6417" s="98"/>
    </row>
    <row r="6418" spans="20:20" x14ac:dyDescent="0.25">
      <c r="T6418" s="98"/>
    </row>
    <row r="6419" spans="20:20" x14ac:dyDescent="0.25">
      <c r="T6419" s="98"/>
    </row>
    <row r="6420" spans="20:20" x14ac:dyDescent="0.25">
      <c r="T6420" s="98"/>
    </row>
    <row r="6421" spans="20:20" x14ac:dyDescent="0.25">
      <c r="T6421" s="98"/>
    </row>
    <row r="6422" spans="20:20" x14ac:dyDescent="0.25">
      <c r="T6422" s="98"/>
    </row>
    <row r="6423" spans="20:20" x14ac:dyDescent="0.25">
      <c r="T6423" s="98"/>
    </row>
    <row r="6424" spans="20:20" x14ac:dyDescent="0.25">
      <c r="T6424" s="98"/>
    </row>
    <row r="6425" spans="20:20" x14ac:dyDescent="0.25">
      <c r="T6425" s="98"/>
    </row>
    <row r="6426" spans="20:20" x14ac:dyDescent="0.25">
      <c r="T6426" s="98"/>
    </row>
    <row r="6427" spans="20:20" x14ac:dyDescent="0.25">
      <c r="T6427" s="98"/>
    </row>
    <row r="6428" spans="20:20" x14ac:dyDescent="0.25">
      <c r="T6428" s="98"/>
    </row>
    <row r="6429" spans="20:20" x14ac:dyDescent="0.25">
      <c r="T6429" s="98"/>
    </row>
    <row r="6430" spans="20:20" x14ac:dyDescent="0.25">
      <c r="T6430" s="98"/>
    </row>
    <row r="6431" spans="20:20" x14ac:dyDescent="0.25">
      <c r="T6431" s="98"/>
    </row>
    <row r="6432" spans="20:20" x14ac:dyDescent="0.25">
      <c r="T6432" s="98"/>
    </row>
    <row r="6433" spans="20:20" x14ac:dyDescent="0.25">
      <c r="T6433" s="98"/>
    </row>
    <row r="6434" spans="20:20" x14ac:dyDescent="0.25">
      <c r="T6434" s="98"/>
    </row>
    <row r="6435" spans="20:20" x14ac:dyDescent="0.25">
      <c r="T6435" s="98"/>
    </row>
    <row r="6436" spans="20:20" x14ac:dyDescent="0.25">
      <c r="T6436" s="98"/>
    </row>
    <row r="6437" spans="20:20" x14ac:dyDescent="0.25">
      <c r="T6437" s="98"/>
    </row>
    <row r="6438" spans="20:20" x14ac:dyDescent="0.25">
      <c r="T6438" s="98"/>
    </row>
    <row r="6439" spans="20:20" x14ac:dyDescent="0.25">
      <c r="T6439" s="98"/>
    </row>
    <row r="6440" spans="20:20" x14ac:dyDescent="0.25">
      <c r="T6440" s="98"/>
    </row>
    <row r="6441" spans="20:20" x14ac:dyDescent="0.25">
      <c r="T6441" s="98"/>
    </row>
    <row r="6442" spans="20:20" x14ac:dyDescent="0.25">
      <c r="T6442" s="98"/>
    </row>
    <row r="6443" spans="20:20" x14ac:dyDescent="0.25">
      <c r="T6443" s="98"/>
    </row>
    <row r="6444" spans="20:20" x14ac:dyDescent="0.25">
      <c r="T6444" s="98"/>
    </row>
    <row r="6445" spans="20:20" x14ac:dyDescent="0.25">
      <c r="T6445" s="98"/>
    </row>
    <row r="6446" spans="20:20" x14ac:dyDescent="0.25">
      <c r="T6446" s="98"/>
    </row>
    <row r="6447" spans="20:20" x14ac:dyDescent="0.25">
      <c r="T6447" s="98"/>
    </row>
    <row r="6448" spans="20:20" x14ac:dyDescent="0.25">
      <c r="T6448" s="98"/>
    </row>
    <row r="6449" spans="20:20" x14ac:dyDescent="0.25">
      <c r="T6449" s="98"/>
    </row>
    <row r="6450" spans="20:20" x14ac:dyDescent="0.25">
      <c r="T6450" s="98"/>
    </row>
    <row r="6451" spans="20:20" x14ac:dyDescent="0.25">
      <c r="T6451" s="98"/>
    </row>
    <row r="6452" spans="20:20" x14ac:dyDescent="0.25">
      <c r="T6452" s="98"/>
    </row>
    <row r="6453" spans="20:20" x14ac:dyDescent="0.25">
      <c r="T6453" s="98"/>
    </row>
    <row r="6454" spans="20:20" x14ac:dyDescent="0.25">
      <c r="T6454" s="98"/>
    </row>
    <row r="6455" spans="20:20" x14ac:dyDescent="0.25">
      <c r="T6455" s="98"/>
    </row>
    <row r="6456" spans="20:20" x14ac:dyDescent="0.25">
      <c r="T6456" s="98"/>
    </row>
    <row r="6457" spans="20:20" x14ac:dyDescent="0.25">
      <c r="T6457" s="98"/>
    </row>
    <row r="6458" spans="20:20" x14ac:dyDescent="0.25">
      <c r="T6458" s="98"/>
    </row>
    <row r="6459" spans="20:20" x14ac:dyDescent="0.25">
      <c r="T6459" s="98"/>
    </row>
    <row r="6460" spans="20:20" x14ac:dyDescent="0.25">
      <c r="T6460" s="98"/>
    </row>
    <row r="6461" spans="20:20" x14ac:dyDescent="0.25">
      <c r="T6461" s="98"/>
    </row>
    <row r="6462" spans="20:20" x14ac:dyDescent="0.25">
      <c r="T6462" s="98"/>
    </row>
    <row r="6463" spans="20:20" x14ac:dyDescent="0.25">
      <c r="T6463" s="98"/>
    </row>
    <row r="6464" spans="20:20" x14ac:dyDescent="0.25">
      <c r="T6464" s="98"/>
    </row>
    <row r="6465" spans="20:20" x14ac:dyDescent="0.25">
      <c r="T6465" s="98"/>
    </row>
    <row r="6466" spans="20:20" x14ac:dyDescent="0.25">
      <c r="T6466" s="98"/>
    </row>
    <row r="6467" spans="20:20" x14ac:dyDescent="0.25">
      <c r="T6467" s="98"/>
    </row>
    <row r="6468" spans="20:20" x14ac:dyDescent="0.25">
      <c r="T6468" s="98"/>
    </row>
    <row r="6469" spans="20:20" x14ac:dyDescent="0.25">
      <c r="T6469" s="98"/>
    </row>
    <row r="6470" spans="20:20" x14ac:dyDescent="0.25">
      <c r="T6470" s="98"/>
    </row>
    <row r="6471" spans="20:20" x14ac:dyDescent="0.25">
      <c r="T6471" s="98"/>
    </row>
    <row r="6472" spans="20:20" x14ac:dyDescent="0.25">
      <c r="T6472" s="98"/>
    </row>
    <row r="6473" spans="20:20" x14ac:dyDescent="0.25">
      <c r="T6473" s="98"/>
    </row>
    <row r="6474" spans="20:20" x14ac:dyDescent="0.25">
      <c r="T6474" s="98"/>
    </row>
    <row r="6475" spans="20:20" x14ac:dyDescent="0.25">
      <c r="T6475" s="98"/>
    </row>
    <row r="6476" spans="20:20" x14ac:dyDescent="0.25">
      <c r="T6476" s="98"/>
    </row>
    <row r="6477" spans="20:20" x14ac:dyDescent="0.25">
      <c r="T6477" s="98"/>
    </row>
    <row r="6478" spans="20:20" x14ac:dyDescent="0.25">
      <c r="T6478" s="98"/>
    </row>
    <row r="6479" spans="20:20" x14ac:dyDescent="0.25">
      <c r="T6479" s="98"/>
    </row>
    <row r="6480" spans="20:20" x14ac:dyDescent="0.25">
      <c r="T6480" s="98"/>
    </row>
    <row r="6481" spans="20:20" x14ac:dyDescent="0.25">
      <c r="T6481" s="98"/>
    </row>
    <row r="6482" spans="20:20" x14ac:dyDescent="0.25">
      <c r="T6482" s="98"/>
    </row>
    <row r="6483" spans="20:20" x14ac:dyDescent="0.25">
      <c r="T6483" s="98"/>
    </row>
    <row r="6484" spans="20:20" x14ac:dyDescent="0.25">
      <c r="T6484" s="98"/>
    </row>
    <row r="6485" spans="20:20" x14ac:dyDescent="0.25">
      <c r="T6485" s="98"/>
    </row>
    <row r="6486" spans="20:20" x14ac:dyDescent="0.25">
      <c r="T6486" s="98"/>
    </row>
    <row r="6487" spans="20:20" x14ac:dyDescent="0.25">
      <c r="T6487" s="98"/>
    </row>
    <row r="6488" spans="20:20" x14ac:dyDescent="0.25">
      <c r="T6488" s="98"/>
    </row>
    <row r="6489" spans="20:20" x14ac:dyDescent="0.25">
      <c r="T6489" s="98"/>
    </row>
    <row r="6490" spans="20:20" x14ac:dyDescent="0.25">
      <c r="T6490" s="98"/>
    </row>
    <row r="6491" spans="20:20" x14ac:dyDescent="0.25">
      <c r="T6491" s="98"/>
    </row>
    <row r="6492" spans="20:20" x14ac:dyDescent="0.25">
      <c r="T6492" s="98"/>
    </row>
    <row r="6493" spans="20:20" x14ac:dyDescent="0.25">
      <c r="T6493" s="98"/>
    </row>
    <row r="6494" spans="20:20" x14ac:dyDescent="0.25">
      <c r="T6494" s="98"/>
    </row>
    <row r="6495" spans="20:20" x14ac:dyDescent="0.25">
      <c r="T6495" s="98"/>
    </row>
    <row r="6496" spans="20:20" x14ac:dyDescent="0.25">
      <c r="T6496" s="98"/>
    </row>
    <row r="6497" spans="20:20" x14ac:dyDescent="0.25">
      <c r="T6497" s="98"/>
    </row>
    <row r="6498" spans="20:20" x14ac:dyDescent="0.25">
      <c r="T6498" s="98"/>
    </row>
    <row r="6499" spans="20:20" x14ac:dyDescent="0.25">
      <c r="T6499" s="98"/>
    </row>
    <row r="6500" spans="20:20" x14ac:dyDescent="0.25">
      <c r="T6500" s="98"/>
    </row>
    <row r="6501" spans="20:20" x14ac:dyDescent="0.25">
      <c r="T6501" s="98"/>
    </row>
    <row r="6502" spans="20:20" x14ac:dyDescent="0.25">
      <c r="T6502" s="98"/>
    </row>
    <row r="6503" spans="20:20" x14ac:dyDescent="0.25">
      <c r="T6503" s="98"/>
    </row>
    <row r="6504" spans="20:20" x14ac:dyDescent="0.25">
      <c r="T6504" s="98"/>
    </row>
    <row r="6505" spans="20:20" x14ac:dyDescent="0.25">
      <c r="T6505" s="98"/>
    </row>
    <row r="6506" spans="20:20" x14ac:dyDescent="0.25">
      <c r="T6506" s="98"/>
    </row>
    <row r="6507" spans="20:20" x14ac:dyDescent="0.25">
      <c r="T6507" s="98"/>
    </row>
    <row r="6508" spans="20:20" x14ac:dyDescent="0.25">
      <c r="T6508" s="98"/>
    </row>
    <row r="6509" spans="20:20" x14ac:dyDescent="0.25">
      <c r="T6509" s="98"/>
    </row>
    <row r="6510" spans="20:20" x14ac:dyDescent="0.25">
      <c r="T6510" s="98"/>
    </row>
    <row r="6511" spans="20:20" x14ac:dyDescent="0.25">
      <c r="T6511" s="98"/>
    </row>
    <row r="6512" spans="20:20" x14ac:dyDescent="0.25">
      <c r="T6512" s="98"/>
    </row>
    <row r="6513" spans="20:20" x14ac:dyDescent="0.25">
      <c r="T6513" s="98"/>
    </row>
    <row r="6514" spans="20:20" x14ac:dyDescent="0.25">
      <c r="T6514" s="98"/>
    </row>
    <row r="6515" spans="20:20" x14ac:dyDescent="0.25">
      <c r="T6515" s="98"/>
    </row>
    <row r="6516" spans="20:20" x14ac:dyDescent="0.25">
      <c r="T6516" s="98"/>
    </row>
    <row r="6517" spans="20:20" x14ac:dyDescent="0.25">
      <c r="T6517" s="98"/>
    </row>
    <row r="6518" spans="20:20" x14ac:dyDescent="0.25">
      <c r="T6518" s="98"/>
    </row>
    <row r="6519" spans="20:20" x14ac:dyDescent="0.25">
      <c r="T6519" s="98"/>
    </row>
    <row r="6520" spans="20:20" x14ac:dyDescent="0.25">
      <c r="T6520" s="98"/>
    </row>
    <row r="6521" spans="20:20" x14ac:dyDescent="0.25">
      <c r="T6521" s="98"/>
    </row>
    <row r="6522" spans="20:20" x14ac:dyDescent="0.25">
      <c r="T6522" s="98"/>
    </row>
    <row r="6523" spans="20:20" x14ac:dyDescent="0.25">
      <c r="T6523" s="98"/>
    </row>
    <row r="6524" spans="20:20" x14ac:dyDescent="0.25">
      <c r="T6524" s="98"/>
    </row>
    <row r="6525" spans="20:20" x14ac:dyDescent="0.25">
      <c r="T6525" s="98"/>
    </row>
    <row r="6526" spans="20:20" x14ac:dyDescent="0.25">
      <c r="T6526" s="98"/>
    </row>
    <row r="6527" spans="20:20" x14ac:dyDescent="0.25">
      <c r="T6527" s="98"/>
    </row>
    <row r="6528" spans="20:20" x14ac:dyDescent="0.25">
      <c r="T6528" s="98"/>
    </row>
    <row r="6529" spans="20:20" x14ac:dyDescent="0.25">
      <c r="T6529" s="98"/>
    </row>
    <row r="6530" spans="20:20" x14ac:dyDescent="0.25">
      <c r="T6530" s="98"/>
    </row>
    <row r="6531" spans="20:20" x14ac:dyDescent="0.25">
      <c r="T6531" s="98"/>
    </row>
    <row r="6532" spans="20:20" x14ac:dyDescent="0.25">
      <c r="T6532" s="98"/>
    </row>
    <row r="6533" spans="20:20" x14ac:dyDescent="0.25">
      <c r="T6533" s="98"/>
    </row>
    <row r="6534" spans="20:20" x14ac:dyDescent="0.25">
      <c r="T6534" s="98"/>
    </row>
    <row r="6535" spans="20:20" x14ac:dyDescent="0.25">
      <c r="T6535" s="98"/>
    </row>
    <row r="6536" spans="20:20" x14ac:dyDescent="0.25">
      <c r="T6536" s="98"/>
    </row>
    <row r="6537" spans="20:20" x14ac:dyDescent="0.25">
      <c r="T6537" s="98"/>
    </row>
    <row r="6538" spans="20:20" x14ac:dyDescent="0.25">
      <c r="T6538" s="98"/>
    </row>
    <row r="6539" spans="20:20" x14ac:dyDescent="0.25">
      <c r="T6539" s="98"/>
    </row>
    <row r="6540" spans="20:20" x14ac:dyDescent="0.25">
      <c r="T6540" s="98"/>
    </row>
    <row r="6541" spans="20:20" x14ac:dyDescent="0.25">
      <c r="T6541" s="98"/>
    </row>
    <row r="6542" spans="20:20" x14ac:dyDescent="0.25">
      <c r="T6542" s="98"/>
    </row>
    <row r="6543" spans="20:20" x14ac:dyDescent="0.25">
      <c r="T6543" s="98"/>
    </row>
    <row r="6544" spans="20:20" x14ac:dyDescent="0.25">
      <c r="T6544" s="98"/>
    </row>
    <row r="6545" spans="20:20" x14ac:dyDescent="0.25">
      <c r="T6545" s="98"/>
    </row>
    <row r="6546" spans="20:20" x14ac:dyDescent="0.25">
      <c r="T6546" s="98"/>
    </row>
    <row r="6547" spans="20:20" x14ac:dyDescent="0.25">
      <c r="T6547" s="98"/>
    </row>
    <row r="6548" spans="20:20" x14ac:dyDescent="0.25">
      <c r="T6548" s="98"/>
    </row>
    <row r="6549" spans="20:20" x14ac:dyDescent="0.25">
      <c r="T6549" s="98"/>
    </row>
    <row r="6550" spans="20:20" x14ac:dyDescent="0.25">
      <c r="T6550" s="98"/>
    </row>
    <row r="6551" spans="20:20" x14ac:dyDescent="0.25">
      <c r="T6551" s="98"/>
    </row>
    <row r="6552" spans="20:20" x14ac:dyDescent="0.25">
      <c r="T6552" s="98"/>
    </row>
    <row r="6553" spans="20:20" x14ac:dyDescent="0.25">
      <c r="T6553" s="98"/>
    </row>
    <row r="6554" spans="20:20" x14ac:dyDescent="0.25">
      <c r="T6554" s="98"/>
    </row>
    <row r="6555" spans="20:20" x14ac:dyDescent="0.25">
      <c r="T6555" s="98"/>
    </row>
    <row r="6556" spans="20:20" x14ac:dyDescent="0.25">
      <c r="T6556" s="98"/>
    </row>
    <row r="6557" spans="20:20" x14ac:dyDescent="0.25">
      <c r="T6557" s="98"/>
    </row>
    <row r="6558" spans="20:20" x14ac:dyDescent="0.25">
      <c r="T6558" s="98"/>
    </row>
    <row r="6559" spans="20:20" x14ac:dyDescent="0.25">
      <c r="T6559" s="98"/>
    </row>
    <row r="6560" spans="20:20" x14ac:dyDescent="0.25">
      <c r="T6560" s="98"/>
    </row>
    <row r="6561" spans="20:20" x14ac:dyDescent="0.25">
      <c r="T6561" s="98"/>
    </row>
    <row r="6562" spans="20:20" x14ac:dyDescent="0.25">
      <c r="T6562" s="98"/>
    </row>
    <row r="6563" spans="20:20" x14ac:dyDescent="0.25">
      <c r="T6563" s="98"/>
    </row>
    <row r="6564" spans="20:20" x14ac:dyDescent="0.25">
      <c r="T6564" s="98"/>
    </row>
    <row r="6565" spans="20:20" x14ac:dyDescent="0.25">
      <c r="T6565" s="98"/>
    </row>
    <row r="6566" spans="20:20" x14ac:dyDescent="0.25">
      <c r="T6566" s="98"/>
    </row>
    <row r="6567" spans="20:20" x14ac:dyDescent="0.25">
      <c r="T6567" s="98"/>
    </row>
    <row r="6568" spans="20:20" x14ac:dyDescent="0.25">
      <c r="T6568" s="98"/>
    </row>
    <row r="6569" spans="20:20" x14ac:dyDescent="0.25">
      <c r="T6569" s="98"/>
    </row>
    <row r="6570" spans="20:20" x14ac:dyDescent="0.25">
      <c r="T6570" s="98"/>
    </row>
    <row r="6571" spans="20:20" x14ac:dyDescent="0.25">
      <c r="T6571" s="98"/>
    </row>
    <row r="6572" spans="20:20" x14ac:dyDescent="0.25">
      <c r="T6572" s="98"/>
    </row>
    <row r="6573" spans="20:20" x14ac:dyDescent="0.25">
      <c r="T6573" s="98"/>
    </row>
    <row r="6574" spans="20:20" x14ac:dyDescent="0.25">
      <c r="T6574" s="98"/>
    </row>
    <row r="6575" spans="20:20" x14ac:dyDescent="0.25">
      <c r="T6575" s="98"/>
    </row>
    <row r="6576" spans="20:20" x14ac:dyDescent="0.25">
      <c r="T6576" s="98"/>
    </row>
    <row r="6577" spans="20:20" x14ac:dyDescent="0.25">
      <c r="T6577" s="98"/>
    </row>
    <row r="6578" spans="20:20" x14ac:dyDescent="0.25">
      <c r="T6578" s="98"/>
    </row>
    <row r="6579" spans="20:20" x14ac:dyDescent="0.25">
      <c r="T6579" s="98"/>
    </row>
    <row r="6580" spans="20:20" x14ac:dyDescent="0.25">
      <c r="T6580" s="98"/>
    </row>
    <row r="6581" spans="20:20" x14ac:dyDescent="0.25">
      <c r="T6581" s="98"/>
    </row>
    <row r="6582" spans="20:20" x14ac:dyDescent="0.25">
      <c r="T6582" s="98"/>
    </row>
    <row r="6583" spans="20:20" x14ac:dyDescent="0.25">
      <c r="T6583" s="98"/>
    </row>
    <row r="6584" spans="20:20" x14ac:dyDescent="0.25">
      <c r="T6584" s="98"/>
    </row>
    <row r="6585" spans="20:20" x14ac:dyDescent="0.25">
      <c r="T6585" s="98"/>
    </row>
    <row r="6586" spans="20:20" x14ac:dyDescent="0.25">
      <c r="T6586" s="98"/>
    </row>
    <row r="6587" spans="20:20" x14ac:dyDescent="0.25">
      <c r="T6587" s="98"/>
    </row>
    <row r="6588" spans="20:20" x14ac:dyDescent="0.25">
      <c r="T6588" s="98"/>
    </row>
    <row r="6589" spans="20:20" x14ac:dyDescent="0.25">
      <c r="T6589" s="98"/>
    </row>
    <row r="6590" spans="20:20" x14ac:dyDescent="0.25">
      <c r="T6590" s="98"/>
    </row>
    <row r="6591" spans="20:20" x14ac:dyDescent="0.25">
      <c r="T6591" s="98"/>
    </row>
    <row r="6592" spans="20:20" x14ac:dyDescent="0.25">
      <c r="T6592" s="98"/>
    </row>
    <row r="6593" spans="20:20" x14ac:dyDescent="0.25">
      <c r="T6593" s="98"/>
    </row>
    <row r="6594" spans="20:20" x14ac:dyDescent="0.25">
      <c r="T6594" s="98"/>
    </row>
    <row r="6595" spans="20:20" x14ac:dyDescent="0.25">
      <c r="T6595" s="98"/>
    </row>
    <row r="6596" spans="20:20" x14ac:dyDescent="0.25">
      <c r="T6596" s="98"/>
    </row>
    <row r="6597" spans="20:20" x14ac:dyDescent="0.25">
      <c r="T6597" s="98"/>
    </row>
    <row r="6598" spans="20:20" x14ac:dyDescent="0.25">
      <c r="T6598" s="98"/>
    </row>
    <row r="6599" spans="20:20" x14ac:dyDescent="0.25">
      <c r="T6599" s="98"/>
    </row>
    <row r="6600" spans="20:20" x14ac:dyDescent="0.25">
      <c r="T6600" s="98"/>
    </row>
    <row r="6601" spans="20:20" x14ac:dyDescent="0.25">
      <c r="T6601" s="98"/>
    </row>
    <row r="6602" spans="20:20" x14ac:dyDescent="0.25">
      <c r="T6602" s="98"/>
    </row>
    <row r="6603" spans="20:20" x14ac:dyDescent="0.25">
      <c r="T6603" s="98"/>
    </row>
    <row r="6604" spans="20:20" x14ac:dyDescent="0.25">
      <c r="T6604" s="98"/>
    </row>
    <row r="6605" spans="20:20" x14ac:dyDescent="0.25">
      <c r="T6605" s="98"/>
    </row>
    <row r="6606" spans="20:20" x14ac:dyDescent="0.25">
      <c r="T6606" s="98"/>
    </row>
    <row r="6607" spans="20:20" x14ac:dyDescent="0.25">
      <c r="T6607" s="98"/>
    </row>
    <row r="6608" spans="20:20" x14ac:dyDescent="0.25">
      <c r="T6608" s="98"/>
    </row>
    <row r="6609" spans="20:20" x14ac:dyDescent="0.25">
      <c r="T6609" s="98"/>
    </row>
    <row r="6610" spans="20:20" x14ac:dyDescent="0.25">
      <c r="T6610" s="98"/>
    </row>
    <row r="6611" spans="20:20" x14ac:dyDescent="0.25">
      <c r="T6611" s="98"/>
    </row>
    <row r="6612" spans="20:20" x14ac:dyDescent="0.25">
      <c r="T6612" s="98"/>
    </row>
    <row r="6613" spans="20:20" x14ac:dyDescent="0.25">
      <c r="T6613" s="98"/>
    </row>
    <row r="6614" spans="20:20" x14ac:dyDescent="0.25">
      <c r="T6614" s="98"/>
    </row>
    <row r="6615" spans="20:20" x14ac:dyDescent="0.25">
      <c r="T6615" s="98"/>
    </row>
    <row r="6616" spans="20:20" x14ac:dyDescent="0.25">
      <c r="T6616" s="98"/>
    </row>
    <row r="6617" spans="20:20" x14ac:dyDescent="0.25">
      <c r="T6617" s="98"/>
    </row>
    <row r="6618" spans="20:20" x14ac:dyDescent="0.25">
      <c r="T6618" s="98"/>
    </row>
    <row r="6619" spans="20:20" x14ac:dyDescent="0.25">
      <c r="T6619" s="98"/>
    </row>
    <row r="6620" spans="20:20" x14ac:dyDescent="0.25">
      <c r="T6620" s="98"/>
    </row>
    <row r="6621" spans="20:20" x14ac:dyDescent="0.25">
      <c r="T6621" s="98"/>
    </row>
    <row r="6622" spans="20:20" x14ac:dyDescent="0.25">
      <c r="T6622" s="98"/>
    </row>
    <row r="6623" spans="20:20" x14ac:dyDescent="0.25">
      <c r="T6623" s="98"/>
    </row>
    <row r="6624" spans="20:20" x14ac:dyDescent="0.25">
      <c r="T6624" s="98"/>
    </row>
    <row r="6625" spans="20:20" x14ac:dyDescent="0.25">
      <c r="T6625" s="98"/>
    </row>
    <row r="6626" spans="20:20" x14ac:dyDescent="0.25">
      <c r="T6626" s="98"/>
    </row>
    <row r="6627" spans="20:20" x14ac:dyDescent="0.25">
      <c r="T6627" s="98"/>
    </row>
    <row r="6628" spans="20:20" x14ac:dyDescent="0.25">
      <c r="T6628" s="98"/>
    </row>
    <row r="6629" spans="20:20" x14ac:dyDescent="0.25">
      <c r="T6629" s="98"/>
    </row>
    <row r="6630" spans="20:20" x14ac:dyDescent="0.25">
      <c r="T6630" s="98"/>
    </row>
    <row r="6631" spans="20:20" x14ac:dyDescent="0.25">
      <c r="T6631" s="98"/>
    </row>
    <row r="6632" spans="20:20" x14ac:dyDescent="0.25">
      <c r="T6632" s="98"/>
    </row>
    <row r="6633" spans="20:20" x14ac:dyDescent="0.25">
      <c r="T6633" s="98"/>
    </row>
    <row r="6634" spans="20:20" x14ac:dyDescent="0.25">
      <c r="T6634" s="98"/>
    </row>
    <row r="6635" spans="20:20" x14ac:dyDescent="0.25">
      <c r="T6635" s="98"/>
    </row>
    <row r="6636" spans="20:20" x14ac:dyDescent="0.25">
      <c r="T6636" s="98"/>
    </row>
    <row r="6637" spans="20:20" x14ac:dyDescent="0.25">
      <c r="T6637" s="98"/>
    </row>
    <row r="6638" spans="20:20" x14ac:dyDescent="0.25">
      <c r="T6638" s="98"/>
    </row>
    <row r="6639" spans="20:20" x14ac:dyDescent="0.25">
      <c r="T6639" s="98"/>
    </row>
    <row r="6640" spans="20:20" x14ac:dyDescent="0.25">
      <c r="T6640" s="98"/>
    </row>
    <row r="6641" spans="20:20" x14ac:dyDescent="0.25">
      <c r="T6641" s="98"/>
    </row>
    <row r="6642" spans="20:20" x14ac:dyDescent="0.25">
      <c r="T6642" s="98"/>
    </row>
    <row r="6643" spans="20:20" x14ac:dyDescent="0.25">
      <c r="T6643" s="98"/>
    </row>
    <row r="6644" spans="20:20" x14ac:dyDescent="0.25">
      <c r="T6644" s="98"/>
    </row>
    <row r="6645" spans="20:20" x14ac:dyDescent="0.25">
      <c r="T6645" s="98"/>
    </row>
    <row r="6646" spans="20:20" x14ac:dyDescent="0.25">
      <c r="T6646" s="98"/>
    </row>
    <row r="6647" spans="20:20" x14ac:dyDescent="0.25">
      <c r="T6647" s="98"/>
    </row>
    <row r="6648" spans="20:20" x14ac:dyDescent="0.25">
      <c r="T6648" s="98"/>
    </row>
    <row r="6649" spans="20:20" x14ac:dyDescent="0.25">
      <c r="T6649" s="98"/>
    </row>
    <row r="6650" spans="20:20" x14ac:dyDescent="0.25">
      <c r="T6650" s="98"/>
    </row>
    <row r="6651" spans="20:20" x14ac:dyDescent="0.25">
      <c r="T6651" s="98"/>
    </row>
    <row r="6652" spans="20:20" x14ac:dyDescent="0.25">
      <c r="T6652" s="98"/>
    </row>
    <row r="6653" spans="20:20" x14ac:dyDescent="0.25">
      <c r="T6653" s="98"/>
    </row>
    <row r="6654" spans="20:20" x14ac:dyDescent="0.25">
      <c r="T6654" s="98"/>
    </row>
    <row r="6655" spans="20:20" x14ac:dyDescent="0.25">
      <c r="T6655" s="98"/>
    </row>
    <row r="6656" spans="20:20" x14ac:dyDescent="0.25">
      <c r="T6656" s="98"/>
    </row>
    <row r="6657" spans="20:20" x14ac:dyDescent="0.25">
      <c r="T6657" s="98"/>
    </row>
    <row r="6658" spans="20:20" x14ac:dyDescent="0.25">
      <c r="T6658" s="98"/>
    </row>
    <row r="6659" spans="20:20" x14ac:dyDescent="0.25">
      <c r="T6659" s="98"/>
    </row>
    <row r="6660" spans="20:20" x14ac:dyDescent="0.25">
      <c r="T6660" s="98"/>
    </row>
    <row r="6661" spans="20:20" x14ac:dyDescent="0.25">
      <c r="T6661" s="98"/>
    </row>
    <row r="6662" spans="20:20" x14ac:dyDescent="0.25">
      <c r="T6662" s="98"/>
    </row>
    <row r="6663" spans="20:20" x14ac:dyDescent="0.25">
      <c r="T6663" s="98"/>
    </row>
    <row r="6664" spans="20:20" x14ac:dyDescent="0.25">
      <c r="T6664" s="98"/>
    </row>
    <row r="6665" spans="20:20" x14ac:dyDescent="0.25">
      <c r="T6665" s="98"/>
    </row>
    <row r="6666" spans="20:20" x14ac:dyDescent="0.25">
      <c r="T6666" s="98"/>
    </row>
    <row r="6667" spans="20:20" x14ac:dyDescent="0.25">
      <c r="T6667" s="98"/>
    </row>
    <row r="6668" spans="20:20" x14ac:dyDescent="0.25">
      <c r="T6668" s="98"/>
    </row>
    <row r="6669" spans="20:20" x14ac:dyDescent="0.25">
      <c r="T6669" s="98"/>
    </row>
    <row r="6670" spans="20:20" x14ac:dyDescent="0.25">
      <c r="T6670" s="98"/>
    </row>
    <row r="6671" spans="20:20" x14ac:dyDescent="0.25">
      <c r="T6671" s="98"/>
    </row>
    <row r="6672" spans="20:20" x14ac:dyDescent="0.25">
      <c r="T6672" s="98"/>
    </row>
    <row r="6673" spans="20:20" x14ac:dyDescent="0.25">
      <c r="T6673" s="98"/>
    </row>
    <row r="6674" spans="20:20" x14ac:dyDescent="0.25">
      <c r="T6674" s="98"/>
    </row>
    <row r="6675" spans="20:20" x14ac:dyDescent="0.25">
      <c r="T6675" s="98"/>
    </row>
    <row r="6676" spans="20:20" x14ac:dyDescent="0.25">
      <c r="T6676" s="98"/>
    </row>
    <row r="6677" spans="20:20" x14ac:dyDescent="0.25">
      <c r="T6677" s="98"/>
    </row>
    <row r="6678" spans="20:20" x14ac:dyDescent="0.25">
      <c r="T6678" s="98"/>
    </row>
    <row r="6679" spans="20:20" x14ac:dyDescent="0.25">
      <c r="T6679" s="98"/>
    </row>
    <row r="6680" spans="20:20" x14ac:dyDescent="0.25">
      <c r="T6680" s="98"/>
    </row>
    <row r="6681" spans="20:20" x14ac:dyDescent="0.25">
      <c r="T6681" s="98"/>
    </row>
    <row r="6682" spans="20:20" x14ac:dyDescent="0.25">
      <c r="T6682" s="98"/>
    </row>
    <row r="6683" spans="20:20" x14ac:dyDescent="0.25">
      <c r="T6683" s="98"/>
    </row>
    <row r="6684" spans="20:20" x14ac:dyDescent="0.25">
      <c r="T6684" s="98"/>
    </row>
    <row r="6685" spans="20:20" x14ac:dyDescent="0.25">
      <c r="T6685" s="98"/>
    </row>
    <row r="6686" spans="20:20" x14ac:dyDescent="0.25">
      <c r="T6686" s="98"/>
    </row>
    <row r="6687" spans="20:20" x14ac:dyDescent="0.25">
      <c r="T6687" s="98"/>
    </row>
    <row r="6688" spans="20:20" x14ac:dyDescent="0.25">
      <c r="T6688" s="98"/>
    </row>
    <row r="6689" spans="20:20" x14ac:dyDescent="0.25">
      <c r="T6689" s="98"/>
    </row>
    <row r="6690" spans="20:20" x14ac:dyDescent="0.25">
      <c r="T6690" s="98"/>
    </row>
    <row r="6691" spans="20:20" x14ac:dyDescent="0.25">
      <c r="T6691" s="98"/>
    </row>
    <row r="6692" spans="20:20" x14ac:dyDescent="0.25">
      <c r="T6692" s="98"/>
    </row>
    <row r="6693" spans="20:20" x14ac:dyDescent="0.25">
      <c r="T6693" s="98"/>
    </row>
    <row r="6694" spans="20:20" x14ac:dyDescent="0.25">
      <c r="T6694" s="98"/>
    </row>
    <row r="6695" spans="20:20" x14ac:dyDescent="0.25">
      <c r="T6695" s="98"/>
    </row>
    <row r="6696" spans="20:20" x14ac:dyDescent="0.25">
      <c r="T6696" s="98"/>
    </row>
    <row r="6697" spans="20:20" x14ac:dyDescent="0.25">
      <c r="T6697" s="98"/>
    </row>
    <row r="6698" spans="20:20" x14ac:dyDescent="0.25">
      <c r="T6698" s="98"/>
    </row>
    <row r="6699" spans="20:20" x14ac:dyDescent="0.25">
      <c r="T6699" s="98"/>
    </row>
    <row r="6700" spans="20:20" x14ac:dyDescent="0.25">
      <c r="T6700" s="98"/>
    </row>
    <row r="6701" spans="20:20" x14ac:dyDescent="0.25">
      <c r="T6701" s="98"/>
    </row>
    <row r="6702" spans="20:20" x14ac:dyDescent="0.25">
      <c r="T6702" s="98"/>
    </row>
    <row r="6703" spans="20:20" x14ac:dyDescent="0.25">
      <c r="T6703" s="98"/>
    </row>
    <row r="6704" spans="20:20" x14ac:dyDescent="0.25">
      <c r="T6704" s="98"/>
    </row>
    <row r="6705" spans="20:20" x14ac:dyDescent="0.25">
      <c r="T6705" s="98"/>
    </row>
    <row r="6706" spans="20:20" x14ac:dyDescent="0.25">
      <c r="T6706" s="98"/>
    </row>
    <row r="6707" spans="20:20" x14ac:dyDescent="0.25">
      <c r="T6707" s="98"/>
    </row>
    <row r="6708" spans="20:20" x14ac:dyDescent="0.25">
      <c r="T6708" s="98"/>
    </row>
    <row r="6709" spans="20:20" x14ac:dyDescent="0.25">
      <c r="T6709" s="98"/>
    </row>
    <row r="6710" spans="20:20" x14ac:dyDescent="0.25">
      <c r="T6710" s="98"/>
    </row>
    <row r="6711" spans="20:20" x14ac:dyDescent="0.25">
      <c r="T6711" s="98"/>
    </row>
    <row r="6712" spans="20:20" x14ac:dyDescent="0.25">
      <c r="T6712" s="98"/>
    </row>
    <row r="6713" spans="20:20" x14ac:dyDescent="0.25">
      <c r="T6713" s="98"/>
    </row>
    <row r="6714" spans="20:20" x14ac:dyDescent="0.25">
      <c r="T6714" s="98"/>
    </row>
    <row r="6715" spans="20:20" x14ac:dyDescent="0.25">
      <c r="T6715" s="98"/>
    </row>
    <row r="6716" spans="20:20" x14ac:dyDescent="0.25">
      <c r="T6716" s="98"/>
    </row>
    <row r="6717" spans="20:20" x14ac:dyDescent="0.25">
      <c r="T6717" s="98"/>
    </row>
    <row r="6718" spans="20:20" x14ac:dyDescent="0.25">
      <c r="T6718" s="98"/>
    </row>
    <row r="6719" spans="20:20" x14ac:dyDescent="0.25">
      <c r="T6719" s="98"/>
    </row>
    <row r="6720" spans="20:20" x14ac:dyDescent="0.25">
      <c r="T6720" s="98"/>
    </row>
    <row r="6721" spans="20:20" x14ac:dyDescent="0.25">
      <c r="T6721" s="98"/>
    </row>
    <row r="6722" spans="20:20" x14ac:dyDescent="0.25">
      <c r="T6722" s="98"/>
    </row>
    <row r="6723" spans="20:20" x14ac:dyDescent="0.25">
      <c r="T6723" s="98"/>
    </row>
    <row r="6724" spans="20:20" x14ac:dyDescent="0.25">
      <c r="T6724" s="98"/>
    </row>
    <row r="6725" spans="20:20" x14ac:dyDescent="0.25">
      <c r="T6725" s="98"/>
    </row>
    <row r="6726" spans="20:20" x14ac:dyDescent="0.25">
      <c r="T6726" s="98"/>
    </row>
    <row r="6727" spans="20:20" x14ac:dyDescent="0.25">
      <c r="T6727" s="98"/>
    </row>
    <row r="6728" spans="20:20" x14ac:dyDescent="0.25">
      <c r="T6728" s="98"/>
    </row>
    <row r="6729" spans="20:20" x14ac:dyDescent="0.25">
      <c r="T6729" s="98"/>
    </row>
    <row r="6730" spans="20:20" x14ac:dyDescent="0.25">
      <c r="T6730" s="98"/>
    </row>
    <row r="6731" spans="20:20" x14ac:dyDescent="0.25">
      <c r="T6731" s="98"/>
    </row>
    <row r="6732" spans="20:20" x14ac:dyDescent="0.25">
      <c r="T6732" s="98"/>
    </row>
    <row r="6733" spans="20:20" x14ac:dyDescent="0.25">
      <c r="T6733" s="98"/>
    </row>
    <row r="6734" spans="20:20" x14ac:dyDescent="0.25">
      <c r="T6734" s="98"/>
    </row>
    <row r="6735" spans="20:20" x14ac:dyDescent="0.25">
      <c r="T6735" s="98"/>
    </row>
    <row r="6736" spans="20:20" x14ac:dyDescent="0.25">
      <c r="T6736" s="98"/>
    </row>
    <row r="6737" spans="20:20" x14ac:dyDescent="0.25">
      <c r="T6737" s="98"/>
    </row>
    <row r="6738" spans="20:20" x14ac:dyDescent="0.25">
      <c r="T6738" s="98"/>
    </row>
    <row r="6739" spans="20:20" x14ac:dyDescent="0.25">
      <c r="T6739" s="98"/>
    </row>
    <row r="6740" spans="20:20" x14ac:dyDescent="0.25">
      <c r="T6740" s="98"/>
    </row>
    <row r="6741" spans="20:20" x14ac:dyDescent="0.25">
      <c r="T6741" s="98"/>
    </row>
    <row r="6742" spans="20:20" x14ac:dyDescent="0.25">
      <c r="T6742" s="98"/>
    </row>
    <row r="6743" spans="20:20" x14ac:dyDescent="0.25">
      <c r="T6743" s="98"/>
    </row>
    <row r="6744" spans="20:20" x14ac:dyDescent="0.25">
      <c r="T6744" s="98"/>
    </row>
    <row r="6745" spans="20:20" x14ac:dyDescent="0.25">
      <c r="T6745" s="98"/>
    </row>
    <row r="6746" spans="20:20" x14ac:dyDescent="0.25">
      <c r="T6746" s="98"/>
    </row>
    <row r="6747" spans="20:20" x14ac:dyDescent="0.25">
      <c r="T6747" s="98"/>
    </row>
    <row r="6748" spans="20:20" x14ac:dyDescent="0.25">
      <c r="T6748" s="98"/>
    </row>
    <row r="6749" spans="20:20" x14ac:dyDescent="0.25">
      <c r="T6749" s="98"/>
    </row>
    <row r="6750" spans="20:20" x14ac:dyDescent="0.25">
      <c r="T6750" s="98"/>
    </row>
    <row r="6751" spans="20:20" x14ac:dyDescent="0.25">
      <c r="T6751" s="98"/>
    </row>
    <row r="6752" spans="20:20" x14ac:dyDescent="0.25">
      <c r="T6752" s="98"/>
    </row>
    <row r="6753" spans="20:20" x14ac:dyDescent="0.25">
      <c r="T6753" s="98"/>
    </row>
    <row r="6754" spans="20:20" x14ac:dyDescent="0.25">
      <c r="T6754" s="98"/>
    </row>
    <row r="6755" spans="20:20" x14ac:dyDescent="0.25">
      <c r="T6755" s="98"/>
    </row>
    <row r="6756" spans="20:20" x14ac:dyDescent="0.25">
      <c r="T6756" s="98"/>
    </row>
    <row r="6757" spans="20:20" x14ac:dyDescent="0.25">
      <c r="T6757" s="98"/>
    </row>
    <row r="6758" spans="20:20" x14ac:dyDescent="0.25">
      <c r="T6758" s="98"/>
    </row>
    <row r="6759" spans="20:20" x14ac:dyDescent="0.25">
      <c r="T6759" s="98"/>
    </row>
    <row r="6760" spans="20:20" x14ac:dyDescent="0.25">
      <c r="T6760" s="98"/>
    </row>
    <row r="6761" spans="20:20" x14ac:dyDescent="0.25">
      <c r="T6761" s="98"/>
    </row>
    <row r="6762" spans="20:20" x14ac:dyDescent="0.25">
      <c r="T6762" s="98"/>
    </row>
    <row r="6763" spans="20:20" x14ac:dyDescent="0.25">
      <c r="T6763" s="98"/>
    </row>
    <row r="6764" spans="20:20" x14ac:dyDescent="0.25">
      <c r="T6764" s="98"/>
    </row>
    <row r="6765" spans="20:20" x14ac:dyDescent="0.25">
      <c r="T6765" s="98"/>
    </row>
    <row r="6766" spans="20:20" x14ac:dyDescent="0.25">
      <c r="T6766" s="98"/>
    </row>
    <row r="6767" spans="20:20" x14ac:dyDescent="0.25">
      <c r="T6767" s="98"/>
    </row>
    <row r="6768" spans="20:20" x14ac:dyDescent="0.25">
      <c r="T6768" s="98"/>
    </row>
    <row r="6769" spans="20:20" x14ac:dyDescent="0.25">
      <c r="T6769" s="98"/>
    </row>
    <row r="6770" spans="20:20" x14ac:dyDescent="0.25">
      <c r="T6770" s="98"/>
    </row>
    <row r="6771" spans="20:20" x14ac:dyDescent="0.25">
      <c r="T6771" s="98"/>
    </row>
    <row r="6772" spans="20:20" x14ac:dyDescent="0.25">
      <c r="T6772" s="98"/>
    </row>
    <row r="6773" spans="20:20" x14ac:dyDescent="0.25">
      <c r="T6773" s="98"/>
    </row>
    <row r="6774" spans="20:20" x14ac:dyDescent="0.25">
      <c r="T6774" s="98"/>
    </row>
    <row r="6775" spans="20:20" x14ac:dyDescent="0.25">
      <c r="T6775" s="98"/>
    </row>
    <row r="6776" spans="20:20" x14ac:dyDescent="0.25">
      <c r="T6776" s="98"/>
    </row>
    <row r="6777" spans="20:20" x14ac:dyDescent="0.25">
      <c r="T6777" s="98"/>
    </row>
    <row r="6778" spans="20:20" x14ac:dyDescent="0.25">
      <c r="T6778" s="98"/>
    </row>
    <row r="6779" spans="20:20" x14ac:dyDescent="0.25">
      <c r="T6779" s="98"/>
    </row>
    <row r="6780" spans="20:20" x14ac:dyDescent="0.25">
      <c r="T6780" s="98"/>
    </row>
    <row r="6781" spans="20:20" x14ac:dyDescent="0.25">
      <c r="T6781" s="98"/>
    </row>
    <row r="6782" spans="20:20" x14ac:dyDescent="0.25">
      <c r="T6782" s="98"/>
    </row>
    <row r="6783" spans="20:20" x14ac:dyDescent="0.25">
      <c r="T6783" s="98"/>
    </row>
    <row r="6784" spans="20:20" x14ac:dyDescent="0.25">
      <c r="T6784" s="98"/>
    </row>
    <row r="6785" spans="20:20" x14ac:dyDescent="0.25">
      <c r="T6785" s="98"/>
    </row>
    <row r="6786" spans="20:20" x14ac:dyDescent="0.25">
      <c r="T6786" s="98"/>
    </row>
    <row r="6787" spans="20:20" x14ac:dyDescent="0.25">
      <c r="T6787" s="98"/>
    </row>
    <row r="6788" spans="20:20" x14ac:dyDescent="0.25">
      <c r="T6788" s="98"/>
    </row>
    <row r="6789" spans="20:20" x14ac:dyDescent="0.25">
      <c r="T6789" s="98"/>
    </row>
    <row r="6790" spans="20:20" x14ac:dyDescent="0.25">
      <c r="T6790" s="98"/>
    </row>
    <row r="6791" spans="20:20" x14ac:dyDescent="0.25">
      <c r="T6791" s="98"/>
    </row>
    <row r="6792" spans="20:20" x14ac:dyDescent="0.25">
      <c r="T6792" s="98"/>
    </row>
    <row r="6793" spans="20:20" x14ac:dyDescent="0.25">
      <c r="T6793" s="98"/>
    </row>
    <row r="6794" spans="20:20" x14ac:dyDescent="0.25">
      <c r="T6794" s="98"/>
    </row>
    <row r="6795" spans="20:20" x14ac:dyDescent="0.25">
      <c r="T6795" s="98"/>
    </row>
    <row r="6796" spans="20:20" x14ac:dyDescent="0.25">
      <c r="T6796" s="98"/>
    </row>
    <row r="6797" spans="20:20" x14ac:dyDescent="0.25">
      <c r="T6797" s="98"/>
    </row>
    <row r="6798" spans="20:20" x14ac:dyDescent="0.25">
      <c r="T6798" s="98"/>
    </row>
    <row r="6799" spans="20:20" x14ac:dyDescent="0.25">
      <c r="T6799" s="98"/>
    </row>
    <row r="6800" spans="20:20" x14ac:dyDescent="0.25">
      <c r="T6800" s="98"/>
    </row>
    <row r="6801" spans="20:20" x14ac:dyDescent="0.25">
      <c r="T6801" s="98"/>
    </row>
    <row r="6802" spans="20:20" x14ac:dyDescent="0.25">
      <c r="T6802" s="98"/>
    </row>
    <row r="6803" spans="20:20" x14ac:dyDescent="0.25">
      <c r="T6803" s="98"/>
    </row>
    <row r="6804" spans="20:20" x14ac:dyDescent="0.25">
      <c r="T6804" s="98"/>
    </row>
    <row r="6805" spans="20:20" x14ac:dyDescent="0.25">
      <c r="T6805" s="98"/>
    </row>
    <row r="6806" spans="20:20" x14ac:dyDescent="0.25">
      <c r="T6806" s="98"/>
    </row>
    <row r="6807" spans="20:20" x14ac:dyDescent="0.25">
      <c r="T6807" s="98"/>
    </row>
    <row r="6808" spans="20:20" x14ac:dyDescent="0.25">
      <c r="T6808" s="98"/>
    </row>
    <row r="6809" spans="20:20" x14ac:dyDescent="0.25">
      <c r="T6809" s="98"/>
    </row>
    <row r="6810" spans="20:20" x14ac:dyDescent="0.25">
      <c r="T6810" s="98"/>
    </row>
    <row r="6811" spans="20:20" x14ac:dyDescent="0.25">
      <c r="T6811" s="98"/>
    </row>
    <row r="6812" spans="20:20" x14ac:dyDescent="0.25">
      <c r="T6812" s="98"/>
    </row>
    <row r="6813" spans="20:20" x14ac:dyDescent="0.25">
      <c r="T6813" s="98"/>
    </row>
    <row r="6814" spans="20:20" x14ac:dyDescent="0.25">
      <c r="T6814" s="98"/>
    </row>
    <row r="6815" spans="20:20" x14ac:dyDescent="0.25">
      <c r="T6815" s="98"/>
    </row>
    <row r="6816" spans="20:20" x14ac:dyDescent="0.25">
      <c r="T6816" s="98"/>
    </row>
    <row r="6817" spans="20:20" x14ac:dyDescent="0.25">
      <c r="T6817" s="98"/>
    </row>
    <row r="6818" spans="20:20" x14ac:dyDescent="0.25">
      <c r="T6818" s="98"/>
    </row>
    <row r="6819" spans="20:20" x14ac:dyDescent="0.25">
      <c r="T6819" s="98"/>
    </row>
    <row r="6820" spans="20:20" x14ac:dyDescent="0.25">
      <c r="T6820" s="98"/>
    </row>
    <row r="6821" spans="20:20" x14ac:dyDescent="0.25">
      <c r="T6821" s="98"/>
    </row>
    <row r="6822" spans="20:20" x14ac:dyDescent="0.25">
      <c r="T6822" s="98"/>
    </row>
    <row r="6823" spans="20:20" x14ac:dyDescent="0.25">
      <c r="T6823" s="98"/>
    </row>
    <row r="6824" spans="20:20" x14ac:dyDescent="0.25">
      <c r="T6824" s="98"/>
    </row>
    <row r="6825" spans="20:20" x14ac:dyDescent="0.25">
      <c r="T6825" s="98"/>
    </row>
    <row r="6826" spans="20:20" x14ac:dyDescent="0.25">
      <c r="T6826" s="98"/>
    </row>
    <row r="6827" spans="20:20" x14ac:dyDescent="0.25">
      <c r="T6827" s="98"/>
    </row>
    <row r="6828" spans="20:20" x14ac:dyDescent="0.25">
      <c r="T6828" s="98"/>
    </row>
    <row r="6829" spans="20:20" x14ac:dyDescent="0.25">
      <c r="T6829" s="98"/>
    </row>
    <row r="6830" spans="20:20" x14ac:dyDescent="0.25">
      <c r="T6830" s="98"/>
    </row>
    <row r="6831" spans="20:20" x14ac:dyDescent="0.25">
      <c r="T6831" s="98"/>
    </row>
    <row r="6832" spans="20:20" x14ac:dyDescent="0.25">
      <c r="T6832" s="98"/>
    </row>
    <row r="6833" spans="20:20" x14ac:dyDescent="0.25">
      <c r="T6833" s="98"/>
    </row>
    <row r="6834" spans="20:20" x14ac:dyDescent="0.25">
      <c r="T6834" s="98"/>
    </row>
    <row r="6835" spans="20:20" x14ac:dyDescent="0.25">
      <c r="T6835" s="98"/>
    </row>
    <row r="6836" spans="20:20" x14ac:dyDescent="0.25">
      <c r="T6836" s="98"/>
    </row>
    <row r="6837" spans="20:20" x14ac:dyDescent="0.25">
      <c r="T6837" s="98"/>
    </row>
    <row r="6838" spans="20:20" x14ac:dyDescent="0.25">
      <c r="T6838" s="98"/>
    </row>
    <row r="6839" spans="20:20" x14ac:dyDescent="0.25">
      <c r="T6839" s="98"/>
    </row>
    <row r="6840" spans="20:20" x14ac:dyDescent="0.25">
      <c r="T6840" s="98"/>
    </row>
    <row r="6841" spans="20:20" x14ac:dyDescent="0.25">
      <c r="T6841" s="98"/>
    </row>
    <row r="6842" spans="20:20" x14ac:dyDescent="0.25">
      <c r="T6842" s="98"/>
    </row>
    <row r="6843" spans="20:20" x14ac:dyDescent="0.25">
      <c r="T6843" s="98"/>
    </row>
    <row r="6844" spans="20:20" x14ac:dyDescent="0.25">
      <c r="T6844" s="98"/>
    </row>
    <row r="6845" spans="20:20" x14ac:dyDescent="0.25">
      <c r="T6845" s="98"/>
    </row>
    <row r="6846" spans="20:20" x14ac:dyDescent="0.25">
      <c r="T6846" s="98"/>
    </row>
    <row r="6847" spans="20:20" x14ac:dyDescent="0.25">
      <c r="T6847" s="98"/>
    </row>
    <row r="6848" spans="20:20" x14ac:dyDescent="0.25">
      <c r="T6848" s="98"/>
    </row>
    <row r="6849" spans="20:20" x14ac:dyDescent="0.25">
      <c r="T6849" s="98"/>
    </row>
    <row r="6850" spans="20:20" x14ac:dyDescent="0.25">
      <c r="T6850" s="98"/>
    </row>
    <row r="6851" spans="20:20" x14ac:dyDescent="0.25">
      <c r="T6851" s="98"/>
    </row>
    <row r="6852" spans="20:20" x14ac:dyDescent="0.25">
      <c r="T6852" s="98"/>
    </row>
    <row r="6853" spans="20:20" x14ac:dyDescent="0.25">
      <c r="T6853" s="98"/>
    </row>
    <row r="6854" spans="20:20" x14ac:dyDescent="0.25">
      <c r="T6854" s="98"/>
    </row>
    <row r="6855" spans="20:20" x14ac:dyDescent="0.25">
      <c r="T6855" s="98"/>
    </row>
    <row r="6856" spans="20:20" x14ac:dyDescent="0.25">
      <c r="T6856" s="98"/>
    </row>
    <row r="6857" spans="20:20" x14ac:dyDescent="0.25">
      <c r="T6857" s="98"/>
    </row>
    <row r="6858" spans="20:20" x14ac:dyDescent="0.25">
      <c r="T6858" s="98"/>
    </row>
    <row r="6859" spans="20:20" x14ac:dyDescent="0.25">
      <c r="T6859" s="98"/>
    </row>
    <row r="6860" spans="20:20" x14ac:dyDescent="0.25">
      <c r="T6860" s="98"/>
    </row>
    <row r="6861" spans="20:20" x14ac:dyDescent="0.25">
      <c r="T6861" s="98"/>
    </row>
    <row r="6862" spans="20:20" x14ac:dyDescent="0.25">
      <c r="T6862" s="98"/>
    </row>
    <row r="6863" spans="20:20" x14ac:dyDescent="0.25">
      <c r="T6863" s="98"/>
    </row>
    <row r="6864" spans="20:20" x14ac:dyDescent="0.25">
      <c r="T6864" s="98"/>
    </row>
    <row r="6865" spans="20:20" x14ac:dyDescent="0.25">
      <c r="T6865" s="98"/>
    </row>
    <row r="6866" spans="20:20" x14ac:dyDescent="0.25">
      <c r="T6866" s="98"/>
    </row>
    <row r="6867" spans="20:20" x14ac:dyDescent="0.25">
      <c r="T6867" s="98"/>
    </row>
    <row r="6868" spans="20:20" x14ac:dyDescent="0.25">
      <c r="T6868" s="98"/>
    </row>
    <row r="6869" spans="20:20" x14ac:dyDescent="0.25">
      <c r="T6869" s="98"/>
    </row>
    <row r="6870" spans="20:20" x14ac:dyDescent="0.25">
      <c r="T6870" s="98"/>
    </row>
    <row r="6871" spans="20:20" x14ac:dyDescent="0.25">
      <c r="T6871" s="98"/>
    </row>
    <row r="6872" spans="20:20" x14ac:dyDescent="0.25">
      <c r="T6872" s="98"/>
    </row>
    <row r="6873" spans="20:20" x14ac:dyDescent="0.25">
      <c r="T6873" s="98"/>
    </row>
    <row r="6874" spans="20:20" x14ac:dyDescent="0.25">
      <c r="T6874" s="98"/>
    </row>
    <row r="6875" spans="20:20" x14ac:dyDescent="0.25">
      <c r="T6875" s="98"/>
    </row>
    <row r="6876" spans="20:20" x14ac:dyDescent="0.25">
      <c r="T6876" s="98"/>
    </row>
    <row r="6877" spans="20:20" x14ac:dyDescent="0.25">
      <c r="T6877" s="98"/>
    </row>
    <row r="6878" spans="20:20" x14ac:dyDescent="0.25">
      <c r="T6878" s="98"/>
    </row>
    <row r="6879" spans="20:20" x14ac:dyDescent="0.25">
      <c r="T6879" s="98"/>
    </row>
    <row r="6880" spans="20:20" x14ac:dyDescent="0.25">
      <c r="T6880" s="98"/>
    </row>
    <row r="6881" spans="20:20" x14ac:dyDescent="0.25">
      <c r="T6881" s="98"/>
    </row>
    <row r="6882" spans="20:20" x14ac:dyDescent="0.25">
      <c r="T6882" s="98"/>
    </row>
    <row r="6883" spans="20:20" x14ac:dyDescent="0.25">
      <c r="T6883" s="98"/>
    </row>
    <row r="6884" spans="20:20" x14ac:dyDescent="0.25">
      <c r="T6884" s="98"/>
    </row>
    <row r="6885" spans="20:20" x14ac:dyDescent="0.25">
      <c r="T6885" s="98"/>
    </row>
    <row r="6886" spans="20:20" x14ac:dyDescent="0.25">
      <c r="T6886" s="98"/>
    </row>
    <row r="6887" spans="20:20" x14ac:dyDescent="0.25">
      <c r="T6887" s="98"/>
    </row>
    <row r="6888" spans="20:20" x14ac:dyDescent="0.25">
      <c r="T6888" s="98"/>
    </row>
    <row r="6889" spans="20:20" x14ac:dyDescent="0.25">
      <c r="T6889" s="98"/>
    </row>
    <row r="6890" spans="20:20" x14ac:dyDescent="0.25">
      <c r="T6890" s="98"/>
    </row>
    <row r="6891" spans="20:20" x14ac:dyDescent="0.25">
      <c r="T6891" s="98"/>
    </row>
    <row r="6892" spans="20:20" x14ac:dyDescent="0.25">
      <c r="T6892" s="98"/>
    </row>
    <row r="6893" spans="20:20" x14ac:dyDescent="0.25">
      <c r="T6893" s="98"/>
    </row>
    <row r="6894" spans="20:20" x14ac:dyDescent="0.25">
      <c r="T6894" s="98"/>
    </row>
    <row r="6895" spans="20:20" x14ac:dyDescent="0.25">
      <c r="T6895" s="98"/>
    </row>
    <row r="6896" spans="20:20" x14ac:dyDescent="0.25">
      <c r="T6896" s="98"/>
    </row>
    <row r="6897" spans="20:20" x14ac:dyDescent="0.25">
      <c r="T6897" s="98"/>
    </row>
    <row r="6898" spans="20:20" x14ac:dyDescent="0.25">
      <c r="T6898" s="98"/>
    </row>
    <row r="6899" spans="20:20" x14ac:dyDescent="0.25">
      <c r="T6899" s="98"/>
    </row>
    <row r="6900" spans="20:20" x14ac:dyDescent="0.25">
      <c r="T6900" s="98"/>
    </row>
    <row r="6901" spans="20:20" x14ac:dyDescent="0.25">
      <c r="T6901" s="98"/>
    </row>
    <row r="6902" spans="20:20" x14ac:dyDescent="0.25">
      <c r="T6902" s="98"/>
    </row>
    <row r="6903" spans="20:20" x14ac:dyDescent="0.25">
      <c r="T6903" s="98"/>
    </row>
    <row r="6904" spans="20:20" x14ac:dyDescent="0.25">
      <c r="T6904" s="98"/>
    </row>
    <row r="6905" spans="20:20" x14ac:dyDescent="0.25">
      <c r="T6905" s="98"/>
    </row>
    <row r="6906" spans="20:20" x14ac:dyDescent="0.25">
      <c r="T6906" s="98"/>
    </row>
    <row r="6907" spans="20:20" x14ac:dyDescent="0.25">
      <c r="T6907" s="98"/>
    </row>
    <row r="6908" spans="20:20" x14ac:dyDescent="0.25">
      <c r="T6908" s="98"/>
    </row>
    <row r="6909" spans="20:20" x14ac:dyDescent="0.25">
      <c r="T6909" s="98"/>
    </row>
    <row r="6910" spans="20:20" x14ac:dyDescent="0.25">
      <c r="T6910" s="98"/>
    </row>
    <row r="6911" spans="20:20" x14ac:dyDescent="0.25">
      <c r="T6911" s="98"/>
    </row>
    <row r="6912" spans="20:20" x14ac:dyDescent="0.25">
      <c r="T6912" s="98"/>
    </row>
    <row r="6913" spans="20:20" x14ac:dyDescent="0.25">
      <c r="T6913" s="98"/>
    </row>
    <row r="6914" spans="20:20" x14ac:dyDescent="0.25">
      <c r="T6914" s="98"/>
    </row>
    <row r="6915" spans="20:20" x14ac:dyDescent="0.25">
      <c r="T6915" s="98"/>
    </row>
    <row r="6916" spans="20:20" x14ac:dyDescent="0.25">
      <c r="T6916" s="98"/>
    </row>
    <row r="6917" spans="20:20" x14ac:dyDescent="0.25">
      <c r="T6917" s="98"/>
    </row>
    <row r="6918" spans="20:20" x14ac:dyDescent="0.25">
      <c r="T6918" s="98"/>
    </row>
    <row r="6919" spans="20:20" x14ac:dyDescent="0.25">
      <c r="T6919" s="98"/>
    </row>
    <row r="6920" spans="20:20" x14ac:dyDescent="0.25">
      <c r="T6920" s="98"/>
    </row>
    <row r="6921" spans="20:20" x14ac:dyDescent="0.25">
      <c r="T6921" s="98"/>
    </row>
    <row r="6922" spans="20:20" x14ac:dyDescent="0.25">
      <c r="T6922" s="98"/>
    </row>
    <row r="6923" spans="20:20" x14ac:dyDescent="0.25">
      <c r="T6923" s="98"/>
    </row>
    <row r="6924" spans="20:20" x14ac:dyDescent="0.25">
      <c r="T6924" s="98"/>
    </row>
    <row r="6925" spans="20:20" x14ac:dyDescent="0.25">
      <c r="T6925" s="98"/>
    </row>
    <row r="6926" spans="20:20" x14ac:dyDescent="0.25">
      <c r="T6926" s="98"/>
    </row>
    <row r="6927" spans="20:20" x14ac:dyDescent="0.25">
      <c r="T6927" s="98"/>
    </row>
    <row r="6928" spans="20:20" x14ac:dyDescent="0.25">
      <c r="T6928" s="98"/>
    </row>
    <row r="6929" spans="20:20" x14ac:dyDescent="0.25">
      <c r="T6929" s="98"/>
    </row>
    <row r="6930" spans="20:20" x14ac:dyDescent="0.25">
      <c r="T6930" s="98"/>
    </row>
    <row r="6931" spans="20:20" x14ac:dyDescent="0.25">
      <c r="T6931" s="98"/>
    </row>
    <row r="6932" spans="20:20" x14ac:dyDescent="0.25">
      <c r="T6932" s="98"/>
    </row>
    <row r="6933" spans="20:20" x14ac:dyDescent="0.25">
      <c r="T6933" s="98"/>
    </row>
    <row r="6934" spans="20:20" x14ac:dyDescent="0.25">
      <c r="T6934" s="98"/>
    </row>
    <row r="6935" spans="20:20" x14ac:dyDescent="0.25">
      <c r="T6935" s="98"/>
    </row>
    <row r="6936" spans="20:20" x14ac:dyDescent="0.25">
      <c r="T6936" s="98"/>
    </row>
    <row r="6937" spans="20:20" x14ac:dyDescent="0.25">
      <c r="T6937" s="98"/>
    </row>
    <row r="6938" spans="20:20" x14ac:dyDescent="0.25">
      <c r="T6938" s="98"/>
    </row>
    <row r="6939" spans="20:20" x14ac:dyDescent="0.25">
      <c r="T6939" s="98"/>
    </row>
    <row r="6940" spans="20:20" x14ac:dyDescent="0.25">
      <c r="T6940" s="98"/>
    </row>
    <row r="6941" spans="20:20" x14ac:dyDescent="0.25">
      <c r="T6941" s="98"/>
    </row>
    <row r="6942" spans="20:20" x14ac:dyDescent="0.25">
      <c r="T6942" s="98"/>
    </row>
    <row r="6943" spans="20:20" x14ac:dyDescent="0.25">
      <c r="T6943" s="98"/>
    </row>
    <row r="6944" spans="20:20" x14ac:dyDescent="0.25">
      <c r="T6944" s="98"/>
    </row>
    <row r="6945" spans="20:20" x14ac:dyDescent="0.25">
      <c r="T6945" s="98"/>
    </row>
    <row r="6946" spans="20:20" x14ac:dyDescent="0.25">
      <c r="T6946" s="98"/>
    </row>
    <row r="6947" spans="20:20" x14ac:dyDescent="0.25">
      <c r="T6947" s="98"/>
    </row>
    <row r="6948" spans="20:20" x14ac:dyDescent="0.25">
      <c r="T6948" s="98"/>
    </row>
    <row r="6949" spans="20:20" x14ac:dyDescent="0.25">
      <c r="T6949" s="98"/>
    </row>
    <row r="6950" spans="20:20" x14ac:dyDescent="0.25">
      <c r="T6950" s="98"/>
    </row>
    <row r="6951" spans="20:20" x14ac:dyDescent="0.25">
      <c r="T6951" s="98"/>
    </row>
    <row r="6952" spans="20:20" x14ac:dyDescent="0.25">
      <c r="T6952" s="98"/>
    </row>
    <row r="6953" spans="20:20" x14ac:dyDescent="0.25">
      <c r="T6953" s="98"/>
    </row>
    <row r="6954" spans="20:20" x14ac:dyDescent="0.25">
      <c r="T6954" s="98"/>
    </row>
    <row r="6955" spans="20:20" x14ac:dyDescent="0.25">
      <c r="T6955" s="98"/>
    </row>
    <row r="6956" spans="20:20" x14ac:dyDescent="0.25">
      <c r="T6956" s="98"/>
    </row>
    <row r="6957" spans="20:20" x14ac:dyDescent="0.25">
      <c r="T6957" s="98"/>
    </row>
    <row r="6958" spans="20:20" x14ac:dyDescent="0.25">
      <c r="T6958" s="98"/>
    </row>
    <row r="6959" spans="20:20" x14ac:dyDescent="0.25">
      <c r="T6959" s="98"/>
    </row>
    <row r="6960" spans="20:20" x14ac:dyDescent="0.25">
      <c r="T6960" s="98"/>
    </row>
    <row r="6961" spans="20:20" x14ac:dyDescent="0.25">
      <c r="T6961" s="98"/>
    </row>
    <row r="6962" spans="20:20" x14ac:dyDescent="0.25">
      <c r="T6962" s="98"/>
    </row>
    <row r="6963" spans="20:20" x14ac:dyDescent="0.25">
      <c r="T6963" s="98"/>
    </row>
    <row r="6964" spans="20:20" x14ac:dyDescent="0.25">
      <c r="T6964" s="98"/>
    </row>
    <row r="6965" spans="20:20" x14ac:dyDescent="0.25">
      <c r="T6965" s="98"/>
    </row>
    <row r="6966" spans="20:20" x14ac:dyDescent="0.25">
      <c r="T6966" s="98"/>
    </row>
    <row r="6967" spans="20:20" x14ac:dyDescent="0.25">
      <c r="T6967" s="98"/>
    </row>
    <row r="6968" spans="20:20" x14ac:dyDescent="0.25">
      <c r="T6968" s="98"/>
    </row>
    <row r="6969" spans="20:20" x14ac:dyDescent="0.25">
      <c r="T6969" s="98"/>
    </row>
    <row r="6970" spans="20:20" x14ac:dyDescent="0.25">
      <c r="T6970" s="98"/>
    </row>
    <row r="6971" spans="20:20" x14ac:dyDescent="0.25">
      <c r="T6971" s="98"/>
    </row>
    <row r="6972" spans="20:20" x14ac:dyDescent="0.25">
      <c r="T6972" s="98"/>
    </row>
    <row r="6973" spans="20:20" x14ac:dyDescent="0.25">
      <c r="T6973" s="98"/>
    </row>
    <row r="6974" spans="20:20" x14ac:dyDescent="0.25">
      <c r="T6974" s="98"/>
    </row>
    <row r="6975" spans="20:20" x14ac:dyDescent="0.25">
      <c r="T6975" s="98"/>
    </row>
    <row r="6976" spans="20:20" x14ac:dyDescent="0.25">
      <c r="T6976" s="98"/>
    </row>
    <row r="6977" spans="20:20" x14ac:dyDescent="0.25">
      <c r="T6977" s="98"/>
    </row>
    <row r="6978" spans="20:20" x14ac:dyDescent="0.25">
      <c r="T6978" s="98"/>
    </row>
    <row r="6979" spans="20:20" x14ac:dyDescent="0.25">
      <c r="T6979" s="98"/>
    </row>
    <row r="6980" spans="20:20" x14ac:dyDescent="0.25">
      <c r="T6980" s="98"/>
    </row>
    <row r="6981" spans="20:20" x14ac:dyDescent="0.25">
      <c r="T6981" s="98"/>
    </row>
    <row r="6982" spans="20:20" x14ac:dyDescent="0.25">
      <c r="T6982" s="98"/>
    </row>
    <row r="6983" spans="20:20" x14ac:dyDescent="0.25">
      <c r="T6983" s="98"/>
    </row>
    <row r="6984" spans="20:20" x14ac:dyDescent="0.25">
      <c r="T6984" s="98"/>
    </row>
    <row r="6985" spans="20:20" x14ac:dyDescent="0.25">
      <c r="T6985" s="98"/>
    </row>
    <row r="6986" spans="20:20" x14ac:dyDescent="0.25">
      <c r="T6986" s="98"/>
    </row>
    <row r="6987" spans="20:20" x14ac:dyDescent="0.25">
      <c r="T6987" s="98"/>
    </row>
    <row r="6988" spans="20:20" x14ac:dyDescent="0.25">
      <c r="T6988" s="98"/>
    </row>
    <row r="6989" spans="20:20" x14ac:dyDescent="0.25">
      <c r="T6989" s="98"/>
    </row>
    <row r="6990" spans="20:20" x14ac:dyDescent="0.25">
      <c r="T6990" s="98"/>
    </row>
    <row r="6991" spans="20:20" x14ac:dyDescent="0.25">
      <c r="T6991" s="98"/>
    </row>
    <row r="6992" spans="20:20" x14ac:dyDescent="0.25">
      <c r="T6992" s="98"/>
    </row>
    <row r="6993" spans="20:20" x14ac:dyDescent="0.25">
      <c r="T6993" s="98"/>
    </row>
    <row r="6994" spans="20:20" x14ac:dyDescent="0.25">
      <c r="T6994" s="98"/>
    </row>
    <row r="6995" spans="20:20" x14ac:dyDescent="0.25">
      <c r="T6995" s="98"/>
    </row>
    <row r="6996" spans="20:20" x14ac:dyDescent="0.25">
      <c r="T6996" s="98"/>
    </row>
    <row r="6997" spans="20:20" x14ac:dyDescent="0.25">
      <c r="T6997" s="98"/>
    </row>
    <row r="6998" spans="20:20" x14ac:dyDescent="0.25">
      <c r="T6998" s="98"/>
    </row>
    <row r="6999" spans="20:20" x14ac:dyDescent="0.25">
      <c r="T6999" s="98"/>
    </row>
    <row r="7000" spans="20:20" x14ac:dyDescent="0.25">
      <c r="T7000" s="98"/>
    </row>
    <row r="7001" spans="20:20" x14ac:dyDescent="0.25">
      <c r="T7001" s="98"/>
    </row>
    <row r="7002" spans="20:20" x14ac:dyDescent="0.25">
      <c r="T7002" s="98"/>
    </row>
    <row r="7003" spans="20:20" x14ac:dyDescent="0.25">
      <c r="T7003" s="98"/>
    </row>
    <row r="7004" spans="20:20" x14ac:dyDescent="0.25">
      <c r="T7004" s="98"/>
    </row>
    <row r="7005" spans="20:20" x14ac:dyDescent="0.25">
      <c r="T7005" s="98"/>
    </row>
    <row r="7006" spans="20:20" x14ac:dyDescent="0.25">
      <c r="T7006" s="98"/>
    </row>
    <row r="7007" spans="20:20" x14ac:dyDescent="0.25">
      <c r="T7007" s="98"/>
    </row>
    <row r="7008" spans="20:20" x14ac:dyDescent="0.25">
      <c r="T7008" s="98"/>
    </row>
    <row r="7009" spans="20:20" x14ac:dyDescent="0.25">
      <c r="T7009" s="98"/>
    </row>
    <row r="7010" spans="20:20" x14ac:dyDescent="0.25">
      <c r="T7010" s="98"/>
    </row>
    <row r="7011" spans="20:20" x14ac:dyDescent="0.25">
      <c r="T7011" s="98"/>
    </row>
    <row r="7012" spans="20:20" x14ac:dyDescent="0.25">
      <c r="T7012" s="98"/>
    </row>
    <row r="7013" spans="20:20" x14ac:dyDescent="0.25">
      <c r="T7013" s="98"/>
    </row>
    <row r="7014" spans="20:20" x14ac:dyDescent="0.25">
      <c r="T7014" s="98"/>
    </row>
    <row r="7015" spans="20:20" x14ac:dyDescent="0.25">
      <c r="T7015" s="98"/>
    </row>
    <row r="7016" spans="20:20" x14ac:dyDescent="0.25">
      <c r="T7016" s="98"/>
    </row>
    <row r="7017" spans="20:20" x14ac:dyDescent="0.25">
      <c r="T7017" s="98"/>
    </row>
    <row r="7018" spans="20:20" x14ac:dyDescent="0.25">
      <c r="T7018" s="98"/>
    </row>
    <row r="7019" spans="20:20" x14ac:dyDescent="0.25">
      <c r="T7019" s="98"/>
    </row>
    <row r="7020" spans="20:20" x14ac:dyDescent="0.25">
      <c r="T7020" s="98"/>
    </row>
    <row r="7021" spans="20:20" x14ac:dyDescent="0.25">
      <c r="T7021" s="98"/>
    </row>
    <row r="7022" spans="20:20" x14ac:dyDescent="0.25">
      <c r="T7022" s="98"/>
    </row>
    <row r="7023" spans="20:20" x14ac:dyDescent="0.25">
      <c r="T7023" s="98"/>
    </row>
    <row r="7024" spans="20:20" x14ac:dyDescent="0.25">
      <c r="T7024" s="98"/>
    </row>
    <row r="7025" spans="20:20" x14ac:dyDescent="0.25">
      <c r="T7025" s="98"/>
    </row>
    <row r="7026" spans="20:20" x14ac:dyDescent="0.25">
      <c r="T7026" s="98"/>
    </row>
    <row r="7027" spans="20:20" x14ac:dyDescent="0.25">
      <c r="T7027" s="98"/>
    </row>
    <row r="7028" spans="20:20" x14ac:dyDescent="0.25">
      <c r="T7028" s="98"/>
    </row>
    <row r="7029" spans="20:20" x14ac:dyDescent="0.25">
      <c r="T7029" s="98"/>
    </row>
    <row r="7030" spans="20:20" x14ac:dyDescent="0.25">
      <c r="T7030" s="98"/>
    </row>
    <row r="7031" spans="20:20" x14ac:dyDescent="0.25">
      <c r="T7031" s="98"/>
    </row>
    <row r="7032" spans="20:20" x14ac:dyDescent="0.25">
      <c r="T7032" s="98"/>
    </row>
    <row r="7033" spans="20:20" x14ac:dyDescent="0.25">
      <c r="T7033" s="98"/>
    </row>
    <row r="7034" spans="20:20" x14ac:dyDescent="0.25">
      <c r="T7034" s="98"/>
    </row>
    <row r="7035" spans="20:20" x14ac:dyDescent="0.25">
      <c r="T7035" s="98"/>
    </row>
    <row r="7036" spans="20:20" x14ac:dyDescent="0.25">
      <c r="T7036" s="98"/>
    </row>
    <row r="7037" spans="20:20" x14ac:dyDescent="0.25">
      <c r="T7037" s="98"/>
    </row>
    <row r="7038" spans="20:20" x14ac:dyDescent="0.25">
      <c r="T7038" s="98"/>
    </row>
    <row r="7039" spans="20:20" x14ac:dyDescent="0.25">
      <c r="T7039" s="98"/>
    </row>
    <row r="7040" spans="20:20" x14ac:dyDescent="0.25">
      <c r="T7040" s="98"/>
    </row>
    <row r="7041" spans="20:20" x14ac:dyDescent="0.25">
      <c r="T7041" s="98"/>
    </row>
    <row r="7042" spans="20:20" x14ac:dyDescent="0.25">
      <c r="T7042" s="98"/>
    </row>
    <row r="7043" spans="20:20" x14ac:dyDescent="0.25">
      <c r="T7043" s="98"/>
    </row>
    <row r="7044" spans="20:20" x14ac:dyDescent="0.25">
      <c r="T7044" s="98"/>
    </row>
    <row r="7045" spans="20:20" x14ac:dyDescent="0.25">
      <c r="T7045" s="98"/>
    </row>
    <row r="7046" spans="20:20" x14ac:dyDescent="0.25">
      <c r="T7046" s="98"/>
    </row>
    <row r="7047" spans="20:20" x14ac:dyDescent="0.25">
      <c r="T7047" s="98"/>
    </row>
    <row r="7048" spans="20:20" x14ac:dyDescent="0.25">
      <c r="T7048" s="98"/>
    </row>
    <row r="7049" spans="20:20" x14ac:dyDescent="0.25">
      <c r="T7049" s="98"/>
    </row>
    <row r="7050" spans="20:20" x14ac:dyDescent="0.25">
      <c r="T7050" s="98"/>
    </row>
    <row r="7051" spans="20:20" x14ac:dyDescent="0.25">
      <c r="T7051" s="98"/>
    </row>
    <row r="7052" spans="20:20" x14ac:dyDescent="0.25">
      <c r="T7052" s="98"/>
    </row>
    <row r="7053" spans="20:20" x14ac:dyDescent="0.25">
      <c r="T7053" s="98"/>
    </row>
    <row r="7054" spans="20:20" x14ac:dyDescent="0.25">
      <c r="T7054" s="98"/>
    </row>
    <row r="7055" spans="20:20" x14ac:dyDescent="0.25">
      <c r="T7055" s="98"/>
    </row>
    <row r="7056" spans="20:20" x14ac:dyDescent="0.25">
      <c r="T7056" s="98"/>
    </row>
    <row r="7057" spans="20:20" x14ac:dyDescent="0.25">
      <c r="T7057" s="98"/>
    </row>
    <row r="7058" spans="20:20" x14ac:dyDescent="0.25">
      <c r="T7058" s="98"/>
    </row>
    <row r="7059" spans="20:20" x14ac:dyDescent="0.25">
      <c r="T7059" s="98"/>
    </row>
    <row r="7060" spans="20:20" x14ac:dyDescent="0.25">
      <c r="T7060" s="98"/>
    </row>
    <row r="7061" spans="20:20" x14ac:dyDescent="0.25">
      <c r="T7061" s="98"/>
    </row>
    <row r="7062" spans="20:20" x14ac:dyDescent="0.25">
      <c r="T7062" s="98"/>
    </row>
    <row r="7063" spans="20:20" x14ac:dyDescent="0.25">
      <c r="T7063" s="98"/>
    </row>
    <row r="7064" spans="20:20" x14ac:dyDescent="0.25">
      <c r="T7064" s="98"/>
    </row>
    <row r="7065" spans="20:20" x14ac:dyDescent="0.25">
      <c r="T7065" s="98"/>
    </row>
    <row r="7066" spans="20:20" x14ac:dyDescent="0.25">
      <c r="T7066" s="98"/>
    </row>
    <row r="7067" spans="20:20" x14ac:dyDescent="0.25">
      <c r="T7067" s="98"/>
    </row>
    <row r="7068" spans="20:20" x14ac:dyDescent="0.25">
      <c r="T7068" s="98"/>
    </row>
    <row r="7069" spans="20:20" x14ac:dyDescent="0.25">
      <c r="T7069" s="98"/>
    </row>
    <row r="7070" spans="20:20" x14ac:dyDescent="0.25">
      <c r="T7070" s="98"/>
    </row>
    <row r="7071" spans="20:20" x14ac:dyDescent="0.25">
      <c r="T7071" s="98"/>
    </row>
    <row r="7072" spans="20:20" x14ac:dyDescent="0.25">
      <c r="T7072" s="98"/>
    </row>
    <row r="7073" spans="20:20" x14ac:dyDescent="0.25">
      <c r="T7073" s="98"/>
    </row>
    <row r="7074" spans="20:20" x14ac:dyDescent="0.25">
      <c r="T7074" s="98"/>
    </row>
    <row r="7075" spans="20:20" x14ac:dyDescent="0.25">
      <c r="T7075" s="98"/>
    </row>
    <row r="7076" spans="20:20" x14ac:dyDescent="0.25">
      <c r="T7076" s="98"/>
    </row>
    <row r="7077" spans="20:20" x14ac:dyDescent="0.25">
      <c r="T7077" s="98"/>
    </row>
    <row r="7078" spans="20:20" x14ac:dyDescent="0.25">
      <c r="T7078" s="98"/>
    </row>
    <row r="7079" spans="20:20" x14ac:dyDescent="0.25">
      <c r="T7079" s="98"/>
    </row>
    <row r="7080" spans="20:20" x14ac:dyDescent="0.25">
      <c r="T7080" s="98"/>
    </row>
    <row r="7081" spans="20:20" x14ac:dyDescent="0.25">
      <c r="T7081" s="98"/>
    </row>
    <row r="7082" spans="20:20" x14ac:dyDescent="0.25">
      <c r="T7082" s="98"/>
    </row>
    <row r="7083" spans="20:20" x14ac:dyDescent="0.25">
      <c r="T7083" s="98"/>
    </row>
    <row r="7084" spans="20:20" x14ac:dyDescent="0.25">
      <c r="T7084" s="98"/>
    </row>
    <row r="7085" spans="20:20" x14ac:dyDescent="0.25">
      <c r="T7085" s="98"/>
    </row>
    <row r="7086" spans="20:20" x14ac:dyDescent="0.25">
      <c r="T7086" s="98"/>
    </row>
    <row r="7087" spans="20:20" x14ac:dyDescent="0.25">
      <c r="T7087" s="98"/>
    </row>
    <row r="7088" spans="20:20" x14ac:dyDescent="0.25">
      <c r="T7088" s="98"/>
    </row>
    <row r="7089" spans="20:20" x14ac:dyDescent="0.25">
      <c r="T7089" s="98"/>
    </row>
    <row r="7090" spans="20:20" x14ac:dyDescent="0.25">
      <c r="T7090" s="98"/>
    </row>
    <row r="7091" spans="20:20" x14ac:dyDescent="0.25">
      <c r="T7091" s="98"/>
    </row>
    <row r="7092" spans="20:20" x14ac:dyDescent="0.25">
      <c r="T7092" s="98"/>
    </row>
    <row r="7093" spans="20:20" x14ac:dyDescent="0.25">
      <c r="T7093" s="98"/>
    </row>
    <row r="7094" spans="20:20" x14ac:dyDescent="0.25">
      <c r="T7094" s="98"/>
    </row>
    <row r="7095" spans="20:20" x14ac:dyDescent="0.25">
      <c r="T7095" s="98"/>
    </row>
    <row r="7096" spans="20:20" x14ac:dyDescent="0.25">
      <c r="T7096" s="98"/>
    </row>
    <row r="7097" spans="20:20" x14ac:dyDescent="0.25">
      <c r="T7097" s="98"/>
    </row>
    <row r="7098" spans="20:20" x14ac:dyDescent="0.25">
      <c r="T7098" s="98"/>
    </row>
    <row r="7099" spans="20:20" x14ac:dyDescent="0.25">
      <c r="T7099" s="98"/>
    </row>
    <row r="7100" spans="20:20" x14ac:dyDescent="0.25">
      <c r="T7100" s="98"/>
    </row>
    <row r="7101" spans="20:20" x14ac:dyDescent="0.25">
      <c r="T7101" s="98"/>
    </row>
    <row r="7102" spans="20:20" x14ac:dyDescent="0.25">
      <c r="T7102" s="98"/>
    </row>
    <row r="7103" spans="20:20" x14ac:dyDescent="0.25">
      <c r="T7103" s="98"/>
    </row>
    <row r="7104" spans="20:20" x14ac:dyDescent="0.25">
      <c r="T7104" s="98"/>
    </row>
    <row r="7105" spans="20:20" x14ac:dyDescent="0.25">
      <c r="T7105" s="98"/>
    </row>
    <row r="7106" spans="20:20" x14ac:dyDescent="0.25">
      <c r="T7106" s="98"/>
    </row>
    <row r="7107" spans="20:20" x14ac:dyDescent="0.25">
      <c r="T7107" s="98"/>
    </row>
    <row r="7108" spans="20:20" x14ac:dyDescent="0.25">
      <c r="T7108" s="98"/>
    </row>
    <row r="7109" spans="20:20" x14ac:dyDescent="0.25">
      <c r="T7109" s="98"/>
    </row>
    <row r="7110" spans="20:20" x14ac:dyDescent="0.25">
      <c r="T7110" s="98"/>
    </row>
    <row r="7111" spans="20:20" x14ac:dyDescent="0.25">
      <c r="T7111" s="98"/>
    </row>
    <row r="7112" spans="20:20" x14ac:dyDescent="0.25">
      <c r="T7112" s="98"/>
    </row>
    <row r="7113" spans="20:20" x14ac:dyDescent="0.25">
      <c r="T7113" s="98"/>
    </row>
    <row r="7114" spans="20:20" x14ac:dyDescent="0.25">
      <c r="T7114" s="98"/>
    </row>
    <row r="7115" spans="20:20" x14ac:dyDescent="0.25">
      <c r="T7115" s="98"/>
    </row>
    <row r="7116" spans="20:20" x14ac:dyDescent="0.25">
      <c r="T7116" s="98"/>
    </row>
    <row r="7117" spans="20:20" x14ac:dyDescent="0.25">
      <c r="T7117" s="98"/>
    </row>
    <row r="7118" spans="20:20" x14ac:dyDescent="0.25">
      <c r="T7118" s="98"/>
    </row>
    <row r="7119" spans="20:20" x14ac:dyDescent="0.25">
      <c r="T7119" s="98"/>
    </row>
    <row r="7120" spans="20:20" x14ac:dyDescent="0.25">
      <c r="T7120" s="98"/>
    </row>
    <row r="7121" spans="20:20" x14ac:dyDescent="0.25">
      <c r="T7121" s="98"/>
    </row>
    <row r="7122" spans="20:20" x14ac:dyDescent="0.25">
      <c r="T7122" s="98"/>
    </row>
    <row r="7123" spans="20:20" x14ac:dyDescent="0.25">
      <c r="T7123" s="98"/>
    </row>
    <row r="7124" spans="20:20" x14ac:dyDescent="0.25">
      <c r="T7124" s="98"/>
    </row>
    <row r="7125" spans="20:20" x14ac:dyDescent="0.25">
      <c r="T7125" s="98"/>
    </row>
    <row r="7126" spans="20:20" x14ac:dyDescent="0.25">
      <c r="T7126" s="98"/>
    </row>
    <row r="7127" spans="20:20" x14ac:dyDescent="0.25">
      <c r="T7127" s="98"/>
    </row>
    <row r="7128" spans="20:20" x14ac:dyDescent="0.25">
      <c r="T7128" s="98"/>
    </row>
    <row r="7129" spans="20:20" x14ac:dyDescent="0.25">
      <c r="T7129" s="98"/>
    </row>
    <row r="7130" spans="20:20" x14ac:dyDescent="0.25">
      <c r="T7130" s="98"/>
    </row>
    <row r="7131" spans="20:20" x14ac:dyDescent="0.25">
      <c r="T7131" s="98"/>
    </row>
    <row r="7132" spans="20:20" x14ac:dyDescent="0.25">
      <c r="T7132" s="98"/>
    </row>
    <row r="7133" spans="20:20" x14ac:dyDescent="0.25">
      <c r="T7133" s="98"/>
    </row>
    <row r="7134" spans="20:20" x14ac:dyDescent="0.25">
      <c r="T7134" s="98"/>
    </row>
    <row r="7135" spans="20:20" x14ac:dyDescent="0.25">
      <c r="T7135" s="98"/>
    </row>
    <row r="7136" spans="20:20" x14ac:dyDescent="0.25">
      <c r="T7136" s="98"/>
    </row>
    <row r="7137" spans="20:20" x14ac:dyDescent="0.25">
      <c r="T7137" s="98"/>
    </row>
    <row r="7138" spans="20:20" x14ac:dyDescent="0.25">
      <c r="T7138" s="98"/>
    </row>
    <row r="7139" spans="20:20" x14ac:dyDescent="0.25">
      <c r="T7139" s="98"/>
    </row>
    <row r="7140" spans="20:20" x14ac:dyDescent="0.25">
      <c r="T7140" s="98"/>
    </row>
    <row r="7141" spans="20:20" x14ac:dyDescent="0.25">
      <c r="T7141" s="98"/>
    </row>
    <row r="7142" spans="20:20" x14ac:dyDescent="0.25">
      <c r="T7142" s="98"/>
    </row>
    <row r="7143" spans="20:20" x14ac:dyDescent="0.25">
      <c r="T7143" s="98"/>
    </row>
    <row r="7144" spans="20:20" x14ac:dyDescent="0.25">
      <c r="T7144" s="98"/>
    </row>
    <row r="7145" spans="20:20" x14ac:dyDescent="0.25">
      <c r="T7145" s="98"/>
    </row>
    <row r="7146" spans="20:20" x14ac:dyDescent="0.25">
      <c r="T7146" s="98"/>
    </row>
    <row r="7147" spans="20:20" x14ac:dyDescent="0.25">
      <c r="T7147" s="98"/>
    </row>
    <row r="7148" spans="20:20" x14ac:dyDescent="0.25">
      <c r="T7148" s="98"/>
    </row>
    <row r="7149" spans="20:20" x14ac:dyDescent="0.25">
      <c r="T7149" s="98"/>
    </row>
    <row r="7150" spans="20:20" x14ac:dyDescent="0.25">
      <c r="T7150" s="98"/>
    </row>
    <row r="7151" spans="20:20" x14ac:dyDescent="0.25">
      <c r="T7151" s="98"/>
    </row>
    <row r="7152" spans="20:20" x14ac:dyDescent="0.25">
      <c r="T7152" s="98"/>
    </row>
    <row r="7153" spans="20:20" x14ac:dyDescent="0.25">
      <c r="T7153" s="98"/>
    </row>
    <row r="7154" spans="20:20" x14ac:dyDescent="0.25">
      <c r="T7154" s="98"/>
    </row>
    <row r="7155" spans="20:20" x14ac:dyDescent="0.25">
      <c r="T7155" s="98"/>
    </row>
    <row r="7156" spans="20:20" x14ac:dyDescent="0.25">
      <c r="T7156" s="98"/>
    </row>
    <row r="7157" spans="20:20" x14ac:dyDescent="0.25">
      <c r="T7157" s="98"/>
    </row>
    <row r="7158" spans="20:20" x14ac:dyDescent="0.25">
      <c r="T7158" s="98"/>
    </row>
    <row r="7159" spans="20:20" x14ac:dyDescent="0.25">
      <c r="T7159" s="98"/>
    </row>
    <row r="7160" spans="20:20" x14ac:dyDescent="0.25">
      <c r="T7160" s="98"/>
    </row>
    <row r="7161" spans="20:20" x14ac:dyDescent="0.25">
      <c r="T7161" s="98"/>
    </row>
    <row r="7162" spans="20:20" x14ac:dyDescent="0.25">
      <c r="T7162" s="98"/>
    </row>
    <row r="7163" spans="20:20" x14ac:dyDescent="0.25">
      <c r="T7163" s="98"/>
    </row>
    <row r="7164" spans="20:20" x14ac:dyDescent="0.25">
      <c r="T7164" s="98"/>
    </row>
    <row r="7165" spans="20:20" x14ac:dyDescent="0.25">
      <c r="T7165" s="98"/>
    </row>
    <row r="7166" spans="20:20" x14ac:dyDescent="0.25">
      <c r="T7166" s="98"/>
    </row>
    <row r="7167" spans="20:20" x14ac:dyDescent="0.25">
      <c r="T7167" s="98"/>
    </row>
    <row r="7168" spans="20:20" x14ac:dyDescent="0.25">
      <c r="T7168" s="98"/>
    </row>
    <row r="7169" spans="20:20" x14ac:dyDescent="0.25">
      <c r="T7169" s="98"/>
    </row>
    <row r="7170" spans="20:20" x14ac:dyDescent="0.25">
      <c r="T7170" s="98"/>
    </row>
    <row r="7171" spans="20:20" x14ac:dyDescent="0.25">
      <c r="T7171" s="98"/>
    </row>
    <row r="7172" spans="20:20" x14ac:dyDescent="0.25">
      <c r="T7172" s="98"/>
    </row>
    <row r="7173" spans="20:20" x14ac:dyDescent="0.25">
      <c r="T7173" s="98"/>
    </row>
    <row r="7174" spans="20:20" x14ac:dyDescent="0.25">
      <c r="T7174" s="98"/>
    </row>
    <row r="7175" spans="20:20" x14ac:dyDescent="0.25">
      <c r="T7175" s="98"/>
    </row>
    <row r="7176" spans="20:20" x14ac:dyDescent="0.25">
      <c r="T7176" s="98"/>
    </row>
    <row r="7177" spans="20:20" x14ac:dyDescent="0.25">
      <c r="T7177" s="98"/>
    </row>
    <row r="7178" spans="20:20" x14ac:dyDescent="0.25">
      <c r="T7178" s="98"/>
    </row>
    <row r="7179" spans="20:20" x14ac:dyDescent="0.25">
      <c r="T7179" s="98"/>
    </row>
    <row r="7180" spans="20:20" x14ac:dyDescent="0.25">
      <c r="T7180" s="98"/>
    </row>
    <row r="7181" spans="20:20" x14ac:dyDescent="0.25">
      <c r="T7181" s="98"/>
    </row>
    <row r="7182" spans="20:20" x14ac:dyDescent="0.25">
      <c r="T7182" s="98"/>
    </row>
    <row r="7183" spans="20:20" x14ac:dyDescent="0.25">
      <c r="T7183" s="98"/>
    </row>
    <row r="7184" spans="20:20" x14ac:dyDescent="0.25">
      <c r="T7184" s="98"/>
    </row>
    <row r="7185" spans="20:20" x14ac:dyDescent="0.25">
      <c r="T7185" s="98"/>
    </row>
    <row r="7186" spans="20:20" x14ac:dyDescent="0.25">
      <c r="T7186" s="98"/>
    </row>
    <row r="7187" spans="20:20" x14ac:dyDescent="0.25">
      <c r="T7187" s="98"/>
    </row>
    <row r="7188" spans="20:20" x14ac:dyDescent="0.25">
      <c r="T7188" s="98"/>
    </row>
    <row r="7189" spans="20:20" x14ac:dyDescent="0.25">
      <c r="T7189" s="98"/>
    </row>
    <row r="7190" spans="20:20" x14ac:dyDescent="0.25">
      <c r="T7190" s="98"/>
    </row>
    <row r="7191" spans="20:20" x14ac:dyDescent="0.25">
      <c r="T7191" s="98"/>
    </row>
    <row r="7192" spans="20:20" x14ac:dyDescent="0.25">
      <c r="T7192" s="98"/>
    </row>
    <row r="7193" spans="20:20" x14ac:dyDescent="0.25">
      <c r="T7193" s="98"/>
    </row>
    <row r="7194" spans="20:20" x14ac:dyDescent="0.25">
      <c r="T7194" s="98"/>
    </row>
    <row r="7195" spans="20:20" x14ac:dyDescent="0.25">
      <c r="T7195" s="98"/>
    </row>
    <row r="7196" spans="20:20" x14ac:dyDescent="0.25">
      <c r="T7196" s="98"/>
    </row>
    <row r="7197" spans="20:20" x14ac:dyDescent="0.25">
      <c r="T7197" s="98"/>
    </row>
    <row r="7198" spans="20:20" x14ac:dyDescent="0.25">
      <c r="T7198" s="98"/>
    </row>
    <row r="7199" spans="20:20" x14ac:dyDescent="0.25">
      <c r="T7199" s="98"/>
    </row>
    <row r="7200" spans="20:20" x14ac:dyDescent="0.25">
      <c r="T7200" s="98"/>
    </row>
    <row r="7201" spans="20:20" x14ac:dyDescent="0.25">
      <c r="T7201" s="98"/>
    </row>
    <row r="7202" spans="20:20" x14ac:dyDescent="0.25">
      <c r="T7202" s="98"/>
    </row>
    <row r="7203" spans="20:20" x14ac:dyDescent="0.25">
      <c r="T7203" s="98"/>
    </row>
    <row r="7204" spans="20:20" x14ac:dyDescent="0.25">
      <c r="T7204" s="98"/>
    </row>
    <row r="7205" spans="20:20" x14ac:dyDescent="0.25">
      <c r="T7205" s="98"/>
    </row>
    <row r="7206" spans="20:20" x14ac:dyDescent="0.25">
      <c r="T7206" s="98"/>
    </row>
    <row r="7207" spans="20:20" x14ac:dyDescent="0.25">
      <c r="T7207" s="98"/>
    </row>
    <row r="7208" spans="20:20" x14ac:dyDescent="0.25">
      <c r="T7208" s="98"/>
    </row>
    <row r="7209" spans="20:20" x14ac:dyDescent="0.25">
      <c r="T7209" s="98"/>
    </row>
    <row r="7210" spans="20:20" x14ac:dyDescent="0.25">
      <c r="T7210" s="98"/>
    </row>
    <row r="7211" spans="20:20" x14ac:dyDescent="0.25">
      <c r="T7211" s="98"/>
    </row>
    <row r="7212" spans="20:20" x14ac:dyDescent="0.25">
      <c r="T7212" s="98"/>
    </row>
    <row r="7213" spans="20:20" x14ac:dyDescent="0.25">
      <c r="T7213" s="98"/>
    </row>
    <row r="7214" spans="20:20" x14ac:dyDescent="0.25">
      <c r="T7214" s="98"/>
    </row>
    <row r="7215" spans="20:20" x14ac:dyDescent="0.25">
      <c r="T7215" s="98"/>
    </row>
    <row r="7216" spans="20:20" x14ac:dyDescent="0.25">
      <c r="T7216" s="98"/>
    </row>
    <row r="7217" spans="20:20" x14ac:dyDescent="0.25">
      <c r="T7217" s="98"/>
    </row>
    <row r="7218" spans="20:20" x14ac:dyDescent="0.25">
      <c r="T7218" s="98"/>
    </row>
    <row r="7219" spans="20:20" x14ac:dyDescent="0.25">
      <c r="T7219" s="98"/>
    </row>
    <row r="7220" spans="20:20" x14ac:dyDescent="0.25">
      <c r="T7220" s="98"/>
    </row>
    <row r="7221" spans="20:20" x14ac:dyDescent="0.25">
      <c r="T7221" s="98"/>
    </row>
    <row r="7222" spans="20:20" x14ac:dyDescent="0.25">
      <c r="T7222" s="98"/>
    </row>
    <row r="7223" spans="20:20" x14ac:dyDescent="0.25">
      <c r="T7223" s="98"/>
    </row>
    <row r="7224" spans="20:20" x14ac:dyDescent="0.25">
      <c r="T7224" s="98"/>
    </row>
    <row r="7225" spans="20:20" x14ac:dyDescent="0.25">
      <c r="T7225" s="98"/>
    </row>
    <row r="7226" spans="20:20" x14ac:dyDescent="0.25">
      <c r="T7226" s="98"/>
    </row>
    <row r="7227" spans="20:20" x14ac:dyDescent="0.25">
      <c r="T7227" s="98"/>
    </row>
    <row r="7228" spans="20:20" x14ac:dyDescent="0.25">
      <c r="T7228" s="98"/>
    </row>
    <row r="7229" spans="20:20" x14ac:dyDescent="0.25">
      <c r="T7229" s="98"/>
    </row>
    <row r="7230" spans="20:20" x14ac:dyDescent="0.25">
      <c r="T7230" s="98"/>
    </row>
    <row r="7231" spans="20:20" x14ac:dyDescent="0.25">
      <c r="T7231" s="98"/>
    </row>
    <row r="7232" spans="20:20" x14ac:dyDescent="0.25">
      <c r="T7232" s="98"/>
    </row>
    <row r="7233" spans="20:20" x14ac:dyDescent="0.25">
      <c r="T7233" s="98"/>
    </row>
    <row r="7234" spans="20:20" x14ac:dyDescent="0.25">
      <c r="T7234" s="98"/>
    </row>
    <row r="7235" spans="20:20" x14ac:dyDescent="0.25">
      <c r="T7235" s="98"/>
    </row>
    <row r="7236" spans="20:20" x14ac:dyDescent="0.25">
      <c r="T7236" s="98"/>
    </row>
    <row r="7237" spans="20:20" x14ac:dyDescent="0.25">
      <c r="T7237" s="98"/>
    </row>
    <row r="7238" spans="20:20" x14ac:dyDescent="0.25">
      <c r="T7238" s="98"/>
    </row>
    <row r="7239" spans="20:20" x14ac:dyDescent="0.25">
      <c r="T7239" s="98"/>
    </row>
    <row r="7240" spans="20:20" x14ac:dyDescent="0.25">
      <c r="T7240" s="98"/>
    </row>
    <row r="7241" spans="20:20" x14ac:dyDescent="0.25">
      <c r="T7241" s="98"/>
    </row>
    <row r="7242" spans="20:20" x14ac:dyDescent="0.25">
      <c r="T7242" s="98"/>
    </row>
    <row r="7243" spans="20:20" x14ac:dyDescent="0.25">
      <c r="T7243" s="98"/>
    </row>
    <row r="7244" spans="20:20" x14ac:dyDescent="0.25">
      <c r="T7244" s="98"/>
    </row>
    <row r="7245" spans="20:20" x14ac:dyDescent="0.25">
      <c r="T7245" s="98"/>
    </row>
    <row r="7246" spans="20:20" x14ac:dyDescent="0.25">
      <c r="T7246" s="98"/>
    </row>
    <row r="7247" spans="20:20" x14ac:dyDescent="0.25">
      <c r="T7247" s="98"/>
    </row>
    <row r="7248" spans="20:20" x14ac:dyDescent="0.25">
      <c r="T7248" s="98"/>
    </row>
    <row r="7249" spans="20:20" x14ac:dyDescent="0.25">
      <c r="T7249" s="98"/>
    </row>
    <row r="7250" spans="20:20" x14ac:dyDescent="0.25">
      <c r="T7250" s="98"/>
    </row>
    <row r="7251" spans="20:20" x14ac:dyDescent="0.25">
      <c r="T7251" s="98"/>
    </row>
    <row r="7252" spans="20:20" x14ac:dyDescent="0.25">
      <c r="T7252" s="98"/>
    </row>
    <row r="7253" spans="20:20" x14ac:dyDescent="0.25">
      <c r="T7253" s="98"/>
    </row>
    <row r="7254" spans="20:20" x14ac:dyDescent="0.25">
      <c r="T7254" s="98"/>
    </row>
    <row r="7255" spans="20:20" x14ac:dyDescent="0.25">
      <c r="T7255" s="98"/>
    </row>
    <row r="7256" spans="20:20" x14ac:dyDescent="0.25">
      <c r="T7256" s="98"/>
    </row>
    <row r="7257" spans="20:20" x14ac:dyDescent="0.25">
      <c r="T7257" s="98"/>
    </row>
    <row r="7258" spans="20:20" x14ac:dyDescent="0.25">
      <c r="T7258" s="98"/>
    </row>
    <row r="7259" spans="20:20" x14ac:dyDescent="0.25">
      <c r="T7259" s="98"/>
    </row>
    <row r="7260" spans="20:20" x14ac:dyDescent="0.25">
      <c r="T7260" s="98"/>
    </row>
    <row r="7261" spans="20:20" x14ac:dyDescent="0.25">
      <c r="T7261" s="98"/>
    </row>
    <row r="7262" spans="20:20" x14ac:dyDescent="0.25">
      <c r="T7262" s="98"/>
    </row>
    <row r="7263" spans="20:20" x14ac:dyDescent="0.25">
      <c r="T7263" s="98"/>
    </row>
    <row r="7264" spans="20:20" x14ac:dyDescent="0.25">
      <c r="T7264" s="98"/>
    </row>
    <row r="7265" spans="20:20" x14ac:dyDescent="0.25">
      <c r="T7265" s="98"/>
    </row>
    <row r="7266" spans="20:20" x14ac:dyDescent="0.25">
      <c r="T7266" s="98"/>
    </row>
    <row r="7267" spans="20:20" x14ac:dyDescent="0.25">
      <c r="T7267" s="98"/>
    </row>
    <row r="7268" spans="20:20" x14ac:dyDescent="0.25">
      <c r="T7268" s="98"/>
    </row>
    <row r="7269" spans="20:20" x14ac:dyDescent="0.25">
      <c r="T7269" s="98"/>
    </row>
    <row r="7270" spans="20:20" x14ac:dyDescent="0.25">
      <c r="T7270" s="98"/>
    </row>
    <row r="7271" spans="20:20" x14ac:dyDescent="0.25">
      <c r="T7271" s="98"/>
    </row>
    <row r="7272" spans="20:20" x14ac:dyDescent="0.25">
      <c r="T7272" s="98"/>
    </row>
    <row r="7273" spans="20:20" x14ac:dyDescent="0.25">
      <c r="T7273" s="98"/>
    </row>
    <row r="7274" spans="20:20" x14ac:dyDescent="0.25">
      <c r="T7274" s="98"/>
    </row>
    <row r="7275" spans="20:20" x14ac:dyDescent="0.25">
      <c r="T7275" s="98"/>
    </row>
    <row r="7276" spans="20:20" x14ac:dyDescent="0.25">
      <c r="T7276" s="98"/>
    </row>
    <row r="7277" spans="20:20" x14ac:dyDescent="0.25">
      <c r="T7277" s="98"/>
    </row>
    <row r="7278" spans="20:20" x14ac:dyDescent="0.25">
      <c r="T7278" s="98"/>
    </row>
    <row r="7279" spans="20:20" x14ac:dyDescent="0.25">
      <c r="T7279" s="98"/>
    </row>
    <row r="7280" spans="20:20" x14ac:dyDescent="0.25">
      <c r="T7280" s="98"/>
    </row>
    <row r="7281" spans="20:20" x14ac:dyDescent="0.25">
      <c r="T7281" s="98"/>
    </row>
    <row r="7282" spans="20:20" x14ac:dyDescent="0.25">
      <c r="T7282" s="98"/>
    </row>
    <row r="7283" spans="20:20" x14ac:dyDescent="0.25">
      <c r="T7283" s="98"/>
    </row>
    <row r="7284" spans="20:20" x14ac:dyDescent="0.25">
      <c r="T7284" s="98"/>
    </row>
    <row r="7285" spans="20:20" x14ac:dyDescent="0.25">
      <c r="T7285" s="98"/>
    </row>
    <row r="7286" spans="20:20" x14ac:dyDescent="0.25">
      <c r="T7286" s="98"/>
    </row>
    <row r="7287" spans="20:20" x14ac:dyDescent="0.25">
      <c r="T7287" s="98"/>
    </row>
    <row r="7288" spans="20:20" x14ac:dyDescent="0.25">
      <c r="T7288" s="98"/>
    </row>
    <row r="7289" spans="20:20" x14ac:dyDescent="0.25">
      <c r="T7289" s="98"/>
    </row>
    <row r="7290" spans="20:20" x14ac:dyDescent="0.25">
      <c r="T7290" s="98"/>
    </row>
    <row r="7291" spans="20:20" x14ac:dyDescent="0.25">
      <c r="T7291" s="98"/>
    </row>
    <row r="7292" spans="20:20" x14ac:dyDescent="0.25">
      <c r="T7292" s="98"/>
    </row>
    <row r="7293" spans="20:20" x14ac:dyDescent="0.25">
      <c r="T7293" s="98"/>
    </row>
    <row r="7294" spans="20:20" x14ac:dyDescent="0.25">
      <c r="T7294" s="98"/>
    </row>
    <row r="7295" spans="20:20" x14ac:dyDescent="0.25">
      <c r="T7295" s="98"/>
    </row>
    <row r="7296" spans="20:20" x14ac:dyDescent="0.25">
      <c r="T7296" s="98"/>
    </row>
    <row r="7297" spans="20:20" x14ac:dyDescent="0.25">
      <c r="T7297" s="98"/>
    </row>
    <row r="7298" spans="20:20" x14ac:dyDescent="0.25">
      <c r="T7298" s="98"/>
    </row>
    <row r="7299" spans="20:20" x14ac:dyDescent="0.25">
      <c r="T7299" s="98"/>
    </row>
    <row r="7300" spans="20:20" x14ac:dyDescent="0.25">
      <c r="T7300" s="98"/>
    </row>
    <row r="7301" spans="20:20" x14ac:dyDescent="0.25">
      <c r="T7301" s="98"/>
    </row>
    <row r="7302" spans="20:20" x14ac:dyDescent="0.25">
      <c r="T7302" s="98"/>
    </row>
    <row r="7303" spans="20:20" x14ac:dyDescent="0.25">
      <c r="T7303" s="98"/>
    </row>
    <row r="7304" spans="20:20" x14ac:dyDescent="0.25">
      <c r="T7304" s="98"/>
    </row>
    <row r="7305" spans="20:20" x14ac:dyDescent="0.25">
      <c r="T7305" s="98"/>
    </row>
    <row r="7306" spans="20:20" x14ac:dyDescent="0.25">
      <c r="T7306" s="98"/>
    </row>
    <row r="7307" spans="20:20" x14ac:dyDescent="0.25">
      <c r="T7307" s="98"/>
    </row>
    <row r="7308" spans="20:20" x14ac:dyDescent="0.25">
      <c r="T7308" s="98"/>
    </row>
    <row r="7309" spans="20:20" x14ac:dyDescent="0.25">
      <c r="T7309" s="98"/>
    </row>
    <row r="7310" spans="20:20" x14ac:dyDescent="0.25">
      <c r="T7310" s="98"/>
    </row>
    <row r="7311" spans="20:20" x14ac:dyDescent="0.25">
      <c r="T7311" s="98"/>
    </row>
    <row r="7312" spans="20:20" x14ac:dyDescent="0.25">
      <c r="T7312" s="98"/>
    </row>
    <row r="7313" spans="20:20" x14ac:dyDescent="0.25">
      <c r="T7313" s="98"/>
    </row>
    <row r="7314" spans="20:20" x14ac:dyDescent="0.25">
      <c r="T7314" s="98"/>
    </row>
    <row r="7315" spans="20:20" x14ac:dyDescent="0.25">
      <c r="T7315" s="98"/>
    </row>
    <row r="7316" spans="20:20" x14ac:dyDescent="0.25">
      <c r="T7316" s="98"/>
    </row>
    <row r="7317" spans="20:20" x14ac:dyDescent="0.25">
      <c r="T7317" s="98"/>
    </row>
    <row r="7318" spans="20:20" x14ac:dyDescent="0.25">
      <c r="T7318" s="98"/>
    </row>
    <row r="7319" spans="20:20" x14ac:dyDescent="0.25">
      <c r="T7319" s="98"/>
    </row>
    <row r="7320" spans="20:20" x14ac:dyDescent="0.25">
      <c r="T7320" s="98"/>
    </row>
    <row r="7321" spans="20:20" x14ac:dyDescent="0.25">
      <c r="T7321" s="98"/>
    </row>
    <row r="7322" spans="20:20" x14ac:dyDescent="0.25">
      <c r="T7322" s="98"/>
    </row>
    <row r="7323" spans="20:20" x14ac:dyDescent="0.25">
      <c r="T7323" s="98"/>
    </row>
    <row r="7324" spans="20:20" x14ac:dyDescent="0.25">
      <c r="T7324" s="98"/>
    </row>
    <row r="7325" spans="20:20" x14ac:dyDescent="0.25">
      <c r="T7325" s="98"/>
    </row>
    <row r="7326" spans="20:20" x14ac:dyDescent="0.25">
      <c r="T7326" s="98"/>
    </row>
    <row r="7327" spans="20:20" x14ac:dyDescent="0.25">
      <c r="T7327" s="98"/>
    </row>
    <row r="7328" spans="20:20" x14ac:dyDescent="0.25">
      <c r="T7328" s="98"/>
    </row>
    <row r="7329" spans="20:20" x14ac:dyDescent="0.25">
      <c r="T7329" s="98"/>
    </row>
    <row r="7330" spans="20:20" x14ac:dyDescent="0.25">
      <c r="T7330" s="98"/>
    </row>
    <row r="7331" spans="20:20" x14ac:dyDescent="0.25">
      <c r="T7331" s="98"/>
    </row>
    <row r="7332" spans="20:20" x14ac:dyDescent="0.25">
      <c r="T7332" s="98"/>
    </row>
    <row r="7333" spans="20:20" x14ac:dyDescent="0.25">
      <c r="T7333" s="98"/>
    </row>
    <row r="7334" spans="20:20" x14ac:dyDescent="0.25">
      <c r="T7334" s="98"/>
    </row>
    <row r="7335" spans="20:20" x14ac:dyDescent="0.25">
      <c r="T7335" s="98"/>
    </row>
    <row r="7336" spans="20:20" x14ac:dyDescent="0.25">
      <c r="T7336" s="98"/>
    </row>
    <row r="7337" spans="20:20" x14ac:dyDescent="0.25">
      <c r="T7337" s="98"/>
    </row>
    <row r="7338" spans="20:20" x14ac:dyDescent="0.25">
      <c r="T7338" s="98"/>
    </row>
    <row r="7339" spans="20:20" x14ac:dyDescent="0.25">
      <c r="T7339" s="98"/>
    </row>
    <row r="7340" spans="20:20" x14ac:dyDescent="0.25">
      <c r="T7340" s="98"/>
    </row>
    <row r="7341" spans="20:20" x14ac:dyDescent="0.25">
      <c r="T7341" s="98"/>
    </row>
    <row r="7342" spans="20:20" x14ac:dyDescent="0.25">
      <c r="T7342" s="98"/>
    </row>
    <row r="7343" spans="20:20" x14ac:dyDescent="0.25">
      <c r="T7343" s="98"/>
    </row>
    <row r="7344" spans="20:20" x14ac:dyDescent="0.25">
      <c r="T7344" s="98"/>
    </row>
    <row r="7345" spans="20:20" x14ac:dyDescent="0.25">
      <c r="T7345" s="98"/>
    </row>
    <row r="7346" spans="20:20" x14ac:dyDescent="0.25">
      <c r="T7346" s="98"/>
    </row>
    <row r="7347" spans="20:20" x14ac:dyDescent="0.25">
      <c r="T7347" s="98"/>
    </row>
    <row r="7348" spans="20:20" x14ac:dyDescent="0.25">
      <c r="T7348" s="98"/>
    </row>
    <row r="7349" spans="20:20" x14ac:dyDescent="0.25">
      <c r="T7349" s="98"/>
    </row>
    <row r="7350" spans="20:20" x14ac:dyDescent="0.25">
      <c r="T7350" s="98"/>
    </row>
    <row r="7351" spans="20:20" x14ac:dyDescent="0.25">
      <c r="T7351" s="98"/>
    </row>
    <row r="7352" spans="20:20" x14ac:dyDescent="0.25">
      <c r="T7352" s="98"/>
    </row>
    <row r="7353" spans="20:20" x14ac:dyDescent="0.25">
      <c r="T7353" s="98"/>
    </row>
    <row r="7354" spans="20:20" x14ac:dyDescent="0.25">
      <c r="T7354" s="98"/>
    </row>
    <row r="7355" spans="20:20" x14ac:dyDescent="0.25">
      <c r="T7355" s="98"/>
    </row>
    <row r="7356" spans="20:20" x14ac:dyDescent="0.25">
      <c r="T7356" s="98"/>
    </row>
    <row r="7357" spans="20:20" x14ac:dyDescent="0.25">
      <c r="T7357" s="98"/>
    </row>
    <row r="7358" spans="20:20" x14ac:dyDescent="0.25">
      <c r="T7358" s="98"/>
    </row>
    <row r="7359" spans="20:20" x14ac:dyDescent="0.25">
      <c r="T7359" s="98"/>
    </row>
    <row r="7360" spans="20:20" x14ac:dyDescent="0.25">
      <c r="T7360" s="98"/>
    </row>
    <row r="7361" spans="20:20" x14ac:dyDescent="0.25">
      <c r="T7361" s="98"/>
    </row>
    <row r="7362" spans="20:20" x14ac:dyDescent="0.25">
      <c r="T7362" s="98"/>
    </row>
    <row r="7363" spans="20:20" x14ac:dyDescent="0.25">
      <c r="T7363" s="98"/>
    </row>
    <row r="7364" spans="20:20" x14ac:dyDescent="0.25">
      <c r="T7364" s="98"/>
    </row>
    <row r="7365" spans="20:20" x14ac:dyDescent="0.25">
      <c r="T7365" s="98"/>
    </row>
    <row r="7366" spans="20:20" x14ac:dyDescent="0.25">
      <c r="T7366" s="98"/>
    </row>
    <row r="7367" spans="20:20" x14ac:dyDescent="0.25">
      <c r="T7367" s="98"/>
    </row>
    <row r="7368" spans="20:20" x14ac:dyDescent="0.25">
      <c r="T7368" s="98"/>
    </row>
    <row r="7369" spans="20:20" x14ac:dyDescent="0.25">
      <c r="T7369" s="98"/>
    </row>
    <row r="7370" spans="20:20" x14ac:dyDescent="0.25">
      <c r="T7370" s="98"/>
    </row>
    <row r="7371" spans="20:20" x14ac:dyDescent="0.25">
      <c r="T7371" s="98"/>
    </row>
    <row r="7372" spans="20:20" x14ac:dyDescent="0.25">
      <c r="T7372" s="98"/>
    </row>
    <row r="7373" spans="20:20" x14ac:dyDescent="0.25">
      <c r="T7373" s="98"/>
    </row>
    <row r="7374" spans="20:20" x14ac:dyDescent="0.25">
      <c r="T7374" s="98"/>
    </row>
    <row r="7375" spans="20:20" x14ac:dyDescent="0.25">
      <c r="T7375" s="98"/>
    </row>
    <row r="7376" spans="20:20" x14ac:dyDescent="0.25">
      <c r="T7376" s="98"/>
    </row>
    <row r="7377" spans="20:20" x14ac:dyDescent="0.25">
      <c r="T7377" s="98"/>
    </row>
    <row r="7378" spans="20:20" x14ac:dyDescent="0.25">
      <c r="T7378" s="98"/>
    </row>
    <row r="7379" spans="20:20" x14ac:dyDescent="0.25">
      <c r="T7379" s="98"/>
    </row>
    <row r="7380" spans="20:20" x14ac:dyDescent="0.25">
      <c r="T7380" s="98"/>
    </row>
    <row r="7381" spans="20:20" x14ac:dyDescent="0.25">
      <c r="T7381" s="98"/>
    </row>
    <row r="7382" spans="20:20" x14ac:dyDescent="0.25">
      <c r="T7382" s="98"/>
    </row>
    <row r="7383" spans="20:20" x14ac:dyDescent="0.25">
      <c r="T7383" s="98"/>
    </row>
    <row r="7384" spans="20:20" x14ac:dyDescent="0.25">
      <c r="T7384" s="98"/>
    </row>
    <row r="7385" spans="20:20" x14ac:dyDescent="0.25">
      <c r="T7385" s="98"/>
    </row>
    <row r="7386" spans="20:20" x14ac:dyDescent="0.25">
      <c r="T7386" s="98"/>
    </row>
    <row r="7387" spans="20:20" x14ac:dyDescent="0.25">
      <c r="T7387" s="98"/>
    </row>
    <row r="7388" spans="20:20" x14ac:dyDescent="0.25">
      <c r="T7388" s="98"/>
    </row>
    <row r="7389" spans="20:20" x14ac:dyDescent="0.25">
      <c r="T7389" s="98"/>
    </row>
    <row r="7390" spans="20:20" x14ac:dyDescent="0.25">
      <c r="T7390" s="98"/>
    </row>
    <row r="7391" spans="20:20" x14ac:dyDescent="0.25">
      <c r="T7391" s="98"/>
    </row>
    <row r="7392" spans="20:20" x14ac:dyDescent="0.25">
      <c r="T7392" s="98"/>
    </row>
    <row r="7393" spans="20:20" x14ac:dyDescent="0.25">
      <c r="T7393" s="98"/>
    </row>
    <row r="7394" spans="20:20" x14ac:dyDescent="0.25">
      <c r="T7394" s="98"/>
    </row>
    <row r="7395" spans="20:20" x14ac:dyDescent="0.25">
      <c r="T7395" s="98"/>
    </row>
    <row r="7396" spans="20:20" x14ac:dyDescent="0.25">
      <c r="T7396" s="98"/>
    </row>
    <row r="7397" spans="20:20" x14ac:dyDescent="0.25">
      <c r="T7397" s="98"/>
    </row>
    <row r="7398" spans="20:20" x14ac:dyDescent="0.25">
      <c r="T7398" s="98"/>
    </row>
    <row r="7399" spans="20:20" x14ac:dyDescent="0.25">
      <c r="T7399" s="98"/>
    </row>
    <row r="7400" spans="20:20" x14ac:dyDescent="0.25">
      <c r="T7400" s="98"/>
    </row>
    <row r="7401" spans="20:20" x14ac:dyDescent="0.25">
      <c r="T7401" s="98"/>
    </row>
    <row r="7402" spans="20:20" x14ac:dyDescent="0.25">
      <c r="T7402" s="98"/>
    </row>
    <row r="7403" spans="20:20" x14ac:dyDescent="0.25">
      <c r="T7403" s="98"/>
    </row>
    <row r="7404" spans="20:20" x14ac:dyDescent="0.25">
      <c r="T7404" s="98"/>
    </row>
    <row r="7405" spans="20:20" x14ac:dyDescent="0.25">
      <c r="T7405" s="98"/>
    </row>
    <row r="7406" spans="20:20" x14ac:dyDescent="0.25">
      <c r="T7406" s="98"/>
    </row>
    <row r="7407" spans="20:20" x14ac:dyDescent="0.25">
      <c r="T7407" s="98"/>
    </row>
    <row r="7408" spans="20:20" x14ac:dyDescent="0.25">
      <c r="T7408" s="98"/>
    </row>
    <row r="7409" spans="20:20" x14ac:dyDescent="0.25">
      <c r="T7409" s="98"/>
    </row>
    <row r="7410" spans="20:20" x14ac:dyDescent="0.25">
      <c r="T7410" s="98"/>
    </row>
    <row r="7411" spans="20:20" x14ac:dyDescent="0.25">
      <c r="T7411" s="98"/>
    </row>
    <row r="7412" spans="20:20" x14ac:dyDescent="0.25">
      <c r="T7412" s="98"/>
    </row>
    <row r="7413" spans="20:20" x14ac:dyDescent="0.25">
      <c r="T7413" s="98"/>
    </row>
    <row r="7414" spans="20:20" x14ac:dyDescent="0.25">
      <c r="T7414" s="98"/>
    </row>
    <row r="7415" spans="20:20" x14ac:dyDescent="0.25">
      <c r="T7415" s="98"/>
    </row>
    <row r="7416" spans="20:20" x14ac:dyDescent="0.25">
      <c r="T7416" s="98"/>
    </row>
    <row r="7417" spans="20:20" x14ac:dyDescent="0.25">
      <c r="T7417" s="98"/>
    </row>
    <row r="7418" spans="20:20" x14ac:dyDescent="0.25">
      <c r="T7418" s="98"/>
    </row>
    <row r="7419" spans="20:20" x14ac:dyDescent="0.25">
      <c r="T7419" s="98"/>
    </row>
    <row r="7420" spans="20:20" x14ac:dyDescent="0.25">
      <c r="T7420" s="98"/>
    </row>
    <row r="7421" spans="20:20" x14ac:dyDescent="0.25">
      <c r="T7421" s="98"/>
    </row>
    <row r="7422" spans="20:20" x14ac:dyDescent="0.25">
      <c r="T7422" s="98"/>
    </row>
    <row r="7423" spans="20:20" x14ac:dyDescent="0.25">
      <c r="T7423" s="98"/>
    </row>
    <row r="7424" spans="20:20" x14ac:dyDescent="0.25">
      <c r="T7424" s="98"/>
    </row>
    <row r="7425" spans="20:20" x14ac:dyDescent="0.25">
      <c r="T7425" s="98"/>
    </row>
    <row r="7426" spans="20:20" x14ac:dyDescent="0.25">
      <c r="T7426" s="98"/>
    </row>
    <row r="7427" spans="20:20" x14ac:dyDescent="0.25">
      <c r="T7427" s="98"/>
    </row>
    <row r="7428" spans="20:20" x14ac:dyDescent="0.25">
      <c r="T7428" s="98"/>
    </row>
    <row r="7429" spans="20:20" x14ac:dyDescent="0.25">
      <c r="T7429" s="98"/>
    </row>
    <row r="7430" spans="20:20" x14ac:dyDescent="0.25">
      <c r="T7430" s="98"/>
    </row>
    <row r="7431" spans="20:20" x14ac:dyDescent="0.25">
      <c r="T7431" s="98"/>
    </row>
    <row r="7432" spans="20:20" x14ac:dyDescent="0.25">
      <c r="T7432" s="98"/>
    </row>
    <row r="7433" spans="20:20" x14ac:dyDescent="0.25">
      <c r="T7433" s="98"/>
    </row>
    <row r="7434" spans="20:20" x14ac:dyDescent="0.25">
      <c r="T7434" s="98"/>
    </row>
    <row r="7435" spans="20:20" x14ac:dyDescent="0.25">
      <c r="T7435" s="98"/>
    </row>
    <row r="7436" spans="20:20" x14ac:dyDescent="0.25">
      <c r="T7436" s="98"/>
    </row>
    <row r="7437" spans="20:20" x14ac:dyDescent="0.25">
      <c r="T7437" s="98"/>
    </row>
    <row r="7438" spans="20:20" x14ac:dyDescent="0.25">
      <c r="T7438" s="98"/>
    </row>
    <row r="7439" spans="20:20" x14ac:dyDescent="0.25">
      <c r="T7439" s="98"/>
    </row>
    <row r="7440" spans="20:20" x14ac:dyDescent="0.25">
      <c r="T7440" s="98"/>
    </row>
    <row r="7441" spans="20:20" x14ac:dyDescent="0.25">
      <c r="T7441" s="98"/>
    </row>
    <row r="7442" spans="20:20" x14ac:dyDescent="0.25">
      <c r="T7442" s="98"/>
    </row>
    <row r="7443" spans="20:20" x14ac:dyDescent="0.25">
      <c r="T7443" s="98"/>
    </row>
    <row r="7444" spans="20:20" x14ac:dyDescent="0.25">
      <c r="T7444" s="98"/>
    </row>
    <row r="7445" spans="20:20" x14ac:dyDescent="0.25">
      <c r="T7445" s="98"/>
    </row>
    <row r="7446" spans="20:20" x14ac:dyDescent="0.25">
      <c r="T7446" s="98"/>
    </row>
    <row r="7447" spans="20:20" x14ac:dyDescent="0.25">
      <c r="T7447" s="98"/>
    </row>
    <row r="7448" spans="20:20" x14ac:dyDescent="0.25">
      <c r="T7448" s="98"/>
    </row>
    <row r="7449" spans="20:20" x14ac:dyDescent="0.25">
      <c r="T7449" s="98"/>
    </row>
    <row r="7450" spans="20:20" x14ac:dyDescent="0.25">
      <c r="T7450" s="98"/>
    </row>
    <row r="7451" spans="20:20" x14ac:dyDescent="0.25">
      <c r="T7451" s="98"/>
    </row>
    <row r="7452" spans="20:20" x14ac:dyDescent="0.25">
      <c r="T7452" s="98"/>
    </row>
    <row r="7453" spans="20:20" x14ac:dyDescent="0.25">
      <c r="T7453" s="98"/>
    </row>
    <row r="7454" spans="20:20" x14ac:dyDescent="0.25">
      <c r="T7454" s="98"/>
    </row>
    <row r="7455" spans="20:20" x14ac:dyDescent="0.25">
      <c r="T7455" s="98"/>
    </row>
    <row r="7456" spans="20:20" x14ac:dyDescent="0.25">
      <c r="T7456" s="98"/>
    </row>
    <row r="7457" spans="20:20" x14ac:dyDescent="0.25">
      <c r="T7457" s="98"/>
    </row>
    <row r="7458" spans="20:20" x14ac:dyDescent="0.25">
      <c r="T7458" s="98"/>
    </row>
    <row r="7459" spans="20:20" x14ac:dyDescent="0.25">
      <c r="T7459" s="98"/>
    </row>
    <row r="7460" spans="20:20" x14ac:dyDescent="0.25">
      <c r="T7460" s="98"/>
    </row>
    <row r="7461" spans="20:20" x14ac:dyDescent="0.25">
      <c r="T7461" s="98"/>
    </row>
    <row r="7462" spans="20:20" x14ac:dyDescent="0.25">
      <c r="T7462" s="98"/>
    </row>
    <row r="7463" spans="20:20" x14ac:dyDescent="0.25">
      <c r="T7463" s="98"/>
    </row>
    <row r="7464" spans="20:20" x14ac:dyDescent="0.25">
      <c r="T7464" s="98"/>
    </row>
    <row r="7465" spans="20:20" x14ac:dyDescent="0.25">
      <c r="T7465" s="98"/>
    </row>
    <row r="7466" spans="20:20" x14ac:dyDescent="0.25">
      <c r="T7466" s="98"/>
    </row>
    <row r="7467" spans="20:20" x14ac:dyDescent="0.25">
      <c r="T7467" s="98"/>
    </row>
    <row r="7468" spans="20:20" x14ac:dyDescent="0.25">
      <c r="T7468" s="98"/>
    </row>
    <row r="7469" spans="20:20" x14ac:dyDescent="0.25">
      <c r="T7469" s="98"/>
    </row>
    <row r="7470" spans="20:20" x14ac:dyDescent="0.25">
      <c r="T7470" s="98"/>
    </row>
    <row r="7471" spans="20:20" x14ac:dyDescent="0.25">
      <c r="T7471" s="98"/>
    </row>
    <row r="7472" spans="20:20" x14ac:dyDescent="0.25">
      <c r="T7472" s="98"/>
    </row>
    <row r="7473" spans="20:20" x14ac:dyDescent="0.25">
      <c r="T7473" s="98"/>
    </row>
    <row r="7474" spans="20:20" x14ac:dyDescent="0.25">
      <c r="T7474" s="98"/>
    </row>
    <row r="7475" spans="20:20" x14ac:dyDescent="0.25">
      <c r="T7475" s="98"/>
    </row>
    <row r="7476" spans="20:20" x14ac:dyDescent="0.25">
      <c r="T7476" s="98"/>
    </row>
    <row r="7477" spans="20:20" x14ac:dyDescent="0.25">
      <c r="T7477" s="98"/>
    </row>
    <row r="7478" spans="20:20" x14ac:dyDescent="0.25">
      <c r="T7478" s="98"/>
    </row>
    <row r="7479" spans="20:20" x14ac:dyDescent="0.25">
      <c r="T7479" s="98"/>
    </row>
    <row r="7480" spans="20:20" x14ac:dyDescent="0.25">
      <c r="T7480" s="98"/>
    </row>
    <row r="7481" spans="20:20" x14ac:dyDescent="0.25">
      <c r="T7481" s="98"/>
    </row>
    <row r="7482" spans="20:20" x14ac:dyDescent="0.25">
      <c r="T7482" s="98"/>
    </row>
    <row r="7483" spans="20:20" x14ac:dyDescent="0.25">
      <c r="T7483" s="98"/>
    </row>
    <row r="7484" spans="20:20" x14ac:dyDescent="0.25">
      <c r="T7484" s="98"/>
    </row>
    <row r="7485" spans="20:20" x14ac:dyDescent="0.25">
      <c r="T7485" s="98"/>
    </row>
    <row r="7486" spans="20:20" x14ac:dyDescent="0.25">
      <c r="T7486" s="98"/>
    </row>
    <row r="7487" spans="20:20" x14ac:dyDescent="0.25">
      <c r="T7487" s="98"/>
    </row>
    <row r="7488" spans="20:20" x14ac:dyDescent="0.25">
      <c r="T7488" s="98"/>
    </row>
    <row r="7489" spans="20:20" x14ac:dyDescent="0.25">
      <c r="T7489" s="98"/>
    </row>
    <row r="7490" spans="20:20" x14ac:dyDescent="0.25">
      <c r="T7490" s="98"/>
    </row>
    <row r="7491" spans="20:20" x14ac:dyDescent="0.25">
      <c r="T7491" s="98"/>
    </row>
    <row r="7492" spans="20:20" x14ac:dyDescent="0.25">
      <c r="T7492" s="98"/>
    </row>
    <row r="7493" spans="20:20" x14ac:dyDescent="0.25">
      <c r="T7493" s="98"/>
    </row>
    <row r="7494" spans="20:20" x14ac:dyDescent="0.25">
      <c r="T7494" s="98"/>
    </row>
    <row r="7495" spans="20:20" x14ac:dyDescent="0.25">
      <c r="T7495" s="98"/>
    </row>
    <row r="7496" spans="20:20" x14ac:dyDescent="0.25">
      <c r="T7496" s="98"/>
    </row>
    <row r="7497" spans="20:20" x14ac:dyDescent="0.25">
      <c r="T7497" s="98"/>
    </row>
    <row r="7498" spans="20:20" x14ac:dyDescent="0.25">
      <c r="T7498" s="98"/>
    </row>
    <row r="7499" spans="20:20" x14ac:dyDescent="0.25">
      <c r="T7499" s="98"/>
    </row>
    <row r="7500" spans="20:20" x14ac:dyDescent="0.25">
      <c r="T7500" s="98"/>
    </row>
    <row r="7501" spans="20:20" x14ac:dyDescent="0.25">
      <c r="T7501" s="98"/>
    </row>
    <row r="7502" spans="20:20" x14ac:dyDescent="0.25">
      <c r="T7502" s="98"/>
    </row>
    <row r="7503" spans="20:20" x14ac:dyDescent="0.25">
      <c r="T7503" s="98"/>
    </row>
    <row r="7504" spans="20:20" x14ac:dyDescent="0.25">
      <c r="T7504" s="98"/>
    </row>
    <row r="7505" spans="20:20" x14ac:dyDescent="0.25">
      <c r="T7505" s="98"/>
    </row>
    <row r="7506" spans="20:20" x14ac:dyDescent="0.25">
      <c r="T7506" s="98"/>
    </row>
    <row r="7507" spans="20:20" x14ac:dyDescent="0.25">
      <c r="T7507" s="98"/>
    </row>
    <row r="7508" spans="20:20" x14ac:dyDescent="0.25">
      <c r="T7508" s="98"/>
    </row>
    <row r="7509" spans="20:20" x14ac:dyDescent="0.25">
      <c r="T7509" s="98"/>
    </row>
    <row r="7510" spans="20:20" x14ac:dyDescent="0.25">
      <c r="T7510" s="98"/>
    </row>
    <row r="7511" spans="20:20" x14ac:dyDescent="0.25">
      <c r="T7511" s="98"/>
    </row>
    <row r="7512" spans="20:20" x14ac:dyDescent="0.25">
      <c r="T7512" s="98"/>
    </row>
    <row r="7513" spans="20:20" x14ac:dyDescent="0.25">
      <c r="T7513" s="98"/>
    </row>
    <row r="7514" spans="20:20" x14ac:dyDescent="0.25">
      <c r="T7514" s="98"/>
    </row>
    <row r="7515" spans="20:20" x14ac:dyDescent="0.25">
      <c r="T7515" s="98"/>
    </row>
    <row r="7516" spans="20:20" x14ac:dyDescent="0.25">
      <c r="T7516" s="98"/>
    </row>
    <row r="7517" spans="20:20" x14ac:dyDescent="0.25">
      <c r="T7517" s="98"/>
    </row>
    <row r="7518" spans="20:20" x14ac:dyDescent="0.25">
      <c r="T7518" s="98"/>
    </row>
    <row r="7519" spans="20:20" x14ac:dyDescent="0.25">
      <c r="T7519" s="98"/>
    </row>
    <row r="7520" spans="20:20" x14ac:dyDescent="0.25">
      <c r="T7520" s="98"/>
    </row>
    <row r="7521" spans="20:20" x14ac:dyDescent="0.25">
      <c r="T7521" s="98"/>
    </row>
    <row r="7522" spans="20:20" x14ac:dyDescent="0.25">
      <c r="T7522" s="98"/>
    </row>
    <row r="7523" spans="20:20" x14ac:dyDescent="0.25">
      <c r="T7523" s="98"/>
    </row>
    <row r="7524" spans="20:20" x14ac:dyDescent="0.25">
      <c r="T7524" s="98"/>
    </row>
    <row r="7525" spans="20:20" x14ac:dyDescent="0.25">
      <c r="T7525" s="98"/>
    </row>
    <row r="7526" spans="20:20" x14ac:dyDescent="0.25">
      <c r="T7526" s="98"/>
    </row>
    <row r="7527" spans="20:20" x14ac:dyDescent="0.25">
      <c r="T7527" s="98"/>
    </row>
    <row r="7528" spans="20:20" x14ac:dyDescent="0.25">
      <c r="T7528" s="98"/>
    </row>
    <row r="7529" spans="20:20" x14ac:dyDescent="0.25">
      <c r="T7529" s="98"/>
    </row>
    <row r="7530" spans="20:20" x14ac:dyDescent="0.25">
      <c r="T7530" s="98"/>
    </row>
    <row r="7531" spans="20:20" x14ac:dyDescent="0.25">
      <c r="T7531" s="98"/>
    </row>
    <row r="7532" spans="20:20" x14ac:dyDescent="0.25">
      <c r="T7532" s="98"/>
    </row>
    <row r="7533" spans="20:20" x14ac:dyDescent="0.25">
      <c r="T7533" s="98"/>
    </row>
    <row r="7534" spans="20:20" x14ac:dyDescent="0.25">
      <c r="T7534" s="98"/>
    </row>
    <row r="7535" spans="20:20" x14ac:dyDescent="0.25">
      <c r="T7535" s="98"/>
    </row>
    <row r="7536" spans="20:20" x14ac:dyDescent="0.25">
      <c r="T7536" s="98"/>
    </row>
    <row r="7537" spans="20:20" x14ac:dyDescent="0.25">
      <c r="T7537" s="98"/>
    </row>
    <row r="7538" spans="20:20" x14ac:dyDescent="0.25">
      <c r="T7538" s="98"/>
    </row>
    <row r="7539" spans="20:20" x14ac:dyDescent="0.25">
      <c r="T7539" s="98"/>
    </row>
    <row r="7540" spans="20:20" x14ac:dyDescent="0.25">
      <c r="T7540" s="98"/>
    </row>
    <row r="7541" spans="20:20" x14ac:dyDescent="0.25">
      <c r="T7541" s="98"/>
    </row>
    <row r="7542" spans="20:20" x14ac:dyDescent="0.25">
      <c r="T7542" s="98"/>
    </row>
    <row r="7543" spans="20:20" x14ac:dyDescent="0.25">
      <c r="T7543" s="98"/>
    </row>
    <row r="7544" spans="20:20" x14ac:dyDescent="0.25">
      <c r="T7544" s="98"/>
    </row>
    <row r="7545" spans="20:20" x14ac:dyDescent="0.25">
      <c r="T7545" s="98"/>
    </row>
    <row r="7546" spans="20:20" x14ac:dyDescent="0.25">
      <c r="T7546" s="98"/>
    </row>
    <row r="7547" spans="20:20" x14ac:dyDescent="0.25">
      <c r="T7547" s="98"/>
    </row>
    <row r="7548" spans="20:20" x14ac:dyDescent="0.25">
      <c r="T7548" s="98"/>
    </row>
    <row r="7549" spans="20:20" x14ac:dyDescent="0.25">
      <c r="T7549" s="98"/>
    </row>
    <row r="7550" spans="20:20" x14ac:dyDescent="0.25">
      <c r="T7550" s="98"/>
    </row>
    <row r="7551" spans="20:20" x14ac:dyDescent="0.25">
      <c r="T7551" s="98"/>
    </row>
    <row r="7552" spans="20:20" x14ac:dyDescent="0.25">
      <c r="T7552" s="98"/>
    </row>
    <row r="7553" spans="20:20" x14ac:dyDescent="0.25">
      <c r="T7553" s="98"/>
    </row>
    <row r="7554" spans="20:20" x14ac:dyDescent="0.25">
      <c r="T7554" s="98"/>
    </row>
    <row r="7555" spans="20:20" x14ac:dyDescent="0.25">
      <c r="T7555" s="98"/>
    </row>
    <row r="7556" spans="20:20" x14ac:dyDescent="0.25">
      <c r="T7556" s="98"/>
    </row>
    <row r="7557" spans="20:20" x14ac:dyDescent="0.25">
      <c r="T7557" s="98"/>
    </row>
    <row r="7558" spans="20:20" x14ac:dyDescent="0.25">
      <c r="T7558" s="98"/>
    </row>
    <row r="7559" spans="20:20" x14ac:dyDescent="0.25">
      <c r="T7559" s="98"/>
    </row>
    <row r="7560" spans="20:20" x14ac:dyDescent="0.25">
      <c r="T7560" s="98"/>
    </row>
    <row r="7561" spans="20:20" x14ac:dyDescent="0.25">
      <c r="T7561" s="98"/>
    </row>
    <row r="7562" spans="20:20" x14ac:dyDescent="0.25">
      <c r="T7562" s="98"/>
    </row>
    <row r="7563" spans="20:20" x14ac:dyDescent="0.25">
      <c r="T7563" s="98"/>
    </row>
    <row r="7564" spans="20:20" x14ac:dyDescent="0.25">
      <c r="T7564" s="98"/>
    </row>
    <row r="7565" spans="20:20" x14ac:dyDescent="0.25">
      <c r="T7565" s="98"/>
    </row>
    <row r="7566" spans="20:20" x14ac:dyDescent="0.25">
      <c r="T7566" s="98"/>
    </row>
    <row r="7567" spans="20:20" x14ac:dyDescent="0.25">
      <c r="T7567" s="98"/>
    </row>
    <row r="7568" spans="20:20" x14ac:dyDescent="0.25">
      <c r="T7568" s="98"/>
    </row>
    <row r="7569" spans="20:20" x14ac:dyDescent="0.25">
      <c r="T7569" s="98"/>
    </row>
    <row r="7570" spans="20:20" x14ac:dyDescent="0.25">
      <c r="T7570" s="98"/>
    </row>
    <row r="7571" spans="20:20" x14ac:dyDescent="0.25">
      <c r="T7571" s="98"/>
    </row>
    <row r="7572" spans="20:20" x14ac:dyDescent="0.25">
      <c r="T7572" s="98"/>
    </row>
    <row r="7573" spans="20:20" x14ac:dyDescent="0.25">
      <c r="T7573" s="98"/>
    </row>
    <row r="7574" spans="20:20" x14ac:dyDescent="0.25">
      <c r="T7574" s="98"/>
    </row>
    <row r="7575" spans="20:20" x14ac:dyDescent="0.25">
      <c r="T7575" s="98"/>
    </row>
    <row r="7576" spans="20:20" x14ac:dyDescent="0.25">
      <c r="T7576" s="98"/>
    </row>
    <row r="7577" spans="20:20" x14ac:dyDescent="0.25">
      <c r="T7577" s="98"/>
    </row>
    <row r="7578" spans="20:20" x14ac:dyDescent="0.25">
      <c r="T7578" s="98"/>
    </row>
    <row r="7579" spans="20:20" x14ac:dyDescent="0.25">
      <c r="T7579" s="98"/>
    </row>
    <row r="7580" spans="20:20" x14ac:dyDescent="0.25">
      <c r="T7580" s="98"/>
    </row>
    <row r="7581" spans="20:20" x14ac:dyDescent="0.25">
      <c r="T7581" s="98"/>
    </row>
    <row r="7582" spans="20:20" x14ac:dyDescent="0.25">
      <c r="T7582" s="98"/>
    </row>
    <row r="7583" spans="20:20" x14ac:dyDescent="0.25">
      <c r="T7583" s="98"/>
    </row>
    <row r="7584" spans="20:20" x14ac:dyDescent="0.25">
      <c r="T7584" s="98"/>
    </row>
    <row r="7585" spans="20:20" x14ac:dyDescent="0.25">
      <c r="T7585" s="98"/>
    </row>
    <row r="7586" spans="20:20" x14ac:dyDescent="0.25">
      <c r="T7586" s="98"/>
    </row>
    <row r="7587" spans="20:20" x14ac:dyDescent="0.25">
      <c r="T7587" s="98"/>
    </row>
    <row r="7588" spans="20:20" x14ac:dyDescent="0.25">
      <c r="T7588" s="98"/>
    </row>
    <row r="7589" spans="20:20" x14ac:dyDescent="0.25">
      <c r="T7589" s="98"/>
    </row>
    <row r="7590" spans="20:20" x14ac:dyDescent="0.25">
      <c r="T7590" s="98"/>
    </row>
    <row r="7591" spans="20:20" x14ac:dyDescent="0.25">
      <c r="T7591" s="98"/>
    </row>
    <row r="7592" spans="20:20" x14ac:dyDescent="0.25">
      <c r="T7592" s="98"/>
    </row>
    <row r="7593" spans="20:20" x14ac:dyDescent="0.25">
      <c r="T7593" s="98"/>
    </row>
    <row r="7594" spans="20:20" x14ac:dyDescent="0.25">
      <c r="T7594" s="98"/>
    </row>
    <row r="7595" spans="20:20" x14ac:dyDescent="0.25">
      <c r="T7595" s="98"/>
    </row>
    <row r="7596" spans="20:20" x14ac:dyDescent="0.25">
      <c r="T7596" s="98"/>
    </row>
    <row r="7597" spans="20:20" x14ac:dyDescent="0.25">
      <c r="T7597" s="98"/>
    </row>
    <row r="7598" spans="20:20" x14ac:dyDescent="0.25">
      <c r="T7598" s="98"/>
    </row>
    <row r="7599" spans="20:20" x14ac:dyDescent="0.25">
      <c r="T7599" s="98"/>
    </row>
    <row r="7600" spans="20:20" x14ac:dyDescent="0.25">
      <c r="T7600" s="98"/>
    </row>
    <row r="7601" spans="20:20" x14ac:dyDescent="0.25">
      <c r="T7601" s="98"/>
    </row>
    <row r="7602" spans="20:20" x14ac:dyDescent="0.25">
      <c r="T7602" s="98"/>
    </row>
    <row r="7603" spans="20:20" x14ac:dyDescent="0.25">
      <c r="T7603" s="98"/>
    </row>
    <row r="7604" spans="20:20" x14ac:dyDescent="0.25">
      <c r="T7604" s="98"/>
    </row>
    <row r="7605" spans="20:20" x14ac:dyDescent="0.25">
      <c r="T7605" s="98"/>
    </row>
    <row r="7606" spans="20:20" x14ac:dyDescent="0.25">
      <c r="T7606" s="98"/>
    </row>
    <row r="7607" spans="20:20" x14ac:dyDescent="0.25">
      <c r="T7607" s="98"/>
    </row>
    <row r="7608" spans="20:20" x14ac:dyDescent="0.25">
      <c r="T7608" s="98"/>
    </row>
    <row r="7609" spans="20:20" x14ac:dyDescent="0.25">
      <c r="T7609" s="98"/>
    </row>
    <row r="7610" spans="20:20" x14ac:dyDescent="0.25">
      <c r="T7610" s="98"/>
    </row>
    <row r="7611" spans="20:20" x14ac:dyDescent="0.25">
      <c r="T7611" s="98"/>
    </row>
    <row r="7612" spans="20:20" x14ac:dyDescent="0.25">
      <c r="T7612" s="98"/>
    </row>
    <row r="7613" spans="20:20" x14ac:dyDescent="0.25">
      <c r="T7613" s="98"/>
    </row>
    <row r="7614" spans="20:20" x14ac:dyDescent="0.25">
      <c r="T7614" s="98"/>
    </row>
    <row r="7615" spans="20:20" x14ac:dyDescent="0.25">
      <c r="T7615" s="98"/>
    </row>
    <row r="7616" spans="20:20" x14ac:dyDescent="0.25">
      <c r="T7616" s="98"/>
    </row>
    <row r="7617" spans="20:20" x14ac:dyDescent="0.25">
      <c r="T7617" s="98"/>
    </row>
    <row r="7618" spans="20:20" x14ac:dyDescent="0.25">
      <c r="T7618" s="98"/>
    </row>
    <row r="7619" spans="20:20" x14ac:dyDescent="0.25">
      <c r="T7619" s="98"/>
    </row>
    <row r="7620" spans="20:20" x14ac:dyDescent="0.25">
      <c r="T7620" s="98"/>
    </row>
    <row r="7621" spans="20:20" x14ac:dyDescent="0.25">
      <c r="T7621" s="98"/>
    </row>
    <row r="7622" spans="20:20" x14ac:dyDescent="0.25">
      <c r="T7622" s="98"/>
    </row>
    <row r="7623" spans="20:20" x14ac:dyDescent="0.25">
      <c r="T7623" s="98"/>
    </row>
    <row r="7624" spans="20:20" x14ac:dyDescent="0.25">
      <c r="T7624" s="98"/>
    </row>
    <row r="7625" spans="20:20" x14ac:dyDescent="0.25">
      <c r="T7625" s="98"/>
    </row>
    <row r="7626" spans="20:20" x14ac:dyDescent="0.25">
      <c r="T7626" s="98"/>
    </row>
    <row r="7627" spans="20:20" x14ac:dyDescent="0.25">
      <c r="T7627" s="98"/>
    </row>
    <row r="7628" spans="20:20" x14ac:dyDescent="0.25">
      <c r="T7628" s="98"/>
    </row>
    <row r="7629" spans="20:20" x14ac:dyDescent="0.25">
      <c r="T7629" s="98"/>
    </row>
    <row r="7630" spans="20:20" x14ac:dyDescent="0.25">
      <c r="T7630" s="98"/>
    </row>
    <row r="7631" spans="20:20" x14ac:dyDescent="0.25">
      <c r="T7631" s="98"/>
    </row>
    <row r="7632" spans="20:20" x14ac:dyDescent="0.25">
      <c r="T7632" s="98"/>
    </row>
    <row r="7633" spans="20:20" x14ac:dyDescent="0.25">
      <c r="T7633" s="98"/>
    </row>
    <row r="7634" spans="20:20" x14ac:dyDescent="0.25">
      <c r="T7634" s="98"/>
    </row>
    <row r="7635" spans="20:20" x14ac:dyDescent="0.25">
      <c r="T7635" s="98"/>
    </row>
    <row r="7636" spans="20:20" x14ac:dyDescent="0.25">
      <c r="T7636" s="98"/>
    </row>
    <row r="7637" spans="20:20" x14ac:dyDescent="0.25">
      <c r="T7637" s="98"/>
    </row>
    <row r="7638" spans="20:20" x14ac:dyDescent="0.25">
      <c r="T7638" s="98"/>
    </row>
    <row r="7639" spans="20:20" x14ac:dyDescent="0.25">
      <c r="T7639" s="98"/>
    </row>
    <row r="7640" spans="20:20" x14ac:dyDescent="0.25">
      <c r="T7640" s="98"/>
    </row>
    <row r="7641" spans="20:20" x14ac:dyDescent="0.25">
      <c r="T7641" s="98"/>
    </row>
    <row r="7642" spans="20:20" x14ac:dyDescent="0.25">
      <c r="T7642" s="98"/>
    </row>
    <row r="7643" spans="20:20" x14ac:dyDescent="0.25">
      <c r="T7643" s="98"/>
    </row>
    <row r="7644" spans="20:20" x14ac:dyDescent="0.25">
      <c r="T7644" s="98"/>
    </row>
    <row r="7645" spans="20:20" x14ac:dyDescent="0.25">
      <c r="T7645" s="98"/>
    </row>
    <row r="7646" spans="20:20" x14ac:dyDescent="0.25">
      <c r="T7646" s="98"/>
    </row>
    <row r="7647" spans="20:20" x14ac:dyDescent="0.25">
      <c r="T7647" s="98"/>
    </row>
    <row r="7648" spans="20:20" x14ac:dyDescent="0.25">
      <c r="T7648" s="98"/>
    </row>
    <row r="7649" spans="20:20" x14ac:dyDescent="0.25">
      <c r="T7649" s="98"/>
    </row>
    <row r="7650" spans="20:20" x14ac:dyDescent="0.25">
      <c r="T7650" s="98"/>
    </row>
    <row r="7651" spans="20:20" x14ac:dyDescent="0.25">
      <c r="T7651" s="98"/>
    </row>
    <row r="7652" spans="20:20" x14ac:dyDescent="0.25">
      <c r="T7652" s="98"/>
    </row>
    <row r="7653" spans="20:20" x14ac:dyDescent="0.25">
      <c r="T7653" s="98"/>
    </row>
    <row r="7654" spans="20:20" x14ac:dyDescent="0.25">
      <c r="T7654" s="98"/>
    </row>
    <row r="7655" spans="20:20" x14ac:dyDescent="0.25">
      <c r="T7655" s="98"/>
    </row>
    <row r="7656" spans="20:20" x14ac:dyDescent="0.25">
      <c r="T7656" s="98"/>
    </row>
    <row r="7657" spans="20:20" x14ac:dyDescent="0.25">
      <c r="T7657" s="98"/>
    </row>
    <row r="7658" spans="20:20" x14ac:dyDescent="0.25">
      <c r="T7658" s="98"/>
    </row>
    <row r="7659" spans="20:20" x14ac:dyDescent="0.25">
      <c r="T7659" s="98"/>
    </row>
    <row r="7660" spans="20:20" x14ac:dyDescent="0.25">
      <c r="T7660" s="98"/>
    </row>
    <row r="7661" spans="20:20" x14ac:dyDescent="0.25">
      <c r="T7661" s="98"/>
    </row>
    <row r="7662" spans="20:20" x14ac:dyDescent="0.25">
      <c r="T7662" s="98"/>
    </row>
    <row r="7663" spans="20:20" x14ac:dyDescent="0.25">
      <c r="T7663" s="98"/>
    </row>
    <row r="7664" spans="20:20" x14ac:dyDescent="0.25">
      <c r="T7664" s="98"/>
    </row>
    <row r="7665" spans="20:20" x14ac:dyDescent="0.25">
      <c r="T7665" s="98"/>
    </row>
    <row r="7666" spans="20:20" x14ac:dyDescent="0.25">
      <c r="T7666" s="98"/>
    </row>
    <row r="7667" spans="20:20" x14ac:dyDescent="0.25">
      <c r="T7667" s="98"/>
    </row>
    <row r="7668" spans="20:20" x14ac:dyDescent="0.25">
      <c r="T7668" s="98"/>
    </row>
    <row r="7669" spans="20:20" x14ac:dyDescent="0.25">
      <c r="T7669" s="98"/>
    </row>
    <row r="7670" spans="20:20" x14ac:dyDescent="0.25">
      <c r="T7670" s="98"/>
    </row>
    <row r="7671" spans="20:20" x14ac:dyDescent="0.25">
      <c r="T7671" s="98"/>
    </row>
    <row r="7672" spans="20:20" x14ac:dyDescent="0.25">
      <c r="T7672" s="98"/>
    </row>
    <row r="7673" spans="20:20" x14ac:dyDescent="0.25">
      <c r="T7673" s="98"/>
    </row>
    <row r="7674" spans="20:20" x14ac:dyDescent="0.25">
      <c r="T7674" s="98"/>
    </row>
    <row r="7675" spans="20:20" x14ac:dyDescent="0.25">
      <c r="T7675" s="98"/>
    </row>
    <row r="7676" spans="20:20" x14ac:dyDescent="0.25">
      <c r="T7676" s="98"/>
    </row>
    <row r="7677" spans="20:20" x14ac:dyDescent="0.25">
      <c r="T7677" s="98"/>
    </row>
    <row r="7678" spans="20:20" x14ac:dyDescent="0.25">
      <c r="T7678" s="98"/>
    </row>
    <row r="7679" spans="20:20" x14ac:dyDescent="0.25">
      <c r="T7679" s="98"/>
    </row>
    <row r="7680" spans="20:20" x14ac:dyDescent="0.25">
      <c r="T7680" s="98"/>
    </row>
    <row r="7681" spans="20:20" x14ac:dyDescent="0.25">
      <c r="T7681" s="98"/>
    </row>
    <row r="7682" spans="20:20" x14ac:dyDescent="0.25">
      <c r="T7682" s="98"/>
    </row>
    <row r="7683" spans="20:20" x14ac:dyDescent="0.25">
      <c r="T7683" s="98"/>
    </row>
    <row r="7684" spans="20:20" x14ac:dyDescent="0.25">
      <c r="T7684" s="98"/>
    </row>
    <row r="7685" spans="20:20" x14ac:dyDescent="0.25">
      <c r="T7685" s="98"/>
    </row>
    <row r="7686" spans="20:20" x14ac:dyDescent="0.25">
      <c r="T7686" s="98"/>
    </row>
    <row r="7687" spans="20:20" x14ac:dyDescent="0.25">
      <c r="T7687" s="98"/>
    </row>
    <row r="7688" spans="20:20" x14ac:dyDescent="0.25">
      <c r="T7688" s="98"/>
    </row>
    <row r="7689" spans="20:20" x14ac:dyDescent="0.25">
      <c r="T7689" s="98"/>
    </row>
    <row r="7690" spans="20:20" x14ac:dyDescent="0.25">
      <c r="T7690" s="98"/>
    </row>
    <row r="7691" spans="20:20" x14ac:dyDescent="0.25">
      <c r="T7691" s="98"/>
    </row>
    <row r="7692" spans="20:20" x14ac:dyDescent="0.25">
      <c r="T7692" s="98"/>
    </row>
    <row r="7693" spans="20:20" x14ac:dyDescent="0.25">
      <c r="T7693" s="98"/>
    </row>
    <row r="7694" spans="20:20" x14ac:dyDescent="0.25">
      <c r="T7694" s="98"/>
    </row>
    <row r="7695" spans="20:20" x14ac:dyDescent="0.25">
      <c r="T7695" s="98"/>
    </row>
    <row r="7696" spans="20:20" x14ac:dyDescent="0.25">
      <c r="T7696" s="98"/>
    </row>
    <row r="7697" spans="20:20" x14ac:dyDescent="0.25">
      <c r="T7697" s="98"/>
    </row>
    <row r="7698" spans="20:20" x14ac:dyDescent="0.25">
      <c r="T7698" s="98"/>
    </row>
    <row r="7699" spans="20:20" x14ac:dyDescent="0.25">
      <c r="T7699" s="98"/>
    </row>
    <row r="7700" spans="20:20" x14ac:dyDescent="0.25">
      <c r="T7700" s="98"/>
    </row>
    <row r="7701" spans="20:20" x14ac:dyDescent="0.25">
      <c r="T7701" s="98"/>
    </row>
    <row r="7702" spans="20:20" x14ac:dyDescent="0.25">
      <c r="T7702" s="98"/>
    </row>
    <row r="7703" spans="20:20" x14ac:dyDescent="0.25">
      <c r="T7703" s="98"/>
    </row>
    <row r="7704" spans="20:20" x14ac:dyDescent="0.25">
      <c r="T7704" s="98"/>
    </row>
    <row r="7705" spans="20:20" x14ac:dyDescent="0.25">
      <c r="T7705" s="98"/>
    </row>
    <row r="7706" spans="20:20" x14ac:dyDescent="0.25">
      <c r="T7706" s="98"/>
    </row>
    <row r="7707" spans="20:20" x14ac:dyDescent="0.25">
      <c r="T7707" s="98"/>
    </row>
    <row r="7708" spans="20:20" x14ac:dyDescent="0.25">
      <c r="T7708" s="98"/>
    </row>
    <row r="7709" spans="20:20" x14ac:dyDescent="0.25">
      <c r="T7709" s="98"/>
    </row>
    <row r="7710" spans="20:20" x14ac:dyDescent="0.25">
      <c r="T7710" s="98"/>
    </row>
    <row r="7711" spans="20:20" x14ac:dyDescent="0.25">
      <c r="T7711" s="98"/>
    </row>
    <row r="7712" spans="20:20" x14ac:dyDescent="0.25">
      <c r="T7712" s="98"/>
    </row>
    <row r="7713" spans="20:20" x14ac:dyDescent="0.25">
      <c r="T7713" s="98"/>
    </row>
    <row r="7714" spans="20:20" x14ac:dyDescent="0.25">
      <c r="T7714" s="98"/>
    </row>
    <row r="7715" spans="20:20" x14ac:dyDescent="0.25">
      <c r="T7715" s="98"/>
    </row>
    <row r="7716" spans="20:20" x14ac:dyDescent="0.25">
      <c r="T7716" s="98"/>
    </row>
    <row r="7717" spans="20:20" x14ac:dyDescent="0.25">
      <c r="T7717" s="98"/>
    </row>
    <row r="7718" spans="20:20" x14ac:dyDescent="0.25">
      <c r="T7718" s="98"/>
    </row>
    <row r="7719" spans="20:20" x14ac:dyDescent="0.25">
      <c r="T7719" s="98"/>
    </row>
    <row r="7720" spans="20:20" x14ac:dyDescent="0.25">
      <c r="T7720" s="98"/>
    </row>
    <row r="7721" spans="20:20" x14ac:dyDescent="0.25">
      <c r="T7721" s="98"/>
    </row>
    <row r="7722" spans="20:20" x14ac:dyDescent="0.25">
      <c r="T7722" s="98"/>
    </row>
    <row r="7723" spans="20:20" x14ac:dyDescent="0.25">
      <c r="T7723" s="98"/>
    </row>
    <row r="7724" spans="20:20" x14ac:dyDescent="0.25">
      <c r="T7724" s="98"/>
    </row>
    <row r="7725" spans="20:20" x14ac:dyDescent="0.25">
      <c r="T7725" s="98"/>
    </row>
    <row r="7726" spans="20:20" x14ac:dyDescent="0.25">
      <c r="T7726" s="98"/>
    </row>
    <row r="7727" spans="20:20" x14ac:dyDescent="0.25">
      <c r="T7727" s="98"/>
    </row>
    <row r="7728" spans="20:20" x14ac:dyDescent="0.25">
      <c r="T7728" s="98"/>
    </row>
    <row r="7729" spans="20:20" x14ac:dyDescent="0.25">
      <c r="T7729" s="98"/>
    </row>
    <row r="7730" spans="20:20" x14ac:dyDescent="0.25">
      <c r="T7730" s="98"/>
    </row>
    <row r="7731" spans="20:20" x14ac:dyDescent="0.25">
      <c r="T7731" s="98"/>
    </row>
    <row r="7732" spans="20:20" x14ac:dyDescent="0.25">
      <c r="T7732" s="98"/>
    </row>
    <row r="7733" spans="20:20" x14ac:dyDescent="0.25">
      <c r="T7733" s="98"/>
    </row>
    <row r="7734" spans="20:20" x14ac:dyDescent="0.25">
      <c r="T7734" s="98"/>
    </row>
    <row r="7735" spans="20:20" x14ac:dyDescent="0.25">
      <c r="T7735" s="98"/>
    </row>
    <row r="7736" spans="20:20" x14ac:dyDescent="0.25">
      <c r="T7736" s="98"/>
    </row>
    <row r="7737" spans="20:20" x14ac:dyDescent="0.25">
      <c r="T7737" s="98"/>
    </row>
    <row r="7738" spans="20:20" x14ac:dyDescent="0.25">
      <c r="T7738" s="98"/>
    </row>
    <row r="7739" spans="20:20" x14ac:dyDescent="0.25">
      <c r="T7739" s="98"/>
    </row>
    <row r="7740" spans="20:20" x14ac:dyDescent="0.25">
      <c r="T7740" s="98"/>
    </row>
    <row r="7741" spans="20:20" x14ac:dyDescent="0.25">
      <c r="T7741" s="98"/>
    </row>
    <row r="7742" spans="20:20" x14ac:dyDescent="0.25">
      <c r="T7742" s="98"/>
    </row>
    <row r="7743" spans="20:20" x14ac:dyDescent="0.25">
      <c r="T7743" s="98"/>
    </row>
    <row r="7744" spans="20:20" x14ac:dyDescent="0.25">
      <c r="T7744" s="98"/>
    </row>
    <row r="7745" spans="20:20" x14ac:dyDescent="0.25">
      <c r="T7745" s="98"/>
    </row>
    <row r="7746" spans="20:20" x14ac:dyDescent="0.25">
      <c r="T7746" s="98"/>
    </row>
    <row r="7747" spans="20:20" x14ac:dyDescent="0.25">
      <c r="T7747" s="98"/>
    </row>
    <row r="7748" spans="20:20" x14ac:dyDescent="0.25">
      <c r="T7748" s="98"/>
    </row>
    <row r="7749" spans="20:20" x14ac:dyDescent="0.25">
      <c r="T7749" s="98"/>
    </row>
    <row r="7750" spans="20:20" x14ac:dyDescent="0.25">
      <c r="T7750" s="98"/>
    </row>
    <row r="7751" spans="20:20" x14ac:dyDescent="0.25">
      <c r="T7751" s="98"/>
    </row>
    <row r="7752" spans="20:20" x14ac:dyDescent="0.25">
      <c r="T7752" s="98"/>
    </row>
    <row r="7753" spans="20:20" x14ac:dyDescent="0.25">
      <c r="T7753" s="98"/>
    </row>
    <row r="7754" spans="20:20" x14ac:dyDescent="0.25">
      <c r="T7754" s="98"/>
    </row>
    <row r="7755" spans="20:20" x14ac:dyDescent="0.25">
      <c r="T7755" s="98"/>
    </row>
    <row r="7756" spans="20:20" x14ac:dyDescent="0.25">
      <c r="T7756" s="98"/>
    </row>
    <row r="7757" spans="20:20" x14ac:dyDescent="0.25">
      <c r="T7757" s="98"/>
    </row>
    <row r="7758" spans="20:20" x14ac:dyDescent="0.25">
      <c r="T7758" s="98"/>
    </row>
    <row r="7759" spans="20:20" x14ac:dyDescent="0.25">
      <c r="T7759" s="98"/>
    </row>
    <row r="7760" spans="20:20" x14ac:dyDescent="0.25">
      <c r="T7760" s="98"/>
    </row>
    <row r="7761" spans="20:20" x14ac:dyDescent="0.25">
      <c r="T7761" s="98"/>
    </row>
    <row r="7762" spans="20:20" x14ac:dyDescent="0.25">
      <c r="T7762" s="98"/>
    </row>
    <row r="7763" spans="20:20" x14ac:dyDescent="0.25">
      <c r="T7763" s="98"/>
    </row>
    <row r="7764" spans="20:20" x14ac:dyDescent="0.25">
      <c r="T7764" s="98"/>
    </row>
    <row r="7765" spans="20:20" x14ac:dyDescent="0.25">
      <c r="T7765" s="98"/>
    </row>
    <row r="7766" spans="20:20" x14ac:dyDescent="0.25">
      <c r="T7766" s="98"/>
    </row>
    <row r="7767" spans="20:20" x14ac:dyDescent="0.25">
      <c r="T7767" s="98"/>
    </row>
    <row r="7768" spans="20:20" x14ac:dyDescent="0.25">
      <c r="T7768" s="98"/>
    </row>
    <row r="7769" spans="20:20" x14ac:dyDescent="0.25">
      <c r="T7769" s="98"/>
    </row>
    <row r="7770" spans="20:20" x14ac:dyDescent="0.25">
      <c r="T7770" s="98"/>
    </row>
    <row r="7771" spans="20:20" x14ac:dyDescent="0.25">
      <c r="T7771" s="98"/>
    </row>
    <row r="7772" spans="20:20" x14ac:dyDescent="0.25">
      <c r="T7772" s="98"/>
    </row>
    <row r="7773" spans="20:20" x14ac:dyDescent="0.25">
      <c r="T7773" s="98"/>
    </row>
    <row r="7774" spans="20:20" x14ac:dyDescent="0.25">
      <c r="T7774" s="98"/>
    </row>
    <row r="7775" spans="20:20" x14ac:dyDescent="0.25">
      <c r="T7775" s="98"/>
    </row>
    <row r="7776" spans="20:20" x14ac:dyDescent="0.25">
      <c r="T7776" s="98"/>
    </row>
    <row r="7777" spans="20:20" x14ac:dyDescent="0.25">
      <c r="T7777" s="98"/>
    </row>
    <row r="7778" spans="20:20" x14ac:dyDescent="0.25">
      <c r="T7778" s="98"/>
    </row>
    <row r="7779" spans="20:20" x14ac:dyDescent="0.25">
      <c r="T7779" s="98"/>
    </row>
    <row r="7780" spans="20:20" x14ac:dyDescent="0.25">
      <c r="T7780" s="98"/>
    </row>
    <row r="7781" spans="20:20" x14ac:dyDescent="0.25">
      <c r="T7781" s="98"/>
    </row>
    <row r="7782" spans="20:20" x14ac:dyDescent="0.25">
      <c r="T7782" s="98"/>
    </row>
    <row r="7783" spans="20:20" x14ac:dyDescent="0.25">
      <c r="T7783" s="98"/>
    </row>
    <row r="7784" spans="20:20" x14ac:dyDescent="0.25">
      <c r="T7784" s="98"/>
    </row>
    <row r="7785" spans="20:20" x14ac:dyDescent="0.25">
      <c r="T7785" s="98"/>
    </row>
    <row r="7786" spans="20:20" x14ac:dyDescent="0.25">
      <c r="T7786" s="98"/>
    </row>
    <row r="7787" spans="20:20" x14ac:dyDescent="0.25">
      <c r="T7787" s="98"/>
    </row>
    <row r="7788" spans="20:20" x14ac:dyDescent="0.25">
      <c r="T7788" s="98"/>
    </row>
    <row r="7789" spans="20:20" x14ac:dyDescent="0.25">
      <c r="T7789" s="98"/>
    </row>
    <row r="7790" spans="20:20" x14ac:dyDescent="0.25">
      <c r="T7790" s="98"/>
    </row>
    <row r="7791" spans="20:20" x14ac:dyDescent="0.25">
      <c r="T7791" s="98"/>
    </row>
    <row r="7792" spans="20:20" x14ac:dyDescent="0.25">
      <c r="T7792" s="98"/>
    </row>
    <row r="7793" spans="20:20" x14ac:dyDescent="0.25">
      <c r="T7793" s="98"/>
    </row>
    <row r="7794" spans="20:20" x14ac:dyDescent="0.25">
      <c r="T7794" s="98"/>
    </row>
    <row r="7795" spans="20:20" x14ac:dyDescent="0.25">
      <c r="T7795" s="98"/>
    </row>
    <row r="7796" spans="20:20" x14ac:dyDescent="0.25">
      <c r="T7796" s="98"/>
    </row>
    <row r="7797" spans="20:20" x14ac:dyDescent="0.25">
      <c r="T7797" s="98"/>
    </row>
    <row r="7798" spans="20:20" x14ac:dyDescent="0.25">
      <c r="T7798" s="98"/>
    </row>
    <row r="7799" spans="20:20" x14ac:dyDescent="0.25">
      <c r="T7799" s="98"/>
    </row>
    <row r="7800" spans="20:20" x14ac:dyDescent="0.25">
      <c r="T7800" s="98"/>
    </row>
    <row r="7801" spans="20:20" x14ac:dyDescent="0.25">
      <c r="T7801" s="98"/>
    </row>
    <row r="7802" spans="20:20" x14ac:dyDescent="0.25">
      <c r="T7802" s="98"/>
    </row>
    <row r="7803" spans="20:20" x14ac:dyDescent="0.25">
      <c r="T7803" s="98"/>
    </row>
    <row r="7804" spans="20:20" x14ac:dyDescent="0.25">
      <c r="T7804" s="98"/>
    </row>
    <row r="7805" spans="20:20" x14ac:dyDescent="0.25">
      <c r="T7805" s="98"/>
    </row>
    <row r="7806" spans="20:20" x14ac:dyDescent="0.25">
      <c r="T7806" s="98"/>
    </row>
    <row r="7807" spans="20:20" x14ac:dyDescent="0.25">
      <c r="T7807" s="98"/>
    </row>
    <row r="7808" spans="20:20" x14ac:dyDescent="0.25">
      <c r="T7808" s="98"/>
    </row>
    <row r="7809" spans="20:20" x14ac:dyDescent="0.25">
      <c r="T7809" s="98"/>
    </row>
    <row r="7810" spans="20:20" x14ac:dyDescent="0.25">
      <c r="T7810" s="98"/>
    </row>
    <row r="7811" spans="20:20" x14ac:dyDescent="0.25">
      <c r="T7811" s="98"/>
    </row>
    <row r="7812" spans="20:20" x14ac:dyDescent="0.25">
      <c r="T7812" s="98"/>
    </row>
    <row r="7813" spans="20:20" x14ac:dyDescent="0.25">
      <c r="T7813" s="98"/>
    </row>
    <row r="7814" spans="20:20" x14ac:dyDescent="0.25">
      <c r="T7814" s="98"/>
    </row>
    <row r="7815" spans="20:20" x14ac:dyDescent="0.25">
      <c r="T7815" s="98"/>
    </row>
    <row r="7816" spans="20:20" x14ac:dyDescent="0.25">
      <c r="T7816" s="98"/>
    </row>
    <row r="7817" spans="20:20" x14ac:dyDescent="0.25">
      <c r="T7817" s="98"/>
    </row>
    <row r="7818" spans="20:20" x14ac:dyDescent="0.25">
      <c r="T7818" s="98"/>
    </row>
    <row r="7819" spans="20:20" x14ac:dyDescent="0.25">
      <c r="T7819" s="98"/>
    </row>
    <row r="7820" spans="20:20" x14ac:dyDescent="0.25">
      <c r="T7820" s="98"/>
    </row>
    <row r="7821" spans="20:20" x14ac:dyDescent="0.25">
      <c r="T7821" s="98"/>
    </row>
    <row r="7822" spans="20:20" x14ac:dyDescent="0.25">
      <c r="T7822" s="98"/>
    </row>
    <row r="7823" spans="20:20" x14ac:dyDescent="0.25">
      <c r="T7823" s="98"/>
    </row>
    <row r="7824" spans="20:20" x14ac:dyDescent="0.25">
      <c r="T7824" s="98"/>
    </row>
    <row r="7825" spans="20:20" x14ac:dyDescent="0.25">
      <c r="T7825" s="98"/>
    </row>
    <row r="7826" spans="20:20" x14ac:dyDescent="0.25">
      <c r="T7826" s="98"/>
    </row>
    <row r="7827" spans="20:20" x14ac:dyDescent="0.25">
      <c r="T7827" s="98"/>
    </row>
    <row r="7828" spans="20:20" x14ac:dyDescent="0.25">
      <c r="T7828" s="98"/>
    </row>
    <row r="7829" spans="20:20" x14ac:dyDescent="0.25">
      <c r="T7829" s="98"/>
    </row>
    <row r="7830" spans="20:20" x14ac:dyDescent="0.25">
      <c r="T7830" s="98"/>
    </row>
    <row r="7831" spans="20:20" x14ac:dyDescent="0.25">
      <c r="T7831" s="98"/>
    </row>
    <row r="7832" spans="20:20" x14ac:dyDescent="0.25">
      <c r="T7832" s="98"/>
    </row>
    <row r="7833" spans="20:20" x14ac:dyDescent="0.25">
      <c r="T7833" s="98"/>
    </row>
    <row r="7834" spans="20:20" x14ac:dyDescent="0.25">
      <c r="T7834" s="98"/>
    </row>
    <row r="7835" spans="20:20" x14ac:dyDescent="0.25">
      <c r="T7835" s="98"/>
    </row>
    <row r="7836" spans="20:20" x14ac:dyDescent="0.25">
      <c r="T7836" s="98"/>
    </row>
    <row r="7837" spans="20:20" x14ac:dyDescent="0.25">
      <c r="T7837" s="98"/>
    </row>
    <row r="7838" spans="20:20" x14ac:dyDescent="0.25">
      <c r="T7838" s="98"/>
    </row>
    <row r="7839" spans="20:20" x14ac:dyDescent="0.25">
      <c r="T7839" s="98"/>
    </row>
    <row r="7840" spans="20:20" x14ac:dyDescent="0.25">
      <c r="T7840" s="98"/>
    </row>
    <row r="7841" spans="20:20" x14ac:dyDescent="0.25">
      <c r="T7841" s="98"/>
    </row>
    <row r="7842" spans="20:20" x14ac:dyDescent="0.25">
      <c r="T7842" s="98"/>
    </row>
    <row r="7843" spans="20:20" x14ac:dyDescent="0.25">
      <c r="T7843" s="98"/>
    </row>
    <row r="7844" spans="20:20" x14ac:dyDescent="0.25">
      <c r="T7844" s="98"/>
    </row>
    <row r="7845" spans="20:20" x14ac:dyDescent="0.25">
      <c r="T7845" s="98"/>
    </row>
    <row r="7846" spans="20:20" x14ac:dyDescent="0.25">
      <c r="T7846" s="98"/>
    </row>
    <row r="7847" spans="20:20" x14ac:dyDescent="0.25">
      <c r="T7847" s="98"/>
    </row>
    <row r="7848" spans="20:20" x14ac:dyDescent="0.25">
      <c r="T7848" s="98"/>
    </row>
    <row r="7849" spans="20:20" x14ac:dyDescent="0.25">
      <c r="T7849" s="98"/>
    </row>
    <row r="7850" spans="20:20" x14ac:dyDescent="0.25">
      <c r="T7850" s="98"/>
    </row>
    <row r="7851" spans="20:20" x14ac:dyDescent="0.25">
      <c r="T7851" s="98"/>
    </row>
    <row r="7852" spans="20:20" x14ac:dyDescent="0.25">
      <c r="T7852" s="98"/>
    </row>
    <row r="7853" spans="20:20" x14ac:dyDescent="0.25">
      <c r="T7853" s="98"/>
    </row>
    <row r="7854" spans="20:20" x14ac:dyDescent="0.25">
      <c r="T7854" s="98"/>
    </row>
    <row r="7855" spans="20:20" x14ac:dyDescent="0.25">
      <c r="T7855" s="98"/>
    </row>
    <row r="7856" spans="20:20" x14ac:dyDescent="0.25">
      <c r="T7856" s="98"/>
    </row>
    <row r="7857" spans="20:20" x14ac:dyDescent="0.25">
      <c r="T7857" s="98"/>
    </row>
    <row r="7858" spans="20:20" x14ac:dyDescent="0.25">
      <c r="T7858" s="98"/>
    </row>
    <row r="7859" spans="20:20" x14ac:dyDescent="0.25">
      <c r="T7859" s="98"/>
    </row>
    <row r="7860" spans="20:20" x14ac:dyDescent="0.25">
      <c r="T7860" s="98"/>
    </row>
    <row r="7861" spans="20:20" x14ac:dyDescent="0.25">
      <c r="T7861" s="98"/>
    </row>
    <row r="7862" spans="20:20" x14ac:dyDescent="0.25">
      <c r="T7862" s="98"/>
    </row>
    <row r="7863" spans="20:20" x14ac:dyDescent="0.25">
      <c r="T7863" s="98"/>
    </row>
    <row r="7864" spans="20:20" x14ac:dyDescent="0.25">
      <c r="T7864" s="98"/>
    </row>
    <row r="7865" spans="20:20" x14ac:dyDescent="0.25">
      <c r="T7865" s="98"/>
    </row>
    <row r="7866" spans="20:20" x14ac:dyDescent="0.25">
      <c r="T7866" s="98"/>
    </row>
    <row r="7867" spans="20:20" x14ac:dyDescent="0.25">
      <c r="T7867" s="98"/>
    </row>
    <row r="7868" spans="20:20" x14ac:dyDescent="0.25">
      <c r="T7868" s="98"/>
    </row>
    <row r="7869" spans="20:20" x14ac:dyDescent="0.25">
      <c r="T7869" s="98"/>
    </row>
    <row r="7870" spans="20:20" x14ac:dyDescent="0.25">
      <c r="T7870" s="98"/>
    </row>
    <row r="7871" spans="20:20" x14ac:dyDescent="0.25">
      <c r="T7871" s="98"/>
    </row>
    <row r="7872" spans="20:20" x14ac:dyDescent="0.25">
      <c r="T7872" s="98"/>
    </row>
    <row r="7873" spans="20:20" x14ac:dyDescent="0.25">
      <c r="T7873" s="98"/>
    </row>
    <row r="7874" spans="20:20" x14ac:dyDescent="0.25">
      <c r="T7874" s="98"/>
    </row>
    <row r="7875" spans="20:20" x14ac:dyDescent="0.25">
      <c r="T7875" s="98"/>
    </row>
    <row r="7876" spans="20:20" x14ac:dyDescent="0.25">
      <c r="T7876" s="98"/>
    </row>
    <row r="7877" spans="20:20" x14ac:dyDescent="0.25">
      <c r="T7877" s="98"/>
    </row>
    <row r="7878" spans="20:20" x14ac:dyDescent="0.25">
      <c r="T7878" s="98"/>
    </row>
    <row r="7879" spans="20:20" x14ac:dyDescent="0.25">
      <c r="T7879" s="98"/>
    </row>
    <row r="7880" spans="20:20" x14ac:dyDescent="0.25">
      <c r="T7880" s="98"/>
    </row>
    <row r="7881" spans="20:20" x14ac:dyDescent="0.25">
      <c r="T7881" s="98"/>
    </row>
    <row r="7882" spans="20:20" x14ac:dyDescent="0.25">
      <c r="T7882" s="98"/>
    </row>
    <row r="7883" spans="20:20" x14ac:dyDescent="0.25">
      <c r="T7883" s="98"/>
    </row>
    <row r="7884" spans="20:20" x14ac:dyDescent="0.25">
      <c r="T7884" s="98"/>
    </row>
    <row r="7885" spans="20:20" x14ac:dyDescent="0.25">
      <c r="T7885" s="98"/>
    </row>
    <row r="7886" spans="20:20" x14ac:dyDescent="0.25">
      <c r="T7886" s="98"/>
    </row>
    <row r="7887" spans="20:20" x14ac:dyDescent="0.25">
      <c r="T7887" s="98"/>
    </row>
    <row r="7888" spans="20:20" x14ac:dyDescent="0.25">
      <c r="T7888" s="98"/>
    </row>
    <row r="7889" spans="20:20" x14ac:dyDescent="0.25">
      <c r="T7889" s="98"/>
    </row>
    <row r="7890" spans="20:20" x14ac:dyDescent="0.25">
      <c r="T7890" s="98"/>
    </row>
    <row r="7891" spans="20:20" x14ac:dyDescent="0.25">
      <c r="T7891" s="98"/>
    </row>
    <row r="7892" spans="20:20" x14ac:dyDescent="0.25">
      <c r="T7892" s="98"/>
    </row>
    <row r="7893" spans="20:20" x14ac:dyDescent="0.25">
      <c r="T7893" s="98"/>
    </row>
    <row r="7894" spans="20:20" x14ac:dyDescent="0.25">
      <c r="T7894" s="98"/>
    </row>
    <row r="7895" spans="20:20" x14ac:dyDescent="0.25">
      <c r="T7895" s="98"/>
    </row>
    <row r="7896" spans="20:20" x14ac:dyDescent="0.25">
      <c r="T7896" s="98"/>
    </row>
    <row r="7897" spans="20:20" x14ac:dyDescent="0.25">
      <c r="T7897" s="98"/>
    </row>
    <row r="7898" spans="20:20" x14ac:dyDescent="0.25">
      <c r="T7898" s="98"/>
    </row>
    <row r="7899" spans="20:20" x14ac:dyDescent="0.25">
      <c r="T7899" s="98"/>
    </row>
    <row r="7900" spans="20:20" x14ac:dyDescent="0.25">
      <c r="T7900" s="98"/>
    </row>
    <row r="7901" spans="20:20" x14ac:dyDescent="0.25">
      <c r="T7901" s="98"/>
    </row>
    <row r="7902" spans="20:20" x14ac:dyDescent="0.25">
      <c r="T7902" s="98"/>
    </row>
    <row r="7903" spans="20:20" x14ac:dyDescent="0.25">
      <c r="T7903" s="98"/>
    </row>
    <row r="7904" spans="20:20" x14ac:dyDescent="0.25">
      <c r="T7904" s="98"/>
    </row>
    <row r="7905" spans="20:20" x14ac:dyDescent="0.25">
      <c r="T7905" s="98"/>
    </row>
    <row r="7906" spans="20:20" x14ac:dyDescent="0.25">
      <c r="T7906" s="98"/>
    </row>
    <row r="7907" spans="20:20" x14ac:dyDescent="0.25">
      <c r="T7907" s="98"/>
    </row>
    <row r="7908" spans="20:20" x14ac:dyDescent="0.25">
      <c r="T7908" s="98"/>
    </row>
    <row r="7909" spans="20:20" x14ac:dyDescent="0.25">
      <c r="T7909" s="98"/>
    </row>
    <row r="7910" spans="20:20" x14ac:dyDescent="0.25">
      <c r="T7910" s="98"/>
    </row>
    <row r="7911" spans="20:20" x14ac:dyDescent="0.25">
      <c r="T7911" s="98"/>
    </row>
    <row r="7912" spans="20:20" x14ac:dyDescent="0.25">
      <c r="T7912" s="98"/>
    </row>
    <row r="7913" spans="20:20" x14ac:dyDescent="0.25">
      <c r="T7913" s="98"/>
    </row>
    <row r="7914" spans="20:20" x14ac:dyDescent="0.25">
      <c r="T7914" s="98"/>
    </row>
    <row r="7915" spans="20:20" x14ac:dyDescent="0.25">
      <c r="T7915" s="98"/>
    </row>
    <row r="7916" spans="20:20" x14ac:dyDescent="0.25">
      <c r="T7916" s="98"/>
    </row>
    <row r="7917" spans="20:20" x14ac:dyDescent="0.25">
      <c r="T7917" s="98"/>
    </row>
    <row r="7918" spans="20:20" x14ac:dyDescent="0.25">
      <c r="T7918" s="98"/>
    </row>
    <row r="7919" spans="20:20" x14ac:dyDescent="0.25">
      <c r="T7919" s="98"/>
    </row>
    <row r="7920" spans="20:20" x14ac:dyDescent="0.25">
      <c r="T7920" s="98"/>
    </row>
    <row r="7921" spans="20:20" x14ac:dyDescent="0.25">
      <c r="T7921" s="98"/>
    </row>
    <row r="7922" spans="20:20" x14ac:dyDescent="0.25">
      <c r="T7922" s="98"/>
    </row>
    <row r="7923" spans="20:20" x14ac:dyDescent="0.25">
      <c r="T7923" s="98"/>
    </row>
    <row r="7924" spans="20:20" x14ac:dyDescent="0.25">
      <c r="T7924" s="98"/>
    </row>
    <row r="7925" spans="20:20" x14ac:dyDescent="0.25">
      <c r="T7925" s="98"/>
    </row>
    <row r="7926" spans="20:20" x14ac:dyDescent="0.25">
      <c r="T7926" s="98"/>
    </row>
    <row r="7927" spans="20:20" x14ac:dyDescent="0.25">
      <c r="T7927" s="98"/>
    </row>
    <row r="7928" spans="20:20" x14ac:dyDescent="0.25">
      <c r="T7928" s="98"/>
    </row>
    <row r="7929" spans="20:20" x14ac:dyDescent="0.25">
      <c r="T7929" s="98"/>
    </row>
    <row r="7930" spans="20:20" x14ac:dyDescent="0.25">
      <c r="T7930" s="98"/>
    </row>
    <row r="7931" spans="20:20" x14ac:dyDescent="0.25">
      <c r="T7931" s="98"/>
    </row>
    <row r="7932" spans="20:20" x14ac:dyDescent="0.25">
      <c r="T7932" s="98"/>
    </row>
    <row r="7933" spans="20:20" x14ac:dyDescent="0.25">
      <c r="T7933" s="98"/>
    </row>
    <row r="7934" spans="20:20" x14ac:dyDescent="0.25">
      <c r="T7934" s="98"/>
    </row>
    <row r="7935" spans="20:20" x14ac:dyDescent="0.25">
      <c r="T7935" s="98"/>
    </row>
    <row r="7936" spans="20:20" x14ac:dyDescent="0.25">
      <c r="T7936" s="98"/>
    </row>
    <row r="7937" spans="20:20" x14ac:dyDescent="0.25">
      <c r="T7937" s="98"/>
    </row>
    <row r="7938" spans="20:20" x14ac:dyDescent="0.25">
      <c r="T7938" s="98"/>
    </row>
    <row r="7939" spans="20:20" x14ac:dyDescent="0.25">
      <c r="T7939" s="98"/>
    </row>
    <row r="7940" spans="20:20" x14ac:dyDescent="0.25">
      <c r="T7940" s="98"/>
    </row>
    <row r="7941" spans="20:20" x14ac:dyDescent="0.25">
      <c r="T7941" s="98"/>
    </row>
    <row r="7942" spans="20:20" x14ac:dyDescent="0.25">
      <c r="T7942" s="98"/>
    </row>
    <row r="7943" spans="20:20" x14ac:dyDescent="0.25">
      <c r="T7943" s="98"/>
    </row>
    <row r="7944" spans="20:20" x14ac:dyDescent="0.25">
      <c r="T7944" s="98"/>
    </row>
    <row r="7945" spans="20:20" x14ac:dyDescent="0.25">
      <c r="T7945" s="98"/>
    </row>
    <row r="7946" spans="20:20" x14ac:dyDescent="0.25">
      <c r="T7946" s="98"/>
    </row>
    <row r="7947" spans="20:20" x14ac:dyDescent="0.25">
      <c r="T7947" s="98"/>
    </row>
    <row r="7948" spans="20:20" x14ac:dyDescent="0.25">
      <c r="T7948" s="98"/>
    </row>
    <row r="7949" spans="20:20" x14ac:dyDescent="0.25">
      <c r="T7949" s="98"/>
    </row>
    <row r="7950" spans="20:20" x14ac:dyDescent="0.25">
      <c r="T7950" s="98"/>
    </row>
    <row r="7951" spans="20:20" x14ac:dyDescent="0.25">
      <c r="T7951" s="98"/>
    </row>
    <row r="7952" spans="20:20" x14ac:dyDescent="0.25">
      <c r="T7952" s="98"/>
    </row>
    <row r="7953" spans="20:20" x14ac:dyDescent="0.25">
      <c r="T7953" s="98"/>
    </row>
    <row r="7954" spans="20:20" x14ac:dyDescent="0.25">
      <c r="T7954" s="98"/>
    </row>
    <row r="7955" spans="20:20" x14ac:dyDescent="0.25">
      <c r="T7955" s="98"/>
    </row>
    <row r="7956" spans="20:20" x14ac:dyDescent="0.25">
      <c r="T7956" s="98"/>
    </row>
    <row r="7957" spans="20:20" x14ac:dyDescent="0.25">
      <c r="T7957" s="98"/>
    </row>
    <row r="7958" spans="20:20" x14ac:dyDescent="0.25">
      <c r="T7958" s="98"/>
    </row>
    <row r="7959" spans="20:20" x14ac:dyDescent="0.25">
      <c r="T7959" s="98"/>
    </row>
    <row r="7960" spans="20:20" x14ac:dyDescent="0.25">
      <c r="T7960" s="98"/>
    </row>
    <row r="7961" spans="20:20" x14ac:dyDescent="0.25">
      <c r="T7961" s="98"/>
    </row>
    <row r="7962" spans="20:20" x14ac:dyDescent="0.25">
      <c r="T7962" s="98"/>
    </row>
    <row r="7963" spans="20:20" x14ac:dyDescent="0.25">
      <c r="T7963" s="98"/>
    </row>
    <row r="7964" spans="20:20" x14ac:dyDescent="0.25">
      <c r="T7964" s="98"/>
    </row>
    <row r="7965" spans="20:20" x14ac:dyDescent="0.25">
      <c r="T7965" s="98"/>
    </row>
    <row r="7966" spans="20:20" x14ac:dyDescent="0.25">
      <c r="T7966" s="98"/>
    </row>
    <row r="7967" spans="20:20" x14ac:dyDescent="0.25">
      <c r="T7967" s="98"/>
    </row>
    <row r="7968" spans="20:20" x14ac:dyDescent="0.25">
      <c r="T7968" s="98"/>
    </row>
    <row r="7969" spans="20:20" x14ac:dyDescent="0.25">
      <c r="T7969" s="98"/>
    </row>
    <row r="7970" spans="20:20" x14ac:dyDescent="0.25">
      <c r="T7970" s="98"/>
    </row>
    <row r="7971" spans="20:20" x14ac:dyDescent="0.25">
      <c r="T7971" s="98"/>
    </row>
    <row r="7972" spans="20:20" x14ac:dyDescent="0.25">
      <c r="T7972" s="98"/>
    </row>
    <row r="7973" spans="20:20" x14ac:dyDescent="0.25">
      <c r="T7973" s="98"/>
    </row>
    <row r="7974" spans="20:20" x14ac:dyDescent="0.25">
      <c r="T7974" s="98"/>
    </row>
    <row r="7975" spans="20:20" x14ac:dyDescent="0.25">
      <c r="T7975" s="98"/>
    </row>
    <row r="7976" spans="20:20" x14ac:dyDescent="0.25">
      <c r="T7976" s="98"/>
    </row>
    <row r="7977" spans="20:20" x14ac:dyDescent="0.25">
      <c r="T7977" s="98"/>
    </row>
    <row r="7978" spans="20:20" x14ac:dyDescent="0.25">
      <c r="T7978" s="98"/>
    </row>
    <row r="7979" spans="20:20" x14ac:dyDescent="0.25">
      <c r="T7979" s="98"/>
    </row>
    <row r="7980" spans="20:20" x14ac:dyDescent="0.25">
      <c r="T7980" s="98"/>
    </row>
    <row r="7981" spans="20:20" x14ac:dyDescent="0.25">
      <c r="T7981" s="98"/>
    </row>
    <row r="7982" spans="20:20" x14ac:dyDescent="0.25">
      <c r="T7982" s="98"/>
    </row>
    <row r="7983" spans="20:20" x14ac:dyDescent="0.25">
      <c r="T7983" s="98"/>
    </row>
    <row r="7984" spans="20:20" x14ac:dyDescent="0.25">
      <c r="T7984" s="98"/>
    </row>
    <row r="7985" spans="20:20" x14ac:dyDescent="0.25">
      <c r="T7985" s="98"/>
    </row>
    <row r="7986" spans="20:20" x14ac:dyDescent="0.25">
      <c r="T7986" s="98"/>
    </row>
    <row r="7987" spans="20:20" x14ac:dyDescent="0.25">
      <c r="T7987" s="98"/>
    </row>
    <row r="7988" spans="20:20" x14ac:dyDescent="0.25">
      <c r="T7988" s="98"/>
    </row>
    <row r="7989" spans="20:20" x14ac:dyDescent="0.25">
      <c r="T7989" s="98"/>
    </row>
    <row r="7990" spans="20:20" x14ac:dyDescent="0.25">
      <c r="T7990" s="98"/>
    </row>
    <row r="7991" spans="20:20" x14ac:dyDescent="0.25">
      <c r="T7991" s="98"/>
    </row>
    <row r="7992" spans="20:20" x14ac:dyDescent="0.25">
      <c r="T7992" s="98"/>
    </row>
    <row r="7993" spans="20:20" x14ac:dyDescent="0.25">
      <c r="T7993" s="98"/>
    </row>
    <row r="7994" spans="20:20" x14ac:dyDescent="0.25">
      <c r="T7994" s="98"/>
    </row>
    <row r="7995" spans="20:20" x14ac:dyDescent="0.25">
      <c r="T7995" s="98"/>
    </row>
    <row r="7996" spans="20:20" x14ac:dyDescent="0.25">
      <c r="T7996" s="98"/>
    </row>
    <row r="7997" spans="20:20" x14ac:dyDescent="0.25">
      <c r="T7997" s="98"/>
    </row>
    <row r="7998" spans="20:20" x14ac:dyDescent="0.25">
      <c r="T7998" s="98"/>
    </row>
    <row r="7999" spans="20:20" x14ac:dyDescent="0.25">
      <c r="T7999" s="98"/>
    </row>
    <row r="8000" spans="20:20" x14ac:dyDescent="0.25">
      <c r="T8000" s="98"/>
    </row>
    <row r="8001" spans="20:20" x14ac:dyDescent="0.25">
      <c r="T8001" s="98"/>
    </row>
    <row r="8002" spans="20:20" x14ac:dyDescent="0.25">
      <c r="T8002" s="98"/>
    </row>
    <row r="8003" spans="20:20" x14ac:dyDescent="0.25">
      <c r="T8003" s="98"/>
    </row>
    <row r="8004" spans="20:20" x14ac:dyDescent="0.25">
      <c r="T8004" s="98"/>
    </row>
    <row r="8005" spans="20:20" x14ac:dyDescent="0.25">
      <c r="T8005" s="98"/>
    </row>
    <row r="8006" spans="20:20" x14ac:dyDescent="0.25">
      <c r="T8006" s="98"/>
    </row>
    <row r="8007" spans="20:20" x14ac:dyDescent="0.25">
      <c r="T8007" s="98"/>
    </row>
    <row r="8008" spans="20:20" x14ac:dyDescent="0.25">
      <c r="T8008" s="98"/>
    </row>
    <row r="8009" spans="20:20" x14ac:dyDescent="0.25">
      <c r="T8009" s="98"/>
    </row>
    <row r="8010" spans="20:20" x14ac:dyDescent="0.25">
      <c r="T8010" s="98"/>
    </row>
    <row r="8011" spans="20:20" x14ac:dyDescent="0.25">
      <c r="T8011" s="98"/>
    </row>
    <row r="8012" spans="20:20" x14ac:dyDescent="0.25">
      <c r="T8012" s="98"/>
    </row>
    <row r="8013" spans="20:20" x14ac:dyDescent="0.25">
      <c r="T8013" s="98"/>
    </row>
    <row r="8014" spans="20:20" x14ac:dyDescent="0.25">
      <c r="T8014" s="98"/>
    </row>
    <row r="8015" spans="20:20" x14ac:dyDescent="0.25">
      <c r="T8015" s="98"/>
    </row>
    <row r="8016" spans="20:20" x14ac:dyDescent="0.25">
      <c r="T8016" s="98"/>
    </row>
    <row r="8017" spans="20:20" x14ac:dyDescent="0.25">
      <c r="T8017" s="98"/>
    </row>
    <row r="8018" spans="20:20" x14ac:dyDescent="0.25">
      <c r="T8018" s="98"/>
    </row>
    <row r="8019" spans="20:20" x14ac:dyDescent="0.25">
      <c r="T8019" s="98"/>
    </row>
    <row r="8020" spans="20:20" x14ac:dyDescent="0.25">
      <c r="T8020" s="98"/>
    </row>
    <row r="8021" spans="20:20" x14ac:dyDescent="0.25">
      <c r="T8021" s="98"/>
    </row>
    <row r="8022" spans="20:20" x14ac:dyDescent="0.25">
      <c r="T8022" s="98"/>
    </row>
    <row r="8023" spans="20:20" x14ac:dyDescent="0.25">
      <c r="T8023" s="98"/>
    </row>
    <row r="8024" spans="20:20" x14ac:dyDescent="0.25">
      <c r="T8024" s="98"/>
    </row>
    <row r="8025" spans="20:20" x14ac:dyDescent="0.25">
      <c r="T8025" s="98"/>
    </row>
    <row r="8026" spans="20:20" x14ac:dyDescent="0.25">
      <c r="T8026" s="98"/>
    </row>
    <row r="8027" spans="20:20" x14ac:dyDescent="0.25">
      <c r="T8027" s="98"/>
    </row>
    <row r="8028" spans="20:20" x14ac:dyDescent="0.25">
      <c r="T8028" s="98"/>
    </row>
    <row r="8029" spans="20:20" x14ac:dyDescent="0.25">
      <c r="T8029" s="98"/>
    </row>
    <row r="8030" spans="20:20" x14ac:dyDescent="0.25">
      <c r="T8030" s="98"/>
    </row>
    <row r="8031" spans="20:20" x14ac:dyDescent="0.25">
      <c r="T8031" s="98"/>
    </row>
    <row r="8032" spans="20:20" x14ac:dyDescent="0.25">
      <c r="T8032" s="98"/>
    </row>
    <row r="8033" spans="20:20" x14ac:dyDescent="0.25">
      <c r="T8033" s="98"/>
    </row>
    <row r="8034" spans="20:20" x14ac:dyDescent="0.25">
      <c r="T8034" s="98"/>
    </row>
    <row r="8035" spans="20:20" x14ac:dyDescent="0.25">
      <c r="T8035" s="98"/>
    </row>
    <row r="8036" spans="20:20" x14ac:dyDescent="0.25">
      <c r="T8036" s="98"/>
    </row>
    <row r="8037" spans="20:20" x14ac:dyDescent="0.25">
      <c r="T8037" s="98"/>
    </row>
    <row r="8038" spans="20:20" x14ac:dyDescent="0.25">
      <c r="T8038" s="98"/>
    </row>
    <row r="8039" spans="20:20" x14ac:dyDescent="0.25">
      <c r="T8039" s="98"/>
    </row>
    <row r="8040" spans="20:20" x14ac:dyDescent="0.25">
      <c r="T8040" s="98"/>
    </row>
    <row r="8041" spans="20:20" x14ac:dyDescent="0.25">
      <c r="T8041" s="98"/>
    </row>
    <row r="8042" spans="20:20" x14ac:dyDescent="0.25">
      <c r="T8042" s="98"/>
    </row>
    <row r="8043" spans="20:20" x14ac:dyDescent="0.25">
      <c r="T8043" s="98"/>
    </row>
    <row r="8044" spans="20:20" x14ac:dyDescent="0.25">
      <c r="T8044" s="98"/>
    </row>
    <row r="8045" spans="20:20" x14ac:dyDescent="0.25">
      <c r="T8045" s="98"/>
    </row>
    <row r="8046" spans="20:20" x14ac:dyDescent="0.25">
      <c r="T8046" s="98"/>
    </row>
    <row r="8047" spans="20:20" x14ac:dyDescent="0.25">
      <c r="T8047" s="98"/>
    </row>
    <row r="8048" spans="20:20" x14ac:dyDescent="0.25">
      <c r="T8048" s="98"/>
    </row>
    <row r="8049" spans="20:20" x14ac:dyDescent="0.25">
      <c r="T8049" s="98"/>
    </row>
    <row r="8050" spans="20:20" x14ac:dyDescent="0.25">
      <c r="T8050" s="98"/>
    </row>
    <row r="8051" spans="20:20" x14ac:dyDescent="0.25">
      <c r="T8051" s="98"/>
    </row>
    <row r="8052" spans="20:20" x14ac:dyDescent="0.25">
      <c r="T8052" s="98"/>
    </row>
    <row r="8053" spans="20:20" x14ac:dyDescent="0.25">
      <c r="T8053" s="98"/>
    </row>
    <row r="8054" spans="20:20" x14ac:dyDescent="0.25">
      <c r="T8054" s="98"/>
    </row>
    <row r="8055" spans="20:20" x14ac:dyDescent="0.25">
      <c r="T8055" s="98"/>
    </row>
    <row r="8056" spans="20:20" x14ac:dyDescent="0.25">
      <c r="T8056" s="98"/>
    </row>
    <row r="8057" spans="20:20" x14ac:dyDescent="0.25">
      <c r="T8057" s="98"/>
    </row>
    <row r="8058" spans="20:20" x14ac:dyDescent="0.25">
      <c r="T8058" s="98"/>
    </row>
    <row r="8059" spans="20:20" x14ac:dyDescent="0.25">
      <c r="T8059" s="98"/>
    </row>
    <row r="8060" spans="20:20" x14ac:dyDescent="0.25">
      <c r="T8060" s="98"/>
    </row>
    <row r="8061" spans="20:20" x14ac:dyDescent="0.25">
      <c r="T8061" s="98"/>
    </row>
    <row r="8062" spans="20:20" x14ac:dyDescent="0.25">
      <c r="T8062" s="98"/>
    </row>
    <row r="8063" spans="20:20" x14ac:dyDescent="0.25">
      <c r="T8063" s="98"/>
    </row>
    <row r="8064" spans="20:20" x14ac:dyDescent="0.25">
      <c r="T8064" s="98"/>
    </row>
    <row r="8065" spans="20:20" x14ac:dyDescent="0.25">
      <c r="T8065" s="98"/>
    </row>
    <row r="8066" spans="20:20" x14ac:dyDescent="0.25">
      <c r="T8066" s="98"/>
    </row>
    <row r="8067" spans="20:20" x14ac:dyDescent="0.25">
      <c r="T8067" s="98"/>
    </row>
    <row r="8068" spans="20:20" x14ac:dyDescent="0.25">
      <c r="T8068" s="98"/>
    </row>
    <row r="8069" spans="20:20" x14ac:dyDescent="0.25">
      <c r="T8069" s="98"/>
    </row>
    <row r="8070" spans="20:20" x14ac:dyDescent="0.25">
      <c r="T8070" s="98"/>
    </row>
    <row r="8071" spans="20:20" x14ac:dyDescent="0.25">
      <c r="T8071" s="98"/>
    </row>
    <row r="8072" spans="20:20" x14ac:dyDescent="0.25">
      <c r="T8072" s="98"/>
    </row>
    <row r="8073" spans="20:20" x14ac:dyDescent="0.25">
      <c r="T8073" s="98"/>
    </row>
    <row r="8074" spans="20:20" x14ac:dyDescent="0.25">
      <c r="T8074" s="98"/>
    </row>
    <row r="8075" spans="20:20" x14ac:dyDescent="0.25">
      <c r="T8075" s="98"/>
    </row>
    <row r="8076" spans="20:20" x14ac:dyDescent="0.25">
      <c r="T8076" s="98"/>
    </row>
    <row r="8077" spans="20:20" x14ac:dyDescent="0.25">
      <c r="T8077" s="98"/>
    </row>
    <row r="8078" spans="20:20" x14ac:dyDescent="0.25">
      <c r="T8078" s="98"/>
    </row>
    <row r="8079" spans="20:20" x14ac:dyDescent="0.25">
      <c r="T8079" s="98"/>
    </row>
    <row r="8080" spans="20:20" x14ac:dyDescent="0.25">
      <c r="T8080" s="98"/>
    </row>
    <row r="8081" spans="20:20" x14ac:dyDescent="0.25">
      <c r="T8081" s="98"/>
    </row>
    <row r="8082" spans="20:20" x14ac:dyDescent="0.25">
      <c r="T8082" s="98"/>
    </row>
    <row r="8083" spans="20:20" x14ac:dyDescent="0.25">
      <c r="T8083" s="98"/>
    </row>
    <row r="8084" spans="20:20" x14ac:dyDescent="0.25">
      <c r="T8084" s="98"/>
    </row>
    <row r="8085" spans="20:20" x14ac:dyDescent="0.25">
      <c r="T8085" s="98"/>
    </row>
    <row r="8086" spans="20:20" x14ac:dyDescent="0.25">
      <c r="T8086" s="98"/>
    </row>
    <row r="8087" spans="20:20" x14ac:dyDescent="0.25">
      <c r="T8087" s="98"/>
    </row>
    <row r="8088" spans="20:20" x14ac:dyDescent="0.25">
      <c r="T8088" s="98"/>
    </row>
    <row r="8089" spans="20:20" x14ac:dyDescent="0.25">
      <c r="T8089" s="98"/>
    </row>
    <row r="8090" spans="20:20" x14ac:dyDescent="0.25">
      <c r="T8090" s="98"/>
    </row>
    <row r="8091" spans="20:20" x14ac:dyDescent="0.25">
      <c r="T8091" s="98"/>
    </row>
    <row r="8092" spans="20:20" x14ac:dyDescent="0.25">
      <c r="T8092" s="98"/>
    </row>
    <row r="8093" spans="20:20" x14ac:dyDescent="0.25">
      <c r="T8093" s="98"/>
    </row>
    <row r="8094" spans="20:20" x14ac:dyDescent="0.25">
      <c r="T8094" s="98"/>
    </row>
    <row r="8095" spans="20:20" x14ac:dyDescent="0.25">
      <c r="T8095" s="98"/>
    </row>
    <row r="8096" spans="20:20" x14ac:dyDescent="0.25">
      <c r="T8096" s="98"/>
    </row>
    <row r="8097" spans="20:20" x14ac:dyDescent="0.25">
      <c r="T8097" s="98"/>
    </row>
    <row r="8098" spans="20:20" x14ac:dyDescent="0.25">
      <c r="T8098" s="98"/>
    </row>
    <row r="8099" spans="20:20" x14ac:dyDescent="0.25">
      <c r="T8099" s="98"/>
    </row>
    <row r="8100" spans="20:20" x14ac:dyDescent="0.25">
      <c r="T8100" s="98"/>
    </row>
    <row r="8101" spans="20:20" x14ac:dyDescent="0.25">
      <c r="T8101" s="98"/>
    </row>
    <row r="8102" spans="20:20" x14ac:dyDescent="0.25">
      <c r="T8102" s="98"/>
    </row>
    <row r="8103" spans="20:20" x14ac:dyDescent="0.25">
      <c r="T8103" s="98"/>
    </row>
    <row r="8104" spans="20:20" x14ac:dyDescent="0.25">
      <c r="T8104" s="98"/>
    </row>
    <row r="8105" spans="20:20" x14ac:dyDescent="0.25">
      <c r="T8105" s="98"/>
    </row>
    <row r="8106" spans="20:20" x14ac:dyDescent="0.25">
      <c r="T8106" s="98"/>
    </row>
    <row r="8107" spans="20:20" x14ac:dyDescent="0.25">
      <c r="T8107" s="98"/>
    </row>
    <row r="8108" spans="20:20" x14ac:dyDescent="0.25">
      <c r="T8108" s="98"/>
    </row>
    <row r="8109" spans="20:20" x14ac:dyDescent="0.25">
      <c r="T8109" s="98"/>
    </row>
    <row r="8110" spans="20:20" x14ac:dyDescent="0.25">
      <c r="T8110" s="98"/>
    </row>
    <row r="8111" spans="20:20" x14ac:dyDescent="0.25">
      <c r="T8111" s="98"/>
    </row>
    <row r="8112" spans="20:20" x14ac:dyDescent="0.25">
      <c r="T8112" s="98"/>
    </row>
    <row r="8113" spans="20:20" x14ac:dyDescent="0.25">
      <c r="T8113" s="98"/>
    </row>
    <row r="8114" spans="20:20" x14ac:dyDescent="0.25">
      <c r="T8114" s="98"/>
    </row>
    <row r="8115" spans="20:20" x14ac:dyDescent="0.25">
      <c r="T8115" s="98"/>
    </row>
    <row r="8116" spans="20:20" x14ac:dyDescent="0.25">
      <c r="T8116" s="98"/>
    </row>
    <row r="8117" spans="20:20" x14ac:dyDescent="0.25">
      <c r="T8117" s="98"/>
    </row>
    <row r="8118" spans="20:20" x14ac:dyDescent="0.25">
      <c r="T8118" s="98"/>
    </row>
    <row r="8119" spans="20:20" x14ac:dyDescent="0.25">
      <c r="T8119" s="98"/>
    </row>
    <row r="8120" spans="20:20" x14ac:dyDescent="0.25">
      <c r="T8120" s="98"/>
    </row>
    <row r="8121" spans="20:20" x14ac:dyDescent="0.25">
      <c r="T8121" s="98"/>
    </row>
    <row r="8122" spans="20:20" x14ac:dyDescent="0.25">
      <c r="T8122" s="98"/>
    </row>
    <row r="8123" spans="20:20" x14ac:dyDescent="0.25">
      <c r="T8123" s="98"/>
    </row>
    <row r="8124" spans="20:20" x14ac:dyDescent="0.25">
      <c r="T8124" s="98"/>
    </row>
    <row r="8125" spans="20:20" x14ac:dyDescent="0.25">
      <c r="T8125" s="98"/>
    </row>
    <row r="8126" spans="20:20" x14ac:dyDescent="0.25">
      <c r="T8126" s="98"/>
    </row>
    <row r="8127" spans="20:20" x14ac:dyDescent="0.25">
      <c r="T8127" s="98"/>
    </row>
    <row r="8128" spans="20:20" x14ac:dyDescent="0.25">
      <c r="T8128" s="98"/>
    </row>
    <row r="8129" spans="20:20" x14ac:dyDescent="0.25">
      <c r="T8129" s="98"/>
    </row>
    <row r="8130" spans="20:20" x14ac:dyDescent="0.25">
      <c r="T8130" s="98"/>
    </row>
    <row r="8131" spans="20:20" x14ac:dyDescent="0.25">
      <c r="T8131" s="98"/>
    </row>
    <row r="8132" spans="20:20" x14ac:dyDescent="0.25">
      <c r="T8132" s="98"/>
    </row>
    <row r="8133" spans="20:20" x14ac:dyDescent="0.25">
      <c r="T8133" s="98"/>
    </row>
    <row r="8134" spans="20:20" x14ac:dyDescent="0.25">
      <c r="T8134" s="98"/>
    </row>
    <row r="8135" spans="20:20" x14ac:dyDescent="0.25">
      <c r="T8135" s="98"/>
    </row>
    <row r="8136" spans="20:20" x14ac:dyDescent="0.25">
      <c r="T8136" s="98"/>
    </row>
    <row r="8137" spans="20:20" x14ac:dyDescent="0.25">
      <c r="T8137" s="98"/>
    </row>
    <row r="8138" spans="20:20" x14ac:dyDescent="0.25">
      <c r="T8138" s="98"/>
    </row>
    <row r="8139" spans="20:20" x14ac:dyDescent="0.25">
      <c r="T8139" s="98"/>
    </row>
    <row r="8140" spans="20:20" x14ac:dyDescent="0.25">
      <c r="T8140" s="98"/>
    </row>
    <row r="8141" spans="20:20" x14ac:dyDescent="0.25">
      <c r="T8141" s="98"/>
    </row>
    <row r="8142" spans="20:20" x14ac:dyDescent="0.25">
      <c r="T8142" s="98"/>
    </row>
    <row r="8143" spans="20:20" x14ac:dyDescent="0.25">
      <c r="T8143" s="98"/>
    </row>
    <row r="8144" spans="20:20" x14ac:dyDescent="0.25">
      <c r="T8144" s="98"/>
    </row>
    <row r="8145" spans="20:20" x14ac:dyDescent="0.25">
      <c r="T8145" s="98"/>
    </row>
    <row r="8146" spans="20:20" x14ac:dyDescent="0.25">
      <c r="T8146" s="98"/>
    </row>
    <row r="8147" spans="20:20" x14ac:dyDescent="0.25">
      <c r="T8147" s="98"/>
    </row>
    <row r="8148" spans="20:20" x14ac:dyDescent="0.25">
      <c r="T8148" s="98"/>
    </row>
    <row r="8149" spans="20:20" x14ac:dyDescent="0.25">
      <c r="T8149" s="98"/>
    </row>
    <row r="8150" spans="20:20" x14ac:dyDescent="0.25">
      <c r="T8150" s="98"/>
    </row>
    <row r="8151" spans="20:20" x14ac:dyDescent="0.25">
      <c r="T8151" s="98"/>
    </row>
    <row r="8152" spans="20:20" x14ac:dyDescent="0.25">
      <c r="T8152" s="98"/>
    </row>
    <row r="8153" spans="20:20" x14ac:dyDescent="0.25">
      <c r="T8153" s="98"/>
    </row>
    <row r="8154" spans="20:20" x14ac:dyDescent="0.25">
      <c r="T8154" s="98"/>
    </row>
    <row r="8155" spans="20:20" x14ac:dyDescent="0.25">
      <c r="T8155" s="98"/>
    </row>
    <row r="8156" spans="20:20" x14ac:dyDescent="0.25">
      <c r="T8156" s="98"/>
    </row>
    <row r="8157" spans="20:20" x14ac:dyDescent="0.25">
      <c r="T8157" s="98"/>
    </row>
    <row r="8158" spans="20:20" x14ac:dyDescent="0.25">
      <c r="T8158" s="98"/>
    </row>
    <row r="8159" spans="20:20" x14ac:dyDescent="0.25">
      <c r="T8159" s="98"/>
    </row>
    <row r="8160" spans="20:20" x14ac:dyDescent="0.25">
      <c r="T8160" s="98"/>
    </row>
    <row r="8161" spans="20:20" x14ac:dyDescent="0.25">
      <c r="T8161" s="98"/>
    </row>
    <row r="8162" spans="20:20" x14ac:dyDescent="0.25">
      <c r="T8162" s="98"/>
    </row>
    <row r="8163" spans="20:20" x14ac:dyDescent="0.25">
      <c r="T8163" s="98"/>
    </row>
    <row r="8164" spans="20:20" x14ac:dyDescent="0.25">
      <c r="T8164" s="98"/>
    </row>
    <row r="8165" spans="20:20" x14ac:dyDescent="0.25">
      <c r="T8165" s="98"/>
    </row>
    <row r="8166" spans="20:20" x14ac:dyDescent="0.25">
      <c r="T8166" s="98"/>
    </row>
    <row r="8167" spans="20:20" x14ac:dyDescent="0.25">
      <c r="T8167" s="98"/>
    </row>
    <row r="8168" spans="20:20" x14ac:dyDescent="0.25">
      <c r="T8168" s="98"/>
    </row>
    <row r="8169" spans="20:20" x14ac:dyDescent="0.25">
      <c r="T8169" s="98"/>
    </row>
    <row r="8170" spans="20:20" x14ac:dyDescent="0.25">
      <c r="T8170" s="98"/>
    </row>
    <row r="8171" spans="20:20" x14ac:dyDescent="0.25">
      <c r="T8171" s="98"/>
    </row>
    <row r="8172" spans="20:20" x14ac:dyDescent="0.25">
      <c r="T8172" s="98"/>
    </row>
    <row r="8173" spans="20:20" x14ac:dyDescent="0.25">
      <c r="T8173" s="98"/>
    </row>
    <row r="8174" spans="20:20" x14ac:dyDescent="0.25">
      <c r="T8174" s="98"/>
    </row>
    <row r="8175" spans="20:20" x14ac:dyDescent="0.25">
      <c r="T8175" s="98"/>
    </row>
    <row r="8176" spans="20:20" x14ac:dyDescent="0.25">
      <c r="T8176" s="98"/>
    </row>
    <row r="8177" spans="20:20" x14ac:dyDescent="0.25">
      <c r="T8177" s="98"/>
    </row>
    <row r="8178" spans="20:20" x14ac:dyDescent="0.25">
      <c r="T8178" s="98"/>
    </row>
    <row r="8179" spans="20:20" x14ac:dyDescent="0.25">
      <c r="T8179" s="98"/>
    </row>
    <row r="8180" spans="20:20" x14ac:dyDescent="0.25">
      <c r="T8180" s="98"/>
    </row>
    <row r="8181" spans="20:20" x14ac:dyDescent="0.25">
      <c r="T8181" s="98"/>
    </row>
    <row r="8182" spans="20:20" x14ac:dyDescent="0.25">
      <c r="T8182" s="98"/>
    </row>
    <row r="8183" spans="20:20" x14ac:dyDescent="0.25">
      <c r="T8183" s="98"/>
    </row>
    <row r="8184" spans="20:20" x14ac:dyDescent="0.25">
      <c r="T8184" s="98"/>
    </row>
    <row r="8185" spans="20:20" x14ac:dyDescent="0.25">
      <c r="T8185" s="98"/>
    </row>
    <row r="8186" spans="20:20" x14ac:dyDescent="0.25">
      <c r="T8186" s="98"/>
    </row>
    <row r="8187" spans="20:20" x14ac:dyDescent="0.25">
      <c r="T8187" s="98"/>
    </row>
    <row r="8188" spans="20:20" x14ac:dyDescent="0.25">
      <c r="T8188" s="98"/>
    </row>
    <row r="8189" spans="20:20" x14ac:dyDescent="0.25">
      <c r="T8189" s="98"/>
    </row>
    <row r="8190" spans="20:20" x14ac:dyDescent="0.25">
      <c r="T8190" s="98"/>
    </row>
    <row r="8191" spans="20:20" x14ac:dyDescent="0.25">
      <c r="T8191" s="98"/>
    </row>
    <row r="8192" spans="20:20" x14ac:dyDescent="0.25">
      <c r="T8192" s="98"/>
    </row>
    <row r="8193" spans="20:20" x14ac:dyDescent="0.25">
      <c r="T8193" s="98"/>
    </row>
    <row r="8194" spans="20:20" x14ac:dyDescent="0.25">
      <c r="T8194" s="98"/>
    </row>
    <row r="8195" spans="20:20" x14ac:dyDescent="0.25">
      <c r="T8195" s="98"/>
    </row>
    <row r="8196" spans="20:20" x14ac:dyDescent="0.25">
      <c r="T8196" s="98"/>
    </row>
    <row r="8197" spans="20:20" x14ac:dyDescent="0.25">
      <c r="T8197" s="98"/>
    </row>
    <row r="8198" spans="20:20" x14ac:dyDescent="0.25">
      <c r="T8198" s="98"/>
    </row>
    <row r="8199" spans="20:20" x14ac:dyDescent="0.25">
      <c r="T8199" s="98"/>
    </row>
    <row r="8200" spans="20:20" x14ac:dyDescent="0.25">
      <c r="T8200" s="98"/>
    </row>
    <row r="8201" spans="20:20" x14ac:dyDescent="0.25">
      <c r="T8201" s="98"/>
    </row>
    <row r="8202" spans="20:20" x14ac:dyDescent="0.25">
      <c r="T8202" s="98"/>
    </row>
    <row r="8203" spans="20:20" x14ac:dyDescent="0.25">
      <c r="T8203" s="98"/>
    </row>
    <row r="8204" spans="20:20" x14ac:dyDescent="0.25">
      <c r="T8204" s="98"/>
    </row>
    <row r="8205" spans="20:20" x14ac:dyDescent="0.25">
      <c r="T8205" s="98"/>
    </row>
    <row r="8206" spans="20:20" x14ac:dyDescent="0.25">
      <c r="T8206" s="98"/>
    </row>
    <row r="8207" spans="20:20" x14ac:dyDescent="0.25">
      <c r="T8207" s="98"/>
    </row>
    <row r="8208" spans="20:20" x14ac:dyDescent="0.25">
      <c r="T8208" s="98"/>
    </row>
    <row r="8209" spans="20:20" x14ac:dyDescent="0.25">
      <c r="T8209" s="98"/>
    </row>
    <row r="8210" spans="20:20" x14ac:dyDescent="0.25">
      <c r="T8210" s="98"/>
    </row>
    <row r="8211" spans="20:20" x14ac:dyDescent="0.25">
      <c r="T8211" s="98"/>
    </row>
    <row r="8212" spans="20:20" x14ac:dyDescent="0.25">
      <c r="T8212" s="98"/>
    </row>
    <row r="8213" spans="20:20" x14ac:dyDescent="0.25">
      <c r="T8213" s="98"/>
    </row>
    <row r="8214" spans="20:20" x14ac:dyDescent="0.25">
      <c r="T8214" s="98"/>
    </row>
    <row r="8215" spans="20:20" x14ac:dyDescent="0.25">
      <c r="T8215" s="98"/>
    </row>
    <row r="8216" spans="20:20" x14ac:dyDescent="0.25">
      <c r="T8216" s="98"/>
    </row>
    <row r="8217" spans="20:20" x14ac:dyDescent="0.25">
      <c r="T8217" s="98"/>
    </row>
    <row r="8218" spans="20:20" x14ac:dyDescent="0.25">
      <c r="T8218" s="98"/>
    </row>
    <row r="8219" spans="20:20" x14ac:dyDescent="0.25">
      <c r="T8219" s="98"/>
    </row>
    <row r="8220" spans="20:20" x14ac:dyDescent="0.25">
      <c r="T8220" s="98"/>
    </row>
    <row r="8221" spans="20:20" x14ac:dyDescent="0.25">
      <c r="T8221" s="98"/>
    </row>
    <row r="8222" spans="20:20" x14ac:dyDescent="0.25">
      <c r="T8222" s="98"/>
    </row>
    <row r="8223" spans="20:20" x14ac:dyDescent="0.25">
      <c r="T8223" s="98"/>
    </row>
    <row r="8224" spans="20:20" x14ac:dyDescent="0.25">
      <c r="T8224" s="98"/>
    </row>
    <row r="8225" spans="20:20" x14ac:dyDescent="0.25">
      <c r="T8225" s="98"/>
    </row>
    <row r="8226" spans="20:20" x14ac:dyDescent="0.25">
      <c r="T8226" s="98"/>
    </row>
    <row r="8227" spans="20:20" x14ac:dyDescent="0.25">
      <c r="T8227" s="98"/>
    </row>
    <row r="8228" spans="20:20" x14ac:dyDescent="0.25">
      <c r="T8228" s="98"/>
    </row>
    <row r="8229" spans="20:20" x14ac:dyDescent="0.25">
      <c r="T8229" s="98"/>
    </row>
    <row r="8230" spans="20:20" x14ac:dyDescent="0.25">
      <c r="T8230" s="98"/>
    </row>
    <row r="8231" spans="20:20" x14ac:dyDescent="0.25">
      <c r="T8231" s="98"/>
    </row>
    <row r="8232" spans="20:20" x14ac:dyDescent="0.25">
      <c r="T8232" s="98"/>
    </row>
    <row r="8233" spans="20:20" x14ac:dyDescent="0.25">
      <c r="T8233" s="98"/>
    </row>
    <row r="8234" spans="20:20" x14ac:dyDescent="0.25">
      <c r="T8234" s="98"/>
    </row>
    <row r="8235" spans="20:20" x14ac:dyDescent="0.25">
      <c r="T8235" s="98"/>
    </row>
    <row r="8236" spans="20:20" x14ac:dyDescent="0.25">
      <c r="T8236" s="98"/>
    </row>
    <row r="8237" spans="20:20" x14ac:dyDescent="0.25">
      <c r="T8237" s="98"/>
    </row>
    <row r="8238" spans="20:20" x14ac:dyDescent="0.25">
      <c r="T8238" s="98"/>
    </row>
    <row r="8239" spans="20:20" x14ac:dyDescent="0.25">
      <c r="T8239" s="98"/>
    </row>
    <row r="8240" spans="20:20" x14ac:dyDescent="0.25">
      <c r="T8240" s="98"/>
    </row>
    <row r="8241" spans="20:20" x14ac:dyDescent="0.25">
      <c r="T8241" s="98"/>
    </row>
    <row r="8242" spans="20:20" x14ac:dyDescent="0.25">
      <c r="T8242" s="98"/>
    </row>
    <row r="8243" spans="20:20" x14ac:dyDescent="0.25">
      <c r="T8243" s="98"/>
    </row>
    <row r="8244" spans="20:20" x14ac:dyDescent="0.25">
      <c r="T8244" s="98"/>
    </row>
    <row r="8245" spans="20:20" x14ac:dyDescent="0.25">
      <c r="T8245" s="98"/>
    </row>
    <row r="8246" spans="20:20" x14ac:dyDescent="0.25">
      <c r="T8246" s="98"/>
    </row>
    <row r="8247" spans="20:20" x14ac:dyDescent="0.25">
      <c r="T8247" s="98"/>
    </row>
    <row r="8248" spans="20:20" x14ac:dyDescent="0.25">
      <c r="T8248" s="98"/>
    </row>
    <row r="8249" spans="20:20" x14ac:dyDescent="0.25">
      <c r="T8249" s="98"/>
    </row>
    <row r="8250" spans="20:20" x14ac:dyDescent="0.25">
      <c r="T8250" s="98"/>
    </row>
    <row r="8251" spans="20:20" x14ac:dyDescent="0.25">
      <c r="T8251" s="98"/>
    </row>
    <row r="8252" spans="20:20" x14ac:dyDescent="0.25">
      <c r="T8252" s="98"/>
    </row>
    <row r="8253" spans="20:20" x14ac:dyDescent="0.25">
      <c r="T8253" s="98"/>
    </row>
    <row r="8254" spans="20:20" x14ac:dyDescent="0.25">
      <c r="T8254" s="98"/>
    </row>
    <row r="8255" spans="20:20" x14ac:dyDescent="0.25">
      <c r="T8255" s="98"/>
    </row>
    <row r="8256" spans="20:20" x14ac:dyDescent="0.25">
      <c r="T8256" s="98"/>
    </row>
    <row r="8257" spans="20:20" x14ac:dyDescent="0.25">
      <c r="T8257" s="98"/>
    </row>
    <row r="8258" spans="20:20" x14ac:dyDescent="0.25">
      <c r="T8258" s="98"/>
    </row>
    <row r="8259" spans="20:20" x14ac:dyDescent="0.25">
      <c r="T8259" s="98"/>
    </row>
    <row r="8260" spans="20:20" x14ac:dyDescent="0.25">
      <c r="T8260" s="98"/>
    </row>
    <row r="8261" spans="20:20" x14ac:dyDescent="0.25">
      <c r="T8261" s="98"/>
    </row>
    <row r="8262" spans="20:20" x14ac:dyDescent="0.25">
      <c r="T8262" s="98"/>
    </row>
    <row r="8263" spans="20:20" x14ac:dyDescent="0.25">
      <c r="T8263" s="98"/>
    </row>
    <row r="8264" spans="20:20" x14ac:dyDescent="0.25">
      <c r="T8264" s="98"/>
    </row>
    <row r="8265" spans="20:20" x14ac:dyDescent="0.25">
      <c r="T8265" s="98"/>
    </row>
    <row r="8266" spans="20:20" x14ac:dyDescent="0.25">
      <c r="T8266" s="98"/>
    </row>
    <row r="8267" spans="20:20" x14ac:dyDescent="0.25">
      <c r="T8267" s="98"/>
    </row>
    <row r="8268" spans="20:20" x14ac:dyDescent="0.25">
      <c r="T8268" s="98"/>
    </row>
    <row r="8269" spans="20:20" x14ac:dyDescent="0.25">
      <c r="T8269" s="98"/>
    </row>
    <row r="8270" spans="20:20" x14ac:dyDescent="0.25">
      <c r="T8270" s="98"/>
    </row>
    <row r="8271" spans="20:20" x14ac:dyDescent="0.25">
      <c r="T8271" s="98"/>
    </row>
    <row r="8272" spans="20:20" x14ac:dyDescent="0.25">
      <c r="T8272" s="98"/>
    </row>
    <row r="8273" spans="20:20" x14ac:dyDescent="0.25">
      <c r="T8273" s="98"/>
    </row>
    <row r="8274" spans="20:20" x14ac:dyDescent="0.25">
      <c r="T8274" s="98"/>
    </row>
    <row r="8275" spans="20:20" x14ac:dyDescent="0.25">
      <c r="T8275" s="98"/>
    </row>
    <row r="8276" spans="20:20" x14ac:dyDescent="0.25">
      <c r="T8276" s="98"/>
    </row>
    <row r="8277" spans="20:20" x14ac:dyDescent="0.25">
      <c r="T8277" s="98"/>
    </row>
    <row r="8278" spans="20:20" x14ac:dyDescent="0.25">
      <c r="T8278" s="98"/>
    </row>
    <row r="8279" spans="20:20" x14ac:dyDescent="0.25">
      <c r="T8279" s="98"/>
    </row>
    <row r="8280" spans="20:20" x14ac:dyDescent="0.25">
      <c r="T8280" s="98"/>
    </row>
    <row r="8281" spans="20:20" x14ac:dyDescent="0.25">
      <c r="T8281" s="98"/>
    </row>
    <row r="8282" spans="20:20" x14ac:dyDescent="0.25">
      <c r="T8282" s="98"/>
    </row>
    <row r="8283" spans="20:20" x14ac:dyDescent="0.25">
      <c r="T8283" s="98"/>
    </row>
    <row r="8284" spans="20:20" x14ac:dyDescent="0.25">
      <c r="T8284" s="98"/>
    </row>
    <row r="8285" spans="20:20" x14ac:dyDescent="0.25">
      <c r="T8285" s="98"/>
    </row>
    <row r="8286" spans="20:20" x14ac:dyDescent="0.25">
      <c r="T8286" s="98"/>
    </row>
    <row r="8287" spans="20:20" x14ac:dyDescent="0.25">
      <c r="T8287" s="98"/>
    </row>
    <row r="8288" spans="20:20" x14ac:dyDescent="0.25">
      <c r="T8288" s="98"/>
    </row>
    <row r="8289" spans="20:20" x14ac:dyDescent="0.25">
      <c r="T8289" s="98"/>
    </row>
    <row r="8290" spans="20:20" x14ac:dyDescent="0.25">
      <c r="T8290" s="98"/>
    </row>
    <row r="8291" spans="20:20" x14ac:dyDescent="0.25">
      <c r="T8291" s="98"/>
    </row>
    <row r="8292" spans="20:20" x14ac:dyDescent="0.25">
      <c r="T8292" s="98"/>
    </row>
    <row r="8293" spans="20:20" x14ac:dyDescent="0.25">
      <c r="T8293" s="98"/>
    </row>
    <row r="8294" spans="20:20" x14ac:dyDescent="0.25">
      <c r="T8294" s="98"/>
    </row>
    <row r="8295" spans="20:20" x14ac:dyDescent="0.25">
      <c r="T8295" s="98"/>
    </row>
    <row r="8296" spans="20:20" x14ac:dyDescent="0.25">
      <c r="T8296" s="98"/>
    </row>
    <row r="8297" spans="20:20" x14ac:dyDescent="0.25">
      <c r="T8297" s="98"/>
    </row>
    <row r="8298" spans="20:20" x14ac:dyDescent="0.25">
      <c r="T8298" s="98"/>
    </row>
    <row r="8299" spans="20:20" x14ac:dyDescent="0.25">
      <c r="T8299" s="98"/>
    </row>
    <row r="8300" spans="20:20" x14ac:dyDescent="0.25">
      <c r="T8300" s="98"/>
    </row>
    <row r="8301" spans="20:20" x14ac:dyDescent="0.25">
      <c r="T8301" s="98"/>
    </row>
    <row r="8302" spans="20:20" x14ac:dyDescent="0.25">
      <c r="T8302" s="98"/>
    </row>
    <row r="8303" spans="20:20" x14ac:dyDescent="0.25">
      <c r="T8303" s="98"/>
    </row>
    <row r="8304" spans="20:20" x14ac:dyDescent="0.25">
      <c r="T8304" s="98"/>
    </row>
    <row r="8305" spans="20:20" x14ac:dyDescent="0.25">
      <c r="T8305" s="98"/>
    </row>
    <row r="8306" spans="20:20" x14ac:dyDescent="0.25">
      <c r="T8306" s="98"/>
    </row>
    <row r="8307" spans="20:20" x14ac:dyDescent="0.25">
      <c r="T8307" s="98"/>
    </row>
    <row r="8308" spans="20:20" x14ac:dyDescent="0.25">
      <c r="T8308" s="98"/>
    </row>
    <row r="8309" spans="20:20" x14ac:dyDescent="0.25">
      <c r="T8309" s="98"/>
    </row>
    <row r="8310" spans="20:20" x14ac:dyDescent="0.25">
      <c r="T8310" s="98"/>
    </row>
    <row r="8311" spans="20:20" x14ac:dyDescent="0.25">
      <c r="T8311" s="98"/>
    </row>
    <row r="8312" spans="20:20" x14ac:dyDescent="0.25">
      <c r="T8312" s="98"/>
    </row>
    <row r="8313" spans="20:20" x14ac:dyDescent="0.25">
      <c r="T8313" s="98"/>
    </row>
    <row r="8314" spans="20:20" x14ac:dyDescent="0.25">
      <c r="T8314" s="98"/>
    </row>
    <row r="8315" spans="20:20" x14ac:dyDescent="0.25">
      <c r="T8315" s="98"/>
    </row>
    <row r="8316" spans="20:20" x14ac:dyDescent="0.25">
      <c r="T8316" s="98"/>
    </row>
    <row r="8317" spans="20:20" x14ac:dyDescent="0.25">
      <c r="T8317" s="98"/>
    </row>
    <row r="8318" spans="20:20" x14ac:dyDescent="0.25">
      <c r="T8318" s="98"/>
    </row>
    <row r="8319" spans="20:20" x14ac:dyDescent="0.25">
      <c r="T8319" s="98"/>
    </row>
    <row r="8320" spans="20:20" x14ac:dyDescent="0.25">
      <c r="T8320" s="98"/>
    </row>
    <row r="8321" spans="20:20" x14ac:dyDescent="0.25">
      <c r="T8321" s="98"/>
    </row>
    <row r="8322" spans="20:20" x14ac:dyDescent="0.25">
      <c r="T8322" s="98"/>
    </row>
    <row r="8323" spans="20:20" x14ac:dyDescent="0.25">
      <c r="T8323" s="98"/>
    </row>
    <row r="8324" spans="20:20" x14ac:dyDescent="0.25">
      <c r="T8324" s="98"/>
    </row>
    <row r="8325" spans="20:20" x14ac:dyDescent="0.25">
      <c r="T8325" s="98"/>
    </row>
    <row r="8326" spans="20:20" x14ac:dyDescent="0.25">
      <c r="T8326" s="98"/>
    </row>
    <row r="8327" spans="20:20" x14ac:dyDescent="0.25">
      <c r="T8327" s="98"/>
    </row>
    <row r="8328" spans="20:20" x14ac:dyDescent="0.25">
      <c r="T8328" s="98"/>
    </row>
    <row r="8329" spans="20:20" x14ac:dyDescent="0.25">
      <c r="T8329" s="98"/>
    </row>
    <row r="8330" spans="20:20" x14ac:dyDescent="0.25">
      <c r="T8330" s="98"/>
    </row>
    <row r="8331" spans="20:20" x14ac:dyDescent="0.25">
      <c r="T8331" s="98"/>
    </row>
    <row r="8332" spans="20:20" x14ac:dyDescent="0.25">
      <c r="T8332" s="98"/>
    </row>
    <row r="8333" spans="20:20" x14ac:dyDescent="0.25">
      <c r="T8333" s="98"/>
    </row>
    <row r="8334" spans="20:20" x14ac:dyDescent="0.25">
      <c r="T8334" s="98"/>
    </row>
    <row r="8335" spans="20:20" x14ac:dyDescent="0.25">
      <c r="T8335" s="98"/>
    </row>
    <row r="8336" spans="20:20" x14ac:dyDescent="0.25">
      <c r="T8336" s="98"/>
    </row>
    <row r="8337" spans="20:20" x14ac:dyDescent="0.25">
      <c r="T8337" s="98"/>
    </row>
    <row r="8338" spans="20:20" x14ac:dyDescent="0.25">
      <c r="T8338" s="98"/>
    </row>
    <row r="8339" spans="20:20" x14ac:dyDescent="0.25">
      <c r="T8339" s="98"/>
    </row>
    <row r="8340" spans="20:20" x14ac:dyDescent="0.25">
      <c r="T8340" s="98"/>
    </row>
    <row r="8341" spans="20:20" x14ac:dyDescent="0.25">
      <c r="T8341" s="98"/>
    </row>
    <row r="8342" spans="20:20" x14ac:dyDescent="0.25">
      <c r="T8342" s="98"/>
    </row>
    <row r="8343" spans="20:20" x14ac:dyDescent="0.25">
      <c r="T8343" s="98"/>
    </row>
    <row r="8344" spans="20:20" x14ac:dyDescent="0.25">
      <c r="T8344" s="98"/>
    </row>
    <row r="8345" spans="20:20" x14ac:dyDescent="0.25">
      <c r="T8345" s="98"/>
    </row>
    <row r="8346" spans="20:20" x14ac:dyDescent="0.25">
      <c r="T8346" s="98"/>
    </row>
    <row r="8347" spans="20:20" x14ac:dyDescent="0.25">
      <c r="T8347" s="98"/>
    </row>
    <row r="8348" spans="20:20" x14ac:dyDescent="0.25">
      <c r="T8348" s="98"/>
    </row>
    <row r="8349" spans="20:20" x14ac:dyDescent="0.25">
      <c r="T8349" s="98"/>
    </row>
    <row r="8350" spans="20:20" x14ac:dyDescent="0.25">
      <c r="T8350" s="98"/>
    </row>
    <row r="8351" spans="20:20" x14ac:dyDescent="0.25">
      <c r="T8351" s="98"/>
    </row>
    <row r="8352" spans="20:20" x14ac:dyDescent="0.25">
      <c r="T8352" s="98"/>
    </row>
    <row r="8353" spans="20:20" x14ac:dyDescent="0.25">
      <c r="T8353" s="98"/>
    </row>
    <row r="8354" spans="20:20" x14ac:dyDescent="0.25">
      <c r="T8354" s="98"/>
    </row>
    <row r="8355" spans="20:20" x14ac:dyDescent="0.25">
      <c r="T8355" s="98"/>
    </row>
    <row r="8356" spans="20:20" x14ac:dyDescent="0.25">
      <c r="T8356" s="98"/>
    </row>
    <row r="8357" spans="20:20" x14ac:dyDescent="0.25">
      <c r="T8357" s="98"/>
    </row>
    <row r="8358" spans="20:20" x14ac:dyDescent="0.25">
      <c r="T8358" s="98"/>
    </row>
    <row r="8359" spans="20:20" x14ac:dyDescent="0.25">
      <c r="T8359" s="98"/>
    </row>
    <row r="8360" spans="20:20" x14ac:dyDescent="0.25">
      <c r="T8360" s="98"/>
    </row>
    <row r="8361" spans="20:20" x14ac:dyDescent="0.25">
      <c r="T8361" s="98"/>
    </row>
    <row r="8362" spans="20:20" x14ac:dyDescent="0.25">
      <c r="T8362" s="98"/>
    </row>
    <row r="8363" spans="20:20" x14ac:dyDescent="0.25">
      <c r="T8363" s="98"/>
    </row>
    <row r="8364" spans="20:20" x14ac:dyDescent="0.25">
      <c r="T8364" s="98"/>
    </row>
    <row r="8365" spans="20:20" x14ac:dyDescent="0.25">
      <c r="T8365" s="98"/>
    </row>
    <row r="8366" spans="20:20" x14ac:dyDescent="0.25">
      <c r="T8366" s="98"/>
    </row>
    <row r="8367" spans="20:20" x14ac:dyDescent="0.25">
      <c r="T8367" s="98"/>
    </row>
    <row r="8368" spans="20:20" x14ac:dyDescent="0.25">
      <c r="T8368" s="98"/>
    </row>
    <row r="8369" spans="20:20" x14ac:dyDescent="0.25">
      <c r="T8369" s="98"/>
    </row>
    <row r="8370" spans="20:20" x14ac:dyDescent="0.25">
      <c r="T8370" s="98"/>
    </row>
    <row r="8371" spans="20:20" x14ac:dyDescent="0.25">
      <c r="T8371" s="98"/>
    </row>
    <row r="8372" spans="20:20" x14ac:dyDescent="0.25">
      <c r="T8372" s="98"/>
    </row>
    <row r="8373" spans="20:20" x14ac:dyDescent="0.25">
      <c r="T8373" s="98"/>
    </row>
    <row r="8374" spans="20:20" x14ac:dyDescent="0.25">
      <c r="T8374" s="98"/>
    </row>
    <row r="8375" spans="20:20" x14ac:dyDescent="0.25">
      <c r="T8375" s="98"/>
    </row>
    <row r="8376" spans="20:20" x14ac:dyDescent="0.25">
      <c r="T8376" s="98"/>
    </row>
    <row r="8377" spans="20:20" x14ac:dyDescent="0.25">
      <c r="T8377" s="98"/>
    </row>
    <row r="8378" spans="20:20" x14ac:dyDescent="0.25">
      <c r="T8378" s="98"/>
    </row>
    <row r="8379" spans="20:20" x14ac:dyDescent="0.25">
      <c r="T8379" s="98"/>
    </row>
    <row r="8380" spans="20:20" x14ac:dyDescent="0.25">
      <c r="T8380" s="98"/>
    </row>
    <row r="8381" spans="20:20" x14ac:dyDescent="0.25">
      <c r="T8381" s="98"/>
    </row>
    <row r="8382" spans="20:20" x14ac:dyDescent="0.25">
      <c r="T8382" s="98"/>
    </row>
    <row r="8383" spans="20:20" x14ac:dyDescent="0.25">
      <c r="T8383" s="98"/>
    </row>
    <row r="8384" spans="20:20" x14ac:dyDescent="0.25">
      <c r="T8384" s="98"/>
    </row>
    <row r="8385" spans="20:20" x14ac:dyDescent="0.25">
      <c r="T8385" s="98"/>
    </row>
    <row r="8386" spans="20:20" x14ac:dyDescent="0.25">
      <c r="T8386" s="98"/>
    </row>
    <row r="8387" spans="20:20" x14ac:dyDescent="0.25">
      <c r="T8387" s="98"/>
    </row>
    <row r="8388" spans="20:20" x14ac:dyDescent="0.25">
      <c r="T8388" s="98"/>
    </row>
    <row r="8389" spans="20:20" x14ac:dyDescent="0.25">
      <c r="T8389" s="98"/>
    </row>
    <row r="8390" spans="20:20" x14ac:dyDescent="0.25">
      <c r="T8390" s="98"/>
    </row>
    <row r="8391" spans="20:20" x14ac:dyDescent="0.25">
      <c r="T8391" s="98"/>
    </row>
    <row r="8392" spans="20:20" x14ac:dyDescent="0.25">
      <c r="T8392" s="98"/>
    </row>
    <row r="8393" spans="20:20" x14ac:dyDescent="0.25">
      <c r="T8393" s="98"/>
    </row>
    <row r="8394" spans="20:20" x14ac:dyDescent="0.25">
      <c r="T8394" s="98"/>
    </row>
    <row r="8395" spans="20:20" x14ac:dyDescent="0.25">
      <c r="T8395" s="98"/>
    </row>
    <row r="8396" spans="20:20" x14ac:dyDescent="0.25">
      <c r="T8396" s="98"/>
    </row>
    <row r="8397" spans="20:20" x14ac:dyDescent="0.25">
      <c r="T8397" s="98"/>
    </row>
    <row r="8398" spans="20:20" x14ac:dyDescent="0.25">
      <c r="T8398" s="98"/>
    </row>
    <row r="8399" spans="20:20" x14ac:dyDescent="0.25">
      <c r="T8399" s="98"/>
    </row>
    <row r="8400" spans="20:20" x14ac:dyDescent="0.25">
      <c r="T8400" s="98"/>
    </row>
    <row r="8401" spans="20:20" x14ac:dyDescent="0.25">
      <c r="T8401" s="98"/>
    </row>
    <row r="8402" spans="20:20" x14ac:dyDescent="0.25">
      <c r="T8402" s="98"/>
    </row>
    <row r="8403" spans="20:20" x14ac:dyDescent="0.25">
      <c r="T8403" s="98"/>
    </row>
    <row r="8404" spans="20:20" x14ac:dyDescent="0.25">
      <c r="T8404" s="98"/>
    </row>
    <row r="8405" spans="20:20" x14ac:dyDescent="0.25">
      <c r="T8405" s="98"/>
    </row>
    <row r="8406" spans="20:20" x14ac:dyDescent="0.25">
      <c r="T8406" s="98"/>
    </row>
    <row r="8407" spans="20:20" x14ac:dyDescent="0.25">
      <c r="T8407" s="98"/>
    </row>
    <row r="8408" spans="20:20" x14ac:dyDescent="0.25">
      <c r="T8408" s="98"/>
    </row>
    <row r="8409" spans="20:20" x14ac:dyDescent="0.25">
      <c r="T8409" s="98"/>
    </row>
    <row r="8410" spans="20:20" x14ac:dyDescent="0.25">
      <c r="T8410" s="98"/>
    </row>
    <row r="8411" spans="20:20" x14ac:dyDescent="0.25">
      <c r="T8411" s="98"/>
    </row>
    <row r="8412" spans="20:20" x14ac:dyDescent="0.25">
      <c r="T8412" s="98"/>
    </row>
    <row r="8413" spans="20:20" x14ac:dyDescent="0.25">
      <c r="T8413" s="98"/>
    </row>
    <row r="8414" spans="20:20" x14ac:dyDescent="0.25">
      <c r="T8414" s="98"/>
    </row>
    <row r="8415" spans="20:20" x14ac:dyDescent="0.25">
      <c r="T8415" s="98"/>
    </row>
    <row r="8416" spans="20:20" x14ac:dyDescent="0.25">
      <c r="T8416" s="98"/>
    </row>
    <row r="8417" spans="20:20" x14ac:dyDescent="0.25">
      <c r="T8417" s="98"/>
    </row>
    <row r="8418" spans="20:20" x14ac:dyDescent="0.25">
      <c r="T8418" s="98"/>
    </row>
    <row r="8419" spans="20:20" x14ac:dyDescent="0.25">
      <c r="T8419" s="98"/>
    </row>
    <row r="8420" spans="20:20" x14ac:dyDescent="0.25">
      <c r="T8420" s="98"/>
    </row>
    <row r="8421" spans="20:20" x14ac:dyDescent="0.25">
      <c r="T8421" s="98"/>
    </row>
    <row r="8422" spans="20:20" x14ac:dyDescent="0.25">
      <c r="T8422" s="98"/>
    </row>
    <row r="8423" spans="20:20" x14ac:dyDescent="0.25">
      <c r="T8423" s="98"/>
    </row>
    <row r="8424" spans="20:20" x14ac:dyDescent="0.25">
      <c r="T8424" s="98"/>
    </row>
    <row r="8425" spans="20:20" x14ac:dyDescent="0.25">
      <c r="T8425" s="98"/>
    </row>
    <row r="8426" spans="20:20" x14ac:dyDescent="0.25">
      <c r="T8426" s="98"/>
    </row>
    <row r="8427" spans="20:20" x14ac:dyDescent="0.25">
      <c r="T8427" s="98"/>
    </row>
    <row r="8428" spans="20:20" x14ac:dyDescent="0.25">
      <c r="T8428" s="98"/>
    </row>
    <row r="8429" spans="20:20" x14ac:dyDescent="0.25">
      <c r="T8429" s="98"/>
    </row>
    <row r="8430" spans="20:20" x14ac:dyDescent="0.25">
      <c r="T8430" s="98"/>
    </row>
    <row r="8431" spans="20:20" x14ac:dyDescent="0.25">
      <c r="T8431" s="98"/>
    </row>
    <row r="8432" spans="20:20" x14ac:dyDescent="0.25">
      <c r="T8432" s="98"/>
    </row>
    <row r="8433" spans="20:20" x14ac:dyDescent="0.25">
      <c r="T8433" s="98"/>
    </row>
    <row r="8434" spans="20:20" x14ac:dyDescent="0.25">
      <c r="T8434" s="98"/>
    </row>
    <row r="8435" spans="20:20" x14ac:dyDescent="0.25">
      <c r="T8435" s="98"/>
    </row>
    <row r="8436" spans="20:20" x14ac:dyDescent="0.25">
      <c r="T8436" s="98"/>
    </row>
    <row r="8437" spans="20:20" x14ac:dyDescent="0.25">
      <c r="T8437" s="98"/>
    </row>
    <row r="8438" spans="20:20" x14ac:dyDescent="0.25">
      <c r="T8438" s="98"/>
    </row>
    <row r="8439" spans="20:20" x14ac:dyDescent="0.25">
      <c r="T8439" s="98"/>
    </row>
    <row r="8440" spans="20:20" x14ac:dyDescent="0.25">
      <c r="T8440" s="98"/>
    </row>
    <row r="8441" spans="20:20" x14ac:dyDescent="0.25">
      <c r="T8441" s="98"/>
    </row>
    <row r="8442" spans="20:20" x14ac:dyDescent="0.25">
      <c r="T8442" s="98"/>
    </row>
    <row r="8443" spans="20:20" x14ac:dyDescent="0.25">
      <c r="T8443" s="98"/>
    </row>
    <row r="8444" spans="20:20" x14ac:dyDescent="0.25">
      <c r="T8444" s="98"/>
    </row>
    <row r="8445" spans="20:20" x14ac:dyDescent="0.25">
      <c r="T8445" s="98"/>
    </row>
    <row r="8446" spans="20:20" x14ac:dyDescent="0.25">
      <c r="T8446" s="98"/>
    </row>
    <row r="8447" spans="20:20" x14ac:dyDescent="0.25">
      <c r="T8447" s="98"/>
    </row>
    <row r="8448" spans="20:20" x14ac:dyDescent="0.25">
      <c r="T8448" s="98"/>
    </row>
    <row r="8449" spans="20:20" x14ac:dyDescent="0.25">
      <c r="T8449" s="98"/>
    </row>
    <row r="8450" spans="20:20" x14ac:dyDescent="0.25">
      <c r="T8450" s="98"/>
    </row>
    <row r="8451" spans="20:20" x14ac:dyDescent="0.25">
      <c r="T8451" s="98"/>
    </row>
    <row r="8452" spans="20:20" x14ac:dyDescent="0.25">
      <c r="T8452" s="98"/>
    </row>
    <row r="8453" spans="20:20" x14ac:dyDescent="0.25">
      <c r="T8453" s="98"/>
    </row>
    <row r="8454" spans="20:20" x14ac:dyDescent="0.25">
      <c r="T8454" s="98"/>
    </row>
    <row r="8455" spans="20:20" x14ac:dyDescent="0.25">
      <c r="T8455" s="98"/>
    </row>
    <row r="8456" spans="20:20" x14ac:dyDescent="0.25">
      <c r="T8456" s="98"/>
    </row>
    <row r="8457" spans="20:20" x14ac:dyDescent="0.25">
      <c r="T8457" s="98"/>
    </row>
    <row r="8458" spans="20:20" x14ac:dyDescent="0.25">
      <c r="T8458" s="98"/>
    </row>
    <row r="8459" spans="20:20" x14ac:dyDescent="0.25">
      <c r="T8459" s="98"/>
    </row>
    <row r="8460" spans="20:20" x14ac:dyDescent="0.25">
      <c r="T8460" s="98"/>
    </row>
    <row r="8461" spans="20:20" x14ac:dyDescent="0.25">
      <c r="T8461" s="98"/>
    </row>
    <row r="8462" spans="20:20" x14ac:dyDescent="0.25">
      <c r="T8462" s="98"/>
    </row>
    <row r="8463" spans="20:20" x14ac:dyDescent="0.25">
      <c r="T8463" s="98"/>
    </row>
    <row r="8464" spans="20:20" x14ac:dyDescent="0.25">
      <c r="T8464" s="98"/>
    </row>
    <row r="8465" spans="20:20" x14ac:dyDescent="0.25">
      <c r="T8465" s="98"/>
    </row>
    <row r="8466" spans="20:20" x14ac:dyDescent="0.25">
      <c r="T8466" s="98"/>
    </row>
    <row r="8467" spans="20:20" x14ac:dyDescent="0.25">
      <c r="T8467" s="98"/>
    </row>
    <row r="8468" spans="20:20" x14ac:dyDescent="0.25">
      <c r="T8468" s="98"/>
    </row>
    <row r="8469" spans="20:20" x14ac:dyDescent="0.25">
      <c r="T8469" s="98"/>
    </row>
    <row r="8470" spans="20:20" x14ac:dyDescent="0.25">
      <c r="T8470" s="98"/>
    </row>
    <row r="8471" spans="20:20" x14ac:dyDescent="0.25">
      <c r="T8471" s="98"/>
    </row>
    <row r="8472" spans="20:20" x14ac:dyDescent="0.25">
      <c r="T8472" s="98"/>
    </row>
    <row r="8473" spans="20:20" x14ac:dyDescent="0.25">
      <c r="T8473" s="98"/>
    </row>
    <row r="8474" spans="20:20" x14ac:dyDescent="0.25">
      <c r="T8474" s="98"/>
    </row>
    <row r="8475" spans="20:20" x14ac:dyDescent="0.25">
      <c r="T8475" s="98"/>
    </row>
    <row r="8476" spans="20:20" x14ac:dyDescent="0.25">
      <c r="T8476" s="98"/>
    </row>
    <row r="8477" spans="20:20" x14ac:dyDescent="0.25">
      <c r="T8477" s="98"/>
    </row>
    <row r="8478" spans="20:20" x14ac:dyDescent="0.25">
      <c r="T8478" s="98"/>
    </row>
    <row r="8479" spans="20:20" x14ac:dyDescent="0.25">
      <c r="T8479" s="98"/>
    </row>
    <row r="8480" spans="20:20" x14ac:dyDescent="0.25">
      <c r="T8480" s="98"/>
    </row>
    <row r="8481" spans="20:20" x14ac:dyDescent="0.25">
      <c r="T8481" s="98"/>
    </row>
    <row r="8482" spans="20:20" x14ac:dyDescent="0.25">
      <c r="T8482" s="98"/>
    </row>
    <row r="8483" spans="20:20" x14ac:dyDescent="0.25">
      <c r="T8483" s="98"/>
    </row>
    <row r="8484" spans="20:20" x14ac:dyDescent="0.25">
      <c r="T8484" s="98"/>
    </row>
    <row r="8485" spans="20:20" x14ac:dyDescent="0.25">
      <c r="T8485" s="98"/>
    </row>
    <row r="8486" spans="20:20" x14ac:dyDescent="0.25">
      <c r="T8486" s="98"/>
    </row>
    <row r="8487" spans="20:20" x14ac:dyDescent="0.25">
      <c r="T8487" s="98"/>
    </row>
    <row r="8488" spans="20:20" x14ac:dyDescent="0.25">
      <c r="T8488" s="98"/>
    </row>
    <row r="8489" spans="20:20" x14ac:dyDescent="0.25">
      <c r="T8489" s="98"/>
    </row>
    <row r="8490" spans="20:20" x14ac:dyDescent="0.25">
      <c r="T8490" s="98"/>
    </row>
    <row r="8491" spans="20:20" x14ac:dyDescent="0.25">
      <c r="T8491" s="98"/>
    </row>
    <row r="8492" spans="20:20" x14ac:dyDescent="0.25">
      <c r="T8492" s="98"/>
    </row>
    <row r="8493" spans="20:20" x14ac:dyDescent="0.25">
      <c r="T8493" s="98"/>
    </row>
    <row r="8494" spans="20:20" x14ac:dyDescent="0.25">
      <c r="T8494" s="98"/>
    </row>
    <row r="8495" spans="20:20" x14ac:dyDescent="0.25">
      <c r="T8495" s="98"/>
    </row>
    <row r="8496" spans="20:20" x14ac:dyDescent="0.25">
      <c r="T8496" s="98"/>
    </row>
    <row r="8497" spans="20:20" x14ac:dyDescent="0.25">
      <c r="T8497" s="98"/>
    </row>
    <row r="8498" spans="20:20" x14ac:dyDescent="0.25">
      <c r="T8498" s="98"/>
    </row>
    <row r="8499" spans="20:20" x14ac:dyDescent="0.25">
      <c r="T8499" s="98"/>
    </row>
    <row r="8500" spans="20:20" x14ac:dyDescent="0.25">
      <c r="T8500" s="98"/>
    </row>
    <row r="8501" spans="20:20" x14ac:dyDescent="0.25">
      <c r="T8501" s="98"/>
    </row>
    <row r="8502" spans="20:20" x14ac:dyDescent="0.25">
      <c r="T8502" s="98"/>
    </row>
    <row r="8503" spans="20:20" x14ac:dyDescent="0.25">
      <c r="T8503" s="98"/>
    </row>
    <row r="8504" spans="20:20" x14ac:dyDescent="0.25">
      <c r="T8504" s="98"/>
    </row>
    <row r="8505" spans="20:20" x14ac:dyDescent="0.25">
      <c r="T8505" s="98"/>
    </row>
    <row r="8506" spans="20:20" x14ac:dyDescent="0.25">
      <c r="T8506" s="98"/>
    </row>
    <row r="8507" spans="20:20" x14ac:dyDescent="0.25">
      <c r="T8507" s="98"/>
    </row>
    <row r="8508" spans="20:20" x14ac:dyDescent="0.25">
      <c r="T8508" s="98"/>
    </row>
    <row r="8509" spans="20:20" x14ac:dyDescent="0.25">
      <c r="T8509" s="98"/>
    </row>
    <row r="8510" spans="20:20" x14ac:dyDescent="0.25">
      <c r="T8510" s="98"/>
    </row>
    <row r="8511" spans="20:20" x14ac:dyDescent="0.25">
      <c r="T8511" s="98"/>
    </row>
    <row r="8512" spans="20:20" x14ac:dyDescent="0.25">
      <c r="T8512" s="98"/>
    </row>
    <row r="8513" spans="20:20" x14ac:dyDescent="0.25">
      <c r="T8513" s="98"/>
    </row>
    <row r="8514" spans="20:20" x14ac:dyDescent="0.25">
      <c r="T8514" s="98"/>
    </row>
    <row r="8515" spans="20:20" x14ac:dyDescent="0.25">
      <c r="T8515" s="98"/>
    </row>
    <row r="8516" spans="20:20" x14ac:dyDescent="0.25">
      <c r="T8516" s="98"/>
    </row>
    <row r="8517" spans="20:20" x14ac:dyDescent="0.25">
      <c r="T8517" s="98"/>
    </row>
    <row r="8518" spans="20:20" x14ac:dyDescent="0.25">
      <c r="T8518" s="98"/>
    </row>
    <row r="8519" spans="20:20" x14ac:dyDescent="0.25">
      <c r="T8519" s="98"/>
    </row>
    <row r="8520" spans="20:20" x14ac:dyDescent="0.25">
      <c r="T8520" s="98"/>
    </row>
    <row r="8521" spans="20:20" x14ac:dyDescent="0.25">
      <c r="T8521" s="98"/>
    </row>
    <row r="8522" spans="20:20" x14ac:dyDescent="0.25">
      <c r="T8522" s="98"/>
    </row>
    <row r="8523" spans="20:20" x14ac:dyDescent="0.25">
      <c r="T8523" s="98"/>
    </row>
    <row r="8524" spans="20:20" x14ac:dyDescent="0.25">
      <c r="T8524" s="98"/>
    </row>
    <row r="8525" spans="20:20" x14ac:dyDescent="0.25">
      <c r="T8525" s="98"/>
    </row>
    <row r="8526" spans="20:20" x14ac:dyDescent="0.25">
      <c r="T8526" s="98"/>
    </row>
    <row r="8527" spans="20:20" x14ac:dyDescent="0.25">
      <c r="T8527" s="98"/>
    </row>
    <row r="8528" spans="20:20" x14ac:dyDescent="0.25">
      <c r="T8528" s="98"/>
    </row>
    <row r="8529" spans="20:20" x14ac:dyDescent="0.25">
      <c r="T8529" s="98"/>
    </row>
    <row r="8530" spans="20:20" x14ac:dyDescent="0.25">
      <c r="T8530" s="98"/>
    </row>
    <row r="8531" spans="20:20" x14ac:dyDescent="0.25">
      <c r="T8531" s="98"/>
    </row>
    <row r="8532" spans="20:20" x14ac:dyDescent="0.25">
      <c r="T8532" s="98"/>
    </row>
    <row r="8533" spans="20:20" x14ac:dyDescent="0.25">
      <c r="T8533" s="98"/>
    </row>
    <row r="8534" spans="20:20" x14ac:dyDescent="0.25">
      <c r="T8534" s="98"/>
    </row>
    <row r="8535" spans="20:20" x14ac:dyDescent="0.25">
      <c r="T8535" s="98"/>
    </row>
    <row r="8536" spans="20:20" x14ac:dyDescent="0.25">
      <c r="T8536" s="98"/>
    </row>
    <row r="8537" spans="20:20" x14ac:dyDescent="0.25">
      <c r="T8537" s="98"/>
    </row>
    <row r="8538" spans="20:20" x14ac:dyDescent="0.25">
      <c r="T8538" s="98"/>
    </row>
    <row r="8539" spans="20:20" x14ac:dyDescent="0.25">
      <c r="T8539" s="98"/>
    </row>
    <row r="8540" spans="20:20" x14ac:dyDescent="0.25">
      <c r="T8540" s="98"/>
    </row>
    <row r="8541" spans="20:20" x14ac:dyDescent="0.25">
      <c r="T8541" s="98"/>
    </row>
    <row r="8542" spans="20:20" x14ac:dyDescent="0.25">
      <c r="T8542" s="98"/>
    </row>
    <row r="8543" spans="20:20" x14ac:dyDescent="0.25">
      <c r="T8543" s="98"/>
    </row>
    <row r="8544" spans="20:20" x14ac:dyDescent="0.25">
      <c r="T8544" s="98"/>
    </row>
    <row r="8545" spans="20:20" x14ac:dyDescent="0.25">
      <c r="T8545" s="98"/>
    </row>
    <row r="8546" spans="20:20" x14ac:dyDescent="0.25">
      <c r="T8546" s="98"/>
    </row>
    <row r="8547" spans="20:20" x14ac:dyDescent="0.25">
      <c r="T8547" s="98"/>
    </row>
    <row r="8548" spans="20:20" x14ac:dyDescent="0.25">
      <c r="T8548" s="98"/>
    </row>
    <row r="8549" spans="20:20" x14ac:dyDescent="0.25">
      <c r="T8549" s="98"/>
    </row>
    <row r="8550" spans="20:20" x14ac:dyDescent="0.25">
      <c r="T8550" s="98"/>
    </row>
    <row r="8551" spans="20:20" x14ac:dyDescent="0.25">
      <c r="T8551" s="98"/>
    </row>
    <row r="8552" spans="20:20" x14ac:dyDescent="0.25">
      <c r="T8552" s="98"/>
    </row>
    <row r="8553" spans="20:20" x14ac:dyDescent="0.25">
      <c r="T8553" s="98"/>
    </row>
    <row r="8554" spans="20:20" x14ac:dyDescent="0.25">
      <c r="T8554" s="98"/>
    </row>
    <row r="8555" spans="20:20" x14ac:dyDescent="0.25">
      <c r="T8555" s="98"/>
    </row>
    <row r="8556" spans="20:20" x14ac:dyDescent="0.25">
      <c r="T8556" s="98"/>
    </row>
    <row r="8557" spans="20:20" x14ac:dyDescent="0.25">
      <c r="T8557" s="98"/>
    </row>
    <row r="8558" spans="20:20" x14ac:dyDescent="0.25">
      <c r="T8558" s="98"/>
    </row>
    <row r="8559" spans="20:20" x14ac:dyDescent="0.25">
      <c r="T8559" s="98"/>
    </row>
    <row r="8560" spans="20:20" x14ac:dyDescent="0.25">
      <c r="T8560" s="98"/>
    </row>
    <row r="8561" spans="20:20" x14ac:dyDescent="0.25">
      <c r="T8561" s="98"/>
    </row>
    <row r="8562" spans="20:20" x14ac:dyDescent="0.25">
      <c r="T8562" s="98"/>
    </row>
    <row r="8563" spans="20:20" x14ac:dyDescent="0.25">
      <c r="T8563" s="98"/>
    </row>
    <row r="8564" spans="20:20" x14ac:dyDescent="0.25">
      <c r="T8564" s="98"/>
    </row>
    <row r="8565" spans="20:20" x14ac:dyDescent="0.25">
      <c r="T8565" s="98"/>
    </row>
    <row r="8566" spans="20:20" x14ac:dyDescent="0.25">
      <c r="T8566" s="98"/>
    </row>
    <row r="8567" spans="20:20" x14ac:dyDescent="0.25">
      <c r="T8567" s="98"/>
    </row>
    <row r="8568" spans="20:20" x14ac:dyDescent="0.25">
      <c r="T8568" s="98"/>
    </row>
    <row r="8569" spans="20:20" x14ac:dyDescent="0.25">
      <c r="T8569" s="98"/>
    </row>
    <row r="8570" spans="20:20" x14ac:dyDescent="0.25">
      <c r="T8570" s="98"/>
    </row>
    <row r="8571" spans="20:20" x14ac:dyDescent="0.25">
      <c r="T8571" s="98"/>
    </row>
    <row r="8572" spans="20:20" x14ac:dyDescent="0.25">
      <c r="T8572" s="98"/>
    </row>
    <row r="8573" spans="20:20" x14ac:dyDescent="0.25">
      <c r="T8573" s="98"/>
    </row>
    <row r="8574" spans="20:20" x14ac:dyDescent="0.25">
      <c r="T8574" s="98"/>
    </row>
    <row r="8575" spans="20:20" x14ac:dyDescent="0.25">
      <c r="T8575" s="98"/>
    </row>
    <row r="8576" spans="20:20" x14ac:dyDescent="0.25">
      <c r="T8576" s="98"/>
    </row>
    <row r="8577" spans="20:20" x14ac:dyDescent="0.25">
      <c r="T8577" s="98"/>
    </row>
    <row r="8578" spans="20:20" x14ac:dyDescent="0.25">
      <c r="T8578" s="98"/>
    </row>
    <row r="8579" spans="20:20" x14ac:dyDescent="0.25">
      <c r="T8579" s="98"/>
    </row>
    <row r="8580" spans="20:20" x14ac:dyDescent="0.25">
      <c r="T8580" s="98"/>
    </row>
    <row r="8581" spans="20:20" x14ac:dyDescent="0.25">
      <c r="T8581" s="98"/>
    </row>
    <row r="8582" spans="20:20" x14ac:dyDescent="0.25">
      <c r="T8582" s="98"/>
    </row>
    <row r="8583" spans="20:20" x14ac:dyDescent="0.25">
      <c r="T8583" s="98"/>
    </row>
    <row r="8584" spans="20:20" x14ac:dyDescent="0.25">
      <c r="T8584" s="98"/>
    </row>
    <row r="8585" spans="20:20" x14ac:dyDescent="0.25">
      <c r="T8585" s="98"/>
    </row>
    <row r="8586" spans="20:20" x14ac:dyDescent="0.25">
      <c r="T8586" s="98"/>
    </row>
    <row r="8587" spans="20:20" x14ac:dyDescent="0.25">
      <c r="T8587" s="98"/>
    </row>
    <row r="8588" spans="20:20" x14ac:dyDescent="0.25">
      <c r="T8588" s="98"/>
    </row>
    <row r="8589" spans="20:20" x14ac:dyDescent="0.25">
      <c r="T8589" s="98"/>
    </row>
    <row r="8590" spans="20:20" x14ac:dyDescent="0.25">
      <c r="T8590" s="98"/>
    </row>
    <row r="8591" spans="20:20" x14ac:dyDescent="0.25">
      <c r="T8591" s="98"/>
    </row>
    <row r="8592" spans="20:20" x14ac:dyDescent="0.25">
      <c r="T8592" s="98"/>
    </row>
    <row r="8593" spans="20:20" x14ac:dyDescent="0.25">
      <c r="T8593" s="98"/>
    </row>
    <row r="8594" spans="20:20" x14ac:dyDescent="0.25">
      <c r="T8594" s="98"/>
    </row>
    <row r="8595" spans="20:20" x14ac:dyDescent="0.25">
      <c r="T8595" s="98"/>
    </row>
    <row r="8596" spans="20:20" x14ac:dyDescent="0.25">
      <c r="T8596" s="98"/>
    </row>
    <row r="8597" spans="20:20" x14ac:dyDescent="0.25">
      <c r="T8597" s="98"/>
    </row>
    <row r="8598" spans="20:20" x14ac:dyDescent="0.25">
      <c r="T8598" s="98"/>
    </row>
    <row r="8599" spans="20:20" x14ac:dyDescent="0.25">
      <c r="T8599" s="98"/>
    </row>
    <row r="8600" spans="20:20" x14ac:dyDescent="0.25">
      <c r="T8600" s="98"/>
    </row>
    <row r="8601" spans="20:20" x14ac:dyDescent="0.25">
      <c r="T8601" s="98"/>
    </row>
    <row r="8602" spans="20:20" x14ac:dyDescent="0.25">
      <c r="T8602" s="98"/>
    </row>
    <row r="8603" spans="20:20" x14ac:dyDescent="0.25">
      <c r="T8603" s="98"/>
    </row>
    <row r="8604" spans="20:20" x14ac:dyDescent="0.25">
      <c r="T8604" s="98"/>
    </row>
    <row r="8605" spans="20:20" x14ac:dyDescent="0.25">
      <c r="T8605" s="98"/>
    </row>
    <row r="8606" spans="20:20" x14ac:dyDescent="0.25">
      <c r="T8606" s="98"/>
    </row>
    <row r="8607" spans="20:20" x14ac:dyDescent="0.25">
      <c r="T8607" s="98"/>
    </row>
    <row r="8608" spans="20:20" x14ac:dyDescent="0.25">
      <c r="T8608" s="98"/>
    </row>
    <row r="8609" spans="20:20" x14ac:dyDescent="0.25">
      <c r="T8609" s="98"/>
    </row>
    <row r="8610" spans="20:20" x14ac:dyDescent="0.25">
      <c r="T8610" s="98"/>
    </row>
    <row r="8611" spans="20:20" x14ac:dyDescent="0.25">
      <c r="T8611" s="98"/>
    </row>
    <row r="8612" spans="20:20" x14ac:dyDescent="0.25">
      <c r="T8612" s="98"/>
    </row>
    <row r="8613" spans="20:20" x14ac:dyDescent="0.25">
      <c r="T8613" s="98"/>
    </row>
    <row r="8614" spans="20:20" x14ac:dyDescent="0.25">
      <c r="T8614" s="98"/>
    </row>
    <row r="8615" spans="20:20" x14ac:dyDescent="0.25">
      <c r="T8615" s="98"/>
    </row>
    <row r="8616" spans="20:20" x14ac:dyDescent="0.25">
      <c r="T8616" s="98"/>
    </row>
    <row r="8617" spans="20:20" x14ac:dyDescent="0.25">
      <c r="T8617" s="98"/>
    </row>
    <row r="8618" spans="20:20" x14ac:dyDescent="0.25">
      <c r="T8618" s="98"/>
    </row>
    <row r="8619" spans="20:20" x14ac:dyDescent="0.25">
      <c r="T8619" s="98"/>
    </row>
    <row r="8620" spans="20:20" x14ac:dyDescent="0.25">
      <c r="T8620" s="98"/>
    </row>
    <row r="8621" spans="20:20" x14ac:dyDescent="0.25">
      <c r="T8621" s="98"/>
    </row>
    <row r="8622" spans="20:20" x14ac:dyDescent="0.25">
      <c r="T8622" s="98"/>
    </row>
    <row r="8623" spans="20:20" x14ac:dyDescent="0.25">
      <c r="T8623" s="98"/>
    </row>
    <row r="8624" spans="20:20" x14ac:dyDescent="0.25">
      <c r="T8624" s="98"/>
    </row>
    <row r="8625" spans="20:20" x14ac:dyDescent="0.25">
      <c r="T8625" s="98"/>
    </row>
    <row r="8626" spans="20:20" x14ac:dyDescent="0.25">
      <c r="T8626" s="98"/>
    </row>
    <row r="8627" spans="20:20" x14ac:dyDescent="0.25">
      <c r="T8627" s="98"/>
    </row>
    <row r="8628" spans="20:20" x14ac:dyDescent="0.25">
      <c r="T8628" s="98"/>
    </row>
    <row r="8629" spans="20:20" x14ac:dyDescent="0.25">
      <c r="T8629" s="98"/>
    </row>
    <row r="8630" spans="20:20" x14ac:dyDescent="0.25">
      <c r="T8630" s="98"/>
    </row>
    <row r="8631" spans="20:20" x14ac:dyDescent="0.25">
      <c r="T8631" s="98"/>
    </row>
    <row r="8632" spans="20:20" x14ac:dyDescent="0.25">
      <c r="T8632" s="98"/>
    </row>
    <row r="8633" spans="20:20" x14ac:dyDescent="0.25">
      <c r="T8633" s="98"/>
    </row>
    <row r="8634" spans="20:20" x14ac:dyDescent="0.25">
      <c r="T8634" s="98"/>
    </row>
    <row r="8635" spans="20:20" x14ac:dyDescent="0.25">
      <c r="T8635" s="98"/>
    </row>
    <row r="8636" spans="20:20" x14ac:dyDescent="0.25">
      <c r="T8636" s="98"/>
    </row>
    <row r="8637" spans="20:20" x14ac:dyDescent="0.25">
      <c r="T8637" s="98"/>
    </row>
    <row r="8638" spans="20:20" x14ac:dyDescent="0.25">
      <c r="T8638" s="98"/>
    </row>
    <row r="8639" spans="20:20" x14ac:dyDescent="0.25">
      <c r="T8639" s="98"/>
    </row>
    <row r="8640" spans="20:20" x14ac:dyDescent="0.25">
      <c r="T8640" s="98"/>
    </row>
    <row r="8641" spans="20:20" x14ac:dyDescent="0.25">
      <c r="T8641" s="98"/>
    </row>
    <row r="8642" spans="20:20" x14ac:dyDescent="0.25">
      <c r="T8642" s="98"/>
    </row>
    <row r="8643" spans="20:20" x14ac:dyDescent="0.25">
      <c r="T8643" s="98"/>
    </row>
    <row r="8644" spans="20:20" x14ac:dyDescent="0.25">
      <c r="T8644" s="98"/>
    </row>
    <row r="8645" spans="20:20" x14ac:dyDescent="0.25">
      <c r="T8645" s="98"/>
    </row>
    <row r="8646" spans="20:20" x14ac:dyDescent="0.25">
      <c r="T8646" s="98"/>
    </row>
    <row r="8647" spans="20:20" x14ac:dyDescent="0.25">
      <c r="T8647" s="98"/>
    </row>
    <row r="8648" spans="20:20" x14ac:dyDescent="0.25">
      <c r="T8648" s="98"/>
    </row>
    <row r="8649" spans="20:20" x14ac:dyDescent="0.25">
      <c r="T8649" s="98"/>
    </row>
    <row r="8650" spans="20:20" x14ac:dyDescent="0.25">
      <c r="T8650" s="98"/>
    </row>
    <row r="8651" spans="20:20" x14ac:dyDescent="0.25">
      <c r="T8651" s="98"/>
    </row>
    <row r="8652" spans="20:20" x14ac:dyDescent="0.25">
      <c r="T8652" s="98"/>
    </row>
    <row r="8653" spans="20:20" x14ac:dyDescent="0.25">
      <c r="T8653" s="98"/>
    </row>
    <row r="8654" spans="20:20" x14ac:dyDescent="0.25">
      <c r="T8654" s="98"/>
    </row>
    <row r="8655" spans="20:20" x14ac:dyDescent="0.25">
      <c r="T8655" s="98"/>
    </row>
    <row r="8656" spans="20:20" x14ac:dyDescent="0.25">
      <c r="T8656" s="98"/>
    </row>
    <row r="8657" spans="20:20" x14ac:dyDescent="0.25">
      <c r="T8657" s="98"/>
    </row>
    <row r="8658" spans="20:20" x14ac:dyDescent="0.25">
      <c r="T8658" s="98"/>
    </row>
    <row r="8659" spans="20:20" x14ac:dyDescent="0.25">
      <c r="T8659" s="98"/>
    </row>
    <row r="8660" spans="20:20" x14ac:dyDescent="0.25">
      <c r="T8660" s="98"/>
    </row>
    <row r="8661" spans="20:20" x14ac:dyDescent="0.25">
      <c r="T8661" s="98"/>
    </row>
    <row r="8662" spans="20:20" x14ac:dyDescent="0.25">
      <c r="T8662" s="98"/>
    </row>
    <row r="8663" spans="20:20" x14ac:dyDescent="0.25">
      <c r="T8663" s="98"/>
    </row>
    <row r="8664" spans="20:20" x14ac:dyDescent="0.25">
      <c r="T8664" s="98"/>
    </row>
    <row r="8665" spans="20:20" x14ac:dyDescent="0.25">
      <c r="T8665" s="98"/>
    </row>
    <row r="8666" spans="20:20" x14ac:dyDescent="0.25">
      <c r="T8666" s="98"/>
    </row>
    <row r="8667" spans="20:20" x14ac:dyDescent="0.25">
      <c r="T8667" s="98"/>
    </row>
    <row r="8668" spans="20:20" x14ac:dyDescent="0.25">
      <c r="T8668" s="98"/>
    </row>
    <row r="8669" spans="20:20" x14ac:dyDescent="0.25">
      <c r="T8669" s="98"/>
    </row>
    <row r="8670" spans="20:20" x14ac:dyDescent="0.25">
      <c r="T8670" s="98"/>
    </row>
    <row r="8671" spans="20:20" x14ac:dyDescent="0.25">
      <c r="T8671" s="98"/>
    </row>
    <row r="8672" spans="20:20" x14ac:dyDescent="0.25">
      <c r="T8672" s="98"/>
    </row>
    <row r="8673" spans="20:20" x14ac:dyDescent="0.25">
      <c r="T8673" s="98"/>
    </row>
    <row r="8674" spans="20:20" x14ac:dyDescent="0.25">
      <c r="T8674" s="98"/>
    </row>
    <row r="8675" spans="20:20" x14ac:dyDescent="0.25">
      <c r="T8675" s="98"/>
    </row>
    <row r="8676" spans="20:20" x14ac:dyDescent="0.25">
      <c r="T8676" s="98"/>
    </row>
    <row r="8677" spans="20:20" x14ac:dyDescent="0.25">
      <c r="T8677" s="98"/>
    </row>
    <row r="8678" spans="20:20" x14ac:dyDescent="0.25">
      <c r="T8678" s="98"/>
    </row>
    <row r="8679" spans="20:20" x14ac:dyDescent="0.25">
      <c r="T8679" s="98"/>
    </row>
    <row r="8680" spans="20:20" x14ac:dyDescent="0.25">
      <c r="T8680" s="98"/>
    </row>
    <row r="8681" spans="20:20" x14ac:dyDescent="0.25">
      <c r="T8681" s="98"/>
    </row>
    <row r="8682" spans="20:20" x14ac:dyDescent="0.25">
      <c r="T8682" s="98"/>
    </row>
    <row r="8683" spans="20:20" x14ac:dyDescent="0.25">
      <c r="T8683" s="98"/>
    </row>
    <row r="8684" spans="20:20" x14ac:dyDescent="0.25">
      <c r="T8684" s="98"/>
    </row>
    <row r="8685" spans="20:20" x14ac:dyDescent="0.25">
      <c r="T8685" s="98"/>
    </row>
    <row r="8686" spans="20:20" x14ac:dyDescent="0.25">
      <c r="T8686" s="98"/>
    </row>
    <row r="8687" spans="20:20" x14ac:dyDescent="0.25">
      <c r="T8687" s="98"/>
    </row>
    <row r="8688" spans="20:20" x14ac:dyDescent="0.25">
      <c r="T8688" s="98"/>
    </row>
    <row r="8689" spans="20:20" x14ac:dyDescent="0.25">
      <c r="T8689" s="98"/>
    </row>
    <row r="8690" spans="20:20" x14ac:dyDescent="0.25">
      <c r="T8690" s="98"/>
    </row>
    <row r="8691" spans="20:20" x14ac:dyDescent="0.25">
      <c r="T8691" s="98"/>
    </row>
    <row r="8692" spans="20:20" x14ac:dyDescent="0.25">
      <c r="T8692" s="98"/>
    </row>
    <row r="8693" spans="20:20" x14ac:dyDescent="0.25">
      <c r="T8693" s="98"/>
    </row>
    <row r="8694" spans="20:20" x14ac:dyDescent="0.25">
      <c r="T8694" s="98"/>
    </row>
    <row r="8695" spans="20:20" x14ac:dyDescent="0.25">
      <c r="T8695" s="98"/>
    </row>
    <row r="8696" spans="20:20" x14ac:dyDescent="0.25">
      <c r="T8696" s="98"/>
    </row>
    <row r="8697" spans="20:20" x14ac:dyDescent="0.25">
      <c r="T8697" s="98"/>
    </row>
    <row r="8698" spans="20:20" x14ac:dyDescent="0.25">
      <c r="T8698" s="98"/>
    </row>
    <row r="8699" spans="20:20" x14ac:dyDescent="0.25">
      <c r="T8699" s="98"/>
    </row>
    <row r="8700" spans="20:20" x14ac:dyDescent="0.25">
      <c r="T8700" s="98"/>
    </row>
    <row r="8701" spans="20:20" x14ac:dyDescent="0.25">
      <c r="T8701" s="98"/>
    </row>
    <row r="8702" spans="20:20" x14ac:dyDescent="0.25">
      <c r="T8702" s="98"/>
    </row>
    <row r="8703" spans="20:20" x14ac:dyDescent="0.25">
      <c r="T8703" s="98"/>
    </row>
    <row r="8704" spans="20:20" x14ac:dyDescent="0.25">
      <c r="T8704" s="98"/>
    </row>
    <row r="8705" spans="20:20" x14ac:dyDescent="0.25">
      <c r="T8705" s="98"/>
    </row>
    <row r="8706" spans="20:20" x14ac:dyDescent="0.25">
      <c r="T8706" s="98"/>
    </row>
    <row r="8707" spans="20:20" x14ac:dyDescent="0.25">
      <c r="T8707" s="98"/>
    </row>
    <row r="8708" spans="20:20" x14ac:dyDescent="0.25">
      <c r="T8708" s="98"/>
    </row>
    <row r="8709" spans="20:20" x14ac:dyDescent="0.25">
      <c r="T8709" s="98"/>
    </row>
    <row r="8710" spans="20:20" x14ac:dyDescent="0.25">
      <c r="T8710" s="98"/>
    </row>
    <row r="8711" spans="20:20" x14ac:dyDescent="0.25">
      <c r="T8711" s="98"/>
    </row>
    <row r="8712" spans="20:20" x14ac:dyDescent="0.25">
      <c r="T8712" s="98"/>
    </row>
    <row r="8713" spans="20:20" x14ac:dyDescent="0.25">
      <c r="T8713" s="98"/>
    </row>
    <row r="8714" spans="20:20" x14ac:dyDescent="0.25">
      <c r="T8714" s="98"/>
    </row>
    <row r="8715" spans="20:20" x14ac:dyDescent="0.25">
      <c r="T8715" s="98"/>
    </row>
    <row r="8716" spans="20:20" x14ac:dyDescent="0.25">
      <c r="T8716" s="98"/>
    </row>
    <row r="8717" spans="20:20" x14ac:dyDescent="0.25">
      <c r="T8717" s="98"/>
    </row>
    <row r="8718" spans="20:20" x14ac:dyDescent="0.25">
      <c r="T8718" s="98"/>
    </row>
    <row r="8719" spans="20:20" x14ac:dyDescent="0.25">
      <c r="T8719" s="98"/>
    </row>
    <row r="8720" spans="20:20" x14ac:dyDescent="0.25">
      <c r="T8720" s="98"/>
    </row>
    <row r="8721" spans="20:20" x14ac:dyDescent="0.25">
      <c r="T8721" s="98"/>
    </row>
    <row r="8722" spans="20:20" x14ac:dyDescent="0.25">
      <c r="T8722" s="98"/>
    </row>
    <row r="8723" spans="20:20" x14ac:dyDescent="0.25">
      <c r="T8723" s="98"/>
    </row>
    <row r="8724" spans="20:20" x14ac:dyDescent="0.25">
      <c r="T8724" s="98"/>
    </row>
    <row r="8725" spans="20:20" x14ac:dyDescent="0.25">
      <c r="T8725" s="98"/>
    </row>
    <row r="8726" spans="20:20" x14ac:dyDescent="0.25">
      <c r="T8726" s="98"/>
    </row>
    <row r="8727" spans="20:20" x14ac:dyDescent="0.25">
      <c r="T8727" s="98"/>
    </row>
    <row r="8728" spans="20:20" x14ac:dyDescent="0.25">
      <c r="T8728" s="98"/>
    </row>
    <row r="8729" spans="20:20" x14ac:dyDescent="0.25">
      <c r="T8729" s="98"/>
    </row>
    <row r="8730" spans="20:20" x14ac:dyDescent="0.25">
      <c r="T8730" s="98"/>
    </row>
    <row r="8731" spans="20:20" x14ac:dyDescent="0.25">
      <c r="T8731" s="98"/>
    </row>
    <row r="8732" spans="20:20" x14ac:dyDescent="0.25">
      <c r="T8732" s="98"/>
    </row>
    <row r="8733" spans="20:20" x14ac:dyDescent="0.25">
      <c r="T8733" s="98"/>
    </row>
    <row r="8734" spans="20:20" x14ac:dyDescent="0.25">
      <c r="T8734" s="98"/>
    </row>
    <row r="8735" spans="20:20" x14ac:dyDescent="0.25">
      <c r="T8735" s="98"/>
    </row>
    <row r="8736" spans="20:20" x14ac:dyDescent="0.25">
      <c r="T8736" s="98"/>
    </row>
    <row r="8737" spans="20:20" x14ac:dyDescent="0.25">
      <c r="T8737" s="98"/>
    </row>
    <row r="8738" spans="20:20" x14ac:dyDescent="0.25">
      <c r="T8738" s="98"/>
    </row>
    <row r="8739" spans="20:20" x14ac:dyDescent="0.25">
      <c r="T8739" s="98"/>
    </row>
    <row r="8740" spans="20:20" x14ac:dyDescent="0.25">
      <c r="T8740" s="98"/>
    </row>
    <row r="8741" spans="20:20" x14ac:dyDescent="0.25">
      <c r="T8741" s="98"/>
    </row>
    <row r="8742" spans="20:20" x14ac:dyDescent="0.25">
      <c r="T8742" s="98"/>
    </row>
    <row r="8743" spans="20:20" x14ac:dyDescent="0.25">
      <c r="T8743" s="98"/>
    </row>
    <row r="8744" spans="20:20" x14ac:dyDescent="0.25">
      <c r="T8744" s="98"/>
    </row>
    <row r="8745" spans="20:20" x14ac:dyDescent="0.25">
      <c r="T8745" s="98"/>
    </row>
    <row r="8746" spans="20:20" x14ac:dyDescent="0.25">
      <c r="T8746" s="98"/>
    </row>
    <row r="8747" spans="20:20" x14ac:dyDescent="0.25">
      <c r="T8747" s="98"/>
    </row>
    <row r="8748" spans="20:20" x14ac:dyDescent="0.25">
      <c r="T8748" s="98"/>
    </row>
    <row r="8749" spans="20:20" x14ac:dyDescent="0.25">
      <c r="T8749" s="98"/>
    </row>
    <row r="8750" spans="20:20" x14ac:dyDescent="0.25">
      <c r="T8750" s="98"/>
    </row>
    <row r="8751" spans="20:20" x14ac:dyDescent="0.25">
      <c r="T8751" s="98"/>
    </row>
    <row r="8752" spans="20:20" x14ac:dyDescent="0.25">
      <c r="T8752" s="98"/>
    </row>
    <row r="8753" spans="20:20" x14ac:dyDescent="0.25">
      <c r="T8753" s="98"/>
    </row>
    <row r="8754" spans="20:20" x14ac:dyDescent="0.25">
      <c r="T8754" s="98"/>
    </row>
    <row r="8755" spans="20:20" x14ac:dyDescent="0.25">
      <c r="T8755" s="98"/>
    </row>
    <row r="8756" spans="20:20" x14ac:dyDescent="0.25">
      <c r="T8756" s="98"/>
    </row>
    <row r="8757" spans="20:20" x14ac:dyDescent="0.25">
      <c r="T8757" s="98"/>
    </row>
    <row r="8758" spans="20:20" x14ac:dyDescent="0.25">
      <c r="T8758" s="98"/>
    </row>
    <row r="8759" spans="20:20" x14ac:dyDescent="0.25">
      <c r="T8759" s="98"/>
    </row>
    <row r="8760" spans="20:20" x14ac:dyDescent="0.25">
      <c r="T8760" s="98"/>
    </row>
    <row r="8761" spans="20:20" x14ac:dyDescent="0.25">
      <c r="T8761" s="98"/>
    </row>
    <row r="8762" spans="20:20" x14ac:dyDescent="0.25">
      <c r="T8762" s="98"/>
    </row>
    <row r="8763" spans="20:20" x14ac:dyDescent="0.25">
      <c r="T8763" s="98"/>
    </row>
    <row r="8764" spans="20:20" x14ac:dyDescent="0.25">
      <c r="T8764" s="98"/>
    </row>
    <row r="8765" spans="20:20" x14ac:dyDescent="0.25">
      <c r="T8765" s="98"/>
    </row>
    <row r="8766" spans="20:20" x14ac:dyDescent="0.25">
      <c r="T8766" s="98"/>
    </row>
    <row r="8767" spans="20:20" x14ac:dyDescent="0.25">
      <c r="T8767" s="98"/>
    </row>
    <row r="8768" spans="20:20" x14ac:dyDescent="0.25">
      <c r="T8768" s="98"/>
    </row>
    <row r="8769" spans="20:20" x14ac:dyDescent="0.25">
      <c r="T8769" s="98"/>
    </row>
    <row r="8770" spans="20:20" x14ac:dyDescent="0.25">
      <c r="T8770" s="98"/>
    </row>
    <row r="8771" spans="20:20" x14ac:dyDescent="0.25">
      <c r="T8771" s="98"/>
    </row>
    <row r="8772" spans="20:20" x14ac:dyDescent="0.25">
      <c r="T8772" s="98"/>
    </row>
    <row r="8773" spans="20:20" x14ac:dyDescent="0.25">
      <c r="T8773" s="98"/>
    </row>
    <row r="8774" spans="20:20" x14ac:dyDescent="0.25">
      <c r="T8774" s="98"/>
    </row>
    <row r="8775" spans="20:20" x14ac:dyDescent="0.25">
      <c r="T8775" s="98"/>
    </row>
    <row r="8776" spans="20:20" x14ac:dyDescent="0.25">
      <c r="T8776" s="98"/>
    </row>
    <row r="8777" spans="20:20" x14ac:dyDescent="0.25">
      <c r="T8777" s="98"/>
    </row>
    <row r="8778" spans="20:20" x14ac:dyDescent="0.25">
      <c r="T8778" s="98"/>
    </row>
    <row r="8779" spans="20:20" x14ac:dyDescent="0.25">
      <c r="T8779" s="98"/>
    </row>
    <row r="8780" spans="20:20" x14ac:dyDescent="0.25">
      <c r="T8780" s="98"/>
    </row>
    <row r="8781" spans="20:20" x14ac:dyDescent="0.25">
      <c r="T8781" s="98"/>
    </row>
    <row r="8782" spans="20:20" x14ac:dyDescent="0.25">
      <c r="T8782" s="98"/>
    </row>
    <row r="8783" spans="20:20" x14ac:dyDescent="0.25">
      <c r="T8783" s="98"/>
    </row>
    <row r="8784" spans="20:20" x14ac:dyDescent="0.25">
      <c r="T8784" s="98"/>
    </row>
    <row r="8785" spans="20:20" x14ac:dyDescent="0.25">
      <c r="T8785" s="98"/>
    </row>
    <row r="8786" spans="20:20" x14ac:dyDescent="0.25">
      <c r="T8786" s="98"/>
    </row>
    <row r="8787" spans="20:20" x14ac:dyDescent="0.25">
      <c r="T8787" s="98"/>
    </row>
    <row r="8788" spans="20:20" x14ac:dyDescent="0.25">
      <c r="T8788" s="98"/>
    </row>
    <row r="8789" spans="20:20" x14ac:dyDescent="0.25">
      <c r="T8789" s="98"/>
    </row>
    <row r="8790" spans="20:20" x14ac:dyDescent="0.25">
      <c r="T8790" s="98"/>
    </row>
    <row r="8791" spans="20:20" x14ac:dyDescent="0.25">
      <c r="T8791" s="98"/>
    </row>
    <row r="8792" spans="20:20" x14ac:dyDescent="0.25">
      <c r="T8792" s="98"/>
    </row>
    <row r="8793" spans="20:20" x14ac:dyDescent="0.25">
      <c r="T8793" s="98"/>
    </row>
    <row r="8794" spans="20:20" x14ac:dyDescent="0.25">
      <c r="T8794" s="98"/>
    </row>
    <row r="8795" spans="20:20" x14ac:dyDescent="0.25">
      <c r="T8795" s="98"/>
    </row>
    <row r="8796" spans="20:20" x14ac:dyDescent="0.25">
      <c r="T8796" s="98"/>
    </row>
    <row r="8797" spans="20:20" x14ac:dyDescent="0.25">
      <c r="T8797" s="98"/>
    </row>
    <row r="8798" spans="20:20" x14ac:dyDescent="0.25">
      <c r="T8798" s="98"/>
    </row>
    <row r="8799" spans="20:20" x14ac:dyDescent="0.25">
      <c r="T8799" s="98"/>
    </row>
    <row r="8800" spans="20:20" x14ac:dyDescent="0.25">
      <c r="T8800" s="98"/>
    </row>
    <row r="8801" spans="20:20" x14ac:dyDescent="0.25">
      <c r="T8801" s="98"/>
    </row>
    <row r="8802" spans="20:20" x14ac:dyDescent="0.25">
      <c r="T8802" s="98"/>
    </row>
    <row r="8803" spans="20:20" x14ac:dyDescent="0.25">
      <c r="T8803" s="98"/>
    </row>
    <row r="8804" spans="20:20" x14ac:dyDescent="0.25">
      <c r="T8804" s="98"/>
    </row>
    <row r="8805" spans="20:20" x14ac:dyDescent="0.25">
      <c r="T8805" s="98"/>
    </row>
    <row r="8806" spans="20:20" x14ac:dyDescent="0.25">
      <c r="T8806" s="98"/>
    </row>
    <row r="8807" spans="20:20" x14ac:dyDescent="0.25">
      <c r="T8807" s="98"/>
    </row>
    <row r="8808" spans="20:20" x14ac:dyDescent="0.25">
      <c r="T8808" s="98"/>
    </row>
    <row r="8809" spans="20:20" x14ac:dyDescent="0.25">
      <c r="T8809" s="98"/>
    </row>
    <row r="8810" spans="20:20" x14ac:dyDescent="0.25">
      <c r="T8810" s="98"/>
    </row>
    <row r="8811" spans="20:20" x14ac:dyDescent="0.25">
      <c r="T8811" s="98"/>
    </row>
    <row r="8812" spans="20:20" x14ac:dyDescent="0.25">
      <c r="T8812" s="98"/>
    </row>
    <row r="8813" spans="20:20" x14ac:dyDescent="0.25">
      <c r="T8813" s="98"/>
    </row>
    <row r="8814" spans="20:20" x14ac:dyDescent="0.25">
      <c r="T8814" s="98"/>
    </row>
    <row r="8815" spans="20:20" x14ac:dyDescent="0.25">
      <c r="T8815" s="98"/>
    </row>
    <row r="8816" spans="20:20" x14ac:dyDescent="0.25">
      <c r="T8816" s="98"/>
    </row>
    <row r="8817" spans="20:20" x14ac:dyDescent="0.25">
      <c r="T8817" s="98"/>
    </row>
    <row r="8818" spans="20:20" x14ac:dyDescent="0.25">
      <c r="T8818" s="98"/>
    </row>
    <row r="8819" spans="20:20" x14ac:dyDescent="0.25">
      <c r="T8819" s="98"/>
    </row>
    <row r="8820" spans="20:20" x14ac:dyDescent="0.25">
      <c r="T8820" s="98"/>
    </row>
    <row r="8821" spans="20:20" x14ac:dyDescent="0.25">
      <c r="T8821" s="98"/>
    </row>
    <row r="8822" spans="20:20" x14ac:dyDescent="0.25">
      <c r="T8822" s="98"/>
    </row>
    <row r="8823" spans="20:20" x14ac:dyDescent="0.25">
      <c r="T8823" s="98"/>
    </row>
    <row r="8824" spans="20:20" x14ac:dyDescent="0.25">
      <c r="T8824" s="98"/>
    </row>
    <row r="8825" spans="20:20" x14ac:dyDescent="0.25">
      <c r="T8825" s="98"/>
    </row>
    <row r="8826" spans="20:20" x14ac:dyDescent="0.25">
      <c r="T8826" s="98"/>
    </row>
    <row r="8827" spans="20:20" x14ac:dyDescent="0.25">
      <c r="T8827" s="98"/>
    </row>
    <row r="8828" spans="20:20" x14ac:dyDescent="0.25">
      <c r="T8828" s="98"/>
    </row>
    <row r="8829" spans="20:20" x14ac:dyDescent="0.25">
      <c r="T8829" s="98"/>
    </row>
    <row r="8830" spans="20:20" x14ac:dyDescent="0.25">
      <c r="T8830" s="98"/>
    </row>
    <row r="8831" spans="20:20" x14ac:dyDescent="0.25">
      <c r="T8831" s="98"/>
    </row>
    <row r="8832" spans="20:20" x14ac:dyDescent="0.25">
      <c r="T8832" s="98"/>
    </row>
    <row r="8833" spans="20:20" x14ac:dyDescent="0.25">
      <c r="T8833" s="98"/>
    </row>
    <row r="8834" spans="20:20" x14ac:dyDescent="0.25">
      <c r="T8834" s="98"/>
    </row>
    <row r="8835" spans="20:20" x14ac:dyDescent="0.25">
      <c r="T8835" s="98"/>
    </row>
    <row r="8836" spans="20:20" x14ac:dyDescent="0.25">
      <c r="T8836" s="98"/>
    </row>
    <row r="8837" spans="20:20" x14ac:dyDescent="0.25">
      <c r="T8837" s="98"/>
    </row>
    <row r="8838" spans="20:20" x14ac:dyDescent="0.25">
      <c r="T8838" s="98"/>
    </row>
    <row r="8839" spans="20:20" x14ac:dyDescent="0.25">
      <c r="T8839" s="98"/>
    </row>
    <row r="8840" spans="20:20" x14ac:dyDescent="0.25">
      <c r="T8840" s="98"/>
    </row>
    <row r="8841" spans="20:20" x14ac:dyDescent="0.25">
      <c r="T8841" s="98"/>
    </row>
    <row r="8842" spans="20:20" x14ac:dyDescent="0.25">
      <c r="T8842" s="98"/>
    </row>
    <row r="8843" spans="20:20" x14ac:dyDescent="0.25">
      <c r="T8843" s="98"/>
    </row>
    <row r="8844" spans="20:20" x14ac:dyDescent="0.25">
      <c r="T8844" s="98"/>
    </row>
    <row r="8845" spans="20:20" x14ac:dyDescent="0.25">
      <c r="T8845" s="98"/>
    </row>
    <row r="8846" spans="20:20" x14ac:dyDescent="0.25">
      <c r="T8846" s="98"/>
    </row>
    <row r="8847" spans="20:20" x14ac:dyDescent="0.25">
      <c r="T8847" s="98"/>
    </row>
    <row r="8848" spans="20:20" x14ac:dyDescent="0.25">
      <c r="T8848" s="98"/>
    </row>
    <row r="8849" spans="20:20" x14ac:dyDescent="0.25">
      <c r="T8849" s="98"/>
    </row>
    <row r="8850" spans="20:20" x14ac:dyDescent="0.25">
      <c r="T8850" s="98"/>
    </row>
    <row r="8851" spans="20:20" x14ac:dyDescent="0.25">
      <c r="T8851" s="98"/>
    </row>
    <row r="8852" spans="20:20" x14ac:dyDescent="0.25">
      <c r="T8852" s="98"/>
    </row>
    <row r="8853" spans="20:20" x14ac:dyDescent="0.25">
      <c r="T8853" s="98"/>
    </row>
    <row r="8854" spans="20:20" x14ac:dyDescent="0.25">
      <c r="T8854" s="98"/>
    </row>
    <row r="8855" spans="20:20" x14ac:dyDescent="0.25">
      <c r="T8855" s="98"/>
    </row>
    <row r="8856" spans="20:20" x14ac:dyDescent="0.25">
      <c r="T8856" s="98"/>
    </row>
    <row r="8857" spans="20:20" x14ac:dyDescent="0.25">
      <c r="T8857" s="98"/>
    </row>
    <row r="8858" spans="20:20" x14ac:dyDescent="0.25">
      <c r="T8858" s="98"/>
    </row>
    <row r="8859" spans="20:20" x14ac:dyDescent="0.25">
      <c r="T8859" s="98"/>
    </row>
    <row r="8860" spans="20:20" x14ac:dyDescent="0.25">
      <c r="T8860" s="98"/>
    </row>
    <row r="8861" spans="20:20" x14ac:dyDescent="0.25">
      <c r="T8861" s="98"/>
    </row>
    <row r="8862" spans="20:20" x14ac:dyDescent="0.25">
      <c r="T8862" s="98"/>
    </row>
    <row r="8863" spans="20:20" x14ac:dyDescent="0.25">
      <c r="T8863" s="98"/>
    </row>
    <row r="8864" spans="20:20" x14ac:dyDescent="0.25">
      <c r="T8864" s="98"/>
    </row>
    <row r="8865" spans="20:20" x14ac:dyDescent="0.25">
      <c r="T8865" s="98"/>
    </row>
    <row r="8866" spans="20:20" x14ac:dyDescent="0.25">
      <c r="T8866" s="98"/>
    </row>
    <row r="8867" spans="20:20" x14ac:dyDescent="0.25">
      <c r="T8867" s="98"/>
    </row>
    <row r="8868" spans="20:20" x14ac:dyDescent="0.25">
      <c r="T8868" s="98"/>
    </row>
    <row r="8869" spans="20:20" x14ac:dyDescent="0.25">
      <c r="T8869" s="98"/>
    </row>
    <row r="8870" spans="20:20" x14ac:dyDescent="0.25">
      <c r="T8870" s="98"/>
    </row>
    <row r="8871" spans="20:20" x14ac:dyDescent="0.25">
      <c r="T8871" s="98"/>
    </row>
    <row r="8872" spans="20:20" x14ac:dyDescent="0.25">
      <c r="T8872" s="98"/>
    </row>
    <row r="8873" spans="20:20" x14ac:dyDescent="0.25">
      <c r="T8873" s="98"/>
    </row>
    <row r="8874" spans="20:20" x14ac:dyDescent="0.25">
      <c r="T8874" s="98"/>
    </row>
    <row r="8875" spans="20:20" x14ac:dyDescent="0.25">
      <c r="T8875" s="98"/>
    </row>
    <row r="8876" spans="20:20" x14ac:dyDescent="0.25">
      <c r="T8876" s="98"/>
    </row>
    <row r="8877" spans="20:20" x14ac:dyDescent="0.25">
      <c r="T8877" s="98"/>
    </row>
    <row r="8878" spans="20:20" x14ac:dyDescent="0.25">
      <c r="T8878" s="98"/>
    </row>
    <row r="8879" spans="20:20" x14ac:dyDescent="0.25">
      <c r="T8879" s="98"/>
    </row>
    <row r="8880" spans="20:20" x14ac:dyDescent="0.25">
      <c r="T8880" s="98"/>
    </row>
    <row r="8881" spans="20:20" x14ac:dyDescent="0.25">
      <c r="T8881" s="98"/>
    </row>
    <row r="8882" spans="20:20" x14ac:dyDescent="0.25">
      <c r="T8882" s="98"/>
    </row>
    <row r="8883" spans="20:20" x14ac:dyDescent="0.25">
      <c r="T8883" s="98"/>
    </row>
    <row r="8884" spans="20:20" x14ac:dyDescent="0.25">
      <c r="T8884" s="98"/>
    </row>
    <row r="8885" spans="20:20" x14ac:dyDescent="0.25">
      <c r="T8885" s="98"/>
    </row>
    <row r="8886" spans="20:20" x14ac:dyDescent="0.25">
      <c r="T8886" s="98"/>
    </row>
    <row r="8887" spans="20:20" x14ac:dyDescent="0.25">
      <c r="T8887" s="98"/>
    </row>
    <row r="8888" spans="20:20" x14ac:dyDescent="0.25">
      <c r="T8888" s="98"/>
    </row>
    <row r="8889" spans="20:20" x14ac:dyDescent="0.25">
      <c r="T8889" s="98"/>
    </row>
    <row r="8890" spans="20:20" x14ac:dyDescent="0.25">
      <c r="T8890" s="98"/>
    </row>
    <row r="8891" spans="20:20" x14ac:dyDescent="0.25">
      <c r="T8891" s="98"/>
    </row>
    <row r="8892" spans="20:20" x14ac:dyDescent="0.25">
      <c r="T8892" s="98"/>
    </row>
    <row r="8893" spans="20:20" x14ac:dyDescent="0.25">
      <c r="T8893" s="98"/>
    </row>
    <row r="8894" spans="20:20" x14ac:dyDescent="0.25">
      <c r="T8894" s="98"/>
    </row>
    <row r="8895" spans="20:20" x14ac:dyDescent="0.25">
      <c r="T8895" s="98"/>
    </row>
    <row r="8896" spans="20:20" x14ac:dyDescent="0.25">
      <c r="T8896" s="98"/>
    </row>
    <row r="8897" spans="20:20" x14ac:dyDescent="0.25">
      <c r="T8897" s="98"/>
    </row>
    <row r="8898" spans="20:20" x14ac:dyDescent="0.25">
      <c r="T8898" s="98"/>
    </row>
    <row r="8899" spans="20:20" x14ac:dyDescent="0.25">
      <c r="T8899" s="98"/>
    </row>
    <row r="8900" spans="20:20" x14ac:dyDescent="0.25">
      <c r="T8900" s="98"/>
    </row>
    <row r="8901" spans="20:20" x14ac:dyDescent="0.25">
      <c r="T8901" s="98"/>
    </row>
    <row r="8902" spans="20:20" x14ac:dyDescent="0.25">
      <c r="T8902" s="98"/>
    </row>
    <row r="8903" spans="20:20" x14ac:dyDescent="0.25">
      <c r="T8903" s="98"/>
    </row>
    <row r="8904" spans="20:20" x14ac:dyDescent="0.25">
      <c r="T8904" s="98"/>
    </row>
    <row r="8905" spans="20:20" x14ac:dyDescent="0.25">
      <c r="T8905" s="98"/>
    </row>
    <row r="8906" spans="20:20" x14ac:dyDescent="0.25">
      <c r="T8906" s="98"/>
    </row>
    <row r="8907" spans="20:20" x14ac:dyDescent="0.25">
      <c r="T8907" s="98"/>
    </row>
    <row r="8908" spans="20:20" x14ac:dyDescent="0.25">
      <c r="T8908" s="98"/>
    </row>
    <row r="8909" spans="20:20" x14ac:dyDescent="0.25">
      <c r="T8909" s="98"/>
    </row>
    <row r="8910" spans="20:20" x14ac:dyDescent="0.25">
      <c r="T8910" s="98"/>
    </row>
    <row r="8911" spans="20:20" x14ac:dyDescent="0.25">
      <c r="T8911" s="98"/>
    </row>
    <row r="8912" spans="20:20" x14ac:dyDescent="0.25">
      <c r="T8912" s="98"/>
    </row>
    <row r="8913" spans="20:20" x14ac:dyDescent="0.25">
      <c r="T8913" s="98"/>
    </row>
    <row r="8914" spans="20:20" x14ac:dyDescent="0.25">
      <c r="T8914" s="98"/>
    </row>
    <row r="8915" spans="20:20" x14ac:dyDescent="0.25">
      <c r="T8915" s="98"/>
    </row>
    <row r="8916" spans="20:20" x14ac:dyDescent="0.25">
      <c r="T8916" s="98"/>
    </row>
    <row r="8917" spans="20:20" x14ac:dyDescent="0.25">
      <c r="T8917" s="98"/>
    </row>
    <row r="8918" spans="20:20" x14ac:dyDescent="0.25">
      <c r="T8918" s="98"/>
    </row>
    <row r="8919" spans="20:20" x14ac:dyDescent="0.25">
      <c r="T8919" s="98"/>
    </row>
    <row r="8920" spans="20:20" x14ac:dyDescent="0.25">
      <c r="T8920" s="98"/>
    </row>
    <row r="8921" spans="20:20" x14ac:dyDescent="0.25">
      <c r="T8921" s="98"/>
    </row>
    <row r="8922" spans="20:20" x14ac:dyDescent="0.25">
      <c r="T8922" s="98"/>
    </row>
    <row r="8923" spans="20:20" x14ac:dyDescent="0.25">
      <c r="T8923" s="98"/>
    </row>
    <row r="8924" spans="20:20" x14ac:dyDescent="0.25">
      <c r="T8924" s="98"/>
    </row>
    <row r="8925" spans="20:20" x14ac:dyDescent="0.25">
      <c r="T8925" s="98"/>
    </row>
    <row r="8926" spans="20:20" x14ac:dyDescent="0.25">
      <c r="T8926" s="98"/>
    </row>
    <row r="8927" spans="20:20" x14ac:dyDescent="0.25">
      <c r="T8927" s="98"/>
    </row>
    <row r="8928" spans="20:20" x14ac:dyDescent="0.25">
      <c r="T8928" s="98"/>
    </row>
    <row r="8929" spans="20:20" x14ac:dyDescent="0.25">
      <c r="T8929" s="98"/>
    </row>
    <row r="8930" spans="20:20" x14ac:dyDescent="0.25">
      <c r="T8930" s="98"/>
    </row>
    <row r="8931" spans="20:20" x14ac:dyDescent="0.25">
      <c r="T8931" s="98"/>
    </row>
    <row r="8932" spans="20:20" x14ac:dyDescent="0.25">
      <c r="T8932" s="98"/>
    </row>
    <row r="8933" spans="20:20" x14ac:dyDescent="0.25">
      <c r="T8933" s="98"/>
    </row>
    <row r="8934" spans="20:20" x14ac:dyDescent="0.25">
      <c r="T8934" s="98"/>
    </row>
    <row r="8935" spans="20:20" x14ac:dyDescent="0.25">
      <c r="T8935" s="98"/>
    </row>
    <row r="8936" spans="20:20" x14ac:dyDescent="0.25">
      <c r="T8936" s="98"/>
    </row>
    <row r="8937" spans="20:20" x14ac:dyDescent="0.25">
      <c r="T8937" s="98"/>
    </row>
    <row r="8938" spans="20:20" x14ac:dyDescent="0.25">
      <c r="T8938" s="98"/>
    </row>
    <row r="8939" spans="20:20" x14ac:dyDescent="0.25">
      <c r="T8939" s="98"/>
    </row>
    <row r="8940" spans="20:20" x14ac:dyDescent="0.25">
      <c r="T8940" s="98"/>
    </row>
    <row r="8941" spans="20:20" x14ac:dyDescent="0.25">
      <c r="T8941" s="98"/>
    </row>
    <row r="8942" spans="20:20" x14ac:dyDescent="0.25">
      <c r="T8942" s="98"/>
    </row>
    <row r="8943" spans="20:20" x14ac:dyDescent="0.25">
      <c r="T8943" s="98"/>
    </row>
    <row r="8944" spans="20:20" x14ac:dyDescent="0.25">
      <c r="T8944" s="98"/>
    </row>
    <row r="8945" spans="20:20" x14ac:dyDescent="0.25">
      <c r="T8945" s="98"/>
    </row>
    <row r="8946" spans="20:20" x14ac:dyDescent="0.25">
      <c r="T8946" s="98"/>
    </row>
    <row r="8947" spans="20:20" x14ac:dyDescent="0.25">
      <c r="T8947" s="98"/>
    </row>
    <row r="8948" spans="20:20" x14ac:dyDescent="0.25">
      <c r="T8948" s="98"/>
    </row>
    <row r="8949" spans="20:20" x14ac:dyDescent="0.25">
      <c r="T8949" s="98"/>
    </row>
    <row r="8950" spans="20:20" x14ac:dyDescent="0.25">
      <c r="T8950" s="98"/>
    </row>
    <row r="8951" spans="20:20" x14ac:dyDescent="0.25">
      <c r="T8951" s="98"/>
    </row>
    <row r="8952" spans="20:20" x14ac:dyDescent="0.25">
      <c r="T8952" s="98"/>
    </row>
    <row r="8953" spans="20:20" x14ac:dyDescent="0.25">
      <c r="T8953" s="98"/>
    </row>
    <row r="8954" spans="20:20" x14ac:dyDescent="0.25">
      <c r="T8954" s="98"/>
    </row>
    <row r="8955" spans="20:20" x14ac:dyDescent="0.25">
      <c r="T8955" s="98"/>
    </row>
    <row r="8956" spans="20:20" x14ac:dyDescent="0.25">
      <c r="T8956" s="98"/>
    </row>
    <row r="8957" spans="20:20" x14ac:dyDescent="0.25">
      <c r="T8957" s="98"/>
    </row>
    <row r="8958" spans="20:20" x14ac:dyDescent="0.25">
      <c r="T8958" s="98"/>
    </row>
    <row r="8959" spans="20:20" x14ac:dyDescent="0.25">
      <c r="T8959" s="98"/>
    </row>
    <row r="8960" spans="20:20" x14ac:dyDescent="0.25">
      <c r="T8960" s="98"/>
    </row>
    <row r="8961" spans="20:20" x14ac:dyDescent="0.25">
      <c r="T8961" s="98"/>
    </row>
    <row r="8962" spans="20:20" x14ac:dyDescent="0.25">
      <c r="T8962" s="98"/>
    </row>
    <row r="8963" spans="20:20" x14ac:dyDescent="0.25">
      <c r="T8963" s="98"/>
    </row>
    <row r="8964" spans="20:20" x14ac:dyDescent="0.25">
      <c r="T8964" s="98"/>
    </row>
    <row r="8965" spans="20:20" x14ac:dyDescent="0.25">
      <c r="T8965" s="98"/>
    </row>
    <row r="8966" spans="20:20" x14ac:dyDescent="0.25">
      <c r="T8966" s="98"/>
    </row>
    <row r="8967" spans="20:20" x14ac:dyDescent="0.25">
      <c r="T8967" s="98"/>
    </row>
    <row r="8968" spans="20:20" x14ac:dyDescent="0.25">
      <c r="T8968" s="98"/>
    </row>
    <row r="8969" spans="20:20" x14ac:dyDescent="0.25">
      <c r="T8969" s="98"/>
    </row>
    <row r="8970" spans="20:20" x14ac:dyDescent="0.25">
      <c r="T8970" s="98"/>
    </row>
    <row r="8971" spans="20:20" x14ac:dyDescent="0.25">
      <c r="T8971" s="98"/>
    </row>
    <row r="8972" spans="20:20" x14ac:dyDescent="0.25">
      <c r="T8972" s="98"/>
    </row>
    <row r="8973" spans="20:20" x14ac:dyDescent="0.25">
      <c r="T8973" s="98"/>
    </row>
    <row r="8974" spans="20:20" x14ac:dyDescent="0.25">
      <c r="T8974" s="98"/>
    </row>
    <row r="8975" spans="20:20" x14ac:dyDescent="0.25">
      <c r="T8975" s="98"/>
    </row>
    <row r="8976" spans="20:20" x14ac:dyDescent="0.25">
      <c r="T8976" s="98"/>
    </row>
    <row r="8977" spans="20:20" x14ac:dyDescent="0.25">
      <c r="T8977" s="98"/>
    </row>
    <row r="8978" spans="20:20" x14ac:dyDescent="0.25">
      <c r="T8978" s="98"/>
    </row>
    <row r="8979" spans="20:20" x14ac:dyDescent="0.25">
      <c r="T8979" s="98"/>
    </row>
    <row r="8980" spans="20:20" x14ac:dyDescent="0.25">
      <c r="T8980" s="98"/>
    </row>
    <row r="8981" spans="20:20" x14ac:dyDescent="0.25">
      <c r="T8981" s="98"/>
    </row>
    <row r="8982" spans="20:20" x14ac:dyDescent="0.25">
      <c r="T8982" s="98"/>
    </row>
    <row r="8983" spans="20:20" x14ac:dyDescent="0.25">
      <c r="T8983" s="98"/>
    </row>
    <row r="8984" spans="20:20" x14ac:dyDescent="0.25">
      <c r="T8984" s="98"/>
    </row>
    <row r="8985" spans="20:20" x14ac:dyDescent="0.25">
      <c r="T8985" s="98"/>
    </row>
    <row r="8986" spans="20:20" x14ac:dyDescent="0.25">
      <c r="T8986" s="98"/>
    </row>
    <row r="8987" spans="20:20" x14ac:dyDescent="0.25">
      <c r="T8987" s="98"/>
    </row>
    <row r="8988" spans="20:20" x14ac:dyDescent="0.25">
      <c r="T8988" s="98"/>
    </row>
    <row r="8989" spans="20:20" x14ac:dyDescent="0.25">
      <c r="T8989" s="98"/>
    </row>
    <row r="8990" spans="20:20" x14ac:dyDescent="0.25">
      <c r="T8990" s="98"/>
    </row>
    <row r="8991" spans="20:20" x14ac:dyDescent="0.25">
      <c r="T8991" s="98"/>
    </row>
    <row r="8992" spans="20:20" x14ac:dyDescent="0.25">
      <c r="T8992" s="98"/>
    </row>
    <row r="8993" spans="20:20" x14ac:dyDescent="0.25">
      <c r="T8993" s="98"/>
    </row>
    <row r="8994" spans="20:20" x14ac:dyDescent="0.25">
      <c r="T8994" s="98"/>
    </row>
    <row r="8995" spans="20:20" x14ac:dyDescent="0.25">
      <c r="T8995" s="98"/>
    </row>
    <row r="8996" spans="20:20" x14ac:dyDescent="0.25">
      <c r="T8996" s="98"/>
    </row>
    <row r="8997" spans="20:20" x14ac:dyDescent="0.25">
      <c r="T8997" s="98"/>
    </row>
    <row r="8998" spans="20:20" x14ac:dyDescent="0.25">
      <c r="T8998" s="98"/>
    </row>
    <row r="8999" spans="20:20" x14ac:dyDescent="0.25">
      <c r="T8999" s="98"/>
    </row>
    <row r="9000" spans="20:20" x14ac:dyDescent="0.25">
      <c r="T9000" s="98"/>
    </row>
    <row r="9001" spans="20:20" x14ac:dyDescent="0.25">
      <c r="T9001" s="98"/>
    </row>
    <row r="9002" spans="20:20" x14ac:dyDescent="0.25">
      <c r="T9002" s="98"/>
    </row>
    <row r="9003" spans="20:20" x14ac:dyDescent="0.25">
      <c r="T9003" s="98"/>
    </row>
    <row r="9004" spans="20:20" x14ac:dyDescent="0.25">
      <c r="T9004" s="98"/>
    </row>
    <row r="9005" spans="20:20" x14ac:dyDescent="0.25">
      <c r="T9005" s="98"/>
    </row>
    <row r="9006" spans="20:20" x14ac:dyDescent="0.25">
      <c r="T9006" s="98"/>
    </row>
    <row r="9007" spans="20:20" x14ac:dyDescent="0.25">
      <c r="T9007" s="98"/>
    </row>
    <row r="9008" spans="20:20" x14ac:dyDescent="0.25">
      <c r="T9008" s="98"/>
    </row>
    <row r="9009" spans="20:20" x14ac:dyDescent="0.25">
      <c r="T9009" s="98"/>
    </row>
    <row r="9010" spans="20:20" x14ac:dyDescent="0.25">
      <c r="T9010" s="98"/>
    </row>
    <row r="9011" spans="20:20" x14ac:dyDescent="0.25">
      <c r="T9011" s="98"/>
    </row>
    <row r="9012" spans="20:20" x14ac:dyDescent="0.25">
      <c r="T9012" s="98"/>
    </row>
    <row r="9013" spans="20:20" x14ac:dyDescent="0.25">
      <c r="T9013" s="98"/>
    </row>
    <row r="9014" spans="20:20" x14ac:dyDescent="0.25">
      <c r="T9014" s="98"/>
    </row>
    <row r="9015" spans="20:20" x14ac:dyDescent="0.25">
      <c r="T9015" s="98"/>
    </row>
    <row r="9016" spans="20:20" x14ac:dyDescent="0.25">
      <c r="T9016" s="98"/>
    </row>
    <row r="9017" spans="20:20" x14ac:dyDescent="0.25">
      <c r="T9017" s="98"/>
    </row>
    <row r="9018" spans="20:20" x14ac:dyDescent="0.25">
      <c r="T9018" s="98"/>
    </row>
    <row r="9019" spans="20:20" x14ac:dyDescent="0.25">
      <c r="T9019" s="98"/>
    </row>
    <row r="9020" spans="20:20" x14ac:dyDescent="0.25">
      <c r="T9020" s="98"/>
    </row>
    <row r="9021" spans="20:20" x14ac:dyDescent="0.25">
      <c r="T9021" s="98"/>
    </row>
    <row r="9022" spans="20:20" x14ac:dyDescent="0.25">
      <c r="T9022" s="98"/>
    </row>
    <row r="9023" spans="20:20" x14ac:dyDescent="0.25">
      <c r="T9023" s="98"/>
    </row>
    <row r="9024" spans="20:20" x14ac:dyDescent="0.25">
      <c r="T9024" s="98"/>
    </row>
    <row r="9025" spans="20:20" x14ac:dyDescent="0.25">
      <c r="T9025" s="98"/>
    </row>
    <row r="9026" spans="20:20" x14ac:dyDescent="0.25">
      <c r="T9026" s="98"/>
    </row>
    <row r="9027" spans="20:20" x14ac:dyDescent="0.25">
      <c r="T9027" s="98"/>
    </row>
    <row r="9028" spans="20:20" x14ac:dyDescent="0.25">
      <c r="T9028" s="98"/>
    </row>
    <row r="9029" spans="20:20" x14ac:dyDescent="0.25">
      <c r="T9029" s="98"/>
    </row>
    <row r="9030" spans="20:20" x14ac:dyDescent="0.25">
      <c r="T9030" s="98"/>
    </row>
    <row r="9031" spans="20:20" x14ac:dyDescent="0.25">
      <c r="T9031" s="98"/>
    </row>
    <row r="9032" spans="20:20" x14ac:dyDescent="0.25">
      <c r="T9032" s="98"/>
    </row>
    <row r="9033" spans="20:20" x14ac:dyDescent="0.25">
      <c r="T9033" s="98"/>
    </row>
    <row r="9034" spans="20:20" x14ac:dyDescent="0.25">
      <c r="T9034" s="98"/>
    </row>
    <row r="9035" spans="20:20" x14ac:dyDescent="0.25">
      <c r="T9035" s="98"/>
    </row>
    <row r="9036" spans="20:20" x14ac:dyDescent="0.25">
      <c r="T9036" s="98"/>
    </row>
    <row r="9037" spans="20:20" x14ac:dyDescent="0.25">
      <c r="T9037" s="98"/>
    </row>
    <row r="9038" spans="20:20" x14ac:dyDescent="0.25">
      <c r="T9038" s="98"/>
    </row>
    <row r="9039" spans="20:20" x14ac:dyDescent="0.25">
      <c r="T9039" s="98"/>
    </row>
    <row r="9040" spans="20:20" x14ac:dyDescent="0.25">
      <c r="T9040" s="98"/>
    </row>
    <row r="9041" spans="20:20" x14ac:dyDescent="0.25">
      <c r="T9041" s="98"/>
    </row>
    <row r="9042" spans="20:20" x14ac:dyDescent="0.25">
      <c r="T9042" s="98"/>
    </row>
    <row r="9043" spans="20:20" x14ac:dyDescent="0.25">
      <c r="T9043" s="98"/>
    </row>
    <row r="9044" spans="20:20" x14ac:dyDescent="0.25">
      <c r="T9044" s="98"/>
    </row>
    <row r="9045" spans="20:20" x14ac:dyDescent="0.25">
      <c r="T9045" s="98"/>
    </row>
    <row r="9046" spans="20:20" x14ac:dyDescent="0.25">
      <c r="T9046" s="98"/>
    </row>
    <row r="9047" spans="20:20" x14ac:dyDescent="0.25">
      <c r="T9047" s="98"/>
    </row>
    <row r="9048" spans="20:20" x14ac:dyDescent="0.25">
      <c r="T9048" s="98"/>
    </row>
    <row r="9049" spans="20:20" x14ac:dyDescent="0.25">
      <c r="T9049" s="98"/>
    </row>
    <row r="9050" spans="20:20" x14ac:dyDescent="0.25">
      <c r="T9050" s="98"/>
    </row>
    <row r="9051" spans="20:20" x14ac:dyDescent="0.25">
      <c r="T9051" s="98"/>
    </row>
    <row r="9052" spans="20:20" x14ac:dyDescent="0.25">
      <c r="T9052" s="98"/>
    </row>
    <row r="9053" spans="20:20" x14ac:dyDescent="0.25">
      <c r="T9053" s="98"/>
    </row>
    <row r="9054" spans="20:20" x14ac:dyDescent="0.25">
      <c r="T9054" s="98"/>
    </row>
    <row r="9055" spans="20:20" x14ac:dyDescent="0.25">
      <c r="T9055" s="98"/>
    </row>
    <row r="9056" spans="20:20" x14ac:dyDescent="0.25">
      <c r="T9056" s="98"/>
    </row>
    <row r="9057" spans="20:20" x14ac:dyDescent="0.25">
      <c r="T9057" s="98"/>
    </row>
    <row r="9058" spans="20:20" x14ac:dyDescent="0.25">
      <c r="T9058" s="98"/>
    </row>
    <row r="9059" spans="20:20" x14ac:dyDescent="0.25">
      <c r="T9059" s="98"/>
    </row>
    <row r="9060" spans="20:20" x14ac:dyDescent="0.25">
      <c r="T9060" s="98"/>
    </row>
    <row r="9061" spans="20:20" x14ac:dyDescent="0.25">
      <c r="T9061" s="98"/>
    </row>
    <row r="9062" spans="20:20" x14ac:dyDescent="0.25">
      <c r="T9062" s="98"/>
    </row>
    <row r="9063" spans="20:20" x14ac:dyDescent="0.25">
      <c r="T9063" s="98"/>
    </row>
    <row r="9064" spans="20:20" x14ac:dyDescent="0.25">
      <c r="T9064" s="98"/>
    </row>
    <row r="9065" spans="20:20" x14ac:dyDescent="0.25">
      <c r="T9065" s="98"/>
    </row>
    <row r="9066" spans="20:20" x14ac:dyDescent="0.25">
      <c r="T9066" s="98"/>
    </row>
    <row r="9067" spans="20:20" x14ac:dyDescent="0.25">
      <c r="T9067" s="98"/>
    </row>
    <row r="9068" spans="20:20" x14ac:dyDescent="0.25">
      <c r="T9068" s="98"/>
    </row>
    <row r="9069" spans="20:20" x14ac:dyDescent="0.25">
      <c r="T9069" s="98"/>
    </row>
    <row r="9070" spans="20:20" x14ac:dyDescent="0.25">
      <c r="T9070" s="98"/>
    </row>
    <row r="9071" spans="20:20" x14ac:dyDescent="0.25">
      <c r="T9071" s="98"/>
    </row>
    <row r="9072" spans="20:20" x14ac:dyDescent="0.25">
      <c r="T9072" s="98"/>
    </row>
    <row r="9073" spans="20:20" x14ac:dyDescent="0.25">
      <c r="T9073" s="98"/>
    </row>
    <row r="9074" spans="20:20" x14ac:dyDescent="0.25">
      <c r="T9074" s="98"/>
    </row>
    <row r="9075" spans="20:20" x14ac:dyDescent="0.25">
      <c r="T9075" s="98"/>
    </row>
    <row r="9076" spans="20:20" x14ac:dyDescent="0.25">
      <c r="T9076" s="98"/>
    </row>
    <row r="9077" spans="20:20" x14ac:dyDescent="0.25">
      <c r="T9077" s="98"/>
    </row>
    <row r="9078" spans="20:20" x14ac:dyDescent="0.25">
      <c r="T9078" s="98"/>
    </row>
    <row r="9079" spans="20:20" x14ac:dyDescent="0.25">
      <c r="T9079" s="98"/>
    </row>
    <row r="9080" spans="20:20" x14ac:dyDescent="0.25">
      <c r="T9080" s="98"/>
    </row>
    <row r="9081" spans="20:20" x14ac:dyDescent="0.25">
      <c r="T9081" s="98"/>
    </row>
    <row r="9082" spans="20:20" x14ac:dyDescent="0.25">
      <c r="T9082" s="98"/>
    </row>
    <row r="9083" spans="20:20" x14ac:dyDescent="0.25">
      <c r="T9083" s="98"/>
    </row>
    <row r="9084" spans="20:20" x14ac:dyDescent="0.25">
      <c r="T9084" s="98"/>
    </row>
    <row r="9085" spans="20:20" x14ac:dyDescent="0.25">
      <c r="T9085" s="98"/>
    </row>
    <row r="9086" spans="20:20" x14ac:dyDescent="0.25">
      <c r="T9086" s="98"/>
    </row>
    <row r="9087" spans="20:20" x14ac:dyDescent="0.25">
      <c r="T9087" s="98"/>
    </row>
    <row r="9088" spans="20:20" x14ac:dyDescent="0.25">
      <c r="T9088" s="98"/>
    </row>
    <row r="9089" spans="20:20" x14ac:dyDescent="0.25">
      <c r="T9089" s="98"/>
    </row>
    <row r="9090" spans="20:20" x14ac:dyDescent="0.25">
      <c r="T9090" s="98"/>
    </row>
    <row r="9091" spans="20:20" x14ac:dyDescent="0.25">
      <c r="T9091" s="98"/>
    </row>
    <row r="9092" spans="20:20" x14ac:dyDescent="0.25">
      <c r="T9092" s="98"/>
    </row>
    <row r="9093" spans="20:20" x14ac:dyDescent="0.25">
      <c r="T9093" s="98"/>
    </row>
    <row r="9094" spans="20:20" x14ac:dyDescent="0.25">
      <c r="T9094" s="98"/>
    </row>
    <row r="9095" spans="20:20" x14ac:dyDescent="0.25">
      <c r="T9095" s="98"/>
    </row>
    <row r="9096" spans="20:20" x14ac:dyDescent="0.25">
      <c r="T9096" s="98"/>
    </row>
    <row r="9097" spans="20:20" x14ac:dyDescent="0.25">
      <c r="T9097" s="98"/>
    </row>
    <row r="9098" spans="20:20" x14ac:dyDescent="0.25">
      <c r="T9098" s="98"/>
    </row>
    <row r="9099" spans="20:20" x14ac:dyDescent="0.25">
      <c r="T9099" s="98"/>
    </row>
    <row r="9100" spans="20:20" x14ac:dyDescent="0.25">
      <c r="T9100" s="98"/>
    </row>
    <row r="9101" spans="20:20" x14ac:dyDescent="0.25">
      <c r="T9101" s="98"/>
    </row>
    <row r="9102" spans="20:20" x14ac:dyDescent="0.25">
      <c r="T9102" s="98"/>
    </row>
    <row r="9103" spans="20:20" x14ac:dyDescent="0.25">
      <c r="T9103" s="98"/>
    </row>
    <row r="9104" spans="20:20" x14ac:dyDescent="0.25">
      <c r="T9104" s="98"/>
    </row>
    <row r="9105" spans="20:20" x14ac:dyDescent="0.25">
      <c r="T9105" s="98"/>
    </row>
    <row r="9106" spans="20:20" x14ac:dyDescent="0.25">
      <c r="T9106" s="98"/>
    </row>
    <row r="9107" spans="20:20" x14ac:dyDescent="0.25">
      <c r="T9107" s="98"/>
    </row>
    <row r="9108" spans="20:20" x14ac:dyDescent="0.25">
      <c r="T9108" s="98"/>
    </row>
    <row r="9109" spans="20:20" x14ac:dyDescent="0.25">
      <c r="T9109" s="98"/>
    </row>
    <row r="9110" spans="20:20" x14ac:dyDescent="0.25">
      <c r="T9110" s="98"/>
    </row>
    <row r="9111" spans="20:20" x14ac:dyDescent="0.25">
      <c r="T9111" s="98"/>
    </row>
    <row r="9112" spans="20:20" x14ac:dyDescent="0.25">
      <c r="T9112" s="98"/>
    </row>
    <row r="9113" spans="20:20" x14ac:dyDescent="0.25">
      <c r="T9113" s="98"/>
    </row>
    <row r="9114" spans="20:20" x14ac:dyDescent="0.25">
      <c r="T9114" s="98"/>
    </row>
    <row r="9115" spans="20:20" x14ac:dyDescent="0.25">
      <c r="T9115" s="98"/>
    </row>
    <row r="9116" spans="20:20" x14ac:dyDescent="0.25">
      <c r="T9116" s="98"/>
    </row>
    <row r="9117" spans="20:20" x14ac:dyDescent="0.25">
      <c r="T9117" s="98"/>
    </row>
    <row r="9118" spans="20:20" x14ac:dyDescent="0.25">
      <c r="T9118" s="98"/>
    </row>
    <row r="9119" spans="20:20" x14ac:dyDescent="0.25">
      <c r="T9119" s="98"/>
    </row>
    <row r="9120" spans="20:20" x14ac:dyDescent="0.25">
      <c r="T9120" s="98"/>
    </row>
    <row r="9121" spans="20:20" x14ac:dyDescent="0.25">
      <c r="T9121" s="98"/>
    </row>
    <row r="9122" spans="20:20" x14ac:dyDescent="0.25">
      <c r="T9122" s="98"/>
    </row>
    <row r="9123" spans="20:20" x14ac:dyDescent="0.25">
      <c r="T9123" s="98"/>
    </row>
    <row r="9124" spans="20:20" x14ac:dyDescent="0.25">
      <c r="T9124" s="98"/>
    </row>
    <row r="9125" spans="20:20" x14ac:dyDescent="0.25">
      <c r="T9125" s="98"/>
    </row>
    <row r="9126" spans="20:20" x14ac:dyDescent="0.25">
      <c r="T9126" s="98"/>
    </row>
    <row r="9127" spans="20:20" x14ac:dyDescent="0.25">
      <c r="T9127" s="98"/>
    </row>
    <row r="9128" spans="20:20" x14ac:dyDescent="0.25">
      <c r="T9128" s="98"/>
    </row>
    <row r="9129" spans="20:20" x14ac:dyDescent="0.25">
      <c r="T9129" s="98"/>
    </row>
    <row r="9130" spans="20:20" x14ac:dyDescent="0.25">
      <c r="T9130" s="98"/>
    </row>
    <row r="9131" spans="20:20" x14ac:dyDescent="0.25">
      <c r="T9131" s="98"/>
    </row>
    <row r="9132" spans="20:20" x14ac:dyDescent="0.25">
      <c r="T9132" s="98"/>
    </row>
    <row r="9133" spans="20:20" x14ac:dyDescent="0.25">
      <c r="T9133" s="98"/>
    </row>
    <row r="9134" spans="20:20" x14ac:dyDescent="0.25">
      <c r="T9134" s="98"/>
    </row>
    <row r="9135" spans="20:20" x14ac:dyDescent="0.25">
      <c r="T9135" s="98"/>
    </row>
    <row r="9136" spans="20:20" x14ac:dyDescent="0.25">
      <c r="T9136" s="98"/>
    </row>
    <row r="9137" spans="20:20" x14ac:dyDescent="0.25">
      <c r="T9137" s="98"/>
    </row>
    <row r="9138" spans="20:20" x14ac:dyDescent="0.25">
      <c r="T9138" s="98"/>
    </row>
    <row r="9139" spans="20:20" x14ac:dyDescent="0.25">
      <c r="T9139" s="98"/>
    </row>
    <row r="9140" spans="20:20" x14ac:dyDescent="0.25">
      <c r="T9140" s="98"/>
    </row>
    <row r="9141" spans="20:20" x14ac:dyDescent="0.25">
      <c r="T9141" s="98"/>
    </row>
    <row r="9142" spans="20:20" x14ac:dyDescent="0.25">
      <c r="T9142" s="98"/>
    </row>
    <row r="9143" spans="20:20" x14ac:dyDescent="0.25">
      <c r="T9143" s="98"/>
    </row>
    <row r="9144" spans="20:20" x14ac:dyDescent="0.25">
      <c r="T9144" s="98"/>
    </row>
    <row r="9145" spans="20:20" x14ac:dyDescent="0.25">
      <c r="T9145" s="98"/>
    </row>
    <row r="9146" spans="20:20" x14ac:dyDescent="0.25">
      <c r="T9146" s="98"/>
    </row>
    <row r="9147" spans="20:20" x14ac:dyDescent="0.25">
      <c r="T9147" s="98"/>
    </row>
    <row r="9148" spans="20:20" x14ac:dyDescent="0.25">
      <c r="T9148" s="98"/>
    </row>
    <row r="9149" spans="20:20" x14ac:dyDescent="0.25">
      <c r="T9149" s="98"/>
    </row>
    <row r="9150" spans="20:20" x14ac:dyDescent="0.25">
      <c r="T9150" s="98"/>
    </row>
    <row r="9151" spans="20:20" x14ac:dyDescent="0.25">
      <c r="T9151" s="98"/>
    </row>
    <row r="9152" spans="20:20" x14ac:dyDescent="0.25">
      <c r="T9152" s="98"/>
    </row>
    <row r="9153" spans="20:20" x14ac:dyDescent="0.25">
      <c r="T9153" s="98"/>
    </row>
    <row r="9154" spans="20:20" x14ac:dyDescent="0.25">
      <c r="T9154" s="98"/>
    </row>
    <row r="9155" spans="20:20" x14ac:dyDescent="0.25">
      <c r="T9155" s="98"/>
    </row>
    <row r="9156" spans="20:20" x14ac:dyDescent="0.25">
      <c r="T9156" s="98"/>
    </row>
    <row r="9157" spans="20:20" x14ac:dyDescent="0.25">
      <c r="T9157" s="98"/>
    </row>
    <row r="9158" spans="20:20" x14ac:dyDescent="0.25">
      <c r="T9158" s="98"/>
    </row>
    <row r="9159" spans="20:20" x14ac:dyDescent="0.25">
      <c r="T9159" s="98"/>
    </row>
    <row r="9160" spans="20:20" x14ac:dyDescent="0.25">
      <c r="T9160" s="98"/>
    </row>
    <row r="9161" spans="20:20" x14ac:dyDescent="0.25">
      <c r="T9161" s="98"/>
    </row>
    <row r="9162" spans="20:20" x14ac:dyDescent="0.25">
      <c r="T9162" s="98"/>
    </row>
    <row r="9163" spans="20:20" x14ac:dyDescent="0.25">
      <c r="T9163" s="98"/>
    </row>
    <row r="9164" spans="20:20" x14ac:dyDescent="0.25">
      <c r="T9164" s="98"/>
    </row>
    <row r="9165" spans="20:20" x14ac:dyDescent="0.25">
      <c r="T9165" s="98"/>
    </row>
    <row r="9166" spans="20:20" x14ac:dyDescent="0.25">
      <c r="T9166" s="98"/>
    </row>
    <row r="9167" spans="20:20" x14ac:dyDescent="0.25">
      <c r="T9167" s="98"/>
    </row>
    <row r="9168" spans="20:20" x14ac:dyDescent="0.25">
      <c r="T9168" s="98"/>
    </row>
    <row r="9169" spans="20:20" x14ac:dyDescent="0.25">
      <c r="T9169" s="98"/>
    </row>
    <row r="9170" spans="20:20" x14ac:dyDescent="0.25">
      <c r="T9170" s="98"/>
    </row>
    <row r="9171" spans="20:20" x14ac:dyDescent="0.25">
      <c r="T9171" s="98"/>
    </row>
    <row r="9172" spans="20:20" x14ac:dyDescent="0.25">
      <c r="T9172" s="98"/>
    </row>
    <row r="9173" spans="20:20" x14ac:dyDescent="0.25">
      <c r="T9173" s="98"/>
    </row>
    <row r="9174" spans="20:20" x14ac:dyDescent="0.25">
      <c r="T9174" s="98"/>
    </row>
    <row r="9175" spans="20:20" x14ac:dyDescent="0.25">
      <c r="T9175" s="98"/>
    </row>
    <row r="9176" spans="20:20" x14ac:dyDescent="0.25">
      <c r="T9176" s="98"/>
    </row>
    <row r="9177" spans="20:20" x14ac:dyDescent="0.25">
      <c r="T9177" s="98"/>
    </row>
    <row r="9178" spans="20:20" x14ac:dyDescent="0.25">
      <c r="T9178" s="98"/>
    </row>
    <row r="9179" spans="20:20" x14ac:dyDescent="0.25">
      <c r="T9179" s="98"/>
    </row>
    <row r="9180" spans="20:20" x14ac:dyDescent="0.25">
      <c r="T9180" s="98"/>
    </row>
    <row r="9181" spans="20:20" x14ac:dyDescent="0.25">
      <c r="T9181" s="98"/>
    </row>
    <row r="9182" spans="20:20" x14ac:dyDescent="0.25">
      <c r="T9182" s="98"/>
    </row>
    <row r="9183" spans="20:20" x14ac:dyDescent="0.25">
      <c r="T9183" s="98"/>
    </row>
    <row r="9184" spans="20:20" x14ac:dyDescent="0.25">
      <c r="T9184" s="98"/>
    </row>
    <row r="9185" spans="20:20" x14ac:dyDescent="0.25">
      <c r="T9185" s="98"/>
    </row>
    <row r="9186" spans="20:20" x14ac:dyDescent="0.25">
      <c r="T9186" s="98"/>
    </row>
    <row r="9187" spans="20:20" x14ac:dyDescent="0.25">
      <c r="T9187" s="98"/>
    </row>
    <row r="9188" spans="20:20" x14ac:dyDescent="0.25">
      <c r="T9188" s="98"/>
    </row>
    <row r="9189" spans="20:20" x14ac:dyDescent="0.25">
      <c r="T9189" s="98"/>
    </row>
    <row r="9190" spans="20:20" x14ac:dyDescent="0.25">
      <c r="T9190" s="98"/>
    </row>
    <row r="9191" spans="20:20" x14ac:dyDescent="0.25">
      <c r="T9191" s="98"/>
    </row>
    <row r="9192" spans="20:20" x14ac:dyDescent="0.25">
      <c r="T9192" s="98"/>
    </row>
    <row r="9193" spans="20:20" x14ac:dyDescent="0.25">
      <c r="T9193" s="98"/>
    </row>
    <row r="9194" spans="20:20" x14ac:dyDescent="0.25">
      <c r="T9194" s="98"/>
    </row>
    <row r="9195" spans="20:20" x14ac:dyDescent="0.25">
      <c r="T9195" s="98"/>
    </row>
    <row r="9196" spans="20:20" x14ac:dyDescent="0.25">
      <c r="T9196" s="98"/>
    </row>
    <row r="9197" spans="20:20" x14ac:dyDescent="0.25">
      <c r="T9197" s="98"/>
    </row>
    <row r="9198" spans="20:20" x14ac:dyDescent="0.25">
      <c r="T9198" s="98"/>
    </row>
    <row r="9199" spans="20:20" x14ac:dyDescent="0.25">
      <c r="T9199" s="98"/>
    </row>
    <row r="9200" spans="20:20" x14ac:dyDescent="0.25">
      <c r="T9200" s="98"/>
    </row>
    <row r="9201" spans="20:20" x14ac:dyDescent="0.25">
      <c r="T9201" s="98"/>
    </row>
    <row r="9202" spans="20:20" x14ac:dyDescent="0.25">
      <c r="T9202" s="98"/>
    </row>
    <row r="9203" spans="20:20" x14ac:dyDescent="0.25">
      <c r="T9203" s="98"/>
    </row>
    <row r="9204" spans="20:20" x14ac:dyDescent="0.25">
      <c r="T9204" s="98"/>
    </row>
    <row r="9205" spans="20:20" x14ac:dyDescent="0.25">
      <c r="T9205" s="98"/>
    </row>
    <row r="9206" spans="20:20" x14ac:dyDescent="0.25">
      <c r="T9206" s="98"/>
    </row>
    <row r="9207" spans="20:20" x14ac:dyDescent="0.25">
      <c r="T9207" s="98"/>
    </row>
    <row r="9208" spans="20:20" x14ac:dyDescent="0.25">
      <c r="T9208" s="98"/>
    </row>
    <row r="9209" spans="20:20" x14ac:dyDescent="0.25">
      <c r="T9209" s="98"/>
    </row>
    <row r="9210" spans="20:20" x14ac:dyDescent="0.25">
      <c r="T9210" s="98"/>
    </row>
    <row r="9211" spans="20:20" x14ac:dyDescent="0.25">
      <c r="T9211" s="98"/>
    </row>
    <row r="9212" spans="20:20" x14ac:dyDescent="0.25">
      <c r="T9212" s="98"/>
    </row>
    <row r="9213" spans="20:20" x14ac:dyDescent="0.25">
      <c r="T9213" s="98"/>
    </row>
    <row r="9214" spans="20:20" x14ac:dyDescent="0.25">
      <c r="T9214" s="98"/>
    </row>
    <row r="9215" spans="20:20" x14ac:dyDescent="0.25">
      <c r="T9215" s="98"/>
    </row>
    <row r="9216" spans="20:20" x14ac:dyDescent="0.25">
      <c r="T9216" s="98"/>
    </row>
    <row r="9217" spans="20:20" x14ac:dyDescent="0.25">
      <c r="T9217" s="98"/>
    </row>
    <row r="9218" spans="20:20" x14ac:dyDescent="0.25">
      <c r="T9218" s="98"/>
    </row>
    <row r="9219" spans="20:20" x14ac:dyDescent="0.25">
      <c r="T9219" s="98"/>
    </row>
    <row r="9220" spans="20:20" x14ac:dyDescent="0.25">
      <c r="T9220" s="98"/>
    </row>
    <row r="9221" spans="20:20" x14ac:dyDescent="0.25">
      <c r="T9221" s="98"/>
    </row>
    <row r="9222" spans="20:20" x14ac:dyDescent="0.25">
      <c r="T9222" s="98"/>
    </row>
    <row r="9223" spans="20:20" x14ac:dyDescent="0.25">
      <c r="T9223" s="98"/>
    </row>
    <row r="9224" spans="20:20" x14ac:dyDescent="0.25">
      <c r="T9224" s="98"/>
    </row>
    <row r="9225" spans="20:20" x14ac:dyDescent="0.25">
      <c r="T9225" s="98"/>
    </row>
    <row r="9226" spans="20:20" x14ac:dyDescent="0.25">
      <c r="T9226" s="98"/>
    </row>
    <row r="9227" spans="20:20" x14ac:dyDescent="0.25">
      <c r="T9227" s="98"/>
    </row>
    <row r="9228" spans="20:20" x14ac:dyDescent="0.25">
      <c r="T9228" s="98"/>
    </row>
    <row r="9229" spans="20:20" x14ac:dyDescent="0.25">
      <c r="T9229" s="98"/>
    </row>
    <row r="9230" spans="20:20" x14ac:dyDescent="0.25">
      <c r="T9230" s="98"/>
    </row>
    <row r="9231" spans="20:20" x14ac:dyDescent="0.25">
      <c r="T9231" s="98"/>
    </row>
    <row r="9232" spans="20:20" x14ac:dyDescent="0.25">
      <c r="T9232" s="98"/>
    </row>
    <row r="9233" spans="20:20" x14ac:dyDescent="0.25">
      <c r="T9233" s="98"/>
    </row>
    <row r="9234" spans="20:20" x14ac:dyDescent="0.25">
      <c r="T9234" s="98"/>
    </row>
    <row r="9235" spans="20:20" x14ac:dyDescent="0.25">
      <c r="T9235" s="98"/>
    </row>
    <row r="9236" spans="20:20" x14ac:dyDescent="0.25">
      <c r="T9236" s="98"/>
    </row>
    <row r="9237" spans="20:20" x14ac:dyDescent="0.25">
      <c r="T9237" s="98"/>
    </row>
    <row r="9238" spans="20:20" x14ac:dyDescent="0.25">
      <c r="T9238" s="98"/>
    </row>
    <row r="9239" spans="20:20" x14ac:dyDescent="0.25">
      <c r="T9239" s="98"/>
    </row>
    <row r="9240" spans="20:20" x14ac:dyDescent="0.25">
      <c r="T9240" s="98"/>
    </row>
    <row r="9241" spans="20:20" x14ac:dyDescent="0.25">
      <c r="T9241" s="98"/>
    </row>
    <row r="9242" spans="20:20" x14ac:dyDescent="0.25">
      <c r="T9242" s="98"/>
    </row>
    <row r="9243" spans="20:20" x14ac:dyDescent="0.25">
      <c r="T9243" s="98"/>
    </row>
    <row r="9244" spans="20:20" x14ac:dyDescent="0.25">
      <c r="T9244" s="98"/>
    </row>
    <row r="9245" spans="20:20" x14ac:dyDescent="0.25">
      <c r="T9245" s="98"/>
    </row>
    <row r="9246" spans="20:20" x14ac:dyDescent="0.25">
      <c r="T9246" s="98"/>
    </row>
    <row r="9247" spans="20:20" x14ac:dyDescent="0.25">
      <c r="T9247" s="98"/>
    </row>
    <row r="9248" spans="20:20" x14ac:dyDescent="0.25">
      <c r="T9248" s="98"/>
    </row>
    <row r="9249" spans="20:20" x14ac:dyDescent="0.25">
      <c r="T9249" s="98"/>
    </row>
    <row r="9250" spans="20:20" x14ac:dyDescent="0.25">
      <c r="T9250" s="98"/>
    </row>
    <row r="9251" spans="20:20" x14ac:dyDescent="0.25">
      <c r="T9251" s="98"/>
    </row>
    <row r="9252" spans="20:20" x14ac:dyDescent="0.25">
      <c r="T9252" s="98"/>
    </row>
    <row r="9253" spans="20:20" x14ac:dyDescent="0.25">
      <c r="T9253" s="98"/>
    </row>
    <row r="9254" spans="20:20" x14ac:dyDescent="0.25">
      <c r="T9254" s="98"/>
    </row>
    <row r="9255" spans="20:20" x14ac:dyDescent="0.25">
      <c r="T9255" s="98"/>
    </row>
    <row r="9256" spans="20:20" x14ac:dyDescent="0.25">
      <c r="T9256" s="98"/>
    </row>
    <row r="9257" spans="20:20" x14ac:dyDescent="0.25">
      <c r="T9257" s="98"/>
    </row>
    <row r="9258" spans="20:20" x14ac:dyDescent="0.25">
      <c r="T9258" s="98"/>
    </row>
    <row r="9259" spans="20:20" x14ac:dyDescent="0.25">
      <c r="T9259" s="98"/>
    </row>
    <row r="9260" spans="20:20" x14ac:dyDescent="0.25">
      <c r="T9260" s="98"/>
    </row>
    <row r="9261" spans="20:20" x14ac:dyDescent="0.25">
      <c r="T9261" s="98"/>
    </row>
    <row r="9262" spans="20:20" x14ac:dyDescent="0.25">
      <c r="T9262" s="98"/>
    </row>
    <row r="9263" spans="20:20" x14ac:dyDescent="0.25">
      <c r="T9263" s="98"/>
    </row>
    <row r="9264" spans="20:20" x14ac:dyDescent="0.25">
      <c r="T9264" s="98"/>
    </row>
    <row r="9265" spans="20:20" x14ac:dyDescent="0.25">
      <c r="T9265" s="98"/>
    </row>
    <row r="9266" spans="20:20" x14ac:dyDescent="0.25">
      <c r="T9266" s="98"/>
    </row>
    <row r="9267" spans="20:20" x14ac:dyDescent="0.25">
      <c r="T9267" s="98"/>
    </row>
    <row r="9268" spans="20:20" x14ac:dyDescent="0.25">
      <c r="T9268" s="98"/>
    </row>
    <row r="9269" spans="20:20" x14ac:dyDescent="0.25">
      <c r="T9269" s="98"/>
    </row>
    <row r="9270" spans="20:20" x14ac:dyDescent="0.25">
      <c r="T9270" s="98"/>
    </row>
    <row r="9271" spans="20:20" x14ac:dyDescent="0.25">
      <c r="T9271" s="98"/>
    </row>
    <row r="9272" spans="20:20" x14ac:dyDescent="0.25">
      <c r="T9272" s="98"/>
    </row>
    <row r="9273" spans="20:20" x14ac:dyDescent="0.25">
      <c r="T9273" s="98"/>
    </row>
    <row r="9274" spans="20:20" x14ac:dyDescent="0.25">
      <c r="T9274" s="98"/>
    </row>
    <row r="9275" spans="20:20" x14ac:dyDescent="0.25">
      <c r="T9275" s="98"/>
    </row>
    <row r="9276" spans="20:20" x14ac:dyDescent="0.25">
      <c r="T9276" s="98"/>
    </row>
    <row r="9277" spans="20:20" x14ac:dyDescent="0.25">
      <c r="T9277" s="98"/>
    </row>
    <row r="9278" spans="20:20" x14ac:dyDescent="0.25">
      <c r="T9278" s="98"/>
    </row>
    <row r="9279" spans="20:20" x14ac:dyDescent="0.25">
      <c r="T9279" s="98"/>
    </row>
    <row r="9280" spans="20:20" x14ac:dyDescent="0.25">
      <c r="T9280" s="98"/>
    </row>
    <row r="9281" spans="20:20" x14ac:dyDescent="0.25">
      <c r="T9281" s="98"/>
    </row>
    <row r="9282" spans="20:20" x14ac:dyDescent="0.25">
      <c r="T9282" s="98"/>
    </row>
    <row r="9283" spans="20:20" x14ac:dyDescent="0.25">
      <c r="T9283" s="98"/>
    </row>
    <row r="9284" spans="20:20" x14ac:dyDescent="0.25">
      <c r="T9284" s="98"/>
    </row>
    <row r="9285" spans="20:20" x14ac:dyDescent="0.25">
      <c r="T9285" s="98"/>
    </row>
    <row r="9286" spans="20:20" x14ac:dyDescent="0.25">
      <c r="T9286" s="98"/>
    </row>
    <row r="9287" spans="20:20" x14ac:dyDescent="0.25">
      <c r="T9287" s="98"/>
    </row>
    <row r="9288" spans="20:20" x14ac:dyDescent="0.25">
      <c r="T9288" s="98"/>
    </row>
    <row r="9289" spans="20:20" x14ac:dyDescent="0.25">
      <c r="T9289" s="98"/>
    </row>
    <row r="9290" spans="20:20" x14ac:dyDescent="0.25">
      <c r="T9290" s="98"/>
    </row>
    <row r="9291" spans="20:20" x14ac:dyDescent="0.25">
      <c r="T9291" s="98"/>
    </row>
    <row r="9292" spans="20:20" x14ac:dyDescent="0.25">
      <c r="T9292" s="98"/>
    </row>
    <row r="9293" spans="20:20" x14ac:dyDescent="0.25">
      <c r="T9293" s="98"/>
    </row>
    <row r="9294" spans="20:20" x14ac:dyDescent="0.25">
      <c r="T9294" s="98"/>
    </row>
    <row r="9295" spans="20:20" x14ac:dyDescent="0.25">
      <c r="T9295" s="98"/>
    </row>
    <row r="9296" spans="20:20" x14ac:dyDescent="0.25">
      <c r="T9296" s="98"/>
    </row>
    <row r="9297" spans="20:20" x14ac:dyDescent="0.25">
      <c r="T9297" s="98"/>
    </row>
    <row r="9298" spans="20:20" x14ac:dyDescent="0.25">
      <c r="T9298" s="98"/>
    </row>
    <row r="9299" spans="20:20" x14ac:dyDescent="0.25">
      <c r="T9299" s="98"/>
    </row>
    <row r="9300" spans="20:20" x14ac:dyDescent="0.25">
      <c r="T9300" s="98"/>
    </row>
    <row r="9301" spans="20:20" x14ac:dyDescent="0.25">
      <c r="T9301" s="98"/>
    </row>
    <row r="9302" spans="20:20" x14ac:dyDescent="0.25">
      <c r="T9302" s="98"/>
    </row>
    <row r="9303" spans="20:20" x14ac:dyDescent="0.25">
      <c r="T9303" s="98"/>
    </row>
    <row r="9304" spans="20:20" x14ac:dyDescent="0.25">
      <c r="T9304" s="98"/>
    </row>
    <row r="9305" spans="20:20" x14ac:dyDescent="0.25">
      <c r="T9305" s="98"/>
    </row>
    <row r="9306" spans="20:20" x14ac:dyDescent="0.25">
      <c r="T9306" s="98"/>
    </row>
    <row r="9307" spans="20:20" x14ac:dyDescent="0.25">
      <c r="T9307" s="98"/>
    </row>
    <row r="9308" spans="20:20" x14ac:dyDescent="0.25">
      <c r="T9308" s="98"/>
    </row>
    <row r="9309" spans="20:20" x14ac:dyDescent="0.25">
      <c r="T9309" s="98"/>
    </row>
    <row r="9310" spans="20:20" x14ac:dyDescent="0.25">
      <c r="T9310" s="98"/>
    </row>
    <row r="9311" spans="20:20" x14ac:dyDescent="0.25">
      <c r="T9311" s="98"/>
    </row>
    <row r="9312" spans="20:20" x14ac:dyDescent="0.25">
      <c r="T9312" s="98"/>
    </row>
    <row r="9313" spans="20:20" x14ac:dyDescent="0.25">
      <c r="T9313" s="98"/>
    </row>
    <row r="9314" spans="20:20" x14ac:dyDescent="0.25">
      <c r="T9314" s="98"/>
    </row>
    <row r="9315" spans="20:20" x14ac:dyDescent="0.25">
      <c r="T9315" s="98"/>
    </row>
    <row r="9316" spans="20:20" x14ac:dyDescent="0.25">
      <c r="T9316" s="98"/>
    </row>
    <row r="9317" spans="20:20" x14ac:dyDescent="0.25">
      <c r="T9317" s="98"/>
    </row>
    <row r="9318" spans="20:20" x14ac:dyDescent="0.25">
      <c r="T9318" s="98"/>
    </row>
    <row r="9319" spans="20:20" x14ac:dyDescent="0.25">
      <c r="T9319" s="98"/>
    </row>
    <row r="9320" spans="20:20" x14ac:dyDescent="0.25">
      <c r="T9320" s="98"/>
    </row>
    <row r="9321" spans="20:20" x14ac:dyDescent="0.25">
      <c r="T9321" s="98"/>
    </row>
    <row r="9322" spans="20:20" x14ac:dyDescent="0.25">
      <c r="T9322" s="98"/>
    </row>
    <row r="9323" spans="20:20" x14ac:dyDescent="0.25">
      <c r="T9323" s="98"/>
    </row>
    <row r="9324" spans="20:20" x14ac:dyDescent="0.25">
      <c r="T9324" s="98"/>
    </row>
    <row r="9325" spans="20:20" x14ac:dyDescent="0.25">
      <c r="T9325" s="98"/>
    </row>
    <row r="9326" spans="20:20" x14ac:dyDescent="0.25">
      <c r="T9326" s="98"/>
    </row>
    <row r="9327" spans="20:20" x14ac:dyDescent="0.25">
      <c r="T9327" s="98"/>
    </row>
    <row r="9328" spans="20:20" x14ac:dyDescent="0.25">
      <c r="T9328" s="98"/>
    </row>
    <row r="9329" spans="20:20" x14ac:dyDescent="0.25">
      <c r="T9329" s="98"/>
    </row>
    <row r="9330" spans="20:20" x14ac:dyDescent="0.25">
      <c r="T9330" s="98"/>
    </row>
    <row r="9331" spans="20:20" x14ac:dyDescent="0.25">
      <c r="T9331" s="98"/>
    </row>
    <row r="9332" spans="20:20" x14ac:dyDescent="0.25">
      <c r="T9332" s="98"/>
    </row>
    <row r="9333" spans="20:20" x14ac:dyDescent="0.25">
      <c r="T9333" s="98"/>
    </row>
    <row r="9334" spans="20:20" x14ac:dyDescent="0.25">
      <c r="T9334" s="98"/>
    </row>
    <row r="9335" spans="20:20" x14ac:dyDescent="0.25">
      <c r="T9335" s="98"/>
    </row>
    <row r="9336" spans="20:20" x14ac:dyDescent="0.25">
      <c r="T9336" s="98"/>
    </row>
    <row r="9337" spans="20:20" x14ac:dyDescent="0.25">
      <c r="T9337" s="98"/>
    </row>
    <row r="9338" spans="20:20" x14ac:dyDescent="0.25">
      <c r="T9338" s="98"/>
    </row>
    <row r="9339" spans="20:20" x14ac:dyDescent="0.25">
      <c r="T9339" s="98"/>
    </row>
    <row r="9340" spans="20:20" x14ac:dyDescent="0.25">
      <c r="T9340" s="98"/>
    </row>
    <row r="9341" spans="20:20" x14ac:dyDescent="0.25">
      <c r="T9341" s="98"/>
    </row>
    <row r="9342" spans="20:20" x14ac:dyDescent="0.25">
      <c r="T9342" s="98"/>
    </row>
    <row r="9343" spans="20:20" x14ac:dyDescent="0.25">
      <c r="T9343" s="98"/>
    </row>
    <row r="9344" spans="20:20" x14ac:dyDescent="0.25">
      <c r="T9344" s="98"/>
    </row>
    <row r="9345" spans="20:20" x14ac:dyDescent="0.25">
      <c r="T9345" s="98"/>
    </row>
    <row r="9346" spans="20:20" x14ac:dyDescent="0.25">
      <c r="T9346" s="98"/>
    </row>
    <row r="9347" spans="20:20" x14ac:dyDescent="0.25">
      <c r="T9347" s="98"/>
    </row>
    <row r="9348" spans="20:20" x14ac:dyDescent="0.25">
      <c r="T9348" s="98"/>
    </row>
    <row r="9349" spans="20:20" x14ac:dyDescent="0.25">
      <c r="T9349" s="98"/>
    </row>
    <row r="9350" spans="20:20" x14ac:dyDescent="0.25">
      <c r="T9350" s="98"/>
    </row>
    <row r="9351" spans="20:20" x14ac:dyDescent="0.25">
      <c r="T9351" s="98"/>
    </row>
    <row r="9352" spans="20:20" x14ac:dyDescent="0.25">
      <c r="T9352" s="98"/>
    </row>
    <row r="9353" spans="20:20" x14ac:dyDescent="0.25">
      <c r="T9353" s="98"/>
    </row>
    <row r="9354" spans="20:20" x14ac:dyDescent="0.25">
      <c r="T9354" s="98"/>
    </row>
    <row r="9355" spans="20:20" x14ac:dyDescent="0.25">
      <c r="T9355" s="98"/>
    </row>
    <row r="9356" spans="20:20" x14ac:dyDescent="0.25">
      <c r="T9356" s="98"/>
    </row>
    <row r="9357" spans="20:20" x14ac:dyDescent="0.25">
      <c r="T9357" s="98"/>
    </row>
    <row r="9358" spans="20:20" x14ac:dyDescent="0.25">
      <c r="T9358" s="98"/>
    </row>
    <row r="9359" spans="20:20" x14ac:dyDescent="0.25">
      <c r="T9359" s="98"/>
    </row>
    <row r="9360" spans="20:20" x14ac:dyDescent="0.25">
      <c r="T9360" s="98"/>
    </row>
    <row r="9361" spans="20:20" x14ac:dyDescent="0.25">
      <c r="T9361" s="98"/>
    </row>
    <row r="9362" spans="20:20" x14ac:dyDescent="0.25">
      <c r="T9362" s="98"/>
    </row>
    <row r="9363" spans="20:20" x14ac:dyDescent="0.25">
      <c r="T9363" s="98"/>
    </row>
    <row r="9364" spans="20:20" x14ac:dyDescent="0.25">
      <c r="T9364" s="98"/>
    </row>
    <row r="9365" spans="20:20" x14ac:dyDescent="0.25">
      <c r="T9365" s="98"/>
    </row>
    <row r="9366" spans="20:20" x14ac:dyDescent="0.25">
      <c r="T9366" s="98"/>
    </row>
    <row r="9367" spans="20:20" x14ac:dyDescent="0.25">
      <c r="T9367" s="98"/>
    </row>
    <row r="9368" spans="20:20" x14ac:dyDescent="0.25">
      <c r="T9368" s="98"/>
    </row>
    <row r="9369" spans="20:20" x14ac:dyDescent="0.25">
      <c r="T9369" s="98"/>
    </row>
    <row r="9370" spans="20:20" x14ac:dyDescent="0.25">
      <c r="T9370" s="98"/>
    </row>
    <row r="9371" spans="20:20" x14ac:dyDescent="0.25">
      <c r="T9371" s="98"/>
    </row>
    <row r="9372" spans="20:20" x14ac:dyDescent="0.25">
      <c r="T9372" s="98"/>
    </row>
    <row r="9373" spans="20:20" x14ac:dyDescent="0.25">
      <c r="T9373" s="98"/>
    </row>
    <row r="9374" spans="20:20" x14ac:dyDescent="0.25">
      <c r="T9374" s="98"/>
    </row>
    <row r="9375" spans="20:20" x14ac:dyDescent="0.25">
      <c r="T9375" s="98"/>
    </row>
    <row r="9376" spans="20:20" x14ac:dyDescent="0.25">
      <c r="T9376" s="98"/>
    </row>
    <row r="9377" spans="20:20" x14ac:dyDescent="0.25">
      <c r="T9377" s="98"/>
    </row>
    <row r="9378" spans="20:20" x14ac:dyDescent="0.25">
      <c r="T9378" s="98"/>
    </row>
    <row r="9379" spans="20:20" x14ac:dyDescent="0.25">
      <c r="T9379" s="98"/>
    </row>
    <row r="9380" spans="20:20" x14ac:dyDescent="0.25">
      <c r="T9380" s="98"/>
    </row>
    <row r="9381" spans="20:20" x14ac:dyDescent="0.25">
      <c r="T9381" s="98"/>
    </row>
    <row r="9382" spans="20:20" x14ac:dyDescent="0.25">
      <c r="T9382" s="98"/>
    </row>
    <row r="9383" spans="20:20" x14ac:dyDescent="0.25">
      <c r="T9383" s="98"/>
    </row>
    <row r="9384" spans="20:20" x14ac:dyDescent="0.25">
      <c r="T9384" s="98"/>
    </row>
    <row r="9385" spans="20:20" x14ac:dyDescent="0.25">
      <c r="T9385" s="98"/>
    </row>
    <row r="9386" spans="20:20" x14ac:dyDescent="0.25">
      <c r="T9386" s="98"/>
    </row>
    <row r="9387" spans="20:20" x14ac:dyDescent="0.25">
      <c r="T9387" s="98"/>
    </row>
    <row r="9388" spans="20:20" x14ac:dyDescent="0.25">
      <c r="T9388" s="98"/>
    </row>
    <row r="9389" spans="20:20" x14ac:dyDescent="0.25">
      <c r="T9389" s="98"/>
    </row>
    <row r="9390" spans="20:20" x14ac:dyDescent="0.25">
      <c r="T9390" s="98"/>
    </row>
    <row r="9391" spans="20:20" x14ac:dyDescent="0.25">
      <c r="T9391" s="98"/>
    </row>
    <row r="9392" spans="20:20" x14ac:dyDescent="0.25">
      <c r="T9392" s="98"/>
    </row>
    <row r="9393" spans="20:20" x14ac:dyDescent="0.25">
      <c r="T9393" s="98"/>
    </row>
    <row r="9394" spans="20:20" x14ac:dyDescent="0.25">
      <c r="T9394" s="98"/>
    </row>
    <row r="9395" spans="20:20" x14ac:dyDescent="0.25">
      <c r="T9395" s="98"/>
    </row>
    <row r="9396" spans="20:20" x14ac:dyDescent="0.25">
      <c r="T9396" s="98"/>
    </row>
    <row r="9397" spans="20:20" x14ac:dyDescent="0.25">
      <c r="T9397" s="98"/>
    </row>
    <row r="9398" spans="20:20" x14ac:dyDescent="0.25">
      <c r="T9398" s="98"/>
    </row>
    <row r="9399" spans="20:20" x14ac:dyDescent="0.25">
      <c r="T9399" s="98"/>
    </row>
    <row r="9400" spans="20:20" x14ac:dyDescent="0.25">
      <c r="T9400" s="98"/>
    </row>
    <row r="9401" spans="20:20" x14ac:dyDescent="0.25">
      <c r="T9401" s="98"/>
    </row>
    <row r="9402" spans="20:20" x14ac:dyDescent="0.25">
      <c r="T9402" s="98"/>
    </row>
    <row r="9403" spans="20:20" x14ac:dyDescent="0.25">
      <c r="T9403" s="98"/>
    </row>
    <row r="9404" spans="20:20" x14ac:dyDescent="0.25">
      <c r="T9404" s="98"/>
    </row>
    <row r="9405" spans="20:20" x14ac:dyDescent="0.25">
      <c r="T9405" s="98"/>
    </row>
    <row r="9406" spans="20:20" x14ac:dyDescent="0.25">
      <c r="T9406" s="98"/>
    </row>
    <row r="9407" spans="20:20" x14ac:dyDescent="0.25">
      <c r="T9407" s="98"/>
    </row>
    <row r="9408" spans="20:20" x14ac:dyDescent="0.25">
      <c r="T9408" s="98"/>
    </row>
    <row r="9409" spans="20:20" x14ac:dyDescent="0.25">
      <c r="T9409" s="98"/>
    </row>
    <row r="9410" spans="20:20" x14ac:dyDescent="0.25">
      <c r="T9410" s="98"/>
    </row>
    <row r="9411" spans="20:20" x14ac:dyDescent="0.25">
      <c r="T9411" s="98"/>
    </row>
    <row r="9412" spans="20:20" x14ac:dyDescent="0.25">
      <c r="T9412" s="98"/>
    </row>
    <row r="9413" spans="20:20" x14ac:dyDescent="0.25">
      <c r="T9413" s="98"/>
    </row>
    <row r="9414" spans="20:20" x14ac:dyDescent="0.25">
      <c r="T9414" s="98"/>
    </row>
    <row r="9415" spans="20:20" x14ac:dyDescent="0.25">
      <c r="T9415" s="98"/>
    </row>
    <row r="9416" spans="20:20" x14ac:dyDescent="0.25">
      <c r="T9416" s="98"/>
    </row>
    <row r="9417" spans="20:20" x14ac:dyDescent="0.25">
      <c r="T9417" s="98"/>
    </row>
    <row r="9418" spans="20:20" x14ac:dyDescent="0.25">
      <c r="T9418" s="98"/>
    </row>
    <row r="9419" spans="20:20" x14ac:dyDescent="0.25">
      <c r="T9419" s="98"/>
    </row>
    <row r="9420" spans="20:20" x14ac:dyDescent="0.25">
      <c r="T9420" s="98"/>
    </row>
    <row r="9421" spans="20:20" x14ac:dyDescent="0.25">
      <c r="T9421" s="98"/>
    </row>
    <row r="9422" spans="20:20" x14ac:dyDescent="0.25">
      <c r="T9422" s="98"/>
    </row>
    <row r="9423" spans="20:20" x14ac:dyDescent="0.25">
      <c r="T9423" s="98"/>
    </row>
    <row r="9424" spans="20:20" x14ac:dyDescent="0.25">
      <c r="T9424" s="98"/>
    </row>
    <row r="9425" spans="20:20" x14ac:dyDescent="0.25">
      <c r="T9425" s="98"/>
    </row>
    <row r="9426" spans="20:20" x14ac:dyDescent="0.25">
      <c r="T9426" s="98"/>
    </row>
    <row r="9427" spans="20:20" x14ac:dyDescent="0.25">
      <c r="T9427" s="98"/>
    </row>
    <row r="9428" spans="20:20" x14ac:dyDescent="0.25">
      <c r="T9428" s="98"/>
    </row>
    <row r="9429" spans="20:20" x14ac:dyDescent="0.25">
      <c r="T9429" s="98"/>
    </row>
    <row r="9430" spans="20:20" x14ac:dyDescent="0.25">
      <c r="T9430" s="98"/>
    </row>
    <row r="9431" spans="20:20" x14ac:dyDescent="0.25">
      <c r="T9431" s="98"/>
    </row>
    <row r="9432" spans="20:20" x14ac:dyDescent="0.25">
      <c r="T9432" s="98"/>
    </row>
    <row r="9433" spans="20:20" x14ac:dyDescent="0.25">
      <c r="T9433" s="98"/>
    </row>
    <row r="9434" spans="20:20" x14ac:dyDescent="0.25">
      <c r="T9434" s="98"/>
    </row>
    <row r="9435" spans="20:20" x14ac:dyDescent="0.25">
      <c r="T9435" s="98"/>
    </row>
    <row r="9436" spans="20:20" x14ac:dyDescent="0.25">
      <c r="T9436" s="98"/>
    </row>
    <row r="9437" spans="20:20" x14ac:dyDescent="0.25">
      <c r="T9437" s="98"/>
    </row>
    <row r="9438" spans="20:20" x14ac:dyDescent="0.25">
      <c r="T9438" s="98"/>
    </row>
    <row r="9439" spans="20:20" x14ac:dyDescent="0.25">
      <c r="T9439" s="98"/>
    </row>
    <row r="9440" spans="20:20" x14ac:dyDescent="0.25">
      <c r="T9440" s="98"/>
    </row>
    <row r="9441" spans="20:20" x14ac:dyDescent="0.25">
      <c r="T9441" s="98"/>
    </row>
    <row r="9442" spans="20:20" x14ac:dyDescent="0.25">
      <c r="T9442" s="98"/>
    </row>
    <row r="9443" spans="20:20" x14ac:dyDescent="0.25">
      <c r="T9443" s="98"/>
    </row>
    <row r="9444" spans="20:20" x14ac:dyDescent="0.25">
      <c r="T9444" s="98"/>
    </row>
    <row r="9445" spans="20:20" x14ac:dyDescent="0.25">
      <c r="T9445" s="98"/>
    </row>
    <row r="9446" spans="20:20" x14ac:dyDescent="0.25">
      <c r="T9446" s="98"/>
    </row>
    <row r="9447" spans="20:20" x14ac:dyDescent="0.25">
      <c r="T9447" s="98"/>
    </row>
    <row r="9448" spans="20:20" x14ac:dyDescent="0.25">
      <c r="T9448" s="98"/>
    </row>
    <row r="9449" spans="20:20" x14ac:dyDescent="0.25">
      <c r="T9449" s="98"/>
    </row>
    <row r="9450" spans="20:20" x14ac:dyDescent="0.25">
      <c r="T9450" s="98"/>
    </row>
    <row r="9451" spans="20:20" x14ac:dyDescent="0.25">
      <c r="T9451" s="98"/>
    </row>
    <row r="9452" spans="20:20" x14ac:dyDescent="0.25">
      <c r="T9452" s="98"/>
    </row>
    <row r="9453" spans="20:20" x14ac:dyDescent="0.25">
      <c r="T9453" s="98"/>
    </row>
    <row r="9454" spans="20:20" x14ac:dyDescent="0.25">
      <c r="T9454" s="98"/>
    </row>
    <row r="9455" spans="20:20" x14ac:dyDescent="0.25">
      <c r="T9455" s="98"/>
    </row>
    <row r="9456" spans="20:20" x14ac:dyDescent="0.25">
      <c r="T9456" s="98"/>
    </row>
    <row r="9457" spans="20:20" x14ac:dyDescent="0.25">
      <c r="T9457" s="98"/>
    </row>
    <row r="9458" spans="20:20" x14ac:dyDescent="0.25">
      <c r="T9458" s="98"/>
    </row>
    <row r="9459" spans="20:20" x14ac:dyDescent="0.25">
      <c r="T9459" s="98"/>
    </row>
    <row r="9460" spans="20:20" x14ac:dyDescent="0.25">
      <c r="T9460" s="98"/>
    </row>
    <row r="9461" spans="20:20" x14ac:dyDescent="0.25">
      <c r="T9461" s="98"/>
    </row>
    <row r="9462" spans="20:20" x14ac:dyDescent="0.25">
      <c r="T9462" s="98"/>
    </row>
    <row r="9463" spans="20:20" x14ac:dyDescent="0.25">
      <c r="T9463" s="98"/>
    </row>
    <row r="9464" spans="20:20" x14ac:dyDescent="0.25">
      <c r="T9464" s="98"/>
    </row>
    <row r="9465" spans="20:20" x14ac:dyDescent="0.25">
      <c r="T9465" s="98"/>
    </row>
    <row r="9466" spans="20:20" x14ac:dyDescent="0.25">
      <c r="T9466" s="98"/>
    </row>
    <row r="9467" spans="20:20" x14ac:dyDescent="0.25">
      <c r="T9467" s="98"/>
    </row>
    <row r="9468" spans="20:20" x14ac:dyDescent="0.25">
      <c r="T9468" s="98"/>
    </row>
    <row r="9469" spans="20:20" x14ac:dyDescent="0.25">
      <c r="T9469" s="98"/>
    </row>
    <row r="9470" spans="20:20" x14ac:dyDescent="0.25">
      <c r="T9470" s="98"/>
    </row>
    <row r="9471" spans="20:20" x14ac:dyDescent="0.25">
      <c r="T9471" s="98"/>
    </row>
    <row r="9472" spans="20:20" x14ac:dyDescent="0.25">
      <c r="T9472" s="98"/>
    </row>
    <row r="9473" spans="20:20" x14ac:dyDescent="0.25">
      <c r="T9473" s="98"/>
    </row>
    <row r="9474" spans="20:20" x14ac:dyDescent="0.25">
      <c r="T9474" s="98"/>
    </row>
    <row r="9475" spans="20:20" x14ac:dyDescent="0.25">
      <c r="T9475" s="98"/>
    </row>
    <row r="9476" spans="20:20" x14ac:dyDescent="0.25">
      <c r="T9476" s="98"/>
    </row>
    <row r="9477" spans="20:20" x14ac:dyDescent="0.25">
      <c r="T9477" s="98"/>
    </row>
    <row r="9478" spans="20:20" x14ac:dyDescent="0.25">
      <c r="T9478" s="98"/>
    </row>
    <row r="9479" spans="20:20" x14ac:dyDescent="0.25">
      <c r="T9479" s="98"/>
    </row>
    <row r="9480" spans="20:20" x14ac:dyDescent="0.25">
      <c r="T9480" s="98"/>
    </row>
    <row r="9481" spans="20:20" x14ac:dyDescent="0.25">
      <c r="T9481" s="98"/>
    </row>
    <row r="9482" spans="20:20" x14ac:dyDescent="0.25">
      <c r="T9482" s="98"/>
    </row>
    <row r="9483" spans="20:20" x14ac:dyDescent="0.25">
      <c r="T9483" s="98"/>
    </row>
    <row r="9484" spans="20:20" x14ac:dyDescent="0.25">
      <c r="T9484" s="98"/>
    </row>
    <row r="9485" spans="20:20" x14ac:dyDescent="0.25">
      <c r="T9485" s="98"/>
    </row>
    <row r="9486" spans="20:20" x14ac:dyDescent="0.25">
      <c r="T9486" s="98"/>
    </row>
    <row r="9487" spans="20:20" x14ac:dyDescent="0.25">
      <c r="T9487" s="98"/>
    </row>
    <row r="9488" spans="20:20" x14ac:dyDescent="0.25">
      <c r="T9488" s="98"/>
    </row>
    <row r="9489" spans="20:20" x14ac:dyDescent="0.25">
      <c r="T9489" s="98"/>
    </row>
    <row r="9490" spans="20:20" x14ac:dyDescent="0.25">
      <c r="T9490" s="98"/>
    </row>
    <row r="9491" spans="20:20" x14ac:dyDescent="0.25">
      <c r="T9491" s="98"/>
    </row>
    <row r="9492" spans="20:20" x14ac:dyDescent="0.25">
      <c r="T9492" s="98"/>
    </row>
    <row r="9493" spans="20:20" x14ac:dyDescent="0.25">
      <c r="T9493" s="98"/>
    </row>
    <row r="9494" spans="20:20" x14ac:dyDescent="0.25">
      <c r="T9494" s="98"/>
    </row>
    <row r="9495" spans="20:20" x14ac:dyDescent="0.25">
      <c r="T9495" s="98"/>
    </row>
    <row r="9496" spans="20:20" x14ac:dyDescent="0.25">
      <c r="T9496" s="98"/>
    </row>
    <row r="9497" spans="20:20" x14ac:dyDescent="0.25">
      <c r="T9497" s="98"/>
    </row>
    <row r="9498" spans="20:20" x14ac:dyDescent="0.25">
      <c r="T9498" s="98"/>
    </row>
    <row r="9499" spans="20:20" x14ac:dyDescent="0.25">
      <c r="T9499" s="98"/>
    </row>
    <row r="9500" spans="20:20" x14ac:dyDescent="0.25">
      <c r="T9500" s="98"/>
    </row>
    <row r="9501" spans="20:20" x14ac:dyDescent="0.25">
      <c r="T9501" s="98"/>
    </row>
    <row r="9502" spans="20:20" x14ac:dyDescent="0.25">
      <c r="T9502" s="98"/>
    </row>
    <row r="9503" spans="20:20" x14ac:dyDescent="0.25">
      <c r="T9503" s="98"/>
    </row>
    <row r="9504" spans="20:20" x14ac:dyDescent="0.25">
      <c r="T9504" s="98"/>
    </row>
    <row r="9505" spans="20:20" x14ac:dyDescent="0.25">
      <c r="T9505" s="98"/>
    </row>
    <row r="9506" spans="20:20" x14ac:dyDescent="0.25">
      <c r="T9506" s="98"/>
    </row>
    <row r="9507" spans="20:20" x14ac:dyDescent="0.25">
      <c r="T9507" s="98"/>
    </row>
    <row r="9508" spans="20:20" x14ac:dyDescent="0.25">
      <c r="T9508" s="98"/>
    </row>
    <row r="9509" spans="20:20" x14ac:dyDescent="0.25">
      <c r="T9509" s="98"/>
    </row>
    <row r="9510" spans="20:20" x14ac:dyDescent="0.25">
      <c r="T9510" s="98"/>
    </row>
    <row r="9511" spans="20:20" x14ac:dyDescent="0.25">
      <c r="T9511" s="98"/>
    </row>
    <row r="9512" spans="20:20" x14ac:dyDescent="0.25">
      <c r="T9512" s="98"/>
    </row>
    <row r="9513" spans="20:20" x14ac:dyDescent="0.25">
      <c r="T9513" s="98"/>
    </row>
    <row r="9514" spans="20:20" x14ac:dyDescent="0.25">
      <c r="T9514" s="98"/>
    </row>
    <row r="9515" spans="20:20" x14ac:dyDescent="0.25">
      <c r="T9515" s="98"/>
    </row>
    <row r="9516" spans="20:20" x14ac:dyDescent="0.25">
      <c r="T9516" s="98"/>
    </row>
    <row r="9517" spans="20:20" x14ac:dyDescent="0.25">
      <c r="T9517" s="98"/>
    </row>
    <row r="9518" spans="20:20" x14ac:dyDescent="0.25">
      <c r="T9518" s="98"/>
    </row>
    <row r="9519" spans="20:20" x14ac:dyDescent="0.25">
      <c r="T9519" s="98"/>
    </row>
    <row r="9520" spans="20:20" x14ac:dyDescent="0.25">
      <c r="T9520" s="98"/>
    </row>
    <row r="9521" spans="20:20" x14ac:dyDescent="0.25">
      <c r="T9521" s="98"/>
    </row>
    <row r="9522" spans="20:20" x14ac:dyDescent="0.25">
      <c r="T9522" s="98"/>
    </row>
    <row r="9523" spans="20:20" x14ac:dyDescent="0.25">
      <c r="T9523" s="98"/>
    </row>
    <row r="9524" spans="20:20" x14ac:dyDescent="0.25">
      <c r="T9524" s="98"/>
    </row>
    <row r="9525" spans="20:20" x14ac:dyDescent="0.25">
      <c r="T9525" s="98"/>
    </row>
    <row r="9526" spans="20:20" x14ac:dyDescent="0.25">
      <c r="T9526" s="98"/>
    </row>
    <row r="9527" spans="20:20" x14ac:dyDescent="0.25">
      <c r="T9527" s="98"/>
    </row>
    <row r="9528" spans="20:20" x14ac:dyDescent="0.25">
      <c r="T9528" s="98"/>
    </row>
    <row r="9529" spans="20:20" x14ac:dyDescent="0.25">
      <c r="T9529" s="98"/>
    </row>
    <row r="9530" spans="20:20" x14ac:dyDescent="0.25">
      <c r="T9530" s="98"/>
    </row>
    <row r="9531" spans="20:20" x14ac:dyDescent="0.25">
      <c r="T9531" s="98"/>
    </row>
    <row r="9532" spans="20:20" x14ac:dyDescent="0.25">
      <c r="T9532" s="98"/>
    </row>
    <row r="9533" spans="20:20" x14ac:dyDescent="0.25">
      <c r="T9533" s="98"/>
    </row>
    <row r="9534" spans="20:20" x14ac:dyDescent="0.25">
      <c r="T9534" s="98"/>
    </row>
    <row r="9535" spans="20:20" x14ac:dyDescent="0.25">
      <c r="T9535" s="98"/>
    </row>
    <row r="9536" spans="20:20" x14ac:dyDescent="0.25">
      <c r="T9536" s="98"/>
    </row>
    <row r="9537" spans="20:20" x14ac:dyDescent="0.25">
      <c r="T9537" s="98"/>
    </row>
    <row r="9538" spans="20:20" x14ac:dyDescent="0.25">
      <c r="T9538" s="98"/>
    </row>
    <row r="9539" spans="20:20" x14ac:dyDescent="0.25">
      <c r="T9539" s="98"/>
    </row>
    <row r="9540" spans="20:20" x14ac:dyDescent="0.25">
      <c r="T9540" s="98"/>
    </row>
    <row r="9541" spans="20:20" x14ac:dyDescent="0.25">
      <c r="T9541" s="98"/>
    </row>
    <row r="9542" spans="20:20" x14ac:dyDescent="0.25">
      <c r="T9542" s="98"/>
    </row>
    <row r="9543" spans="20:20" x14ac:dyDescent="0.25">
      <c r="T9543" s="98"/>
    </row>
    <row r="9544" spans="20:20" x14ac:dyDescent="0.25">
      <c r="T9544" s="98"/>
    </row>
    <row r="9545" spans="20:20" x14ac:dyDescent="0.25">
      <c r="T9545" s="98"/>
    </row>
    <row r="9546" spans="20:20" x14ac:dyDescent="0.25">
      <c r="T9546" s="98"/>
    </row>
    <row r="9547" spans="20:20" x14ac:dyDescent="0.25">
      <c r="T9547" s="98"/>
    </row>
    <row r="9548" spans="20:20" x14ac:dyDescent="0.25">
      <c r="T9548" s="98"/>
    </row>
    <row r="9549" spans="20:20" x14ac:dyDescent="0.25">
      <c r="T9549" s="98"/>
    </row>
    <row r="9550" spans="20:20" x14ac:dyDescent="0.25">
      <c r="T9550" s="98"/>
    </row>
    <row r="9551" spans="20:20" x14ac:dyDescent="0.25">
      <c r="T9551" s="98"/>
    </row>
    <row r="9552" spans="20:20" x14ac:dyDescent="0.25">
      <c r="T9552" s="98"/>
    </row>
    <row r="9553" spans="20:20" x14ac:dyDescent="0.25">
      <c r="T9553" s="98"/>
    </row>
    <row r="9554" spans="20:20" x14ac:dyDescent="0.25">
      <c r="T9554" s="98"/>
    </row>
    <row r="9555" spans="20:20" x14ac:dyDescent="0.25">
      <c r="T9555" s="98"/>
    </row>
    <row r="9556" spans="20:20" x14ac:dyDescent="0.25">
      <c r="T9556" s="98"/>
    </row>
    <row r="9557" spans="20:20" x14ac:dyDescent="0.25">
      <c r="T9557" s="98"/>
    </row>
    <row r="9558" spans="20:20" x14ac:dyDescent="0.25">
      <c r="T9558" s="98"/>
    </row>
    <row r="9559" spans="20:20" x14ac:dyDescent="0.25">
      <c r="T9559" s="98"/>
    </row>
    <row r="9560" spans="20:20" x14ac:dyDescent="0.25">
      <c r="T9560" s="98"/>
    </row>
    <row r="9561" spans="20:20" x14ac:dyDescent="0.25">
      <c r="T9561" s="98"/>
    </row>
    <row r="9562" spans="20:20" x14ac:dyDescent="0.25">
      <c r="T9562" s="98"/>
    </row>
    <row r="9563" spans="20:20" x14ac:dyDescent="0.25">
      <c r="T9563" s="98"/>
    </row>
    <row r="9564" spans="20:20" x14ac:dyDescent="0.25">
      <c r="T9564" s="98"/>
    </row>
    <row r="9565" spans="20:20" x14ac:dyDescent="0.25">
      <c r="T9565" s="98"/>
    </row>
    <row r="9566" spans="20:20" x14ac:dyDescent="0.25">
      <c r="T9566" s="98"/>
    </row>
    <row r="9567" spans="20:20" x14ac:dyDescent="0.25">
      <c r="T9567" s="98"/>
    </row>
    <row r="9568" spans="20:20" x14ac:dyDescent="0.25">
      <c r="T9568" s="98"/>
    </row>
    <row r="9569" spans="20:20" x14ac:dyDescent="0.25">
      <c r="T9569" s="98"/>
    </row>
    <row r="9570" spans="20:20" x14ac:dyDescent="0.25">
      <c r="T9570" s="98"/>
    </row>
    <row r="9571" spans="20:20" x14ac:dyDescent="0.25">
      <c r="T9571" s="98"/>
    </row>
    <row r="9572" spans="20:20" x14ac:dyDescent="0.25">
      <c r="T9572" s="98"/>
    </row>
    <row r="9573" spans="20:20" x14ac:dyDescent="0.25">
      <c r="T9573" s="98"/>
    </row>
    <row r="9574" spans="20:20" x14ac:dyDescent="0.25">
      <c r="T9574" s="98"/>
    </row>
    <row r="9575" spans="20:20" x14ac:dyDescent="0.25">
      <c r="T9575" s="98"/>
    </row>
    <row r="9576" spans="20:20" x14ac:dyDescent="0.25">
      <c r="T9576" s="98"/>
    </row>
    <row r="9577" spans="20:20" x14ac:dyDescent="0.25">
      <c r="T9577" s="98"/>
    </row>
    <row r="9578" spans="20:20" x14ac:dyDescent="0.25">
      <c r="T9578" s="98"/>
    </row>
    <row r="9579" spans="20:20" x14ac:dyDescent="0.25">
      <c r="T9579" s="98"/>
    </row>
    <row r="9580" spans="20:20" x14ac:dyDescent="0.25">
      <c r="T9580" s="98"/>
    </row>
    <row r="9581" spans="20:20" x14ac:dyDescent="0.25">
      <c r="T9581" s="98"/>
    </row>
    <row r="9582" spans="20:20" x14ac:dyDescent="0.25">
      <c r="T9582" s="98"/>
    </row>
    <row r="9583" spans="20:20" x14ac:dyDescent="0.25">
      <c r="T9583" s="98"/>
    </row>
    <row r="9584" spans="20:20" x14ac:dyDescent="0.25">
      <c r="T9584" s="98"/>
    </row>
    <row r="9585" spans="20:20" x14ac:dyDescent="0.25">
      <c r="T9585" s="98"/>
    </row>
    <row r="9586" spans="20:20" x14ac:dyDescent="0.25">
      <c r="T9586" s="98"/>
    </row>
    <row r="9587" spans="20:20" x14ac:dyDescent="0.25">
      <c r="T9587" s="98"/>
    </row>
    <row r="9588" spans="20:20" x14ac:dyDescent="0.25">
      <c r="T9588" s="98"/>
    </row>
    <row r="9589" spans="20:20" x14ac:dyDescent="0.25">
      <c r="T9589" s="98"/>
    </row>
    <row r="9590" spans="20:20" x14ac:dyDescent="0.25">
      <c r="T9590" s="98"/>
    </row>
    <row r="9591" spans="20:20" x14ac:dyDescent="0.25">
      <c r="T9591" s="98"/>
    </row>
    <row r="9592" spans="20:20" x14ac:dyDescent="0.25">
      <c r="T9592" s="98"/>
    </row>
    <row r="9593" spans="20:20" x14ac:dyDescent="0.25">
      <c r="T9593" s="98"/>
    </row>
    <row r="9594" spans="20:20" x14ac:dyDescent="0.25">
      <c r="T9594" s="98"/>
    </row>
    <row r="9595" spans="20:20" x14ac:dyDescent="0.25">
      <c r="T9595" s="98"/>
    </row>
    <row r="9596" spans="20:20" x14ac:dyDescent="0.25">
      <c r="T9596" s="98"/>
    </row>
    <row r="9597" spans="20:20" x14ac:dyDescent="0.25">
      <c r="T9597" s="98"/>
    </row>
    <row r="9598" spans="20:20" x14ac:dyDescent="0.25">
      <c r="T9598" s="98"/>
    </row>
    <row r="9599" spans="20:20" x14ac:dyDescent="0.25">
      <c r="T9599" s="98"/>
    </row>
    <row r="9600" spans="20:20" x14ac:dyDescent="0.25">
      <c r="T9600" s="98"/>
    </row>
    <row r="9601" spans="20:20" x14ac:dyDescent="0.25">
      <c r="T9601" s="98"/>
    </row>
    <row r="9602" spans="20:20" x14ac:dyDescent="0.25">
      <c r="T9602" s="98"/>
    </row>
    <row r="9603" spans="20:20" x14ac:dyDescent="0.25">
      <c r="T9603" s="98"/>
    </row>
    <row r="9604" spans="20:20" x14ac:dyDescent="0.25">
      <c r="T9604" s="98"/>
    </row>
    <row r="9605" spans="20:20" x14ac:dyDescent="0.25">
      <c r="T9605" s="98"/>
    </row>
    <row r="9606" spans="20:20" x14ac:dyDescent="0.25">
      <c r="T9606" s="98"/>
    </row>
    <row r="9607" spans="20:20" x14ac:dyDescent="0.25">
      <c r="T9607" s="98"/>
    </row>
    <row r="9608" spans="20:20" x14ac:dyDescent="0.25">
      <c r="T9608" s="98"/>
    </row>
    <row r="9609" spans="20:20" x14ac:dyDescent="0.25">
      <c r="T9609" s="98"/>
    </row>
    <row r="9610" spans="20:20" x14ac:dyDescent="0.25">
      <c r="T9610" s="98"/>
    </row>
    <row r="9611" spans="20:20" x14ac:dyDescent="0.25">
      <c r="T9611" s="98"/>
    </row>
    <row r="9612" spans="20:20" x14ac:dyDescent="0.25">
      <c r="T9612" s="98"/>
    </row>
    <row r="9613" spans="20:20" x14ac:dyDescent="0.25">
      <c r="T9613" s="98"/>
    </row>
    <row r="9614" spans="20:20" x14ac:dyDescent="0.25">
      <c r="T9614" s="98"/>
    </row>
    <row r="9615" spans="20:20" x14ac:dyDescent="0.25">
      <c r="T9615" s="98"/>
    </row>
    <row r="9616" spans="20:20" x14ac:dyDescent="0.25">
      <c r="T9616" s="98"/>
    </row>
    <row r="9617" spans="20:20" x14ac:dyDescent="0.25">
      <c r="T9617" s="98"/>
    </row>
    <row r="9618" spans="20:20" x14ac:dyDescent="0.25">
      <c r="T9618" s="98"/>
    </row>
    <row r="9619" spans="20:20" x14ac:dyDescent="0.25">
      <c r="T9619" s="98"/>
    </row>
    <row r="9620" spans="20:20" x14ac:dyDescent="0.25">
      <c r="T9620" s="98"/>
    </row>
    <row r="9621" spans="20:20" x14ac:dyDescent="0.25">
      <c r="T9621" s="98"/>
    </row>
    <row r="9622" spans="20:20" x14ac:dyDescent="0.25">
      <c r="T9622" s="98"/>
    </row>
    <row r="9623" spans="20:20" x14ac:dyDescent="0.25">
      <c r="T9623" s="98"/>
    </row>
    <row r="9624" spans="20:20" x14ac:dyDescent="0.25">
      <c r="T9624" s="98"/>
    </row>
    <row r="9625" spans="20:20" x14ac:dyDescent="0.25">
      <c r="T9625" s="98"/>
    </row>
    <row r="9626" spans="20:20" x14ac:dyDescent="0.25">
      <c r="T9626" s="98"/>
    </row>
    <row r="9627" spans="20:20" x14ac:dyDescent="0.25">
      <c r="T9627" s="98"/>
    </row>
    <row r="9628" spans="20:20" x14ac:dyDescent="0.25">
      <c r="T9628" s="98"/>
    </row>
    <row r="9629" spans="20:20" x14ac:dyDescent="0.25">
      <c r="T9629" s="98"/>
    </row>
    <row r="9630" spans="20:20" x14ac:dyDescent="0.25">
      <c r="T9630" s="98"/>
    </row>
    <row r="9631" spans="20:20" x14ac:dyDescent="0.25">
      <c r="T9631" s="98"/>
    </row>
    <row r="9632" spans="20:20" x14ac:dyDescent="0.25">
      <c r="T9632" s="98"/>
    </row>
    <row r="9633" spans="20:20" x14ac:dyDescent="0.25">
      <c r="T9633" s="98"/>
    </row>
    <row r="9634" spans="20:20" x14ac:dyDescent="0.25">
      <c r="T9634" s="98"/>
    </row>
    <row r="9635" spans="20:20" x14ac:dyDescent="0.25">
      <c r="T9635" s="98"/>
    </row>
    <row r="9636" spans="20:20" x14ac:dyDescent="0.25">
      <c r="T9636" s="98"/>
    </row>
    <row r="9637" spans="20:20" x14ac:dyDescent="0.25">
      <c r="T9637" s="98"/>
    </row>
    <row r="9638" spans="20:20" x14ac:dyDescent="0.25">
      <c r="T9638" s="98"/>
    </row>
    <row r="9639" spans="20:20" x14ac:dyDescent="0.25">
      <c r="T9639" s="98"/>
    </row>
    <row r="9640" spans="20:20" x14ac:dyDescent="0.25">
      <c r="T9640" s="98"/>
    </row>
    <row r="9641" spans="20:20" x14ac:dyDescent="0.25">
      <c r="T9641" s="98"/>
    </row>
    <row r="9642" spans="20:20" x14ac:dyDescent="0.25">
      <c r="T9642" s="98"/>
    </row>
    <row r="9643" spans="20:20" x14ac:dyDescent="0.25">
      <c r="T9643" s="98"/>
    </row>
    <row r="9644" spans="20:20" x14ac:dyDescent="0.25">
      <c r="T9644" s="98"/>
    </row>
    <row r="9645" spans="20:20" x14ac:dyDescent="0.25">
      <c r="T9645" s="98"/>
    </row>
    <row r="9646" spans="20:20" x14ac:dyDescent="0.25">
      <c r="T9646" s="98"/>
    </row>
    <row r="9647" spans="20:20" x14ac:dyDescent="0.25">
      <c r="T9647" s="98"/>
    </row>
    <row r="9648" spans="20:20" x14ac:dyDescent="0.25">
      <c r="T9648" s="98"/>
    </row>
    <row r="9649" spans="20:20" x14ac:dyDescent="0.25">
      <c r="T9649" s="98"/>
    </row>
    <row r="9650" spans="20:20" x14ac:dyDescent="0.25">
      <c r="T9650" s="98"/>
    </row>
    <row r="9651" spans="20:20" x14ac:dyDescent="0.25">
      <c r="T9651" s="98"/>
    </row>
    <row r="9652" spans="20:20" x14ac:dyDescent="0.25">
      <c r="T9652" s="98"/>
    </row>
    <row r="9653" spans="20:20" x14ac:dyDescent="0.25">
      <c r="T9653" s="98"/>
    </row>
    <row r="9654" spans="20:20" x14ac:dyDescent="0.25">
      <c r="T9654" s="98"/>
    </row>
    <row r="9655" spans="20:20" x14ac:dyDescent="0.25">
      <c r="T9655" s="98"/>
    </row>
    <row r="9656" spans="20:20" x14ac:dyDescent="0.25">
      <c r="T9656" s="98"/>
    </row>
    <row r="9657" spans="20:20" x14ac:dyDescent="0.25">
      <c r="T9657" s="98"/>
    </row>
    <row r="9658" spans="20:20" x14ac:dyDescent="0.25">
      <c r="T9658" s="98"/>
    </row>
    <row r="9659" spans="20:20" x14ac:dyDescent="0.25">
      <c r="T9659" s="98"/>
    </row>
    <row r="9660" spans="20:20" x14ac:dyDescent="0.25">
      <c r="T9660" s="98"/>
    </row>
    <row r="9661" spans="20:20" x14ac:dyDescent="0.25">
      <c r="T9661" s="98"/>
    </row>
    <row r="9662" spans="20:20" x14ac:dyDescent="0.25">
      <c r="T9662" s="98"/>
    </row>
    <row r="9663" spans="20:20" x14ac:dyDescent="0.25">
      <c r="T9663" s="98"/>
    </row>
    <row r="9664" spans="20:20" x14ac:dyDescent="0.25">
      <c r="T9664" s="98"/>
    </row>
    <row r="9665" spans="20:20" x14ac:dyDescent="0.25">
      <c r="T9665" s="98"/>
    </row>
    <row r="9666" spans="20:20" x14ac:dyDescent="0.25">
      <c r="T9666" s="98"/>
    </row>
    <row r="9667" spans="20:20" x14ac:dyDescent="0.25">
      <c r="T9667" s="98"/>
    </row>
    <row r="9668" spans="20:20" x14ac:dyDescent="0.25">
      <c r="T9668" s="98"/>
    </row>
    <row r="9669" spans="20:20" x14ac:dyDescent="0.25">
      <c r="T9669" s="98"/>
    </row>
    <row r="9670" spans="20:20" x14ac:dyDescent="0.25">
      <c r="T9670" s="98"/>
    </row>
    <row r="9671" spans="20:20" x14ac:dyDescent="0.25">
      <c r="T9671" s="98"/>
    </row>
    <row r="9672" spans="20:20" x14ac:dyDescent="0.25">
      <c r="T9672" s="98"/>
    </row>
    <row r="9673" spans="20:20" x14ac:dyDescent="0.25">
      <c r="T9673" s="98"/>
    </row>
    <row r="9674" spans="20:20" x14ac:dyDescent="0.25">
      <c r="T9674" s="98"/>
    </row>
    <row r="9675" spans="20:20" x14ac:dyDescent="0.25">
      <c r="T9675" s="98"/>
    </row>
    <row r="9676" spans="20:20" x14ac:dyDescent="0.25">
      <c r="T9676" s="98"/>
    </row>
    <row r="9677" spans="20:20" x14ac:dyDescent="0.25">
      <c r="T9677" s="98"/>
    </row>
    <row r="9678" spans="20:20" x14ac:dyDescent="0.25">
      <c r="T9678" s="98"/>
    </row>
    <row r="9679" spans="20:20" x14ac:dyDescent="0.25">
      <c r="T9679" s="98"/>
    </row>
    <row r="9680" spans="20:20" x14ac:dyDescent="0.25">
      <c r="T9680" s="98"/>
    </row>
    <row r="9681" spans="20:20" x14ac:dyDescent="0.25">
      <c r="T9681" s="98"/>
    </row>
    <row r="9682" spans="20:20" x14ac:dyDescent="0.25">
      <c r="T9682" s="98"/>
    </row>
    <row r="9683" spans="20:20" x14ac:dyDescent="0.25">
      <c r="T9683" s="98"/>
    </row>
    <row r="9684" spans="20:20" x14ac:dyDescent="0.25">
      <c r="T9684" s="98"/>
    </row>
    <row r="9685" spans="20:20" x14ac:dyDescent="0.25">
      <c r="T9685" s="98"/>
    </row>
    <row r="9686" spans="20:20" x14ac:dyDescent="0.25">
      <c r="T9686" s="98"/>
    </row>
    <row r="9687" spans="20:20" x14ac:dyDescent="0.25">
      <c r="T9687" s="98"/>
    </row>
    <row r="9688" spans="20:20" x14ac:dyDescent="0.25">
      <c r="T9688" s="98"/>
    </row>
    <row r="9689" spans="20:20" x14ac:dyDescent="0.25">
      <c r="T9689" s="98"/>
    </row>
    <row r="9690" spans="20:20" x14ac:dyDescent="0.25">
      <c r="T9690" s="98"/>
    </row>
    <row r="9691" spans="20:20" x14ac:dyDescent="0.25">
      <c r="T9691" s="98"/>
    </row>
    <row r="9692" spans="20:20" x14ac:dyDescent="0.25">
      <c r="T9692" s="98"/>
    </row>
    <row r="9693" spans="20:20" x14ac:dyDescent="0.25">
      <c r="T9693" s="98"/>
    </row>
    <row r="9694" spans="20:20" x14ac:dyDescent="0.25">
      <c r="T9694" s="98"/>
    </row>
    <row r="9695" spans="20:20" x14ac:dyDescent="0.25">
      <c r="T9695" s="98"/>
    </row>
    <row r="9696" spans="20:20" x14ac:dyDescent="0.25">
      <c r="T9696" s="98"/>
    </row>
    <row r="9697" spans="20:20" x14ac:dyDescent="0.25">
      <c r="T9697" s="98"/>
    </row>
    <row r="9698" spans="20:20" x14ac:dyDescent="0.25">
      <c r="T9698" s="98"/>
    </row>
    <row r="9699" spans="20:20" x14ac:dyDescent="0.25">
      <c r="T9699" s="98"/>
    </row>
    <row r="9700" spans="20:20" x14ac:dyDescent="0.25">
      <c r="T9700" s="98"/>
    </row>
    <row r="9701" spans="20:20" x14ac:dyDescent="0.25">
      <c r="T9701" s="98"/>
    </row>
    <row r="9702" spans="20:20" x14ac:dyDescent="0.25">
      <c r="T9702" s="98"/>
    </row>
    <row r="9703" spans="20:20" x14ac:dyDescent="0.25">
      <c r="T9703" s="98"/>
    </row>
    <row r="9704" spans="20:20" x14ac:dyDescent="0.25">
      <c r="T9704" s="98"/>
    </row>
    <row r="9705" spans="20:20" x14ac:dyDescent="0.25">
      <c r="T9705" s="98"/>
    </row>
    <row r="9706" spans="20:20" x14ac:dyDescent="0.25">
      <c r="T9706" s="98"/>
    </row>
    <row r="9707" spans="20:20" x14ac:dyDescent="0.25">
      <c r="T9707" s="98"/>
    </row>
    <row r="9708" spans="20:20" x14ac:dyDescent="0.25">
      <c r="T9708" s="98"/>
    </row>
    <row r="9709" spans="20:20" x14ac:dyDescent="0.25">
      <c r="T9709" s="98"/>
    </row>
    <row r="9710" spans="20:20" x14ac:dyDescent="0.25">
      <c r="T9710" s="98"/>
    </row>
    <row r="9711" spans="20:20" x14ac:dyDescent="0.25">
      <c r="T9711" s="98"/>
    </row>
    <row r="9712" spans="20:20" x14ac:dyDescent="0.25">
      <c r="T9712" s="98"/>
    </row>
    <row r="9713" spans="20:20" x14ac:dyDescent="0.25">
      <c r="T9713" s="98"/>
    </row>
    <row r="9714" spans="20:20" x14ac:dyDescent="0.25">
      <c r="T9714" s="98"/>
    </row>
    <row r="9715" spans="20:20" x14ac:dyDescent="0.25">
      <c r="T9715" s="98"/>
    </row>
    <row r="9716" spans="20:20" x14ac:dyDescent="0.25">
      <c r="T9716" s="98"/>
    </row>
    <row r="9717" spans="20:20" x14ac:dyDescent="0.25">
      <c r="T9717" s="98"/>
    </row>
    <row r="9718" spans="20:20" x14ac:dyDescent="0.25">
      <c r="T9718" s="98"/>
    </row>
    <row r="9719" spans="20:20" x14ac:dyDescent="0.25">
      <c r="T9719" s="98"/>
    </row>
    <row r="9720" spans="20:20" x14ac:dyDescent="0.25">
      <c r="T9720" s="98"/>
    </row>
    <row r="9721" spans="20:20" x14ac:dyDescent="0.25">
      <c r="T9721" s="98"/>
    </row>
    <row r="9722" spans="20:20" x14ac:dyDescent="0.25">
      <c r="T9722" s="98"/>
    </row>
    <row r="9723" spans="20:20" x14ac:dyDescent="0.25">
      <c r="T9723" s="98"/>
    </row>
    <row r="9724" spans="20:20" x14ac:dyDescent="0.25">
      <c r="T9724" s="98"/>
    </row>
    <row r="9725" spans="20:20" x14ac:dyDescent="0.25">
      <c r="T9725" s="98"/>
    </row>
    <row r="9726" spans="20:20" x14ac:dyDescent="0.25">
      <c r="T9726" s="98"/>
    </row>
    <row r="9727" spans="20:20" x14ac:dyDescent="0.25">
      <c r="T9727" s="98"/>
    </row>
    <row r="9728" spans="20:20" x14ac:dyDescent="0.25">
      <c r="T9728" s="98"/>
    </row>
    <row r="9729" spans="20:20" x14ac:dyDescent="0.25">
      <c r="T9729" s="98"/>
    </row>
    <row r="9730" spans="20:20" x14ac:dyDescent="0.25">
      <c r="T9730" s="98"/>
    </row>
    <row r="9731" spans="20:20" x14ac:dyDescent="0.25">
      <c r="T9731" s="98"/>
    </row>
    <row r="9732" spans="20:20" x14ac:dyDescent="0.25">
      <c r="T9732" s="98"/>
    </row>
    <row r="9733" spans="20:20" x14ac:dyDescent="0.25">
      <c r="T9733" s="98"/>
    </row>
    <row r="9734" spans="20:20" x14ac:dyDescent="0.25">
      <c r="T9734" s="98"/>
    </row>
    <row r="9735" spans="20:20" x14ac:dyDescent="0.25">
      <c r="T9735" s="98"/>
    </row>
    <row r="9736" spans="20:20" x14ac:dyDescent="0.25">
      <c r="T9736" s="98"/>
    </row>
    <row r="9737" spans="20:20" x14ac:dyDescent="0.25">
      <c r="T9737" s="98"/>
    </row>
    <row r="9738" spans="20:20" x14ac:dyDescent="0.25">
      <c r="T9738" s="98"/>
    </row>
    <row r="9739" spans="20:20" x14ac:dyDescent="0.25">
      <c r="T9739" s="98"/>
    </row>
    <row r="9740" spans="20:20" x14ac:dyDescent="0.25">
      <c r="T9740" s="98"/>
    </row>
    <row r="9741" spans="20:20" x14ac:dyDescent="0.25">
      <c r="T9741" s="98"/>
    </row>
    <row r="9742" spans="20:20" x14ac:dyDescent="0.25">
      <c r="T9742" s="98"/>
    </row>
    <row r="9743" spans="20:20" x14ac:dyDescent="0.25">
      <c r="T9743" s="98"/>
    </row>
    <row r="9744" spans="20:20" x14ac:dyDescent="0.25">
      <c r="T9744" s="98"/>
    </row>
    <row r="9745" spans="20:20" x14ac:dyDescent="0.25">
      <c r="T9745" s="98"/>
    </row>
    <row r="9746" spans="20:20" x14ac:dyDescent="0.25">
      <c r="T9746" s="98"/>
    </row>
    <row r="9747" spans="20:20" x14ac:dyDescent="0.25">
      <c r="T9747" s="98"/>
    </row>
    <row r="9748" spans="20:20" x14ac:dyDescent="0.25">
      <c r="T9748" s="98"/>
    </row>
    <row r="9749" spans="20:20" x14ac:dyDescent="0.25">
      <c r="T9749" s="98"/>
    </row>
    <row r="9750" spans="20:20" x14ac:dyDescent="0.25">
      <c r="T9750" s="98"/>
    </row>
    <row r="9751" spans="20:20" x14ac:dyDescent="0.25">
      <c r="T9751" s="98"/>
    </row>
    <row r="9752" spans="20:20" x14ac:dyDescent="0.25">
      <c r="T9752" s="98"/>
    </row>
    <row r="9753" spans="20:20" x14ac:dyDescent="0.25">
      <c r="T9753" s="98"/>
    </row>
    <row r="9754" spans="20:20" x14ac:dyDescent="0.25">
      <c r="T9754" s="98"/>
    </row>
    <row r="9755" spans="20:20" x14ac:dyDescent="0.25">
      <c r="T9755" s="98"/>
    </row>
    <row r="9756" spans="20:20" x14ac:dyDescent="0.25">
      <c r="T9756" s="98"/>
    </row>
    <row r="9757" spans="20:20" x14ac:dyDescent="0.25">
      <c r="T9757" s="98"/>
    </row>
    <row r="9758" spans="20:20" x14ac:dyDescent="0.25">
      <c r="T9758" s="98"/>
    </row>
    <row r="9759" spans="20:20" x14ac:dyDescent="0.25">
      <c r="T9759" s="98"/>
    </row>
    <row r="9760" spans="20:20" x14ac:dyDescent="0.25">
      <c r="T9760" s="98"/>
    </row>
    <row r="9761" spans="20:20" x14ac:dyDescent="0.25">
      <c r="T9761" s="98"/>
    </row>
    <row r="9762" spans="20:20" x14ac:dyDescent="0.25">
      <c r="T9762" s="98"/>
    </row>
    <row r="9763" spans="20:20" x14ac:dyDescent="0.25">
      <c r="T9763" s="98"/>
    </row>
    <row r="9764" spans="20:20" x14ac:dyDescent="0.25">
      <c r="T9764" s="98"/>
    </row>
    <row r="9765" spans="20:20" x14ac:dyDescent="0.25">
      <c r="T9765" s="98"/>
    </row>
    <row r="9766" spans="20:20" x14ac:dyDescent="0.25">
      <c r="T9766" s="98"/>
    </row>
    <row r="9767" spans="20:20" x14ac:dyDescent="0.25">
      <c r="T9767" s="98"/>
    </row>
    <row r="9768" spans="20:20" x14ac:dyDescent="0.25">
      <c r="T9768" s="98"/>
    </row>
    <row r="9769" spans="20:20" x14ac:dyDescent="0.25">
      <c r="T9769" s="98"/>
    </row>
    <row r="9770" spans="20:20" x14ac:dyDescent="0.25">
      <c r="T9770" s="98"/>
    </row>
    <row r="9771" spans="20:20" x14ac:dyDescent="0.25">
      <c r="T9771" s="98"/>
    </row>
    <row r="9772" spans="20:20" x14ac:dyDescent="0.25">
      <c r="T9772" s="98"/>
    </row>
    <row r="9773" spans="20:20" x14ac:dyDescent="0.25">
      <c r="T9773" s="98"/>
    </row>
    <row r="9774" spans="20:20" x14ac:dyDescent="0.25">
      <c r="T9774" s="98"/>
    </row>
    <row r="9775" spans="20:20" x14ac:dyDescent="0.25">
      <c r="T9775" s="98"/>
    </row>
    <row r="9776" spans="20:20" x14ac:dyDescent="0.25">
      <c r="T9776" s="98"/>
    </row>
    <row r="9777" spans="20:20" x14ac:dyDescent="0.25">
      <c r="T9777" s="98"/>
    </row>
    <row r="9778" spans="20:20" x14ac:dyDescent="0.25">
      <c r="T9778" s="98"/>
    </row>
    <row r="9779" spans="20:20" x14ac:dyDescent="0.25">
      <c r="T9779" s="98"/>
    </row>
    <row r="9780" spans="20:20" x14ac:dyDescent="0.25">
      <c r="T9780" s="98"/>
    </row>
    <row r="9781" spans="20:20" x14ac:dyDescent="0.25">
      <c r="T9781" s="98"/>
    </row>
    <row r="9782" spans="20:20" x14ac:dyDescent="0.25">
      <c r="T9782" s="98"/>
    </row>
    <row r="9783" spans="20:20" x14ac:dyDescent="0.25">
      <c r="T9783" s="98"/>
    </row>
    <row r="9784" spans="20:20" x14ac:dyDescent="0.25">
      <c r="T9784" s="98"/>
    </row>
    <row r="9785" spans="20:20" x14ac:dyDescent="0.25">
      <c r="T9785" s="98"/>
    </row>
    <row r="9786" spans="20:20" x14ac:dyDescent="0.25">
      <c r="T9786" s="98"/>
    </row>
    <row r="9787" spans="20:20" x14ac:dyDescent="0.25">
      <c r="T9787" s="98"/>
    </row>
    <row r="9788" spans="20:20" x14ac:dyDescent="0.25">
      <c r="T9788" s="98"/>
    </row>
    <row r="9789" spans="20:20" x14ac:dyDescent="0.25">
      <c r="T9789" s="98"/>
    </row>
    <row r="9790" spans="20:20" x14ac:dyDescent="0.25">
      <c r="T9790" s="98"/>
    </row>
    <row r="9791" spans="20:20" x14ac:dyDescent="0.25">
      <c r="T9791" s="98"/>
    </row>
    <row r="9792" spans="20:20" x14ac:dyDescent="0.25">
      <c r="T9792" s="98"/>
    </row>
    <row r="9793" spans="20:20" x14ac:dyDescent="0.25">
      <c r="T9793" s="98"/>
    </row>
    <row r="9794" spans="20:20" x14ac:dyDescent="0.25">
      <c r="T9794" s="98"/>
    </row>
    <row r="9795" spans="20:20" x14ac:dyDescent="0.25">
      <c r="T9795" s="98"/>
    </row>
    <row r="9796" spans="20:20" x14ac:dyDescent="0.25">
      <c r="T9796" s="98"/>
    </row>
    <row r="9797" spans="20:20" x14ac:dyDescent="0.25">
      <c r="T9797" s="98"/>
    </row>
    <row r="9798" spans="20:20" x14ac:dyDescent="0.25">
      <c r="T9798" s="98"/>
    </row>
    <row r="9799" spans="20:20" x14ac:dyDescent="0.25">
      <c r="T9799" s="98"/>
    </row>
    <row r="9800" spans="20:20" x14ac:dyDescent="0.25">
      <c r="T9800" s="98"/>
    </row>
    <row r="9801" spans="20:20" x14ac:dyDescent="0.25">
      <c r="T9801" s="98"/>
    </row>
    <row r="9802" spans="20:20" x14ac:dyDescent="0.25">
      <c r="T9802" s="98"/>
    </row>
    <row r="9803" spans="20:20" x14ac:dyDescent="0.25">
      <c r="T9803" s="98"/>
    </row>
    <row r="9804" spans="20:20" x14ac:dyDescent="0.25">
      <c r="T9804" s="98"/>
    </row>
    <row r="9805" spans="20:20" x14ac:dyDescent="0.25">
      <c r="T9805" s="98"/>
    </row>
    <row r="9806" spans="20:20" x14ac:dyDescent="0.25">
      <c r="T9806" s="98"/>
    </row>
    <row r="9807" spans="20:20" x14ac:dyDescent="0.25">
      <c r="T9807" s="98"/>
    </row>
    <row r="9808" spans="20:20" x14ac:dyDescent="0.25">
      <c r="T9808" s="98"/>
    </row>
    <row r="9809" spans="20:20" x14ac:dyDescent="0.25">
      <c r="T9809" s="98"/>
    </row>
    <row r="9810" spans="20:20" x14ac:dyDescent="0.25">
      <c r="T9810" s="98"/>
    </row>
    <row r="9811" spans="20:20" x14ac:dyDescent="0.25">
      <c r="T9811" s="98"/>
    </row>
    <row r="9812" spans="20:20" x14ac:dyDescent="0.25">
      <c r="T9812" s="98"/>
    </row>
    <row r="9813" spans="20:20" x14ac:dyDescent="0.25">
      <c r="T9813" s="98"/>
    </row>
    <row r="9814" spans="20:20" x14ac:dyDescent="0.25">
      <c r="T9814" s="98"/>
    </row>
    <row r="9815" spans="20:20" x14ac:dyDescent="0.25">
      <c r="T9815" s="98"/>
    </row>
    <row r="9816" spans="20:20" x14ac:dyDescent="0.25">
      <c r="T9816" s="98"/>
    </row>
    <row r="9817" spans="20:20" x14ac:dyDescent="0.25">
      <c r="T9817" s="98"/>
    </row>
    <row r="9818" spans="20:20" x14ac:dyDescent="0.25">
      <c r="T9818" s="98"/>
    </row>
    <row r="9819" spans="20:20" x14ac:dyDescent="0.25">
      <c r="T9819" s="98"/>
    </row>
    <row r="9820" spans="20:20" x14ac:dyDescent="0.25">
      <c r="T9820" s="98"/>
    </row>
    <row r="9821" spans="20:20" x14ac:dyDescent="0.25">
      <c r="T9821" s="98"/>
    </row>
    <row r="9822" spans="20:20" x14ac:dyDescent="0.25">
      <c r="T9822" s="98"/>
    </row>
    <row r="9823" spans="20:20" x14ac:dyDescent="0.25">
      <c r="T9823" s="98"/>
    </row>
    <row r="9824" spans="20:20" x14ac:dyDescent="0.25">
      <c r="T9824" s="98"/>
    </row>
    <row r="9825" spans="20:20" x14ac:dyDescent="0.25">
      <c r="T9825" s="98"/>
    </row>
    <row r="9826" spans="20:20" x14ac:dyDescent="0.25">
      <c r="T9826" s="98"/>
    </row>
    <row r="9827" spans="20:20" x14ac:dyDescent="0.25">
      <c r="T9827" s="98"/>
    </row>
    <row r="9828" spans="20:20" x14ac:dyDescent="0.25">
      <c r="T9828" s="98"/>
    </row>
    <row r="9829" spans="20:20" x14ac:dyDescent="0.25">
      <c r="T9829" s="98"/>
    </row>
    <row r="9830" spans="20:20" x14ac:dyDescent="0.25">
      <c r="T9830" s="98"/>
    </row>
    <row r="9831" spans="20:20" x14ac:dyDescent="0.25">
      <c r="T9831" s="98"/>
    </row>
    <row r="9832" spans="20:20" x14ac:dyDescent="0.25">
      <c r="T9832" s="98"/>
    </row>
    <row r="9833" spans="20:20" x14ac:dyDescent="0.25">
      <c r="T9833" s="98"/>
    </row>
    <row r="9834" spans="20:20" x14ac:dyDescent="0.25">
      <c r="T9834" s="98"/>
    </row>
    <row r="9835" spans="20:20" x14ac:dyDescent="0.25">
      <c r="T9835" s="98"/>
    </row>
    <row r="9836" spans="20:20" x14ac:dyDescent="0.25">
      <c r="T9836" s="98"/>
    </row>
    <row r="9837" spans="20:20" x14ac:dyDescent="0.25">
      <c r="T9837" s="98"/>
    </row>
    <row r="9838" spans="20:20" x14ac:dyDescent="0.25">
      <c r="T9838" s="98"/>
    </row>
    <row r="9839" spans="20:20" x14ac:dyDescent="0.25">
      <c r="T9839" s="98"/>
    </row>
    <row r="9840" spans="20:20" x14ac:dyDescent="0.25">
      <c r="T9840" s="98"/>
    </row>
    <row r="9841" spans="20:20" x14ac:dyDescent="0.25">
      <c r="T9841" s="98"/>
    </row>
    <row r="9842" spans="20:20" x14ac:dyDescent="0.25">
      <c r="T9842" s="98"/>
    </row>
    <row r="9843" spans="20:20" x14ac:dyDescent="0.25">
      <c r="T9843" s="98"/>
    </row>
    <row r="9844" spans="20:20" x14ac:dyDescent="0.25">
      <c r="T9844" s="98"/>
    </row>
    <row r="9845" spans="20:20" x14ac:dyDescent="0.25">
      <c r="T9845" s="98"/>
    </row>
    <row r="9846" spans="20:20" x14ac:dyDescent="0.25">
      <c r="T9846" s="98"/>
    </row>
    <row r="9847" spans="20:20" x14ac:dyDescent="0.25">
      <c r="T9847" s="98"/>
    </row>
    <row r="9848" spans="20:20" x14ac:dyDescent="0.25">
      <c r="T9848" s="98"/>
    </row>
    <row r="9849" spans="20:20" x14ac:dyDescent="0.25">
      <c r="T9849" s="98"/>
    </row>
    <row r="9850" spans="20:20" x14ac:dyDescent="0.25">
      <c r="T9850" s="98"/>
    </row>
    <row r="9851" spans="20:20" x14ac:dyDescent="0.25">
      <c r="T9851" s="98"/>
    </row>
    <row r="9852" spans="20:20" x14ac:dyDescent="0.25">
      <c r="T9852" s="98"/>
    </row>
    <row r="9853" spans="20:20" x14ac:dyDescent="0.25">
      <c r="T9853" s="98"/>
    </row>
    <row r="9854" spans="20:20" x14ac:dyDescent="0.25">
      <c r="T9854" s="98"/>
    </row>
    <row r="9855" spans="20:20" x14ac:dyDescent="0.25">
      <c r="T9855" s="98"/>
    </row>
    <row r="9856" spans="20:20" x14ac:dyDescent="0.25">
      <c r="T9856" s="98"/>
    </row>
    <row r="9857" spans="20:20" x14ac:dyDescent="0.25">
      <c r="T9857" s="98"/>
    </row>
    <row r="9858" spans="20:20" x14ac:dyDescent="0.25">
      <c r="T9858" s="98"/>
    </row>
    <row r="9859" spans="20:20" x14ac:dyDescent="0.25">
      <c r="T9859" s="98"/>
    </row>
    <row r="9860" spans="20:20" x14ac:dyDescent="0.25">
      <c r="T9860" s="98"/>
    </row>
    <row r="9861" spans="20:20" x14ac:dyDescent="0.25">
      <c r="T9861" s="98"/>
    </row>
    <row r="9862" spans="20:20" x14ac:dyDescent="0.25">
      <c r="T9862" s="98"/>
    </row>
    <row r="9863" spans="20:20" x14ac:dyDescent="0.25">
      <c r="T9863" s="98"/>
    </row>
    <row r="9864" spans="20:20" x14ac:dyDescent="0.25">
      <c r="T9864" s="98"/>
    </row>
    <row r="9865" spans="20:20" x14ac:dyDescent="0.25">
      <c r="T9865" s="98"/>
    </row>
    <row r="9866" spans="20:20" x14ac:dyDescent="0.25">
      <c r="T9866" s="98"/>
    </row>
    <row r="9867" spans="20:20" x14ac:dyDescent="0.25">
      <c r="T9867" s="98"/>
    </row>
    <row r="9868" spans="20:20" x14ac:dyDescent="0.25">
      <c r="T9868" s="98"/>
    </row>
    <row r="9869" spans="20:20" x14ac:dyDescent="0.25">
      <c r="T9869" s="98"/>
    </row>
    <row r="9870" spans="20:20" x14ac:dyDescent="0.25">
      <c r="T9870" s="98"/>
    </row>
    <row r="9871" spans="20:20" x14ac:dyDescent="0.25">
      <c r="T9871" s="98"/>
    </row>
    <row r="9872" spans="20:20" x14ac:dyDescent="0.25">
      <c r="T9872" s="98"/>
    </row>
    <row r="9873" spans="20:20" x14ac:dyDescent="0.25">
      <c r="T9873" s="98"/>
    </row>
    <row r="9874" spans="20:20" x14ac:dyDescent="0.25">
      <c r="T9874" s="98"/>
    </row>
    <row r="9875" spans="20:20" x14ac:dyDescent="0.25">
      <c r="T9875" s="98"/>
    </row>
    <row r="9876" spans="20:20" x14ac:dyDescent="0.25">
      <c r="T9876" s="98"/>
    </row>
    <row r="9877" spans="20:20" x14ac:dyDescent="0.25">
      <c r="T9877" s="98"/>
    </row>
    <row r="9878" spans="20:20" x14ac:dyDescent="0.25">
      <c r="T9878" s="98"/>
    </row>
    <row r="9879" spans="20:20" x14ac:dyDescent="0.25">
      <c r="T9879" s="98"/>
    </row>
    <row r="9880" spans="20:20" x14ac:dyDescent="0.25">
      <c r="T9880" s="98"/>
    </row>
    <row r="9881" spans="20:20" x14ac:dyDescent="0.25">
      <c r="T9881" s="98"/>
    </row>
    <row r="9882" spans="20:20" x14ac:dyDescent="0.25">
      <c r="T9882" s="98"/>
    </row>
    <row r="9883" spans="20:20" x14ac:dyDescent="0.25">
      <c r="T9883" s="98"/>
    </row>
    <row r="9884" spans="20:20" x14ac:dyDescent="0.25">
      <c r="T9884" s="98"/>
    </row>
    <row r="9885" spans="20:20" x14ac:dyDescent="0.25">
      <c r="T9885" s="98"/>
    </row>
    <row r="9886" spans="20:20" x14ac:dyDescent="0.25">
      <c r="T9886" s="98"/>
    </row>
    <row r="9887" spans="20:20" x14ac:dyDescent="0.25">
      <c r="T9887" s="98"/>
    </row>
    <row r="9888" spans="20:20" x14ac:dyDescent="0.25">
      <c r="T9888" s="98"/>
    </row>
    <row r="9889" spans="20:20" x14ac:dyDescent="0.25">
      <c r="T9889" s="98"/>
    </row>
    <row r="9890" spans="20:20" x14ac:dyDescent="0.25">
      <c r="T9890" s="98"/>
    </row>
    <row r="9891" spans="20:20" x14ac:dyDescent="0.25">
      <c r="T9891" s="98"/>
    </row>
    <row r="9892" spans="20:20" x14ac:dyDescent="0.25">
      <c r="T9892" s="98"/>
    </row>
    <row r="9893" spans="20:20" x14ac:dyDescent="0.25">
      <c r="T9893" s="98"/>
    </row>
    <row r="9894" spans="20:20" x14ac:dyDescent="0.25">
      <c r="T9894" s="98"/>
    </row>
    <row r="9895" spans="20:20" x14ac:dyDescent="0.25">
      <c r="T9895" s="98"/>
    </row>
    <row r="9896" spans="20:20" x14ac:dyDescent="0.25">
      <c r="T9896" s="98"/>
    </row>
    <row r="9897" spans="20:20" x14ac:dyDescent="0.25">
      <c r="T9897" s="98"/>
    </row>
    <row r="9898" spans="20:20" x14ac:dyDescent="0.25">
      <c r="T9898" s="98"/>
    </row>
    <row r="9899" spans="20:20" x14ac:dyDescent="0.25">
      <c r="T9899" s="98"/>
    </row>
    <row r="9900" spans="20:20" x14ac:dyDescent="0.25">
      <c r="T9900" s="98"/>
    </row>
    <row r="9901" spans="20:20" x14ac:dyDescent="0.25">
      <c r="T9901" s="98"/>
    </row>
    <row r="9902" spans="20:20" x14ac:dyDescent="0.25">
      <c r="T9902" s="98"/>
    </row>
    <row r="9903" spans="20:20" x14ac:dyDescent="0.25">
      <c r="T9903" s="98"/>
    </row>
    <row r="9904" spans="20:20" x14ac:dyDescent="0.25">
      <c r="T9904" s="98"/>
    </row>
    <row r="9905" spans="20:20" x14ac:dyDescent="0.25">
      <c r="T9905" s="98"/>
    </row>
    <row r="9906" spans="20:20" x14ac:dyDescent="0.25">
      <c r="T9906" s="98"/>
    </row>
    <row r="9907" spans="20:20" x14ac:dyDescent="0.25">
      <c r="T9907" s="98"/>
    </row>
    <row r="9908" spans="20:20" x14ac:dyDescent="0.25">
      <c r="T9908" s="98"/>
    </row>
    <row r="9909" spans="20:20" x14ac:dyDescent="0.25">
      <c r="T9909" s="98"/>
    </row>
    <row r="9910" spans="20:20" x14ac:dyDescent="0.25">
      <c r="T9910" s="98"/>
    </row>
    <row r="9911" spans="20:20" x14ac:dyDescent="0.25">
      <c r="T9911" s="98"/>
    </row>
    <row r="9912" spans="20:20" x14ac:dyDescent="0.25">
      <c r="T9912" s="98"/>
    </row>
    <row r="9913" spans="20:20" x14ac:dyDescent="0.25">
      <c r="T9913" s="98"/>
    </row>
    <row r="9914" spans="20:20" x14ac:dyDescent="0.25">
      <c r="T9914" s="98"/>
    </row>
    <row r="9915" spans="20:20" x14ac:dyDescent="0.25">
      <c r="T9915" s="98"/>
    </row>
    <row r="9916" spans="20:20" x14ac:dyDescent="0.25">
      <c r="T9916" s="98"/>
    </row>
    <row r="9917" spans="20:20" x14ac:dyDescent="0.25">
      <c r="T9917" s="98"/>
    </row>
    <row r="9918" spans="20:20" x14ac:dyDescent="0.25">
      <c r="T9918" s="98"/>
    </row>
    <row r="9919" spans="20:20" x14ac:dyDescent="0.25">
      <c r="T9919" s="98"/>
    </row>
    <row r="9920" spans="20:20" x14ac:dyDescent="0.25">
      <c r="T9920" s="98"/>
    </row>
    <row r="9921" spans="20:20" x14ac:dyDescent="0.25">
      <c r="T9921" s="98"/>
    </row>
    <row r="9922" spans="20:20" x14ac:dyDescent="0.25">
      <c r="T9922" s="98"/>
    </row>
    <row r="9923" spans="20:20" x14ac:dyDescent="0.25">
      <c r="T9923" s="98"/>
    </row>
    <row r="9924" spans="20:20" x14ac:dyDescent="0.25">
      <c r="T9924" s="98"/>
    </row>
    <row r="9925" spans="20:20" x14ac:dyDescent="0.25">
      <c r="T9925" s="98"/>
    </row>
    <row r="9926" spans="20:20" x14ac:dyDescent="0.25">
      <c r="T9926" s="98"/>
    </row>
    <row r="9927" spans="20:20" x14ac:dyDescent="0.25">
      <c r="T9927" s="98"/>
    </row>
    <row r="9928" spans="20:20" x14ac:dyDescent="0.25">
      <c r="T9928" s="98"/>
    </row>
    <row r="9929" spans="20:20" x14ac:dyDescent="0.25">
      <c r="T9929" s="98"/>
    </row>
    <row r="9930" spans="20:20" x14ac:dyDescent="0.25">
      <c r="T9930" s="98"/>
    </row>
    <row r="9931" spans="20:20" x14ac:dyDescent="0.25">
      <c r="T9931" s="98"/>
    </row>
    <row r="9932" spans="20:20" x14ac:dyDescent="0.25">
      <c r="T9932" s="98"/>
    </row>
    <row r="9933" spans="20:20" x14ac:dyDescent="0.25">
      <c r="T9933" s="98"/>
    </row>
    <row r="9934" spans="20:20" x14ac:dyDescent="0.25">
      <c r="T9934" s="98"/>
    </row>
    <row r="9935" spans="20:20" x14ac:dyDescent="0.25">
      <c r="T9935" s="98"/>
    </row>
    <row r="9936" spans="20:20" x14ac:dyDescent="0.25">
      <c r="T9936" s="98"/>
    </row>
    <row r="9937" spans="20:20" x14ac:dyDescent="0.25">
      <c r="T9937" s="98"/>
    </row>
    <row r="9938" spans="20:20" x14ac:dyDescent="0.25">
      <c r="T9938" s="98"/>
    </row>
    <row r="9939" spans="20:20" x14ac:dyDescent="0.25">
      <c r="T9939" s="98"/>
    </row>
    <row r="9940" spans="20:20" x14ac:dyDescent="0.25">
      <c r="T9940" s="98"/>
    </row>
    <row r="9941" spans="20:20" x14ac:dyDescent="0.25">
      <c r="T9941" s="98"/>
    </row>
    <row r="9942" spans="20:20" x14ac:dyDescent="0.25">
      <c r="T9942" s="98"/>
    </row>
    <row r="9943" spans="20:20" x14ac:dyDescent="0.25">
      <c r="T9943" s="98"/>
    </row>
    <row r="9944" spans="20:20" x14ac:dyDescent="0.25">
      <c r="T9944" s="98"/>
    </row>
    <row r="9945" spans="20:20" x14ac:dyDescent="0.25">
      <c r="T9945" s="98"/>
    </row>
    <row r="9946" spans="20:20" x14ac:dyDescent="0.25">
      <c r="T9946" s="98"/>
    </row>
    <row r="9947" spans="20:20" x14ac:dyDescent="0.25">
      <c r="T9947" s="98"/>
    </row>
    <row r="9948" spans="20:20" x14ac:dyDescent="0.25">
      <c r="T9948" s="98"/>
    </row>
    <row r="9949" spans="20:20" x14ac:dyDescent="0.25">
      <c r="T9949" s="98"/>
    </row>
    <row r="9950" spans="20:20" x14ac:dyDescent="0.25">
      <c r="T9950" s="98"/>
    </row>
    <row r="9951" spans="20:20" x14ac:dyDescent="0.25">
      <c r="T9951" s="98"/>
    </row>
    <row r="9952" spans="20:20" x14ac:dyDescent="0.25">
      <c r="T9952" s="98"/>
    </row>
    <row r="9953" spans="20:20" x14ac:dyDescent="0.25">
      <c r="T9953" s="98"/>
    </row>
    <row r="9954" spans="20:20" x14ac:dyDescent="0.25">
      <c r="T9954" s="98"/>
    </row>
    <row r="9955" spans="20:20" x14ac:dyDescent="0.25">
      <c r="T9955" s="98"/>
    </row>
    <row r="9956" spans="20:20" x14ac:dyDescent="0.25">
      <c r="T9956" s="98"/>
    </row>
    <row r="9957" spans="20:20" x14ac:dyDescent="0.25">
      <c r="T9957" s="98"/>
    </row>
    <row r="9958" spans="20:20" x14ac:dyDescent="0.25">
      <c r="T9958" s="98"/>
    </row>
    <row r="9959" spans="20:20" x14ac:dyDescent="0.25">
      <c r="T9959" s="98"/>
    </row>
    <row r="9960" spans="20:20" x14ac:dyDescent="0.25">
      <c r="T9960" s="98"/>
    </row>
    <row r="9961" spans="20:20" x14ac:dyDescent="0.25">
      <c r="T9961" s="98"/>
    </row>
    <row r="9962" spans="20:20" x14ac:dyDescent="0.25">
      <c r="T9962" s="98"/>
    </row>
    <row r="9963" spans="20:20" x14ac:dyDescent="0.25">
      <c r="T9963" s="98"/>
    </row>
    <row r="9964" spans="20:20" x14ac:dyDescent="0.25">
      <c r="T9964" s="98"/>
    </row>
    <row r="9965" spans="20:20" x14ac:dyDescent="0.25">
      <c r="T9965" s="98"/>
    </row>
    <row r="9966" spans="20:20" x14ac:dyDescent="0.25">
      <c r="T9966" s="98"/>
    </row>
    <row r="9967" spans="20:20" x14ac:dyDescent="0.25">
      <c r="T9967" s="98"/>
    </row>
    <row r="9968" spans="20:20" x14ac:dyDescent="0.25">
      <c r="T9968" s="98"/>
    </row>
    <row r="9969" spans="20:20" x14ac:dyDescent="0.25">
      <c r="T9969" s="98"/>
    </row>
    <row r="9970" spans="20:20" x14ac:dyDescent="0.25">
      <c r="T9970" s="98"/>
    </row>
    <row r="9971" spans="20:20" x14ac:dyDescent="0.25">
      <c r="T9971" s="98"/>
    </row>
    <row r="9972" spans="20:20" x14ac:dyDescent="0.25">
      <c r="T9972" s="98"/>
    </row>
    <row r="9973" spans="20:20" x14ac:dyDescent="0.25">
      <c r="T9973" s="98"/>
    </row>
    <row r="9974" spans="20:20" x14ac:dyDescent="0.25">
      <c r="T9974" s="98"/>
    </row>
    <row r="9975" spans="20:20" x14ac:dyDescent="0.25">
      <c r="T9975" s="98"/>
    </row>
    <row r="9976" spans="20:20" x14ac:dyDescent="0.25">
      <c r="T9976" s="98"/>
    </row>
    <row r="9977" spans="20:20" x14ac:dyDescent="0.25">
      <c r="T9977" s="98"/>
    </row>
    <row r="9978" spans="20:20" x14ac:dyDescent="0.25">
      <c r="T9978" s="98"/>
    </row>
    <row r="9979" spans="20:20" x14ac:dyDescent="0.25">
      <c r="T9979" s="98"/>
    </row>
    <row r="9980" spans="20:20" x14ac:dyDescent="0.25">
      <c r="T9980" s="98"/>
    </row>
    <row r="9981" spans="20:20" x14ac:dyDescent="0.25">
      <c r="T9981" s="98"/>
    </row>
    <row r="9982" spans="20:20" x14ac:dyDescent="0.25">
      <c r="T9982" s="98"/>
    </row>
    <row r="9983" spans="20:20" x14ac:dyDescent="0.25">
      <c r="T9983" s="98"/>
    </row>
    <row r="9984" spans="20:20" x14ac:dyDescent="0.25">
      <c r="T9984" s="98"/>
    </row>
    <row r="9985" spans="20:20" x14ac:dyDescent="0.25">
      <c r="T9985" s="98"/>
    </row>
    <row r="9986" spans="20:20" x14ac:dyDescent="0.25">
      <c r="T9986" s="98"/>
    </row>
    <row r="9987" spans="20:20" x14ac:dyDescent="0.25">
      <c r="T9987" s="98"/>
    </row>
    <row r="9988" spans="20:20" x14ac:dyDescent="0.25">
      <c r="T9988" s="98"/>
    </row>
    <row r="9989" spans="20:20" x14ac:dyDescent="0.25">
      <c r="T9989" s="98"/>
    </row>
    <row r="9990" spans="20:20" x14ac:dyDescent="0.25">
      <c r="T9990" s="98"/>
    </row>
    <row r="9991" spans="20:20" x14ac:dyDescent="0.25">
      <c r="T9991" s="98"/>
    </row>
    <row r="9992" spans="20:20" x14ac:dyDescent="0.25">
      <c r="T9992" s="98"/>
    </row>
    <row r="9993" spans="20:20" x14ac:dyDescent="0.25">
      <c r="T9993" s="98"/>
    </row>
    <row r="9994" spans="20:20" x14ac:dyDescent="0.25">
      <c r="T9994" s="98"/>
    </row>
    <row r="9995" spans="20:20" x14ac:dyDescent="0.25">
      <c r="T9995" s="98"/>
    </row>
    <row r="9996" spans="20:20" x14ac:dyDescent="0.25">
      <c r="T9996" s="98"/>
    </row>
    <row r="9997" spans="20:20" x14ac:dyDescent="0.25">
      <c r="T9997" s="98"/>
    </row>
    <row r="9998" spans="20:20" x14ac:dyDescent="0.25">
      <c r="T9998" s="98"/>
    </row>
    <row r="9999" spans="20:20" x14ac:dyDescent="0.25">
      <c r="T9999" s="98"/>
    </row>
    <row r="10000" spans="20:20" x14ac:dyDescent="0.25">
      <c r="T10000" s="98"/>
    </row>
    <row r="10001" spans="20:20" x14ac:dyDescent="0.25">
      <c r="T10001" s="98"/>
    </row>
    <row r="10002" spans="20:20" x14ac:dyDescent="0.25">
      <c r="T10002" s="98"/>
    </row>
    <row r="10003" spans="20:20" x14ac:dyDescent="0.25">
      <c r="T10003" s="98"/>
    </row>
    <row r="10004" spans="20:20" x14ac:dyDescent="0.25">
      <c r="T10004" s="98"/>
    </row>
    <row r="10005" spans="20:20" x14ac:dyDescent="0.25">
      <c r="T10005" s="98"/>
    </row>
    <row r="10006" spans="20:20" x14ac:dyDescent="0.25">
      <c r="T10006" s="98"/>
    </row>
    <row r="10007" spans="20:20" x14ac:dyDescent="0.25">
      <c r="T10007" s="98"/>
    </row>
    <row r="10008" spans="20:20" x14ac:dyDescent="0.25">
      <c r="T10008" s="98"/>
    </row>
    <row r="10009" spans="20:20" x14ac:dyDescent="0.25">
      <c r="T10009" s="98"/>
    </row>
    <row r="10010" spans="20:20" x14ac:dyDescent="0.25">
      <c r="T10010" s="98"/>
    </row>
    <row r="10011" spans="20:20" x14ac:dyDescent="0.25">
      <c r="T10011" s="98"/>
    </row>
    <row r="10012" spans="20:20" x14ac:dyDescent="0.25">
      <c r="T10012" s="98"/>
    </row>
    <row r="10013" spans="20:20" x14ac:dyDescent="0.25">
      <c r="T10013" s="98"/>
    </row>
    <row r="10014" spans="20:20" x14ac:dyDescent="0.25">
      <c r="T10014" s="98"/>
    </row>
    <row r="10015" spans="20:20" x14ac:dyDescent="0.25">
      <c r="T10015" s="98"/>
    </row>
    <row r="10016" spans="20:20" x14ac:dyDescent="0.25">
      <c r="T10016" s="98"/>
    </row>
    <row r="10017" spans="20:20" x14ac:dyDescent="0.25">
      <c r="T10017" s="98"/>
    </row>
    <row r="10018" spans="20:20" x14ac:dyDescent="0.25">
      <c r="T10018" s="98"/>
    </row>
    <row r="10019" spans="20:20" x14ac:dyDescent="0.25">
      <c r="T10019" s="98"/>
    </row>
    <row r="10020" spans="20:20" x14ac:dyDescent="0.25">
      <c r="T10020" s="98"/>
    </row>
    <row r="10021" spans="20:20" x14ac:dyDescent="0.25">
      <c r="T10021" s="98"/>
    </row>
    <row r="10022" spans="20:20" x14ac:dyDescent="0.25">
      <c r="T10022" s="98"/>
    </row>
    <row r="10023" spans="20:20" x14ac:dyDescent="0.25">
      <c r="T10023" s="98"/>
    </row>
    <row r="10024" spans="20:20" x14ac:dyDescent="0.25">
      <c r="T10024" s="98"/>
    </row>
    <row r="10025" spans="20:20" x14ac:dyDescent="0.25">
      <c r="T10025" s="98"/>
    </row>
    <row r="10026" spans="20:20" x14ac:dyDescent="0.25">
      <c r="T10026" s="98"/>
    </row>
    <row r="10027" spans="20:20" x14ac:dyDescent="0.25">
      <c r="T10027" s="98"/>
    </row>
    <row r="10028" spans="20:20" x14ac:dyDescent="0.25">
      <c r="T10028" s="98"/>
    </row>
    <row r="10029" spans="20:20" x14ac:dyDescent="0.25">
      <c r="T10029" s="98"/>
    </row>
    <row r="10030" spans="20:20" x14ac:dyDescent="0.25">
      <c r="T10030" s="98"/>
    </row>
    <row r="10031" spans="20:20" x14ac:dyDescent="0.25">
      <c r="T10031" s="98"/>
    </row>
    <row r="10032" spans="20:20" x14ac:dyDescent="0.25">
      <c r="T10032" s="98"/>
    </row>
    <row r="10033" spans="20:20" x14ac:dyDescent="0.25">
      <c r="T10033" s="98"/>
    </row>
    <row r="10034" spans="20:20" x14ac:dyDescent="0.25">
      <c r="T10034" s="98"/>
    </row>
    <row r="10035" spans="20:20" x14ac:dyDescent="0.25">
      <c r="T10035" s="98"/>
    </row>
    <row r="10036" spans="20:20" x14ac:dyDescent="0.25">
      <c r="T10036" s="98"/>
    </row>
    <row r="10037" spans="20:20" x14ac:dyDescent="0.25">
      <c r="T10037" s="98"/>
    </row>
    <row r="10038" spans="20:20" x14ac:dyDescent="0.25">
      <c r="T10038" s="98"/>
    </row>
    <row r="10039" spans="20:20" x14ac:dyDescent="0.25">
      <c r="T10039" s="98"/>
    </row>
    <row r="10040" spans="20:20" x14ac:dyDescent="0.25">
      <c r="T10040" s="98"/>
    </row>
    <row r="10041" spans="20:20" x14ac:dyDescent="0.25">
      <c r="T10041" s="98"/>
    </row>
    <row r="10042" spans="20:20" x14ac:dyDescent="0.25">
      <c r="T10042" s="98"/>
    </row>
    <row r="10043" spans="20:20" x14ac:dyDescent="0.25">
      <c r="T10043" s="98"/>
    </row>
    <row r="10044" spans="20:20" x14ac:dyDescent="0.25">
      <c r="T10044" s="98"/>
    </row>
    <row r="10045" spans="20:20" x14ac:dyDescent="0.25">
      <c r="T10045" s="98"/>
    </row>
    <row r="10046" spans="20:20" x14ac:dyDescent="0.25">
      <c r="T10046" s="98"/>
    </row>
    <row r="10047" spans="20:20" x14ac:dyDescent="0.25">
      <c r="T10047" s="98"/>
    </row>
    <row r="10048" spans="20:20" x14ac:dyDescent="0.25">
      <c r="T10048" s="98"/>
    </row>
    <row r="10049" spans="20:20" x14ac:dyDescent="0.25">
      <c r="T10049" s="98"/>
    </row>
    <row r="10050" spans="20:20" x14ac:dyDescent="0.25">
      <c r="T10050" s="98"/>
    </row>
    <row r="10051" spans="20:20" x14ac:dyDescent="0.25">
      <c r="T10051" s="98"/>
    </row>
    <row r="10052" spans="20:20" x14ac:dyDescent="0.25">
      <c r="T10052" s="98"/>
    </row>
    <row r="10053" spans="20:20" x14ac:dyDescent="0.25">
      <c r="T10053" s="98"/>
    </row>
    <row r="10054" spans="20:20" x14ac:dyDescent="0.25">
      <c r="T10054" s="98"/>
    </row>
    <row r="10055" spans="20:20" x14ac:dyDescent="0.25">
      <c r="T10055" s="98"/>
    </row>
    <row r="10056" spans="20:20" x14ac:dyDescent="0.25">
      <c r="T10056" s="98"/>
    </row>
    <row r="10057" spans="20:20" x14ac:dyDescent="0.25">
      <c r="T10057" s="98"/>
    </row>
    <row r="10058" spans="20:20" x14ac:dyDescent="0.25">
      <c r="T10058" s="98"/>
    </row>
    <row r="10059" spans="20:20" x14ac:dyDescent="0.25">
      <c r="T10059" s="98"/>
    </row>
    <row r="10060" spans="20:20" x14ac:dyDescent="0.25">
      <c r="T10060" s="98"/>
    </row>
    <row r="10061" spans="20:20" x14ac:dyDescent="0.25">
      <c r="T10061" s="98"/>
    </row>
    <row r="10062" spans="20:20" x14ac:dyDescent="0.25">
      <c r="T10062" s="98"/>
    </row>
    <row r="10063" spans="20:20" x14ac:dyDescent="0.25">
      <c r="T10063" s="98"/>
    </row>
    <row r="10064" spans="20:20" x14ac:dyDescent="0.25">
      <c r="T10064" s="98"/>
    </row>
    <row r="10065" spans="20:20" x14ac:dyDescent="0.25">
      <c r="T10065" s="98"/>
    </row>
    <row r="10066" spans="20:20" x14ac:dyDescent="0.25">
      <c r="T10066" s="98"/>
    </row>
    <row r="10067" spans="20:20" x14ac:dyDescent="0.25">
      <c r="T10067" s="98"/>
    </row>
    <row r="10068" spans="20:20" x14ac:dyDescent="0.25">
      <c r="T10068" s="98"/>
    </row>
    <row r="10069" spans="20:20" x14ac:dyDescent="0.25">
      <c r="T10069" s="98"/>
    </row>
    <row r="10070" spans="20:20" x14ac:dyDescent="0.25">
      <c r="T10070" s="98"/>
    </row>
    <row r="10071" spans="20:20" x14ac:dyDescent="0.25">
      <c r="T10071" s="98"/>
    </row>
    <row r="10072" spans="20:20" x14ac:dyDescent="0.25">
      <c r="T10072" s="98"/>
    </row>
    <row r="10073" spans="20:20" x14ac:dyDescent="0.25">
      <c r="T10073" s="98"/>
    </row>
    <row r="10074" spans="20:20" x14ac:dyDescent="0.25">
      <c r="T10074" s="98"/>
    </row>
    <row r="10075" spans="20:20" x14ac:dyDescent="0.25">
      <c r="T10075" s="98"/>
    </row>
    <row r="10076" spans="20:20" x14ac:dyDescent="0.25">
      <c r="T10076" s="98"/>
    </row>
    <row r="10077" spans="20:20" x14ac:dyDescent="0.25">
      <c r="T10077" s="98"/>
    </row>
    <row r="10078" spans="20:20" x14ac:dyDescent="0.25">
      <c r="T10078" s="98"/>
    </row>
    <row r="10079" spans="20:20" x14ac:dyDescent="0.25">
      <c r="T10079" s="98"/>
    </row>
    <row r="10080" spans="20:20" x14ac:dyDescent="0.25">
      <c r="T10080" s="98"/>
    </row>
    <row r="10081" spans="20:20" x14ac:dyDescent="0.25">
      <c r="T10081" s="98"/>
    </row>
    <row r="10082" spans="20:20" x14ac:dyDescent="0.25">
      <c r="T10082" s="98"/>
    </row>
    <row r="10083" spans="20:20" x14ac:dyDescent="0.25">
      <c r="T10083" s="98"/>
    </row>
    <row r="10084" spans="20:20" x14ac:dyDescent="0.25">
      <c r="T10084" s="98"/>
    </row>
    <row r="10085" spans="20:20" x14ac:dyDescent="0.25">
      <c r="T10085" s="98"/>
    </row>
    <row r="10086" spans="20:20" x14ac:dyDescent="0.25">
      <c r="T10086" s="98"/>
    </row>
    <row r="10087" spans="20:20" x14ac:dyDescent="0.25">
      <c r="T10087" s="98"/>
    </row>
    <row r="10088" spans="20:20" x14ac:dyDescent="0.25">
      <c r="T10088" s="98"/>
    </row>
    <row r="10089" spans="20:20" x14ac:dyDescent="0.25">
      <c r="T10089" s="98"/>
    </row>
    <row r="10090" spans="20:20" x14ac:dyDescent="0.25">
      <c r="T10090" s="98"/>
    </row>
    <row r="10091" spans="20:20" x14ac:dyDescent="0.25">
      <c r="T10091" s="98"/>
    </row>
    <row r="10092" spans="20:20" x14ac:dyDescent="0.25">
      <c r="T10092" s="98"/>
    </row>
    <row r="10093" spans="20:20" x14ac:dyDescent="0.25">
      <c r="T10093" s="98"/>
    </row>
    <row r="10094" spans="20:20" x14ac:dyDescent="0.25">
      <c r="T10094" s="98"/>
    </row>
    <row r="10095" spans="20:20" x14ac:dyDescent="0.25">
      <c r="T10095" s="98"/>
    </row>
    <row r="10096" spans="20:20" x14ac:dyDescent="0.25">
      <c r="T10096" s="98"/>
    </row>
    <row r="10097" spans="20:20" x14ac:dyDescent="0.25">
      <c r="T10097" s="98"/>
    </row>
    <row r="10098" spans="20:20" x14ac:dyDescent="0.25">
      <c r="T10098" s="98"/>
    </row>
    <row r="10099" spans="20:20" x14ac:dyDescent="0.25">
      <c r="T10099" s="98"/>
    </row>
    <row r="10100" spans="20:20" x14ac:dyDescent="0.25">
      <c r="T10100" s="98"/>
    </row>
    <row r="10101" spans="20:20" x14ac:dyDescent="0.25">
      <c r="T10101" s="98"/>
    </row>
    <row r="10102" spans="20:20" x14ac:dyDescent="0.25">
      <c r="T10102" s="98"/>
    </row>
    <row r="10103" spans="20:20" x14ac:dyDescent="0.25">
      <c r="T10103" s="98"/>
    </row>
    <row r="10104" spans="20:20" x14ac:dyDescent="0.25">
      <c r="T10104" s="98"/>
    </row>
    <row r="10105" spans="20:20" x14ac:dyDescent="0.25">
      <c r="T10105" s="98"/>
    </row>
    <row r="10106" spans="20:20" x14ac:dyDescent="0.25">
      <c r="T10106" s="98"/>
    </row>
    <row r="10107" spans="20:20" x14ac:dyDescent="0.25">
      <c r="T10107" s="98"/>
    </row>
    <row r="10108" spans="20:20" x14ac:dyDescent="0.25">
      <c r="T10108" s="98"/>
    </row>
    <row r="10109" spans="20:20" x14ac:dyDescent="0.25">
      <c r="T10109" s="98"/>
    </row>
    <row r="10110" spans="20:20" x14ac:dyDescent="0.25">
      <c r="T10110" s="98"/>
    </row>
    <row r="10111" spans="20:20" x14ac:dyDescent="0.25">
      <c r="T10111" s="98"/>
    </row>
    <row r="10112" spans="20:20" x14ac:dyDescent="0.25">
      <c r="T10112" s="98"/>
    </row>
    <row r="10113" spans="20:20" x14ac:dyDescent="0.25">
      <c r="T10113" s="98"/>
    </row>
    <row r="10114" spans="20:20" x14ac:dyDescent="0.25">
      <c r="T10114" s="98"/>
    </row>
    <row r="10115" spans="20:20" x14ac:dyDescent="0.25">
      <c r="T10115" s="98"/>
    </row>
    <row r="10116" spans="20:20" x14ac:dyDescent="0.25">
      <c r="T10116" s="98"/>
    </row>
    <row r="10117" spans="20:20" x14ac:dyDescent="0.25">
      <c r="T10117" s="98"/>
    </row>
    <row r="10118" spans="20:20" x14ac:dyDescent="0.25">
      <c r="T10118" s="98"/>
    </row>
    <row r="10119" spans="20:20" x14ac:dyDescent="0.25">
      <c r="T10119" s="98"/>
    </row>
    <row r="10120" spans="20:20" x14ac:dyDescent="0.25">
      <c r="T10120" s="98"/>
    </row>
    <row r="10121" spans="20:20" x14ac:dyDescent="0.25">
      <c r="T10121" s="98"/>
    </row>
    <row r="10122" spans="20:20" x14ac:dyDescent="0.25">
      <c r="T10122" s="98"/>
    </row>
    <row r="10123" spans="20:20" x14ac:dyDescent="0.25">
      <c r="T10123" s="98"/>
    </row>
    <row r="10124" spans="20:20" x14ac:dyDescent="0.25">
      <c r="T10124" s="98"/>
    </row>
    <row r="10125" spans="20:20" x14ac:dyDescent="0.25">
      <c r="T10125" s="98"/>
    </row>
    <row r="10126" spans="20:20" x14ac:dyDescent="0.25">
      <c r="T10126" s="98"/>
    </row>
    <row r="10127" spans="20:20" x14ac:dyDescent="0.25">
      <c r="T10127" s="98"/>
    </row>
    <row r="10128" spans="20:20" x14ac:dyDescent="0.25">
      <c r="T10128" s="98"/>
    </row>
    <row r="10129" spans="20:20" x14ac:dyDescent="0.25">
      <c r="T10129" s="98"/>
    </row>
    <row r="10130" spans="20:20" x14ac:dyDescent="0.25">
      <c r="T10130" s="98"/>
    </row>
    <row r="10131" spans="20:20" x14ac:dyDescent="0.25">
      <c r="T10131" s="98"/>
    </row>
    <row r="10132" spans="20:20" x14ac:dyDescent="0.25">
      <c r="T10132" s="98"/>
    </row>
    <row r="10133" spans="20:20" x14ac:dyDescent="0.25">
      <c r="T10133" s="98"/>
    </row>
    <row r="10134" spans="20:20" x14ac:dyDescent="0.25">
      <c r="T10134" s="98"/>
    </row>
    <row r="10135" spans="20:20" x14ac:dyDescent="0.25">
      <c r="T10135" s="98"/>
    </row>
    <row r="10136" spans="20:20" x14ac:dyDescent="0.25">
      <c r="T10136" s="98"/>
    </row>
    <row r="10137" spans="20:20" x14ac:dyDescent="0.25">
      <c r="T10137" s="98"/>
    </row>
    <row r="10138" spans="20:20" x14ac:dyDescent="0.25">
      <c r="T10138" s="98"/>
    </row>
    <row r="10139" spans="20:20" x14ac:dyDescent="0.25">
      <c r="T10139" s="98"/>
    </row>
    <row r="10140" spans="20:20" x14ac:dyDescent="0.25">
      <c r="T10140" s="98"/>
    </row>
    <row r="10141" spans="20:20" x14ac:dyDescent="0.25">
      <c r="T10141" s="98"/>
    </row>
    <row r="10142" spans="20:20" x14ac:dyDescent="0.25">
      <c r="T10142" s="98"/>
    </row>
    <row r="10143" spans="20:20" x14ac:dyDescent="0.25">
      <c r="T10143" s="98"/>
    </row>
    <row r="10144" spans="20:20" x14ac:dyDescent="0.25">
      <c r="T10144" s="98"/>
    </row>
    <row r="10145" spans="20:20" x14ac:dyDescent="0.25">
      <c r="T10145" s="98"/>
    </row>
    <row r="10146" spans="20:20" x14ac:dyDescent="0.25">
      <c r="T10146" s="98"/>
    </row>
    <row r="10147" spans="20:20" x14ac:dyDescent="0.25">
      <c r="T10147" s="98"/>
    </row>
    <row r="10148" spans="20:20" x14ac:dyDescent="0.25">
      <c r="T10148" s="98"/>
    </row>
    <row r="10149" spans="20:20" x14ac:dyDescent="0.25">
      <c r="T10149" s="98"/>
    </row>
    <row r="10150" spans="20:20" x14ac:dyDescent="0.25">
      <c r="T10150" s="98"/>
    </row>
    <row r="10151" spans="20:20" x14ac:dyDescent="0.25">
      <c r="T10151" s="98"/>
    </row>
    <row r="10152" spans="20:20" x14ac:dyDescent="0.25">
      <c r="T10152" s="98"/>
    </row>
    <row r="10153" spans="20:20" x14ac:dyDescent="0.25">
      <c r="T10153" s="98"/>
    </row>
    <row r="10154" spans="20:20" x14ac:dyDescent="0.25">
      <c r="T10154" s="98"/>
    </row>
    <row r="10155" spans="20:20" x14ac:dyDescent="0.25">
      <c r="T10155" s="98"/>
    </row>
    <row r="10156" spans="20:20" x14ac:dyDescent="0.25">
      <c r="T10156" s="98"/>
    </row>
    <row r="10157" spans="20:20" x14ac:dyDescent="0.25">
      <c r="T10157" s="98"/>
    </row>
    <row r="10158" spans="20:20" x14ac:dyDescent="0.25">
      <c r="T10158" s="98"/>
    </row>
    <row r="10159" spans="20:20" x14ac:dyDescent="0.25">
      <c r="T10159" s="98"/>
    </row>
    <row r="10160" spans="20:20" x14ac:dyDescent="0.25">
      <c r="T10160" s="98"/>
    </row>
    <row r="10161" spans="20:20" x14ac:dyDescent="0.25">
      <c r="T10161" s="98"/>
    </row>
    <row r="10162" spans="20:20" x14ac:dyDescent="0.25">
      <c r="T10162" s="98"/>
    </row>
    <row r="10163" spans="20:20" x14ac:dyDescent="0.25">
      <c r="T10163" s="98"/>
    </row>
    <row r="10164" spans="20:20" x14ac:dyDescent="0.25">
      <c r="T10164" s="98"/>
    </row>
    <row r="10165" spans="20:20" x14ac:dyDescent="0.25">
      <c r="T10165" s="98"/>
    </row>
    <row r="10166" spans="20:20" x14ac:dyDescent="0.25">
      <c r="T10166" s="98"/>
    </row>
    <row r="10167" spans="20:20" x14ac:dyDescent="0.25">
      <c r="T10167" s="98"/>
    </row>
    <row r="10168" spans="20:20" x14ac:dyDescent="0.25">
      <c r="T10168" s="98"/>
    </row>
    <row r="10169" spans="20:20" x14ac:dyDescent="0.25">
      <c r="T10169" s="98"/>
    </row>
    <row r="10170" spans="20:20" x14ac:dyDescent="0.25">
      <c r="T10170" s="98"/>
    </row>
    <row r="10171" spans="20:20" x14ac:dyDescent="0.25">
      <c r="T10171" s="98"/>
    </row>
    <row r="10172" spans="20:20" x14ac:dyDescent="0.25">
      <c r="T10172" s="98"/>
    </row>
    <row r="10173" spans="20:20" x14ac:dyDescent="0.25">
      <c r="T10173" s="98"/>
    </row>
    <row r="10174" spans="20:20" x14ac:dyDescent="0.25">
      <c r="T10174" s="98"/>
    </row>
    <row r="10175" spans="20:20" x14ac:dyDescent="0.25">
      <c r="T10175" s="98"/>
    </row>
    <row r="10176" spans="20:20" x14ac:dyDescent="0.25">
      <c r="T10176" s="98"/>
    </row>
    <row r="10177" spans="20:20" x14ac:dyDescent="0.25">
      <c r="T10177" s="98"/>
    </row>
    <row r="10178" spans="20:20" x14ac:dyDescent="0.25">
      <c r="T10178" s="98"/>
    </row>
    <row r="10179" spans="20:20" x14ac:dyDescent="0.25">
      <c r="T10179" s="98"/>
    </row>
    <row r="10180" spans="20:20" x14ac:dyDescent="0.25">
      <c r="T10180" s="98"/>
    </row>
    <row r="10181" spans="20:20" x14ac:dyDescent="0.25">
      <c r="T10181" s="98"/>
    </row>
    <row r="10182" spans="20:20" x14ac:dyDescent="0.25">
      <c r="T10182" s="98"/>
    </row>
    <row r="10183" spans="20:20" x14ac:dyDescent="0.25">
      <c r="T10183" s="98"/>
    </row>
    <row r="10184" spans="20:20" x14ac:dyDescent="0.25">
      <c r="T10184" s="98"/>
    </row>
    <row r="10185" spans="20:20" x14ac:dyDescent="0.25">
      <c r="T10185" s="98"/>
    </row>
    <row r="10186" spans="20:20" x14ac:dyDescent="0.25">
      <c r="T10186" s="98"/>
    </row>
    <row r="10187" spans="20:20" x14ac:dyDescent="0.25">
      <c r="T10187" s="98"/>
    </row>
    <row r="10188" spans="20:20" x14ac:dyDescent="0.25">
      <c r="T10188" s="98"/>
    </row>
    <row r="10189" spans="20:20" x14ac:dyDescent="0.25">
      <c r="T10189" s="98"/>
    </row>
    <row r="10190" spans="20:20" x14ac:dyDescent="0.25">
      <c r="T10190" s="98"/>
    </row>
    <row r="10191" spans="20:20" x14ac:dyDescent="0.25">
      <c r="T10191" s="98"/>
    </row>
    <row r="10192" spans="20:20" x14ac:dyDescent="0.25">
      <c r="T10192" s="98"/>
    </row>
    <row r="10193" spans="20:20" x14ac:dyDescent="0.25">
      <c r="T10193" s="98"/>
    </row>
    <row r="10194" spans="20:20" x14ac:dyDescent="0.25">
      <c r="T10194" s="98"/>
    </row>
    <row r="10195" spans="20:20" x14ac:dyDescent="0.25">
      <c r="T10195" s="98"/>
    </row>
    <row r="10196" spans="20:20" x14ac:dyDescent="0.25">
      <c r="T10196" s="98"/>
    </row>
    <row r="10197" spans="20:20" x14ac:dyDescent="0.25">
      <c r="T10197" s="98"/>
    </row>
    <row r="10198" spans="20:20" x14ac:dyDescent="0.25">
      <c r="T10198" s="98"/>
    </row>
    <row r="10199" spans="20:20" x14ac:dyDescent="0.25">
      <c r="T10199" s="98"/>
    </row>
    <row r="10200" spans="20:20" x14ac:dyDescent="0.25">
      <c r="T10200" s="98"/>
    </row>
    <row r="10201" spans="20:20" x14ac:dyDescent="0.25">
      <c r="T10201" s="98"/>
    </row>
    <row r="10202" spans="20:20" x14ac:dyDescent="0.25">
      <c r="T10202" s="98"/>
    </row>
    <row r="10203" spans="20:20" x14ac:dyDescent="0.25">
      <c r="T10203" s="98"/>
    </row>
    <row r="10204" spans="20:20" x14ac:dyDescent="0.25">
      <c r="T10204" s="98"/>
    </row>
    <row r="10205" spans="20:20" x14ac:dyDescent="0.25">
      <c r="T10205" s="98"/>
    </row>
    <row r="10206" spans="20:20" x14ac:dyDescent="0.25">
      <c r="T10206" s="98"/>
    </row>
    <row r="10207" spans="20:20" x14ac:dyDescent="0.25">
      <c r="T10207" s="98"/>
    </row>
    <row r="10208" spans="20:20" x14ac:dyDescent="0.25">
      <c r="T10208" s="98"/>
    </row>
    <row r="10209" spans="20:20" x14ac:dyDescent="0.25">
      <c r="T10209" s="98"/>
    </row>
    <row r="10210" spans="20:20" x14ac:dyDescent="0.25">
      <c r="T10210" s="98"/>
    </row>
    <row r="10211" spans="20:20" x14ac:dyDescent="0.25">
      <c r="T10211" s="98"/>
    </row>
    <row r="10212" spans="20:20" x14ac:dyDescent="0.25">
      <c r="T10212" s="98"/>
    </row>
    <row r="10213" spans="20:20" x14ac:dyDescent="0.25">
      <c r="T10213" s="98"/>
    </row>
    <row r="10214" spans="20:20" x14ac:dyDescent="0.25">
      <c r="T10214" s="98"/>
    </row>
    <row r="10215" spans="20:20" x14ac:dyDescent="0.25">
      <c r="T10215" s="98"/>
    </row>
    <row r="10216" spans="20:20" x14ac:dyDescent="0.25">
      <c r="T10216" s="98"/>
    </row>
    <row r="10217" spans="20:20" x14ac:dyDescent="0.25">
      <c r="T10217" s="98"/>
    </row>
    <row r="10218" spans="20:20" x14ac:dyDescent="0.25">
      <c r="T10218" s="98"/>
    </row>
    <row r="10219" spans="20:20" x14ac:dyDescent="0.25">
      <c r="T10219" s="98"/>
    </row>
    <row r="10220" spans="20:20" x14ac:dyDescent="0.25">
      <c r="T10220" s="98"/>
    </row>
    <row r="10221" spans="20:20" x14ac:dyDescent="0.25">
      <c r="T10221" s="98"/>
    </row>
    <row r="10222" spans="20:20" x14ac:dyDescent="0.25">
      <c r="T10222" s="98"/>
    </row>
    <row r="10223" spans="20:20" x14ac:dyDescent="0.25">
      <c r="T10223" s="98"/>
    </row>
    <row r="10224" spans="20:20" x14ac:dyDescent="0.25">
      <c r="T10224" s="98"/>
    </row>
    <row r="10225" spans="20:20" x14ac:dyDescent="0.25">
      <c r="T10225" s="98"/>
    </row>
    <row r="10226" spans="20:20" x14ac:dyDescent="0.25">
      <c r="T10226" s="98"/>
    </row>
    <row r="10227" spans="20:20" x14ac:dyDescent="0.25">
      <c r="T10227" s="98"/>
    </row>
    <row r="10228" spans="20:20" x14ac:dyDescent="0.25">
      <c r="T10228" s="98"/>
    </row>
    <row r="10229" spans="20:20" x14ac:dyDescent="0.25">
      <c r="T10229" s="98"/>
    </row>
    <row r="10230" spans="20:20" x14ac:dyDescent="0.25">
      <c r="T10230" s="98"/>
    </row>
    <row r="10231" spans="20:20" x14ac:dyDescent="0.25">
      <c r="T10231" s="98"/>
    </row>
    <row r="10232" spans="20:20" x14ac:dyDescent="0.25">
      <c r="T10232" s="98"/>
    </row>
    <row r="10233" spans="20:20" x14ac:dyDescent="0.25">
      <c r="T10233" s="98"/>
    </row>
    <row r="10234" spans="20:20" x14ac:dyDescent="0.25">
      <c r="T10234" s="98"/>
    </row>
    <row r="10235" spans="20:20" x14ac:dyDescent="0.25">
      <c r="T10235" s="98"/>
    </row>
    <row r="10236" spans="20:20" x14ac:dyDescent="0.25">
      <c r="T10236" s="98"/>
    </row>
    <row r="10237" spans="20:20" x14ac:dyDescent="0.25">
      <c r="T10237" s="98"/>
    </row>
    <row r="10238" spans="20:20" x14ac:dyDescent="0.25">
      <c r="T10238" s="98"/>
    </row>
    <row r="10239" spans="20:20" x14ac:dyDescent="0.25">
      <c r="T10239" s="98"/>
    </row>
    <row r="10240" spans="20:20" x14ac:dyDescent="0.25">
      <c r="T10240" s="98"/>
    </row>
    <row r="10241" spans="20:20" x14ac:dyDescent="0.25">
      <c r="T10241" s="98"/>
    </row>
    <row r="10242" spans="20:20" x14ac:dyDescent="0.25">
      <c r="T10242" s="98"/>
    </row>
    <row r="10243" spans="20:20" x14ac:dyDescent="0.25">
      <c r="T10243" s="98"/>
    </row>
    <row r="10244" spans="20:20" x14ac:dyDescent="0.25">
      <c r="T10244" s="98"/>
    </row>
    <row r="10245" spans="20:20" x14ac:dyDescent="0.25">
      <c r="T10245" s="98"/>
    </row>
    <row r="10246" spans="20:20" x14ac:dyDescent="0.25">
      <c r="T10246" s="98"/>
    </row>
    <row r="10247" spans="20:20" x14ac:dyDescent="0.25">
      <c r="T10247" s="98"/>
    </row>
    <row r="10248" spans="20:20" x14ac:dyDescent="0.25">
      <c r="T10248" s="98"/>
    </row>
    <row r="10249" spans="20:20" x14ac:dyDescent="0.25">
      <c r="T10249" s="98"/>
    </row>
    <row r="10250" spans="20:20" x14ac:dyDescent="0.25">
      <c r="T10250" s="98"/>
    </row>
    <row r="10251" spans="20:20" x14ac:dyDescent="0.25">
      <c r="T10251" s="98"/>
    </row>
    <row r="10252" spans="20:20" x14ac:dyDescent="0.25">
      <c r="T10252" s="98"/>
    </row>
    <row r="10253" spans="20:20" x14ac:dyDescent="0.25">
      <c r="T10253" s="98"/>
    </row>
    <row r="10254" spans="20:20" x14ac:dyDescent="0.25">
      <c r="T10254" s="98"/>
    </row>
    <row r="10255" spans="20:20" x14ac:dyDescent="0.25">
      <c r="T10255" s="98"/>
    </row>
    <row r="10256" spans="20:20" x14ac:dyDescent="0.25">
      <c r="T10256" s="98"/>
    </row>
    <row r="10257" spans="20:20" x14ac:dyDescent="0.25">
      <c r="T10257" s="98"/>
    </row>
    <row r="10258" spans="20:20" x14ac:dyDescent="0.25">
      <c r="T10258" s="98"/>
    </row>
    <row r="10259" spans="20:20" x14ac:dyDescent="0.25">
      <c r="T10259" s="98"/>
    </row>
    <row r="10260" spans="20:20" x14ac:dyDescent="0.25">
      <c r="T10260" s="98"/>
    </row>
    <row r="10261" spans="20:20" x14ac:dyDescent="0.25">
      <c r="T10261" s="98"/>
    </row>
    <row r="10262" spans="20:20" x14ac:dyDescent="0.25">
      <c r="T10262" s="98"/>
    </row>
    <row r="10263" spans="20:20" x14ac:dyDescent="0.25">
      <c r="T10263" s="98"/>
    </row>
    <row r="10264" spans="20:20" x14ac:dyDescent="0.25">
      <c r="T10264" s="98"/>
    </row>
    <row r="10265" spans="20:20" x14ac:dyDescent="0.25">
      <c r="T10265" s="98"/>
    </row>
    <row r="10266" spans="20:20" x14ac:dyDescent="0.25">
      <c r="T10266" s="98"/>
    </row>
    <row r="10267" spans="20:20" x14ac:dyDescent="0.25">
      <c r="T10267" s="98"/>
    </row>
    <row r="10268" spans="20:20" x14ac:dyDescent="0.25">
      <c r="T10268" s="98"/>
    </row>
    <row r="10269" spans="20:20" x14ac:dyDescent="0.25">
      <c r="T10269" s="98"/>
    </row>
    <row r="10270" spans="20:20" x14ac:dyDescent="0.25">
      <c r="T10270" s="98"/>
    </row>
    <row r="10271" spans="20:20" x14ac:dyDescent="0.25">
      <c r="T10271" s="98"/>
    </row>
    <row r="10272" spans="20:20" x14ac:dyDescent="0.25">
      <c r="T10272" s="98"/>
    </row>
    <row r="10273" spans="20:20" x14ac:dyDescent="0.25">
      <c r="T10273" s="98"/>
    </row>
    <row r="10274" spans="20:20" x14ac:dyDescent="0.25">
      <c r="T10274" s="98"/>
    </row>
    <row r="10275" spans="20:20" x14ac:dyDescent="0.25">
      <c r="T10275" s="98"/>
    </row>
    <row r="10276" spans="20:20" x14ac:dyDescent="0.25">
      <c r="T10276" s="98"/>
    </row>
    <row r="10277" spans="20:20" x14ac:dyDescent="0.25">
      <c r="T10277" s="98"/>
    </row>
    <row r="10278" spans="20:20" x14ac:dyDescent="0.25">
      <c r="T10278" s="98"/>
    </row>
    <row r="10279" spans="20:20" x14ac:dyDescent="0.25">
      <c r="T10279" s="98"/>
    </row>
    <row r="10280" spans="20:20" x14ac:dyDescent="0.25">
      <c r="T10280" s="98"/>
    </row>
    <row r="10281" spans="20:20" x14ac:dyDescent="0.25">
      <c r="T10281" s="98"/>
    </row>
    <row r="10282" spans="20:20" x14ac:dyDescent="0.25">
      <c r="T10282" s="98"/>
    </row>
    <row r="10283" spans="20:20" x14ac:dyDescent="0.25">
      <c r="T10283" s="98"/>
    </row>
    <row r="10284" spans="20:20" x14ac:dyDescent="0.25">
      <c r="T10284" s="98"/>
    </row>
    <row r="10285" spans="20:20" x14ac:dyDescent="0.25">
      <c r="T10285" s="98"/>
    </row>
    <row r="10286" spans="20:20" x14ac:dyDescent="0.25">
      <c r="T10286" s="98"/>
    </row>
    <row r="10287" spans="20:20" x14ac:dyDescent="0.25">
      <c r="T10287" s="98"/>
    </row>
    <row r="10288" spans="20:20" x14ac:dyDescent="0.25">
      <c r="T10288" s="98"/>
    </row>
    <row r="10289" spans="20:20" x14ac:dyDescent="0.25">
      <c r="T10289" s="98"/>
    </row>
    <row r="10290" spans="20:20" x14ac:dyDescent="0.25">
      <c r="T10290" s="98"/>
    </row>
    <row r="10291" spans="20:20" x14ac:dyDescent="0.25">
      <c r="T10291" s="98"/>
    </row>
    <row r="10292" spans="20:20" x14ac:dyDescent="0.25">
      <c r="T10292" s="98"/>
    </row>
    <row r="10293" spans="20:20" x14ac:dyDescent="0.25">
      <c r="T10293" s="98"/>
    </row>
    <row r="10294" spans="20:20" x14ac:dyDescent="0.25">
      <c r="T10294" s="98"/>
    </row>
    <row r="10295" spans="20:20" x14ac:dyDescent="0.25">
      <c r="T10295" s="98"/>
    </row>
    <row r="10296" spans="20:20" x14ac:dyDescent="0.25">
      <c r="T10296" s="98"/>
    </row>
    <row r="10297" spans="20:20" x14ac:dyDescent="0.25">
      <c r="T10297" s="98"/>
    </row>
    <row r="10298" spans="20:20" x14ac:dyDescent="0.25">
      <c r="T10298" s="98"/>
    </row>
    <row r="10299" spans="20:20" x14ac:dyDescent="0.25">
      <c r="T10299" s="98"/>
    </row>
    <row r="10300" spans="20:20" x14ac:dyDescent="0.25">
      <c r="T10300" s="98"/>
    </row>
    <row r="10301" spans="20:20" x14ac:dyDescent="0.25">
      <c r="T10301" s="98"/>
    </row>
    <row r="10302" spans="20:20" x14ac:dyDescent="0.25">
      <c r="T10302" s="98"/>
    </row>
    <row r="10303" spans="20:20" x14ac:dyDescent="0.25">
      <c r="T10303" s="98"/>
    </row>
    <row r="10304" spans="20:20" x14ac:dyDescent="0.25">
      <c r="T10304" s="98"/>
    </row>
    <row r="10305" spans="20:20" x14ac:dyDescent="0.25">
      <c r="T10305" s="98"/>
    </row>
    <row r="10306" spans="20:20" x14ac:dyDescent="0.25">
      <c r="T10306" s="98"/>
    </row>
    <row r="10307" spans="20:20" x14ac:dyDescent="0.25">
      <c r="T10307" s="98"/>
    </row>
    <row r="10308" spans="20:20" x14ac:dyDescent="0.25">
      <c r="T10308" s="98"/>
    </row>
    <row r="10309" spans="20:20" x14ac:dyDescent="0.25">
      <c r="T10309" s="98"/>
    </row>
    <row r="10310" spans="20:20" x14ac:dyDescent="0.25">
      <c r="T10310" s="98"/>
    </row>
    <row r="10311" spans="20:20" x14ac:dyDescent="0.25">
      <c r="T10311" s="98"/>
    </row>
    <row r="10312" spans="20:20" x14ac:dyDescent="0.25">
      <c r="T10312" s="98"/>
    </row>
    <row r="10313" spans="20:20" x14ac:dyDescent="0.25">
      <c r="T10313" s="98"/>
    </row>
    <row r="10314" spans="20:20" x14ac:dyDescent="0.25">
      <c r="T10314" s="98"/>
    </row>
    <row r="10315" spans="20:20" x14ac:dyDescent="0.25">
      <c r="T10315" s="98"/>
    </row>
    <row r="10316" spans="20:20" x14ac:dyDescent="0.25">
      <c r="T10316" s="98"/>
    </row>
    <row r="10317" spans="20:20" x14ac:dyDescent="0.25">
      <c r="T10317" s="98"/>
    </row>
    <row r="10318" spans="20:20" x14ac:dyDescent="0.25">
      <c r="T10318" s="98"/>
    </row>
    <row r="10319" spans="20:20" x14ac:dyDescent="0.25">
      <c r="T10319" s="98"/>
    </row>
    <row r="10320" spans="20:20" x14ac:dyDescent="0.25">
      <c r="T10320" s="98"/>
    </row>
    <row r="10321" spans="20:20" x14ac:dyDescent="0.25">
      <c r="T10321" s="98"/>
    </row>
    <row r="10322" spans="20:20" x14ac:dyDescent="0.25">
      <c r="T10322" s="98"/>
    </row>
    <row r="10323" spans="20:20" x14ac:dyDescent="0.25">
      <c r="T10323" s="98"/>
    </row>
    <row r="10324" spans="20:20" x14ac:dyDescent="0.25">
      <c r="T10324" s="98"/>
    </row>
    <row r="10325" spans="20:20" x14ac:dyDescent="0.25">
      <c r="T10325" s="98"/>
    </row>
    <row r="10326" spans="20:20" x14ac:dyDescent="0.25">
      <c r="T10326" s="98"/>
    </row>
    <row r="10327" spans="20:20" x14ac:dyDescent="0.25">
      <c r="T10327" s="98"/>
    </row>
    <row r="10328" spans="20:20" x14ac:dyDescent="0.25">
      <c r="T10328" s="98"/>
    </row>
    <row r="10329" spans="20:20" x14ac:dyDescent="0.25">
      <c r="T10329" s="98"/>
    </row>
    <row r="10330" spans="20:20" x14ac:dyDescent="0.25">
      <c r="T10330" s="98"/>
    </row>
    <row r="10331" spans="20:20" x14ac:dyDescent="0.25">
      <c r="T10331" s="98"/>
    </row>
    <row r="10332" spans="20:20" x14ac:dyDescent="0.25">
      <c r="T10332" s="98"/>
    </row>
    <row r="10333" spans="20:20" x14ac:dyDescent="0.25">
      <c r="T10333" s="98"/>
    </row>
    <row r="10334" spans="20:20" x14ac:dyDescent="0.25">
      <c r="T10334" s="98"/>
    </row>
    <row r="10335" spans="20:20" x14ac:dyDescent="0.25">
      <c r="T10335" s="98"/>
    </row>
    <row r="10336" spans="20:20" x14ac:dyDescent="0.25">
      <c r="T10336" s="98"/>
    </row>
    <row r="10337" spans="20:20" x14ac:dyDescent="0.25">
      <c r="T10337" s="98"/>
    </row>
    <row r="10338" spans="20:20" x14ac:dyDescent="0.25">
      <c r="T10338" s="98"/>
    </row>
    <row r="10339" spans="20:20" x14ac:dyDescent="0.25">
      <c r="T10339" s="98"/>
    </row>
    <row r="10340" spans="20:20" x14ac:dyDescent="0.25">
      <c r="T10340" s="98"/>
    </row>
    <row r="10341" spans="20:20" x14ac:dyDescent="0.25">
      <c r="T10341" s="98"/>
    </row>
    <row r="10342" spans="20:20" x14ac:dyDescent="0.25">
      <c r="T10342" s="98"/>
    </row>
    <row r="10343" spans="20:20" x14ac:dyDescent="0.25">
      <c r="T10343" s="98"/>
    </row>
    <row r="10344" spans="20:20" x14ac:dyDescent="0.25">
      <c r="T10344" s="98"/>
    </row>
    <row r="10345" spans="20:20" x14ac:dyDescent="0.25">
      <c r="T10345" s="98"/>
    </row>
    <row r="10346" spans="20:20" x14ac:dyDescent="0.25">
      <c r="T10346" s="98"/>
    </row>
    <row r="10347" spans="20:20" x14ac:dyDescent="0.25">
      <c r="T10347" s="98"/>
    </row>
    <row r="10348" spans="20:20" x14ac:dyDescent="0.25">
      <c r="T10348" s="98"/>
    </row>
    <row r="10349" spans="20:20" x14ac:dyDescent="0.25">
      <c r="T10349" s="98"/>
    </row>
    <row r="10350" spans="20:20" x14ac:dyDescent="0.25">
      <c r="T10350" s="98"/>
    </row>
    <row r="10351" spans="20:20" x14ac:dyDescent="0.25">
      <c r="T10351" s="98"/>
    </row>
    <row r="10352" spans="20:20" x14ac:dyDescent="0.25">
      <c r="T10352" s="98"/>
    </row>
    <row r="10353" spans="20:20" x14ac:dyDescent="0.25">
      <c r="T10353" s="98"/>
    </row>
    <row r="10354" spans="20:20" x14ac:dyDescent="0.25">
      <c r="T10354" s="98"/>
    </row>
    <row r="10355" spans="20:20" x14ac:dyDescent="0.25">
      <c r="T10355" s="98"/>
    </row>
    <row r="10356" spans="20:20" x14ac:dyDescent="0.25">
      <c r="T10356" s="98"/>
    </row>
    <row r="10357" spans="20:20" x14ac:dyDescent="0.25">
      <c r="T10357" s="98"/>
    </row>
    <row r="10358" spans="20:20" x14ac:dyDescent="0.25">
      <c r="T10358" s="98"/>
    </row>
    <row r="10359" spans="20:20" x14ac:dyDescent="0.25">
      <c r="T10359" s="98"/>
    </row>
    <row r="10360" spans="20:20" x14ac:dyDescent="0.25">
      <c r="T10360" s="98"/>
    </row>
    <row r="10361" spans="20:20" x14ac:dyDescent="0.25">
      <c r="T10361" s="98"/>
    </row>
    <row r="10362" spans="20:20" x14ac:dyDescent="0.25">
      <c r="T10362" s="98"/>
    </row>
    <row r="10363" spans="20:20" x14ac:dyDescent="0.25">
      <c r="T10363" s="98"/>
    </row>
    <row r="10364" spans="20:20" x14ac:dyDescent="0.25">
      <c r="T10364" s="98"/>
    </row>
    <row r="10365" spans="20:20" x14ac:dyDescent="0.25">
      <c r="T10365" s="98"/>
    </row>
    <row r="10366" spans="20:20" x14ac:dyDescent="0.25">
      <c r="T10366" s="98"/>
    </row>
    <row r="10367" spans="20:20" x14ac:dyDescent="0.25">
      <c r="T10367" s="98"/>
    </row>
    <row r="10368" spans="20:20" x14ac:dyDescent="0.25">
      <c r="T10368" s="98"/>
    </row>
    <row r="10369" spans="20:20" x14ac:dyDescent="0.25">
      <c r="T10369" s="98"/>
    </row>
    <row r="10370" spans="20:20" x14ac:dyDescent="0.25">
      <c r="T10370" s="98"/>
    </row>
    <row r="10371" spans="20:20" x14ac:dyDescent="0.25">
      <c r="T10371" s="98"/>
    </row>
    <row r="10372" spans="20:20" x14ac:dyDescent="0.25">
      <c r="T10372" s="98"/>
    </row>
    <row r="10373" spans="20:20" x14ac:dyDescent="0.25">
      <c r="T10373" s="98"/>
    </row>
    <row r="10374" spans="20:20" x14ac:dyDescent="0.25">
      <c r="T10374" s="98"/>
    </row>
    <row r="10375" spans="20:20" x14ac:dyDescent="0.25">
      <c r="T10375" s="98"/>
    </row>
    <row r="10376" spans="20:20" x14ac:dyDescent="0.25">
      <c r="T10376" s="98"/>
    </row>
    <row r="10377" spans="20:20" x14ac:dyDescent="0.25">
      <c r="T10377" s="98"/>
    </row>
    <row r="10378" spans="20:20" x14ac:dyDescent="0.25">
      <c r="T10378" s="98"/>
    </row>
    <row r="10379" spans="20:20" x14ac:dyDescent="0.25">
      <c r="T10379" s="98"/>
    </row>
    <row r="10380" spans="20:20" x14ac:dyDescent="0.25">
      <c r="T10380" s="98"/>
    </row>
    <row r="10381" spans="20:20" x14ac:dyDescent="0.25">
      <c r="T10381" s="98"/>
    </row>
    <row r="10382" spans="20:20" x14ac:dyDescent="0.25">
      <c r="T10382" s="98"/>
    </row>
    <row r="10383" spans="20:20" x14ac:dyDescent="0.25">
      <c r="T10383" s="98"/>
    </row>
    <row r="10384" spans="20:20" x14ac:dyDescent="0.25">
      <c r="T10384" s="98"/>
    </row>
    <row r="10385" spans="20:20" x14ac:dyDescent="0.25">
      <c r="T10385" s="98"/>
    </row>
    <row r="10386" spans="20:20" x14ac:dyDescent="0.25">
      <c r="T10386" s="98"/>
    </row>
    <row r="10387" spans="20:20" x14ac:dyDescent="0.25">
      <c r="T10387" s="98"/>
    </row>
    <row r="10388" spans="20:20" x14ac:dyDescent="0.25">
      <c r="T10388" s="98"/>
    </row>
    <row r="10389" spans="20:20" x14ac:dyDescent="0.25">
      <c r="T10389" s="98"/>
    </row>
    <row r="10390" spans="20:20" x14ac:dyDescent="0.25">
      <c r="T10390" s="98"/>
    </row>
    <row r="10391" spans="20:20" x14ac:dyDescent="0.25">
      <c r="T10391" s="98"/>
    </row>
    <row r="10392" spans="20:20" x14ac:dyDescent="0.25">
      <c r="T10392" s="98"/>
    </row>
    <row r="10393" spans="20:20" x14ac:dyDescent="0.25">
      <c r="T10393" s="98"/>
    </row>
    <row r="10394" spans="20:20" x14ac:dyDescent="0.25">
      <c r="T10394" s="98"/>
    </row>
    <row r="10395" spans="20:20" x14ac:dyDescent="0.25">
      <c r="T10395" s="98"/>
    </row>
    <row r="10396" spans="20:20" x14ac:dyDescent="0.25">
      <c r="T10396" s="98"/>
    </row>
    <row r="10397" spans="20:20" x14ac:dyDescent="0.25">
      <c r="T10397" s="98"/>
    </row>
    <row r="10398" spans="20:20" x14ac:dyDescent="0.25">
      <c r="T10398" s="98"/>
    </row>
    <row r="10399" spans="20:20" x14ac:dyDescent="0.25">
      <c r="T10399" s="98"/>
    </row>
    <row r="10400" spans="20:20" x14ac:dyDescent="0.25">
      <c r="T10400" s="98"/>
    </row>
    <row r="10401" spans="20:20" x14ac:dyDescent="0.25">
      <c r="T10401" s="98"/>
    </row>
    <row r="10402" spans="20:20" x14ac:dyDescent="0.25">
      <c r="T10402" s="98"/>
    </row>
    <row r="10403" spans="20:20" x14ac:dyDescent="0.25">
      <c r="T10403" s="98"/>
    </row>
    <row r="10404" spans="20:20" x14ac:dyDescent="0.25">
      <c r="T10404" s="98"/>
    </row>
    <row r="10405" spans="20:20" x14ac:dyDescent="0.25">
      <c r="T10405" s="98"/>
    </row>
    <row r="10406" spans="20:20" x14ac:dyDescent="0.25">
      <c r="T10406" s="98"/>
    </row>
    <row r="10407" spans="20:20" x14ac:dyDescent="0.25">
      <c r="T10407" s="98"/>
    </row>
    <row r="10408" spans="20:20" x14ac:dyDescent="0.25">
      <c r="T10408" s="98"/>
    </row>
    <row r="10409" spans="20:20" x14ac:dyDescent="0.25">
      <c r="T10409" s="98"/>
    </row>
    <row r="10410" spans="20:20" x14ac:dyDescent="0.25">
      <c r="T10410" s="98"/>
    </row>
    <row r="10411" spans="20:20" x14ac:dyDescent="0.25">
      <c r="T10411" s="98"/>
    </row>
    <row r="10412" spans="20:20" x14ac:dyDescent="0.25">
      <c r="T10412" s="98"/>
    </row>
    <row r="10413" spans="20:20" x14ac:dyDescent="0.25">
      <c r="T10413" s="98"/>
    </row>
    <row r="10414" spans="20:20" x14ac:dyDescent="0.25">
      <c r="T10414" s="98"/>
    </row>
    <row r="10415" spans="20:20" x14ac:dyDescent="0.25">
      <c r="T10415" s="98"/>
    </row>
    <row r="10416" spans="20:20" x14ac:dyDescent="0.25">
      <c r="T10416" s="98"/>
    </row>
    <row r="10417" spans="20:20" x14ac:dyDescent="0.25">
      <c r="T10417" s="98"/>
    </row>
    <row r="10418" spans="20:20" x14ac:dyDescent="0.25">
      <c r="T10418" s="98"/>
    </row>
    <row r="10419" spans="20:20" x14ac:dyDescent="0.25">
      <c r="T10419" s="98"/>
    </row>
    <row r="10420" spans="20:20" x14ac:dyDescent="0.25">
      <c r="T10420" s="98"/>
    </row>
    <row r="10421" spans="20:20" x14ac:dyDescent="0.25">
      <c r="T10421" s="98"/>
    </row>
    <row r="10422" spans="20:20" x14ac:dyDescent="0.25">
      <c r="T10422" s="98"/>
    </row>
    <row r="10423" spans="20:20" x14ac:dyDescent="0.25">
      <c r="T10423" s="98"/>
    </row>
    <row r="10424" spans="20:20" x14ac:dyDescent="0.25">
      <c r="T10424" s="98"/>
    </row>
    <row r="10425" spans="20:20" x14ac:dyDescent="0.25">
      <c r="T10425" s="98"/>
    </row>
    <row r="10426" spans="20:20" x14ac:dyDescent="0.25">
      <c r="T10426" s="98"/>
    </row>
    <row r="10427" spans="20:20" x14ac:dyDescent="0.25">
      <c r="T10427" s="98"/>
    </row>
    <row r="10428" spans="20:20" x14ac:dyDescent="0.25">
      <c r="T10428" s="98"/>
    </row>
    <row r="10429" spans="20:20" x14ac:dyDescent="0.25">
      <c r="T10429" s="98"/>
    </row>
    <row r="10430" spans="20:20" x14ac:dyDescent="0.25">
      <c r="T10430" s="98"/>
    </row>
    <row r="10431" spans="20:20" x14ac:dyDescent="0.25">
      <c r="T10431" s="98"/>
    </row>
    <row r="10432" spans="20:20" x14ac:dyDescent="0.25">
      <c r="T10432" s="98"/>
    </row>
    <row r="10433" spans="20:20" x14ac:dyDescent="0.25">
      <c r="T10433" s="98"/>
    </row>
    <row r="10434" spans="20:20" x14ac:dyDescent="0.25">
      <c r="T10434" s="98"/>
    </row>
    <row r="10435" spans="20:20" x14ac:dyDescent="0.25">
      <c r="T10435" s="98"/>
    </row>
    <row r="10436" spans="20:20" x14ac:dyDescent="0.25">
      <c r="T10436" s="98"/>
    </row>
    <row r="10437" spans="20:20" x14ac:dyDescent="0.25">
      <c r="T10437" s="98"/>
    </row>
    <row r="10438" spans="20:20" x14ac:dyDescent="0.25">
      <c r="T10438" s="98"/>
    </row>
    <row r="10439" spans="20:20" x14ac:dyDescent="0.25">
      <c r="T10439" s="98"/>
    </row>
    <row r="10440" spans="20:20" x14ac:dyDescent="0.25">
      <c r="T10440" s="98"/>
    </row>
    <row r="10441" spans="20:20" x14ac:dyDescent="0.25">
      <c r="T10441" s="98"/>
    </row>
    <row r="10442" spans="20:20" x14ac:dyDescent="0.25">
      <c r="T10442" s="98"/>
    </row>
    <row r="10443" spans="20:20" x14ac:dyDescent="0.25">
      <c r="T10443" s="98"/>
    </row>
    <row r="10444" spans="20:20" x14ac:dyDescent="0.25">
      <c r="T10444" s="98"/>
    </row>
    <row r="10445" spans="20:20" x14ac:dyDescent="0.25">
      <c r="T10445" s="98"/>
    </row>
    <row r="10446" spans="20:20" x14ac:dyDescent="0.25">
      <c r="T10446" s="98"/>
    </row>
    <row r="10447" spans="20:20" x14ac:dyDescent="0.25">
      <c r="T10447" s="98"/>
    </row>
    <row r="10448" spans="20:20" x14ac:dyDescent="0.25">
      <c r="T10448" s="98"/>
    </row>
    <row r="10449" spans="20:20" x14ac:dyDescent="0.25">
      <c r="T10449" s="98"/>
    </row>
    <row r="10450" spans="20:20" x14ac:dyDescent="0.25">
      <c r="T10450" s="98"/>
    </row>
    <row r="10451" spans="20:20" x14ac:dyDescent="0.25">
      <c r="T10451" s="98"/>
    </row>
    <row r="10452" spans="20:20" x14ac:dyDescent="0.25">
      <c r="T10452" s="98"/>
    </row>
    <row r="10453" spans="20:20" x14ac:dyDescent="0.25">
      <c r="T10453" s="98"/>
    </row>
    <row r="10454" spans="20:20" x14ac:dyDescent="0.25">
      <c r="T10454" s="98"/>
    </row>
    <row r="10455" spans="20:20" x14ac:dyDescent="0.25">
      <c r="T10455" s="98"/>
    </row>
    <row r="10456" spans="20:20" x14ac:dyDescent="0.25">
      <c r="T10456" s="98"/>
    </row>
    <row r="10457" spans="20:20" x14ac:dyDescent="0.25">
      <c r="T10457" s="98"/>
    </row>
    <row r="10458" spans="20:20" x14ac:dyDescent="0.25">
      <c r="T10458" s="98"/>
    </row>
    <row r="10459" spans="20:20" x14ac:dyDescent="0.25">
      <c r="T10459" s="98"/>
    </row>
    <row r="10460" spans="20:20" x14ac:dyDescent="0.25">
      <c r="T10460" s="98"/>
    </row>
    <row r="10461" spans="20:20" x14ac:dyDescent="0.25">
      <c r="T10461" s="98"/>
    </row>
    <row r="10462" spans="20:20" x14ac:dyDescent="0.25">
      <c r="T10462" s="98"/>
    </row>
    <row r="10463" spans="20:20" x14ac:dyDescent="0.25">
      <c r="T10463" s="98"/>
    </row>
    <row r="10464" spans="20:20" x14ac:dyDescent="0.25">
      <c r="T10464" s="98"/>
    </row>
    <row r="10465" spans="20:20" x14ac:dyDescent="0.25">
      <c r="T10465" s="98"/>
    </row>
    <row r="10466" spans="20:20" x14ac:dyDescent="0.25">
      <c r="T10466" s="98"/>
    </row>
    <row r="10467" spans="20:20" x14ac:dyDescent="0.25">
      <c r="T10467" s="98"/>
    </row>
    <row r="10468" spans="20:20" x14ac:dyDescent="0.25">
      <c r="T10468" s="98"/>
    </row>
    <row r="10469" spans="20:20" x14ac:dyDescent="0.25">
      <c r="T10469" s="98"/>
    </row>
    <row r="10470" spans="20:20" x14ac:dyDescent="0.25">
      <c r="T10470" s="98"/>
    </row>
    <row r="10471" spans="20:20" x14ac:dyDescent="0.25">
      <c r="T10471" s="98"/>
    </row>
    <row r="10472" spans="20:20" x14ac:dyDescent="0.25">
      <c r="T10472" s="98"/>
    </row>
    <row r="10473" spans="20:20" x14ac:dyDescent="0.25">
      <c r="T10473" s="98"/>
    </row>
    <row r="10474" spans="20:20" x14ac:dyDescent="0.25">
      <c r="T10474" s="98"/>
    </row>
    <row r="10475" spans="20:20" x14ac:dyDescent="0.25">
      <c r="T10475" s="98"/>
    </row>
    <row r="10476" spans="20:20" x14ac:dyDescent="0.25">
      <c r="T10476" s="98"/>
    </row>
    <row r="10477" spans="20:20" x14ac:dyDescent="0.25">
      <c r="T10477" s="98"/>
    </row>
    <row r="10478" spans="20:20" x14ac:dyDescent="0.25">
      <c r="T10478" s="98"/>
    </row>
    <row r="10479" spans="20:20" x14ac:dyDescent="0.25">
      <c r="T10479" s="98"/>
    </row>
    <row r="10480" spans="20:20" x14ac:dyDescent="0.25">
      <c r="T10480" s="98"/>
    </row>
    <row r="10481" spans="20:20" x14ac:dyDescent="0.25">
      <c r="T10481" s="98"/>
    </row>
    <row r="10482" spans="20:20" x14ac:dyDescent="0.25">
      <c r="T10482" s="98"/>
    </row>
    <row r="10483" spans="20:20" x14ac:dyDescent="0.25">
      <c r="T10483" s="98"/>
    </row>
    <row r="10484" spans="20:20" x14ac:dyDescent="0.25">
      <c r="T10484" s="98"/>
    </row>
    <row r="10485" spans="20:20" x14ac:dyDescent="0.25">
      <c r="T10485" s="98"/>
    </row>
    <row r="10486" spans="20:20" x14ac:dyDescent="0.25">
      <c r="T10486" s="98"/>
    </row>
    <row r="10487" spans="20:20" x14ac:dyDescent="0.25">
      <c r="T10487" s="98"/>
    </row>
    <row r="10488" spans="20:20" x14ac:dyDescent="0.25">
      <c r="T10488" s="98"/>
    </row>
    <row r="10489" spans="20:20" x14ac:dyDescent="0.25">
      <c r="T10489" s="98"/>
    </row>
    <row r="10490" spans="20:20" x14ac:dyDescent="0.25">
      <c r="T10490" s="98"/>
    </row>
    <row r="10491" spans="20:20" x14ac:dyDescent="0.25">
      <c r="T10491" s="98"/>
    </row>
    <row r="10492" spans="20:20" x14ac:dyDescent="0.25">
      <c r="T10492" s="98"/>
    </row>
    <row r="10493" spans="20:20" x14ac:dyDescent="0.25">
      <c r="T10493" s="98"/>
    </row>
    <row r="10494" spans="20:20" x14ac:dyDescent="0.25">
      <c r="T10494" s="98"/>
    </row>
    <row r="10495" spans="20:20" x14ac:dyDescent="0.25">
      <c r="T10495" s="98"/>
    </row>
    <row r="10496" spans="20:20" x14ac:dyDescent="0.25">
      <c r="T10496" s="98"/>
    </row>
    <row r="10497" spans="20:20" x14ac:dyDescent="0.25">
      <c r="T10497" s="98"/>
    </row>
    <row r="10498" spans="20:20" x14ac:dyDescent="0.25">
      <c r="T10498" s="98"/>
    </row>
    <row r="10499" spans="20:20" x14ac:dyDescent="0.25">
      <c r="T10499" s="98"/>
    </row>
    <row r="10500" spans="20:20" x14ac:dyDescent="0.25">
      <c r="T10500" s="98"/>
    </row>
    <row r="10501" spans="20:20" x14ac:dyDescent="0.25">
      <c r="T10501" s="98"/>
    </row>
    <row r="10502" spans="20:20" x14ac:dyDescent="0.25">
      <c r="T10502" s="98"/>
    </row>
    <row r="10503" spans="20:20" x14ac:dyDescent="0.25">
      <c r="T10503" s="98"/>
    </row>
    <row r="10504" spans="20:20" x14ac:dyDescent="0.25">
      <c r="T10504" s="98"/>
    </row>
    <row r="10505" spans="20:20" x14ac:dyDescent="0.25">
      <c r="T10505" s="98"/>
    </row>
    <row r="10506" spans="20:20" x14ac:dyDescent="0.25">
      <c r="T10506" s="98"/>
    </row>
    <row r="10507" spans="20:20" x14ac:dyDescent="0.25">
      <c r="T10507" s="98"/>
    </row>
    <row r="10508" spans="20:20" x14ac:dyDescent="0.25">
      <c r="T10508" s="98"/>
    </row>
    <row r="10509" spans="20:20" x14ac:dyDescent="0.25">
      <c r="T10509" s="98"/>
    </row>
    <row r="10510" spans="20:20" x14ac:dyDescent="0.25">
      <c r="T10510" s="98"/>
    </row>
    <row r="10511" spans="20:20" x14ac:dyDescent="0.25">
      <c r="T10511" s="98"/>
    </row>
    <row r="10512" spans="20:20" x14ac:dyDescent="0.25">
      <c r="T10512" s="98"/>
    </row>
    <row r="10513" spans="20:20" x14ac:dyDescent="0.25">
      <c r="T10513" s="98"/>
    </row>
    <row r="10514" spans="20:20" x14ac:dyDescent="0.25">
      <c r="T10514" s="98"/>
    </row>
    <row r="10515" spans="20:20" x14ac:dyDescent="0.25">
      <c r="T10515" s="98"/>
    </row>
    <row r="10516" spans="20:20" x14ac:dyDescent="0.25">
      <c r="T10516" s="98"/>
    </row>
    <row r="10517" spans="20:20" x14ac:dyDescent="0.25">
      <c r="T10517" s="98"/>
    </row>
    <row r="10518" spans="20:20" x14ac:dyDescent="0.25">
      <c r="T10518" s="98"/>
    </row>
    <row r="10519" spans="20:20" x14ac:dyDescent="0.25">
      <c r="T10519" s="98"/>
    </row>
    <row r="10520" spans="20:20" x14ac:dyDescent="0.25">
      <c r="T10520" s="98"/>
    </row>
    <row r="10521" spans="20:20" x14ac:dyDescent="0.25">
      <c r="T10521" s="98"/>
    </row>
    <row r="10522" spans="20:20" x14ac:dyDescent="0.25">
      <c r="T10522" s="98"/>
    </row>
    <row r="10523" spans="20:20" x14ac:dyDescent="0.25">
      <c r="T10523" s="98"/>
    </row>
    <row r="10524" spans="20:20" x14ac:dyDescent="0.25">
      <c r="T10524" s="98"/>
    </row>
    <row r="10525" spans="20:20" x14ac:dyDescent="0.25">
      <c r="T10525" s="98"/>
    </row>
    <row r="10526" spans="20:20" x14ac:dyDescent="0.25">
      <c r="T10526" s="98"/>
    </row>
    <row r="10527" spans="20:20" x14ac:dyDescent="0.25">
      <c r="T10527" s="98"/>
    </row>
    <row r="10528" spans="20:20" x14ac:dyDescent="0.25">
      <c r="T10528" s="98"/>
    </row>
    <row r="10529" spans="20:20" x14ac:dyDescent="0.25">
      <c r="T10529" s="98"/>
    </row>
    <row r="10530" spans="20:20" x14ac:dyDescent="0.25">
      <c r="T10530" s="98"/>
    </row>
    <row r="10531" spans="20:20" x14ac:dyDescent="0.25">
      <c r="T10531" s="98"/>
    </row>
    <row r="10532" spans="20:20" x14ac:dyDescent="0.25">
      <c r="T10532" s="98"/>
    </row>
    <row r="10533" spans="20:20" x14ac:dyDescent="0.25">
      <c r="T10533" s="98"/>
    </row>
    <row r="10534" spans="20:20" x14ac:dyDescent="0.25">
      <c r="T10534" s="98"/>
    </row>
    <row r="10535" spans="20:20" x14ac:dyDescent="0.25">
      <c r="T10535" s="98"/>
    </row>
    <row r="10536" spans="20:20" x14ac:dyDescent="0.25">
      <c r="T10536" s="98"/>
    </row>
    <row r="10537" spans="20:20" x14ac:dyDescent="0.25">
      <c r="T10537" s="98"/>
    </row>
    <row r="10538" spans="20:20" x14ac:dyDescent="0.25">
      <c r="T10538" s="98"/>
    </row>
    <row r="10539" spans="20:20" x14ac:dyDescent="0.25">
      <c r="T10539" s="98"/>
    </row>
    <row r="10540" spans="20:20" x14ac:dyDescent="0.25">
      <c r="T10540" s="98"/>
    </row>
    <row r="10541" spans="20:20" x14ac:dyDescent="0.25">
      <c r="T10541" s="98"/>
    </row>
    <row r="10542" spans="20:20" x14ac:dyDescent="0.25">
      <c r="T10542" s="98"/>
    </row>
    <row r="10543" spans="20:20" x14ac:dyDescent="0.25">
      <c r="T10543" s="98"/>
    </row>
    <row r="10544" spans="20:20" x14ac:dyDescent="0.25">
      <c r="T10544" s="98"/>
    </row>
    <row r="10545" spans="20:20" x14ac:dyDescent="0.25">
      <c r="T10545" s="98"/>
    </row>
    <row r="10546" spans="20:20" x14ac:dyDescent="0.25">
      <c r="T10546" s="98"/>
    </row>
    <row r="10547" spans="20:20" x14ac:dyDescent="0.25">
      <c r="T10547" s="98"/>
    </row>
    <row r="10548" spans="20:20" x14ac:dyDescent="0.25">
      <c r="T10548" s="98"/>
    </row>
    <row r="10549" spans="20:20" x14ac:dyDescent="0.25">
      <c r="T10549" s="98"/>
    </row>
    <row r="10550" spans="20:20" x14ac:dyDescent="0.25">
      <c r="T10550" s="98"/>
    </row>
    <row r="10551" spans="20:20" x14ac:dyDescent="0.25">
      <c r="T10551" s="98"/>
    </row>
    <row r="10552" spans="20:20" x14ac:dyDescent="0.25">
      <c r="T10552" s="98"/>
    </row>
    <row r="10553" spans="20:20" x14ac:dyDescent="0.25">
      <c r="T10553" s="98"/>
    </row>
    <row r="10554" spans="20:20" x14ac:dyDescent="0.25">
      <c r="T10554" s="98"/>
    </row>
    <row r="10555" spans="20:20" x14ac:dyDescent="0.25">
      <c r="T10555" s="98"/>
    </row>
    <row r="10556" spans="20:20" x14ac:dyDescent="0.25">
      <c r="T10556" s="98"/>
    </row>
    <row r="10557" spans="20:20" x14ac:dyDescent="0.25">
      <c r="T10557" s="98"/>
    </row>
    <row r="10558" spans="20:20" x14ac:dyDescent="0.25">
      <c r="T10558" s="98"/>
    </row>
    <row r="10559" spans="20:20" x14ac:dyDescent="0.25">
      <c r="T10559" s="98"/>
    </row>
    <row r="10560" spans="20:20" x14ac:dyDescent="0.25">
      <c r="T10560" s="98"/>
    </row>
    <row r="10561" spans="20:20" x14ac:dyDescent="0.25">
      <c r="T10561" s="98"/>
    </row>
    <row r="10562" spans="20:20" x14ac:dyDescent="0.25">
      <c r="T10562" s="98"/>
    </row>
    <row r="10563" spans="20:20" x14ac:dyDescent="0.25">
      <c r="T10563" s="98"/>
    </row>
    <row r="10564" spans="20:20" x14ac:dyDescent="0.25">
      <c r="T10564" s="98"/>
    </row>
    <row r="10565" spans="20:20" x14ac:dyDescent="0.25">
      <c r="T10565" s="98"/>
    </row>
    <row r="10566" spans="20:20" x14ac:dyDescent="0.25">
      <c r="T10566" s="98"/>
    </row>
    <row r="10567" spans="20:20" x14ac:dyDescent="0.25">
      <c r="T10567" s="98"/>
    </row>
    <row r="10568" spans="20:20" x14ac:dyDescent="0.25">
      <c r="T10568" s="98"/>
    </row>
    <row r="10569" spans="20:20" x14ac:dyDescent="0.25">
      <c r="T10569" s="98"/>
    </row>
    <row r="10570" spans="20:20" x14ac:dyDescent="0.25">
      <c r="T10570" s="98"/>
    </row>
    <row r="10571" spans="20:20" x14ac:dyDescent="0.25">
      <c r="T10571" s="98"/>
    </row>
    <row r="10572" spans="20:20" x14ac:dyDescent="0.25">
      <c r="T10572" s="98"/>
    </row>
    <row r="10573" spans="20:20" x14ac:dyDescent="0.25">
      <c r="T10573" s="98"/>
    </row>
    <row r="10574" spans="20:20" x14ac:dyDescent="0.25">
      <c r="T10574" s="98"/>
    </row>
    <row r="10575" spans="20:20" x14ac:dyDescent="0.25">
      <c r="T10575" s="98"/>
    </row>
    <row r="10576" spans="20:20" x14ac:dyDescent="0.25">
      <c r="T10576" s="98"/>
    </row>
    <row r="10577" spans="20:20" x14ac:dyDescent="0.25">
      <c r="T10577" s="98"/>
    </row>
    <row r="10578" spans="20:20" x14ac:dyDescent="0.25">
      <c r="T10578" s="98"/>
    </row>
    <row r="10579" spans="20:20" x14ac:dyDescent="0.25">
      <c r="T10579" s="98"/>
    </row>
    <row r="10580" spans="20:20" x14ac:dyDescent="0.25">
      <c r="T10580" s="98"/>
    </row>
    <row r="10581" spans="20:20" x14ac:dyDescent="0.25">
      <c r="T10581" s="98"/>
    </row>
    <row r="10582" spans="20:20" x14ac:dyDescent="0.25">
      <c r="T10582" s="98"/>
    </row>
    <row r="10583" spans="20:20" x14ac:dyDescent="0.25">
      <c r="T10583" s="98"/>
    </row>
    <row r="10584" spans="20:20" x14ac:dyDescent="0.25">
      <c r="T10584" s="98"/>
    </row>
    <row r="10585" spans="20:20" x14ac:dyDescent="0.25">
      <c r="T10585" s="98"/>
    </row>
    <row r="10586" spans="20:20" x14ac:dyDescent="0.25">
      <c r="T10586" s="98"/>
    </row>
    <row r="10587" spans="20:20" x14ac:dyDescent="0.25">
      <c r="T10587" s="98"/>
    </row>
    <row r="10588" spans="20:20" x14ac:dyDescent="0.25">
      <c r="T10588" s="98"/>
    </row>
    <row r="10589" spans="20:20" x14ac:dyDescent="0.25">
      <c r="T10589" s="98"/>
    </row>
    <row r="10590" spans="20:20" x14ac:dyDescent="0.25">
      <c r="T10590" s="98"/>
    </row>
    <row r="10591" spans="20:20" x14ac:dyDescent="0.25">
      <c r="T10591" s="98"/>
    </row>
    <row r="10592" spans="20:20" x14ac:dyDescent="0.25">
      <c r="T10592" s="98"/>
    </row>
    <row r="10593" spans="20:20" x14ac:dyDescent="0.25">
      <c r="T10593" s="98"/>
    </row>
    <row r="10594" spans="20:20" x14ac:dyDescent="0.25">
      <c r="T10594" s="98"/>
    </row>
    <row r="10595" spans="20:20" x14ac:dyDescent="0.25">
      <c r="T10595" s="98"/>
    </row>
    <row r="10596" spans="20:20" x14ac:dyDescent="0.25">
      <c r="T10596" s="98"/>
    </row>
    <row r="10597" spans="20:20" x14ac:dyDescent="0.25">
      <c r="T10597" s="98"/>
    </row>
    <row r="10598" spans="20:20" x14ac:dyDescent="0.25">
      <c r="T10598" s="98"/>
    </row>
    <row r="10599" spans="20:20" x14ac:dyDescent="0.25">
      <c r="T10599" s="98"/>
    </row>
    <row r="10600" spans="20:20" x14ac:dyDescent="0.25">
      <c r="T10600" s="98"/>
    </row>
    <row r="10601" spans="20:20" x14ac:dyDescent="0.25">
      <c r="T10601" s="98"/>
    </row>
    <row r="10602" spans="20:20" x14ac:dyDescent="0.25">
      <c r="T10602" s="98"/>
    </row>
    <row r="10603" spans="20:20" x14ac:dyDescent="0.25">
      <c r="T10603" s="98"/>
    </row>
    <row r="10604" spans="20:20" x14ac:dyDescent="0.25">
      <c r="T10604" s="98"/>
    </row>
    <row r="10605" spans="20:20" x14ac:dyDescent="0.25">
      <c r="T10605" s="98"/>
    </row>
    <row r="10606" spans="20:20" x14ac:dyDescent="0.25">
      <c r="T10606" s="98"/>
    </row>
    <row r="10607" spans="20:20" x14ac:dyDescent="0.25">
      <c r="T10607" s="98"/>
    </row>
    <row r="10608" spans="20:20" x14ac:dyDescent="0.25">
      <c r="T10608" s="98"/>
    </row>
    <row r="10609" spans="20:20" x14ac:dyDescent="0.25">
      <c r="T10609" s="98"/>
    </row>
    <row r="10610" spans="20:20" x14ac:dyDescent="0.25">
      <c r="T10610" s="98"/>
    </row>
    <row r="10611" spans="20:20" x14ac:dyDescent="0.25">
      <c r="T10611" s="98"/>
    </row>
    <row r="10612" spans="20:20" x14ac:dyDescent="0.25">
      <c r="T10612" s="98"/>
    </row>
    <row r="10613" spans="20:20" x14ac:dyDescent="0.25">
      <c r="T10613" s="98"/>
    </row>
    <row r="10614" spans="20:20" x14ac:dyDescent="0.25">
      <c r="T10614" s="98"/>
    </row>
    <row r="10615" spans="20:20" x14ac:dyDescent="0.25">
      <c r="T10615" s="98"/>
    </row>
    <row r="10616" spans="20:20" x14ac:dyDescent="0.25">
      <c r="T10616" s="98"/>
    </row>
    <row r="10617" spans="20:20" x14ac:dyDescent="0.25">
      <c r="T10617" s="98"/>
    </row>
    <row r="10618" spans="20:20" x14ac:dyDescent="0.25">
      <c r="T10618" s="98"/>
    </row>
    <row r="10619" spans="20:20" x14ac:dyDescent="0.25">
      <c r="T10619" s="98"/>
    </row>
    <row r="10620" spans="20:20" x14ac:dyDescent="0.25">
      <c r="T10620" s="98"/>
    </row>
    <row r="10621" spans="20:20" x14ac:dyDescent="0.25">
      <c r="T10621" s="98"/>
    </row>
    <row r="10622" spans="20:20" x14ac:dyDescent="0.25">
      <c r="T10622" s="98"/>
    </row>
    <row r="10623" spans="20:20" x14ac:dyDescent="0.25">
      <c r="T10623" s="98"/>
    </row>
    <row r="10624" spans="20:20" x14ac:dyDescent="0.25">
      <c r="T10624" s="98"/>
    </row>
    <row r="10625" spans="20:20" x14ac:dyDescent="0.25">
      <c r="T10625" s="98"/>
    </row>
    <row r="10626" spans="20:20" x14ac:dyDescent="0.25">
      <c r="T10626" s="98"/>
    </row>
    <row r="10627" spans="20:20" x14ac:dyDescent="0.25">
      <c r="T10627" s="98"/>
    </row>
    <row r="10628" spans="20:20" x14ac:dyDescent="0.25">
      <c r="T10628" s="98"/>
    </row>
    <row r="10629" spans="20:20" x14ac:dyDescent="0.25">
      <c r="T10629" s="98"/>
    </row>
    <row r="10630" spans="20:20" x14ac:dyDescent="0.25">
      <c r="T10630" s="98"/>
    </row>
    <row r="10631" spans="20:20" x14ac:dyDescent="0.25">
      <c r="T10631" s="98"/>
    </row>
    <row r="10632" spans="20:20" x14ac:dyDescent="0.25">
      <c r="T10632" s="98"/>
    </row>
    <row r="10633" spans="20:20" x14ac:dyDescent="0.25">
      <c r="T10633" s="98"/>
    </row>
    <row r="10634" spans="20:20" x14ac:dyDescent="0.25">
      <c r="T10634" s="98"/>
    </row>
    <row r="10635" spans="20:20" x14ac:dyDescent="0.25">
      <c r="T10635" s="98"/>
    </row>
    <row r="10636" spans="20:20" x14ac:dyDescent="0.25">
      <c r="T10636" s="98"/>
    </row>
    <row r="10637" spans="20:20" x14ac:dyDescent="0.25">
      <c r="T10637" s="98"/>
    </row>
    <row r="10638" spans="20:20" x14ac:dyDescent="0.25">
      <c r="T10638" s="98"/>
    </row>
    <row r="10639" spans="20:20" x14ac:dyDescent="0.25">
      <c r="T10639" s="98"/>
    </row>
    <row r="10640" spans="20:20" x14ac:dyDescent="0.25">
      <c r="T10640" s="98"/>
    </row>
    <row r="10641" spans="20:20" x14ac:dyDescent="0.25">
      <c r="T10641" s="98"/>
    </row>
    <row r="10642" spans="20:20" x14ac:dyDescent="0.25">
      <c r="T10642" s="98"/>
    </row>
    <row r="10643" spans="20:20" x14ac:dyDescent="0.25">
      <c r="T10643" s="98"/>
    </row>
    <row r="10644" spans="20:20" x14ac:dyDescent="0.25">
      <c r="T10644" s="98"/>
    </row>
    <row r="10645" spans="20:20" x14ac:dyDescent="0.25">
      <c r="T10645" s="98"/>
    </row>
    <row r="10646" spans="20:20" x14ac:dyDescent="0.25">
      <c r="T10646" s="98"/>
    </row>
    <row r="10647" spans="20:20" x14ac:dyDescent="0.25">
      <c r="T10647" s="98"/>
    </row>
    <row r="10648" spans="20:20" x14ac:dyDescent="0.25">
      <c r="T10648" s="98"/>
    </row>
    <row r="10649" spans="20:20" x14ac:dyDescent="0.25">
      <c r="T10649" s="98"/>
    </row>
    <row r="10650" spans="20:20" x14ac:dyDescent="0.25">
      <c r="T10650" s="98"/>
    </row>
    <row r="10651" spans="20:20" x14ac:dyDescent="0.25">
      <c r="T10651" s="98"/>
    </row>
    <row r="10652" spans="20:20" x14ac:dyDescent="0.25">
      <c r="T10652" s="98"/>
    </row>
    <row r="10653" spans="20:20" x14ac:dyDescent="0.25">
      <c r="T10653" s="98"/>
    </row>
    <row r="10654" spans="20:20" x14ac:dyDescent="0.25">
      <c r="T10654" s="98"/>
    </row>
    <row r="10655" spans="20:20" x14ac:dyDescent="0.25">
      <c r="T10655" s="98"/>
    </row>
    <row r="10656" spans="20:20" x14ac:dyDescent="0.25">
      <c r="T10656" s="98"/>
    </row>
    <row r="10657" spans="20:20" x14ac:dyDescent="0.25">
      <c r="T10657" s="98"/>
    </row>
    <row r="10658" spans="20:20" x14ac:dyDescent="0.25">
      <c r="T10658" s="98"/>
    </row>
    <row r="10659" spans="20:20" x14ac:dyDescent="0.25">
      <c r="T10659" s="98"/>
    </row>
    <row r="10660" spans="20:20" x14ac:dyDescent="0.25">
      <c r="T10660" s="98"/>
    </row>
    <row r="10661" spans="20:20" x14ac:dyDescent="0.25">
      <c r="T10661" s="98"/>
    </row>
    <row r="10662" spans="20:20" x14ac:dyDescent="0.25">
      <c r="T10662" s="98"/>
    </row>
    <row r="10663" spans="20:20" x14ac:dyDescent="0.25">
      <c r="T10663" s="98"/>
    </row>
    <row r="10664" spans="20:20" x14ac:dyDescent="0.25">
      <c r="T10664" s="98"/>
    </row>
    <row r="10665" spans="20:20" x14ac:dyDescent="0.25">
      <c r="T10665" s="98"/>
    </row>
    <row r="10666" spans="20:20" x14ac:dyDescent="0.25">
      <c r="T10666" s="98"/>
    </row>
    <row r="10667" spans="20:20" x14ac:dyDescent="0.25">
      <c r="T10667" s="98"/>
    </row>
    <row r="10668" spans="20:20" x14ac:dyDescent="0.25">
      <c r="T10668" s="98"/>
    </row>
    <row r="10669" spans="20:20" x14ac:dyDescent="0.25">
      <c r="T10669" s="98"/>
    </row>
    <row r="10670" spans="20:20" x14ac:dyDescent="0.25">
      <c r="T10670" s="98"/>
    </row>
    <row r="10671" spans="20:20" x14ac:dyDescent="0.25">
      <c r="T10671" s="98"/>
    </row>
    <row r="10672" spans="20:20" x14ac:dyDescent="0.25">
      <c r="T10672" s="98"/>
    </row>
    <row r="10673" spans="20:20" x14ac:dyDescent="0.25">
      <c r="T10673" s="98"/>
    </row>
    <row r="10674" spans="20:20" x14ac:dyDescent="0.25">
      <c r="T10674" s="98"/>
    </row>
    <row r="10675" spans="20:20" x14ac:dyDescent="0.25">
      <c r="T10675" s="98"/>
    </row>
    <row r="10676" spans="20:20" x14ac:dyDescent="0.25">
      <c r="T10676" s="98"/>
    </row>
    <row r="10677" spans="20:20" x14ac:dyDescent="0.25">
      <c r="T10677" s="98"/>
    </row>
    <row r="10678" spans="20:20" x14ac:dyDescent="0.25">
      <c r="T10678" s="98"/>
    </row>
    <row r="10679" spans="20:20" x14ac:dyDescent="0.25">
      <c r="T10679" s="98"/>
    </row>
    <row r="10680" spans="20:20" x14ac:dyDescent="0.25">
      <c r="T10680" s="98"/>
    </row>
    <row r="10681" spans="20:20" x14ac:dyDescent="0.25">
      <c r="T10681" s="98"/>
    </row>
    <row r="10682" spans="20:20" x14ac:dyDescent="0.25">
      <c r="T10682" s="98"/>
    </row>
    <row r="10683" spans="20:20" x14ac:dyDescent="0.25">
      <c r="T10683" s="98"/>
    </row>
    <row r="10684" spans="20:20" x14ac:dyDescent="0.25">
      <c r="T10684" s="98"/>
    </row>
    <row r="10685" spans="20:20" x14ac:dyDescent="0.25">
      <c r="T10685" s="98"/>
    </row>
    <row r="10686" spans="20:20" x14ac:dyDescent="0.25">
      <c r="T10686" s="98"/>
    </row>
    <row r="10687" spans="20:20" x14ac:dyDescent="0.25">
      <c r="T10687" s="98"/>
    </row>
    <row r="10688" spans="20:20" x14ac:dyDescent="0.25">
      <c r="T10688" s="98"/>
    </row>
    <row r="10689" spans="20:20" x14ac:dyDescent="0.25">
      <c r="T10689" s="98"/>
    </row>
    <row r="10690" spans="20:20" x14ac:dyDescent="0.25">
      <c r="T10690" s="98"/>
    </row>
    <row r="10691" spans="20:20" x14ac:dyDescent="0.25">
      <c r="T10691" s="98"/>
    </row>
    <row r="10692" spans="20:20" x14ac:dyDescent="0.25">
      <c r="T10692" s="98"/>
    </row>
    <row r="10693" spans="20:20" x14ac:dyDescent="0.25">
      <c r="T10693" s="98"/>
    </row>
    <row r="10694" spans="20:20" x14ac:dyDescent="0.25">
      <c r="T10694" s="98"/>
    </row>
    <row r="10695" spans="20:20" x14ac:dyDescent="0.25">
      <c r="T10695" s="98"/>
    </row>
    <row r="10696" spans="20:20" x14ac:dyDescent="0.25">
      <c r="T10696" s="98"/>
    </row>
    <row r="10697" spans="20:20" x14ac:dyDescent="0.25">
      <c r="T10697" s="98"/>
    </row>
    <row r="10698" spans="20:20" x14ac:dyDescent="0.25">
      <c r="T10698" s="98"/>
    </row>
    <row r="10699" spans="20:20" x14ac:dyDescent="0.25">
      <c r="T10699" s="98"/>
    </row>
    <row r="10700" spans="20:20" x14ac:dyDescent="0.25">
      <c r="T10700" s="98"/>
    </row>
    <row r="10701" spans="20:20" x14ac:dyDescent="0.25">
      <c r="T10701" s="98"/>
    </row>
    <row r="10702" spans="20:20" x14ac:dyDescent="0.25">
      <c r="T10702" s="98"/>
    </row>
    <row r="10703" spans="20:20" x14ac:dyDescent="0.25">
      <c r="T10703" s="98"/>
    </row>
    <row r="10704" spans="20:20" x14ac:dyDescent="0.25">
      <c r="T10704" s="98"/>
    </row>
    <row r="10705" spans="20:20" x14ac:dyDescent="0.25">
      <c r="T10705" s="98"/>
    </row>
    <row r="10706" spans="20:20" x14ac:dyDescent="0.25">
      <c r="T10706" s="98"/>
    </row>
    <row r="10707" spans="20:20" x14ac:dyDescent="0.25">
      <c r="T10707" s="98"/>
    </row>
    <row r="10708" spans="20:20" x14ac:dyDescent="0.25">
      <c r="T10708" s="98"/>
    </row>
    <row r="10709" spans="20:20" x14ac:dyDescent="0.25">
      <c r="T10709" s="98"/>
    </row>
    <row r="10710" spans="20:20" x14ac:dyDescent="0.25">
      <c r="T10710" s="98"/>
    </row>
    <row r="10711" spans="20:20" x14ac:dyDescent="0.25">
      <c r="T10711" s="98"/>
    </row>
    <row r="10712" spans="20:20" x14ac:dyDescent="0.25">
      <c r="T10712" s="98"/>
    </row>
    <row r="10713" spans="20:20" x14ac:dyDescent="0.25">
      <c r="T10713" s="98"/>
    </row>
    <row r="10714" spans="20:20" x14ac:dyDescent="0.25">
      <c r="T10714" s="98"/>
    </row>
    <row r="10715" spans="20:20" x14ac:dyDescent="0.25">
      <c r="T10715" s="98"/>
    </row>
    <row r="10716" spans="20:20" x14ac:dyDescent="0.25">
      <c r="T10716" s="98"/>
    </row>
    <row r="10717" spans="20:20" x14ac:dyDescent="0.25">
      <c r="T10717" s="98"/>
    </row>
    <row r="10718" spans="20:20" x14ac:dyDescent="0.25">
      <c r="T10718" s="98"/>
    </row>
    <row r="10719" spans="20:20" x14ac:dyDescent="0.25">
      <c r="T10719" s="98"/>
    </row>
    <row r="10720" spans="20:20" x14ac:dyDescent="0.25">
      <c r="T10720" s="98"/>
    </row>
    <row r="10721" spans="20:20" x14ac:dyDescent="0.25">
      <c r="T10721" s="98"/>
    </row>
    <row r="10722" spans="20:20" x14ac:dyDescent="0.25">
      <c r="T10722" s="98"/>
    </row>
    <row r="10723" spans="20:20" x14ac:dyDescent="0.25">
      <c r="T10723" s="98"/>
    </row>
    <row r="10724" spans="20:20" x14ac:dyDescent="0.25">
      <c r="T10724" s="98"/>
    </row>
    <row r="10725" spans="20:20" x14ac:dyDescent="0.25">
      <c r="T10725" s="98"/>
    </row>
    <row r="10726" spans="20:20" x14ac:dyDescent="0.25">
      <c r="T10726" s="98"/>
    </row>
    <row r="10727" spans="20:20" x14ac:dyDescent="0.25">
      <c r="T10727" s="98"/>
    </row>
    <row r="10728" spans="20:20" x14ac:dyDescent="0.25">
      <c r="T10728" s="98"/>
    </row>
    <row r="10729" spans="20:20" x14ac:dyDescent="0.25">
      <c r="T10729" s="98"/>
    </row>
    <row r="10730" spans="20:20" x14ac:dyDescent="0.25">
      <c r="T10730" s="98"/>
    </row>
    <row r="10731" spans="20:20" x14ac:dyDescent="0.25">
      <c r="T10731" s="98"/>
    </row>
    <row r="10732" spans="20:20" x14ac:dyDescent="0.25">
      <c r="T10732" s="98"/>
    </row>
    <row r="10733" spans="20:20" x14ac:dyDescent="0.25">
      <c r="T10733" s="98"/>
    </row>
    <row r="10734" spans="20:20" x14ac:dyDescent="0.25">
      <c r="T10734" s="98"/>
    </row>
    <row r="10735" spans="20:20" x14ac:dyDescent="0.25">
      <c r="T10735" s="98"/>
    </row>
    <row r="10736" spans="20:20" x14ac:dyDescent="0.25">
      <c r="T10736" s="98"/>
    </row>
    <row r="10737" spans="20:20" x14ac:dyDescent="0.25">
      <c r="T10737" s="98"/>
    </row>
    <row r="10738" spans="20:20" x14ac:dyDescent="0.25">
      <c r="T10738" s="98"/>
    </row>
    <row r="10739" spans="20:20" x14ac:dyDescent="0.25">
      <c r="T10739" s="98"/>
    </row>
    <row r="10740" spans="20:20" x14ac:dyDescent="0.25">
      <c r="T10740" s="98"/>
    </row>
    <row r="10741" spans="20:20" x14ac:dyDescent="0.25">
      <c r="T10741" s="98"/>
    </row>
    <row r="10742" spans="20:20" x14ac:dyDescent="0.25">
      <c r="T10742" s="98"/>
    </row>
    <row r="10743" spans="20:20" x14ac:dyDescent="0.25">
      <c r="T10743" s="98"/>
    </row>
    <row r="10744" spans="20:20" x14ac:dyDescent="0.25">
      <c r="T10744" s="98"/>
    </row>
    <row r="10745" spans="20:20" x14ac:dyDescent="0.25">
      <c r="T10745" s="98"/>
    </row>
    <row r="10746" spans="20:20" x14ac:dyDescent="0.25">
      <c r="T10746" s="98"/>
    </row>
    <row r="10747" spans="20:20" x14ac:dyDescent="0.25">
      <c r="T10747" s="98"/>
    </row>
    <row r="10748" spans="20:20" x14ac:dyDescent="0.25">
      <c r="T10748" s="98"/>
    </row>
    <row r="10749" spans="20:20" x14ac:dyDescent="0.25">
      <c r="T10749" s="98"/>
    </row>
    <row r="10750" spans="20:20" x14ac:dyDescent="0.25">
      <c r="T10750" s="98"/>
    </row>
    <row r="10751" spans="20:20" x14ac:dyDescent="0.25">
      <c r="T10751" s="98"/>
    </row>
    <row r="10752" spans="20:20" x14ac:dyDescent="0.25">
      <c r="T10752" s="98"/>
    </row>
    <row r="10753" spans="20:20" x14ac:dyDescent="0.25">
      <c r="T10753" s="98"/>
    </row>
    <row r="10754" spans="20:20" x14ac:dyDescent="0.25">
      <c r="T10754" s="98"/>
    </row>
    <row r="10755" spans="20:20" x14ac:dyDescent="0.25">
      <c r="T10755" s="98"/>
    </row>
    <row r="10756" spans="20:20" x14ac:dyDescent="0.25">
      <c r="T10756" s="98"/>
    </row>
    <row r="10757" spans="20:20" x14ac:dyDescent="0.25">
      <c r="T10757" s="98"/>
    </row>
    <row r="10758" spans="20:20" x14ac:dyDescent="0.25">
      <c r="T10758" s="98"/>
    </row>
    <row r="10759" spans="20:20" x14ac:dyDescent="0.25">
      <c r="T10759" s="98"/>
    </row>
    <row r="10760" spans="20:20" x14ac:dyDescent="0.25">
      <c r="T10760" s="98"/>
    </row>
    <row r="10761" spans="20:20" x14ac:dyDescent="0.25">
      <c r="T10761" s="98"/>
    </row>
    <row r="10762" spans="20:20" x14ac:dyDescent="0.25">
      <c r="T10762" s="98"/>
    </row>
    <row r="10763" spans="20:20" x14ac:dyDescent="0.25">
      <c r="T10763" s="98"/>
    </row>
    <row r="10764" spans="20:20" x14ac:dyDescent="0.25">
      <c r="T10764" s="98"/>
    </row>
    <row r="10765" spans="20:20" x14ac:dyDescent="0.25">
      <c r="T10765" s="98"/>
    </row>
    <row r="10766" spans="20:20" x14ac:dyDescent="0.25">
      <c r="T10766" s="98"/>
    </row>
    <row r="10767" spans="20:20" x14ac:dyDescent="0.25">
      <c r="T10767" s="98"/>
    </row>
    <row r="10768" spans="20:20" x14ac:dyDescent="0.25">
      <c r="T10768" s="98"/>
    </row>
    <row r="10769" spans="20:20" x14ac:dyDescent="0.25">
      <c r="T10769" s="98"/>
    </row>
    <row r="10770" spans="20:20" x14ac:dyDescent="0.25">
      <c r="T10770" s="98"/>
    </row>
    <row r="10771" spans="20:20" x14ac:dyDescent="0.25">
      <c r="T10771" s="98"/>
    </row>
    <row r="10772" spans="20:20" x14ac:dyDescent="0.25">
      <c r="T10772" s="98"/>
    </row>
    <row r="10773" spans="20:20" x14ac:dyDescent="0.25">
      <c r="T10773" s="98"/>
    </row>
    <row r="10774" spans="20:20" x14ac:dyDescent="0.25">
      <c r="T10774" s="98"/>
    </row>
    <row r="10775" spans="20:20" x14ac:dyDescent="0.25">
      <c r="T10775" s="98"/>
    </row>
    <row r="10776" spans="20:20" x14ac:dyDescent="0.25">
      <c r="T10776" s="98"/>
    </row>
    <row r="10777" spans="20:20" x14ac:dyDescent="0.25">
      <c r="T10777" s="98"/>
    </row>
    <row r="10778" spans="20:20" x14ac:dyDescent="0.25">
      <c r="T10778" s="98"/>
    </row>
    <row r="10779" spans="20:20" x14ac:dyDescent="0.25">
      <c r="T10779" s="98"/>
    </row>
    <row r="10780" spans="20:20" x14ac:dyDescent="0.25">
      <c r="T10780" s="98"/>
    </row>
    <row r="10781" spans="20:20" x14ac:dyDescent="0.25">
      <c r="T10781" s="98"/>
    </row>
    <row r="10782" spans="20:20" x14ac:dyDescent="0.25">
      <c r="T10782" s="98"/>
    </row>
    <row r="10783" spans="20:20" x14ac:dyDescent="0.25">
      <c r="T10783" s="98"/>
    </row>
    <row r="10784" spans="20:20" x14ac:dyDescent="0.25">
      <c r="T10784" s="98"/>
    </row>
    <row r="10785" spans="20:20" x14ac:dyDescent="0.25">
      <c r="T10785" s="98"/>
    </row>
    <row r="10786" spans="20:20" x14ac:dyDescent="0.25">
      <c r="T10786" s="98"/>
    </row>
    <row r="10787" spans="20:20" x14ac:dyDescent="0.25">
      <c r="T10787" s="98"/>
    </row>
    <row r="10788" spans="20:20" x14ac:dyDescent="0.25">
      <c r="T10788" s="98"/>
    </row>
    <row r="10789" spans="20:20" x14ac:dyDescent="0.25">
      <c r="T10789" s="98"/>
    </row>
    <row r="10790" spans="20:20" x14ac:dyDescent="0.25">
      <c r="T10790" s="98"/>
    </row>
    <row r="10791" spans="20:20" x14ac:dyDescent="0.25">
      <c r="T10791" s="98"/>
    </row>
    <row r="10792" spans="20:20" x14ac:dyDescent="0.25">
      <c r="T10792" s="98"/>
    </row>
    <row r="10793" spans="20:20" x14ac:dyDescent="0.25">
      <c r="T10793" s="98"/>
    </row>
    <row r="10794" spans="20:20" x14ac:dyDescent="0.25">
      <c r="T10794" s="98"/>
    </row>
    <row r="10795" spans="20:20" x14ac:dyDescent="0.25">
      <c r="T10795" s="98"/>
    </row>
    <row r="10796" spans="20:20" x14ac:dyDescent="0.25">
      <c r="T10796" s="98"/>
    </row>
    <row r="10797" spans="20:20" x14ac:dyDescent="0.25">
      <c r="T10797" s="98"/>
    </row>
    <row r="10798" spans="20:20" x14ac:dyDescent="0.25">
      <c r="T10798" s="98"/>
    </row>
    <row r="10799" spans="20:20" x14ac:dyDescent="0.25">
      <c r="T10799" s="98"/>
    </row>
    <row r="10800" spans="20:20" x14ac:dyDescent="0.25">
      <c r="T10800" s="98"/>
    </row>
    <row r="10801" spans="20:20" x14ac:dyDescent="0.25">
      <c r="T10801" s="98"/>
    </row>
    <row r="10802" spans="20:20" x14ac:dyDescent="0.25">
      <c r="T10802" s="98"/>
    </row>
    <row r="10803" spans="20:20" x14ac:dyDescent="0.25">
      <c r="T10803" s="98"/>
    </row>
    <row r="10804" spans="20:20" x14ac:dyDescent="0.25">
      <c r="T10804" s="98"/>
    </row>
    <row r="10805" spans="20:20" x14ac:dyDescent="0.25">
      <c r="T10805" s="98"/>
    </row>
    <row r="10806" spans="20:20" x14ac:dyDescent="0.25">
      <c r="T10806" s="98"/>
    </row>
    <row r="10807" spans="20:20" x14ac:dyDescent="0.25">
      <c r="T10807" s="98"/>
    </row>
    <row r="10808" spans="20:20" x14ac:dyDescent="0.25">
      <c r="T10808" s="98"/>
    </row>
    <row r="10809" spans="20:20" x14ac:dyDescent="0.25">
      <c r="T10809" s="98"/>
    </row>
    <row r="10810" spans="20:20" x14ac:dyDescent="0.25">
      <c r="T10810" s="98"/>
    </row>
    <row r="10811" spans="20:20" x14ac:dyDescent="0.25">
      <c r="T10811" s="98"/>
    </row>
    <row r="10812" spans="20:20" x14ac:dyDescent="0.25">
      <c r="T10812" s="98"/>
    </row>
    <row r="10813" spans="20:20" x14ac:dyDescent="0.25">
      <c r="T10813" s="98"/>
    </row>
    <row r="10814" spans="20:20" x14ac:dyDescent="0.25">
      <c r="T10814" s="98"/>
    </row>
    <row r="10815" spans="20:20" x14ac:dyDescent="0.25">
      <c r="T10815" s="98"/>
    </row>
    <row r="10816" spans="20:20" x14ac:dyDescent="0.25">
      <c r="T10816" s="98"/>
    </row>
    <row r="10817" spans="20:20" x14ac:dyDescent="0.25">
      <c r="T10817" s="98"/>
    </row>
    <row r="10818" spans="20:20" x14ac:dyDescent="0.25">
      <c r="T10818" s="98"/>
    </row>
    <row r="10819" spans="20:20" x14ac:dyDescent="0.25">
      <c r="T10819" s="98"/>
    </row>
    <row r="10820" spans="20:20" x14ac:dyDescent="0.25">
      <c r="T10820" s="98"/>
    </row>
    <row r="10821" spans="20:20" x14ac:dyDescent="0.25">
      <c r="T10821" s="98"/>
    </row>
    <row r="10822" spans="20:20" x14ac:dyDescent="0.25">
      <c r="T10822" s="98"/>
    </row>
    <row r="10823" spans="20:20" x14ac:dyDescent="0.25">
      <c r="T10823" s="98"/>
    </row>
    <row r="10824" spans="20:20" x14ac:dyDescent="0.25">
      <c r="T10824" s="98"/>
    </row>
    <row r="10825" spans="20:20" x14ac:dyDescent="0.25">
      <c r="T10825" s="98"/>
    </row>
    <row r="10826" spans="20:20" x14ac:dyDescent="0.25">
      <c r="T10826" s="98"/>
    </row>
    <row r="10827" spans="20:20" x14ac:dyDescent="0.25">
      <c r="T10827" s="98"/>
    </row>
    <row r="10828" spans="20:20" x14ac:dyDescent="0.25">
      <c r="T10828" s="98"/>
    </row>
    <row r="10829" spans="20:20" x14ac:dyDescent="0.25">
      <c r="T10829" s="98"/>
    </row>
    <row r="10830" spans="20:20" x14ac:dyDescent="0.25">
      <c r="T10830" s="98"/>
    </row>
    <row r="10831" spans="20:20" x14ac:dyDescent="0.25">
      <c r="T10831" s="98"/>
    </row>
    <row r="10832" spans="20:20" x14ac:dyDescent="0.25">
      <c r="T10832" s="98"/>
    </row>
    <row r="10833" spans="20:20" x14ac:dyDescent="0.25">
      <c r="T10833" s="98"/>
    </row>
    <row r="10834" spans="20:20" x14ac:dyDescent="0.25">
      <c r="T10834" s="98"/>
    </row>
    <row r="10835" spans="20:20" x14ac:dyDescent="0.25">
      <c r="T10835" s="98"/>
    </row>
    <row r="10836" spans="20:20" x14ac:dyDescent="0.25">
      <c r="T10836" s="98"/>
    </row>
    <row r="10837" spans="20:20" x14ac:dyDescent="0.25">
      <c r="T10837" s="98"/>
    </row>
    <row r="10838" spans="20:20" x14ac:dyDescent="0.25">
      <c r="T10838" s="98"/>
    </row>
    <row r="10839" spans="20:20" x14ac:dyDescent="0.25">
      <c r="T10839" s="98"/>
    </row>
    <row r="10840" spans="20:20" x14ac:dyDescent="0.25">
      <c r="T10840" s="98"/>
    </row>
    <row r="10841" spans="20:20" x14ac:dyDescent="0.25">
      <c r="T10841" s="98"/>
    </row>
    <row r="10842" spans="20:20" x14ac:dyDescent="0.25">
      <c r="T10842" s="98"/>
    </row>
    <row r="10843" spans="20:20" x14ac:dyDescent="0.25">
      <c r="T10843" s="98"/>
    </row>
    <row r="10844" spans="20:20" x14ac:dyDescent="0.25">
      <c r="T10844" s="98"/>
    </row>
    <row r="10845" spans="20:20" x14ac:dyDescent="0.25">
      <c r="T10845" s="98"/>
    </row>
    <row r="10846" spans="20:20" x14ac:dyDescent="0.25">
      <c r="T10846" s="98"/>
    </row>
    <row r="10847" spans="20:20" x14ac:dyDescent="0.25">
      <c r="T10847" s="98"/>
    </row>
    <row r="10848" spans="20:20" x14ac:dyDescent="0.25">
      <c r="T10848" s="98"/>
    </row>
    <row r="10849" spans="20:20" x14ac:dyDescent="0.25">
      <c r="T10849" s="98"/>
    </row>
    <row r="10850" spans="20:20" x14ac:dyDescent="0.25">
      <c r="T10850" s="98"/>
    </row>
    <row r="10851" spans="20:20" x14ac:dyDescent="0.25">
      <c r="T10851" s="98"/>
    </row>
    <row r="10852" spans="20:20" x14ac:dyDescent="0.25">
      <c r="T10852" s="98"/>
    </row>
    <row r="10853" spans="20:20" x14ac:dyDescent="0.25">
      <c r="T10853" s="98"/>
    </row>
    <row r="10854" spans="20:20" x14ac:dyDescent="0.25">
      <c r="T10854" s="98"/>
    </row>
    <row r="10855" spans="20:20" x14ac:dyDescent="0.25">
      <c r="T10855" s="98"/>
    </row>
    <row r="10856" spans="20:20" x14ac:dyDescent="0.25">
      <c r="T10856" s="98"/>
    </row>
    <row r="10857" spans="20:20" x14ac:dyDescent="0.25">
      <c r="T10857" s="98"/>
    </row>
    <row r="10858" spans="20:20" x14ac:dyDescent="0.25">
      <c r="T10858" s="98"/>
    </row>
    <row r="10859" spans="20:20" x14ac:dyDescent="0.25">
      <c r="T10859" s="98"/>
    </row>
    <row r="10860" spans="20:20" x14ac:dyDescent="0.25">
      <c r="T10860" s="98"/>
    </row>
    <row r="10861" spans="20:20" x14ac:dyDescent="0.25">
      <c r="T10861" s="98"/>
    </row>
    <row r="10862" spans="20:20" x14ac:dyDescent="0.25">
      <c r="T10862" s="98"/>
    </row>
    <row r="10863" spans="20:20" x14ac:dyDescent="0.25">
      <c r="T10863" s="98"/>
    </row>
    <row r="10864" spans="20:20" x14ac:dyDescent="0.25">
      <c r="T10864" s="98"/>
    </row>
    <row r="10865" spans="20:20" x14ac:dyDescent="0.25">
      <c r="T10865" s="98"/>
    </row>
    <row r="10866" spans="20:20" x14ac:dyDescent="0.25">
      <c r="T10866" s="98"/>
    </row>
    <row r="10867" spans="20:20" x14ac:dyDescent="0.25">
      <c r="T10867" s="98"/>
    </row>
    <row r="10868" spans="20:20" x14ac:dyDescent="0.25">
      <c r="T10868" s="98"/>
    </row>
    <row r="10869" spans="20:20" x14ac:dyDescent="0.25">
      <c r="T10869" s="98"/>
    </row>
    <row r="10870" spans="20:20" x14ac:dyDescent="0.25">
      <c r="T10870" s="98"/>
    </row>
    <row r="10871" spans="20:20" x14ac:dyDescent="0.25">
      <c r="T10871" s="98"/>
    </row>
    <row r="10872" spans="20:20" x14ac:dyDescent="0.25">
      <c r="T10872" s="98"/>
    </row>
    <row r="10873" spans="20:20" x14ac:dyDescent="0.25">
      <c r="T10873" s="98"/>
    </row>
    <row r="10874" spans="20:20" x14ac:dyDescent="0.25">
      <c r="T10874" s="98"/>
    </row>
    <row r="10875" spans="20:20" x14ac:dyDescent="0.25">
      <c r="T10875" s="98"/>
    </row>
    <row r="10876" spans="20:20" x14ac:dyDescent="0.25">
      <c r="T10876" s="98"/>
    </row>
    <row r="10877" spans="20:20" x14ac:dyDescent="0.25">
      <c r="T10877" s="98"/>
    </row>
    <row r="10878" spans="20:20" x14ac:dyDescent="0.25">
      <c r="T10878" s="98"/>
    </row>
    <row r="10879" spans="20:20" x14ac:dyDescent="0.25">
      <c r="T10879" s="98"/>
    </row>
    <row r="10880" spans="20:20" x14ac:dyDescent="0.25">
      <c r="T10880" s="98"/>
    </row>
    <row r="10881" spans="20:20" x14ac:dyDescent="0.25">
      <c r="T10881" s="98"/>
    </row>
    <row r="10882" spans="20:20" x14ac:dyDescent="0.25">
      <c r="T10882" s="98"/>
    </row>
    <row r="10883" spans="20:20" x14ac:dyDescent="0.25">
      <c r="T10883" s="98"/>
    </row>
    <row r="10884" spans="20:20" x14ac:dyDescent="0.25">
      <c r="T10884" s="98"/>
    </row>
    <row r="10885" spans="20:20" x14ac:dyDescent="0.25">
      <c r="T10885" s="98"/>
    </row>
    <row r="10886" spans="20:20" x14ac:dyDescent="0.25">
      <c r="T10886" s="98"/>
    </row>
    <row r="10887" spans="20:20" x14ac:dyDescent="0.25">
      <c r="T10887" s="98"/>
    </row>
    <row r="10888" spans="20:20" x14ac:dyDescent="0.25">
      <c r="T10888" s="98"/>
    </row>
    <row r="10889" spans="20:20" x14ac:dyDescent="0.25">
      <c r="T10889" s="98"/>
    </row>
    <row r="10890" spans="20:20" x14ac:dyDescent="0.25">
      <c r="T10890" s="98"/>
    </row>
    <row r="10891" spans="20:20" x14ac:dyDescent="0.25">
      <c r="T10891" s="98"/>
    </row>
    <row r="10892" spans="20:20" x14ac:dyDescent="0.25">
      <c r="T10892" s="98"/>
    </row>
    <row r="10893" spans="20:20" x14ac:dyDescent="0.25">
      <c r="T10893" s="98"/>
    </row>
    <row r="10894" spans="20:20" x14ac:dyDescent="0.25">
      <c r="T10894" s="98"/>
    </row>
    <row r="10895" spans="20:20" x14ac:dyDescent="0.25">
      <c r="T10895" s="98"/>
    </row>
    <row r="10896" spans="20:20" x14ac:dyDescent="0.25">
      <c r="T10896" s="98"/>
    </row>
    <row r="10897" spans="20:20" x14ac:dyDescent="0.25">
      <c r="T10897" s="98"/>
    </row>
    <row r="10898" spans="20:20" x14ac:dyDescent="0.25">
      <c r="T10898" s="98"/>
    </row>
    <row r="10899" spans="20:20" x14ac:dyDescent="0.25">
      <c r="T10899" s="98"/>
    </row>
    <row r="10900" spans="20:20" x14ac:dyDescent="0.25">
      <c r="T10900" s="98"/>
    </row>
    <row r="10901" spans="20:20" x14ac:dyDescent="0.25">
      <c r="T10901" s="98"/>
    </row>
    <row r="10902" spans="20:20" x14ac:dyDescent="0.25">
      <c r="T10902" s="98"/>
    </row>
    <row r="10903" spans="20:20" x14ac:dyDescent="0.25">
      <c r="T10903" s="98"/>
    </row>
    <row r="10904" spans="20:20" x14ac:dyDescent="0.25">
      <c r="T10904" s="98"/>
    </row>
    <row r="10905" spans="20:20" x14ac:dyDescent="0.25">
      <c r="T10905" s="98"/>
    </row>
    <row r="10906" spans="20:20" x14ac:dyDescent="0.25">
      <c r="T10906" s="98"/>
    </row>
    <row r="10907" spans="20:20" x14ac:dyDescent="0.25">
      <c r="T10907" s="98"/>
    </row>
    <row r="10908" spans="20:20" x14ac:dyDescent="0.25">
      <c r="T10908" s="98"/>
    </row>
    <row r="10909" spans="20:20" x14ac:dyDescent="0.25">
      <c r="T10909" s="98"/>
    </row>
    <row r="10910" spans="20:20" x14ac:dyDescent="0.25">
      <c r="T10910" s="98"/>
    </row>
    <row r="10911" spans="20:20" x14ac:dyDescent="0.25">
      <c r="T10911" s="98"/>
    </row>
    <row r="10912" spans="20:20" x14ac:dyDescent="0.25">
      <c r="T10912" s="98"/>
    </row>
    <row r="10913" spans="20:20" x14ac:dyDescent="0.25">
      <c r="T10913" s="98"/>
    </row>
    <row r="10914" spans="20:20" x14ac:dyDescent="0.25">
      <c r="T10914" s="98"/>
    </row>
    <row r="10915" spans="20:20" x14ac:dyDescent="0.25">
      <c r="T10915" s="98"/>
    </row>
    <row r="10916" spans="20:20" x14ac:dyDescent="0.25">
      <c r="T10916" s="98"/>
    </row>
    <row r="10917" spans="20:20" x14ac:dyDescent="0.25">
      <c r="T10917" s="98"/>
    </row>
    <row r="10918" spans="20:20" x14ac:dyDescent="0.25">
      <c r="T10918" s="98"/>
    </row>
    <row r="10919" spans="20:20" x14ac:dyDescent="0.25">
      <c r="T10919" s="98"/>
    </row>
    <row r="10920" spans="20:20" x14ac:dyDescent="0.25">
      <c r="T10920" s="98"/>
    </row>
    <row r="10921" spans="20:20" x14ac:dyDescent="0.25">
      <c r="T10921" s="98"/>
    </row>
    <row r="10922" spans="20:20" x14ac:dyDescent="0.25">
      <c r="T10922" s="98"/>
    </row>
    <row r="10923" spans="20:20" x14ac:dyDescent="0.25">
      <c r="T10923" s="98"/>
    </row>
    <row r="10924" spans="20:20" x14ac:dyDescent="0.25">
      <c r="T10924" s="98"/>
    </row>
    <row r="10925" spans="20:20" x14ac:dyDescent="0.25">
      <c r="T10925" s="98"/>
    </row>
    <row r="10926" spans="20:20" x14ac:dyDescent="0.25">
      <c r="T10926" s="98"/>
    </row>
    <row r="10927" spans="20:20" x14ac:dyDescent="0.25">
      <c r="T10927" s="98"/>
    </row>
    <row r="10928" spans="20:20" x14ac:dyDescent="0.25">
      <c r="T10928" s="98"/>
    </row>
    <row r="10929" spans="20:20" x14ac:dyDescent="0.25">
      <c r="T10929" s="98"/>
    </row>
    <row r="10930" spans="20:20" x14ac:dyDescent="0.25">
      <c r="T10930" s="98"/>
    </row>
    <row r="10931" spans="20:20" x14ac:dyDescent="0.25">
      <c r="T10931" s="98"/>
    </row>
    <row r="10932" spans="20:20" x14ac:dyDescent="0.25">
      <c r="T10932" s="98"/>
    </row>
    <row r="10933" spans="20:20" x14ac:dyDescent="0.25">
      <c r="T10933" s="98"/>
    </row>
    <row r="10934" spans="20:20" x14ac:dyDescent="0.25">
      <c r="T10934" s="98"/>
    </row>
    <row r="10935" spans="20:20" x14ac:dyDescent="0.25">
      <c r="T10935" s="98"/>
    </row>
    <row r="10936" spans="20:20" x14ac:dyDescent="0.25">
      <c r="T10936" s="98"/>
    </row>
    <row r="10937" spans="20:20" x14ac:dyDescent="0.25">
      <c r="T10937" s="98"/>
    </row>
    <row r="10938" spans="20:20" x14ac:dyDescent="0.25">
      <c r="T10938" s="98"/>
    </row>
    <row r="10939" spans="20:20" x14ac:dyDescent="0.25">
      <c r="T10939" s="98"/>
    </row>
    <row r="10940" spans="20:20" x14ac:dyDescent="0.25">
      <c r="T10940" s="98"/>
    </row>
    <row r="10941" spans="20:20" x14ac:dyDescent="0.25">
      <c r="T10941" s="98"/>
    </row>
    <row r="10942" spans="20:20" x14ac:dyDescent="0.25">
      <c r="T10942" s="98"/>
    </row>
    <row r="10943" spans="20:20" x14ac:dyDescent="0.25">
      <c r="T10943" s="98"/>
    </row>
    <row r="10944" spans="20:20" x14ac:dyDescent="0.25">
      <c r="T10944" s="98"/>
    </row>
    <row r="10945" spans="20:20" x14ac:dyDescent="0.25">
      <c r="T10945" s="98"/>
    </row>
    <row r="10946" spans="20:20" x14ac:dyDescent="0.25">
      <c r="T10946" s="98"/>
    </row>
    <row r="10947" spans="20:20" x14ac:dyDescent="0.25">
      <c r="T10947" s="98"/>
    </row>
    <row r="10948" spans="20:20" x14ac:dyDescent="0.25">
      <c r="T10948" s="98"/>
    </row>
    <row r="10949" spans="20:20" x14ac:dyDescent="0.25">
      <c r="T10949" s="98"/>
    </row>
    <row r="10950" spans="20:20" x14ac:dyDescent="0.25">
      <c r="T10950" s="98"/>
    </row>
    <row r="10951" spans="20:20" x14ac:dyDescent="0.25">
      <c r="T10951" s="98"/>
    </row>
    <row r="10952" spans="20:20" x14ac:dyDescent="0.25">
      <c r="T10952" s="98"/>
    </row>
    <row r="10953" spans="20:20" x14ac:dyDescent="0.25">
      <c r="T10953" s="98"/>
    </row>
    <row r="10954" spans="20:20" x14ac:dyDescent="0.25">
      <c r="T10954" s="98"/>
    </row>
    <row r="10955" spans="20:20" x14ac:dyDescent="0.25">
      <c r="T10955" s="98"/>
    </row>
    <row r="10956" spans="20:20" x14ac:dyDescent="0.25">
      <c r="T10956" s="98"/>
    </row>
    <row r="10957" spans="20:20" x14ac:dyDescent="0.25">
      <c r="T10957" s="98"/>
    </row>
    <row r="10958" spans="20:20" x14ac:dyDescent="0.25">
      <c r="T10958" s="98"/>
    </row>
    <row r="10959" spans="20:20" x14ac:dyDescent="0.25">
      <c r="T10959" s="98"/>
    </row>
    <row r="10960" spans="20:20" x14ac:dyDescent="0.25">
      <c r="T10960" s="98"/>
    </row>
    <row r="10961" spans="20:20" x14ac:dyDescent="0.25">
      <c r="T10961" s="98"/>
    </row>
    <row r="10962" spans="20:20" x14ac:dyDescent="0.25">
      <c r="T10962" s="98"/>
    </row>
    <row r="10963" spans="20:20" x14ac:dyDescent="0.25">
      <c r="T10963" s="98"/>
    </row>
    <row r="10964" spans="20:20" x14ac:dyDescent="0.25">
      <c r="T10964" s="98"/>
    </row>
    <row r="10965" spans="20:20" x14ac:dyDescent="0.25">
      <c r="T10965" s="98"/>
    </row>
    <row r="10966" spans="20:20" x14ac:dyDescent="0.25">
      <c r="T10966" s="98"/>
    </row>
    <row r="10967" spans="20:20" x14ac:dyDescent="0.25">
      <c r="T10967" s="98"/>
    </row>
    <row r="10968" spans="20:20" x14ac:dyDescent="0.25">
      <c r="T10968" s="98"/>
    </row>
    <row r="10969" spans="20:20" x14ac:dyDescent="0.25">
      <c r="T10969" s="98"/>
    </row>
    <row r="10970" spans="20:20" x14ac:dyDescent="0.25">
      <c r="T10970" s="98"/>
    </row>
    <row r="10971" spans="20:20" x14ac:dyDescent="0.25">
      <c r="T10971" s="98"/>
    </row>
    <row r="10972" spans="20:20" x14ac:dyDescent="0.25">
      <c r="T10972" s="98"/>
    </row>
    <row r="10973" spans="20:20" x14ac:dyDescent="0.25">
      <c r="T10973" s="98"/>
    </row>
    <row r="10974" spans="20:20" x14ac:dyDescent="0.25">
      <c r="T10974" s="98"/>
    </row>
    <row r="10975" spans="20:20" x14ac:dyDescent="0.25">
      <c r="T10975" s="98"/>
    </row>
    <row r="10976" spans="20:20" x14ac:dyDescent="0.25">
      <c r="T10976" s="98"/>
    </row>
    <row r="10977" spans="20:20" x14ac:dyDescent="0.25">
      <c r="T10977" s="98"/>
    </row>
    <row r="10978" spans="20:20" x14ac:dyDescent="0.25">
      <c r="T10978" s="98"/>
    </row>
    <row r="10979" spans="20:20" x14ac:dyDescent="0.25">
      <c r="T10979" s="98"/>
    </row>
    <row r="10980" spans="20:20" x14ac:dyDescent="0.25">
      <c r="T10980" s="98"/>
    </row>
    <row r="10981" spans="20:20" x14ac:dyDescent="0.25">
      <c r="T10981" s="98"/>
    </row>
    <row r="10982" spans="20:20" x14ac:dyDescent="0.25">
      <c r="T10982" s="98"/>
    </row>
    <row r="10983" spans="20:20" x14ac:dyDescent="0.25">
      <c r="T10983" s="98"/>
    </row>
    <row r="10984" spans="20:20" x14ac:dyDescent="0.25">
      <c r="T10984" s="98"/>
    </row>
    <row r="10985" spans="20:20" x14ac:dyDescent="0.25">
      <c r="T10985" s="98"/>
    </row>
    <row r="10986" spans="20:20" x14ac:dyDescent="0.25">
      <c r="T10986" s="98"/>
    </row>
    <row r="10987" spans="20:20" x14ac:dyDescent="0.25">
      <c r="T10987" s="98"/>
    </row>
    <row r="10988" spans="20:20" x14ac:dyDescent="0.25">
      <c r="T10988" s="98"/>
    </row>
    <row r="10989" spans="20:20" x14ac:dyDescent="0.25">
      <c r="T10989" s="98"/>
    </row>
    <row r="10990" spans="20:20" x14ac:dyDescent="0.25">
      <c r="T10990" s="98"/>
    </row>
    <row r="10991" spans="20:20" x14ac:dyDescent="0.25">
      <c r="T10991" s="98"/>
    </row>
    <row r="10992" spans="20:20" x14ac:dyDescent="0.25">
      <c r="T10992" s="98"/>
    </row>
    <row r="10993" spans="20:20" x14ac:dyDescent="0.25">
      <c r="T10993" s="98"/>
    </row>
    <row r="10994" spans="20:20" x14ac:dyDescent="0.25">
      <c r="T10994" s="98"/>
    </row>
    <row r="10995" spans="20:20" x14ac:dyDescent="0.25">
      <c r="T10995" s="98"/>
    </row>
    <row r="10996" spans="20:20" x14ac:dyDescent="0.25">
      <c r="T10996" s="98"/>
    </row>
    <row r="10997" spans="20:20" x14ac:dyDescent="0.25">
      <c r="T10997" s="98"/>
    </row>
    <row r="10998" spans="20:20" x14ac:dyDescent="0.25">
      <c r="T10998" s="98"/>
    </row>
    <row r="10999" spans="20:20" x14ac:dyDescent="0.25">
      <c r="T10999" s="98"/>
    </row>
    <row r="11000" spans="20:20" x14ac:dyDescent="0.25">
      <c r="T11000" s="98"/>
    </row>
    <row r="11001" spans="20:20" x14ac:dyDescent="0.25">
      <c r="T11001" s="98"/>
    </row>
    <row r="11002" spans="20:20" x14ac:dyDescent="0.25">
      <c r="T11002" s="98"/>
    </row>
    <row r="11003" spans="20:20" x14ac:dyDescent="0.25">
      <c r="T11003" s="98"/>
    </row>
    <row r="11004" spans="20:20" x14ac:dyDescent="0.25">
      <c r="T11004" s="98"/>
    </row>
    <row r="11005" spans="20:20" x14ac:dyDescent="0.25">
      <c r="T11005" s="98"/>
    </row>
    <row r="11006" spans="20:20" x14ac:dyDescent="0.25">
      <c r="T11006" s="98"/>
    </row>
    <row r="11007" spans="20:20" x14ac:dyDescent="0.25">
      <c r="T11007" s="98"/>
    </row>
    <row r="11008" spans="20:20" x14ac:dyDescent="0.25">
      <c r="T11008" s="98"/>
    </row>
    <row r="11009" spans="20:20" x14ac:dyDescent="0.25">
      <c r="T11009" s="98"/>
    </row>
    <row r="11010" spans="20:20" x14ac:dyDescent="0.25">
      <c r="T11010" s="98"/>
    </row>
    <row r="11011" spans="20:20" x14ac:dyDescent="0.25">
      <c r="T11011" s="98"/>
    </row>
    <row r="11012" spans="20:20" x14ac:dyDescent="0.25">
      <c r="T11012" s="98"/>
    </row>
    <row r="11013" spans="20:20" x14ac:dyDescent="0.25">
      <c r="T11013" s="98"/>
    </row>
    <row r="11014" spans="20:20" x14ac:dyDescent="0.25">
      <c r="T11014" s="98"/>
    </row>
    <row r="11015" spans="20:20" x14ac:dyDescent="0.25">
      <c r="T11015" s="98"/>
    </row>
    <row r="11016" spans="20:20" x14ac:dyDescent="0.25">
      <c r="T11016" s="98"/>
    </row>
    <row r="11017" spans="20:20" x14ac:dyDescent="0.25">
      <c r="T11017" s="98"/>
    </row>
    <row r="11018" spans="20:20" x14ac:dyDescent="0.25">
      <c r="T11018" s="98"/>
    </row>
    <row r="11019" spans="20:20" x14ac:dyDescent="0.25">
      <c r="T11019" s="98"/>
    </row>
    <row r="11020" spans="20:20" x14ac:dyDescent="0.25">
      <c r="T11020" s="98"/>
    </row>
    <row r="11021" spans="20:20" x14ac:dyDescent="0.25">
      <c r="T11021" s="98"/>
    </row>
    <row r="11022" spans="20:20" x14ac:dyDescent="0.25">
      <c r="T11022" s="98"/>
    </row>
    <row r="11023" spans="20:20" x14ac:dyDescent="0.25">
      <c r="T11023" s="98"/>
    </row>
    <row r="11024" spans="20:20" x14ac:dyDescent="0.25">
      <c r="T11024" s="98"/>
    </row>
    <row r="11025" spans="20:20" x14ac:dyDescent="0.25">
      <c r="T11025" s="98"/>
    </row>
    <row r="11026" spans="20:20" x14ac:dyDescent="0.25">
      <c r="T11026" s="98"/>
    </row>
    <row r="11027" spans="20:20" x14ac:dyDescent="0.25">
      <c r="T11027" s="98"/>
    </row>
    <row r="11028" spans="20:20" x14ac:dyDescent="0.25">
      <c r="T11028" s="98"/>
    </row>
    <row r="11029" spans="20:20" x14ac:dyDescent="0.25">
      <c r="T11029" s="98"/>
    </row>
    <row r="11030" spans="20:20" x14ac:dyDescent="0.25">
      <c r="T11030" s="98"/>
    </row>
    <row r="11031" spans="20:20" x14ac:dyDescent="0.25">
      <c r="T11031" s="98"/>
    </row>
    <row r="11032" spans="20:20" x14ac:dyDescent="0.25">
      <c r="T11032" s="98"/>
    </row>
    <row r="11033" spans="20:20" x14ac:dyDescent="0.25">
      <c r="T11033" s="98"/>
    </row>
    <row r="11034" spans="20:20" x14ac:dyDescent="0.25">
      <c r="T11034" s="98"/>
    </row>
    <row r="11035" spans="20:20" x14ac:dyDescent="0.25">
      <c r="T11035" s="98"/>
    </row>
    <row r="11036" spans="20:20" x14ac:dyDescent="0.25">
      <c r="T11036" s="98"/>
    </row>
    <row r="11037" spans="20:20" x14ac:dyDescent="0.25">
      <c r="T11037" s="98"/>
    </row>
    <row r="11038" spans="20:20" x14ac:dyDescent="0.25">
      <c r="T11038" s="98"/>
    </row>
    <row r="11039" spans="20:20" x14ac:dyDescent="0.25">
      <c r="T11039" s="98"/>
    </row>
    <row r="11040" spans="20:20" x14ac:dyDescent="0.25">
      <c r="T11040" s="98"/>
    </row>
    <row r="11041" spans="20:20" x14ac:dyDescent="0.25">
      <c r="T11041" s="98"/>
    </row>
    <row r="11042" spans="20:20" x14ac:dyDescent="0.25">
      <c r="T11042" s="98"/>
    </row>
    <row r="11043" spans="20:20" x14ac:dyDescent="0.25">
      <c r="T11043" s="98"/>
    </row>
    <row r="11044" spans="20:20" x14ac:dyDescent="0.25">
      <c r="T11044" s="98"/>
    </row>
    <row r="11045" spans="20:20" x14ac:dyDescent="0.25">
      <c r="T11045" s="98"/>
    </row>
    <row r="11046" spans="20:20" x14ac:dyDescent="0.25">
      <c r="T11046" s="98"/>
    </row>
    <row r="11047" spans="20:20" x14ac:dyDescent="0.25">
      <c r="T11047" s="98"/>
    </row>
    <row r="11048" spans="20:20" x14ac:dyDescent="0.25">
      <c r="T11048" s="98"/>
    </row>
    <row r="11049" spans="20:20" x14ac:dyDescent="0.25">
      <c r="T11049" s="98"/>
    </row>
    <row r="11050" spans="20:20" x14ac:dyDescent="0.25">
      <c r="T11050" s="98"/>
    </row>
    <row r="11051" spans="20:20" x14ac:dyDescent="0.25">
      <c r="T11051" s="98"/>
    </row>
    <row r="11052" spans="20:20" x14ac:dyDescent="0.25">
      <c r="T11052" s="98"/>
    </row>
    <row r="11053" spans="20:20" x14ac:dyDescent="0.25">
      <c r="T11053" s="98"/>
    </row>
    <row r="11054" spans="20:20" x14ac:dyDescent="0.25">
      <c r="T11054" s="98"/>
    </row>
    <row r="11055" spans="20:20" x14ac:dyDescent="0.25">
      <c r="T11055" s="98"/>
    </row>
    <row r="11056" spans="20:20" x14ac:dyDescent="0.25">
      <c r="T11056" s="98"/>
    </row>
    <row r="11057" spans="20:20" x14ac:dyDescent="0.25">
      <c r="T11057" s="98"/>
    </row>
    <row r="11058" spans="20:20" x14ac:dyDescent="0.25">
      <c r="T11058" s="98"/>
    </row>
    <row r="11059" spans="20:20" x14ac:dyDescent="0.25">
      <c r="T11059" s="98"/>
    </row>
    <row r="11060" spans="20:20" x14ac:dyDescent="0.25">
      <c r="T11060" s="98"/>
    </row>
    <row r="11061" spans="20:20" x14ac:dyDescent="0.25">
      <c r="T11061" s="98"/>
    </row>
    <row r="11062" spans="20:20" x14ac:dyDescent="0.25">
      <c r="T11062" s="98"/>
    </row>
    <row r="11063" spans="20:20" x14ac:dyDescent="0.25">
      <c r="T11063" s="98"/>
    </row>
    <row r="11064" spans="20:20" x14ac:dyDescent="0.25">
      <c r="T11064" s="98"/>
    </row>
    <row r="11065" spans="20:20" x14ac:dyDescent="0.25">
      <c r="T11065" s="98"/>
    </row>
    <row r="11066" spans="20:20" x14ac:dyDescent="0.25">
      <c r="T11066" s="98"/>
    </row>
    <row r="11067" spans="20:20" x14ac:dyDescent="0.25">
      <c r="T11067" s="98"/>
    </row>
    <row r="11068" spans="20:20" x14ac:dyDescent="0.25">
      <c r="T11068" s="98"/>
    </row>
    <row r="11069" spans="20:20" x14ac:dyDescent="0.25">
      <c r="T11069" s="98"/>
    </row>
    <row r="11070" spans="20:20" x14ac:dyDescent="0.25">
      <c r="T11070" s="98"/>
    </row>
    <row r="11071" spans="20:20" x14ac:dyDescent="0.25">
      <c r="T11071" s="98"/>
    </row>
    <row r="11072" spans="20:20" x14ac:dyDescent="0.25">
      <c r="T11072" s="98"/>
    </row>
    <row r="11073" spans="20:20" x14ac:dyDescent="0.25">
      <c r="T11073" s="98"/>
    </row>
    <row r="11074" spans="20:20" x14ac:dyDescent="0.25">
      <c r="T11074" s="98"/>
    </row>
    <row r="11075" spans="20:20" x14ac:dyDescent="0.25">
      <c r="T11075" s="98"/>
    </row>
    <row r="11076" spans="20:20" x14ac:dyDescent="0.25">
      <c r="T11076" s="98"/>
    </row>
    <row r="11077" spans="20:20" x14ac:dyDescent="0.25">
      <c r="T11077" s="98"/>
    </row>
    <row r="11078" spans="20:20" x14ac:dyDescent="0.25">
      <c r="T11078" s="98"/>
    </row>
    <row r="11079" spans="20:20" x14ac:dyDescent="0.25">
      <c r="T11079" s="98"/>
    </row>
    <row r="11080" spans="20:20" x14ac:dyDescent="0.25">
      <c r="T11080" s="98"/>
    </row>
    <row r="11081" spans="20:20" x14ac:dyDescent="0.25">
      <c r="T11081" s="98"/>
    </row>
    <row r="11082" spans="20:20" x14ac:dyDescent="0.25">
      <c r="T11082" s="98"/>
    </row>
    <row r="11083" spans="20:20" x14ac:dyDescent="0.25">
      <c r="T11083" s="98"/>
    </row>
    <row r="11084" spans="20:20" x14ac:dyDescent="0.25">
      <c r="T11084" s="98"/>
    </row>
    <row r="11085" spans="20:20" x14ac:dyDescent="0.25">
      <c r="T11085" s="98"/>
    </row>
    <row r="11086" spans="20:20" x14ac:dyDescent="0.25">
      <c r="T11086" s="98"/>
    </row>
    <row r="11087" spans="20:20" x14ac:dyDescent="0.25">
      <c r="T11087" s="98"/>
    </row>
    <row r="11088" spans="20:20" x14ac:dyDescent="0.25">
      <c r="T11088" s="98"/>
    </row>
    <row r="11089" spans="20:20" x14ac:dyDescent="0.25">
      <c r="T11089" s="98"/>
    </row>
    <row r="11090" spans="20:20" x14ac:dyDescent="0.25">
      <c r="T11090" s="98"/>
    </row>
    <row r="11091" spans="20:20" x14ac:dyDescent="0.25">
      <c r="T11091" s="98"/>
    </row>
    <row r="11092" spans="20:20" x14ac:dyDescent="0.25">
      <c r="T11092" s="98"/>
    </row>
    <row r="11093" spans="20:20" x14ac:dyDescent="0.25">
      <c r="T11093" s="98"/>
    </row>
    <row r="11094" spans="20:20" x14ac:dyDescent="0.25">
      <c r="T11094" s="98"/>
    </row>
    <row r="11095" spans="20:20" x14ac:dyDescent="0.25">
      <c r="T11095" s="98"/>
    </row>
    <row r="11096" spans="20:20" x14ac:dyDescent="0.25">
      <c r="T11096" s="98"/>
    </row>
    <row r="11097" spans="20:20" x14ac:dyDescent="0.25">
      <c r="T11097" s="98"/>
    </row>
    <row r="11098" spans="20:20" x14ac:dyDescent="0.25">
      <c r="T11098" s="98"/>
    </row>
    <row r="11099" spans="20:20" x14ac:dyDescent="0.25">
      <c r="T11099" s="98"/>
    </row>
    <row r="11100" spans="20:20" x14ac:dyDescent="0.25">
      <c r="T11100" s="98"/>
    </row>
    <row r="11101" spans="20:20" x14ac:dyDescent="0.25">
      <c r="T11101" s="98"/>
    </row>
    <row r="11102" spans="20:20" x14ac:dyDescent="0.25">
      <c r="T11102" s="98"/>
    </row>
    <row r="11103" spans="20:20" x14ac:dyDescent="0.25">
      <c r="T11103" s="98"/>
    </row>
    <row r="11104" spans="20:20" x14ac:dyDescent="0.25">
      <c r="T11104" s="98"/>
    </row>
    <row r="11105" spans="20:20" x14ac:dyDescent="0.25">
      <c r="T11105" s="98"/>
    </row>
    <row r="11106" spans="20:20" x14ac:dyDescent="0.25">
      <c r="T11106" s="98"/>
    </row>
    <row r="11107" spans="20:20" x14ac:dyDescent="0.25">
      <c r="T11107" s="98"/>
    </row>
    <row r="11108" spans="20:20" x14ac:dyDescent="0.25">
      <c r="T11108" s="98"/>
    </row>
    <row r="11109" spans="20:20" x14ac:dyDescent="0.25">
      <c r="T11109" s="98"/>
    </row>
    <row r="11110" spans="20:20" x14ac:dyDescent="0.25">
      <c r="T11110" s="98"/>
    </row>
    <row r="11111" spans="20:20" x14ac:dyDescent="0.25">
      <c r="T11111" s="98"/>
    </row>
    <row r="11112" spans="20:20" x14ac:dyDescent="0.25">
      <c r="T11112" s="98"/>
    </row>
    <row r="11113" spans="20:20" x14ac:dyDescent="0.25">
      <c r="T11113" s="98"/>
    </row>
    <row r="11114" spans="20:20" x14ac:dyDescent="0.25">
      <c r="T11114" s="98"/>
    </row>
    <row r="11115" spans="20:20" x14ac:dyDescent="0.25">
      <c r="T11115" s="98"/>
    </row>
    <row r="11116" spans="20:20" x14ac:dyDescent="0.25">
      <c r="T11116" s="98"/>
    </row>
    <row r="11117" spans="20:20" x14ac:dyDescent="0.25">
      <c r="T11117" s="98"/>
    </row>
    <row r="11118" spans="20:20" x14ac:dyDescent="0.25">
      <c r="T11118" s="98"/>
    </row>
    <row r="11119" spans="20:20" x14ac:dyDescent="0.25">
      <c r="T11119" s="98"/>
    </row>
    <row r="11120" spans="20:20" x14ac:dyDescent="0.25">
      <c r="T11120" s="98"/>
    </row>
    <row r="11121" spans="20:20" x14ac:dyDescent="0.25">
      <c r="T11121" s="98"/>
    </row>
    <row r="11122" spans="20:20" x14ac:dyDescent="0.25">
      <c r="T11122" s="98"/>
    </row>
    <row r="11123" spans="20:20" x14ac:dyDescent="0.25">
      <c r="T11123" s="98"/>
    </row>
    <row r="11124" spans="20:20" x14ac:dyDescent="0.25">
      <c r="T11124" s="98"/>
    </row>
    <row r="11125" spans="20:20" x14ac:dyDescent="0.25">
      <c r="T11125" s="98"/>
    </row>
    <row r="11126" spans="20:20" x14ac:dyDescent="0.25">
      <c r="T11126" s="98"/>
    </row>
    <row r="11127" spans="20:20" x14ac:dyDescent="0.25">
      <c r="T11127" s="98"/>
    </row>
    <row r="11128" spans="20:20" x14ac:dyDescent="0.25">
      <c r="T11128" s="98"/>
    </row>
    <row r="11129" spans="20:20" x14ac:dyDescent="0.25">
      <c r="T11129" s="98"/>
    </row>
    <row r="11130" spans="20:20" x14ac:dyDescent="0.25">
      <c r="T11130" s="98"/>
    </row>
    <row r="11131" spans="20:20" x14ac:dyDescent="0.25">
      <c r="T11131" s="98"/>
    </row>
    <row r="11132" spans="20:20" x14ac:dyDescent="0.25">
      <c r="T11132" s="98"/>
    </row>
    <row r="11133" spans="20:20" x14ac:dyDescent="0.25">
      <c r="T11133" s="98"/>
    </row>
    <row r="11134" spans="20:20" x14ac:dyDescent="0.25">
      <c r="T11134" s="98"/>
    </row>
    <row r="11135" spans="20:20" x14ac:dyDescent="0.25">
      <c r="T11135" s="98"/>
    </row>
    <row r="11136" spans="20:20" x14ac:dyDescent="0.25">
      <c r="T11136" s="98"/>
    </row>
    <row r="11137" spans="20:20" x14ac:dyDescent="0.25">
      <c r="T11137" s="98"/>
    </row>
    <row r="11138" spans="20:20" x14ac:dyDescent="0.25">
      <c r="T11138" s="98"/>
    </row>
    <row r="11139" spans="20:20" x14ac:dyDescent="0.25">
      <c r="T11139" s="98"/>
    </row>
    <row r="11140" spans="20:20" x14ac:dyDescent="0.25">
      <c r="T11140" s="98"/>
    </row>
    <row r="11141" spans="20:20" x14ac:dyDescent="0.25">
      <c r="T11141" s="98"/>
    </row>
    <row r="11142" spans="20:20" x14ac:dyDescent="0.25">
      <c r="T11142" s="98"/>
    </row>
    <row r="11143" spans="20:20" x14ac:dyDescent="0.25">
      <c r="T11143" s="98"/>
    </row>
    <row r="11144" spans="20:20" x14ac:dyDescent="0.25">
      <c r="T11144" s="98"/>
    </row>
    <row r="11145" spans="20:20" x14ac:dyDescent="0.25">
      <c r="T11145" s="98"/>
    </row>
    <row r="11146" spans="20:20" x14ac:dyDescent="0.25">
      <c r="T11146" s="98"/>
    </row>
    <row r="11147" spans="20:20" x14ac:dyDescent="0.25">
      <c r="T11147" s="98"/>
    </row>
    <row r="11148" spans="20:20" x14ac:dyDescent="0.25">
      <c r="T11148" s="98"/>
    </row>
    <row r="11149" spans="20:20" x14ac:dyDescent="0.25">
      <c r="T11149" s="98"/>
    </row>
    <row r="11150" spans="20:20" x14ac:dyDescent="0.25">
      <c r="T11150" s="98"/>
    </row>
    <row r="11151" spans="20:20" x14ac:dyDescent="0.25">
      <c r="T11151" s="98"/>
    </row>
    <row r="11152" spans="20:20" x14ac:dyDescent="0.25">
      <c r="T11152" s="98"/>
    </row>
    <row r="11153" spans="20:20" x14ac:dyDescent="0.25">
      <c r="T11153" s="98"/>
    </row>
    <row r="11154" spans="20:20" x14ac:dyDescent="0.25">
      <c r="T11154" s="98"/>
    </row>
    <row r="11155" spans="20:20" x14ac:dyDescent="0.25">
      <c r="T11155" s="98"/>
    </row>
    <row r="11156" spans="20:20" x14ac:dyDescent="0.25">
      <c r="T11156" s="98"/>
    </row>
    <row r="11157" spans="20:20" x14ac:dyDescent="0.25">
      <c r="T11157" s="98"/>
    </row>
    <row r="11158" spans="20:20" x14ac:dyDescent="0.25">
      <c r="T11158" s="98"/>
    </row>
    <row r="11159" spans="20:20" x14ac:dyDescent="0.25">
      <c r="T11159" s="98"/>
    </row>
    <row r="11160" spans="20:20" x14ac:dyDescent="0.25">
      <c r="T11160" s="98"/>
    </row>
    <row r="11161" spans="20:20" x14ac:dyDescent="0.25">
      <c r="T11161" s="98"/>
    </row>
    <row r="11162" spans="20:20" x14ac:dyDescent="0.25">
      <c r="T11162" s="98"/>
    </row>
    <row r="11163" spans="20:20" x14ac:dyDescent="0.25">
      <c r="T11163" s="98"/>
    </row>
    <row r="11164" spans="20:20" x14ac:dyDescent="0.25">
      <c r="T11164" s="98"/>
    </row>
    <row r="11165" spans="20:20" x14ac:dyDescent="0.25">
      <c r="T11165" s="98"/>
    </row>
    <row r="11166" spans="20:20" x14ac:dyDescent="0.25">
      <c r="T11166" s="98"/>
    </row>
    <row r="11167" spans="20:20" x14ac:dyDescent="0.25">
      <c r="T11167" s="98"/>
    </row>
    <row r="11168" spans="20:20" x14ac:dyDescent="0.25">
      <c r="T11168" s="98"/>
    </row>
    <row r="11169" spans="20:20" x14ac:dyDescent="0.25">
      <c r="T11169" s="98"/>
    </row>
    <row r="11170" spans="20:20" x14ac:dyDescent="0.25">
      <c r="T11170" s="98"/>
    </row>
    <row r="11171" spans="20:20" x14ac:dyDescent="0.25">
      <c r="T11171" s="98"/>
    </row>
    <row r="11172" spans="20:20" x14ac:dyDescent="0.25">
      <c r="T11172" s="98"/>
    </row>
    <row r="11173" spans="20:20" x14ac:dyDescent="0.25">
      <c r="T11173" s="98"/>
    </row>
    <row r="11174" spans="20:20" x14ac:dyDescent="0.25">
      <c r="T11174" s="98"/>
    </row>
    <row r="11175" spans="20:20" x14ac:dyDescent="0.25">
      <c r="T11175" s="98"/>
    </row>
    <row r="11176" spans="20:20" x14ac:dyDescent="0.25">
      <c r="T11176" s="98"/>
    </row>
    <row r="11177" spans="20:20" x14ac:dyDescent="0.25">
      <c r="T11177" s="98"/>
    </row>
    <row r="11178" spans="20:20" x14ac:dyDescent="0.25">
      <c r="T11178" s="98"/>
    </row>
    <row r="11179" spans="20:20" x14ac:dyDescent="0.25">
      <c r="T11179" s="98"/>
    </row>
    <row r="11180" spans="20:20" x14ac:dyDescent="0.25">
      <c r="T11180" s="98"/>
    </row>
    <row r="11181" spans="20:20" x14ac:dyDescent="0.25">
      <c r="T11181" s="98"/>
    </row>
    <row r="11182" spans="20:20" x14ac:dyDescent="0.25">
      <c r="T11182" s="98"/>
    </row>
    <row r="11183" spans="20:20" x14ac:dyDescent="0.25">
      <c r="T11183" s="98"/>
    </row>
    <row r="11184" spans="20:20" x14ac:dyDescent="0.25">
      <c r="T11184" s="98"/>
    </row>
    <row r="11185" spans="20:20" x14ac:dyDescent="0.25">
      <c r="T11185" s="98"/>
    </row>
    <row r="11186" spans="20:20" x14ac:dyDescent="0.25">
      <c r="T11186" s="98"/>
    </row>
    <row r="11187" spans="20:20" x14ac:dyDescent="0.25">
      <c r="T11187" s="98"/>
    </row>
    <row r="11188" spans="20:20" x14ac:dyDescent="0.25">
      <c r="T11188" s="98"/>
    </row>
    <row r="11189" spans="20:20" x14ac:dyDescent="0.25">
      <c r="T11189" s="98"/>
    </row>
    <row r="11190" spans="20:20" x14ac:dyDescent="0.25">
      <c r="T11190" s="98"/>
    </row>
    <row r="11191" spans="20:20" x14ac:dyDescent="0.25">
      <c r="T11191" s="98"/>
    </row>
    <row r="11192" spans="20:20" x14ac:dyDescent="0.25">
      <c r="T11192" s="98"/>
    </row>
    <row r="11193" spans="20:20" x14ac:dyDescent="0.25">
      <c r="T11193" s="98"/>
    </row>
    <row r="11194" spans="20:20" x14ac:dyDescent="0.25">
      <c r="T11194" s="98"/>
    </row>
    <row r="11195" spans="20:20" x14ac:dyDescent="0.25">
      <c r="T11195" s="98"/>
    </row>
    <row r="11196" spans="20:20" x14ac:dyDescent="0.25">
      <c r="T11196" s="98"/>
    </row>
    <row r="11197" spans="20:20" x14ac:dyDescent="0.25">
      <c r="T11197" s="98"/>
    </row>
    <row r="11198" spans="20:20" x14ac:dyDescent="0.25">
      <c r="T11198" s="98"/>
    </row>
    <row r="11199" spans="20:20" x14ac:dyDescent="0.25">
      <c r="T11199" s="98"/>
    </row>
    <row r="11200" spans="20:20" x14ac:dyDescent="0.25">
      <c r="T11200" s="98"/>
    </row>
    <row r="11201" spans="20:20" x14ac:dyDescent="0.25">
      <c r="T11201" s="98"/>
    </row>
    <row r="11202" spans="20:20" x14ac:dyDescent="0.25">
      <c r="T11202" s="98"/>
    </row>
    <row r="11203" spans="20:20" x14ac:dyDescent="0.25">
      <c r="T11203" s="98"/>
    </row>
    <row r="11204" spans="20:20" x14ac:dyDescent="0.25">
      <c r="T11204" s="98"/>
    </row>
    <row r="11205" spans="20:20" x14ac:dyDescent="0.25">
      <c r="T11205" s="98"/>
    </row>
    <row r="11206" spans="20:20" x14ac:dyDescent="0.25">
      <c r="T11206" s="98"/>
    </row>
    <row r="11207" spans="20:20" x14ac:dyDescent="0.25">
      <c r="T11207" s="98"/>
    </row>
    <row r="11208" spans="20:20" x14ac:dyDescent="0.25">
      <c r="T11208" s="98"/>
    </row>
    <row r="11209" spans="20:20" x14ac:dyDescent="0.25">
      <c r="T11209" s="98"/>
    </row>
    <row r="11210" spans="20:20" x14ac:dyDescent="0.25">
      <c r="T11210" s="98"/>
    </row>
    <row r="11211" spans="20:20" x14ac:dyDescent="0.25">
      <c r="T11211" s="98"/>
    </row>
    <row r="11212" spans="20:20" x14ac:dyDescent="0.25">
      <c r="T11212" s="98"/>
    </row>
    <row r="11213" spans="20:20" x14ac:dyDescent="0.25">
      <c r="T11213" s="98"/>
    </row>
    <row r="11214" spans="20:20" x14ac:dyDescent="0.25">
      <c r="T11214" s="98"/>
    </row>
    <row r="11215" spans="20:20" x14ac:dyDescent="0.25">
      <c r="T11215" s="98"/>
    </row>
    <row r="11216" spans="20:20" x14ac:dyDescent="0.25">
      <c r="T11216" s="98"/>
    </row>
    <row r="11217" spans="20:20" x14ac:dyDescent="0.25">
      <c r="T11217" s="98"/>
    </row>
    <row r="11218" spans="20:20" x14ac:dyDescent="0.25">
      <c r="T11218" s="98"/>
    </row>
    <row r="11219" spans="20:20" x14ac:dyDescent="0.25">
      <c r="T11219" s="98"/>
    </row>
    <row r="11220" spans="20:20" x14ac:dyDescent="0.25">
      <c r="T11220" s="98"/>
    </row>
    <row r="11221" spans="20:20" x14ac:dyDescent="0.25">
      <c r="T11221" s="98"/>
    </row>
    <row r="11222" spans="20:20" x14ac:dyDescent="0.25">
      <c r="T11222" s="98"/>
    </row>
    <row r="11223" spans="20:20" x14ac:dyDescent="0.25">
      <c r="T11223" s="98"/>
    </row>
    <row r="11224" spans="20:20" x14ac:dyDescent="0.25">
      <c r="T11224" s="98"/>
    </row>
    <row r="11225" spans="20:20" x14ac:dyDescent="0.25">
      <c r="T11225" s="98"/>
    </row>
    <row r="11226" spans="20:20" x14ac:dyDescent="0.25">
      <c r="T11226" s="98"/>
    </row>
    <row r="11227" spans="20:20" x14ac:dyDescent="0.25">
      <c r="T11227" s="98"/>
    </row>
    <row r="11228" spans="20:20" x14ac:dyDescent="0.25">
      <c r="T11228" s="98"/>
    </row>
    <row r="11229" spans="20:20" x14ac:dyDescent="0.25">
      <c r="T11229" s="98"/>
    </row>
    <row r="11230" spans="20:20" x14ac:dyDescent="0.25">
      <c r="T11230" s="98"/>
    </row>
    <row r="11231" spans="20:20" x14ac:dyDescent="0.25">
      <c r="T11231" s="98"/>
    </row>
    <row r="11232" spans="20:20" x14ac:dyDescent="0.25">
      <c r="T11232" s="98"/>
    </row>
    <row r="11233" spans="20:20" x14ac:dyDescent="0.25">
      <c r="T11233" s="98"/>
    </row>
    <row r="11234" spans="20:20" x14ac:dyDescent="0.25">
      <c r="T11234" s="98"/>
    </row>
    <row r="11235" spans="20:20" x14ac:dyDescent="0.25">
      <c r="T11235" s="98"/>
    </row>
    <row r="11236" spans="20:20" x14ac:dyDescent="0.25">
      <c r="T11236" s="98"/>
    </row>
    <row r="11237" spans="20:20" x14ac:dyDescent="0.25">
      <c r="T11237" s="98"/>
    </row>
    <row r="11238" spans="20:20" x14ac:dyDescent="0.25">
      <c r="T11238" s="98"/>
    </row>
    <row r="11239" spans="20:20" x14ac:dyDescent="0.25">
      <c r="T11239" s="98"/>
    </row>
    <row r="11240" spans="20:20" x14ac:dyDescent="0.25">
      <c r="T11240" s="98"/>
    </row>
    <row r="11241" spans="20:20" x14ac:dyDescent="0.25">
      <c r="T11241" s="98"/>
    </row>
    <row r="11242" spans="20:20" x14ac:dyDescent="0.25">
      <c r="T11242" s="98"/>
    </row>
    <row r="11243" spans="20:20" x14ac:dyDescent="0.25">
      <c r="T11243" s="98"/>
    </row>
    <row r="11244" spans="20:20" x14ac:dyDescent="0.25">
      <c r="T11244" s="98"/>
    </row>
    <row r="11245" spans="20:20" x14ac:dyDescent="0.25">
      <c r="T11245" s="98"/>
    </row>
    <row r="11246" spans="20:20" x14ac:dyDescent="0.25">
      <c r="T11246" s="98"/>
    </row>
    <row r="11247" spans="20:20" x14ac:dyDescent="0.25">
      <c r="T11247" s="98"/>
    </row>
    <row r="11248" spans="20:20" x14ac:dyDescent="0.25">
      <c r="T11248" s="98"/>
    </row>
    <row r="11249" spans="20:20" x14ac:dyDescent="0.25">
      <c r="T11249" s="98"/>
    </row>
    <row r="11250" spans="20:20" x14ac:dyDescent="0.25">
      <c r="T11250" s="98"/>
    </row>
    <row r="11251" spans="20:20" x14ac:dyDescent="0.25">
      <c r="T11251" s="98"/>
    </row>
    <row r="11252" spans="20:20" x14ac:dyDescent="0.25">
      <c r="T11252" s="98"/>
    </row>
    <row r="11253" spans="20:20" x14ac:dyDescent="0.25">
      <c r="T11253" s="98"/>
    </row>
    <row r="11254" spans="20:20" x14ac:dyDescent="0.25">
      <c r="T11254" s="98"/>
    </row>
    <row r="11255" spans="20:20" x14ac:dyDescent="0.25">
      <c r="T11255" s="98"/>
    </row>
    <row r="11256" spans="20:20" x14ac:dyDescent="0.25">
      <c r="T11256" s="98"/>
    </row>
    <row r="11257" spans="20:20" x14ac:dyDescent="0.25">
      <c r="T11257" s="98"/>
    </row>
    <row r="11258" spans="20:20" x14ac:dyDescent="0.25">
      <c r="T11258" s="98"/>
    </row>
    <row r="11259" spans="20:20" x14ac:dyDescent="0.25">
      <c r="T11259" s="98"/>
    </row>
    <row r="11260" spans="20:20" x14ac:dyDescent="0.25">
      <c r="T11260" s="98"/>
    </row>
    <row r="11261" spans="20:20" x14ac:dyDescent="0.25">
      <c r="T11261" s="98"/>
    </row>
    <row r="11262" spans="20:20" x14ac:dyDescent="0.25">
      <c r="T11262" s="98"/>
    </row>
    <row r="11263" spans="20:20" x14ac:dyDescent="0.25">
      <c r="T11263" s="98"/>
    </row>
    <row r="11264" spans="20:20" x14ac:dyDescent="0.25">
      <c r="T11264" s="98"/>
    </row>
    <row r="11265" spans="20:20" x14ac:dyDescent="0.25">
      <c r="T11265" s="98"/>
    </row>
    <row r="11266" spans="20:20" x14ac:dyDescent="0.25">
      <c r="T11266" s="98"/>
    </row>
    <row r="11267" spans="20:20" x14ac:dyDescent="0.25">
      <c r="T11267" s="98"/>
    </row>
    <row r="11268" spans="20:20" x14ac:dyDescent="0.25">
      <c r="T11268" s="98"/>
    </row>
    <row r="11269" spans="20:20" x14ac:dyDescent="0.25">
      <c r="T11269" s="98"/>
    </row>
    <row r="11270" spans="20:20" x14ac:dyDescent="0.25">
      <c r="T11270" s="98"/>
    </row>
    <row r="11271" spans="20:20" x14ac:dyDescent="0.25">
      <c r="T11271" s="98"/>
    </row>
    <row r="11272" spans="20:20" x14ac:dyDescent="0.25">
      <c r="T11272" s="98"/>
    </row>
    <row r="11273" spans="20:20" x14ac:dyDescent="0.25">
      <c r="T11273" s="98"/>
    </row>
    <row r="11274" spans="20:20" x14ac:dyDescent="0.25">
      <c r="T11274" s="98"/>
    </row>
    <row r="11275" spans="20:20" x14ac:dyDescent="0.25">
      <c r="T11275" s="98"/>
    </row>
    <row r="11276" spans="20:20" x14ac:dyDescent="0.25">
      <c r="T11276" s="98"/>
    </row>
    <row r="11277" spans="20:20" x14ac:dyDescent="0.25">
      <c r="T11277" s="98"/>
    </row>
    <row r="11278" spans="20:20" x14ac:dyDescent="0.25">
      <c r="T11278" s="98"/>
    </row>
    <row r="11279" spans="20:20" x14ac:dyDescent="0.25">
      <c r="T11279" s="98"/>
    </row>
    <row r="11280" spans="20:20" x14ac:dyDescent="0.25">
      <c r="T11280" s="98"/>
    </row>
    <row r="11281" spans="20:20" x14ac:dyDescent="0.25">
      <c r="T11281" s="98"/>
    </row>
    <row r="11282" spans="20:20" x14ac:dyDescent="0.25">
      <c r="T11282" s="98"/>
    </row>
    <row r="11283" spans="20:20" x14ac:dyDescent="0.25">
      <c r="T11283" s="98"/>
    </row>
    <row r="11284" spans="20:20" x14ac:dyDescent="0.25">
      <c r="T11284" s="98"/>
    </row>
    <row r="11285" spans="20:20" x14ac:dyDescent="0.25">
      <c r="T11285" s="98"/>
    </row>
    <row r="11286" spans="20:20" x14ac:dyDescent="0.25">
      <c r="T11286" s="98"/>
    </row>
    <row r="11287" spans="20:20" x14ac:dyDescent="0.25">
      <c r="T11287" s="98"/>
    </row>
    <row r="11288" spans="20:20" x14ac:dyDescent="0.25">
      <c r="T11288" s="98"/>
    </row>
    <row r="11289" spans="20:20" x14ac:dyDescent="0.25">
      <c r="T11289" s="98"/>
    </row>
    <row r="11290" spans="20:20" x14ac:dyDescent="0.25">
      <c r="T11290" s="98"/>
    </row>
    <row r="11291" spans="20:20" x14ac:dyDescent="0.25">
      <c r="T11291" s="98"/>
    </row>
    <row r="11292" spans="20:20" x14ac:dyDescent="0.25">
      <c r="T11292" s="98"/>
    </row>
    <row r="11293" spans="20:20" x14ac:dyDescent="0.25">
      <c r="T11293" s="98"/>
    </row>
    <row r="11294" spans="20:20" x14ac:dyDescent="0.25">
      <c r="T11294" s="98"/>
    </row>
    <row r="11295" spans="20:20" x14ac:dyDescent="0.25">
      <c r="T11295" s="98"/>
    </row>
    <row r="11296" spans="20:20" x14ac:dyDescent="0.25">
      <c r="T11296" s="98"/>
    </row>
    <row r="11297" spans="20:20" x14ac:dyDescent="0.25">
      <c r="T11297" s="98"/>
    </row>
    <row r="11298" spans="20:20" x14ac:dyDescent="0.25">
      <c r="T11298" s="98"/>
    </row>
    <row r="11299" spans="20:20" x14ac:dyDescent="0.25">
      <c r="T11299" s="98"/>
    </row>
    <row r="11300" spans="20:20" x14ac:dyDescent="0.25">
      <c r="T11300" s="98"/>
    </row>
    <row r="11301" spans="20:20" x14ac:dyDescent="0.25">
      <c r="T11301" s="98"/>
    </row>
    <row r="11302" spans="20:20" x14ac:dyDescent="0.25">
      <c r="T11302" s="98"/>
    </row>
    <row r="11303" spans="20:20" x14ac:dyDescent="0.25">
      <c r="T11303" s="98"/>
    </row>
    <row r="11304" spans="20:20" x14ac:dyDescent="0.25">
      <c r="T11304" s="98"/>
    </row>
    <row r="11305" spans="20:20" x14ac:dyDescent="0.25">
      <c r="T11305" s="98"/>
    </row>
    <row r="11306" spans="20:20" x14ac:dyDescent="0.25">
      <c r="T11306" s="98"/>
    </row>
    <row r="11307" spans="20:20" x14ac:dyDescent="0.25">
      <c r="T11307" s="98"/>
    </row>
    <row r="11308" spans="20:20" x14ac:dyDescent="0.25">
      <c r="T11308" s="98"/>
    </row>
    <row r="11309" spans="20:20" x14ac:dyDescent="0.25">
      <c r="T11309" s="98"/>
    </row>
    <row r="11310" spans="20:20" x14ac:dyDescent="0.25">
      <c r="T11310" s="98"/>
    </row>
    <row r="11311" spans="20:20" x14ac:dyDescent="0.25">
      <c r="T11311" s="98"/>
    </row>
    <row r="11312" spans="20:20" x14ac:dyDescent="0.25">
      <c r="T11312" s="98"/>
    </row>
    <row r="11313" spans="20:20" x14ac:dyDescent="0.25">
      <c r="T11313" s="98"/>
    </row>
    <row r="11314" spans="20:20" x14ac:dyDescent="0.25">
      <c r="T11314" s="98"/>
    </row>
    <row r="11315" spans="20:20" x14ac:dyDescent="0.25">
      <c r="T11315" s="98"/>
    </row>
    <row r="11316" spans="20:20" x14ac:dyDescent="0.25">
      <c r="T11316" s="98"/>
    </row>
    <row r="11317" spans="20:20" x14ac:dyDescent="0.25">
      <c r="T11317" s="98"/>
    </row>
    <row r="11318" spans="20:20" x14ac:dyDescent="0.25">
      <c r="T11318" s="98"/>
    </row>
    <row r="11319" spans="20:20" x14ac:dyDescent="0.25">
      <c r="T11319" s="98"/>
    </row>
    <row r="11320" spans="20:20" x14ac:dyDescent="0.25">
      <c r="T11320" s="98"/>
    </row>
    <row r="11321" spans="20:20" x14ac:dyDescent="0.25">
      <c r="T11321" s="98"/>
    </row>
    <row r="11322" spans="20:20" x14ac:dyDescent="0.25">
      <c r="T11322" s="98"/>
    </row>
    <row r="11323" spans="20:20" x14ac:dyDescent="0.25">
      <c r="T11323" s="98"/>
    </row>
    <row r="11324" spans="20:20" x14ac:dyDescent="0.25">
      <c r="T11324" s="98"/>
    </row>
    <row r="11325" spans="20:20" x14ac:dyDescent="0.25">
      <c r="T11325" s="98"/>
    </row>
    <row r="11326" spans="20:20" x14ac:dyDescent="0.25">
      <c r="T11326" s="98"/>
    </row>
    <row r="11327" spans="20:20" x14ac:dyDescent="0.25">
      <c r="T11327" s="98"/>
    </row>
    <row r="11328" spans="20:20" x14ac:dyDescent="0.25">
      <c r="T11328" s="98"/>
    </row>
    <row r="11329" spans="20:20" x14ac:dyDescent="0.25">
      <c r="T11329" s="98"/>
    </row>
    <row r="11330" spans="20:20" x14ac:dyDescent="0.25">
      <c r="T11330" s="98"/>
    </row>
    <row r="11331" spans="20:20" x14ac:dyDescent="0.25">
      <c r="T11331" s="98"/>
    </row>
    <row r="11332" spans="20:20" x14ac:dyDescent="0.25">
      <c r="T11332" s="98"/>
    </row>
    <row r="11333" spans="20:20" x14ac:dyDescent="0.25">
      <c r="T11333" s="98"/>
    </row>
    <row r="11334" spans="20:20" x14ac:dyDescent="0.25">
      <c r="T11334" s="98"/>
    </row>
    <row r="11335" spans="20:20" x14ac:dyDescent="0.25">
      <c r="T11335" s="98"/>
    </row>
    <row r="11336" spans="20:20" x14ac:dyDescent="0.25">
      <c r="T11336" s="98"/>
    </row>
    <row r="11337" spans="20:20" x14ac:dyDescent="0.25">
      <c r="T11337" s="98"/>
    </row>
    <row r="11338" spans="20:20" x14ac:dyDescent="0.25">
      <c r="T11338" s="98"/>
    </row>
    <row r="11339" spans="20:20" x14ac:dyDescent="0.25">
      <c r="T11339" s="98"/>
    </row>
    <row r="11340" spans="20:20" x14ac:dyDescent="0.25">
      <c r="T11340" s="98"/>
    </row>
    <row r="11341" spans="20:20" x14ac:dyDescent="0.25">
      <c r="T11341" s="98"/>
    </row>
    <row r="11342" spans="20:20" x14ac:dyDescent="0.25">
      <c r="T11342" s="98"/>
    </row>
    <row r="11343" spans="20:20" x14ac:dyDescent="0.25">
      <c r="T11343" s="98"/>
    </row>
    <row r="11344" spans="20:20" x14ac:dyDescent="0.25">
      <c r="T11344" s="98"/>
    </row>
    <row r="11345" spans="20:20" x14ac:dyDescent="0.25">
      <c r="T11345" s="98"/>
    </row>
    <row r="11346" spans="20:20" x14ac:dyDescent="0.25">
      <c r="T11346" s="98"/>
    </row>
    <row r="11347" spans="20:20" x14ac:dyDescent="0.25">
      <c r="T11347" s="98"/>
    </row>
    <row r="11348" spans="20:20" x14ac:dyDescent="0.25">
      <c r="T11348" s="98"/>
    </row>
    <row r="11349" spans="20:20" x14ac:dyDescent="0.25">
      <c r="T11349" s="98"/>
    </row>
    <row r="11350" spans="20:20" x14ac:dyDescent="0.25">
      <c r="T11350" s="98"/>
    </row>
    <row r="11351" spans="20:20" x14ac:dyDescent="0.25">
      <c r="T11351" s="98"/>
    </row>
    <row r="11352" spans="20:20" x14ac:dyDescent="0.25">
      <c r="T11352" s="98"/>
    </row>
    <row r="11353" spans="20:20" x14ac:dyDescent="0.25">
      <c r="T11353" s="98"/>
    </row>
    <row r="11354" spans="20:20" x14ac:dyDescent="0.25">
      <c r="T11354" s="98"/>
    </row>
    <row r="11355" spans="20:20" x14ac:dyDescent="0.25">
      <c r="T11355" s="98"/>
    </row>
    <row r="11356" spans="20:20" x14ac:dyDescent="0.25">
      <c r="T11356" s="98"/>
    </row>
    <row r="11357" spans="20:20" x14ac:dyDescent="0.25">
      <c r="T11357" s="98"/>
    </row>
    <row r="11358" spans="20:20" x14ac:dyDescent="0.25">
      <c r="T11358" s="98"/>
    </row>
    <row r="11359" spans="20:20" x14ac:dyDescent="0.25">
      <c r="T11359" s="98"/>
    </row>
    <row r="11360" spans="20:20" x14ac:dyDescent="0.25">
      <c r="T11360" s="98"/>
    </row>
    <row r="11361" spans="20:20" x14ac:dyDescent="0.25">
      <c r="T11361" s="98"/>
    </row>
    <row r="11362" spans="20:20" x14ac:dyDescent="0.25">
      <c r="T11362" s="98"/>
    </row>
    <row r="11363" spans="20:20" x14ac:dyDescent="0.25">
      <c r="T11363" s="98"/>
    </row>
    <row r="11364" spans="20:20" x14ac:dyDescent="0.25">
      <c r="T11364" s="98"/>
    </row>
    <row r="11365" spans="20:20" x14ac:dyDescent="0.25">
      <c r="T11365" s="98"/>
    </row>
    <row r="11366" spans="20:20" x14ac:dyDescent="0.25">
      <c r="T11366" s="98"/>
    </row>
    <row r="11367" spans="20:20" x14ac:dyDescent="0.25">
      <c r="T11367" s="98"/>
    </row>
    <row r="11368" spans="20:20" x14ac:dyDescent="0.25">
      <c r="T11368" s="98"/>
    </row>
    <row r="11369" spans="20:20" x14ac:dyDescent="0.25">
      <c r="T11369" s="98"/>
    </row>
    <row r="11370" spans="20:20" x14ac:dyDescent="0.25">
      <c r="T11370" s="98"/>
    </row>
    <row r="11371" spans="20:20" x14ac:dyDescent="0.25">
      <c r="T11371" s="98"/>
    </row>
    <row r="11372" spans="20:20" x14ac:dyDescent="0.25">
      <c r="T11372" s="98"/>
    </row>
    <row r="11373" spans="20:20" x14ac:dyDescent="0.25">
      <c r="T11373" s="98"/>
    </row>
    <row r="11374" spans="20:20" x14ac:dyDescent="0.25">
      <c r="T11374" s="98"/>
    </row>
    <row r="11375" spans="20:20" x14ac:dyDescent="0.25">
      <c r="T11375" s="98"/>
    </row>
    <row r="11376" spans="20:20" x14ac:dyDescent="0.25">
      <c r="T11376" s="98"/>
    </row>
    <row r="11377" spans="20:20" x14ac:dyDescent="0.25">
      <c r="T11377" s="98"/>
    </row>
    <row r="11378" spans="20:20" x14ac:dyDescent="0.25">
      <c r="T11378" s="98"/>
    </row>
    <row r="11379" spans="20:20" x14ac:dyDescent="0.25">
      <c r="T11379" s="98"/>
    </row>
    <row r="11380" spans="20:20" x14ac:dyDescent="0.25">
      <c r="T11380" s="98"/>
    </row>
    <row r="11381" spans="20:20" x14ac:dyDescent="0.25">
      <c r="T11381" s="98"/>
    </row>
    <row r="11382" spans="20:20" x14ac:dyDescent="0.25">
      <c r="T11382" s="98"/>
    </row>
    <row r="11383" spans="20:20" x14ac:dyDescent="0.25">
      <c r="T11383" s="98"/>
    </row>
    <row r="11384" spans="20:20" x14ac:dyDescent="0.25">
      <c r="T11384" s="98"/>
    </row>
    <row r="11385" spans="20:20" x14ac:dyDescent="0.25">
      <c r="T11385" s="98"/>
    </row>
    <row r="11386" spans="20:20" x14ac:dyDescent="0.25">
      <c r="T11386" s="98"/>
    </row>
    <row r="11387" spans="20:20" x14ac:dyDescent="0.25">
      <c r="T11387" s="98"/>
    </row>
    <row r="11388" spans="20:20" x14ac:dyDescent="0.25">
      <c r="T11388" s="98"/>
    </row>
    <row r="11389" spans="20:20" x14ac:dyDescent="0.25">
      <c r="T11389" s="98"/>
    </row>
    <row r="11390" spans="20:20" x14ac:dyDescent="0.25">
      <c r="T11390" s="98"/>
    </row>
    <row r="11391" spans="20:20" x14ac:dyDescent="0.25">
      <c r="T11391" s="98"/>
    </row>
    <row r="11392" spans="20:20" x14ac:dyDescent="0.25">
      <c r="T11392" s="98"/>
    </row>
    <row r="11393" spans="20:20" x14ac:dyDescent="0.25">
      <c r="T11393" s="98"/>
    </row>
    <row r="11394" spans="20:20" x14ac:dyDescent="0.25">
      <c r="T11394" s="98"/>
    </row>
    <row r="11395" spans="20:20" x14ac:dyDescent="0.25">
      <c r="T11395" s="98"/>
    </row>
    <row r="11396" spans="20:20" x14ac:dyDescent="0.25">
      <c r="T11396" s="98"/>
    </row>
    <row r="11397" spans="20:20" x14ac:dyDescent="0.25">
      <c r="T11397" s="98"/>
    </row>
    <row r="11398" spans="20:20" x14ac:dyDescent="0.25">
      <c r="T11398" s="98"/>
    </row>
    <row r="11399" spans="20:20" x14ac:dyDescent="0.25">
      <c r="T11399" s="98"/>
    </row>
    <row r="11400" spans="20:20" x14ac:dyDescent="0.25">
      <c r="T11400" s="98"/>
    </row>
    <row r="11401" spans="20:20" x14ac:dyDescent="0.25">
      <c r="T11401" s="98"/>
    </row>
    <row r="11402" spans="20:20" x14ac:dyDescent="0.25">
      <c r="T11402" s="98"/>
    </row>
    <row r="11403" spans="20:20" x14ac:dyDescent="0.25">
      <c r="T11403" s="98"/>
    </row>
    <row r="11404" spans="20:20" x14ac:dyDescent="0.25">
      <c r="T11404" s="98"/>
    </row>
    <row r="11405" spans="20:20" x14ac:dyDescent="0.25">
      <c r="T11405" s="98"/>
    </row>
    <row r="11406" spans="20:20" x14ac:dyDescent="0.25">
      <c r="T11406" s="98"/>
    </row>
    <row r="11407" spans="20:20" x14ac:dyDescent="0.25">
      <c r="T11407" s="98"/>
    </row>
    <row r="11408" spans="20:20" x14ac:dyDescent="0.25">
      <c r="T11408" s="98"/>
    </row>
    <row r="11409" spans="20:20" x14ac:dyDescent="0.25">
      <c r="T11409" s="98"/>
    </row>
    <row r="11410" spans="20:20" x14ac:dyDescent="0.25">
      <c r="T11410" s="98"/>
    </row>
    <row r="11411" spans="20:20" x14ac:dyDescent="0.25">
      <c r="T11411" s="98"/>
    </row>
    <row r="11412" spans="20:20" x14ac:dyDescent="0.25">
      <c r="T11412" s="98"/>
    </row>
    <row r="11413" spans="20:20" x14ac:dyDescent="0.25">
      <c r="T11413" s="98"/>
    </row>
    <row r="11414" spans="20:20" x14ac:dyDescent="0.25">
      <c r="T11414" s="98"/>
    </row>
    <row r="11415" spans="20:20" x14ac:dyDescent="0.25">
      <c r="T11415" s="98"/>
    </row>
    <row r="11416" spans="20:20" x14ac:dyDescent="0.25">
      <c r="T11416" s="98"/>
    </row>
    <row r="11417" spans="20:20" x14ac:dyDescent="0.25">
      <c r="T11417" s="98"/>
    </row>
    <row r="11418" spans="20:20" x14ac:dyDescent="0.25">
      <c r="T11418" s="98"/>
    </row>
    <row r="11419" spans="20:20" x14ac:dyDescent="0.25">
      <c r="T11419" s="98"/>
    </row>
    <row r="11420" spans="20:20" x14ac:dyDescent="0.25">
      <c r="T11420" s="98"/>
    </row>
    <row r="11421" spans="20:20" x14ac:dyDescent="0.25">
      <c r="T11421" s="98"/>
    </row>
    <row r="11422" spans="20:20" x14ac:dyDescent="0.25">
      <c r="T11422" s="98"/>
    </row>
    <row r="11423" spans="20:20" x14ac:dyDescent="0.25">
      <c r="T11423" s="98"/>
    </row>
    <row r="11424" spans="20:20" x14ac:dyDescent="0.25">
      <c r="T11424" s="98"/>
    </row>
    <row r="11425" spans="20:20" x14ac:dyDescent="0.25">
      <c r="T11425" s="98"/>
    </row>
    <row r="11426" spans="20:20" x14ac:dyDescent="0.25">
      <c r="T11426" s="98"/>
    </row>
    <row r="11427" spans="20:20" x14ac:dyDescent="0.25">
      <c r="T11427" s="98"/>
    </row>
    <row r="11428" spans="20:20" x14ac:dyDescent="0.25">
      <c r="T11428" s="98"/>
    </row>
    <row r="11429" spans="20:20" x14ac:dyDescent="0.25">
      <c r="T11429" s="98"/>
    </row>
    <row r="11430" spans="20:20" x14ac:dyDescent="0.25">
      <c r="T11430" s="98"/>
    </row>
    <row r="11431" spans="20:20" x14ac:dyDescent="0.25">
      <c r="T11431" s="98"/>
    </row>
    <row r="11432" spans="20:20" x14ac:dyDescent="0.25">
      <c r="T11432" s="98"/>
    </row>
    <row r="11433" spans="20:20" x14ac:dyDescent="0.25">
      <c r="T11433" s="98"/>
    </row>
    <row r="11434" spans="20:20" x14ac:dyDescent="0.25">
      <c r="T11434" s="98"/>
    </row>
    <row r="11435" spans="20:20" x14ac:dyDescent="0.25">
      <c r="T11435" s="98"/>
    </row>
    <row r="11436" spans="20:20" x14ac:dyDescent="0.25">
      <c r="T11436" s="98"/>
    </row>
    <row r="11437" spans="20:20" x14ac:dyDescent="0.25">
      <c r="T11437" s="98"/>
    </row>
    <row r="11438" spans="20:20" x14ac:dyDescent="0.25">
      <c r="T11438" s="98"/>
    </row>
    <row r="11439" spans="20:20" x14ac:dyDescent="0.25">
      <c r="T11439" s="98"/>
    </row>
    <row r="11440" spans="20:20" x14ac:dyDescent="0.25">
      <c r="T11440" s="98"/>
    </row>
    <row r="11441" spans="20:20" x14ac:dyDescent="0.25">
      <c r="T11441" s="98"/>
    </row>
    <row r="11442" spans="20:20" x14ac:dyDescent="0.25">
      <c r="T11442" s="98"/>
    </row>
    <row r="11443" spans="20:20" x14ac:dyDescent="0.25">
      <c r="T11443" s="98"/>
    </row>
    <row r="11444" spans="20:20" x14ac:dyDescent="0.25">
      <c r="T11444" s="98"/>
    </row>
    <row r="11445" spans="20:20" x14ac:dyDescent="0.25">
      <c r="T11445" s="98"/>
    </row>
    <row r="11446" spans="20:20" x14ac:dyDescent="0.25">
      <c r="T11446" s="98"/>
    </row>
    <row r="11447" spans="20:20" x14ac:dyDescent="0.25">
      <c r="T11447" s="98"/>
    </row>
    <row r="11448" spans="20:20" x14ac:dyDescent="0.25">
      <c r="T11448" s="98"/>
    </row>
    <row r="11449" spans="20:20" x14ac:dyDescent="0.25">
      <c r="T11449" s="98"/>
    </row>
    <row r="11450" spans="20:20" x14ac:dyDescent="0.25">
      <c r="T11450" s="98"/>
    </row>
    <row r="11451" spans="20:20" x14ac:dyDescent="0.25">
      <c r="T11451" s="98"/>
    </row>
    <row r="11452" spans="20:20" x14ac:dyDescent="0.25">
      <c r="T11452" s="98"/>
    </row>
    <row r="11453" spans="20:20" x14ac:dyDescent="0.25">
      <c r="T11453" s="98"/>
    </row>
    <row r="11454" spans="20:20" x14ac:dyDescent="0.25">
      <c r="T11454" s="98"/>
    </row>
    <row r="11455" spans="20:20" x14ac:dyDescent="0.25">
      <c r="T11455" s="98"/>
    </row>
    <row r="11456" spans="20:20" x14ac:dyDescent="0.25">
      <c r="T11456" s="98"/>
    </row>
    <row r="11457" spans="20:20" x14ac:dyDescent="0.25">
      <c r="T11457" s="98"/>
    </row>
    <row r="11458" spans="20:20" x14ac:dyDescent="0.25">
      <c r="T11458" s="98"/>
    </row>
    <row r="11459" spans="20:20" x14ac:dyDescent="0.25">
      <c r="T11459" s="98"/>
    </row>
    <row r="11460" spans="20:20" x14ac:dyDescent="0.25">
      <c r="T11460" s="98"/>
    </row>
    <row r="11461" spans="20:20" x14ac:dyDescent="0.25">
      <c r="T11461" s="98"/>
    </row>
    <row r="11462" spans="20:20" x14ac:dyDescent="0.25">
      <c r="T11462" s="98"/>
    </row>
    <row r="11463" spans="20:20" x14ac:dyDescent="0.25">
      <c r="T11463" s="98"/>
    </row>
    <row r="11464" spans="20:20" x14ac:dyDescent="0.25">
      <c r="T11464" s="98"/>
    </row>
    <row r="11465" spans="20:20" x14ac:dyDescent="0.25">
      <c r="T11465" s="98"/>
    </row>
    <row r="11466" spans="20:20" x14ac:dyDescent="0.25">
      <c r="T11466" s="98"/>
    </row>
    <row r="11467" spans="20:20" x14ac:dyDescent="0.25">
      <c r="T11467" s="98"/>
    </row>
    <row r="11468" spans="20:20" x14ac:dyDescent="0.25">
      <c r="T11468" s="98"/>
    </row>
    <row r="11469" spans="20:20" x14ac:dyDescent="0.25">
      <c r="T11469" s="98"/>
    </row>
    <row r="11470" spans="20:20" x14ac:dyDescent="0.25">
      <c r="T11470" s="98"/>
    </row>
    <row r="11471" spans="20:20" x14ac:dyDescent="0.25">
      <c r="T11471" s="98"/>
    </row>
    <row r="11472" spans="20:20" x14ac:dyDescent="0.25">
      <c r="T11472" s="98"/>
    </row>
    <row r="11473" spans="20:20" x14ac:dyDescent="0.25">
      <c r="T11473" s="98"/>
    </row>
    <row r="11474" spans="20:20" x14ac:dyDescent="0.25">
      <c r="T11474" s="98"/>
    </row>
    <row r="11475" spans="20:20" x14ac:dyDescent="0.25">
      <c r="T11475" s="98"/>
    </row>
    <row r="11476" spans="20:20" x14ac:dyDescent="0.25">
      <c r="T11476" s="98"/>
    </row>
    <row r="11477" spans="20:20" x14ac:dyDescent="0.25">
      <c r="T11477" s="98"/>
    </row>
    <row r="11478" spans="20:20" x14ac:dyDescent="0.25">
      <c r="T11478" s="98"/>
    </row>
    <row r="11479" spans="20:20" x14ac:dyDescent="0.25">
      <c r="T11479" s="98"/>
    </row>
    <row r="11480" spans="20:20" x14ac:dyDescent="0.25">
      <c r="T11480" s="98"/>
    </row>
    <row r="11481" spans="20:20" x14ac:dyDescent="0.25">
      <c r="T11481" s="98"/>
    </row>
    <row r="11482" spans="20:20" x14ac:dyDescent="0.25">
      <c r="T11482" s="98"/>
    </row>
    <row r="11483" spans="20:20" x14ac:dyDescent="0.25">
      <c r="T11483" s="98"/>
    </row>
    <row r="11484" spans="20:20" x14ac:dyDescent="0.25">
      <c r="T11484" s="98"/>
    </row>
    <row r="11485" spans="20:20" x14ac:dyDescent="0.25">
      <c r="T11485" s="98"/>
    </row>
    <row r="11486" spans="20:20" x14ac:dyDescent="0.25">
      <c r="T11486" s="98"/>
    </row>
    <row r="11487" spans="20:20" x14ac:dyDescent="0.25">
      <c r="T11487" s="98"/>
    </row>
    <row r="11488" spans="20:20" x14ac:dyDescent="0.25">
      <c r="T11488" s="98"/>
    </row>
    <row r="11489" spans="20:20" x14ac:dyDescent="0.25">
      <c r="T11489" s="98"/>
    </row>
    <row r="11490" spans="20:20" x14ac:dyDescent="0.25">
      <c r="T11490" s="98"/>
    </row>
    <row r="11491" spans="20:20" x14ac:dyDescent="0.25">
      <c r="T11491" s="98"/>
    </row>
    <row r="11492" spans="20:20" x14ac:dyDescent="0.25">
      <c r="T11492" s="98"/>
    </row>
    <row r="11493" spans="20:20" x14ac:dyDescent="0.25">
      <c r="T11493" s="98"/>
    </row>
    <row r="11494" spans="20:20" x14ac:dyDescent="0.25">
      <c r="T11494" s="98"/>
    </row>
    <row r="11495" spans="20:20" x14ac:dyDescent="0.25">
      <c r="T11495" s="98"/>
    </row>
    <row r="11496" spans="20:20" x14ac:dyDescent="0.25">
      <c r="T11496" s="98"/>
    </row>
    <row r="11497" spans="20:20" x14ac:dyDescent="0.25">
      <c r="T11497" s="98"/>
    </row>
    <row r="11498" spans="20:20" x14ac:dyDescent="0.25">
      <c r="T11498" s="98"/>
    </row>
    <row r="11499" spans="20:20" x14ac:dyDescent="0.25">
      <c r="T11499" s="98"/>
    </row>
    <row r="11500" spans="20:20" x14ac:dyDescent="0.25">
      <c r="T11500" s="98"/>
    </row>
    <row r="11501" spans="20:20" x14ac:dyDescent="0.25">
      <c r="T11501" s="98"/>
    </row>
    <row r="11502" spans="20:20" x14ac:dyDescent="0.25">
      <c r="T11502" s="98"/>
    </row>
    <row r="11503" spans="20:20" x14ac:dyDescent="0.25">
      <c r="T11503" s="98"/>
    </row>
    <row r="11504" spans="20:20" x14ac:dyDescent="0.25">
      <c r="T11504" s="98"/>
    </row>
    <row r="11505" spans="20:20" x14ac:dyDescent="0.25">
      <c r="T11505" s="98"/>
    </row>
    <row r="11506" spans="20:20" x14ac:dyDescent="0.25">
      <c r="T11506" s="98"/>
    </row>
    <row r="11507" spans="20:20" x14ac:dyDescent="0.25">
      <c r="T11507" s="98"/>
    </row>
    <row r="11508" spans="20:20" x14ac:dyDescent="0.25">
      <c r="T11508" s="98"/>
    </row>
    <row r="11509" spans="20:20" x14ac:dyDescent="0.25">
      <c r="T11509" s="98"/>
    </row>
    <row r="11510" spans="20:20" x14ac:dyDescent="0.25">
      <c r="T11510" s="98"/>
    </row>
    <row r="11511" spans="20:20" x14ac:dyDescent="0.25">
      <c r="T11511" s="98"/>
    </row>
    <row r="11512" spans="20:20" x14ac:dyDescent="0.25">
      <c r="T11512" s="98"/>
    </row>
    <row r="11513" spans="20:20" x14ac:dyDescent="0.25">
      <c r="T11513" s="98"/>
    </row>
    <row r="11514" spans="20:20" x14ac:dyDescent="0.25">
      <c r="T11514" s="98"/>
    </row>
    <row r="11515" spans="20:20" x14ac:dyDescent="0.25">
      <c r="T11515" s="98"/>
    </row>
    <row r="11516" spans="20:20" x14ac:dyDescent="0.25">
      <c r="T11516" s="98"/>
    </row>
    <row r="11517" spans="20:20" x14ac:dyDescent="0.25">
      <c r="T11517" s="98"/>
    </row>
    <row r="11518" spans="20:20" x14ac:dyDescent="0.25">
      <c r="T11518" s="98"/>
    </row>
    <row r="11519" spans="20:20" x14ac:dyDescent="0.25">
      <c r="T11519" s="98"/>
    </row>
    <row r="11520" spans="20:20" x14ac:dyDescent="0.25">
      <c r="T11520" s="98"/>
    </row>
    <row r="11521" spans="20:20" x14ac:dyDescent="0.25">
      <c r="T11521" s="98"/>
    </row>
    <row r="11522" spans="20:20" x14ac:dyDescent="0.25">
      <c r="T11522" s="98"/>
    </row>
    <row r="11523" spans="20:20" x14ac:dyDescent="0.25">
      <c r="T11523" s="98"/>
    </row>
    <row r="11524" spans="20:20" x14ac:dyDescent="0.25">
      <c r="T11524" s="98"/>
    </row>
    <row r="11525" spans="20:20" x14ac:dyDescent="0.25">
      <c r="T11525" s="98"/>
    </row>
    <row r="11526" spans="20:20" x14ac:dyDescent="0.25">
      <c r="T11526" s="98"/>
    </row>
    <row r="11527" spans="20:20" x14ac:dyDescent="0.25">
      <c r="T11527" s="98"/>
    </row>
    <row r="11528" spans="20:20" x14ac:dyDescent="0.25">
      <c r="T11528" s="98"/>
    </row>
    <row r="11529" spans="20:20" x14ac:dyDescent="0.25">
      <c r="T11529" s="98"/>
    </row>
    <row r="11530" spans="20:20" x14ac:dyDescent="0.25">
      <c r="T11530" s="98"/>
    </row>
    <row r="11531" spans="20:20" x14ac:dyDescent="0.25">
      <c r="T11531" s="98"/>
    </row>
    <row r="11532" spans="20:20" x14ac:dyDescent="0.25">
      <c r="T11532" s="98"/>
    </row>
    <row r="11533" spans="20:20" x14ac:dyDescent="0.25">
      <c r="T11533" s="98"/>
    </row>
    <row r="11534" spans="20:20" x14ac:dyDescent="0.25">
      <c r="T11534" s="98"/>
    </row>
    <row r="11535" spans="20:20" x14ac:dyDescent="0.25">
      <c r="T11535" s="98"/>
    </row>
    <row r="11536" spans="20:20" x14ac:dyDescent="0.25">
      <c r="T11536" s="98"/>
    </row>
    <row r="11537" spans="20:20" x14ac:dyDescent="0.25">
      <c r="T11537" s="98"/>
    </row>
    <row r="11538" spans="20:20" x14ac:dyDescent="0.25">
      <c r="T11538" s="98"/>
    </row>
    <row r="11539" spans="20:20" x14ac:dyDescent="0.25">
      <c r="T11539" s="98"/>
    </row>
    <row r="11540" spans="20:20" x14ac:dyDescent="0.25">
      <c r="T11540" s="98"/>
    </row>
    <row r="11541" spans="20:20" x14ac:dyDescent="0.25">
      <c r="T11541" s="98"/>
    </row>
    <row r="11542" spans="20:20" x14ac:dyDescent="0.25">
      <c r="T11542" s="98"/>
    </row>
    <row r="11543" spans="20:20" x14ac:dyDescent="0.25">
      <c r="T11543" s="98"/>
    </row>
    <row r="11544" spans="20:20" x14ac:dyDescent="0.25">
      <c r="T11544" s="98"/>
    </row>
    <row r="11545" spans="20:20" x14ac:dyDescent="0.25">
      <c r="T11545" s="98"/>
    </row>
    <row r="11546" spans="20:20" x14ac:dyDescent="0.25">
      <c r="T11546" s="98"/>
    </row>
    <row r="11547" spans="20:20" x14ac:dyDescent="0.25">
      <c r="T11547" s="98"/>
    </row>
    <row r="11548" spans="20:20" x14ac:dyDescent="0.25">
      <c r="T11548" s="98"/>
    </row>
    <row r="11549" spans="20:20" x14ac:dyDescent="0.25">
      <c r="T11549" s="98"/>
    </row>
    <row r="11550" spans="20:20" x14ac:dyDescent="0.25">
      <c r="T11550" s="98"/>
    </row>
    <row r="11551" spans="20:20" x14ac:dyDescent="0.25">
      <c r="T11551" s="98"/>
    </row>
    <row r="11552" spans="20:20" x14ac:dyDescent="0.25">
      <c r="T11552" s="98"/>
    </row>
    <row r="11553" spans="20:20" x14ac:dyDescent="0.25">
      <c r="T11553" s="98"/>
    </row>
    <row r="11554" spans="20:20" x14ac:dyDescent="0.25">
      <c r="T11554" s="98"/>
    </row>
    <row r="11555" spans="20:20" x14ac:dyDescent="0.25">
      <c r="T11555" s="98"/>
    </row>
    <row r="11556" spans="20:20" x14ac:dyDescent="0.25">
      <c r="T11556" s="98"/>
    </row>
    <row r="11557" spans="20:20" x14ac:dyDescent="0.25">
      <c r="T11557" s="98"/>
    </row>
    <row r="11558" spans="20:20" x14ac:dyDescent="0.25">
      <c r="T11558" s="98"/>
    </row>
    <row r="11559" spans="20:20" x14ac:dyDescent="0.25">
      <c r="T11559" s="98"/>
    </row>
    <row r="11560" spans="20:20" x14ac:dyDescent="0.25">
      <c r="T11560" s="98"/>
    </row>
    <row r="11561" spans="20:20" x14ac:dyDescent="0.25">
      <c r="T11561" s="98"/>
    </row>
    <row r="11562" spans="20:20" x14ac:dyDescent="0.25">
      <c r="T11562" s="98"/>
    </row>
    <row r="11563" spans="20:20" x14ac:dyDescent="0.25">
      <c r="T11563" s="98"/>
    </row>
    <row r="11564" spans="20:20" x14ac:dyDescent="0.25">
      <c r="T11564" s="98"/>
    </row>
    <row r="11565" spans="20:20" x14ac:dyDescent="0.25">
      <c r="T11565" s="98"/>
    </row>
    <row r="11566" spans="20:20" x14ac:dyDescent="0.25">
      <c r="T11566" s="98"/>
    </row>
    <row r="11567" spans="20:20" x14ac:dyDescent="0.25">
      <c r="T11567" s="98"/>
    </row>
    <row r="11568" spans="20:20" x14ac:dyDescent="0.25">
      <c r="T11568" s="98"/>
    </row>
    <row r="11569" spans="20:20" x14ac:dyDescent="0.25">
      <c r="T11569" s="98"/>
    </row>
    <row r="11570" spans="20:20" x14ac:dyDescent="0.25">
      <c r="T11570" s="98"/>
    </row>
    <row r="11571" spans="20:20" x14ac:dyDescent="0.25">
      <c r="T11571" s="98"/>
    </row>
    <row r="11572" spans="20:20" x14ac:dyDescent="0.25">
      <c r="T11572" s="98"/>
    </row>
    <row r="11573" spans="20:20" x14ac:dyDescent="0.25">
      <c r="T11573" s="98"/>
    </row>
    <row r="11574" spans="20:20" x14ac:dyDescent="0.25">
      <c r="T11574" s="98"/>
    </row>
    <row r="11575" spans="20:20" x14ac:dyDescent="0.25">
      <c r="T11575" s="98"/>
    </row>
    <row r="11576" spans="20:20" x14ac:dyDescent="0.25">
      <c r="T11576" s="98"/>
    </row>
    <row r="11577" spans="20:20" x14ac:dyDescent="0.25">
      <c r="T11577" s="98"/>
    </row>
    <row r="11578" spans="20:20" x14ac:dyDescent="0.25">
      <c r="T11578" s="98"/>
    </row>
    <row r="11579" spans="20:20" x14ac:dyDescent="0.25">
      <c r="T11579" s="98"/>
    </row>
    <row r="11580" spans="20:20" x14ac:dyDescent="0.25">
      <c r="T11580" s="98"/>
    </row>
    <row r="11581" spans="20:20" x14ac:dyDescent="0.25">
      <c r="T11581" s="98"/>
    </row>
    <row r="11582" spans="20:20" x14ac:dyDescent="0.25">
      <c r="T11582" s="98"/>
    </row>
    <row r="11583" spans="20:20" x14ac:dyDescent="0.25">
      <c r="T11583" s="98"/>
    </row>
    <row r="11584" spans="20:20" x14ac:dyDescent="0.25">
      <c r="T11584" s="98"/>
    </row>
    <row r="11585" spans="20:20" x14ac:dyDescent="0.25">
      <c r="T11585" s="98"/>
    </row>
    <row r="11586" spans="20:20" x14ac:dyDescent="0.25">
      <c r="T11586" s="98"/>
    </row>
    <row r="11587" spans="20:20" x14ac:dyDescent="0.25">
      <c r="T11587" s="98"/>
    </row>
    <row r="11588" spans="20:20" x14ac:dyDescent="0.25">
      <c r="T11588" s="98"/>
    </row>
    <row r="11589" spans="20:20" x14ac:dyDescent="0.25">
      <c r="T11589" s="98"/>
    </row>
    <row r="11590" spans="20:20" x14ac:dyDescent="0.25">
      <c r="T11590" s="98"/>
    </row>
    <row r="11591" spans="20:20" x14ac:dyDescent="0.25">
      <c r="T11591" s="98"/>
    </row>
    <row r="11592" spans="20:20" x14ac:dyDescent="0.25">
      <c r="T11592" s="98"/>
    </row>
    <row r="11593" spans="20:20" x14ac:dyDescent="0.25">
      <c r="T11593" s="98"/>
    </row>
    <row r="11594" spans="20:20" x14ac:dyDescent="0.25">
      <c r="T11594" s="98"/>
    </row>
    <row r="11595" spans="20:20" x14ac:dyDescent="0.25">
      <c r="T11595" s="98"/>
    </row>
    <row r="11596" spans="20:20" x14ac:dyDescent="0.25">
      <c r="T11596" s="98"/>
    </row>
    <row r="11597" spans="20:20" x14ac:dyDescent="0.25">
      <c r="T11597" s="98"/>
    </row>
    <row r="11598" spans="20:20" x14ac:dyDescent="0.25">
      <c r="T11598" s="98"/>
    </row>
    <row r="11599" spans="20:20" x14ac:dyDescent="0.25">
      <c r="T11599" s="98"/>
    </row>
    <row r="11600" spans="20:20" x14ac:dyDescent="0.25">
      <c r="T11600" s="98"/>
    </row>
    <row r="11601" spans="20:20" x14ac:dyDescent="0.25">
      <c r="T11601" s="98"/>
    </row>
    <row r="11602" spans="20:20" x14ac:dyDescent="0.25">
      <c r="T11602" s="98"/>
    </row>
    <row r="11603" spans="20:20" x14ac:dyDescent="0.25">
      <c r="T11603" s="98"/>
    </row>
    <row r="11604" spans="20:20" x14ac:dyDescent="0.25">
      <c r="T11604" s="98"/>
    </row>
    <row r="11605" spans="20:20" x14ac:dyDescent="0.25">
      <c r="T11605" s="98"/>
    </row>
    <row r="11606" spans="20:20" x14ac:dyDescent="0.25">
      <c r="T11606" s="98"/>
    </row>
    <row r="11607" spans="20:20" x14ac:dyDescent="0.25">
      <c r="T11607" s="98"/>
    </row>
    <row r="11608" spans="20:20" x14ac:dyDescent="0.25">
      <c r="T11608" s="98"/>
    </row>
    <row r="11609" spans="20:20" x14ac:dyDescent="0.25">
      <c r="T11609" s="98"/>
    </row>
    <row r="11610" spans="20:20" x14ac:dyDescent="0.25">
      <c r="T11610" s="98"/>
    </row>
    <row r="11611" spans="20:20" x14ac:dyDescent="0.25">
      <c r="T11611" s="98"/>
    </row>
    <row r="11612" spans="20:20" x14ac:dyDescent="0.25">
      <c r="T11612" s="98"/>
    </row>
    <row r="11613" spans="20:20" x14ac:dyDescent="0.25">
      <c r="T11613" s="98"/>
    </row>
    <row r="11614" spans="20:20" x14ac:dyDescent="0.25">
      <c r="T11614" s="98"/>
    </row>
    <row r="11615" spans="20:20" x14ac:dyDescent="0.25">
      <c r="T11615" s="98"/>
    </row>
    <row r="11616" spans="20:20" x14ac:dyDescent="0.25">
      <c r="T11616" s="98"/>
    </row>
    <row r="11617" spans="20:20" x14ac:dyDescent="0.25">
      <c r="T11617" s="98"/>
    </row>
    <row r="11618" spans="20:20" x14ac:dyDescent="0.25">
      <c r="T11618" s="98"/>
    </row>
    <row r="11619" spans="20:20" x14ac:dyDescent="0.25">
      <c r="T11619" s="98"/>
    </row>
    <row r="11620" spans="20:20" x14ac:dyDescent="0.25">
      <c r="T11620" s="98"/>
    </row>
    <row r="11621" spans="20:20" x14ac:dyDescent="0.25">
      <c r="T11621" s="98"/>
    </row>
    <row r="11622" spans="20:20" x14ac:dyDescent="0.25">
      <c r="T11622" s="98"/>
    </row>
    <row r="11623" spans="20:20" x14ac:dyDescent="0.25">
      <c r="T11623" s="98"/>
    </row>
    <row r="11624" spans="20:20" x14ac:dyDescent="0.25">
      <c r="T11624" s="98"/>
    </row>
    <row r="11625" spans="20:20" x14ac:dyDescent="0.25">
      <c r="T11625" s="98"/>
    </row>
    <row r="11626" spans="20:20" x14ac:dyDescent="0.25">
      <c r="T11626" s="98"/>
    </row>
    <row r="11627" spans="20:20" x14ac:dyDescent="0.25">
      <c r="T11627" s="98"/>
    </row>
    <row r="11628" spans="20:20" x14ac:dyDescent="0.25">
      <c r="T11628" s="98"/>
    </row>
    <row r="11629" spans="20:20" x14ac:dyDescent="0.25">
      <c r="T11629" s="98"/>
    </row>
    <row r="11630" spans="20:20" x14ac:dyDescent="0.25">
      <c r="T11630" s="98"/>
    </row>
    <row r="11631" spans="20:20" x14ac:dyDescent="0.25">
      <c r="T11631" s="98"/>
    </row>
    <row r="11632" spans="20:20" x14ac:dyDescent="0.25">
      <c r="T11632" s="98"/>
    </row>
    <row r="11633" spans="20:20" x14ac:dyDescent="0.25">
      <c r="T11633" s="98"/>
    </row>
    <row r="11634" spans="20:20" x14ac:dyDescent="0.25">
      <c r="T11634" s="98"/>
    </row>
    <row r="11635" spans="20:20" x14ac:dyDescent="0.25">
      <c r="T11635" s="98"/>
    </row>
    <row r="11636" spans="20:20" x14ac:dyDescent="0.25">
      <c r="T11636" s="98"/>
    </row>
    <row r="11637" spans="20:20" x14ac:dyDescent="0.25">
      <c r="T11637" s="98"/>
    </row>
    <row r="11638" spans="20:20" x14ac:dyDescent="0.25">
      <c r="T11638" s="98"/>
    </row>
    <row r="11639" spans="20:20" x14ac:dyDescent="0.25">
      <c r="T11639" s="98"/>
    </row>
    <row r="11640" spans="20:20" x14ac:dyDescent="0.25">
      <c r="T11640" s="98"/>
    </row>
    <row r="11641" spans="20:20" x14ac:dyDescent="0.25">
      <c r="T11641" s="98"/>
    </row>
    <row r="11642" spans="20:20" x14ac:dyDescent="0.25">
      <c r="T11642" s="98"/>
    </row>
    <row r="11643" spans="20:20" x14ac:dyDescent="0.25">
      <c r="T11643" s="98"/>
    </row>
    <row r="11644" spans="20:20" x14ac:dyDescent="0.25">
      <c r="T11644" s="98"/>
    </row>
    <row r="11645" spans="20:20" x14ac:dyDescent="0.25">
      <c r="T11645" s="98"/>
    </row>
    <row r="11646" spans="20:20" x14ac:dyDescent="0.25">
      <c r="T11646" s="98"/>
    </row>
    <row r="11647" spans="20:20" x14ac:dyDescent="0.25">
      <c r="T11647" s="98"/>
    </row>
    <row r="11648" spans="20:20" x14ac:dyDescent="0.25">
      <c r="T11648" s="98"/>
    </row>
    <row r="11649" spans="20:20" x14ac:dyDescent="0.25">
      <c r="T11649" s="98"/>
    </row>
    <row r="11650" spans="20:20" x14ac:dyDescent="0.25">
      <c r="T11650" s="98"/>
    </row>
    <row r="11651" spans="20:20" x14ac:dyDescent="0.25">
      <c r="T11651" s="98"/>
    </row>
    <row r="11652" spans="20:20" x14ac:dyDescent="0.25">
      <c r="T11652" s="98"/>
    </row>
    <row r="11653" spans="20:20" x14ac:dyDescent="0.25">
      <c r="T11653" s="98"/>
    </row>
    <row r="11654" spans="20:20" x14ac:dyDescent="0.25">
      <c r="T11654" s="98"/>
    </row>
    <row r="11655" spans="20:20" x14ac:dyDescent="0.25">
      <c r="T11655" s="98"/>
    </row>
    <row r="11656" spans="20:20" x14ac:dyDescent="0.25">
      <c r="T11656" s="98"/>
    </row>
    <row r="11657" spans="20:20" x14ac:dyDescent="0.25">
      <c r="T11657" s="98"/>
    </row>
    <row r="11658" spans="20:20" x14ac:dyDescent="0.25">
      <c r="T11658" s="98"/>
    </row>
    <row r="11659" spans="20:20" x14ac:dyDescent="0.25">
      <c r="T11659" s="98"/>
    </row>
    <row r="11660" spans="20:20" x14ac:dyDescent="0.25">
      <c r="T11660" s="98"/>
    </row>
    <row r="11661" spans="20:20" x14ac:dyDescent="0.25">
      <c r="T11661" s="98"/>
    </row>
    <row r="11662" spans="20:20" x14ac:dyDescent="0.25">
      <c r="T11662" s="98"/>
    </row>
    <row r="11663" spans="20:20" x14ac:dyDescent="0.25">
      <c r="T11663" s="98"/>
    </row>
    <row r="11664" spans="20:20" x14ac:dyDescent="0.25">
      <c r="T11664" s="98"/>
    </row>
    <row r="11665" spans="20:20" x14ac:dyDescent="0.25">
      <c r="T11665" s="98"/>
    </row>
    <row r="11666" spans="20:20" x14ac:dyDescent="0.25">
      <c r="T11666" s="98"/>
    </row>
    <row r="11667" spans="20:20" x14ac:dyDescent="0.25">
      <c r="T11667" s="98"/>
    </row>
    <row r="11668" spans="20:20" x14ac:dyDescent="0.25">
      <c r="T11668" s="98"/>
    </row>
    <row r="11669" spans="20:20" x14ac:dyDescent="0.25">
      <c r="T11669" s="98"/>
    </row>
    <row r="11670" spans="20:20" x14ac:dyDescent="0.25">
      <c r="T11670" s="98"/>
    </row>
    <row r="11671" spans="20:20" x14ac:dyDescent="0.25">
      <c r="T11671" s="98"/>
    </row>
    <row r="11672" spans="20:20" x14ac:dyDescent="0.25">
      <c r="T11672" s="98"/>
    </row>
    <row r="11673" spans="20:20" x14ac:dyDescent="0.25">
      <c r="T11673" s="98"/>
    </row>
    <row r="11674" spans="20:20" x14ac:dyDescent="0.25">
      <c r="T11674" s="98"/>
    </row>
    <row r="11675" spans="20:20" x14ac:dyDescent="0.25">
      <c r="T11675" s="98"/>
    </row>
    <row r="11676" spans="20:20" x14ac:dyDescent="0.25">
      <c r="T11676" s="98"/>
    </row>
    <row r="11677" spans="20:20" x14ac:dyDescent="0.25">
      <c r="T11677" s="98"/>
    </row>
    <row r="11678" spans="20:20" x14ac:dyDescent="0.25">
      <c r="T11678" s="98"/>
    </row>
    <row r="11679" spans="20:20" x14ac:dyDescent="0.25">
      <c r="T11679" s="98"/>
    </row>
    <row r="11680" spans="20:20" x14ac:dyDescent="0.25">
      <c r="T11680" s="98"/>
    </row>
    <row r="11681" spans="20:20" x14ac:dyDescent="0.25">
      <c r="T11681" s="98"/>
    </row>
    <row r="11682" spans="20:20" x14ac:dyDescent="0.25">
      <c r="T11682" s="98"/>
    </row>
    <row r="11683" spans="20:20" x14ac:dyDescent="0.25">
      <c r="T11683" s="98"/>
    </row>
    <row r="11684" spans="20:20" x14ac:dyDescent="0.25">
      <c r="T11684" s="98"/>
    </row>
    <row r="11685" spans="20:20" x14ac:dyDescent="0.25">
      <c r="T11685" s="98"/>
    </row>
    <row r="11686" spans="20:20" x14ac:dyDescent="0.25">
      <c r="T11686" s="98"/>
    </row>
    <row r="11687" spans="20:20" x14ac:dyDescent="0.25">
      <c r="T11687" s="98"/>
    </row>
    <row r="11688" spans="20:20" x14ac:dyDescent="0.25">
      <c r="T11688" s="98"/>
    </row>
    <row r="11689" spans="20:20" x14ac:dyDescent="0.25">
      <c r="T11689" s="98"/>
    </row>
    <row r="11690" spans="20:20" x14ac:dyDescent="0.25">
      <c r="T11690" s="98"/>
    </row>
    <row r="11691" spans="20:20" x14ac:dyDescent="0.25">
      <c r="T11691" s="98"/>
    </row>
    <row r="11692" spans="20:20" x14ac:dyDescent="0.25">
      <c r="T11692" s="98"/>
    </row>
    <row r="11693" spans="20:20" x14ac:dyDescent="0.25">
      <c r="T11693" s="98"/>
    </row>
    <row r="11694" spans="20:20" x14ac:dyDescent="0.25">
      <c r="T11694" s="98"/>
    </row>
    <row r="11695" spans="20:20" x14ac:dyDescent="0.25">
      <c r="T11695" s="98"/>
    </row>
    <row r="11696" spans="20:20" x14ac:dyDescent="0.25">
      <c r="T11696" s="98"/>
    </row>
    <row r="11697" spans="20:20" x14ac:dyDescent="0.25">
      <c r="T11697" s="98"/>
    </row>
    <row r="11698" spans="20:20" x14ac:dyDescent="0.25">
      <c r="T11698" s="98"/>
    </row>
    <row r="11699" spans="20:20" x14ac:dyDescent="0.25">
      <c r="T11699" s="98"/>
    </row>
    <row r="11700" spans="20:20" x14ac:dyDescent="0.25">
      <c r="T11700" s="98"/>
    </row>
    <row r="11701" spans="20:20" x14ac:dyDescent="0.25">
      <c r="T11701" s="98"/>
    </row>
    <row r="11702" spans="20:20" x14ac:dyDescent="0.25">
      <c r="T11702" s="98"/>
    </row>
    <row r="11703" spans="20:20" x14ac:dyDescent="0.25">
      <c r="T11703" s="98"/>
    </row>
    <row r="11704" spans="20:20" x14ac:dyDescent="0.25">
      <c r="T11704" s="98"/>
    </row>
    <row r="11705" spans="20:20" x14ac:dyDescent="0.25">
      <c r="T11705" s="98"/>
    </row>
    <row r="11706" spans="20:20" x14ac:dyDescent="0.25">
      <c r="T11706" s="98"/>
    </row>
    <row r="11707" spans="20:20" x14ac:dyDescent="0.25">
      <c r="T11707" s="98"/>
    </row>
    <row r="11708" spans="20:20" x14ac:dyDescent="0.25">
      <c r="T11708" s="98"/>
    </row>
    <row r="11709" spans="20:20" x14ac:dyDescent="0.25">
      <c r="T11709" s="98"/>
    </row>
    <row r="11710" spans="20:20" x14ac:dyDescent="0.25">
      <c r="T11710" s="98"/>
    </row>
    <row r="11711" spans="20:20" x14ac:dyDescent="0.25">
      <c r="T11711" s="98"/>
    </row>
    <row r="11712" spans="20:20" x14ac:dyDescent="0.25">
      <c r="T11712" s="98"/>
    </row>
    <row r="11713" spans="20:20" x14ac:dyDescent="0.25">
      <c r="T11713" s="98"/>
    </row>
    <row r="11714" spans="20:20" x14ac:dyDescent="0.25">
      <c r="T11714" s="98"/>
    </row>
    <row r="11715" spans="20:20" x14ac:dyDescent="0.25">
      <c r="T11715" s="98"/>
    </row>
    <row r="11716" spans="20:20" x14ac:dyDescent="0.25">
      <c r="T11716" s="98"/>
    </row>
    <row r="11717" spans="20:20" x14ac:dyDescent="0.25">
      <c r="T11717" s="98"/>
    </row>
    <row r="11718" spans="20:20" x14ac:dyDescent="0.25">
      <c r="T11718" s="98"/>
    </row>
    <row r="11719" spans="20:20" x14ac:dyDescent="0.25">
      <c r="T11719" s="98"/>
    </row>
    <row r="11720" spans="20:20" x14ac:dyDescent="0.25">
      <c r="T11720" s="98"/>
    </row>
    <row r="11721" spans="20:20" x14ac:dyDescent="0.25">
      <c r="T11721" s="98"/>
    </row>
    <row r="11722" spans="20:20" x14ac:dyDescent="0.25">
      <c r="T11722" s="98"/>
    </row>
    <row r="11723" spans="20:20" x14ac:dyDescent="0.25">
      <c r="T11723" s="98"/>
    </row>
    <row r="11724" spans="20:20" x14ac:dyDescent="0.25">
      <c r="T11724" s="98"/>
    </row>
    <row r="11725" spans="20:20" x14ac:dyDescent="0.25">
      <c r="T11725" s="98"/>
    </row>
    <row r="11726" spans="20:20" x14ac:dyDescent="0.25">
      <c r="T11726" s="98"/>
    </row>
    <row r="11727" spans="20:20" x14ac:dyDescent="0.25">
      <c r="T11727" s="98"/>
    </row>
    <row r="11728" spans="20:20" x14ac:dyDescent="0.25">
      <c r="T11728" s="98"/>
    </row>
    <row r="11729" spans="20:20" x14ac:dyDescent="0.25">
      <c r="T11729" s="98"/>
    </row>
    <row r="11730" spans="20:20" x14ac:dyDescent="0.25">
      <c r="T11730" s="98"/>
    </row>
    <row r="11731" spans="20:20" x14ac:dyDescent="0.25">
      <c r="T11731" s="98"/>
    </row>
    <row r="11732" spans="20:20" x14ac:dyDescent="0.25">
      <c r="T11732" s="98"/>
    </row>
    <row r="11733" spans="20:20" x14ac:dyDescent="0.25">
      <c r="T11733" s="98"/>
    </row>
    <row r="11734" spans="20:20" x14ac:dyDescent="0.25">
      <c r="T11734" s="98"/>
    </row>
    <row r="11735" spans="20:20" x14ac:dyDescent="0.25">
      <c r="T11735" s="98"/>
    </row>
    <row r="11736" spans="20:20" x14ac:dyDescent="0.25">
      <c r="T11736" s="98"/>
    </row>
    <row r="11737" spans="20:20" x14ac:dyDescent="0.25">
      <c r="T11737" s="98"/>
    </row>
    <row r="11738" spans="20:20" x14ac:dyDescent="0.25">
      <c r="T11738" s="98"/>
    </row>
    <row r="11739" spans="20:20" x14ac:dyDescent="0.25">
      <c r="T11739" s="98"/>
    </row>
    <row r="11740" spans="20:20" x14ac:dyDescent="0.25">
      <c r="T11740" s="98"/>
    </row>
    <row r="11741" spans="20:20" x14ac:dyDescent="0.25">
      <c r="T11741" s="98"/>
    </row>
    <row r="11742" spans="20:20" x14ac:dyDescent="0.25">
      <c r="T11742" s="98"/>
    </row>
    <row r="11743" spans="20:20" x14ac:dyDescent="0.25">
      <c r="T11743" s="98"/>
    </row>
    <row r="11744" spans="20:20" x14ac:dyDescent="0.25">
      <c r="T11744" s="98"/>
    </row>
    <row r="11745" spans="20:20" x14ac:dyDescent="0.25">
      <c r="T11745" s="98"/>
    </row>
    <row r="11746" spans="20:20" x14ac:dyDescent="0.25">
      <c r="T11746" s="98"/>
    </row>
    <row r="11747" spans="20:20" x14ac:dyDescent="0.25">
      <c r="T11747" s="98"/>
    </row>
    <row r="11748" spans="20:20" x14ac:dyDescent="0.25">
      <c r="T11748" s="98"/>
    </row>
    <row r="11749" spans="20:20" x14ac:dyDescent="0.25">
      <c r="T11749" s="98"/>
    </row>
    <row r="11750" spans="20:20" x14ac:dyDescent="0.25">
      <c r="T11750" s="98"/>
    </row>
    <row r="11751" spans="20:20" x14ac:dyDescent="0.25">
      <c r="T11751" s="98"/>
    </row>
    <row r="11752" spans="20:20" x14ac:dyDescent="0.25">
      <c r="T11752" s="98"/>
    </row>
    <row r="11753" spans="20:20" x14ac:dyDescent="0.25">
      <c r="T11753" s="98"/>
    </row>
    <row r="11754" spans="20:20" x14ac:dyDescent="0.25">
      <c r="T11754" s="98"/>
    </row>
    <row r="11755" spans="20:20" x14ac:dyDescent="0.25">
      <c r="T11755" s="98"/>
    </row>
    <row r="11756" spans="20:20" x14ac:dyDescent="0.25">
      <c r="T11756" s="98"/>
    </row>
    <row r="11757" spans="20:20" x14ac:dyDescent="0.25">
      <c r="T11757" s="98"/>
    </row>
    <row r="11758" spans="20:20" x14ac:dyDescent="0.25">
      <c r="T11758" s="98"/>
    </row>
    <row r="11759" spans="20:20" x14ac:dyDescent="0.25">
      <c r="T11759" s="98"/>
    </row>
    <row r="11760" spans="20:20" x14ac:dyDescent="0.25">
      <c r="T11760" s="98"/>
    </row>
    <row r="11761" spans="20:20" x14ac:dyDescent="0.25">
      <c r="T11761" s="98"/>
    </row>
    <row r="11762" spans="20:20" x14ac:dyDescent="0.25">
      <c r="T11762" s="98"/>
    </row>
    <row r="11763" spans="20:20" x14ac:dyDescent="0.25">
      <c r="T11763" s="98"/>
    </row>
    <row r="11764" spans="20:20" x14ac:dyDescent="0.25">
      <c r="T11764" s="98"/>
    </row>
    <row r="11765" spans="20:20" x14ac:dyDescent="0.25">
      <c r="T11765" s="98"/>
    </row>
    <row r="11766" spans="20:20" x14ac:dyDescent="0.25">
      <c r="T11766" s="98"/>
    </row>
    <row r="11767" spans="20:20" x14ac:dyDescent="0.25">
      <c r="T11767" s="98"/>
    </row>
    <row r="11768" spans="20:20" x14ac:dyDescent="0.25">
      <c r="T11768" s="98"/>
    </row>
    <row r="11769" spans="20:20" x14ac:dyDescent="0.25">
      <c r="T11769" s="98"/>
    </row>
    <row r="11770" spans="20:20" x14ac:dyDescent="0.25">
      <c r="T11770" s="98"/>
    </row>
    <row r="11771" spans="20:20" x14ac:dyDescent="0.25">
      <c r="T11771" s="98"/>
    </row>
    <row r="11772" spans="20:20" x14ac:dyDescent="0.25">
      <c r="T11772" s="98"/>
    </row>
    <row r="11773" spans="20:20" x14ac:dyDescent="0.25">
      <c r="T11773" s="98"/>
    </row>
    <row r="11774" spans="20:20" x14ac:dyDescent="0.25">
      <c r="T11774" s="98"/>
    </row>
    <row r="11775" spans="20:20" x14ac:dyDescent="0.25">
      <c r="T11775" s="98"/>
    </row>
    <row r="11776" spans="20:20" x14ac:dyDescent="0.25">
      <c r="T11776" s="98"/>
    </row>
    <row r="11777" spans="20:20" x14ac:dyDescent="0.25">
      <c r="T11777" s="98"/>
    </row>
    <row r="11778" spans="20:20" x14ac:dyDescent="0.25">
      <c r="T11778" s="98"/>
    </row>
    <row r="11779" spans="20:20" x14ac:dyDescent="0.25">
      <c r="T11779" s="98"/>
    </row>
    <row r="11780" spans="20:20" x14ac:dyDescent="0.25">
      <c r="T11780" s="98"/>
    </row>
    <row r="11781" spans="20:20" x14ac:dyDescent="0.25">
      <c r="T11781" s="98"/>
    </row>
    <row r="11782" spans="20:20" x14ac:dyDescent="0.25">
      <c r="T11782" s="98"/>
    </row>
    <row r="11783" spans="20:20" x14ac:dyDescent="0.25">
      <c r="T11783" s="98"/>
    </row>
    <row r="11784" spans="20:20" x14ac:dyDescent="0.25">
      <c r="T11784" s="98"/>
    </row>
    <row r="11785" spans="20:20" x14ac:dyDescent="0.25">
      <c r="T11785" s="98"/>
    </row>
    <row r="11786" spans="20:20" x14ac:dyDescent="0.25">
      <c r="T11786" s="98"/>
    </row>
    <row r="11787" spans="20:20" x14ac:dyDescent="0.25">
      <c r="T11787" s="98"/>
    </row>
    <row r="11788" spans="20:20" x14ac:dyDescent="0.25">
      <c r="T11788" s="98"/>
    </row>
    <row r="11789" spans="20:20" x14ac:dyDescent="0.25">
      <c r="T11789" s="98"/>
    </row>
    <row r="11790" spans="20:20" x14ac:dyDescent="0.25">
      <c r="T11790" s="98"/>
    </row>
    <row r="11791" spans="20:20" x14ac:dyDescent="0.25">
      <c r="T11791" s="98"/>
    </row>
    <row r="11792" spans="20:20" x14ac:dyDescent="0.25">
      <c r="T11792" s="98"/>
    </row>
    <row r="11793" spans="20:20" x14ac:dyDescent="0.25">
      <c r="T11793" s="98"/>
    </row>
    <row r="11794" spans="20:20" x14ac:dyDescent="0.25">
      <c r="T11794" s="98"/>
    </row>
    <row r="11795" spans="20:20" x14ac:dyDescent="0.25">
      <c r="T11795" s="98"/>
    </row>
    <row r="11796" spans="20:20" x14ac:dyDescent="0.25">
      <c r="T11796" s="98"/>
    </row>
    <row r="11797" spans="20:20" x14ac:dyDescent="0.25">
      <c r="T11797" s="98"/>
    </row>
    <row r="11798" spans="20:20" x14ac:dyDescent="0.25">
      <c r="T11798" s="98"/>
    </row>
    <row r="11799" spans="20:20" x14ac:dyDescent="0.25">
      <c r="T11799" s="98"/>
    </row>
    <row r="11800" spans="20:20" x14ac:dyDescent="0.25">
      <c r="T11800" s="98"/>
    </row>
    <row r="11801" spans="20:20" x14ac:dyDescent="0.25">
      <c r="T11801" s="98"/>
    </row>
    <row r="11802" spans="20:20" x14ac:dyDescent="0.25">
      <c r="T11802" s="98"/>
    </row>
    <row r="11803" spans="20:20" x14ac:dyDescent="0.25">
      <c r="T11803" s="98"/>
    </row>
    <row r="11804" spans="20:20" x14ac:dyDescent="0.25">
      <c r="T11804" s="98"/>
    </row>
    <row r="11805" spans="20:20" x14ac:dyDescent="0.25">
      <c r="T11805" s="98"/>
    </row>
    <row r="11806" spans="20:20" x14ac:dyDescent="0.25">
      <c r="T11806" s="98"/>
    </row>
    <row r="11807" spans="20:20" x14ac:dyDescent="0.25">
      <c r="T11807" s="98"/>
    </row>
    <row r="11808" spans="20:20" x14ac:dyDescent="0.25">
      <c r="T11808" s="98"/>
    </row>
    <row r="11809" spans="20:20" x14ac:dyDescent="0.25">
      <c r="T11809" s="98"/>
    </row>
    <row r="11810" spans="20:20" x14ac:dyDescent="0.25">
      <c r="T11810" s="98"/>
    </row>
    <row r="11811" spans="20:20" x14ac:dyDescent="0.25">
      <c r="T11811" s="98"/>
    </row>
    <row r="11812" spans="20:20" x14ac:dyDescent="0.25">
      <c r="T11812" s="98"/>
    </row>
    <row r="11813" spans="20:20" x14ac:dyDescent="0.25">
      <c r="T11813" s="98"/>
    </row>
    <row r="11814" spans="20:20" x14ac:dyDescent="0.25">
      <c r="T11814" s="98"/>
    </row>
    <row r="11815" spans="20:20" x14ac:dyDescent="0.25">
      <c r="T11815" s="98"/>
    </row>
    <row r="11816" spans="20:20" x14ac:dyDescent="0.25">
      <c r="T11816" s="98"/>
    </row>
    <row r="11817" spans="20:20" x14ac:dyDescent="0.25">
      <c r="T11817" s="98"/>
    </row>
    <row r="11818" spans="20:20" x14ac:dyDescent="0.25">
      <c r="T11818" s="98"/>
    </row>
    <row r="11819" spans="20:20" x14ac:dyDescent="0.25">
      <c r="T11819" s="98"/>
    </row>
    <row r="11820" spans="20:20" x14ac:dyDescent="0.25">
      <c r="T11820" s="98"/>
    </row>
    <row r="11821" spans="20:20" x14ac:dyDescent="0.25">
      <c r="T11821" s="98"/>
    </row>
    <row r="11822" spans="20:20" x14ac:dyDescent="0.25">
      <c r="T11822" s="98"/>
    </row>
    <row r="11823" spans="20:20" x14ac:dyDescent="0.25">
      <c r="T11823" s="98"/>
    </row>
    <row r="11824" spans="20:20" x14ac:dyDescent="0.25">
      <c r="T11824" s="98"/>
    </row>
    <row r="11825" spans="20:20" x14ac:dyDescent="0.25">
      <c r="T11825" s="98"/>
    </row>
    <row r="11826" spans="20:20" x14ac:dyDescent="0.25">
      <c r="T11826" s="98"/>
    </row>
    <row r="11827" spans="20:20" x14ac:dyDescent="0.25">
      <c r="T11827" s="98"/>
    </row>
    <row r="11828" spans="20:20" x14ac:dyDescent="0.25">
      <c r="T11828" s="98"/>
    </row>
    <row r="11829" spans="20:20" x14ac:dyDescent="0.25">
      <c r="T11829" s="98"/>
    </row>
    <row r="11830" spans="20:20" x14ac:dyDescent="0.25">
      <c r="T11830" s="98"/>
    </row>
    <row r="11831" spans="20:20" x14ac:dyDescent="0.25">
      <c r="T11831" s="98"/>
    </row>
    <row r="11832" spans="20:20" x14ac:dyDescent="0.25">
      <c r="T11832" s="98"/>
    </row>
    <row r="11833" spans="20:20" x14ac:dyDescent="0.25">
      <c r="T11833" s="98"/>
    </row>
    <row r="11834" spans="20:20" x14ac:dyDescent="0.25">
      <c r="T11834" s="98"/>
    </row>
    <row r="11835" spans="20:20" x14ac:dyDescent="0.25">
      <c r="T11835" s="98"/>
    </row>
    <row r="11836" spans="20:20" x14ac:dyDescent="0.25">
      <c r="T11836" s="98"/>
    </row>
    <row r="11837" spans="20:20" x14ac:dyDescent="0.25">
      <c r="T11837" s="98"/>
    </row>
    <row r="11838" spans="20:20" x14ac:dyDescent="0.25">
      <c r="T11838" s="98"/>
    </row>
    <row r="11839" spans="20:20" x14ac:dyDescent="0.25">
      <c r="T11839" s="98"/>
    </row>
    <row r="11840" spans="20:20" x14ac:dyDescent="0.25">
      <c r="T11840" s="98"/>
    </row>
    <row r="11841" spans="20:20" x14ac:dyDescent="0.25">
      <c r="T11841" s="98"/>
    </row>
    <row r="11842" spans="20:20" x14ac:dyDescent="0.25">
      <c r="T11842" s="98"/>
    </row>
    <row r="11843" spans="20:20" x14ac:dyDescent="0.25">
      <c r="T11843" s="98"/>
    </row>
    <row r="11844" spans="20:20" x14ac:dyDescent="0.25">
      <c r="T11844" s="98"/>
    </row>
    <row r="11845" spans="20:20" x14ac:dyDescent="0.25">
      <c r="T11845" s="98"/>
    </row>
    <row r="11846" spans="20:20" x14ac:dyDescent="0.25">
      <c r="T11846" s="98"/>
    </row>
    <row r="11847" spans="20:20" x14ac:dyDescent="0.25">
      <c r="T11847" s="98"/>
    </row>
    <row r="11848" spans="20:20" x14ac:dyDescent="0.25">
      <c r="T11848" s="98"/>
    </row>
    <row r="11849" spans="20:20" x14ac:dyDescent="0.25">
      <c r="T11849" s="98"/>
    </row>
    <row r="11850" spans="20:20" x14ac:dyDescent="0.25">
      <c r="T11850" s="98"/>
    </row>
    <row r="11851" spans="20:20" x14ac:dyDescent="0.25">
      <c r="T11851" s="98"/>
    </row>
    <row r="11852" spans="20:20" x14ac:dyDescent="0.25">
      <c r="T11852" s="98"/>
    </row>
    <row r="11853" spans="20:20" x14ac:dyDescent="0.25">
      <c r="T11853" s="98"/>
    </row>
    <row r="11854" spans="20:20" x14ac:dyDescent="0.25">
      <c r="T11854" s="98"/>
    </row>
    <row r="11855" spans="20:20" x14ac:dyDescent="0.25">
      <c r="T11855" s="98"/>
    </row>
    <row r="11856" spans="20:20" x14ac:dyDescent="0.25">
      <c r="T11856" s="98"/>
    </row>
    <row r="11857" spans="20:20" x14ac:dyDescent="0.25">
      <c r="T11857" s="98"/>
    </row>
    <row r="11858" spans="20:20" x14ac:dyDescent="0.25">
      <c r="T11858" s="98"/>
    </row>
    <row r="11859" spans="20:20" x14ac:dyDescent="0.25">
      <c r="T11859" s="98"/>
    </row>
    <row r="11860" spans="20:20" x14ac:dyDescent="0.25">
      <c r="T11860" s="98"/>
    </row>
    <row r="11861" spans="20:20" x14ac:dyDescent="0.25">
      <c r="T11861" s="98"/>
    </row>
    <row r="11862" spans="20:20" x14ac:dyDescent="0.25">
      <c r="T11862" s="98"/>
    </row>
    <row r="11863" spans="20:20" x14ac:dyDescent="0.25">
      <c r="T11863" s="98"/>
    </row>
    <row r="11864" spans="20:20" x14ac:dyDescent="0.25">
      <c r="T11864" s="98"/>
    </row>
    <row r="11865" spans="20:20" x14ac:dyDescent="0.25">
      <c r="T11865" s="98"/>
    </row>
    <row r="11866" spans="20:20" x14ac:dyDescent="0.25">
      <c r="T11866" s="98"/>
    </row>
    <row r="11867" spans="20:20" x14ac:dyDescent="0.25">
      <c r="T11867" s="98"/>
    </row>
    <row r="11868" spans="20:20" x14ac:dyDescent="0.25">
      <c r="T11868" s="98"/>
    </row>
    <row r="11869" spans="20:20" x14ac:dyDescent="0.25">
      <c r="T11869" s="98"/>
    </row>
    <row r="11870" spans="20:20" x14ac:dyDescent="0.25">
      <c r="T11870" s="98"/>
    </row>
    <row r="11871" spans="20:20" x14ac:dyDescent="0.25">
      <c r="T11871" s="98"/>
    </row>
    <row r="11872" spans="20:20" x14ac:dyDescent="0.25">
      <c r="T11872" s="98"/>
    </row>
    <row r="11873" spans="20:20" x14ac:dyDescent="0.25">
      <c r="T11873" s="98"/>
    </row>
    <row r="11874" spans="20:20" x14ac:dyDescent="0.25">
      <c r="T11874" s="98"/>
    </row>
    <row r="11875" spans="20:20" x14ac:dyDescent="0.25">
      <c r="T11875" s="98"/>
    </row>
    <row r="11876" spans="20:20" x14ac:dyDescent="0.25">
      <c r="T11876" s="98"/>
    </row>
    <row r="11877" spans="20:20" x14ac:dyDescent="0.25">
      <c r="T11877" s="98"/>
    </row>
    <row r="11878" spans="20:20" x14ac:dyDescent="0.25">
      <c r="T11878" s="98"/>
    </row>
    <row r="11879" spans="20:20" x14ac:dyDescent="0.25">
      <c r="T11879" s="98"/>
    </row>
    <row r="11880" spans="20:20" x14ac:dyDescent="0.25">
      <c r="T11880" s="98"/>
    </row>
    <row r="11881" spans="20:20" x14ac:dyDescent="0.25">
      <c r="T11881" s="98"/>
    </row>
    <row r="11882" spans="20:20" x14ac:dyDescent="0.25">
      <c r="T11882" s="98"/>
    </row>
    <row r="11883" spans="20:20" x14ac:dyDescent="0.25">
      <c r="T11883" s="98"/>
    </row>
    <row r="11884" spans="20:20" x14ac:dyDescent="0.25">
      <c r="T11884" s="98"/>
    </row>
    <row r="11885" spans="20:20" x14ac:dyDescent="0.25">
      <c r="T11885" s="98"/>
    </row>
    <row r="11886" spans="20:20" x14ac:dyDescent="0.25">
      <c r="T11886" s="98"/>
    </row>
    <row r="11887" spans="20:20" x14ac:dyDescent="0.25">
      <c r="T11887" s="98"/>
    </row>
    <row r="11888" spans="20:20" x14ac:dyDescent="0.25">
      <c r="T11888" s="98"/>
    </row>
    <row r="11889" spans="20:20" x14ac:dyDescent="0.25">
      <c r="T11889" s="98"/>
    </row>
    <row r="11890" spans="20:20" x14ac:dyDescent="0.25">
      <c r="T11890" s="98"/>
    </row>
    <row r="11891" spans="20:20" x14ac:dyDescent="0.25">
      <c r="T11891" s="98"/>
    </row>
    <row r="11892" spans="20:20" x14ac:dyDescent="0.25">
      <c r="T11892" s="98"/>
    </row>
    <row r="11893" spans="20:20" x14ac:dyDescent="0.25">
      <c r="T11893" s="98"/>
    </row>
    <row r="11894" spans="20:20" x14ac:dyDescent="0.25">
      <c r="T11894" s="98"/>
    </row>
    <row r="11895" spans="20:20" x14ac:dyDescent="0.25">
      <c r="T11895" s="98"/>
    </row>
    <row r="11896" spans="20:20" x14ac:dyDescent="0.25">
      <c r="T11896" s="98"/>
    </row>
    <row r="11897" spans="20:20" x14ac:dyDescent="0.25">
      <c r="T11897" s="98"/>
    </row>
    <row r="11898" spans="20:20" x14ac:dyDescent="0.25">
      <c r="T11898" s="98"/>
    </row>
    <row r="11899" spans="20:20" x14ac:dyDescent="0.25">
      <c r="T11899" s="98"/>
    </row>
    <row r="11900" spans="20:20" x14ac:dyDescent="0.25">
      <c r="T11900" s="98"/>
    </row>
    <row r="11901" spans="20:20" x14ac:dyDescent="0.25">
      <c r="T11901" s="98"/>
    </row>
    <row r="11902" spans="20:20" x14ac:dyDescent="0.25">
      <c r="T11902" s="98"/>
    </row>
    <row r="11903" spans="20:20" x14ac:dyDescent="0.25">
      <c r="T11903" s="98"/>
    </row>
    <row r="11904" spans="20:20" x14ac:dyDescent="0.25">
      <c r="T11904" s="98"/>
    </row>
    <row r="11905" spans="20:20" x14ac:dyDescent="0.25">
      <c r="T11905" s="98"/>
    </row>
    <row r="11906" spans="20:20" x14ac:dyDescent="0.25">
      <c r="T11906" s="98"/>
    </row>
    <row r="11907" spans="20:20" x14ac:dyDescent="0.25">
      <c r="T11907" s="98"/>
    </row>
    <row r="11908" spans="20:20" x14ac:dyDescent="0.25">
      <c r="T11908" s="98"/>
    </row>
    <row r="11909" spans="20:20" x14ac:dyDescent="0.25">
      <c r="T11909" s="98"/>
    </row>
    <row r="11910" spans="20:20" x14ac:dyDescent="0.25">
      <c r="T11910" s="98"/>
    </row>
    <row r="11911" spans="20:20" x14ac:dyDescent="0.25">
      <c r="T11911" s="98"/>
    </row>
    <row r="11912" spans="20:20" x14ac:dyDescent="0.25">
      <c r="T11912" s="98"/>
    </row>
    <row r="11913" spans="20:20" x14ac:dyDescent="0.25">
      <c r="T11913" s="98"/>
    </row>
    <row r="11914" spans="20:20" x14ac:dyDescent="0.25">
      <c r="T11914" s="98"/>
    </row>
    <row r="11915" spans="20:20" x14ac:dyDescent="0.25">
      <c r="T11915" s="98"/>
    </row>
    <row r="11916" spans="20:20" x14ac:dyDescent="0.25">
      <c r="T11916" s="98"/>
    </row>
    <row r="11917" spans="20:20" x14ac:dyDescent="0.25">
      <c r="T11917" s="98"/>
    </row>
    <row r="11918" spans="20:20" x14ac:dyDescent="0.25">
      <c r="T11918" s="98"/>
    </row>
    <row r="11919" spans="20:20" x14ac:dyDescent="0.25">
      <c r="T11919" s="98"/>
    </row>
    <row r="11920" spans="20:20" x14ac:dyDescent="0.25">
      <c r="T11920" s="98"/>
    </row>
    <row r="11921" spans="20:20" x14ac:dyDescent="0.25">
      <c r="T11921" s="98"/>
    </row>
    <row r="11922" spans="20:20" x14ac:dyDescent="0.25">
      <c r="T11922" s="98"/>
    </row>
    <row r="11923" spans="20:20" x14ac:dyDescent="0.25">
      <c r="T11923" s="98"/>
    </row>
    <row r="11924" spans="20:20" x14ac:dyDescent="0.25">
      <c r="T11924" s="98"/>
    </row>
    <row r="11925" spans="20:20" x14ac:dyDescent="0.25">
      <c r="T11925" s="98"/>
    </row>
    <row r="11926" spans="20:20" x14ac:dyDescent="0.25">
      <c r="T11926" s="98"/>
    </row>
    <row r="11927" spans="20:20" x14ac:dyDescent="0.25">
      <c r="T11927" s="98"/>
    </row>
    <row r="11928" spans="20:20" x14ac:dyDescent="0.25">
      <c r="T11928" s="98"/>
    </row>
    <row r="11929" spans="20:20" x14ac:dyDescent="0.25">
      <c r="T11929" s="98"/>
    </row>
    <row r="11930" spans="20:20" x14ac:dyDescent="0.25">
      <c r="T11930" s="98"/>
    </row>
    <row r="11931" spans="20:20" x14ac:dyDescent="0.25">
      <c r="T11931" s="98"/>
    </row>
    <row r="11932" spans="20:20" x14ac:dyDescent="0.25">
      <c r="T11932" s="98"/>
    </row>
    <row r="11933" spans="20:20" x14ac:dyDescent="0.25">
      <c r="T11933" s="98"/>
    </row>
    <row r="11934" spans="20:20" x14ac:dyDescent="0.25">
      <c r="T11934" s="98"/>
    </row>
    <row r="11935" spans="20:20" x14ac:dyDescent="0.25">
      <c r="T11935" s="98"/>
    </row>
    <row r="11936" spans="20:20" x14ac:dyDescent="0.25">
      <c r="T11936" s="98"/>
    </row>
    <row r="11937" spans="20:20" x14ac:dyDescent="0.25">
      <c r="T11937" s="98"/>
    </row>
    <row r="11938" spans="20:20" x14ac:dyDescent="0.25">
      <c r="T11938" s="98"/>
    </row>
    <row r="11939" spans="20:20" x14ac:dyDescent="0.25">
      <c r="T11939" s="98"/>
    </row>
    <row r="11940" spans="20:20" x14ac:dyDescent="0.25">
      <c r="T11940" s="98"/>
    </row>
    <row r="11941" spans="20:20" x14ac:dyDescent="0.25">
      <c r="T11941" s="98"/>
    </row>
    <row r="11942" spans="20:20" x14ac:dyDescent="0.25">
      <c r="T11942" s="98"/>
    </row>
    <row r="11943" spans="20:20" x14ac:dyDescent="0.25">
      <c r="T11943" s="98"/>
    </row>
    <row r="11944" spans="20:20" x14ac:dyDescent="0.25">
      <c r="T11944" s="98"/>
    </row>
    <row r="11945" spans="20:20" x14ac:dyDescent="0.25">
      <c r="T11945" s="98"/>
    </row>
    <row r="11946" spans="20:20" x14ac:dyDescent="0.25">
      <c r="T11946" s="98"/>
    </row>
    <row r="11947" spans="20:20" x14ac:dyDescent="0.25">
      <c r="T11947" s="98"/>
    </row>
    <row r="11948" spans="20:20" x14ac:dyDescent="0.25">
      <c r="T11948" s="98"/>
    </row>
    <row r="11949" spans="20:20" x14ac:dyDescent="0.25">
      <c r="T11949" s="98"/>
    </row>
    <row r="11950" spans="20:20" x14ac:dyDescent="0.25">
      <c r="T11950" s="98"/>
    </row>
    <row r="11951" spans="20:20" x14ac:dyDescent="0.25">
      <c r="T11951" s="98"/>
    </row>
    <row r="11952" spans="20:20" x14ac:dyDescent="0.25">
      <c r="T11952" s="98"/>
    </row>
    <row r="11953" spans="20:20" x14ac:dyDescent="0.25">
      <c r="T11953" s="98"/>
    </row>
    <row r="11954" spans="20:20" x14ac:dyDescent="0.25">
      <c r="T11954" s="98"/>
    </row>
    <row r="11955" spans="20:20" x14ac:dyDescent="0.25">
      <c r="T11955" s="98"/>
    </row>
    <row r="11956" spans="20:20" x14ac:dyDescent="0.25">
      <c r="T11956" s="98"/>
    </row>
    <row r="11957" spans="20:20" x14ac:dyDescent="0.25">
      <c r="T11957" s="98"/>
    </row>
    <row r="11958" spans="20:20" x14ac:dyDescent="0.25">
      <c r="T11958" s="98"/>
    </row>
    <row r="11959" spans="20:20" x14ac:dyDescent="0.25">
      <c r="T11959" s="98"/>
    </row>
    <row r="11960" spans="20:20" x14ac:dyDescent="0.25">
      <c r="T11960" s="98"/>
    </row>
    <row r="11961" spans="20:20" x14ac:dyDescent="0.25">
      <c r="T11961" s="98"/>
    </row>
    <row r="11962" spans="20:20" x14ac:dyDescent="0.25">
      <c r="T11962" s="98"/>
    </row>
    <row r="11963" spans="20:20" x14ac:dyDescent="0.25">
      <c r="T11963" s="98"/>
    </row>
    <row r="11964" spans="20:20" x14ac:dyDescent="0.25">
      <c r="T11964" s="98"/>
    </row>
    <row r="11965" spans="20:20" x14ac:dyDescent="0.25">
      <c r="T11965" s="98"/>
    </row>
    <row r="11966" spans="20:20" x14ac:dyDescent="0.25">
      <c r="T11966" s="98"/>
    </row>
    <row r="11967" spans="20:20" x14ac:dyDescent="0.25">
      <c r="T11967" s="98"/>
    </row>
    <row r="11968" spans="20:20" x14ac:dyDescent="0.25">
      <c r="T11968" s="98"/>
    </row>
    <row r="11969" spans="20:20" x14ac:dyDescent="0.25">
      <c r="T11969" s="98"/>
    </row>
    <row r="11970" spans="20:20" x14ac:dyDescent="0.25">
      <c r="T11970" s="98"/>
    </row>
    <row r="11971" spans="20:20" x14ac:dyDescent="0.25">
      <c r="T11971" s="98"/>
    </row>
    <row r="11972" spans="20:20" x14ac:dyDescent="0.25">
      <c r="T11972" s="98"/>
    </row>
    <row r="11973" spans="20:20" x14ac:dyDescent="0.25">
      <c r="T11973" s="98"/>
    </row>
    <row r="11974" spans="20:20" x14ac:dyDescent="0.25">
      <c r="T11974" s="98"/>
    </row>
    <row r="11975" spans="20:20" x14ac:dyDescent="0.25">
      <c r="T11975" s="98"/>
    </row>
    <row r="11976" spans="20:20" x14ac:dyDescent="0.25">
      <c r="T11976" s="98"/>
    </row>
    <row r="11977" spans="20:20" x14ac:dyDescent="0.25">
      <c r="T11977" s="98"/>
    </row>
    <row r="11978" spans="20:20" x14ac:dyDescent="0.25">
      <c r="T11978" s="98"/>
    </row>
    <row r="11979" spans="20:20" x14ac:dyDescent="0.25">
      <c r="T11979" s="98"/>
    </row>
    <row r="11980" spans="20:20" x14ac:dyDescent="0.25">
      <c r="T11980" s="98"/>
    </row>
    <row r="11981" spans="20:20" x14ac:dyDescent="0.25">
      <c r="T11981" s="98"/>
    </row>
    <row r="11982" spans="20:20" x14ac:dyDescent="0.25">
      <c r="T11982" s="98"/>
    </row>
    <row r="11983" spans="20:20" x14ac:dyDescent="0.25">
      <c r="T11983" s="98"/>
    </row>
    <row r="11984" spans="20:20" x14ac:dyDescent="0.25">
      <c r="T11984" s="98"/>
    </row>
    <row r="11985" spans="20:20" x14ac:dyDescent="0.25">
      <c r="T11985" s="98"/>
    </row>
    <row r="11986" spans="20:20" x14ac:dyDescent="0.25">
      <c r="T11986" s="98"/>
    </row>
    <row r="11987" spans="20:20" x14ac:dyDescent="0.25">
      <c r="T11987" s="98"/>
    </row>
    <row r="11988" spans="20:20" x14ac:dyDescent="0.25">
      <c r="T11988" s="98"/>
    </row>
    <row r="11989" spans="20:20" x14ac:dyDescent="0.25">
      <c r="T11989" s="98"/>
    </row>
    <row r="11990" spans="20:20" x14ac:dyDescent="0.25">
      <c r="T11990" s="98"/>
    </row>
    <row r="11991" spans="20:20" x14ac:dyDescent="0.25">
      <c r="T11991" s="98"/>
    </row>
    <row r="11992" spans="20:20" x14ac:dyDescent="0.25">
      <c r="T11992" s="98"/>
    </row>
    <row r="11993" spans="20:20" x14ac:dyDescent="0.25">
      <c r="T11993" s="98"/>
    </row>
    <row r="11994" spans="20:20" x14ac:dyDescent="0.25">
      <c r="T11994" s="98"/>
    </row>
    <row r="11995" spans="20:20" x14ac:dyDescent="0.25">
      <c r="T11995" s="98"/>
    </row>
    <row r="11996" spans="20:20" x14ac:dyDescent="0.25">
      <c r="T11996" s="98"/>
    </row>
    <row r="11997" spans="20:20" x14ac:dyDescent="0.25">
      <c r="T11997" s="98"/>
    </row>
    <row r="11998" spans="20:20" x14ac:dyDescent="0.25">
      <c r="T11998" s="98"/>
    </row>
    <row r="11999" spans="20:20" x14ac:dyDescent="0.25">
      <c r="T11999" s="98"/>
    </row>
    <row r="12000" spans="20:20" x14ac:dyDescent="0.25">
      <c r="T12000" s="98"/>
    </row>
    <row r="12001" spans="20:20" x14ac:dyDescent="0.25">
      <c r="T12001" s="98"/>
    </row>
    <row r="12002" spans="20:20" x14ac:dyDescent="0.25">
      <c r="T12002" s="98"/>
    </row>
    <row r="12003" spans="20:20" x14ac:dyDescent="0.25">
      <c r="T12003" s="98"/>
    </row>
    <row r="12004" spans="20:20" x14ac:dyDescent="0.25">
      <c r="T12004" s="98"/>
    </row>
    <row r="12005" spans="20:20" x14ac:dyDescent="0.25">
      <c r="T12005" s="98"/>
    </row>
    <row r="12006" spans="20:20" x14ac:dyDescent="0.25">
      <c r="T12006" s="98"/>
    </row>
    <row r="12007" spans="20:20" x14ac:dyDescent="0.25">
      <c r="T12007" s="98"/>
    </row>
    <row r="12008" spans="20:20" x14ac:dyDescent="0.25">
      <c r="T12008" s="98"/>
    </row>
    <row r="12009" spans="20:20" x14ac:dyDescent="0.25">
      <c r="T12009" s="98"/>
    </row>
    <row r="12010" spans="20:20" x14ac:dyDescent="0.25">
      <c r="T12010" s="98"/>
    </row>
    <row r="12011" spans="20:20" x14ac:dyDescent="0.25">
      <c r="T12011" s="98"/>
    </row>
    <row r="12012" spans="20:20" x14ac:dyDescent="0.25">
      <c r="T12012" s="98"/>
    </row>
    <row r="12013" spans="20:20" x14ac:dyDescent="0.25">
      <c r="T12013" s="98"/>
    </row>
    <row r="12014" spans="20:20" x14ac:dyDescent="0.25">
      <c r="T12014" s="98"/>
    </row>
    <row r="12015" spans="20:20" x14ac:dyDescent="0.25">
      <c r="T12015" s="98"/>
    </row>
    <row r="12016" spans="20:20" x14ac:dyDescent="0.25">
      <c r="T12016" s="98"/>
    </row>
    <row r="12017" spans="20:20" x14ac:dyDescent="0.25">
      <c r="T12017" s="98"/>
    </row>
    <row r="12018" spans="20:20" x14ac:dyDescent="0.25">
      <c r="T12018" s="98"/>
    </row>
    <row r="12019" spans="20:20" x14ac:dyDescent="0.25">
      <c r="T12019" s="98"/>
    </row>
    <row r="12020" spans="20:20" x14ac:dyDescent="0.25">
      <c r="T12020" s="98"/>
    </row>
    <row r="12021" spans="20:20" x14ac:dyDescent="0.25">
      <c r="T12021" s="98"/>
    </row>
    <row r="12022" spans="20:20" x14ac:dyDescent="0.25">
      <c r="T12022" s="98"/>
    </row>
    <row r="12023" spans="20:20" x14ac:dyDescent="0.25">
      <c r="T12023" s="98"/>
    </row>
    <row r="12024" spans="20:20" x14ac:dyDescent="0.25">
      <c r="T12024" s="98"/>
    </row>
    <row r="12025" spans="20:20" x14ac:dyDescent="0.25">
      <c r="T12025" s="98"/>
    </row>
    <row r="12026" spans="20:20" x14ac:dyDescent="0.25">
      <c r="T12026" s="98"/>
    </row>
    <row r="12027" spans="20:20" x14ac:dyDescent="0.25">
      <c r="T12027" s="98"/>
    </row>
    <row r="12028" spans="20:20" x14ac:dyDescent="0.25">
      <c r="T12028" s="98"/>
    </row>
    <row r="12029" spans="20:20" x14ac:dyDescent="0.25">
      <c r="T12029" s="98"/>
    </row>
    <row r="12030" spans="20:20" x14ac:dyDescent="0.25">
      <c r="T12030" s="98"/>
    </row>
    <row r="12031" spans="20:20" x14ac:dyDescent="0.25">
      <c r="T12031" s="98"/>
    </row>
    <row r="12032" spans="20:20" x14ac:dyDescent="0.25">
      <c r="T12032" s="98"/>
    </row>
    <row r="12033" spans="20:20" x14ac:dyDescent="0.25">
      <c r="T12033" s="98"/>
    </row>
    <row r="12034" spans="20:20" x14ac:dyDescent="0.25">
      <c r="T12034" s="98"/>
    </row>
    <row r="12035" spans="20:20" x14ac:dyDescent="0.25">
      <c r="T12035" s="98"/>
    </row>
    <row r="12036" spans="20:20" x14ac:dyDescent="0.25">
      <c r="T12036" s="98"/>
    </row>
    <row r="12037" spans="20:20" x14ac:dyDescent="0.25">
      <c r="T12037" s="98"/>
    </row>
    <row r="12038" spans="20:20" x14ac:dyDescent="0.25">
      <c r="T12038" s="98"/>
    </row>
    <row r="12039" spans="20:20" x14ac:dyDescent="0.25">
      <c r="T12039" s="98"/>
    </row>
    <row r="12040" spans="20:20" x14ac:dyDescent="0.25">
      <c r="T12040" s="98"/>
    </row>
    <row r="12041" spans="20:20" x14ac:dyDescent="0.25">
      <c r="T12041" s="98"/>
    </row>
    <row r="12042" spans="20:20" x14ac:dyDescent="0.25">
      <c r="T12042" s="98"/>
    </row>
    <row r="12043" spans="20:20" x14ac:dyDescent="0.25">
      <c r="T12043" s="98"/>
    </row>
    <row r="12044" spans="20:20" x14ac:dyDescent="0.25">
      <c r="T12044" s="98"/>
    </row>
    <row r="12045" spans="20:20" x14ac:dyDescent="0.25">
      <c r="T12045" s="98"/>
    </row>
    <row r="12046" spans="20:20" x14ac:dyDescent="0.25">
      <c r="T12046" s="98"/>
    </row>
    <row r="12047" spans="20:20" x14ac:dyDescent="0.25">
      <c r="T12047" s="98"/>
    </row>
    <row r="12048" spans="20:20" x14ac:dyDescent="0.25">
      <c r="T12048" s="98"/>
    </row>
    <row r="12049" spans="20:20" x14ac:dyDescent="0.25">
      <c r="T12049" s="98"/>
    </row>
    <row r="12050" spans="20:20" x14ac:dyDescent="0.25">
      <c r="T12050" s="98"/>
    </row>
    <row r="12051" spans="20:20" x14ac:dyDescent="0.25">
      <c r="T12051" s="98"/>
    </row>
    <row r="12052" spans="20:20" x14ac:dyDescent="0.25">
      <c r="T12052" s="98"/>
    </row>
    <row r="12053" spans="20:20" x14ac:dyDescent="0.25">
      <c r="T12053" s="98"/>
    </row>
    <row r="12054" spans="20:20" x14ac:dyDescent="0.25">
      <c r="T12054" s="98"/>
    </row>
    <row r="12055" spans="20:20" x14ac:dyDescent="0.25">
      <c r="T12055" s="98"/>
    </row>
    <row r="12056" spans="20:20" x14ac:dyDescent="0.25">
      <c r="T12056" s="98"/>
    </row>
    <row r="12057" spans="20:20" x14ac:dyDescent="0.25">
      <c r="T12057" s="98"/>
    </row>
    <row r="12058" spans="20:20" x14ac:dyDescent="0.25">
      <c r="T12058" s="98"/>
    </row>
    <row r="12059" spans="20:20" x14ac:dyDescent="0.25">
      <c r="T12059" s="98"/>
    </row>
    <row r="12060" spans="20:20" x14ac:dyDescent="0.25">
      <c r="T12060" s="98"/>
    </row>
    <row r="12061" spans="20:20" x14ac:dyDescent="0.25">
      <c r="T12061" s="98"/>
    </row>
    <row r="12062" spans="20:20" x14ac:dyDescent="0.25">
      <c r="T12062" s="98"/>
    </row>
    <row r="12063" spans="20:20" x14ac:dyDescent="0.25">
      <c r="T12063" s="98"/>
    </row>
    <row r="12064" spans="20:20" x14ac:dyDescent="0.25">
      <c r="T12064" s="98"/>
    </row>
    <row r="12065" spans="20:20" x14ac:dyDescent="0.25">
      <c r="T12065" s="98"/>
    </row>
    <row r="12066" spans="20:20" x14ac:dyDescent="0.25">
      <c r="T12066" s="98"/>
    </row>
    <row r="12067" spans="20:20" x14ac:dyDescent="0.25">
      <c r="T12067" s="98"/>
    </row>
    <row r="12068" spans="20:20" x14ac:dyDescent="0.25">
      <c r="T12068" s="98"/>
    </row>
    <row r="12069" spans="20:20" x14ac:dyDescent="0.25">
      <c r="T12069" s="98"/>
    </row>
    <row r="12070" spans="20:20" x14ac:dyDescent="0.25">
      <c r="T12070" s="98"/>
    </row>
    <row r="12071" spans="20:20" x14ac:dyDescent="0.25">
      <c r="T12071" s="98"/>
    </row>
    <row r="12072" spans="20:20" x14ac:dyDescent="0.25">
      <c r="T12072" s="98"/>
    </row>
    <row r="12073" spans="20:20" x14ac:dyDescent="0.25">
      <c r="T12073" s="98"/>
    </row>
    <row r="12074" spans="20:20" x14ac:dyDescent="0.25">
      <c r="T12074" s="98"/>
    </row>
    <row r="12075" spans="20:20" x14ac:dyDescent="0.25">
      <c r="T12075" s="98"/>
    </row>
    <row r="12076" spans="20:20" x14ac:dyDescent="0.25">
      <c r="T12076" s="98"/>
    </row>
    <row r="12077" spans="20:20" x14ac:dyDescent="0.25">
      <c r="T12077" s="98"/>
    </row>
    <row r="12078" spans="20:20" x14ac:dyDescent="0.25">
      <c r="T12078" s="98"/>
    </row>
    <row r="12079" spans="20:20" x14ac:dyDescent="0.25">
      <c r="T12079" s="98"/>
    </row>
    <row r="12080" spans="20:20" x14ac:dyDescent="0.25">
      <c r="T12080" s="98"/>
    </row>
    <row r="12081" spans="20:20" x14ac:dyDescent="0.25">
      <c r="T12081" s="98"/>
    </row>
    <row r="12082" spans="20:20" x14ac:dyDescent="0.25">
      <c r="T12082" s="98"/>
    </row>
    <row r="12083" spans="20:20" x14ac:dyDescent="0.25">
      <c r="T12083" s="98"/>
    </row>
    <row r="12084" spans="20:20" x14ac:dyDescent="0.25">
      <c r="T12084" s="98"/>
    </row>
    <row r="12085" spans="20:20" x14ac:dyDescent="0.25">
      <c r="T12085" s="98"/>
    </row>
    <row r="12086" spans="20:20" x14ac:dyDescent="0.25">
      <c r="T12086" s="98"/>
    </row>
    <row r="12087" spans="20:20" x14ac:dyDescent="0.25">
      <c r="T12087" s="98"/>
    </row>
    <row r="12088" spans="20:20" x14ac:dyDescent="0.25">
      <c r="T12088" s="98"/>
    </row>
    <row r="12089" spans="20:20" x14ac:dyDescent="0.25">
      <c r="T12089" s="98"/>
    </row>
    <row r="12090" spans="20:20" x14ac:dyDescent="0.25">
      <c r="T12090" s="98"/>
    </row>
    <row r="12091" spans="20:20" x14ac:dyDescent="0.25">
      <c r="T12091" s="98"/>
    </row>
    <row r="12092" spans="20:20" x14ac:dyDescent="0.25">
      <c r="T12092" s="98"/>
    </row>
    <row r="12093" spans="20:20" x14ac:dyDescent="0.25">
      <c r="T12093" s="98"/>
    </row>
    <row r="12094" spans="20:20" x14ac:dyDescent="0.25">
      <c r="T12094" s="98"/>
    </row>
    <row r="12095" spans="20:20" x14ac:dyDescent="0.25">
      <c r="T12095" s="98"/>
    </row>
    <row r="12096" spans="20:20" x14ac:dyDescent="0.25">
      <c r="T12096" s="98"/>
    </row>
    <row r="12097" spans="20:20" x14ac:dyDescent="0.25">
      <c r="T12097" s="98"/>
    </row>
    <row r="12098" spans="20:20" x14ac:dyDescent="0.25">
      <c r="T12098" s="98"/>
    </row>
    <row r="12099" spans="20:20" x14ac:dyDescent="0.25">
      <c r="T12099" s="98"/>
    </row>
    <row r="12100" spans="20:20" x14ac:dyDescent="0.25">
      <c r="T12100" s="98"/>
    </row>
    <row r="12101" spans="20:20" x14ac:dyDescent="0.25">
      <c r="T12101" s="98"/>
    </row>
    <row r="12102" spans="20:20" x14ac:dyDescent="0.25">
      <c r="T12102" s="98"/>
    </row>
    <row r="12103" spans="20:20" x14ac:dyDescent="0.25">
      <c r="T12103" s="98"/>
    </row>
    <row r="12104" spans="20:20" x14ac:dyDescent="0.25">
      <c r="T12104" s="98"/>
    </row>
    <row r="12105" spans="20:20" x14ac:dyDescent="0.25">
      <c r="T12105" s="98"/>
    </row>
    <row r="12106" spans="20:20" x14ac:dyDescent="0.25">
      <c r="T12106" s="98"/>
    </row>
    <row r="12107" spans="20:20" x14ac:dyDescent="0.25">
      <c r="T12107" s="98"/>
    </row>
    <row r="12108" spans="20:20" x14ac:dyDescent="0.25">
      <c r="T12108" s="98"/>
    </row>
    <row r="12109" spans="20:20" x14ac:dyDescent="0.25">
      <c r="T12109" s="98"/>
    </row>
    <row r="12110" spans="20:20" x14ac:dyDescent="0.25">
      <c r="T12110" s="98"/>
    </row>
    <row r="12111" spans="20:20" x14ac:dyDescent="0.25">
      <c r="T12111" s="98"/>
    </row>
    <row r="12112" spans="20:20" x14ac:dyDescent="0.25">
      <c r="T12112" s="98"/>
    </row>
    <row r="12113" spans="20:20" x14ac:dyDescent="0.25">
      <c r="T12113" s="98"/>
    </row>
    <row r="12114" spans="20:20" x14ac:dyDescent="0.25">
      <c r="T12114" s="98"/>
    </row>
    <row r="12115" spans="20:20" x14ac:dyDescent="0.25">
      <c r="T12115" s="98"/>
    </row>
    <row r="12116" spans="20:20" x14ac:dyDescent="0.25">
      <c r="T12116" s="98"/>
    </row>
    <row r="12117" spans="20:20" x14ac:dyDescent="0.25">
      <c r="T12117" s="98"/>
    </row>
    <row r="12118" spans="20:20" x14ac:dyDescent="0.25">
      <c r="T12118" s="98"/>
    </row>
    <row r="12119" spans="20:20" x14ac:dyDescent="0.25">
      <c r="T12119" s="98"/>
    </row>
    <row r="12120" spans="20:20" x14ac:dyDescent="0.25">
      <c r="T12120" s="98"/>
    </row>
    <row r="12121" spans="20:20" x14ac:dyDescent="0.25">
      <c r="T12121" s="98"/>
    </row>
    <row r="12122" spans="20:20" x14ac:dyDescent="0.25">
      <c r="T12122" s="98"/>
    </row>
    <row r="12123" spans="20:20" x14ac:dyDescent="0.25">
      <c r="T12123" s="98"/>
    </row>
    <row r="12124" spans="20:20" x14ac:dyDescent="0.25">
      <c r="T12124" s="98"/>
    </row>
    <row r="12125" spans="20:20" x14ac:dyDescent="0.25">
      <c r="T12125" s="98"/>
    </row>
    <row r="12126" spans="20:20" x14ac:dyDescent="0.25">
      <c r="T12126" s="98"/>
    </row>
    <row r="12127" spans="20:20" x14ac:dyDescent="0.25">
      <c r="T12127" s="98"/>
    </row>
    <row r="12128" spans="20:20" x14ac:dyDescent="0.25">
      <c r="T12128" s="98"/>
    </row>
    <row r="12129" spans="20:20" x14ac:dyDescent="0.25">
      <c r="T12129" s="98"/>
    </row>
    <row r="12130" spans="20:20" x14ac:dyDescent="0.25">
      <c r="T12130" s="98"/>
    </row>
    <row r="12131" spans="20:20" x14ac:dyDescent="0.25">
      <c r="T12131" s="98"/>
    </row>
    <row r="12132" spans="20:20" x14ac:dyDescent="0.25">
      <c r="T12132" s="98"/>
    </row>
    <row r="12133" spans="20:20" x14ac:dyDescent="0.25">
      <c r="T12133" s="98"/>
    </row>
    <row r="12134" spans="20:20" x14ac:dyDescent="0.25">
      <c r="T12134" s="98"/>
    </row>
    <row r="12135" spans="20:20" x14ac:dyDescent="0.25">
      <c r="T12135" s="98"/>
    </row>
    <row r="12136" spans="20:20" x14ac:dyDescent="0.25">
      <c r="T12136" s="98"/>
    </row>
    <row r="12137" spans="20:20" x14ac:dyDescent="0.25">
      <c r="T12137" s="98"/>
    </row>
    <row r="12138" spans="20:20" x14ac:dyDescent="0.25">
      <c r="T12138" s="98"/>
    </row>
    <row r="12139" spans="20:20" x14ac:dyDescent="0.25">
      <c r="T12139" s="98"/>
    </row>
    <row r="12140" spans="20:20" x14ac:dyDescent="0.25">
      <c r="T12140" s="98"/>
    </row>
    <row r="12141" spans="20:20" x14ac:dyDescent="0.25">
      <c r="T12141" s="98"/>
    </row>
    <row r="12142" spans="20:20" x14ac:dyDescent="0.25">
      <c r="T12142" s="98"/>
    </row>
    <row r="12143" spans="20:20" x14ac:dyDescent="0.25">
      <c r="T12143" s="98"/>
    </row>
    <row r="12144" spans="20:20" x14ac:dyDescent="0.25">
      <c r="T12144" s="98"/>
    </row>
    <row r="12145" spans="20:20" x14ac:dyDescent="0.25">
      <c r="T12145" s="98"/>
    </row>
    <row r="12146" spans="20:20" x14ac:dyDescent="0.25">
      <c r="T12146" s="98"/>
    </row>
    <row r="12147" spans="20:20" x14ac:dyDescent="0.25">
      <c r="T12147" s="98"/>
    </row>
    <row r="12148" spans="20:20" x14ac:dyDescent="0.25">
      <c r="T12148" s="98"/>
    </row>
    <row r="12149" spans="20:20" x14ac:dyDescent="0.25">
      <c r="T12149" s="98"/>
    </row>
    <row r="12150" spans="20:20" x14ac:dyDescent="0.25">
      <c r="T12150" s="98"/>
    </row>
    <row r="12151" spans="20:20" x14ac:dyDescent="0.25">
      <c r="T12151" s="98"/>
    </row>
    <row r="12152" spans="20:20" x14ac:dyDescent="0.25">
      <c r="T12152" s="98"/>
    </row>
    <row r="12153" spans="20:20" x14ac:dyDescent="0.25">
      <c r="T12153" s="98"/>
    </row>
    <row r="12154" spans="20:20" x14ac:dyDescent="0.25">
      <c r="T12154" s="98"/>
    </row>
    <row r="12155" spans="20:20" x14ac:dyDescent="0.25">
      <c r="T12155" s="98"/>
    </row>
    <row r="12156" spans="20:20" x14ac:dyDescent="0.25">
      <c r="T12156" s="98"/>
    </row>
    <row r="12157" spans="20:20" x14ac:dyDescent="0.25">
      <c r="T12157" s="98"/>
    </row>
    <row r="12158" spans="20:20" x14ac:dyDescent="0.25">
      <c r="T12158" s="98"/>
    </row>
    <row r="12159" spans="20:20" x14ac:dyDescent="0.25">
      <c r="T12159" s="98"/>
    </row>
    <row r="12160" spans="20:20" x14ac:dyDescent="0.25">
      <c r="T12160" s="98"/>
    </row>
    <row r="12161" spans="20:20" x14ac:dyDescent="0.25">
      <c r="T12161" s="98"/>
    </row>
    <row r="12162" spans="20:20" x14ac:dyDescent="0.25">
      <c r="T12162" s="98"/>
    </row>
    <row r="12163" spans="20:20" x14ac:dyDescent="0.25">
      <c r="T12163" s="98"/>
    </row>
    <row r="12164" spans="20:20" x14ac:dyDescent="0.25">
      <c r="T12164" s="98"/>
    </row>
    <row r="12165" spans="20:20" x14ac:dyDescent="0.25">
      <c r="T12165" s="98"/>
    </row>
    <row r="12166" spans="20:20" x14ac:dyDescent="0.25">
      <c r="T12166" s="98"/>
    </row>
    <row r="12167" spans="20:20" x14ac:dyDescent="0.25">
      <c r="T12167" s="98"/>
    </row>
    <row r="12168" spans="20:20" x14ac:dyDescent="0.25">
      <c r="T12168" s="98"/>
    </row>
    <row r="12169" spans="20:20" x14ac:dyDescent="0.25">
      <c r="T12169" s="98"/>
    </row>
    <row r="12170" spans="20:20" x14ac:dyDescent="0.25">
      <c r="T12170" s="98"/>
    </row>
    <row r="12171" spans="20:20" x14ac:dyDescent="0.25">
      <c r="T12171" s="98"/>
    </row>
    <row r="12172" spans="20:20" x14ac:dyDescent="0.25">
      <c r="T12172" s="98"/>
    </row>
    <row r="12173" spans="20:20" x14ac:dyDescent="0.25">
      <c r="T12173" s="98"/>
    </row>
    <row r="12174" spans="20:20" x14ac:dyDescent="0.25">
      <c r="T12174" s="98"/>
    </row>
    <row r="12175" spans="20:20" x14ac:dyDescent="0.25">
      <c r="T12175" s="98"/>
    </row>
    <row r="12176" spans="20:20" x14ac:dyDescent="0.25">
      <c r="T12176" s="98"/>
    </row>
    <row r="12177" spans="20:20" x14ac:dyDescent="0.25">
      <c r="T12177" s="98"/>
    </row>
    <row r="12178" spans="20:20" x14ac:dyDescent="0.25">
      <c r="T12178" s="98"/>
    </row>
    <row r="12179" spans="20:20" x14ac:dyDescent="0.25">
      <c r="T12179" s="98"/>
    </row>
    <row r="12180" spans="20:20" x14ac:dyDescent="0.25">
      <c r="T12180" s="98"/>
    </row>
    <row r="12181" spans="20:20" x14ac:dyDescent="0.25">
      <c r="T12181" s="98"/>
    </row>
    <row r="12182" spans="20:20" x14ac:dyDescent="0.25">
      <c r="T12182" s="98"/>
    </row>
    <row r="12183" spans="20:20" x14ac:dyDescent="0.25">
      <c r="T12183" s="98"/>
    </row>
    <row r="12184" spans="20:20" x14ac:dyDescent="0.25">
      <c r="T12184" s="98"/>
    </row>
    <row r="12185" spans="20:20" x14ac:dyDescent="0.25">
      <c r="T12185" s="98"/>
    </row>
    <row r="12186" spans="20:20" x14ac:dyDescent="0.25">
      <c r="T12186" s="98"/>
    </row>
    <row r="12187" spans="20:20" x14ac:dyDescent="0.25">
      <c r="T12187" s="98"/>
    </row>
    <row r="12188" spans="20:20" x14ac:dyDescent="0.25">
      <c r="T12188" s="98"/>
    </row>
    <row r="12189" spans="20:20" x14ac:dyDescent="0.25">
      <c r="T12189" s="98"/>
    </row>
    <row r="12190" spans="20:20" x14ac:dyDescent="0.25">
      <c r="T12190" s="98"/>
    </row>
    <row r="12191" spans="20:20" x14ac:dyDescent="0.25">
      <c r="T12191" s="98"/>
    </row>
    <row r="12192" spans="20:20" x14ac:dyDescent="0.25">
      <c r="T12192" s="98"/>
    </row>
    <row r="12193" spans="20:20" x14ac:dyDescent="0.25">
      <c r="T12193" s="98"/>
    </row>
    <row r="12194" spans="20:20" x14ac:dyDescent="0.25">
      <c r="T12194" s="98"/>
    </row>
    <row r="12195" spans="20:20" x14ac:dyDescent="0.25">
      <c r="T12195" s="98"/>
    </row>
    <row r="12196" spans="20:20" x14ac:dyDescent="0.25">
      <c r="T12196" s="98"/>
    </row>
    <row r="12197" spans="20:20" x14ac:dyDescent="0.25">
      <c r="T12197" s="98"/>
    </row>
    <row r="12198" spans="20:20" x14ac:dyDescent="0.25">
      <c r="T12198" s="98"/>
    </row>
    <row r="12199" spans="20:20" x14ac:dyDescent="0.25">
      <c r="T12199" s="98"/>
    </row>
    <row r="12200" spans="20:20" x14ac:dyDescent="0.25">
      <c r="T12200" s="98"/>
    </row>
    <row r="12201" spans="20:20" x14ac:dyDescent="0.25">
      <c r="T12201" s="98"/>
    </row>
    <row r="12202" spans="20:20" x14ac:dyDescent="0.25">
      <c r="T12202" s="98"/>
    </row>
    <row r="12203" spans="20:20" x14ac:dyDescent="0.25">
      <c r="T12203" s="98"/>
    </row>
    <row r="12204" spans="20:20" x14ac:dyDescent="0.25">
      <c r="T12204" s="98"/>
    </row>
    <row r="12205" spans="20:20" x14ac:dyDescent="0.25">
      <c r="T12205" s="98"/>
    </row>
    <row r="12206" spans="20:20" x14ac:dyDescent="0.25">
      <c r="T12206" s="98"/>
    </row>
    <row r="12207" spans="20:20" x14ac:dyDescent="0.25">
      <c r="T12207" s="98"/>
    </row>
    <row r="12208" spans="20:20" x14ac:dyDescent="0.25">
      <c r="T12208" s="98"/>
    </row>
    <row r="12209" spans="20:20" x14ac:dyDescent="0.25">
      <c r="T12209" s="98"/>
    </row>
    <row r="12210" spans="20:20" x14ac:dyDescent="0.25">
      <c r="T12210" s="98"/>
    </row>
    <row r="12211" spans="20:20" x14ac:dyDescent="0.25">
      <c r="T12211" s="98"/>
    </row>
    <row r="12212" spans="20:20" x14ac:dyDescent="0.25">
      <c r="T12212" s="98"/>
    </row>
    <row r="12213" spans="20:20" x14ac:dyDescent="0.25">
      <c r="T12213" s="98"/>
    </row>
    <row r="12214" spans="20:20" x14ac:dyDescent="0.25">
      <c r="T12214" s="98"/>
    </row>
    <row r="12215" spans="20:20" x14ac:dyDescent="0.25">
      <c r="T12215" s="98"/>
    </row>
    <row r="12216" spans="20:20" x14ac:dyDescent="0.25">
      <c r="T12216" s="98"/>
    </row>
    <row r="12217" spans="20:20" x14ac:dyDescent="0.25">
      <c r="T12217" s="98"/>
    </row>
    <row r="12218" spans="20:20" x14ac:dyDescent="0.25">
      <c r="T12218" s="98"/>
    </row>
    <row r="12219" spans="20:20" x14ac:dyDescent="0.25">
      <c r="T12219" s="98"/>
    </row>
    <row r="12220" spans="20:20" x14ac:dyDescent="0.25">
      <c r="T12220" s="98"/>
    </row>
    <row r="12221" spans="20:20" x14ac:dyDescent="0.25">
      <c r="T12221" s="98"/>
    </row>
    <row r="12222" spans="20:20" x14ac:dyDescent="0.25">
      <c r="T12222" s="98"/>
    </row>
    <row r="12223" spans="20:20" x14ac:dyDescent="0.25">
      <c r="T12223" s="98"/>
    </row>
    <row r="12224" spans="20:20" x14ac:dyDescent="0.25">
      <c r="T12224" s="98"/>
    </row>
    <row r="12225" spans="20:20" x14ac:dyDescent="0.25">
      <c r="T12225" s="98"/>
    </row>
    <row r="12226" spans="20:20" x14ac:dyDescent="0.25">
      <c r="T12226" s="98"/>
    </row>
    <row r="12227" spans="20:20" x14ac:dyDescent="0.25">
      <c r="T12227" s="98"/>
    </row>
    <row r="12228" spans="20:20" x14ac:dyDescent="0.25">
      <c r="T12228" s="98"/>
    </row>
    <row r="12229" spans="20:20" x14ac:dyDescent="0.25">
      <c r="T12229" s="98"/>
    </row>
    <row r="12230" spans="20:20" x14ac:dyDescent="0.25">
      <c r="T12230" s="98"/>
    </row>
    <row r="12231" spans="20:20" x14ac:dyDescent="0.25">
      <c r="T12231" s="98"/>
    </row>
    <row r="12232" spans="20:20" x14ac:dyDescent="0.25">
      <c r="T12232" s="98"/>
    </row>
    <row r="12233" spans="20:20" x14ac:dyDescent="0.25">
      <c r="T12233" s="98"/>
    </row>
    <row r="12234" spans="20:20" x14ac:dyDescent="0.25">
      <c r="T12234" s="98"/>
    </row>
    <row r="12235" spans="20:20" x14ac:dyDescent="0.25">
      <c r="T12235" s="98"/>
    </row>
    <row r="12236" spans="20:20" x14ac:dyDescent="0.25">
      <c r="T12236" s="98"/>
    </row>
    <row r="12237" spans="20:20" x14ac:dyDescent="0.25">
      <c r="T12237" s="98"/>
    </row>
    <row r="12238" spans="20:20" x14ac:dyDescent="0.25">
      <c r="T12238" s="98"/>
    </row>
    <row r="12239" spans="20:20" x14ac:dyDescent="0.25">
      <c r="T12239" s="98"/>
    </row>
    <row r="12240" spans="20:20" x14ac:dyDescent="0.25">
      <c r="T12240" s="98"/>
    </row>
    <row r="12241" spans="20:20" x14ac:dyDescent="0.25">
      <c r="T12241" s="98"/>
    </row>
    <row r="12242" spans="20:20" x14ac:dyDescent="0.25">
      <c r="T12242" s="98"/>
    </row>
    <row r="12243" spans="20:20" x14ac:dyDescent="0.25">
      <c r="T12243" s="98"/>
    </row>
    <row r="12244" spans="20:20" x14ac:dyDescent="0.25">
      <c r="T12244" s="98"/>
    </row>
    <row r="12245" spans="20:20" x14ac:dyDescent="0.25">
      <c r="T12245" s="98"/>
    </row>
    <row r="12246" spans="20:20" x14ac:dyDescent="0.25">
      <c r="T12246" s="98"/>
    </row>
    <row r="12247" spans="20:20" x14ac:dyDescent="0.25">
      <c r="T12247" s="98"/>
    </row>
    <row r="12248" spans="20:20" x14ac:dyDescent="0.25">
      <c r="T12248" s="98"/>
    </row>
    <row r="12249" spans="20:20" x14ac:dyDescent="0.25">
      <c r="T12249" s="98"/>
    </row>
    <row r="12250" spans="20:20" x14ac:dyDescent="0.25">
      <c r="T12250" s="98"/>
    </row>
    <row r="12251" spans="20:20" x14ac:dyDescent="0.25">
      <c r="T12251" s="98"/>
    </row>
    <row r="12252" spans="20:20" x14ac:dyDescent="0.25">
      <c r="T12252" s="98"/>
    </row>
    <row r="12253" spans="20:20" x14ac:dyDescent="0.25">
      <c r="T12253" s="98"/>
    </row>
    <row r="12254" spans="20:20" x14ac:dyDescent="0.25">
      <c r="T12254" s="98"/>
    </row>
    <row r="12255" spans="20:20" x14ac:dyDescent="0.25">
      <c r="T12255" s="98"/>
    </row>
    <row r="12256" spans="20:20" x14ac:dyDescent="0.25">
      <c r="T12256" s="98"/>
    </row>
    <row r="12257" spans="20:20" x14ac:dyDescent="0.25">
      <c r="T12257" s="98"/>
    </row>
    <row r="12258" spans="20:20" x14ac:dyDescent="0.25">
      <c r="T12258" s="98"/>
    </row>
    <row r="12259" spans="20:20" x14ac:dyDescent="0.25">
      <c r="T12259" s="98"/>
    </row>
    <row r="12260" spans="20:20" x14ac:dyDescent="0.25">
      <c r="T12260" s="98"/>
    </row>
    <row r="12261" spans="20:20" x14ac:dyDescent="0.25">
      <c r="T12261" s="98"/>
    </row>
    <row r="12262" spans="20:20" x14ac:dyDescent="0.25">
      <c r="T12262" s="98"/>
    </row>
    <row r="12263" spans="20:20" x14ac:dyDescent="0.25">
      <c r="T12263" s="98"/>
    </row>
    <row r="12264" spans="20:20" x14ac:dyDescent="0.25">
      <c r="T12264" s="98"/>
    </row>
    <row r="12265" spans="20:20" x14ac:dyDescent="0.25">
      <c r="T12265" s="98"/>
    </row>
    <row r="12266" spans="20:20" x14ac:dyDescent="0.25">
      <c r="T12266" s="98"/>
    </row>
    <row r="12267" spans="20:20" x14ac:dyDescent="0.25">
      <c r="T12267" s="98"/>
    </row>
    <row r="12268" spans="20:20" x14ac:dyDescent="0.25">
      <c r="T12268" s="98"/>
    </row>
    <row r="12269" spans="20:20" x14ac:dyDescent="0.25">
      <c r="T12269" s="98"/>
    </row>
    <row r="12270" spans="20:20" x14ac:dyDescent="0.25">
      <c r="T12270" s="98"/>
    </row>
    <row r="12271" spans="20:20" x14ac:dyDescent="0.25">
      <c r="T12271" s="98"/>
    </row>
    <row r="12272" spans="20:20" x14ac:dyDescent="0.25">
      <c r="T12272" s="98"/>
    </row>
    <row r="12273" spans="20:20" x14ac:dyDescent="0.25">
      <c r="T12273" s="98"/>
    </row>
    <row r="12274" spans="20:20" x14ac:dyDescent="0.25">
      <c r="T12274" s="98"/>
    </row>
    <row r="12275" spans="20:20" x14ac:dyDescent="0.25">
      <c r="T12275" s="98"/>
    </row>
    <row r="12276" spans="20:20" x14ac:dyDescent="0.25">
      <c r="T12276" s="98"/>
    </row>
    <row r="12277" spans="20:20" x14ac:dyDescent="0.25">
      <c r="T12277" s="98"/>
    </row>
    <row r="12278" spans="20:20" x14ac:dyDescent="0.25">
      <c r="T12278" s="98"/>
    </row>
    <row r="12279" spans="20:20" x14ac:dyDescent="0.25">
      <c r="T12279" s="98"/>
    </row>
    <row r="12280" spans="20:20" x14ac:dyDescent="0.25">
      <c r="T12280" s="98"/>
    </row>
    <row r="12281" spans="20:20" x14ac:dyDescent="0.25">
      <c r="T12281" s="98"/>
    </row>
    <row r="12282" spans="20:20" x14ac:dyDescent="0.25">
      <c r="T12282" s="98"/>
    </row>
    <row r="12283" spans="20:20" x14ac:dyDescent="0.25">
      <c r="T12283" s="98"/>
    </row>
    <row r="12284" spans="20:20" x14ac:dyDescent="0.25">
      <c r="T12284" s="98"/>
    </row>
    <row r="12285" spans="20:20" x14ac:dyDescent="0.25">
      <c r="T12285" s="98"/>
    </row>
    <row r="12286" spans="20:20" x14ac:dyDescent="0.25">
      <c r="T12286" s="98"/>
    </row>
    <row r="12287" spans="20:20" x14ac:dyDescent="0.25">
      <c r="T12287" s="98"/>
    </row>
    <row r="12288" spans="20:20" x14ac:dyDescent="0.25">
      <c r="T12288" s="98"/>
    </row>
    <row r="12289" spans="20:20" x14ac:dyDescent="0.25">
      <c r="T12289" s="98"/>
    </row>
    <row r="12290" spans="20:20" x14ac:dyDescent="0.25">
      <c r="T12290" s="98"/>
    </row>
    <row r="12291" spans="20:20" x14ac:dyDescent="0.25">
      <c r="T12291" s="98"/>
    </row>
    <row r="12292" spans="20:20" x14ac:dyDescent="0.25">
      <c r="T12292" s="98"/>
    </row>
    <row r="12293" spans="20:20" x14ac:dyDescent="0.25">
      <c r="T12293" s="98"/>
    </row>
    <row r="12294" spans="20:20" x14ac:dyDescent="0.25">
      <c r="T12294" s="98"/>
    </row>
    <row r="12295" spans="20:20" x14ac:dyDescent="0.25">
      <c r="T12295" s="98"/>
    </row>
    <row r="12296" spans="20:20" x14ac:dyDescent="0.25">
      <c r="T12296" s="98"/>
    </row>
    <row r="12297" spans="20:20" x14ac:dyDescent="0.25">
      <c r="T12297" s="98"/>
    </row>
    <row r="12298" spans="20:20" x14ac:dyDescent="0.25">
      <c r="T12298" s="98"/>
    </row>
    <row r="12299" spans="20:20" x14ac:dyDescent="0.25">
      <c r="T12299" s="98"/>
    </row>
    <row r="12300" spans="20:20" x14ac:dyDescent="0.25">
      <c r="T12300" s="98"/>
    </row>
    <row r="12301" spans="20:20" x14ac:dyDescent="0.25">
      <c r="T12301" s="98"/>
    </row>
    <row r="12302" spans="20:20" x14ac:dyDescent="0.25">
      <c r="T12302" s="98"/>
    </row>
    <row r="12303" spans="20:20" x14ac:dyDescent="0.25">
      <c r="T12303" s="98"/>
    </row>
    <row r="12304" spans="20:20" x14ac:dyDescent="0.25">
      <c r="T12304" s="98"/>
    </row>
    <row r="12305" spans="20:20" x14ac:dyDescent="0.25">
      <c r="T12305" s="98"/>
    </row>
    <row r="12306" spans="20:20" x14ac:dyDescent="0.25">
      <c r="T12306" s="98"/>
    </row>
    <row r="12307" spans="20:20" x14ac:dyDescent="0.25">
      <c r="T12307" s="98"/>
    </row>
    <row r="12308" spans="20:20" x14ac:dyDescent="0.25">
      <c r="T12308" s="98"/>
    </row>
    <row r="12309" spans="20:20" x14ac:dyDescent="0.25">
      <c r="T12309" s="98"/>
    </row>
    <row r="12310" spans="20:20" x14ac:dyDescent="0.25">
      <c r="T12310" s="98"/>
    </row>
    <row r="12311" spans="20:20" x14ac:dyDescent="0.25">
      <c r="T12311" s="98"/>
    </row>
    <row r="12312" spans="20:20" x14ac:dyDescent="0.25">
      <c r="T12312" s="98"/>
    </row>
    <row r="12313" spans="20:20" x14ac:dyDescent="0.25">
      <c r="T12313" s="98"/>
    </row>
    <row r="12314" spans="20:20" x14ac:dyDescent="0.25">
      <c r="T12314" s="98"/>
    </row>
    <row r="12315" spans="20:20" x14ac:dyDescent="0.25">
      <c r="T12315" s="98"/>
    </row>
    <row r="12316" spans="20:20" x14ac:dyDescent="0.25">
      <c r="T12316" s="98"/>
    </row>
    <row r="12317" spans="20:20" x14ac:dyDescent="0.25">
      <c r="T12317" s="98"/>
    </row>
    <row r="12318" spans="20:20" x14ac:dyDescent="0.25">
      <c r="T12318" s="98"/>
    </row>
    <row r="12319" spans="20:20" x14ac:dyDescent="0.25">
      <c r="T12319" s="98"/>
    </row>
    <row r="12320" spans="20:20" x14ac:dyDescent="0.25">
      <c r="T12320" s="98"/>
    </row>
    <row r="12321" spans="20:20" x14ac:dyDescent="0.25">
      <c r="T12321" s="98"/>
    </row>
    <row r="12322" spans="20:20" x14ac:dyDescent="0.25">
      <c r="T12322" s="98"/>
    </row>
    <row r="12323" spans="20:20" x14ac:dyDescent="0.25">
      <c r="T12323" s="98"/>
    </row>
    <row r="12324" spans="20:20" x14ac:dyDescent="0.25">
      <c r="T12324" s="98"/>
    </row>
    <row r="12325" spans="20:20" x14ac:dyDescent="0.25">
      <c r="T12325" s="98"/>
    </row>
    <row r="12326" spans="20:20" x14ac:dyDescent="0.25">
      <c r="T12326" s="98"/>
    </row>
    <row r="12327" spans="20:20" x14ac:dyDescent="0.25">
      <c r="T12327" s="98"/>
    </row>
    <row r="12328" spans="20:20" x14ac:dyDescent="0.25">
      <c r="T12328" s="98"/>
    </row>
    <row r="12329" spans="20:20" x14ac:dyDescent="0.25">
      <c r="T12329" s="98"/>
    </row>
    <row r="12330" spans="20:20" x14ac:dyDescent="0.25">
      <c r="T12330" s="98"/>
    </row>
    <row r="12331" spans="20:20" x14ac:dyDescent="0.25">
      <c r="T12331" s="98"/>
    </row>
    <row r="12332" spans="20:20" x14ac:dyDescent="0.25">
      <c r="T12332" s="98"/>
    </row>
    <row r="12333" spans="20:20" x14ac:dyDescent="0.25">
      <c r="T12333" s="98"/>
    </row>
    <row r="12334" spans="20:20" x14ac:dyDescent="0.25">
      <c r="T12334" s="98"/>
    </row>
    <row r="12335" spans="20:20" x14ac:dyDescent="0.25">
      <c r="T12335" s="98"/>
    </row>
    <row r="12336" spans="20:20" x14ac:dyDescent="0.25">
      <c r="T12336" s="98"/>
    </row>
    <row r="12337" spans="20:20" x14ac:dyDescent="0.25">
      <c r="T12337" s="98"/>
    </row>
    <row r="12338" spans="20:20" x14ac:dyDescent="0.25">
      <c r="T12338" s="98"/>
    </row>
    <row r="12339" spans="20:20" x14ac:dyDescent="0.25">
      <c r="T12339" s="98"/>
    </row>
    <row r="12340" spans="20:20" x14ac:dyDescent="0.25">
      <c r="T12340" s="98"/>
    </row>
    <row r="12341" spans="20:20" x14ac:dyDescent="0.25">
      <c r="T12341" s="98"/>
    </row>
    <row r="12342" spans="20:20" x14ac:dyDescent="0.25">
      <c r="T12342" s="98"/>
    </row>
    <row r="12343" spans="20:20" x14ac:dyDescent="0.25">
      <c r="T12343" s="98"/>
    </row>
    <row r="12344" spans="20:20" x14ac:dyDescent="0.25">
      <c r="T12344" s="98"/>
    </row>
    <row r="12345" spans="20:20" x14ac:dyDescent="0.25">
      <c r="T12345" s="98"/>
    </row>
    <row r="12346" spans="20:20" x14ac:dyDescent="0.25">
      <c r="T12346" s="98"/>
    </row>
    <row r="12347" spans="20:20" x14ac:dyDescent="0.25">
      <c r="T12347" s="98"/>
    </row>
    <row r="12348" spans="20:20" x14ac:dyDescent="0.25">
      <c r="T12348" s="98"/>
    </row>
    <row r="12349" spans="20:20" x14ac:dyDescent="0.25">
      <c r="T12349" s="98"/>
    </row>
    <row r="12350" spans="20:20" x14ac:dyDescent="0.25">
      <c r="T12350" s="98"/>
    </row>
    <row r="12351" spans="20:20" x14ac:dyDescent="0.25">
      <c r="T12351" s="98"/>
    </row>
    <row r="12352" spans="20:20" x14ac:dyDescent="0.25">
      <c r="T12352" s="98"/>
    </row>
    <row r="12353" spans="20:20" x14ac:dyDescent="0.25">
      <c r="T12353" s="98"/>
    </row>
    <row r="12354" spans="20:20" x14ac:dyDescent="0.25">
      <c r="T12354" s="98"/>
    </row>
    <row r="12355" spans="20:20" x14ac:dyDescent="0.25">
      <c r="T12355" s="98"/>
    </row>
    <row r="12356" spans="20:20" x14ac:dyDescent="0.25">
      <c r="T12356" s="98"/>
    </row>
    <row r="12357" spans="20:20" x14ac:dyDescent="0.25">
      <c r="T12357" s="98"/>
    </row>
    <row r="12358" spans="20:20" x14ac:dyDescent="0.25">
      <c r="T12358" s="98"/>
    </row>
    <row r="12359" spans="20:20" x14ac:dyDescent="0.25">
      <c r="T12359" s="98"/>
    </row>
    <row r="12360" spans="20:20" x14ac:dyDescent="0.25">
      <c r="T12360" s="98"/>
    </row>
    <row r="12361" spans="20:20" x14ac:dyDescent="0.25">
      <c r="T12361" s="98"/>
    </row>
    <row r="12362" spans="20:20" x14ac:dyDescent="0.25">
      <c r="T12362" s="98"/>
    </row>
    <row r="12363" spans="20:20" x14ac:dyDescent="0.25">
      <c r="T12363" s="98"/>
    </row>
    <row r="12364" spans="20:20" x14ac:dyDescent="0.25">
      <c r="T12364" s="98"/>
    </row>
    <row r="12365" spans="20:20" x14ac:dyDescent="0.25">
      <c r="T12365" s="98"/>
    </row>
    <row r="12366" spans="20:20" x14ac:dyDescent="0.25">
      <c r="T12366" s="98"/>
    </row>
    <row r="12367" spans="20:20" x14ac:dyDescent="0.25">
      <c r="T12367" s="98"/>
    </row>
    <row r="12368" spans="20:20" x14ac:dyDescent="0.25">
      <c r="T12368" s="98"/>
    </row>
    <row r="12369" spans="20:20" x14ac:dyDescent="0.25">
      <c r="T12369" s="98"/>
    </row>
    <row r="12370" spans="20:20" x14ac:dyDescent="0.25">
      <c r="T12370" s="98"/>
    </row>
    <row r="12371" spans="20:20" x14ac:dyDescent="0.25">
      <c r="T12371" s="98"/>
    </row>
    <row r="12372" spans="20:20" x14ac:dyDescent="0.25">
      <c r="T12372" s="98"/>
    </row>
    <row r="12373" spans="20:20" x14ac:dyDescent="0.25">
      <c r="T12373" s="98"/>
    </row>
    <row r="12374" spans="20:20" x14ac:dyDescent="0.25">
      <c r="T12374" s="98"/>
    </row>
    <row r="12375" spans="20:20" x14ac:dyDescent="0.25">
      <c r="T12375" s="98"/>
    </row>
    <row r="12376" spans="20:20" x14ac:dyDescent="0.25">
      <c r="T12376" s="98"/>
    </row>
    <row r="12377" spans="20:20" x14ac:dyDescent="0.25">
      <c r="T12377" s="98"/>
    </row>
    <row r="12378" spans="20:20" x14ac:dyDescent="0.25">
      <c r="T12378" s="98"/>
    </row>
    <row r="12379" spans="20:20" x14ac:dyDescent="0.25">
      <c r="T12379" s="98"/>
    </row>
    <row r="12380" spans="20:20" x14ac:dyDescent="0.25">
      <c r="T12380" s="98"/>
    </row>
    <row r="12381" spans="20:20" x14ac:dyDescent="0.25">
      <c r="T12381" s="98"/>
    </row>
    <row r="12382" spans="20:20" x14ac:dyDescent="0.25">
      <c r="T12382" s="98"/>
    </row>
    <row r="12383" spans="20:20" x14ac:dyDescent="0.25">
      <c r="T12383" s="98"/>
    </row>
    <row r="12384" spans="20:20" x14ac:dyDescent="0.25">
      <c r="T12384" s="98"/>
    </row>
    <row r="12385" spans="20:20" x14ac:dyDescent="0.25">
      <c r="T12385" s="98"/>
    </row>
    <row r="12386" spans="20:20" x14ac:dyDescent="0.25">
      <c r="T12386" s="98"/>
    </row>
    <row r="12387" spans="20:20" x14ac:dyDescent="0.25">
      <c r="T12387" s="98"/>
    </row>
    <row r="12388" spans="20:20" x14ac:dyDescent="0.25">
      <c r="T12388" s="98"/>
    </row>
    <row r="12389" spans="20:20" x14ac:dyDescent="0.25">
      <c r="T12389" s="98"/>
    </row>
    <row r="12390" spans="20:20" x14ac:dyDescent="0.25">
      <c r="T12390" s="98"/>
    </row>
    <row r="12391" spans="20:20" x14ac:dyDescent="0.25">
      <c r="T12391" s="98"/>
    </row>
    <row r="12392" spans="20:20" x14ac:dyDescent="0.25">
      <c r="T12392" s="98"/>
    </row>
    <row r="12393" spans="20:20" x14ac:dyDescent="0.25">
      <c r="T12393" s="98"/>
    </row>
    <row r="12394" spans="20:20" x14ac:dyDescent="0.25">
      <c r="T12394" s="98"/>
    </row>
    <row r="12395" spans="20:20" x14ac:dyDescent="0.25">
      <c r="T12395" s="98"/>
    </row>
    <row r="12396" spans="20:20" x14ac:dyDescent="0.25">
      <c r="T12396" s="98"/>
    </row>
    <row r="12397" spans="20:20" x14ac:dyDescent="0.25">
      <c r="T12397" s="98"/>
    </row>
    <row r="12398" spans="20:20" x14ac:dyDescent="0.25">
      <c r="T12398" s="98"/>
    </row>
    <row r="12399" spans="20:20" x14ac:dyDescent="0.25">
      <c r="T12399" s="98"/>
    </row>
    <row r="12400" spans="20:20" x14ac:dyDescent="0.25">
      <c r="T12400" s="98"/>
    </row>
    <row r="12401" spans="20:20" x14ac:dyDescent="0.25">
      <c r="T12401" s="98"/>
    </row>
    <row r="12402" spans="20:20" x14ac:dyDescent="0.25">
      <c r="T12402" s="98"/>
    </row>
    <row r="12403" spans="20:20" x14ac:dyDescent="0.25">
      <c r="T12403" s="98"/>
    </row>
    <row r="12404" spans="20:20" x14ac:dyDescent="0.25">
      <c r="T12404" s="98"/>
    </row>
    <row r="12405" spans="20:20" x14ac:dyDescent="0.25">
      <c r="T12405" s="98"/>
    </row>
    <row r="12406" spans="20:20" x14ac:dyDescent="0.25">
      <c r="T12406" s="98"/>
    </row>
    <row r="12407" spans="20:20" x14ac:dyDescent="0.25">
      <c r="T12407" s="98"/>
    </row>
    <row r="12408" spans="20:20" x14ac:dyDescent="0.25">
      <c r="T12408" s="98"/>
    </row>
    <row r="12409" spans="20:20" x14ac:dyDescent="0.25">
      <c r="T12409" s="98"/>
    </row>
    <row r="12410" spans="20:20" x14ac:dyDescent="0.25">
      <c r="T12410" s="98"/>
    </row>
    <row r="12411" spans="20:20" x14ac:dyDescent="0.25">
      <c r="T12411" s="98"/>
    </row>
    <row r="12412" spans="20:20" x14ac:dyDescent="0.25">
      <c r="T12412" s="98"/>
    </row>
    <row r="12413" spans="20:20" x14ac:dyDescent="0.25">
      <c r="T12413" s="98"/>
    </row>
    <row r="12414" spans="20:20" x14ac:dyDescent="0.25">
      <c r="T12414" s="98"/>
    </row>
    <row r="12415" spans="20:20" x14ac:dyDescent="0.25">
      <c r="T12415" s="98"/>
    </row>
    <row r="12416" spans="20:20" x14ac:dyDescent="0.25">
      <c r="T12416" s="98"/>
    </row>
    <row r="12417" spans="20:20" x14ac:dyDescent="0.25">
      <c r="T12417" s="98"/>
    </row>
    <row r="12418" spans="20:20" x14ac:dyDescent="0.25">
      <c r="T12418" s="98"/>
    </row>
    <row r="12419" spans="20:20" x14ac:dyDescent="0.25">
      <c r="T12419" s="98"/>
    </row>
    <row r="12420" spans="20:20" x14ac:dyDescent="0.25">
      <c r="T12420" s="98"/>
    </row>
    <row r="12421" spans="20:20" x14ac:dyDescent="0.25">
      <c r="T12421" s="98"/>
    </row>
    <row r="12422" spans="20:20" x14ac:dyDescent="0.25">
      <c r="T12422" s="98"/>
    </row>
    <row r="12423" spans="20:20" x14ac:dyDescent="0.25">
      <c r="T12423" s="98"/>
    </row>
    <row r="12424" spans="20:20" x14ac:dyDescent="0.25">
      <c r="T12424" s="98"/>
    </row>
    <row r="12425" spans="20:20" x14ac:dyDescent="0.25">
      <c r="T12425" s="98"/>
    </row>
    <row r="12426" spans="20:20" x14ac:dyDescent="0.25">
      <c r="T12426" s="98"/>
    </row>
    <row r="12427" spans="20:20" x14ac:dyDescent="0.25">
      <c r="T12427" s="98"/>
    </row>
    <row r="12428" spans="20:20" x14ac:dyDescent="0.25">
      <c r="T12428" s="98"/>
    </row>
    <row r="12429" spans="20:20" x14ac:dyDescent="0.25">
      <c r="T12429" s="98"/>
    </row>
    <row r="12430" spans="20:20" x14ac:dyDescent="0.25">
      <c r="T12430" s="98"/>
    </row>
    <row r="12431" spans="20:20" x14ac:dyDescent="0.25">
      <c r="T12431" s="98"/>
    </row>
    <row r="12432" spans="20:20" x14ac:dyDescent="0.25">
      <c r="T12432" s="98"/>
    </row>
    <row r="12433" spans="20:20" x14ac:dyDescent="0.25">
      <c r="T12433" s="98"/>
    </row>
    <row r="12434" spans="20:20" x14ac:dyDescent="0.25">
      <c r="T12434" s="98"/>
    </row>
    <row r="12435" spans="20:20" x14ac:dyDescent="0.25">
      <c r="T12435" s="98"/>
    </row>
    <row r="12436" spans="20:20" x14ac:dyDescent="0.25">
      <c r="T12436" s="98"/>
    </row>
    <row r="12437" spans="20:20" x14ac:dyDescent="0.25">
      <c r="T12437" s="98"/>
    </row>
    <row r="12438" spans="20:20" x14ac:dyDescent="0.25">
      <c r="T12438" s="98"/>
    </row>
    <row r="12439" spans="20:20" x14ac:dyDescent="0.25">
      <c r="T12439" s="98"/>
    </row>
    <row r="12440" spans="20:20" x14ac:dyDescent="0.25">
      <c r="T12440" s="98"/>
    </row>
    <row r="12441" spans="20:20" x14ac:dyDescent="0.25">
      <c r="T12441" s="98"/>
    </row>
    <row r="12442" spans="20:20" x14ac:dyDescent="0.25">
      <c r="T12442" s="98"/>
    </row>
    <row r="12443" spans="20:20" x14ac:dyDescent="0.25">
      <c r="T12443" s="98"/>
    </row>
    <row r="12444" spans="20:20" x14ac:dyDescent="0.25">
      <c r="T12444" s="98"/>
    </row>
    <row r="12445" spans="20:20" x14ac:dyDescent="0.25">
      <c r="T12445" s="98"/>
    </row>
    <row r="12446" spans="20:20" x14ac:dyDescent="0.25">
      <c r="T12446" s="98"/>
    </row>
    <row r="12447" spans="20:20" x14ac:dyDescent="0.25">
      <c r="T12447" s="98"/>
    </row>
    <row r="12448" spans="20:20" x14ac:dyDescent="0.25">
      <c r="T12448" s="98"/>
    </row>
    <row r="12449" spans="20:20" x14ac:dyDescent="0.25">
      <c r="T12449" s="98"/>
    </row>
    <row r="12450" spans="20:20" x14ac:dyDescent="0.25">
      <c r="T12450" s="98"/>
    </row>
    <row r="12451" spans="20:20" x14ac:dyDescent="0.25">
      <c r="T12451" s="98"/>
    </row>
    <row r="12452" spans="20:20" x14ac:dyDescent="0.25">
      <c r="T12452" s="98"/>
    </row>
    <row r="12453" spans="20:20" x14ac:dyDescent="0.25">
      <c r="T12453" s="98"/>
    </row>
    <row r="12454" spans="20:20" x14ac:dyDescent="0.25">
      <c r="T12454" s="98"/>
    </row>
    <row r="12455" spans="20:20" x14ac:dyDescent="0.25">
      <c r="T12455" s="98"/>
    </row>
    <row r="12456" spans="20:20" x14ac:dyDescent="0.25">
      <c r="T12456" s="98"/>
    </row>
    <row r="12457" spans="20:20" x14ac:dyDescent="0.25">
      <c r="T12457" s="98"/>
    </row>
    <row r="12458" spans="20:20" x14ac:dyDescent="0.25">
      <c r="T12458" s="98"/>
    </row>
    <row r="12459" spans="20:20" x14ac:dyDescent="0.25">
      <c r="T12459" s="98"/>
    </row>
    <row r="12460" spans="20:20" x14ac:dyDescent="0.25">
      <c r="T12460" s="98"/>
    </row>
    <row r="12461" spans="20:20" x14ac:dyDescent="0.25">
      <c r="T12461" s="98"/>
    </row>
    <row r="12462" spans="20:20" x14ac:dyDescent="0.25">
      <c r="T12462" s="98"/>
    </row>
    <row r="12463" spans="20:20" x14ac:dyDescent="0.25">
      <c r="T12463" s="98"/>
    </row>
    <row r="12464" spans="20:20" x14ac:dyDescent="0.25">
      <c r="T12464" s="98"/>
    </row>
    <row r="12465" spans="20:20" x14ac:dyDescent="0.25">
      <c r="T12465" s="98"/>
    </row>
    <row r="12466" spans="20:20" x14ac:dyDescent="0.25">
      <c r="T12466" s="98"/>
    </row>
    <row r="12467" spans="20:20" x14ac:dyDescent="0.25">
      <c r="T12467" s="98"/>
    </row>
    <row r="12468" spans="20:20" x14ac:dyDescent="0.25">
      <c r="T12468" s="98"/>
    </row>
    <row r="12469" spans="20:20" x14ac:dyDescent="0.25">
      <c r="T12469" s="98"/>
    </row>
    <row r="12470" spans="20:20" x14ac:dyDescent="0.25">
      <c r="T12470" s="98"/>
    </row>
    <row r="12471" spans="20:20" x14ac:dyDescent="0.25">
      <c r="T12471" s="98"/>
    </row>
    <row r="12472" spans="20:20" x14ac:dyDescent="0.25">
      <c r="T12472" s="98"/>
    </row>
    <row r="12473" spans="20:20" x14ac:dyDescent="0.25">
      <c r="T12473" s="98"/>
    </row>
    <row r="12474" spans="20:20" x14ac:dyDescent="0.25">
      <c r="T12474" s="98"/>
    </row>
    <row r="12475" spans="20:20" x14ac:dyDescent="0.25">
      <c r="T12475" s="98"/>
    </row>
    <row r="12476" spans="20:20" x14ac:dyDescent="0.25">
      <c r="T12476" s="98"/>
    </row>
    <row r="12477" spans="20:20" x14ac:dyDescent="0.25">
      <c r="T12477" s="98"/>
    </row>
    <row r="12478" spans="20:20" x14ac:dyDescent="0.25">
      <c r="T12478" s="98"/>
    </row>
    <row r="12479" spans="20:20" x14ac:dyDescent="0.25">
      <c r="T12479" s="98"/>
    </row>
    <row r="12480" spans="20:20" x14ac:dyDescent="0.25">
      <c r="T12480" s="98"/>
    </row>
    <row r="12481" spans="20:20" x14ac:dyDescent="0.25">
      <c r="T12481" s="98"/>
    </row>
    <row r="12482" spans="20:20" x14ac:dyDescent="0.25">
      <c r="T12482" s="98"/>
    </row>
    <row r="12483" spans="20:20" x14ac:dyDescent="0.25">
      <c r="T12483" s="98"/>
    </row>
    <row r="12484" spans="20:20" x14ac:dyDescent="0.25">
      <c r="T12484" s="98"/>
    </row>
    <row r="12485" spans="20:20" x14ac:dyDescent="0.25">
      <c r="T12485" s="98"/>
    </row>
    <row r="12486" spans="20:20" x14ac:dyDescent="0.25">
      <c r="T12486" s="98"/>
    </row>
    <row r="12487" spans="20:20" x14ac:dyDescent="0.25">
      <c r="T12487" s="98"/>
    </row>
    <row r="12488" spans="20:20" x14ac:dyDescent="0.25">
      <c r="T12488" s="98"/>
    </row>
    <row r="12489" spans="20:20" x14ac:dyDescent="0.25">
      <c r="T12489" s="98"/>
    </row>
    <row r="12490" spans="20:20" x14ac:dyDescent="0.25">
      <c r="T12490" s="98"/>
    </row>
    <row r="12491" spans="20:20" x14ac:dyDescent="0.25">
      <c r="T12491" s="98"/>
    </row>
    <row r="12492" spans="20:20" x14ac:dyDescent="0.25">
      <c r="T12492" s="98"/>
    </row>
    <row r="12493" spans="20:20" x14ac:dyDescent="0.25">
      <c r="T12493" s="98"/>
    </row>
    <row r="12494" spans="20:20" x14ac:dyDescent="0.25">
      <c r="T12494" s="98"/>
    </row>
    <row r="12495" spans="20:20" x14ac:dyDescent="0.25">
      <c r="T12495" s="98"/>
    </row>
    <row r="12496" spans="20:20" x14ac:dyDescent="0.25">
      <c r="T12496" s="98"/>
    </row>
    <row r="12497" spans="20:20" x14ac:dyDescent="0.25">
      <c r="T12497" s="98"/>
    </row>
    <row r="12498" spans="20:20" x14ac:dyDescent="0.25">
      <c r="T12498" s="98"/>
    </row>
    <row r="12499" spans="20:20" x14ac:dyDescent="0.25">
      <c r="T12499" s="98"/>
    </row>
    <row r="12500" spans="20:20" x14ac:dyDescent="0.25">
      <c r="T12500" s="98"/>
    </row>
    <row r="12501" spans="20:20" x14ac:dyDescent="0.25">
      <c r="T12501" s="98"/>
    </row>
    <row r="12502" spans="20:20" x14ac:dyDescent="0.25">
      <c r="T12502" s="98"/>
    </row>
    <row r="12503" spans="20:20" x14ac:dyDescent="0.25">
      <c r="T12503" s="98"/>
    </row>
    <row r="12504" spans="20:20" x14ac:dyDescent="0.25">
      <c r="T12504" s="98"/>
    </row>
    <row r="12505" spans="20:20" x14ac:dyDescent="0.25">
      <c r="T12505" s="98"/>
    </row>
    <row r="12506" spans="20:20" x14ac:dyDescent="0.25">
      <c r="T12506" s="98"/>
    </row>
    <row r="12507" spans="20:20" x14ac:dyDescent="0.25">
      <c r="T12507" s="98"/>
    </row>
    <row r="12508" spans="20:20" x14ac:dyDescent="0.25">
      <c r="T12508" s="98"/>
    </row>
    <row r="12509" spans="20:20" x14ac:dyDescent="0.25">
      <c r="T12509" s="98"/>
    </row>
    <row r="12510" spans="20:20" x14ac:dyDescent="0.25">
      <c r="T12510" s="98"/>
    </row>
    <row r="12511" spans="20:20" x14ac:dyDescent="0.25">
      <c r="T12511" s="98"/>
    </row>
    <row r="12512" spans="20:20" x14ac:dyDescent="0.25">
      <c r="T12512" s="98"/>
    </row>
    <row r="12513" spans="20:20" x14ac:dyDescent="0.25">
      <c r="T12513" s="98"/>
    </row>
    <row r="12514" spans="20:20" x14ac:dyDescent="0.25">
      <c r="T12514" s="98"/>
    </row>
    <row r="12515" spans="20:20" x14ac:dyDescent="0.25">
      <c r="T12515" s="98"/>
    </row>
    <row r="12516" spans="20:20" x14ac:dyDescent="0.25">
      <c r="T12516" s="98"/>
    </row>
    <row r="12517" spans="20:20" x14ac:dyDescent="0.25">
      <c r="T12517" s="98"/>
    </row>
    <row r="12518" spans="20:20" x14ac:dyDescent="0.25">
      <c r="T12518" s="98"/>
    </row>
    <row r="12519" spans="20:20" x14ac:dyDescent="0.25">
      <c r="T12519" s="98"/>
    </row>
    <row r="12520" spans="20:20" x14ac:dyDescent="0.25">
      <c r="T12520" s="98"/>
    </row>
    <row r="12521" spans="20:20" x14ac:dyDescent="0.25">
      <c r="T12521" s="98"/>
    </row>
    <row r="12522" spans="20:20" x14ac:dyDescent="0.25">
      <c r="T12522" s="98"/>
    </row>
    <row r="12523" spans="20:20" x14ac:dyDescent="0.25">
      <c r="T12523" s="98"/>
    </row>
    <row r="12524" spans="20:20" x14ac:dyDescent="0.25">
      <c r="T12524" s="98"/>
    </row>
    <row r="12525" spans="20:20" x14ac:dyDescent="0.25">
      <c r="T12525" s="98"/>
    </row>
    <row r="12526" spans="20:20" x14ac:dyDescent="0.25">
      <c r="T12526" s="98"/>
    </row>
    <row r="12527" spans="20:20" x14ac:dyDescent="0.25">
      <c r="T12527" s="98"/>
    </row>
    <row r="12528" spans="20:20" x14ac:dyDescent="0.25">
      <c r="T12528" s="98"/>
    </row>
    <row r="12529" spans="20:20" x14ac:dyDescent="0.25">
      <c r="T12529" s="98"/>
    </row>
    <row r="12530" spans="20:20" x14ac:dyDescent="0.25">
      <c r="T12530" s="98"/>
    </row>
    <row r="12531" spans="20:20" x14ac:dyDescent="0.25">
      <c r="T12531" s="98"/>
    </row>
    <row r="12532" spans="20:20" x14ac:dyDescent="0.25">
      <c r="T12532" s="98"/>
    </row>
    <row r="12533" spans="20:20" x14ac:dyDescent="0.25">
      <c r="T12533" s="98"/>
    </row>
    <row r="12534" spans="20:20" x14ac:dyDescent="0.25">
      <c r="T12534" s="98"/>
    </row>
    <row r="12535" spans="20:20" x14ac:dyDescent="0.25">
      <c r="T12535" s="98"/>
    </row>
    <row r="12536" spans="20:20" x14ac:dyDescent="0.25">
      <c r="T12536" s="98"/>
    </row>
    <row r="12537" spans="20:20" x14ac:dyDescent="0.25">
      <c r="T12537" s="98"/>
    </row>
    <row r="12538" spans="20:20" x14ac:dyDescent="0.25">
      <c r="T12538" s="98"/>
    </row>
    <row r="12539" spans="20:20" x14ac:dyDescent="0.25">
      <c r="T12539" s="98"/>
    </row>
    <row r="12540" spans="20:20" x14ac:dyDescent="0.25">
      <c r="T12540" s="98"/>
    </row>
    <row r="12541" spans="20:20" x14ac:dyDescent="0.25">
      <c r="T12541" s="98"/>
    </row>
    <row r="12542" spans="20:20" x14ac:dyDescent="0.25">
      <c r="T12542" s="98"/>
    </row>
    <row r="12543" spans="20:20" x14ac:dyDescent="0.25">
      <c r="T12543" s="98"/>
    </row>
    <row r="12544" spans="20:20" x14ac:dyDescent="0.25">
      <c r="T12544" s="98"/>
    </row>
    <row r="12545" spans="20:20" x14ac:dyDescent="0.25">
      <c r="T12545" s="98"/>
    </row>
    <row r="12546" spans="20:20" x14ac:dyDescent="0.25">
      <c r="T12546" s="98"/>
    </row>
    <row r="12547" spans="20:20" x14ac:dyDescent="0.25">
      <c r="T12547" s="98"/>
    </row>
    <row r="12548" spans="20:20" x14ac:dyDescent="0.25">
      <c r="T12548" s="98"/>
    </row>
    <row r="12549" spans="20:20" x14ac:dyDescent="0.25">
      <c r="T12549" s="98"/>
    </row>
    <row r="12550" spans="20:20" x14ac:dyDescent="0.25">
      <c r="T12550" s="98"/>
    </row>
    <row r="12551" spans="20:20" x14ac:dyDescent="0.25">
      <c r="T12551" s="98"/>
    </row>
    <row r="12552" spans="20:20" x14ac:dyDescent="0.25">
      <c r="T12552" s="98"/>
    </row>
    <row r="12553" spans="20:20" x14ac:dyDescent="0.25">
      <c r="T12553" s="98"/>
    </row>
    <row r="12554" spans="20:20" x14ac:dyDescent="0.25">
      <c r="T12554" s="98"/>
    </row>
    <row r="12555" spans="20:20" x14ac:dyDescent="0.25">
      <c r="T12555" s="98"/>
    </row>
    <row r="12556" spans="20:20" x14ac:dyDescent="0.25">
      <c r="T12556" s="98"/>
    </row>
    <row r="12557" spans="20:20" x14ac:dyDescent="0.25">
      <c r="T12557" s="98"/>
    </row>
    <row r="12558" spans="20:20" x14ac:dyDescent="0.25">
      <c r="T12558" s="98"/>
    </row>
    <row r="12559" spans="20:20" x14ac:dyDescent="0.25">
      <c r="T12559" s="98"/>
    </row>
    <row r="12560" spans="20:20" x14ac:dyDescent="0.25">
      <c r="T12560" s="98"/>
    </row>
    <row r="12561" spans="20:20" x14ac:dyDescent="0.25">
      <c r="T12561" s="98"/>
    </row>
    <row r="12562" spans="20:20" x14ac:dyDescent="0.25">
      <c r="T12562" s="98"/>
    </row>
    <row r="12563" spans="20:20" x14ac:dyDescent="0.25">
      <c r="T12563" s="98"/>
    </row>
    <row r="12564" spans="20:20" x14ac:dyDescent="0.25">
      <c r="T12564" s="98"/>
    </row>
    <row r="12565" spans="20:20" x14ac:dyDescent="0.25">
      <c r="T12565" s="98"/>
    </row>
    <row r="12566" spans="20:20" x14ac:dyDescent="0.25">
      <c r="T12566" s="98"/>
    </row>
    <row r="12567" spans="20:20" x14ac:dyDescent="0.25">
      <c r="T12567" s="98"/>
    </row>
    <row r="12568" spans="20:20" x14ac:dyDescent="0.25">
      <c r="T12568" s="98"/>
    </row>
    <row r="12569" spans="20:20" x14ac:dyDescent="0.25">
      <c r="T12569" s="98"/>
    </row>
    <row r="12570" spans="20:20" x14ac:dyDescent="0.25">
      <c r="T12570" s="98"/>
    </row>
    <row r="12571" spans="20:20" x14ac:dyDescent="0.25">
      <c r="T12571" s="98"/>
    </row>
    <row r="12572" spans="20:20" x14ac:dyDescent="0.25">
      <c r="T12572" s="98"/>
    </row>
    <row r="12573" spans="20:20" x14ac:dyDescent="0.25">
      <c r="T12573" s="98"/>
    </row>
    <row r="12574" spans="20:20" x14ac:dyDescent="0.25">
      <c r="T12574" s="98"/>
    </row>
    <row r="12575" spans="20:20" x14ac:dyDescent="0.25">
      <c r="T12575" s="98"/>
    </row>
    <row r="12576" spans="20:20" x14ac:dyDescent="0.25">
      <c r="T12576" s="98"/>
    </row>
    <row r="12577" spans="20:20" x14ac:dyDescent="0.25">
      <c r="T12577" s="98"/>
    </row>
    <row r="12578" spans="20:20" x14ac:dyDescent="0.25">
      <c r="T12578" s="98"/>
    </row>
    <row r="12579" spans="20:20" x14ac:dyDescent="0.25">
      <c r="T12579" s="98"/>
    </row>
    <row r="12580" spans="20:20" x14ac:dyDescent="0.25">
      <c r="T12580" s="98"/>
    </row>
    <row r="12581" spans="20:20" x14ac:dyDescent="0.25">
      <c r="T12581" s="98"/>
    </row>
    <row r="12582" spans="20:20" x14ac:dyDescent="0.25">
      <c r="T12582" s="98"/>
    </row>
    <row r="12583" spans="20:20" x14ac:dyDescent="0.25">
      <c r="T12583" s="98"/>
    </row>
    <row r="12584" spans="20:20" x14ac:dyDescent="0.25">
      <c r="T12584" s="98"/>
    </row>
    <row r="12585" spans="20:20" x14ac:dyDescent="0.25">
      <c r="T12585" s="98"/>
    </row>
    <row r="12586" spans="20:20" x14ac:dyDescent="0.25">
      <c r="T12586" s="98"/>
    </row>
    <row r="12587" spans="20:20" x14ac:dyDescent="0.25">
      <c r="T12587" s="98"/>
    </row>
    <row r="12588" spans="20:20" x14ac:dyDescent="0.25">
      <c r="T12588" s="98"/>
    </row>
    <row r="12589" spans="20:20" x14ac:dyDescent="0.25">
      <c r="T12589" s="98"/>
    </row>
    <row r="12590" spans="20:20" x14ac:dyDescent="0.25">
      <c r="T12590" s="98"/>
    </row>
    <row r="12591" spans="20:20" x14ac:dyDescent="0.25">
      <c r="T12591" s="98"/>
    </row>
    <row r="12592" spans="20:20" x14ac:dyDescent="0.25">
      <c r="T12592" s="98"/>
    </row>
    <row r="12593" spans="20:20" x14ac:dyDescent="0.25">
      <c r="T12593" s="98"/>
    </row>
    <row r="12594" spans="20:20" x14ac:dyDescent="0.25">
      <c r="T12594" s="98"/>
    </row>
    <row r="12595" spans="20:20" x14ac:dyDescent="0.25">
      <c r="T12595" s="98"/>
    </row>
    <row r="12596" spans="20:20" x14ac:dyDescent="0.25">
      <c r="T12596" s="98"/>
    </row>
    <row r="12597" spans="20:20" x14ac:dyDescent="0.25">
      <c r="T12597" s="98"/>
    </row>
    <row r="12598" spans="20:20" x14ac:dyDescent="0.25">
      <c r="T12598" s="98"/>
    </row>
    <row r="12599" spans="20:20" x14ac:dyDescent="0.25">
      <c r="T12599" s="98"/>
    </row>
    <row r="12600" spans="20:20" x14ac:dyDescent="0.25">
      <c r="T12600" s="98"/>
    </row>
    <row r="12601" spans="20:20" x14ac:dyDescent="0.25">
      <c r="T12601" s="98"/>
    </row>
    <row r="12602" spans="20:20" x14ac:dyDescent="0.25">
      <c r="T12602" s="98"/>
    </row>
    <row r="12603" spans="20:20" x14ac:dyDescent="0.25">
      <c r="T12603" s="98"/>
    </row>
    <row r="12604" spans="20:20" x14ac:dyDescent="0.25">
      <c r="T12604" s="98"/>
    </row>
    <row r="12605" spans="20:20" x14ac:dyDescent="0.25">
      <c r="T12605" s="98"/>
    </row>
    <row r="12606" spans="20:20" x14ac:dyDescent="0.25">
      <c r="T12606" s="98"/>
    </row>
    <row r="12607" spans="20:20" x14ac:dyDescent="0.25">
      <c r="T12607" s="98"/>
    </row>
    <row r="12608" spans="20:20" x14ac:dyDescent="0.25">
      <c r="T12608" s="98"/>
    </row>
    <row r="12609" spans="20:20" x14ac:dyDescent="0.25">
      <c r="T12609" s="98"/>
    </row>
    <row r="12610" spans="20:20" x14ac:dyDescent="0.25">
      <c r="T12610" s="98"/>
    </row>
    <row r="12611" spans="20:20" x14ac:dyDescent="0.25">
      <c r="T12611" s="98"/>
    </row>
    <row r="12612" spans="20:20" x14ac:dyDescent="0.25">
      <c r="T12612" s="98"/>
    </row>
    <row r="12613" spans="20:20" x14ac:dyDescent="0.25">
      <c r="T12613" s="98"/>
    </row>
    <row r="12614" spans="20:20" x14ac:dyDescent="0.25">
      <c r="T12614" s="98"/>
    </row>
    <row r="12615" spans="20:20" x14ac:dyDescent="0.25">
      <c r="T12615" s="98"/>
    </row>
    <row r="12616" spans="20:20" x14ac:dyDescent="0.25">
      <c r="T12616" s="98"/>
    </row>
    <row r="12617" spans="20:20" x14ac:dyDescent="0.25">
      <c r="T12617" s="98"/>
    </row>
    <row r="12618" spans="20:20" x14ac:dyDescent="0.25">
      <c r="T12618" s="98"/>
    </row>
    <row r="12619" spans="20:20" x14ac:dyDescent="0.25">
      <c r="T12619" s="98"/>
    </row>
    <row r="12620" spans="20:20" x14ac:dyDescent="0.25">
      <c r="T12620" s="98"/>
    </row>
    <row r="12621" spans="20:20" x14ac:dyDescent="0.25">
      <c r="T12621" s="98"/>
    </row>
    <row r="12622" spans="20:20" x14ac:dyDescent="0.25">
      <c r="T12622" s="98"/>
    </row>
    <row r="12623" spans="20:20" x14ac:dyDescent="0.25">
      <c r="T12623" s="98"/>
    </row>
    <row r="12624" spans="20:20" x14ac:dyDescent="0.25">
      <c r="T12624" s="98"/>
    </row>
    <row r="12625" spans="20:20" x14ac:dyDescent="0.25">
      <c r="T12625" s="98"/>
    </row>
    <row r="12626" spans="20:20" x14ac:dyDescent="0.25">
      <c r="T12626" s="98"/>
    </row>
    <row r="12627" spans="20:20" x14ac:dyDescent="0.25">
      <c r="T12627" s="98"/>
    </row>
    <row r="12628" spans="20:20" x14ac:dyDescent="0.25">
      <c r="T12628" s="98"/>
    </row>
    <row r="12629" spans="20:20" x14ac:dyDescent="0.25">
      <c r="T12629" s="98"/>
    </row>
    <row r="12630" spans="20:20" x14ac:dyDescent="0.25">
      <c r="T12630" s="98"/>
    </row>
    <row r="12631" spans="20:20" x14ac:dyDescent="0.25">
      <c r="T12631" s="98"/>
    </row>
    <row r="12632" spans="20:20" x14ac:dyDescent="0.25">
      <c r="T12632" s="98"/>
    </row>
    <row r="12633" spans="20:20" x14ac:dyDescent="0.25">
      <c r="T12633" s="98"/>
    </row>
    <row r="12634" spans="20:20" x14ac:dyDescent="0.25">
      <c r="T12634" s="98"/>
    </row>
    <row r="12635" spans="20:20" x14ac:dyDescent="0.25">
      <c r="T12635" s="98"/>
    </row>
    <row r="12636" spans="20:20" x14ac:dyDescent="0.25">
      <c r="T12636" s="98"/>
    </row>
    <row r="12637" spans="20:20" x14ac:dyDescent="0.25">
      <c r="T12637" s="98"/>
    </row>
    <row r="12638" spans="20:20" x14ac:dyDescent="0.25">
      <c r="T12638" s="98"/>
    </row>
    <row r="12639" spans="20:20" x14ac:dyDescent="0.25">
      <c r="T12639" s="98"/>
    </row>
    <row r="12640" spans="20:20" x14ac:dyDescent="0.25">
      <c r="T12640" s="98"/>
    </row>
    <row r="12641" spans="20:20" x14ac:dyDescent="0.25">
      <c r="T12641" s="98"/>
    </row>
    <row r="12642" spans="20:20" x14ac:dyDescent="0.25">
      <c r="T12642" s="98"/>
    </row>
    <row r="12643" spans="20:20" x14ac:dyDescent="0.25">
      <c r="T12643" s="98"/>
    </row>
    <row r="12644" spans="20:20" x14ac:dyDescent="0.25">
      <c r="T12644" s="98"/>
    </row>
    <row r="12645" spans="20:20" x14ac:dyDescent="0.25">
      <c r="T12645" s="98"/>
    </row>
    <row r="12646" spans="20:20" x14ac:dyDescent="0.25">
      <c r="T12646" s="98"/>
    </row>
    <row r="12647" spans="20:20" x14ac:dyDescent="0.25">
      <c r="T12647" s="98"/>
    </row>
    <row r="12648" spans="20:20" x14ac:dyDescent="0.25">
      <c r="T12648" s="98"/>
    </row>
    <row r="12649" spans="20:20" x14ac:dyDescent="0.25">
      <c r="T12649" s="98"/>
    </row>
    <row r="12650" spans="20:20" x14ac:dyDescent="0.25">
      <c r="T12650" s="98"/>
    </row>
    <row r="12651" spans="20:20" x14ac:dyDescent="0.25">
      <c r="T12651" s="98"/>
    </row>
    <row r="12652" spans="20:20" x14ac:dyDescent="0.25">
      <c r="T12652" s="98"/>
    </row>
    <row r="12653" spans="20:20" x14ac:dyDescent="0.25">
      <c r="T12653" s="98"/>
    </row>
    <row r="12654" spans="20:20" x14ac:dyDescent="0.25">
      <c r="T12654" s="98"/>
    </row>
    <row r="12655" spans="20:20" x14ac:dyDescent="0.25">
      <c r="T12655" s="98"/>
    </row>
    <row r="12656" spans="20:20" x14ac:dyDescent="0.25">
      <c r="T12656" s="98"/>
    </row>
    <row r="12657" spans="20:20" x14ac:dyDescent="0.25">
      <c r="T12657" s="98"/>
    </row>
    <row r="12658" spans="20:20" x14ac:dyDescent="0.25">
      <c r="T12658" s="98"/>
    </row>
    <row r="12659" spans="20:20" x14ac:dyDescent="0.25">
      <c r="T12659" s="98"/>
    </row>
    <row r="12660" spans="20:20" x14ac:dyDescent="0.25">
      <c r="T12660" s="98"/>
    </row>
    <row r="12661" spans="20:20" x14ac:dyDescent="0.25">
      <c r="T12661" s="98"/>
    </row>
    <row r="12662" spans="20:20" x14ac:dyDescent="0.25">
      <c r="T12662" s="98"/>
    </row>
    <row r="12663" spans="20:20" x14ac:dyDescent="0.25">
      <c r="T12663" s="98"/>
    </row>
    <row r="12664" spans="20:20" x14ac:dyDescent="0.25">
      <c r="T12664" s="98"/>
    </row>
    <row r="12665" spans="20:20" x14ac:dyDescent="0.25">
      <c r="T12665" s="98"/>
    </row>
    <row r="12666" spans="20:20" x14ac:dyDescent="0.25">
      <c r="T12666" s="98"/>
    </row>
    <row r="12667" spans="20:20" x14ac:dyDescent="0.25">
      <c r="T12667" s="98"/>
    </row>
    <row r="12668" spans="20:20" x14ac:dyDescent="0.25">
      <c r="T12668" s="98"/>
    </row>
    <row r="12669" spans="20:20" x14ac:dyDescent="0.25">
      <c r="T12669" s="98"/>
    </row>
    <row r="12670" spans="20:20" x14ac:dyDescent="0.25">
      <c r="T12670" s="98"/>
    </row>
    <row r="12671" spans="20:20" x14ac:dyDescent="0.25">
      <c r="T12671" s="98"/>
    </row>
    <row r="12672" spans="20:20" x14ac:dyDescent="0.25">
      <c r="T12672" s="98"/>
    </row>
    <row r="12673" spans="20:20" x14ac:dyDescent="0.25">
      <c r="T12673" s="98"/>
    </row>
    <row r="12674" spans="20:20" x14ac:dyDescent="0.25">
      <c r="T12674" s="98"/>
    </row>
    <row r="12675" spans="20:20" x14ac:dyDescent="0.25">
      <c r="T12675" s="98"/>
    </row>
    <row r="12676" spans="20:20" x14ac:dyDescent="0.25">
      <c r="T12676" s="98"/>
    </row>
    <row r="12677" spans="20:20" x14ac:dyDescent="0.25">
      <c r="T12677" s="98"/>
    </row>
    <row r="12678" spans="20:20" x14ac:dyDescent="0.25">
      <c r="T12678" s="98"/>
    </row>
    <row r="12679" spans="20:20" x14ac:dyDescent="0.25">
      <c r="T12679" s="98"/>
    </row>
    <row r="12680" spans="20:20" x14ac:dyDescent="0.25">
      <c r="T12680" s="98"/>
    </row>
    <row r="12681" spans="20:20" x14ac:dyDescent="0.25">
      <c r="T12681" s="98"/>
    </row>
    <row r="12682" spans="20:20" x14ac:dyDescent="0.25">
      <c r="T12682" s="98"/>
    </row>
    <row r="12683" spans="20:20" x14ac:dyDescent="0.25">
      <c r="T12683" s="98"/>
    </row>
    <row r="12684" spans="20:20" x14ac:dyDescent="0.25">
      <c r="T12684" s="98"/>
    </row>
    <row r="12685" spans="20:20" x14ac:dyDescent="0.25">
      <c r="T12685" s="98"/>
    </row>
    <row r="12686" spans="20:20" x14ac:dyDescent="0.25">
      <c r="T12686" s="98"/>
    </row>
    <row r="12687" spans="20:20" x14ac:dyDescent="0.25">
      <c r="T12687" s="98"/>
    </row>
    <row r="12688" spans="20:20" x14ac:dyDescent="0.25">
      <c r="T12688" s="98"/>
    </row>
    <row r="12689" spans="20:20" x14ac:dyDescent="0.25">
      <c r="T12689" s="98"/>
    </row>
    <row r="12690" spans="20:20" x14ac:dyDescent="0.25">
      <c r="T12690" s="98"/>
    </row>
    <row r="12691" spans="20:20" x14ac:dyDescent="0.25">
      <c r="T12691" s="98"/>
    </row>
    <row r="12692" spans="20:20" x14ac:dyDescent="0.25">
      <c r="T12692" s="98"/>
    </row>
    <row r="12693" spans="20:20" x14ac:dyDescent="0.25">
      <c r="T12693" s="98"/>
    </row>
    <row r="12694" spans="20:20" x14ac:dyDescent="0.25">
      <c r="T12694" s="98"/>
    </row>
    <row r="12695" spans="20:20" x14ac:dyDescent="0.25">
      <c r="T12695" s="98"/>
    </row>
    <row r="12696" spans="20:20" x14ac:dyDescent="0.25">
      <c r="T12696" s="98"/>
    </row>
    <row r="12697" spans="20:20" x14ac:dyDescent="0.25">
      <c r="T12697" s="98"/>
    </row>
    <row r="12698" spans="20:20" x14ac:dyDescent="0.25">
      <c r="T12698" s="98"/>
    </row>
    <row r="12699" spans="20:20" x14ac:dyDescent="0.25">
      <c r="T12699" s="98"/>
    </row>
    <row r="12700" spans="20:20" x14ac:dyDescent="0.25">
      <c r="T12700" s="98"/>
    </row>
    <row r="12701" spans="20:20" x14ac:dyDescent="0.25">
      <c r="T12701" s="98"/>
    </row>
    <row r="12702" spans="20:20" x14ac:dyDescent="0.25">
      <c r="T12702" s="98"/>
    </row>
    <row r="12703" spans="20:20" x14ac:dyDescent="0.25">
      <c r="T12703" s="98"/>
    </row>
    <row r="12704" spans="20:20" x14ac:dyDescent="0.25">
      <c r="T12704" s="98"/>
    </row>
    <row r="12705" spans="20:20" x14ac:dyDescent="0.25">
      <c r="T12705" s="98"/>
    </row>
    <row r="12706" spans="20:20" x14ac:dyDescent="0.25">
      <c r="T12706" s="98"/>
    </row>
    <row r="12707" spans="20:20" x14ac:dyDescent="0.25">
      <c r="T12707" s="98"/>
    </row>
    <row r="12708" spans="20:20" x14ac:dyDescent="0.25">
      <c r="T12708" s="98"/>
    </row>
    <row r="12709" spans="20:20" x14ac:dyDescent="0.25">
      <c r="T12709" s="98"/>
    </row>
    <row r="12710" spans="20:20" x14ac:dyDescent="0.25">
      <c r="T12710" s="98"/>
    </row>
    <row r="12711" spans="20:20" x14ac:dyDescent="0.25">
      <c r="T12711" s="98"/>
    </row>
    <row r="12712" spans="20:20" x14ac:dyDescent="0.25">
      <c r="T12712" s="98"/>
    </row>
    <row r="12713" spans="20:20" x14ac:dyDescent="0.25">
      <c r="T12713" s="98"/>
    </row>
    <row r="12714" spans="20:20" x14ac:dyDescent="0.25">
      <c r="T12714" s="98"/>
    </row>
    <row r="12715" spans="20:20" x14ac:dyDescent="0.25">
      <c r="T12715" s="98"/>
    </row>
    <row r="12716" spans="20:20" x14ac:dyDescent="0.25">
      <c r="T12716" s="98"/>
    </row>
    <row r="12717" spans="20:20" x14ac:dyDescent="0.25">
      <c r="T12717" s="98"/>
    </row>
    <row r="12718" spans="20:20" x14ac:dyDescent="0.25">
      <c r="T12718" s="98"/>
    </row>
    <row r="12719" spans="20:20" x14ac:dyDescent="0.25">
      <c r="T12719" s="98"/>
    </row>
    <row r="12720" spans="20:20" x14ac:dyDescent="0.25">
      <c r="T12720" s="98"/>
    </row>
    <row r="12721" spans="20:20" x14ac:dyDescent="0.25">
      <c r="T12721" s="98"/>
    </row>
    <row r="12722" spans="20:20" x14ac:dyDescent="0.25">
      <c r="T12722" s="98"/>
    </row>
    <row r="12723" spans="20:20" x14ac:dyDescent="0.25">
      <c r="T12723" s="98"/>
    </row>
    <row r="12724" spans="20:20" x14ac:dyDescent="0.25">
      <c r="T12724" s="98"/>
    </row>
    <row r="12725" spans="20:20" x14ac:dyDescent="0.25">
      <c r="T12725" s="98"/>
    </row>
    <row r="12726" spans="20:20" x14ac:dyDescent="0.25">
      <c r="T12726" s="98"/>
    </row>
    <row r="12727" spans="20:20" x14ac:dyDescent="0.25">
      <c r="T12727" s="98"/>
    </row>
    <row r="12728" spans="20:20" x14ac:dyDescent="0.25">
      <c r="T12728" s="98"/>
    </row>
    <row r="12729" spans="20:20" x14ac:dyDescent="0.25">
      <c r="T12729" s="98"/>
    </row>
    <row r="12730" spans="20:20" x14ac:dyDescent="0.25">
      <c r="T12730" s="98"/>
    </row>
    <row r="12731" spans="20:20" x14ac:dyDescent="0.25">
      <c r="T12731" s="98"/>
    </row>
    <row r="12732" spans="20:20" x14ac:dyDescent="0.25">
      <c r="T12732" s="98"/>
    </row>
    <row r="12733" spans="20:20" x14ac:dyDescent="0.25">
      <c r="T12733" s="98"/>
    </row>
    <row r="12734" spans="20:20" x14ac:dyDescent="0.25">
      <c r="T12734" s="98"/>
    </row>
    <row r="12735" spans="20:20" x14ac:dyDescent="0.25">
      <c r="T12735" s="98"/>
    </row>
    <row r="12736" spans="20:20" x14ac:dyDescent="0.25">
      <c r="T12736" s="98"/>
    </row>
    <row r="12737" spans="20:20" x14ac:dyDescent="0.25">
      <c r="T12737" s="98"/>
    </row>
    <row r="12738" spans="20:20" x14ac:dyDescent="0.25">
      <c r="T12738" s="98"/>
    </row>
    <row r="12739" spans="20:20" x14ac:dyDescent="0.25">
      <c r="T12739" s="98"/>
    </row>
    <row r="12740" spans="20:20" x14ac:dyDescent="0.25">
      <c r="T12740" s="98"/>
    </row>
    <row r="12741" spans="20:20" x14ac:dyDescent="0.25">
      <c r="T12741" s="98"/>
    </row>
    <row r="12742" spans="20:20" x14ac:dyDescent="0.25">
      <c r="T12742" s="98"/>
    </row>
    <row r="12743" spans="20:20" x14ac:dyDescent="0.25">
      <c r="T12743" s="98"/>
    </row>
    <row r="12744" spans="20:20" x14ac:dyDescent="0.25">
      <c r="T12744" s="98"/>
    </row>
    <row r="12745" spans="20:20" x14ac:dyDescent="0.25">
      <c r="T12745" s="98"/>
    </row>
    <row r="12746" spans="20:20" x14ac:dyDescent="0.25">
      <c r="T12746" s="98"/>
    </row>
    <row r="12747" spans="20:20" x14ac:dyDescent="0.25">
      <c r="T12747" s="98"/>
    </row>
    <row r="12748" spans="20:20" x14ac:dyDescent="0.25">
      <c r="T12748" s="98"/>
    </row>
    <row r="12749" spans="20:20" x14ac:dyDescent="0.25">
      <c r="T12749" s="98"/>
    </row>
    <row r="12750" spans="20:20" x14ac:dyDescent="0.25">
      <c r="T12750" s="98"/>
    </row>
    <row r="12751" spans="20:20" x14ac:dyDescent="0.25">
      <c r="T12751" s="98"/>
    </row>
    <row r="12752" spans="20:20" x14ac:dyDescent="0.25">
      <c r="T12752" s="98"/>
    </row>
    <row r="12753" spans="20:20" x14ac:dyDescent="0.25">
      <c r="T12753" s="98"/>
    </row>
    <row r="12754" spans="20:20" x14ac:dyDescent="0.25">
      <c r="T12754" s="98"/>
    </row>
    <row r="12755" spans="20:20" x14ac:dyDescent="0.25">
      <c r="T12755" s="98"/>
    </row>
    <row r="12756" spans="20:20" x14ac:dyDescent="0.25">
      <c r="T12756" s="98"/>
    </row>
    <row r="12757" spans="20:20" x14ac:dyDescent="0.25">
      <c r="T12757" s="98"/>
    </row>
    <row r="12758" spans="20:20" x14ac:dyDescent="0.25">
      <c r="T12758" s="98"/>
    </row>
    <row r="12759" spans="20:20" x14ac:dyDescent="0.25">
      <c r="T12759" s="98"/>
    </row>
    <row r="12760" spans="20:20" x14ac:dyDescent="0.25">
      <c r="T12760" s="98"/>
    </row>
    <row r="12761" spans="20:20" x14ac:dyDescent="0.25">
      <c r="T12761" s="98"/>
    </row>
    <row r="12762" spans="20:20" x14ac:dyDescent="0.25">
      <c r="T12762" s="98"/>
    </row>
    <row r="12763" spans="20:20" x14ac:dyDescent="0.25">
      <c r="T12763" s="98"/>
    </row>
    <row r="12764" spans="20:20" x14ac:dyDescent="0.25">
      <c r="T12764" s="98"/>
    </row>
    <row r="12765" spans="20:20" x14ac:dyDescent="0.25">
      <c r="T12765" s="98"/>
    </row>
    <row r="12766" spans="20:20" x14ac:dyDescent="0.25">
      <c r="T12766" s="98"/>
    </row>
    <row r="12767" spans="20:20" x14ac:dyDescent="0.25">
      <c r="T12767" s="98"/>
    </row>
    <row r="12768" spans="20:20" x14ac:dyDescent="0.25">
      <c r="T12768" s="98"/>
    </row>
    <row r="12769" spans="20:20" x14ac:dyDescent="0.25">
      <c r="T12769" s="98"/>
    </row>
    <row r="12770" spans="20:20" x14ac:dyDescent="0.25">
      <c r="T12770" s="98"/>
    </row>
    <row r="12771" spans="20:20" x14ac:dyDescent="0.25">
      <c r="T12771" s="98"/>
    </row>
    <row r="12772" spans="20:20" x14ac:dyDescent="0.25">
      <c r="T12772" s="98"/>
    </row>
    <row r="12773" spans="20:20" x14ac:dyDescent="0.25">
      <c r="T12773" s="98"/>
    </row>
    <row r="12774" spans="20:20" x14ac:dyDescent="0.25">
      <c r="T12774" s="98"/>
    </row>
    <row r="12775" spans="20:20" x14ac:dyDescent="0.25">
      <c r="T12775" s="98"/>
    </row>
    <row r="12776" spans="20:20" x14ac:dyDescent="0.25">
      <c r="T12776" s="98"/>
    </row>
    <row r="12777" spans="20:20" x14ac:dyDescent="0.25">
      <c r="T12777" s="98"/>
    </row>
    <row r="12778" spans="20:20" x14ac:dyDescent="0.25">
      <c r="T12778" s="98"/>
    </row>
    <row r="12779" spans="20:20" x14ac:dyDescent="0.25">
      <c r="T12779" s="98"/>
    </row>
    <row r="12780" spans="20:20" x14ac:dyDescent="0.25">
      <c r="T12780" s="98"/>
    </row>
    <row r="12781" spans="20:20" x14ac:dyDescent="0.25">
      <c r="T12781" s="98"/>
    </row>
    <row r="12782" spans="20:20" x14ac:dyDescent="0.25">
      <c r="T12782" s="98"/>
    </row>
    <row r="12783" spans="20:20" x14ac:dyDescent="0.25">
      <c r="T12783" s="98"/>
    </row>
    <row r="12784" spans="20:20" x14ac:dyDescent="0.25">
      <c r="T12784" s="98"/>
    </row>
    <row r="12785" spans="20:20" x14ac:dyDescent="0.25">
      <c r="T12785" s="98"/>
    </row>
    <row r="12786" spans="20:20" x14ac:dyDescent="0.25">
      <c r="T12786" s="98"/>
    </row>
    <row r="12787" spans="20:20" x14ac:dyDescent="0.25">
      <c r="T12787" s="98"/>
    </row>
    <row r="12788" spans="20:20" x14ac:dyDescent="0.25">
      <c r="T12788" s="98"/>
    </row>
    <row r="12789" spans="20:20" x14ac:dyDescent="0.25">
      <c r="T12789" s="98"/>
    </row>
    <row r="12790" spans="20:20" x14ac:dyDescent="0.25">
      <c r="T12790" s="98"/>
    </row>
    <row r="12791" spans="20:20" x14ac:dyDescent="0.25">
      <c r="T12791" s="98"/>
    </row>
    <row r="12792" spans="20:20" x14ac:dyDescent="0.25">
      <c r="T12792" s="98"/>
    </row>
    <row r="12793" spans="20:20" x14ac:dyDescent="0.25">
      <c r="T12793" s="98"/>
    </row>
    <row r="12794" spans="20:20" x14ac:dyDescent="0.25">
      <c r="T12794" s="98"/>
    </row>
    <row r="12795" spans="20:20" x14ac:dyDescent="0.25">
      <c r="T12795" s="98"/>
    </row>
    <row r="12796" spans="20:20" x14ac:dyDescent="0.25">
      <c r="T12796" s="98"/>
    </row>
    <row r="12797" spans="20:20" x14ac:dyDescent="0.25">
      <c r="T12797" s="98"/>
    </row>
    <row r="12798" spans="20:20" x14ac:dyDescent="0.25">
      <c r="T12798" s="98"/>
    </row>
    <row r="12799" spans="20:20" x14ac:dyDescent="0.25">
      <c r="T12799" s="98"/>
    </row>
    <row r="12800" spans="20:20" x14ac:dyDescent="0.25">
      <c r="T12800" s="98"/>
    </row>
    <row r="12801" spans="20:20" x14ac:dyDescent="0.25">
      <c r="T12801" s="98"/>
    </row>
    <row r="12802" spans="20:20" x14ac:dyDescent="0.25">
      <c r="T12802" s="98"/>
    </row>
    <row r="12803" spans="20:20" x14ac:dyDescent="0.25">
      <c r="T12803" s="98"/>
    </row>
    <row r="12804" spans="20:20" x14ac:dyDescent="0.25">
      <c r="T12804" s="98"/>
    </row>
    <row r="12805" spans="20:20" x14ac:dyDescent="0.25">
      <c r="T12805" s="98"/>
    </row>
    <row r="12806" spans="20:20" x14ac:dyDescent="0.25">
      <c r="T12806" s="98"/>
    </row>
    <row r="12807" spans="20:20" x14ac:dyDescent="0.25">
      <c r="T12807" s="98"/>
    </row>
    <row r="12808" spans="20:20" x14ac:dyDescent="0.25">
      <c r="T12808" s="98"/>
    </row>
    <row r="12809" spans="20:20" x14ac:dyDescent="0.25">
      <c r="T12809" s="98"/>
    </row>
    <row r="12810" spans="20:20" x14ac:dyDescent="0.25">
      <c r="T12810" s="98"/>
    </row>
    <row r="12811" spans="20:20" x14ac:dyDescent="0.25">
      <c r="T12811" s="98"/>
    </row>
    <row r="12812" spans="20:20" x14ac:dyDescent="0.25">
      <c r="T12812" s="98"/>
    </row>
    <row r="12813" spans="20:20" x14ac:dyDescent="0.25">
      <c r="T12813" s="98"/>
    </row>
    <row r="12814" spans="20:20" x14ac:dyDescent="0.25">
      <c r="T12814" s="98"/>
    </row>
    <row r="12815" spans="20:20" x14ac:dyDescent="0.25">
      <c r="T12815" s="98"/>
    </row>
    <row r="12816" spans="20:20" x14ac:dyDescent="0.25">
      <c r="T12816" s="98"/>
    </row>
    <row r="12817" spans="20:20" x14ac:dyDescent="0.25">
      <c r="T12817" s="98"/>
    </row>
    <row r="12818" spans="20:20" x14ac:dyDescent="0.25">
      <c r="T12818" s="98"/>
    </row>
    <row r="12819" spans="20:20" x14ac:dyDescent="0.25">
      <c r="T12819" s="98"/>
    </row>
    <row r="12820" spans="20:20" x14ac:dyDescent="0.25">
      <c r="T12820" s="98"/>
    </row>
    <row r="12821" spans="20:20" x14ac:dyDescent="0.25">
      <c r="T12821" s="98"/>
    </row>
    <row r="12822" spans="20:20" x14ac:dyDescent="0.25">
      <c r="T12822" s="98"/>
    </row>
    <row r="12823" spans="20:20" x14ac:dyDescent="0.25">
      <c r="T12823" s="98"/>
    </row>
    <row r="12824" spans="20:20" x14ac:dyDescent="0.25">
      <c r="T12824" s="98"/>
    </row>
    <row r="12825" spans="20:20" x14ac:dyDescent="0.25">
      <c r="T12825" s="98"/>
    </row>
    <row r="12826" spans="20:20" x14ac:dyDescent="0.25">
      <c r="T12826" s="98"/>
    </row>
    <row r="12827" spans="20:20" x14ac:dyDescent="0.25">
      <c r="T12827" s="98"/>
    </row>
    <row r="12828" spans="20:20" x14ac:dyDescent="0.25">
      <c r="T12828" s="98"/>
    </row>
    <row r="12829" spans="20:20" x14ac:dyDescent="0.25">
      <c r="T12829" s="98"/>
    </row>
    <row r="12830" spans="20:20" x14ac:dyDescent="0.25">
      <c r="T12830" s="98"/>
    </row>
    <row r="12831" spans="20:20" x14ac:dyDescent="0.25">
      <c r="T12831" s="98"/>
    </row>
    <row r="12832" spans="20:20" x14ac:dyDescent="0.25">
      <c r="T12832" s="98"/>
    </row>
    <row r="12833" spans="20:20" x14ac:dyDescent="0.25">
      <c r="T12833" s="98"/>
    </row>
    <row r="12834" spans="20:20" x14ac:dyDescent="0.25">
      <c r="T12834" s="98"/>
    </row>
    <row r="12835" spans="20:20" x14ac:dyDescent="0.25">
      <c r="T12835" s="98"/>
    </row>
    <row r="12836" spans="20:20" x14ac:dyDescent="0.25">
      <c r="T12836" s="98"/>
    </row>
    <row r="12837" spans="20:20" x14ac:dyDescent="0.25">
      <c r="T12837" s="98"/>
    </row>
    <row r="12838" spans="20:20" x14ac:dyDescent="0.25">
      <c r="T12838" s="98"/>
    </row>
    <row r="12839" spans="20:20" x14ac:dyDescent="0.25">
      <c r="T12839" s="98"/>
    </row>
    <row r="12840" spans="20:20" x14ac:dyDescent="0.25">
      <c r="T12840" s="98"/>
    </row>
    <row r="12841" spans="20:20" x14ac:dyDescent="0.25">
      <c r="T12841" s="98"/>
    </row>
    <row r="12842" spans="20:20" x14ac:dyDescent="0.25">
      <c r="T12842" s="98"/>
    </row>
    <row r="12843" spans="20:20" x14ac:dyDescent="0.25">
      <c r="T12843" s="98"/>
    </row>
    <row r="12844" spans="20:20" x14ac:dyDescent="0.25">
      <c r="T12844" s="98"/>
    </row>
    <row r="12845" spans="20:20" x14ac:dyDescent="0.25">
      <c r="T12845" s="98"/>
    </row>
    <row r="12846" spans="20:20" x14ac:dyDescent="0.25">
      <c r="T12846" s="98"/>
    </row>
    <row r="12847" spans="20:20" x14ac:dyDescent="0.25">
      <c r="T12847" s="98"/>
    </row>
    <row r="12848" spans="20:20" x14ac:dyDescent="0.25">
      <c r="T12848" s="98"/>
    </row>
    <row r="12849" spans="20:20" x14ac:dyDescent="0.25">
      <c r="T12849" s="98"/>
    </row>
    <row r="12850" spans="20:20" x14ac:dyDescent="0.25">
      <c r="T12850" s="98"/>
    </row>
    <row r="12851" spans="20:20" x14ac:dyDescent="0.25">
      <c r="T12851" s="98"/>
    </row>
    <row r="12852" spans="20:20" x14ac:dyDescent="0.25">
      <c r="T12852" s="98"/>
    </row>
    <row r="12853" spans="20:20" x14ac:dyDescent="0.25">
      <c r="T12853" s="98"/>
    </row>
    <row r="12854" spans="20:20" x14ac:dyDescent="0.25">
      <c r="T12854" s="98"/>
    </row>
    <row r="12855" spans="20:20" x14ac:dyDescent="0.25">
      <c r="T12855" s="98"/>
    </row>
    <row r="12856" spans="20:20" x14ac:dyDescent="0.25">
      <c r="T12856" s="98"/>
    </row>
    <row r="12857" spans="20:20" x14ac:dyDescent="0.25">
      <c r="T12857" s="98"/>
    </row>
    <row r="12858" spans="20:20" x14ac:dyDescent="0.25">
      <c r="T12858" s="98"/>
    </row>
    <row r="12859" spans="20:20" x14ac:dyDescent="0.25">
      <c r="T12859" s="98"/>
    </row>
    <row r="12860" spans="20:20" x14ac:dyDescent="0.25">
      <c r="T12860" s="98"/>
    </row>
    <row r="12861" spans="20:20" x14ac:dyDescent="0.25">
      <c r="T12861" s="98"/>
    </row>
    <row r="12862" spans="20:20" x14ac:dyDescent="0.25">
      <c r="T12862" s="98"/>
    </row>
    <row r="12863" spans="20:20" x14ac:dyDescent="0.25">
      <c r="T12863" s="98"/>
    </row>
    <row r="12864" spans="20:20" x14ac:dyDescent="0.25">
      <c r="T12864" s="98"/>
    </row>
    <row r="12865" spans="20:20" x14ac:dyDescent="0.25">
      <c r="T12865" s="98"/>
    </row>
    <row r="12866" spans="20:20" x14ac:dyDescent="0.25">
      <c r="T12866" s="98"/>
    </row>
    <row r="12867" spans="20:20" x14ac:dyDescent="0.25">
      <c r="T12867" s="98"/>
    </row>
    <row r="12868" spans="20:20" x14ac:dyDescent="0.25">
      <c r="T12868" s="98"/>
    </row>
    <row r="12869" spans="20:20" x14ac:dyDescent="0.25">
      <c r="T12869" s="98"/>
    </row>
    <row r="12870" spans="20:20" x14ac:dyDescent="0.25">
      <c r="T12870" s="98"/>
    </row>
    <row r="12871" spans="20:20" x14ac:dyDescent="0.25">
      <c r="T12871" s="98"/>
    </row>
    <row r="12872" spans="20:20" x14ac:dyDescent="0.25">
      <c r="T12872" s="98"/>
    </row>
    <row r="12873" spans="20:20" x14ac:dyDescent="0.25">
      <c r="T12873" s="98"/>
    </row>
    <row r="12874" spans="20:20" x14ac:dyDescent="0.25">
      <c r="T12874" s="98"/>
    </row>
    <row r="12875" spans="20:20" x14ac:dyDescent="0.25">
      <c r="T12875" s="98"/>
    </row>
    <row r="12876" spans="20:20" x14ac:dyDescent="0.25">
      <c r="T12876" s="98"/>
    </row>
    <row r="12877" spans="20:20" x14ac:dyDescent="0.25">
      <c r="T12877" s="98"/>
    </row>
    <row r="12878" spans="20:20" x14ac:dyDescent="0.25">
      <c r="T12878" s="98"/>
    </row>
    <row r="12879" spans="20:20" x14ac:dyDescent="0.25">
      <c r="T12879" s="98"/>
    </row>
    <row r="12880" spans="20:20" x14ac:dyDescent="0.25">
      <c r="T12880" s="98"/>
    </row>
    <row r="12881" spans="20:20" x14ac:dyDescent="0.25">
      <c r="T12881" s="98"/>
    </row>
    <row r="12882" spans="20:20" x14ac:dyDescent="0.25">
      <c r="T12882" s="98"/>
    </row>
    <row r="12883" spans="20:20" x14ac:dyDescent="0.25">
      <c r="T12883" s="98"/>
    </row>
    <row r="12884" spans="20:20" x14ac:dyDescent="0.25">
      <c r="T12884" s="98"/>
    </row>
    <row r="12885" spans="20:20" x14ac:dyDescent="0.25">
      <c r="T12885" s="98"/>
    </row>
    <row r="12886" spans="20:20" x14ac:dyDescent="0.25">
      <c r="T12886" s="98"/>
    </row>
    <row r="12887" spans="20:20" x14ac:dyDescent="0.25">
      <c r="T12887" s="98"/>
    </row>
    <row r="12888" spans="20:20" x14ac:dyDescent="0.25">
      <c r="T12888" s="98"/>
    </row>
    <row r="12889" spans="20:20" x14ac:dyDescent="0.25">
      <c r="T12889" s="98"/>
    </row>
    <row r="12890" spans="20:20" x14ac:dyDescent="0.25">
      <c r="T12890" s="98"/>
    </row>
    <row r="12891" spans="20:20" x14ac:dyDescent="0.25">
      <c r="T12891" s="98"/>
    </row>
    <row r="12892" spans="20:20" x14ac:dyDescent="0.25">
      <c r="T12892" s="98"/>
    </row>
    <row r="12893" spans="20:20" x14ac:dyDescent="0.25">
      <c r="T12893" s="98"/>
    </row>
    <row r="12894" spans="20:20" x14ac:dyDescent="0.25">
      <c r="T12894" s="98"/>
    </row>
    <row r="12895" spans="20:20" x14ac:dyDescent="0.25">
      <c r="T12895" s="98"/>
    </row>
    <row r="12896" spans="20:20" x14ac:dyDescent="0.25">
      <c r="T12896" s="98"/>
    </row>
    <row r="12897" spans="20:20" x14ac:dyDescent="0.25">
      <c r="T12897" s="98"/>
    </row>
    <row r="12898" spans="20:20" x14ac:dyDescent="0.25">
      <c r="T12898" s="98"/>
    </row>
    <row r="12899" spans="20:20" x14ac:dyDescent="0.25">
      <c r="T12899" s="98"/>
    </row>
    <row r="12900" spans="20:20" x14ac:dyDescent="0.25">
      <c r="T12900" s="98"/>
    </row>
    <row r="12901" spans="20:20" x14ac:dyDescent="0.25">
      <c r="T12901" s="98"/>
    </row>
    <row r="12902" spans="20:20" x14ac:dyDescent="0.25">
      <c r="T12902" s="98"/>
    </row>
    <row r="12903" spans="20:20" x14ac:dyDescent="0.25">
      <c r="T12903" s="98"/>
    </row>
    <row r="12904" spans="20:20" x14ac:dyDescent="0.25">
      <c r="T12904" s="98"/>
    </row>
    <row r="12905" spans="20:20" x14ac:dyDescent="0.25">
      <c r="T12905" s="98"/>
    </row>
    <row r="12906" spans="20:20" x14ac:dyDescent="0.25">
      <c r="T12906" s="98"/>
    </row>
    <row r="12907" spans="20:20" x14ac:dyDescent="0.25">
      <c r="T12907" s="98"/>
    </row>
    <row r="12908" spans="20:20" x14ac:dyDescent="0.25">
      <c r="T12908" s="98"/>
    </row>
    <row r="12909" spans="20:20" x14ac:dyDescent="0.25">
      <c r="T12909" s="98"/>
    </row>
    <row r="12910" spans="20:20" x14ac:dyDescent="0.25">
      <c r="T12910" s="98"/>
    </row>
    <row r="12911" spans="20:20" x14ac:dyDescent="0.25">
      <c r="T12911" s="98"/>
    </row>
    <row r="12912" spans="20:20" x14ac:dyDescent="0.25">
      <c r="T12912" s="98"/>
    </row>
    <row r="12913" spans="20:20" x14ac:dyDescent="0.25">
      <c r="T12913" s="98"/>
    </row>
    <row r="12914" spans="20:20" x14ac:dyDescent="0.25">
      <c r="T12914" s="98"/>
    </row>
    <row r="12915" spans="20:20" x14ac:dyDescent="0.25">
      <c r="T12915" s="98"/>
    </row>
    <row r="12916" spans="20:20" x14ac:dyDescent="0.25">
      <c r="T12916" s="98"/>
    </row>
    <row r="12917" spans="20:20" x14ac:dyDescent="0.25">
      <c r="T12917" s="98"/>
    </row>
    <row r="12918" spans="20:20" x14ac:dyDescent="0.25">
      <c r="T12918" s="98"/>
    </row>
    <row r="12919" spans="20:20" x14ac:dyDescent="0.25">
      <c r="T12919" s="98"/>
    </row>
    <row r="12920" spans="20:20" x14ac:dyDescent="0.25">
      <c r="T12920" s="98"/>
    </row>
    <row r="12921" spans="20:20" x14ac:dyDescent="0.25">
      <c r="T12921" s="98"/>
    </row>
    <row r="12922" spans="20:20" x14ac:dyDescent="0.25">
      <c r="T12922" s="98"/>
    </row>
    <row r="12923" spans="20:20" x14ac:dyDescent="0.25">
      <c r="T12923" s="98"/>
    </row>
    <row r="12924" spans="20:20" x14ac:dyDescent="0.25">
      <c r="T12924" s="98"/>
    </row>
    <row r="12925" spans="20:20" x14ac:dyDescent="0.25">
      <c r="T12925" s="98"/>
    </row>
    <row r="12926" spans="20:20" x14ac:dyDescent="0.25">
      <c r="T12926" s="98"/>
    </row>
    <row r="12927" spans="20:20" x14ac:dyDescent="0.25">
      <c r="T12927" s="98"/>
    </row>
    <row r="12928" spans="20:20" x14ac:dyDescent="0.25">
      <c r="T12928" s="98"/>
    </row>
    <row r="12929" spans="20:20" x14ac:dyDescent="0.25">
      <c r="T12929" s="98"/>
    </row>
    <row r="12930" spans="20:20" x14ac:dyDescent="0.25">
      <c r="T12930" s="98"/>
    </row>
    <row r="12931" spans="20:20" x14ac:dyDescent="0.25">
      <c r="T12931" s="98"/>
    </row>
    <row r="12932" spans="20:20" x14ac:dyDescent="0.25">
      <c r="T12932" s="98"/>
    </row>
    <row r="12933" spans="20:20" x14ac:dyDescent="0.25">
      <c r="T12933" s="98"/>
    </row>
    <row r="12934" spans="20:20" x14ac:dyDescent="0.25">
      <c r="T12934" s="98"/>
    </row>
    <row r="12935" spans="20:20" x14ac:dyDescent="0.25">
      <c r="T12935" s="98"/>
    </row>
    <row r="12936" spans="20:20" x14ac:dyDescent="0.25">
      <c r="T12936" s="98"/>
    </row>
    <row r="12937" spans="20:20" x14ac:dyDescent="0.25">
      <c r="T12937" s="98"/>
    </row>
    <row r="12938" spans="20:20" x14ac:dyDescent="0.25">
      <c r="T12938" s="98"/>
    </row>
    <row r="12939" spans="20:20" x14ac:dyDescent="0.25">
      <c r="T12939" s="98"/>
    </row>
    <row r="12940" spans="20:20" x14ac:dyDescent="0.25">
      <c r="T12940" s="98"/>
    </row>
    <row r="12941" spans="20:20" x14ac:dyDescent="0.25">
      <c r="T12941" s="98"/>
    </row>
    <row r="12942" spans="20:20" x14ac:dyDescent="0.25">
      <c r="T12942" s="98"/>
    </row>
    <row r="12943" spans="20:20" x14ac:dyDescent="0.25">
      <c r="T12943" s="98"/>
    </row>
    <row r="12944" spans="20:20" x14ac:dyDescent="0.25">
      <c r="T12944" s="98"/>
    </row>
    <row r="12945" spans="20:20" x14ac:dyDescent="0.25">
      <c r="T12945" s="98"/>
    </row>
    <row r="12946" spans="20:20" x14ac:dyDescent="0.25">
      <c r="T12946" s="98"/>
    </row>
    <row r="12947" spans="20:20" x14ac:dyDescent="0.25">
      <c r="T12947" s="98"/>
    </row>
    <row r="12948" spans="20:20" x14ac:dyDescent="0.25">
      <c r="T12948" s="98"/>
    </row>
    <row r="12949" spans="20:20" x14ac:dyDescent="0.25">
      <c r="T12949" s="98"/>
    </row>
    <row r="12950" spans="20:20" x14ac:dyDescent="0.25">
      <c r="T12950" s="98"/>
    </row>
    <row r="12951" spans="20:20" x14ac:dyDescent="0.25">
      <c r="T12951" s="98"/>
    </row>
    <row r="12952" spans="20:20" x14ac:dyDescent="0.25">
      <c r="T12952" s="98"/>
    </row>
    <row r="12953" spans="20:20" x14ac:dyDescent="0.25">
      <c r="T12953" s="98"/>
    </row>
  </sheetData>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F3511-8790-4F80-B0AC-9B6784547E46}">
  <sheetPr codeName="Feuil8"/>
  <dimension ref="A1:U12953"/>
  <sheetViews>
    <sheetView topLeftCell="D1" zoomScaleNormal="100" workbookViewId="0">
      <selection activeCell="Q13" sqref="Q13"/>
    </sheetView>
  </sheetViews>
  <sheetFormatPr baseColWidth="10" defaultColWidth="9.21875" defaultRowHeight="13.2" x14ac:dyDescent="0.25"/>
  <cols>
    <col min="1" max="1" width="53.21875" style="23" bestFit="1" customWidth="1"/>
    <col min="2" max="2" width="9.21875" style="23"/>
    <col min="3" max="3" width="14.44140625" style="23" bestFit="1" customWidth="1"/>
    <col min="4" max="4" width="9.21875" style="23" bestFit="1" customWidth="1"/>
    <col min="5" max="10" width="9.21875" style="23"/>
    <col min="11" max="11" width="12" style="23" bestFit="1" customWidth="1"/>
    <col min="12" max="12" width="11.77734375" style="23" bestFit="1" customWidth="1"/>
    <col min="13" max="13" width="16" style="23" bestFit="1" customWidth="1"/>
    <col min="14" max="14" width="16" style="23" customWidth="1"/>
    <col min="15" max="15" width="20.77734375" style="23" bestFit="1" customWidth="1"/>
    <col min="16" max="16" width="12" style="23" bestFit="1" customWidth="1"/>
    <col min="17" max="17" width="12.21875" style="23" bestFit="1" customWidth="1"/>
    <col min="18" max="16384" width="9.21875" style="23"/>
  </cols>
  <sheetData>
    <row r="1" spans="1:21" x14ac:dyDescent="0.25">
      <c r="A1" s="39" t="s">
        <v>49</v>
      </c>
      <c r="B1" s="38">
        <v>50</v>
      </c>
      <c r="D1" s="37" t="s">
        <v>5</v>
      </c>
      <c r="E1" s="37" t="s">
        <v>48</v>
      </c>
      <c r="F1" s="37" t="s">
        <v>47</v>
      </c>
      <c r="G1" s="37" t="s">
        <v>46</v>
      </c>
      <c r="H1" s="37" t="s">
        <v>45</v>
      </c>
      <c r="I1" s="37" t="s">
        <v>44</v>
      </c>
      <c r="J1" s="37" t="s">
        <v>43</v>
      </c>
      <c r="K1" s="37" t="s">
        <v>42</v>
      </c>
      <c r="L1" s="37" t="s">
        <v>41</v>
      </c>
      <c r="M1" s="37" t="s">
        <v>40</v>
      </c>
      <c r="N1" s="37" t="s">
        <v>39</v>
      </c>
      <c r="O1" s="37" t="s">
        <v>38</v>
      </c>
      <c r="P1" s="37" t="s">
        <v>37</v>
      </c>
      <c r="Q1" s="37" t="s">
        <v>36</v>
      </c>
    </row>
    <row r="2" spans="1:21" x14ac:dyDescent="0.25">
      <c r="A2" s="35" t="s">
        <v>35</v>
      </c>
      <c r="B2" s="34">
        <v>40</v>
      </c>
      <c r="D2" s="36">
        <v>0</v>
      </c>
      <c r="E2" s="36"/>
      <c r="F2" s="36"/>
      <c r="G2" s="36"/>
      <c r="H2" s="36"/>
      <c r="I2" s="36"/>
      <c r="J2" s="36"/>
      <c r="K2" s="36"/>
      <c r="L2" s="36"/>
      <c r="M2" s="36"/>
      <c r="N2" s="36"/>
      <c r="O2" s="36"/>
      <c r="P2" s="36">
        <v>50</v>
      </c>
      <c r="Q2" s="36">
        <v>40</v>
      </c>
    </row>
    <row r="3" spans="1:21" x14ac:dyDescent="0.25">
      <c r="A3" s="35" t="s">
        <v>34</v>
      </c>
      <c r="B3" s="34">
        <v>0</v>
      </c>
      <c r="D3" s="29">
        <v>1</v>
      </c>
      <c r="E3" s="29">
        <v>0.03</v>
      </c>
      <c r="F3" s="29">
        <v>0.15</v>
      </c>
      <c r="G3" s="29">
        <v>0.5</v>
      </c>
      <c r="H3" s="29">
        <v>0.03</v>
      </c>
      <c r="I3" s="29">
        <v>0.15</v>
      </c>
      <c r="J3" s="29">
        <v>0.5</v>
      </c>
      <c r="K3" s="30">
        <f ca="1">RAND()</f>
        <v>0.30360661633830854</v>
      </c>
      <c r="L3" s="29">
        <v>0.31036451568159062</v>
      </c>
      <c r="M3" s="29">
        <v>0.27645864561066513</v>
      </c>
      <c r="N3" s="29">
        <v>-0.49481738506173978</v>
      </c>
      <c r="O3" s="31">
        <f>$B$3*M3+SQRT(1-$B$3^2)*N3</f>
        <v>-0.49481738506173978</v>
      </c>
      <c r="P3" s="29">
        <v>53.103444922302153</v>
      </c>
      <c r="Q3" s="27">
        <f t="shared" ref="Q3:Q8" si="0">Q2*EXP((H3-0.5*J3^2)*1+J3*O3)</f>
        <v>28.402318000803902</v>
      </c>
    </row>
    <row r="4" spans="1:21" x14ac:dyDescent="0.25">
      <c r="A4" s="35" t="s">
        <v>33</v>
      </c>
      <c r="B4" s="34">
        <v>10</v>
      </c>
      <c r="D4" s="29">
        <v>2</v>
      </c>
      <c r="E4" s="29">
        <v>0.05</v>
      </c>
      <c r="F4" s="29">
        <v>0.2</v>
      </c>
      <c r="G4" s="29">
        <v>0.55000000000000004</v>
      </c>
      <c r="H4" s="29">
        <v>7.0000000000000007E-2</v>
      </c>
      <c r="I4" s="29">
        <v>0.23979157616563601</v>
      </c>
      <c r="J4" s="30">
        <f>SQRT(G4*G4*D4-D3*G3*G3)</f>
        <v>0.59581876439064929</v>
      </c>
      <c r="K4" s="29">
        <v>0.97064041677084134</v>
      </c>
      <c r="L4" s="29">
        <v>0.86490860333501129</v>
      </c>
      <c r="M4" s="29">
        <v>1.8902901422741478</v>
      </c>
      <c r="N4" s="29">
        <v>1.1026417009581251</v>
      </c>
      <c r="O4" s="31">
        <f>$B$3*M4+SQRT(1-$B$3^2)*N4</f>
        <v>1.1026417009581251</v>
      </c>
      <c r="P4" s="27">
        <f>P3*EXP((H4-0.5*I4^2)+I4*M4)</f>
        <v>87.074794385165859</v>
      </c>
      <c r="Q4" s="27">
        <f t="shared" si="0"/>
        <v>49.202546358523108</v>
      </c>
    </row>
    <row r="5" spans="1:21" x14ac:dyDescent="0.25">
      <c r="A5" s="33"/>
      <c r="B5" s="32"/>
      <c r="D5" s="29">
        <v>3</v>
      </c>
      <c r="E5" s="29">
        <v>7.0000000000000007E-2</v>
      </c>
      <c r="F5" s="29">
        <v>0.25</v>
      </c>
      <c r="G5" s="29">
        <v>0.6</v>
      </c>
      <c r="H5" s="30">
        <f>E5*D5-E4*D4</f>
        <v>0.11000000000000001</v>
      </c>
      <c r="I5" s="29">
        <v>0.32787192621510003</v>
      </c>
      <c r="J5" s="29">
        <v>0.68920243760451105</v>
      </c>
      <c r="K5" s="29">
        <v>0.13551185660513987</v>
      </c>
      <c r="L5" s="29">
        <v>0.48766656555418386</v>
      </c>
      <c r="M5" s="30">
        <f>NORMSINV(K5)</f>
        <v>-1.1007081151125675</v>
      </c>
      <c r="N5" s="29">
        <v>-3.0920261749604973E-2</v>
      </c>
      <c r="O5" s="31">
        <f>$B$3*M5+SQRT(1-$B$3^2)*N5</f>
        <v>-3.0920261749604973E-2</v>
      </c>
      <c r="P5" s="29">
        <v>64.20789415120349</v>
      </c>
      <c r="Q5" s="27">
        <f t="shared" si="0"/>
        <v>42.399435888985309</v>
      </c>
    </row>
    <row r="6" spans="1:21" x14ac:dyDescent="0.25">
      <c r="A6" s="24"/>
      <c r="B6" s="24"/>
      <c r="D6" s="29">
        <v>4</v>
      </c>
      <c r="E6" s="29">
        <v>0.1</v>
      </c>
      <c r="F6" s="29">
        <v>0.45</v>
      </c>
      <c r="G6" s="29">
        <v>0.65</v>
      </c>
      <c r="H6" s="29">
        <v>0.19</v>
      </c>
      <c r="I6" s="29">
        <v>0.78898669190297499</v>
      </c>
      <c r="J6" s="29">
        <v>0.78102496759066553</v>
      </c>
      <c r="K6" s="29">
        <v>0.45490727535451381</v>
      </c>
      <c r="L6" s="29">
        <v>0.52771662175943757</v>
      </c>
      <c r="M6" s="29">
        <v>-0.11327245964867341</v>
      </c>
      <c r="N6" s="29">
        <v>6.9531253083326666E-2</v>
      </c>
      <c r="O6" s="31">
        <f>$B$3*M6+SQRT(1-$B$3^2)*N6</f>
        <v>6.9531253083326666E-2</v>
      </c>
      <c r="P6" s="29">
        <v>52.013624910557638</v>
      </c>
      <c r="Q6" s="27">
        <f t="shared" si="0"/>
        <v>39.9025687822215</v>
      </c>
    </row>
    <row r="7" spans="1:21" x14ac:dyDescent="0.25">
      <c r="A7" s="24"/>
      <c r="B7" s="24"/>
      <c r="D7" s="29">
        <v>5</v>
      </c>
      <c r="E7" s="29">
        <v>0.11</v>
      </c>
      <c r="F7" s="29">
        <v>0.5</v>
      </c>
      <c r="G7" s="29">
        <v>0.65</v>
      </c>
      <c r="H7" s="29">
        <v>0.15000000000000002</v>
      </c>
      <c r="I7" s="30">
        <f>SQRT(F7*F7*D7-D6*F6*F6)</f>
        <v>0.66332495807107994</v>
      </c>
      <c r="J7" s="29">
        <v>0.65</v>
      </c>
      <c r="K7" s="29">
        <v>0.91080950385448611</v>
      </c>
      <c r="L7" s="30">
        <f ca="1">RAND()</f>
        <v>0.79905161359753563</v>
      </c>
      <c r="M7" s="29">
        <v>1.3457567049860053</v>
      </c>
      <c r="N7" s="29">
        <v>-0.8813040762335651</v>
      </c>
      <c r="O7" s="31">
        <f t="shared" ref="O7:O8" si="1">$B$3*M7+SQRT(1-$B$3^2)*N7</f>
        <v>-0.8813040762335651</v>
      </c>
      <c r="P7" s="29">
        <v>118.41314185416441</v>
      </c>
      <c r="Q7" s="27">
        <f t="shared" si="0"/>
        <v>21.164876794778746</v>
      </c>
    </row>
    <row r="8" spans="1:21" x14ac:dyDescent="0.25">
      <c r="A8" s="24"/>
      <c r="D8" s="28">
        <v>6</v>
      </c>
      <c r="E8" s="28">
        <v>0.12</v>
      </c>
      <c r="F8" s="28">
        <v>0.55000000000000004</v>
      </c>
      <c r="G8" s="28">
        <v>0.8</v>
      </c>
      <c r="H8" s="28">
        <v>0.16999999999999993</v>
      </c>
      <c r="I8" s="28">
        <v>0.75166481891864567</v>
      </c>
      <c r="J8" s="28">
        <v>1.3143439428094916</v>
      </c>
      <c r="K8" s="28">
        <v>0.39464831024232572</v>
      </c>
      <c r="L8" s="28">
        <v>9.7443019482931881E-2</v>
      </c>
      <c r="M8" s="28">
        <v>-0.2672241013449822</v>
      </c>
      <c r="N8" s="28">
        <v>-1.2962596674759341</v>
      </c>
      <c r="O8" s="31">
        <f t="shared" si="1"/>
        <v>-1.2962596674759341</v>
      </c>
      <c r="P8" s="28">
        <v>86.558177137778969</v>
      </c>
      <c r="Q8" s="27">
        <f t="shared" si="0"/>
        <v>1.9248768862952486</v>
      </c>
    </row>
    <row r="9" spans="1:21" x14ac:dyDescent="0.25">
      <c r="D9" s="24"/>
      <c r="E9" s="24"/>
      <c r="F9" s="24"/>
      <c r="G9" s="24"/>
      <c r="H9" s="24"/>
      <c r="I9" s="24"/>
      <c r="J9" s="24"/>
      <c r="K9" s="24"/>
      <c r="L9" s="24"/>
      <c r="M9" s="24"/>
      <c r="N9" s="24"/>
      <c r="O9" s="24"/>
      <c r="P9" s="27">
        <f>MAX(SUM(P4,P6,P8)/3-SUM(Q3,Q5,Q7)/3,0)</f>
        <v>44.559988582978164</v>
      </c>
      <c r="Q9" s="23" t="s">
        <v>29</v>
      </c>
    </row>
    <row r="10" spans="1:21" x14ac:dyDescent="0.25">
      <c r="D10" s="24"/>
      <c r="E10" s="24"/>
      <c r="F10" s="24"/>
      <c r="G10" s="24"/>
      <c r="H10" s="24"/>
      <c r="I10" s="24"/>
      <c r="J10" s="24"/>
      <c r="K10" s="24"/>
      <c r="L10" s="24"/>
      <c r="M10" s="24"/>
      <c r="N10" s="24"/>
      <c r="O10" s="24"/>
      <c r="P10" s="26">
        <f>P9*EXP(-E8*D8)</f>
        <v>21.689674968315202</v>
      </c>
      <c r="Q10" s="23" t="s">
        <v>28</v>
      </c>
    </row>
    <row r="11" spans="1:21" ht="18" x14ac:dyDescent="0.35">
      <c r="A11" s="25" t="s">
        <v>7</v>
      </c>
      <c r="F11" s="24"/>
      <c r="G11" s="24"/>
      <c r="T11" s="98"/>
      <c r="U11" s="99"/>
    </row>
    <row r="12" spans="1:21" ht="18" x14ac:dyDescent="0.35">
      <c r="A12" s="4" t="s">
        <v>6</v>
      </c>
      <c r="F12" s="24"/>
      <c r="G12" s="24"/>
      <c r="T12" s="98"/>
      <c r="U12" s="99"/>
    </row>
    <row r="13" spans="1:21" x14ac:dyDescent="0.25">
      <c r="F13" s="24"/>
      <c r="G13" s="24"/>
      <c r="T13" s="98"/>
      <c r="U13" s="99"/>
    </row>
    <row r="14" spans="1:21" x14ac:dyDescent="0.25">
      <c r="F14" s="24"/>
      <c r="G14" s="24"/>
      <c r="T14" s="98"/>
      <c r="U14" s="99"/>
    </row>
    <row r="15" spans="1:21" x14ac:dyDescent="0.25">
      <c r="A15" s="23" t="s">
        <v>95</v>
      </c>
      <c r="F15" s="24"/>
      <c r="G15" s="24"/>
      <c r="T15" s="98"/>
      <c r="U15" s="99"/>
    </row>
    <row r="16" spans="1:21" x14ac:dyDescent="0.25">
      <c r="A16" s="23" t="s">
        <v>96</v>
      </c>
      <c r="T16" s="98"/>
      <c r="U16" s="99"/>
    </row>
    <row r="17" spans="1:21" x14ac:dyDescent="0.25">
      <c r="A17" s="23" t="s">
        <v>97</v>
      </c>
      <c r="T17" s="98"/>
      <c r="U17" s="99"/>
    </row>
    <row r="18" spans="1:21" x14ac:dyDescent="0.25">
      <c r="A18" s="23" t="s">
        <v>98</v>
      </c>
      <c r="T18" s="98"/>
      <c r="U18" s="99"/>
    </row>
    <row r="19" spans="1:21" x14ac:dyDescent="0.25">
      <c r="T19" s="98"/>
      <c r="U19" s="99"/>
    </row>
    <row r="20" spans="1:21" x14ac:dyDescent="0.25">
      <c r="T20" s="98"/>
      <c r="U20" s="99"/>
    </row>
    <row r="21" spans="1:21" x14ac:dyDescent="0.25">
      <c r="T21" s="98"/>
      <c r="U21" s="99"/>
    </row>
    <row r="22" spans="1:21" x14ac:dyDescent="0.25">
      <c r="T22" s="98"/>
      <c r="U22" s="99"/>
    </row>
    <row r="23" spans="1:21" x14ac:dyDescent="0.25">
      <c r="T23" s="98"/>
      <c r="U23" s="99"/>
    </row>
    <row r="24" spans="1:21" x14ac:dyDescent="0.25">
      <c r="T24" s="98"/>
      <c r="U24" s="99"/>
    </row>
    <row r="25" spans="1:21" x14ac:dyDescent="0.25">
      <c r="T25" s="98"/>
      <c r="U25" s="99"/>
    </row>
    <row r="26" spans="1:21" x14ac:dyDescent="0.25">
      <c r="T26" s="98"/>
      <c r="U26" s="99"/>
    </row>
    <row r="27" spans="1:21" x14ac:dyDescent="0.25">
      <c r="T27" s="98"/>
      <c r="U27" s="99"/>
    </row>
    <row r="28" spans="1:21" x14ac:dyDescent="0.25">
      <c r="T28" s="98"/>
      <c r="U28" s="99"/>
    </row>
    <row r="29" spans="1:21" x14ac:dyDescent="0.25">
      <c r="T29" s="98"/>
      <c r="U29" s="99"/>
    </row>
    <row r="30" spans="1:21" x14ac:dyDescent="0.25">
      <c r="T30" s="98"/>
      <c r="U30" s="99"/>
    </row>
    <row r="31" spans="1:21" x14ac:dyDescent="0.25">
      <c r="T31" s="98"/>
      <c r="U31" s="99"/>
    </row>
    <row r="32" spans="1:21" x14ac:dyDescent="0.25">
      <c r="T32" s="98"/>
      <c r="U32" s="99"/>
    </row>
    <row r="33" spans="20:21" x14ac:dyDescent="0.25">
      <c r="T33" s="98"/>
      <c r="U33" s="99"/>
    </row>
    <row r="34" spans="20:21" x14ac:dyDescent="0.25">
      <c r="T34" s="98"/>
      <c r="U34" s="99"/>
    </row>
    <row r="35" spans="20:21" x14ac:dyDescent="0.25">
      <c r="T35" s="98"/>
      <c r="U35" s="99"/>
    </row>
    <row r="36" spans="20:21" x14ac:dyDescent="0.25">
      <c r="T36" s="98"/>
      <c r="U36" s="99"/>
    </row>
    <row r="37" spans="20:21" x14ac:dyDescent="0.25">
      <c r="T37" s="98"/>
      <c r="U37" s="99"/>
    </row>
    <row r="38" spans="20:21" x14ac:dyDescent="0.25">
      <c r="T38" s="98"/>
      <c r="U38" s="99"/>
    </row>
    <row r="39" spans="20:21" x14ac:dyDescent="0.25">
      <c r="T39" s="98"/>
      <c r="U39" s="99"/>
    </row>
    <row r="40" spans="20:21" x14ac:dyDescent="0.25">
      <c r="T40" s="98"/>
      <c r="U40" s="99"/>
    </row>
    <row r="41" spans="20:21" x14ac:dyDescent="0.25">
      <c r="T41" s="98"/>
      <c r="U41" s="99"/>
    </row>
    <row r="42" spans="20:21" x14ac:dyDescent="0.25">
      <c r="T42" s="98"/>
      <c r="U42" s="99"/>
    </row>
    <row r="43" spans="20:21" x14ac:dyDescent="0.25">
      <c r="T43" s="98"/>
      <c r="U43" s="99"/>
    </row>
    <row r="44" spans="20:21" x14ac:dyDescent="0.25">
      <c r="T44" s="98"/>
      <c r="U44" s="99"/>
    </row>
    <row r="45" spans="20:21" x14ac:dyDescent="0.25">
      <c r="T45" s="98"/>
      <c r="U45" s="99"/>
    </row>
    <row r="46" spans="20:21" x14ac:dyDescent="0.25">
      <c r="T46" s="98"/>
      <c r="U46" s="99"/>
    </row>
    <row r="47" spans="20:21" x14ac:dyDescent="0.25">
      <c r="T47" s="98"/>
      <c r="U47" s="99"/>
    </row>
    <row r="48" spans="20:21" x14ac:dyDescent="0.25">
      <c r="T48" s="98"/>
      <c r="U48" s="99"/>
    </row>
    <row r="49" spans="20:21" x14ac:dyDescent="0.25">
      <c r="T49" s="98"/>
      <c r="U49" s="99"/>
    </row>
    <row r="50" spans="20:21" x14ac:dyDescent="0.25">
      <c r="T50" s="98"/>
      <c r="U50" s="99"/>
    </row>
    <row r="51" spans="20:21" x14ac:dyDescent="0.25">
      <c r="T51" s="98"/>
      <c r="U51" s="99"/>
    </row>
    <row r="52" spans="20:21" x14ac:dyDescent="0.25">
      <c r="T52" s="98"/>
      <c r="U52" s="99"/>
    </row>
    <row r="53" spans="20:21" x14ac:dyDescent="0.25">
      <c r="T53" s="98"/>
      <c r="U53" s="99"/>
    </row>
    <row r="54" spans="20:21" x14ac:dyDescent="0.25">
      <c r="T54" s="98"/>
      <c r="U54" s="99"/>
    </row>
    <row r="55" spans="20:21" x14ac:dyDescent="0.25">
      <c r="T55" s="98"/>
      <c r="U55" s="99"/>
    </row>
    <row r="56" spans="20:21" x14ac:dyDescent="0.25">
      <c r="T56" s="98"/>
      <c r="U56" s="99"/>
    </row>
    <row r="57" spans="20:21" x14ac:dyDescent="0.25">
      <c r="T57" s="98"/>
      <c r="U57" s="99"/>
    </row>
    <row r="58" spans="20:21" x14ac:dyDescent="0.25">
      <c r="T58" s="98"/>
      <c r="U58" s="99"/>
    </row>
    <row r="59" spans="20:21" x14ac:dyDescent="0.25">
      <c r="T59" s="98"/>
      <c r="U59" s="99"/>
    </row>
    <row r="60" spans="20:21" x14ac:dyDescent="0.25">
      <c r="T60" s="98"/>
      <c r="U60" s="99"/>
    </row>
    <row r="61" spans="20:21" x14ac:dyDescent="0.25">
      <c r="T61" s="98"/>
      <c r="U61" s="99"/>
    </row>
    <row r="62" spans="20:21" x14ac:dyDescent="0.25">
      <c r="T62" s="98"/>
      <c r="U62" s="99"/>
    </row>
    <row r="63" spans="20:21" x14ac:dyDescent="0.25">
      <c r="T63" s="98"/>
      <c r="U63" s="99"/>
    </row>
    <row r="64" spans="20:21" x14ac:dyDescent="0.25">
      <c r="T64" s="98"/>
      <c r="U64" s="99"/>
    </row>
    <row r="65" spans="20:21" x14ac:dyDescent="0.25">
      <c r="T65" s="98"/>
      <c r="U65" s="99"/>
    </row>
    <row r="66" spans="20:21" x14ac:dyDescent="0.25">
      <c r="T66" s="98"/>
      <c r="U66" s="99"/>
    </row>
    <row r="67" spans="20:21" x14ac:dyDescent="0.25">
      <c r="T67" s="98"/>
      <c r="U67" s="99"/>
    </row>
    <row r="68" spans="20:21" x14ac:dyDescent="0.25">
      <c r="T68" s="98"/>
      <c r="U68" s="99"/>
    </row>
    <row r="69" spans="20:21" x14ac:dyDescent="0.25">
      <c r="T69" s="98"/>
      <c r="U69" s="99"/>
    </row>
    <row r="70" spans="20:21" x14ac:dyDescent="0.25">
      <c r="T70" s="98"/>
      <c r="U70" s="99"/>
    </row>
    <row r="71" spans="20:21" x14ac:dyDescent="0.25">
      <c r="T71" s="98"/>
      <c r="U71" s="99"/>
    </row>
    <row r="72" spans="20:21" x14ac:dyDescent="0.25">
      <c r="T72" s="98"/>
      <c r="U72" s="99"/>
    </row>
    <row r="73" spans="20:21" x14ac:dyDescent="0.25">
      <c r="T73" s="98"/>
      <c r="U73" s="99"/>
    </row>
    <row r="74" spans="20:21" x14ac:dyDescent="0.25">
      <c r="T74" s="98"/>
      <c r="U74" s="99"/>
    </row>
    <row r="75" spans="20:21" x14ac:dyDescent="0.25">
      <c r="T75" s="98"/>
      <c r="U75" s="99"/>
    </row>
    <row r="76" spans="20:21" x14ac:dyDescent="0.25">
      <c r="T76" s="98"/>
      <c r="U76" s="99"/>
    </row>
    <row r="77" spans="20:21" x14ac:dyDescent="0.25">
      <c r="T77" s="98"/>
      <c r="U77" s="99"/>
    </row>
    <row r="78" spans="20:21" x14ac:dyDescent="0.25">
      <c r="T78" s="98"/>
      <c r="U78" s="99"/>
    </row>
    <row r="79" spans="20:21" x14ac:dyDescent="0.25">
      <c r="T79" s="98"/>
      <c r="U79" s="99"/>
    </row>
    <row r="80" spans="20:21" x14ac:dyDescent="0.25">
      <c r="T80" s="98"/>
      <c r="U80" s="99"/>
    </row>
    <row r="81" spans="20:21" x14ac:dyDescent="0.25">
      <c r="T81" s="98"/>
      <c r="U81" s="99"/>
    </row>
    <row r="82" spans="20:21" x14ac:dyDescent="0.25">
      <c r="T82" s="98"/>
      <c r="U82" s="99"/>
    </row>
    <row r="83" spans="20:21" x14ac:dyDescent="0.25">
      <c r="T83" s="98"/>
      <c r="U83" s="99"/>
    </row>
    <row r="84" spans="20:21" x14ac:dyDescent="0.25">
      <c r="T84" s="98"/>
      <c r="U84" s="99"/>
    </row>
    <row r="85" spans="20:21" x14ac:dyDescent="0.25">
      <c r="T85" s="98"/>
      <c r="U85" s="99"/>
    </row>
    <row r="86" spans="20:21" x14ac:dyDescent="0.25">
      <c r="T86" s="98"/>
      <c r="U86" s="99"/>
    </row>
    <row r="87" spans="20:21" x14ac:dyDescent="0.25">
      <c r="T87" s="98"/>
      <c r="U87" s="99"/>
    </row>
    <row r="88" spans="20:21" x14ac:dyDescent="0.25">
      <c r="T88" s="98"/>
      <c r="U88" s="99"/>
    </row>
    <row r="89" spans="20:21" x14ac:dyDescent="0.25">
      <c r="T89" s="98"/>
      <c r="U89" s="99"/>
    </row>
    <row r="90" spans="20:21" x14ac:dyDescent="0.25">
      <c r="T90" s="98"/>
      <c r="U90" s="99"/>
    </row>
    <row r="91" spans="20:21" x14ac:dyDescent="0.25">
      <c r="T91" s="98"/>
      <c r="U91" s="99"/>
    </row>
    <row r="92" spans="20:21" x14ac:dyDescent="0.25">
      <c r="T92" s="98"/>
      <c r="U92" s="99"/>
    </row>
    <row r="93" spans="20:21" x14ac:dyDescent="0.25">
      <c r="T93" s="98"/>
      <c r="U93" s="99"/>
    </row>
    <row r="94" spans="20:21" x14ac:dyDescent="0.25">
      <c r="T94" s="98"/>
      <c r="U94" s="99"/>
    </row>
    <row r="95" spans="20:21" x14ac:dyDescent="0.25">
      <c r="T95" s="98"/>
      <c r="U95" s="99"/>
    </row>
    <row r="96" spans="20:21" x14ac:dyDescent="0.25">
      <c r="T96" s="98"/>
      <c r="U96" s="99"/>
    </row>
    <row r="97" spans="20:21" x14ac:dyDescent="0.25">
      <c r="T97" s="98"/>
      <c r="U97" s="99"/>
    </row>
    <row r="98" spans="20:21" x14ac:dyDescent="0.25">
      <c r="T98" s="98"/>
      <c r="U98" s="99"/>
    </row>
    <row r="99" spans="20:21" x14ac:dyDescent="0.25">
      <c r="T99" s="98"/>
      <c r="U99" s="99"/>
    </row>
    <row r="100" spans="20:21" x14ac:dyDescent="0.25">
      <c r="T100" s="98"/>
      <c r="U100" s="99"/>
    </row>
    <row r="101" spans="20:21" x14ac:dyDescent="0.25">
      <c r="T101" s="98"/>
      <c r="U101" s="99"/>
    </row>
    <row r="102" spans="20:21" x14ac:dyDescent="0.25">
      <c r="T102" s="98"/>
      <c r="U102" s="99"/>
    </row>
    <row r="103" spans="20:21" x14ac:dyDescent="0.25">
      <c r="T103" s="98"/>
      <c r="U103" s="99"/>
    </row>
    <row r="104" spans="20:21" x14ac:dyDescent="0.25">
      <c r="T104" s="98"/>
      <c r="U104" s="99"/>
    </row>
    <row r="105" spans="20:21" x14ac:dyDescent="0.25">
      <c r="T105" s="98"/>
      <c r="U105" s="99"/>
    </row>
    <row r="106" spans="20:21" x14ac:dyDescent="0.25">
      <c r="T106" s="98"/>
      <c r="U106" s="99"/>
    </row>
    <row r="107" spans="20:21" x14ac:dyDescent="0.25">
      <c r="T107" s="98"/>
      <c r="U107" s="99"/>
    </row>
    <row r="108" spans="20:21" x14ac:dyDescent="0.25">
      <c r="T108" s="98"/>
      <c r="U108" s="99"/>
    </row>
    <row r="109" spans="20:21" x14ac:dyDescent="0.25">
      <c r="T109" s="98"/>
      <c r="U109" s="99"/>
    </row>
    <row r="110" spans="20:21" x14ac:dyDescent="0.25">
      <c r="T110" s="98"/>
      <c r="U110" s="99"/>
    </row>
    <row r="111" spans="20:21" x14ac:dyDescent="0.25">
      <c r="T111" s="98"/>
      <c r="U111" s="99"/>
    </row>
    <row r="112" spans="20:21" x14ac:dyDescent="0.25">
      <c r="T112" s="98"/>
      <c r="U112" s="99"/>
    </row>
    <row r="113" spans="20:21" x14ac:dyDescent="0.25">
      <c r="T113" s="98"/>
      <c r="U113" s="99"/>
    </row>
    <row r="114" spans="20:21" x14ac:dyDescent="0.25">
      <c r="T114" s="98"/>
      <c r="U114" s="99"/>
    </row>
    <row r="115" spans="20:21" x14ac:dyDescent="0.25">
      <c r="T115" s="98"/>
      <c r="U115" s="99"/>
    </row>
    <row r="116" spans="20:21" x14ac:dyDescent="0.25">
      <c r="T116" s="98"/>
      <c r="U116" s="99"/>
    </row>
    <row r="117" spans="20:21" x14ac:dyDescent="0.25">
      <c r="T117" s="98"/>
      <c r="U117" s="99"/>
    </row>
    <row r="118" spans="20:21" x14ac:dyDescent="0.25">
      <c r="T118" s="98"/>
      <c r="U118" s="99"/>
    </row>
    <row r="119" spans="20:21" x14ac:dyDescent="0.25">
      <c r="T119" s="98"/>
      <c r="U119" s="99"/>
    </row>
    <row r="120" spans="20:21" x14ac:dyDescent="0.25">
      <c r="T120" s="98"/>
      <c r="U120" s="99"/>
    </row>
    <row r="121" spans="20:21" x14ac:dyDescent="0.25">
      <c r="T121" s="98"/>
      <c r="U121" s="99"/>
    </row>
    <row r="122" spans="20:21" x14ac:dyDescent="0.25">
      <c r="T122" s="98"/>
      <c r="U122" s="99"/>
    </row>
    <row r="123" spans="20:21" x14ac:dyDescent="0.25">
      <c r="T123" s="98"/>
      <c r="U123" s="99"/>
    </row>
    <row r="124" spans="20:21" x14ac:dyDescent="0.25">
      <c r="T124" s="98"/>
      <c r="U124" s="99"/>
    </row>
    <row r="125" spans="20:21" x14ac:dyDescent="0.25">
      <c r="T125" s="98"/>
      <c r="U125" s="99"/>
    </row>
    <row r="126" spans="20:21" x14ac:dyDescent="0.25">
      <c r="T126" s="98"/>
      <c r="U126" s="99"/>
    </row>
    <row r="127" spans="20:21" x14ac:dyDescent="0.25">
      <c r="T127" s="98"/>
      <c r="U127" s="99"/>
    </row>
    <row r="128" spans="20:21" x14ac:dyDescent="0.25">
      <c r="T128" s="98"/>
      <c r="U128" s="99"/>
    </row>
    <row r="129" spans="20:21" x14ac:dyDescent="0.25">
      <c r="T129" s="98"/>
      <c r="U129" s="99"/>
    </row>
    <row r="130" spans="20:21" x14ac:dyDescent="0.25">
      <c r="T130" s="98"/>
      <c r="U130" s="99"/>
    </row>
    <row r="131" spans="20:21" x14ac:dyDescent="0.25">
      <c r="T131" s="98"/>
      <c r="U131" s="99"/>
    </row>
    <row r="132" spans="20:21" x14ac:dyDescent="0.25">
      <c r="T132" s="98"/>
      <c r="U132" s="99"/>
    </row>
    <row r="133" spans="20:21" x14ac:dyDescent="0.25">
      <c r="T133" s="98"/>
      <c r="U133" s="99"/>
    </row>
    <row r="134" spans="20:21" x14ac:dyDescent="0.25">
      <c r="T134" s="98"/>
      <c r="U134" s="99"/>
    </row>
    <row r="135" spans="20:21" x14ac:dyDescent="0.25">
      <c r="T135" s="98"/>
      <c r="U135" s="99"/>
    </row>
    <row r="136" spans="20:21" x14ac:dyDescent="0.25">
      <c r="T136" s="98"/>
      <c r="U136" s="99"/>
    </row>
    <row r="137" spans="20:21" x14ac:dyDescent="0.25">
      <c r="T137" s="98"/>
      <c r="U137" s="99"/>
    </row>
    <row r="138" spans="20:21" x14ac:dyDescent="0.25">
      <c r="T138" s="98"/>
      <c r="U138" s="99"/>
    </row>
    <row r="139" spans="20:21" x14ac:dyDescent="0.25">
      <c r="T139" s="98"/>
      <c r="U139" s="99"/>
    </row>
    <row r="140" spans="20:21" x14ac:dyDescent="0.25">
      <c r="T140" s="98"/>
      <c r="U140" s="99"/>
    </row>
    <row r="141" spans="20:21" x14ac:dyDescent="0.25">
      <c r="T141" s="98"/>
      <c r="U141" s="99"/>
    </row>
    <row r="142" spans="20:21" x14ac:dyDescent="0.25">
      <c r="T142" s="98"/>
      <c r="U142" s="99"/>
    </row>
    <row r="143" spans="20:21" x14ac:dyDescent="0.25">
      <c r="T143" s="98"/>
      <c r="U143" s="99"/>
    </row>
    <row r="144" spans="20:21" x14ac:dyDescent="0.25">
      <c r="T144" s="98"/>
      <c r="U144" s="99"/>
    </row>
    <row r="145" spans="20:21" x14ac:dyDescent="0.25">
      <c r="T145" s="98"/>
      <c r="U145" s="99"/>
    </row>
    <row r="146" spans="20:21" x14ac:dyDescent="0.25">
      <c r="T146" s="98"/>
      <c r="U146" s="99"/>
    </row>
    <row r="147" spans="20:21" x14ac:dyDescent="0.25">
      <c r="T147" s="98"/>
      <c r="U147" s="99"/>
    </row>
    <row r="148" spans="20:21" x14ac:dyDescent="0.25">
      <c r="T148" s="98"/>
      <c r="U148" s="99"/>
    </row>
    <row r="149" spans="20:21" x14ac:dyDescent="0.25">
      <c r="T149" s="98"/>
      <c r="U149" s="99"/>
    </row>
    <row r="150" spans="20:21" x14ac:dyDescent="0.25">
      <c r="T150" s="98"/>
      <c r="U150" s="99"/>
    </row>
    <row r="151" spans="20:21" x14ac:dyDescent="0.25">
      <c r="T151" s="98"/>
      <c r="U151" s="99"/>
    </row>
    <row r="152" spans="20:21" x14ac:dyDescent="0.25">
      <c r="T152" s="98"/>
      <c r="U152" s="99"/>
    </row>
    <row r="153" spans="20:21" x14ac:dyDescent="0.25">
      <c r="T153" s="98"/>
      <c r="U153" s="99"/>
    </row>
    <row r="154" spans="20:21" x14ac:dyDescent="0.25">
      <c r="T154" s="98"/>
      <c r="U154" s="99"/>
    </row>
    <row r="155" spans="20:21" x14ac:dyDescent="0.25">
      <c r="T155" s="98"/>
      <c r="U155" s="99"/>
    </row>
    <row r="156" spans="20:21" x14ac:dyDescent="0.25">
      <c r="T156" s="98"/>
      <c r="U156" s="99"/>
    </row>
    <row r="157" spans="20:21" x14ac:dyDescent="0.25">
      <c r="T157" s="98"/>
      <c r="U157" s="99"/>
    </row>
    <row r="158" spans="20:21" x14ac:dyDescent="0.25">
      <c r="T158" s="98"/>
      <c r="U158" s="99"/>
    </row>
    <row r="159" spans="20:21" x14ac:dyDescent="0.25">
      <c r="T159" s="98"/>
      <c r="U159" s="99"/>
    </row>
    <row r="160" spans="20:21" x14ac:dyDescent="0.25">
      <c r="T160" s="98"/>
      <c r="U160" s="99"/>
    </row>
    <row r="161" spans="20:21" x14ac:dyDescent="0.25">
      <c r="T161" s="98"/>
      <c r="U161" s="99"/>
    </row>
    <row r="162" spans="20:21" x14ac:dyDescent="0.25">
      <c r="T162" s="98"/>
      <c r="U162" s="99"/>
    </row>
    <row r="163" spans="20:21" x14ac:dyDescent="0.25">
      <c r="T163" s="98"/>
      <c r="U163" s="99"/>
    </row>
    <row r="164" spans="20:21" x14ac:dyDescent="0.25">
      <c r="T164" s="98"/>
      <c r="U164" s="99"/>
    </row>
    <row r="165" spans="20:21" x14ac:dyDescent="0.25">
      <c r="T165" s="98"/>
      <c r="U165" s="99"/>
    </row>
    <row r="166" spans="20:21" x14ac:dyDescent="0.25">
      <c r="T166" s="98"/>
      <c r="U166" s="99"/>
    </row>
    <row r="167" spans="20:21" x14ac:dyDescent="0.25">
      <c r="T167" s="98"/>
      <c r="U167" s="99"/>
    </row>
    <row r="168" spans="20:21" x14ac:dyDescent="0.25">
      <c r="T168" s="98"/>
      <c r="U168" s="99"/>
    </row>
    <row r="169" spans="20:21" x14ac:dyDescent="0.25">
      <c r="T169" s="98"/>
      <c r="U169" s="99"/>
    </row>
    <row r="170" spans="20:21" x14ac:dyDescent="0.25">
      <c r="T170" s="98"/>
      <c r="U170" s="99"/>
    </row>
    <row r="171" spans="20:21" x14ac:dyDescent="0.25">
      <c r="T171" s="98"/>
      <c r="U171" s="99"/>
    </row>
    <row r="172" spans="20:21" x14ac:dyDescent="0.25">
      <c r="T172" s="98"/>
      <c r="U172" s="99"/>
    </row>
    <row r="173" spans="20:21" x14ac:dyDescent="0.25">
      <c r="T173" s="98"/>
      <c r="U173" s="99"/>
    </row>
    <row r="174" spans="20:21" x14ac:dyDescent="0.25">
      <c r="T174" s="98"/>
      <c r="U174" s="99"/>
    </row>
    <row r="175" spans="20:21" x14ac:dyDescent="0.25">
      <c r="T175" s="98"/>
      <c r="U175" s="99"/>
    </row>
    <row r="176" spans="20:21" x14ac:dyDescent="0.25">
      <c r="T176" s="98"/>
      <c r="U176" s="99"/>
    </row>
    <row r="177" spans="20:21" x14ac:dyDescent="0.25">
      <c r="T177" s="98"/>
      <c r="U177" s="99"/>
    </row>
    <row r="178" spans="20:21" x14ac:dyDescent="0.25">
      <c r="T178" s="98"/>
      <c r="U178" s="99"/>
    </row>
    <row r="179" spans="20:21" x14ac:dyDescent="0.25">
      <c r="T179" s="98"/>
      <c r="U179" s="99"/>
    </row>
    <row r="180" spans="20:21" x14ac:dyDescent="0.25">
      <c r="T180" s="98"/>
      <c r="U180" s="99"/>
    </row>
    <row r="181" spans="20:21" x14ac:dyDescent="0.25">
      <c r="T181" s="98"/>
      <c r="U181" s="99"/>
    </row>
    <row r="182" spans="20:21" x14ac:dyDescent="0.25">
      <c r="T182" s="98"/>
      <c r="U182" s="99"/>
    </row>
    <row r="183" spans="20:21" x14ac:dyDescent="0.25">
      <c r="T183" s="98"/>
      <c r="U183" s="99"/>
    </row>
    <row r="184" spans="20:21" x14ac:dyDescent="0.25">
      <c r="T184" s="98"/>
      <c r="U184" s="99"/>
    </row>
    <row r="185" spans="20:21" x14ac:dyDescent="0.25">
      <c r="T185" s="98"/>
      <c r="U185" s="99"/>
    </row>
    <row r="186" spans="20:21" x14ac:dyDescent="0.25">
      <c r="T186" s="98"/>
      <c r="U186" s="99"/>
    </row>
    <row r="187" spans="20:21" x14ac:dyDescent="0.25">
      <c r="T187" s="98"/>
      <c r="U187" s="99"/>
    </row>
    <row r="188" spans="20:21" x14ac:dyDescent="0.25">
      <c r="T188" s="98"/>
      <c r="U188" s="99"/>
    </row>
    <row r="189" spans="20:21" x14ac:dyDescent="0.25">
      <c r="T189" s="98"/>
      <c r="U189" s="99"/>
    </row>
    <row r="190" spans="20:21" x14ac:dyDescent="0.25">
      <c r="T190" s="98"/>
      <c r="U190" s="99"/>
    </row>
    <row r="191" spans="20:21" x14ac:dyDescent="0.25">
      <c r="T191" s="98"/>
      <c r="U191" s="99"/>
    </row>
    <row r="192" spans="20:21" x14ac:dyDescent="0.25">
      <c r="T192" s="98"/>
      <c r="U192" s="99"/>
    </row>
    <row r="193" spans="20:21" x14ac:dyDescent="0.25">
      <c r="T193" s="98"/>
      <c r="U193" s="99"/>
    </row>
    <row r="194" spans="20:21" x14ac:dyDescent="0.25">
      <c r="T194" s="98"/>
      <c r="U194" s="99"/>
    </row>
    <row r="195" spans="20:21" x14ac:dyDescent="0.25">
      <c r="T195" s="98"/>
      <c r="U195" s="99"/>
    </row>
    <row r="196" spans="20:21" x14ac:dyDescent="0.25">
      <c r="T196" s="98"/>
      <c r="U196" s="99"/>
    </row>
    <row r="197" spans="20:21" x14ac:dyDescent="0.25">
      <c r="T197" s="98"/>
      <c r="U197" s="99"/>
    </row>
    <row r="198" spans="20:21" x14ac:dyDescent="0.25">
      <c r="T198" s="98"/>
      <c r="U198" s="99"/>
    </row>
    <row r="199" spans="20:21" x14ac:dyDescent="0.25">
      <c r="T199" s="98"/>
      <c r="U199" s="99"/>
    </row>
    <row r="200" spans="20:21" x14ac:dyDescent="0.25">
      <c r="T200" s="98"/>
      <c r="U200" s="99"/>
    </row>
    <row r="201" spans="20:21" x14ac:dyDescent="0.25">
      <c r="T201" s="98"/>
      <c r="U201" s="99"/>
    </row>
    <row r="202" spans="20:21" x14ac:dyDescent="0.25">
      <c r="T202" s="98"/>
      <c r="U202" s="99"/>
    </row>
    <row r="203" spans="20:21" x14ac:dyDescent="0.25">
      <c r="T203" s="98"/>
      <c r="U203" s="99"/>
    </row>
    <row r="204" spans="20:21" x14ac:dyDescent="0.25">
      <c r="T204" s="98"/>
      <c r="U204" s="99"/>
    </row>
    <row r="205" spans="20:21" x14ac:dyDescent="0.25">
      <c r="T205" s="98"/>
      <c r="U205" s="99"/>
    </row>
    <row r="206" spans="20:21" x14ac:dyDescent="0.25">
      <c r="T206" s="98"/>
      <c r="U206" s="99"/>
    </row>
    <row r="207" spans="20:21" x14ac:dyDescent="0.25">
      <c r="T207" s="98"/>
      <c r="U207" s="99"/>
    </row>
    <row r="208" spans="20:21" x14ac:dyDescent="0.25">
      <c r="T208" s="98"/>
      <c r="U208" s="99"/>
    </row>
    <row r="209" spans="20:21" x14ac:dyDescent="0.25">
      <c r="T209" s="98"/>
      <c r="U209" s="99"/>
    </row>
    <row r="210" spans="20:21" x14ac:dyDescent="0.25">
      <c r="T210" s="98"/>
      <c r="U210" s="99"/>
    </row>
    <row r="211" spans="20:21" x14ac:dyDescent="0.25">
      <c r="T211" s="98"/>
      <c r="U211" s="99"/>
    </row>
    <row r="212" spans="20:21" x14ac:dyDescent="0.25">
      <c r="T212" s="98"/>
      <c r="U212" s="99"/>
    </row>
    <row r="213" spans="20:21" x14ac:dyDescent="0.25">
      <c r="T213" s="98"/>
      <c r="U213" s="99"/>
    </row>
    <row r="214" spans="20:21" x14ac:dyDescent="0.25">
      <c r="T214" s="98"/>
      <c r="U214" s="99"/>
    </row>
    <row r="215" spans="20:21" x14ac:dyDescent="0.25">
      <c r="T215" s="98"/>
      <c r="U215" s="99"/>
    </row>
    <row r="216" spans="20:21" x14ac:dyDescent="0.25">
      <c r="T216" s="98"/>
      <c r="U216" s="99"/>
    </row>
    <row r="217" spans="20:21" x14ac:dyDescent="0.25">
      <c r="T217" s="98"/>
      <c r="U217" s="99"/>
    </row>
    <row r="218" spans="20:21" x14ac:dyDescent="0.25">
      <c r="T218" s="98"/>
      <c r="U218" s="99"/>
    </row>
    <row r="219" spans="20:21" x14ac:dyDescent="0.25">
      <c r="T219" s="98"/>
      <c r="U219" s="99"/>
    </row>
    <row r="220" spans="20:21" x14ac:dyDescent="0.25">
      <c r="T220" s="98"/>
      <c r="U220" s="99"/>
    </row>
    <row r="221" spans="20:21" x14ac:dyDescent="0.25">
      <c r="T221" s="98"/>
      <c r="U221" s="99"/>
    </row>
    <row r="222" spans="20:21" x14ac:dyDescent="0.25">
      <c r="T222" s="98"/>
      <c r="U222" s="99"/>
    </row>
    <row r="223" spans="20:21" x14ac:dyDescent="0.25">
      <c r="T223" s="98"/>
      <c r="U223" s="99"/>
    </row>
    <row r="224" spans="20:21" x14ac:dyDescent="0.25">
      <c r="T224" s="98"/>
      <c r="U224" s="99"/>
    </row>
    <row r="225" spans="20:21" x14ac:dyDescent="0.25">
      <c r="T225" s="98"/>
      <c r="U225" s="99"/>
    </row>
    <row r="226" spans="20:21" x14ac:dyDescent="0.25">
      <c r="T226" s="98"/>
      <c r="U226" s="99"/>
    </row>
    <row r="227" spans="20:21" x14ac:dyDescent="0.25">
      <c r="T227" s="98"/>
      <c r="U227" s="99"/>
    </row>
    <row r="228" spans="20:21" x14ac:dyDescent="0.25">
      <c r="T228" s="98"/>
      <c r="U228" s="99"/>
    </row>
    <row r="229" spans="20:21" x14ac:dyDescent="0.25">
      <c r="T229" s="98"/>
      <c r="U229" s="99"/>
    </row>
    <row r="230" spans="20:21" x14ac:dyDescent="0.25">
      <c r="T230" s="98"/>
      <c r="U230" s="99"/>
    </row>
    <row r="231" spans="20:21" x14ac:dyDescent="0.25">
      <c r="T231" s="98"/>
      <c r="U231" s="99"/>
    </row>
    <row r="232" spans="20:21" x14ac:dyDescent="0.25">
      <c r="T232" s="98"/>
      <c r="U232" s="99"/>
    </row>
    <row r="233" spans="20:21" x14ac:dyDescent="0.25">
      <c r="T233" s="98"/>
      <c r="U233" s="99"/>
    </row>
    <row r="234" spans="20:21" x14ac:dyDescent="0.25">
      <c r="T234" s="98"/>
      <c r="U234" s="99"/>
    </row>
    <row r="235" spans="20:21" x14ac:dyDescent="0.25">
      <c r="T235" s="98"/>
      <c r="U235" s="99"/>
    </row>
    <row r="236" spans="20:21" x14ac:dyDescent="0.25">
      <c r="T236" s="98"/>
      <c r="U236" s="99"/>
    </row>
    <row r="237" spans="20:21" x14ac:dyDescent="0.25">
      <c r="T237" s="98"/>
      <c r="U237" s="99"/>
    </row>
    <row r="238" spans="20:21" x14ac:dyDescent="0.25">
      <c r="T238" s="98"/>
      <c r="U238" s="99"/>
    </row>
    <row r="239" spans="20:21" x14ac:dyDescent="0.25">
      <c r="T239" s="98"/>
      <c r="U239" s="99"/>
    </row>
    <row r="240" spans="20:21" x14ac:dyDescent="0.25">
      <c r="T240" s="98"/>
      <c r="U240" s="99"/>
    </row>
    <row r="241" spans="20:21" x14ac:dyDescent="0.25">
      <c r="T241" s="98"/>
      <c r="U241" s="99"/>
    </row>
    <row r="242" spans="20:21" x14ac:dyDescent="0.25">
      <c r="T242" s="98"/>
      <c r="U242" s="99"/>
    </row>
    <row r="243" spans="20:21" x14ac:dyDescent="0.25">
      <c r="T243" s="98"/>
      <c r="U243" s="99"/>
    </row>
    <row r="244" spans="20:21" x14ac:dyDescent="0.25">
      <c r="T244" s="98"/>
      <c r="U244" s="99"/>
    </row>
    <row r="245" spans="20:21" x14ac:dyDescent="0.25">
      <c r="T245" s="98"/>
      <c r="U245" s="99"/>
    </row>
    <row r="246" spans="20:21" x14ac:dyDescent="0.25">
      <c r="T246" s="98"/>
      <c r="U246" s="99"/>
    </row>
    <row r="247" spans="20:21" x14ac:dyDescent="0.25">
      <c r="T247" s="98"/>
      <c r="U247" s="99"/>
    </row>
    <row r="248" spans="20:21" x14ac:dyDescent="0.25">
      <c r="T248" s="98"/>
      <c r="U248" s="99"/>
    </row>
    <row r="249" spans="20:21" x14ac:dyDescent="0.25">
      <c r="T249" s="98"/>
      <c r="U249" s="99"/>
    </row>
    <row r="250" spans="20:21" x14ac:dyDescent="0.25">
      <c r="T250" s="98"/>
      <c r="U250" s="99"/>
    </row>
    <row r="251" spans="20:21" x14ac:dyDescent="0.25">
      <c r="T251" s="98"/>
      <c r="U251" s="99"/>
    </row>
    <row r="252" spans="20:21" x14ac:dyDescent="0.25">
      <c r="T252" s="98"/>
      <c r="U252" s="99"/>
    </row>
    <row r="253" spans="20:21" x14ac:dyDescent="0.25">
      <c r="T253" s="98"/>
      <c r="U253" s="99"/>
    </row>
    <row r="254" spans="20:21" x14ac:dyDescent="0.25">
      <c r="T254" s="98"/>
      <c r="U254" s="99"/>
    </row>
    <row r="255" spans="20:21" x14ac:dyDescent="0.25">
      <c r="T255" s="98"/>
      <c r="U255" s="99"/>
    </row>
    <row r="256" spans="20:21" x14ac:dyDescent="0.25">
      <c r="T256" s="98"/>
      <c r="U256" s="99"/>
    </row>
    <row r="257" spans="20:21" x14ac:dyDescent="0.25">
      <c r="T257" s="98"/>
      <c r="U257" s="99"/>
    </row>
    <row r="258" spans="20:21" x14ac:dyDescent="0.25">
      <c r="T258" s="98"/>
      <c r="U258" s="99"/>
    </row>
    <row r="259" spans="20:21" x14ac:dyDescent="0.25">
      <c r="T259" s="98"/>
      <c r="U259" s="99"/>
    </row>
    <row r="260" spans="20:21" x14ac:dyDescent="0.25">
      <c r="T260" s="98"/>
      <c r="U260" s="99"/>
    </row>
    <row r="261" spans="20:21" x14ac:dyDescent="0.25">
      <c r="T261" s="98"/>
      <c r="U261" s="99"/>
    </row>
    <row r="262" spans="20:21" x14ac:dyDescent="0.25">
      <c r="T262" s="98"/>
      <c r="U262" s="99"/>
    </row>
    <row r="263" spans="20:21" x14ac:dyDescent="0.25">
      <c r="T263" s="98"/>
      <c r="U263" s="99"/>
    </row>
    <row r="264" spans="20:21" x14ac:dyDescent="0.25">
      <c r="T264" s="98"/>
      <c r="U264" s="99"/>
    </row>
    <row r="265" spans="20:21" x14ac:dyDescent="0.25">
      <c r="T265" s="98"/>
      <c r="U265" s="99"/>
    </row>
    <row r="266" spans="20:21" x14ac:dyDescent="0.25">
      <c r="T266" s="98"/>
      <c r="U266" s="99"/>
    </row>
    <row r="267" spans="20:21" x14ac:dyDescent="0.25">
      <c r="T267" s="98"/>
      <c r="U267" s="99"/>
    </row>
    <row r="268" spans="20:21" x14ac:dyDescent="0.25">
      <c r="T268" s="98"/>
      <c r="U268" s="99"/>
    </row>
    <row r="269" spans="20:21" x14ac:dyDescent="0.25">
      <c r="T269" s="98"/>
      <c r="U269" s="99"/>
    </row>
    <row r="270" spans="20:21" x14ac:dyDescent="0.25">
      <c r="T270" s="98"/>
      <c r="U270" s="99"/>
    </row>
    <row r="271" spans="20:21" x14ac:dyDescent="0.25">
      <c r="T271" s="98"/>
      <c r="U271" s="99"/>
    </row>
    <row r="272" spans="20:21" x14ac:dyDescent="0.25">
      <c r="T272" s="98"/>
      <c r="U272" s="99"/>
    </row>
    <row r="273" spans="20:21" x14ac:dyDescent="0.25">
      <c r="T273" s="98"/>
      <c r="U273" s="99"/>
    </row>
    <row r="274" spans="20:21" x14ac:dyDescent="0.25">
      <c r="T274" s="98"/>
      <c r="U274" s="99"/>
    </row>
    <row r="275" spans="20:21" x14ac:dyDescent="0.25">
      <c r="T275" s="98"/>
      <c r="U275" s="99"/>
    </row>
    <row r="276" spans="20:21" x14ac:dyDescent="0.25">
      <c r="T276" s="98"/>
      <c r="U276" s="99"/>
    </row>
    <row r="277" spans="20:21" x14ac:dyDescent="0.25">
      <c r="T277" s="98"/>
      <c r="U277" s="99"/>
    </row>
    <row r="278" spans="20:21" x14ac:dyDescent="0.25">
      <c r="T278" s="98"/>
      <c r="U278" s="99"/>
    </row>
    <row r="279" spans="20:21" x14ac:dyDescent="0.25">
      <c r="T279" s="98"/>
      <c r="U279" s="99"/>
    </row>
    <row r="280" spans="20:21" x14ac:dyDescent="0.25">
      <c r="T280" s="98"/>
      <c r="U280" s="99"/>
    </row>
    <row r="281" spans="20:21" x14ac:dyDescent="0.25">
      <c r="T281" s="98"/>
      <c r="U281" s="99"/>
    </row>
    <row r="282" spans="20:21" x14ac:dyDescent="0.25">
      <c r="T282" s="98"/>
      <c r="U282" s="99"/>
    </row>
    <row r="283" spans="20:21" x14ac:dyDescent="0.25">
      <c r="T283" s="98"/>
      <c r="U283" s="99"/>
    </row>
    <row r="284" spans="20:21" x14ac:dyDescent="0.25">
      <c r="T284" s="98"/>
      <c r="U284" s="99"/>
    </row>
    <row r="285" spans="20:21" x14ac:dyDescent="0.25">
      <c r="T285" s="98"/>
      <c r="U285" s="99"/>
    </row>
    <row r="286" spans="20:21" x14ac:dyDescent="0.25">
      <c r="T286" s="98"/>
      <c r="U286" s="99"/>
    </row>
    <row r="287" spans="20:21" x14ac:dyDescent="0.25">
      <c r="T287" s="98"/>
      <c r="U287" s="99"/>
    </row>
    <row r="288" spans="20:21" x14ac:dyDescent="0.25">
      <c r="T288" s="98"/>
      <c r="U288" s="99"/>
    </row>
    <row r="289" spans="20:21" x14ac:dyDescent="0.25">
      <c r="T289" s="98"/>
      <c r="U289" s="99"/>
    </row>
    <row r="290" spans="20:21" x14ac:dyDescent="0.25">
      <c r="T290" s="98"/>
      <c r="U290" s="99"/>
    </row>
    <row r="291" spans="20:21" x14ac:dyDescent="0.25">
      <c r="T291" s="98"/>
      <c r="U291" s="99"/>
    </row>
    <row r="292" spans="20:21" x14ac:dyDescent="0.25">
      <c r="T292" s="98"/>
      <c r="U292" s="99"/>
    </row>
    <row r="293" spans="20:21" x14ac:dyDescent="0.25">
      <c r="T293" s="98"/>
      <c r="U293" s="99"/>
    </row>
    <row r="294" spans="20:21" x14ac:dyDescent="0.25">
      <c r="T294" s="98"/>
      <c r="U294" s="99"/>
    </row>
    <row r="295" spans="20:21" x14ac:dyDescent="0.25">
      <c r="T295" s="98"/>
      <c r="U295" s="99"/>
    </row>
    <row r="296" spans="20:21" x14ac:dyDescent="0.25">
      <c r="T296" s="98"/>
      <c r="U296" s="99"/>
    </row>
    <row r="297" spans="20:21" x14ac:dyDescent="0.25">
      <c r="T297" s="98"/>
      <c r="U297" s="99"/>
    </row>
    <row r="298" spans="20:21" x14ac:dyDescent="0.25">
      <c r="T298" s="98"/>
      <c r="U298" s="99"/>
    </row>
    <row r="299" spans="20:21" x14ac:dyDescent="0.25">
      <c r="T299" s="98"/>
      <c r="U299" s="99"/>
    </row>
    <row r="300" spans="20:21" x14ac:dyDescent="0.25">
      <c r="T300" s="98"/>
      <c r="U300" s="99"/>
    </row>
    <row r="301" spans="20:21" x14ac:dyDescent="0.25">
      <c r="T301" s="98"/>
      <c r="U301" s="99"/>
    </row>
    <row r="302" spans="20:21" x14ac:dyDescent="0.25">
      <c r="T302" s="98"/>
      <c r="U302" s="99"/>
    </row>
    <row r="303" spans="20:21" x14ac:dyDescent="0.25">
      <c r="T303" s="98"/>
      <c r="U303" s="99"/>
    </row>
    <row r="304" spans="20:21" x14ac:dyDescent="0.25">
      <c r="T304" s="98"/>
      <c r="U304" s="99"/>
    </row>
    <row r="305" spans="20:21" x14ac:dyDescent="0.25">
      <c r="T305" s="98"/>
      <c r="U305" s="99"/>
    </row>
    <row r="306" spans="20:21" x14ac:dyDescent="0.25">
      <c r="T306" s="98"/>
      <c r="U306" s="99"/>
    </row>
    <row r="307" spans="20:21" x14ac:dyDescent="0.25">
      <c r="T307" s="98"/>
      <c r="U307" s="99"/>
    </row>
    <row r="308" spans="20:21" x14ac:dyDescent="0.25">
      <c r="T308" s="98"/>
      <c r="U308" s="99"/>
    </row>
    <row r="309" spans="20:21" x14ac:dyDescent="0.25">
      <c r="T309" s="98"/>
      <c r="U309" s="99"/>
    </row>
    <row r="310" spans="20:21" x14ac:dyDescent="0.25">
      <c r="T310" s="98"/>
      <c r="U310" s="99"/>
    </row>
    <row r="311" spans="20:21" x14ac:dyDescent="0.25">
      <c r="T311" s="98"/>
      <c r="U311" s="99"/>
    </row>
    <row r="312" spans="20:21" x14ac:dyDescent="0.25">
      <c r="T312" s="98"/>
      <c r="U312" s="99"/>
    </row>
    <row r="313" spans="20:21" x14ac:dyDescent="0.25">
      <c r="T313" s="98"/>
      <c r="U313" s="99"/>
    </row>
    <row r="314" spans="20:21" x14ac:dyDescent="0.25">
      <c r="T314" s="98"/>
      <c r="U314" s="99"/>
    </row>
    <row r="315" spans="20:21" x14ac:dyDescent="0.25">
      <c r="T315" s="98"/>
      <c r="U315" s="99"/>
    </row>
    <row r="316" spans="20:21" x14ac:dyDescent="0.25">
      <c r="T316" s="98"/>
      <c r="U316" s="99"/>
    </row>
    <row r="317" spans="20:21" x14ac:dyDescent="0.25">
      <c r="T317" s="98"/>
      <c r="U317" s="99"/>
    </row>
    <row r="318" spans="20:21" x14ac:dyDescent="0.25">
      <c r="T318" s="98"/>
      <c r="U318" s="99"/>
    </row>
    <row r="319" spans="20:21" x14ac:dyDescent="0.25">
      <c r="T319" s="98"/>
      <c r="U319" s="99"/>
    </row>
    <row r="320" spans="20:21" x14ac:dyDescent="0.25">
      <c r="T320" s="98"/>
      <c r="U320" s="99"/>
    </row>
    <row r="321" spans="20:21" x14ac:dyDescent="0.25">
      <c r="T321" s="98"/>
      <c r="U321" s="99"/>
    </row>
    <row r="322" spans="20:21" x14ac:dyDescent="0.25">
      <c r="T322" s="98"/>
      <c r="U322" s="99"/>
    </row>
    <row r="323" spans="20:21" x14ac:dyDescent="0.25">
      <c r="T323" s="98"/>
      <c r="U323" s="99"/>
    </row>
    <row r="324" spans="20:21" x14ac:dyDescent="0.25">
      <c r="T324" s="98"/>
      <c r="U324" s="99"/>
    </row>
    <row r="325" spans="20:21" x14ac:dyDescent="0.25">
      <c r="T325" s="98"/>
      <c r="U325" s="99"/>
    </row>
    <row r="326" spans="20:21" x14ac:dyDescent="0.25">
      <c r="T326" s="98"/>
      <c r="U326" s="99"/>
    </row>
    <row r="327" spans="20:21" x14ac:dyDescent="0.25">
      <c r="T327" s="98"/>
      <c r="U327" s="99"/>
    </row>
    <row r="328" spans="20:21" x14ac:dyDescent="0.25">
      <c r="T328" s="98"/>
      <c r="U328" s="99"/>
    </row>
    <row r="329" spans="20:21" x14ac:dyDescent="0.25">
      <c r="T329" s="98"/>
      <c r="U329" s="99"/>
    </row>
    <row r="330" spans="20:21" x14ac:dyDescent="0.25">
      <c r="T330" s="98"/>
      <c r="U330" s="99"/>
    </row>
    <row r="331" spans="20:21" x14ac:dyDescent="0.25">
      <c r="T331" s="98"/>
      <c r="U331" s="99"/>
    </row>
    <row r="332" spans="20:21" x14ac:dyDescent="0.25">
      <c r="T332" s="98"/>
      <c r="U332" s="99"/>
    </row>
    <row r="333" spans="20:21" x14ac:dyDescent="0.25">
      <c r="T333" s="98"/>
      <c r="U333" s="99"/>
    </row>
    <row r="334" spans="20:21" x14ac:dyDescent="0.25">
      <c r="T334" s="98"/>
      <c r="U334" s="99"/>
    </row>
    <row r="335" spans="20:21" x14ac:dyDescent="0.25">
      <c r="T335" s="98"/>
      <c r="U335" s="99"/>
    </row>
    <row r="336" spans="20:21" x14ac:dyDescent="0.25">
      <c r="T336" s="98"/>
      <c r="U336" s="99"/>
    </row>
    <row r="337" spans="20:21" x14ac:dyDescent="0.25">
      <c r="T337" s="98"/>
      <c r="U337" s="99"/>
    </row>
    <row r="338" spans="20:21" x14ac:dyDescent="0.25">
      <c r="T338" s="98"/>
      <c r="U338" s="99"/>
    </row>
    <row r="339" spans="20:21" x14ac:dyDescent="0.25">
      <c r="T339" s="98"/>
      <c r="U339" s="99"/>
    </row>
    <row r="340" spans="20:21" x14ac:dyDescent="0.25">
      <c r="T340" s="98"/>
      <c r="U340" s="99"/>
    </row>
    <row r="341" spans="20:21" x14ac:dyDescent="0.25">
      <c r="T341" s="98"/>
      <c r="U341" s="99"/>
    </row>
    <row r="342" spans="20:21" x14ac:dyDescent="0.25">
      <c r="T342" s="98"/>
      <c r="U342" s="99"/>
    </row>
    <row r="343" spans="20:21" x14ac:dyDescent="0.25">
      <c r="T343" s="98"/>
      <c r="U343" s="99"/>
    </row>
    <row r="344" spans="20:21" x14ac:dyDescent="0.25">
      <c r="T344" s="98"/>
      <c r="U344" s="99"/>
    </row>
    <row r="345" spans="20:21" x14ac:dyDescent="0.25">
      <c r="T345" s="98"/>
      <c r="U345" s="99"/>
    </row>
    <row r="346" spans="20:21" x14ac:dyDescent="0.25">
      <c r="T346" s="98"/>
      <c r="U346" s="99"/>
    </row>
    <row r="347" spans="20:21" x14ac:dyDescent="0.25">
      <c r="T347" s="98"/>
      <c r="U347" s="99"/>
    </row>
    <row r="348" spans="20:21" x14ac:dyDescent="0.25">
      <c r="T348" s="98"/>
      <c r="U348" s="99"/>
    </row>
    <row r="349" spans="20:21" x14ac:dyDescent="0.25">
      <c r="T349" s="98"/>
      <c r="U349" s="99"/>
    </row>
    <row r="350" spans="20:21" x14ac:dyDescent="0.25">
      <c r="T350" s="98"/>
      <c r="U350" s="99"/>
    </row>
    <row r="351" spans="20:21" x14ac:dyDescent="0.25">
      <c r="T351" s="98"/>
      <c r="U351" s="99"/>
    </row>
    <row r="352" spans="20:21" x14ac:dyDescent="0.25">
      <c r="T352" s="98"/>
      <c r="U352" s="99"/>
    </row>
    <row r="353" spans="20:21" x14ac:dyDescent="0.25">
      <c r="T353" s="98"/>
      <c r="U353" s="99"/>
    </row>
    <row r="354" spans="20:21" x14ac:dyDescent="0.25">
      <c r="T354" s="98"/>
      <c r="U354" s="99"/>
    </row>
    <row r="355" spans="20:21" x14ac:dyDescent="0.25">
      <c r="T355" s="98"/>
      <c r="U355" s="99"/>
    </row>
    <row r="356" spans="20:21" x14ac:dyDescent="0.25">
      <c r="T356" s="98"/>
      <c r="U356" s="99"/>
    </row>
    <row r="357" spans="20:21" x14ac:dyDescent="0.25">
      <c r="T357" s="98"/>
      <c r="U357" s="99"/>
    </row>
    <row r="358" spans="20:21" x14ac:dyDescent="0.25">
      <c r="T358" s="98"/>
      <c r="U358" s="99"/>
    </row>
    <row r="359" spans="20:21" x14ac:dyDescent="0.25">
      <c r="T359" s="98"/>
      <c r="U359" s="99"/>
    </row>
    <row r="360" spans="20:21" x14ac:dyDescent="0.25">
      <c r="T360" s="98"/>
      <c r="U360" s="99"/>
    </row>
    <row r="361" spans="20:21" x14ac:dyDescent="0.25">
      <c r="T361" s="98"/>
      <c r="U361" s="99"/>
    </row>
    <row r="362" spans="20:21" x14ac:dyDescent="0.25">
      <c r="T362" s="98"/>
      <c r="U362" s="99"/>
    </row>
    <row r="363" spans="20:21" x14ac:dyDescent="0.25">
      <c r="T363" s="98"/>
      <c r="U363" s="99"/>
    </row>
    <row r="364" spans="20:21" x14ac:dyDescent="0.25">
      <c r="T364" s="98"/>
      <c r="U364" s="99"/>
    </row>
    <row r="365" spans="20:21" x14ac:dyDescent="0.25">
      <c r="T365" s="98"/>
      <c r="U365" s="99"/>
    </row>
    <row r="366" spans="20:21" x14ac:dyDescent="0.25">
      <c r="T366" s="98"/>
      <c r="U366" s="99"/>
    </row>
    <row r="367" spans="20:21" x14ac:dyDescent="0.25">
      <c r="T367" s="98"/>
      <c r="U367" s="99"/>
    </row>
    <row r="368" spans="20:21" x14ac:dyDescent="0.25">
      <c r="T368" s="98"/>
      <c r="U368" s="99"/>
    </row>
    <row r="369" spans="20:21" x14ac:dyDescent="0.25">
      <c r="T369" s="98"/>
      <c r="U369" s="99"/>
    </row>
    <row r="370" spans="20:21" x14ac:dyDescent="0.25">
      <c r="T370" s="98"/>
      <c r="U370" s="99"/>
    </row>
    <row r="371" spans="20:21" x14ac:dyDescent="0.25">
      <c r="T371" s="98"/>
      <c r="U371" s="99"/>
    </row>
    <row r="372" spans="20:21" x14ac:dyDescent="0.25">
      <c r="T372" s="98"/>
      <c r="U372" s="99"/>
    </row>
    <row r="373" spans="20:21" x14ac:dyDescent="0.25">
      <c r="T373" s="98"/>
      <c r="U373" s="99"/>
    </row>
    <row r="374" spans="20:21" x14ac:dyDescent="0.25">
      <c r="T374" s="98"/>
      <c r="U374" s="99"/>
    </row>
    <row r="375" spans="20:21" x14ac:dyDescent="0.25">
      <c r="T375" s="98"/>
      <c r="U375" s="99"/>
    </row>
    <row r="376" spans="20:21" x14ac:dyDescent="0.25">
      <c r="T376" s="98"/>
      <c r="U376" s="99"/>
    </row>
    <row r="377" spans="20:21" x14ac:dyDescent="0.25">
      <c r="T377" s="98"/>
      <c r="U377" s="99"/>
    </row>
    <row r="378" spans="20:21" x14ac:dyDescent="0.25">
      <c r="T378" s="98"/>
      <c r="U378" s="99"/>
    </row>
    <row r="379" spans="20:21" x14ac:dyDescent="0.25">
      <c r="T379" s="98"/>
      <c r="U379" s="99"/>
    </row>
    <row r="380" spans="20:21" x14ac:dyDescent="0.25">
      <c r="T380" s="98"/>
      <c r="U380" s="99"/>
    </row>
    <row r="381" spans="20:21" x14ac:dyDescent="0.25">
      <c r="T381" s="98"/>
      <c r="U381" s="99"/>
    </row>
    <row r="382" spans="20:21" x14ac:dyDescent="0.25">
      <c r="T382" s="98"/>
      <c r="U382" s="99"/>
    </row>
    <row r="383" spans="20:21" x14ac:dyDescent="0.25">
      <c r="T383" s="98"/>
      <c r="U383" s="99"/>
    </row>
    <row r="384" spans="20:21" x14ac:dyDescent="0.25">
      <c r="T384" s="98"/>
      <c r="U384" s="99"/>
    </row>
    <row r="385" spans="20:21" x14ac:dyDescent="0.25">
      <c r="T385" s="98"/>
      <c r="U385" s="99"/>
    </row>
    <row r="386" spans="20:21" x14ac:dyDescent="0.25">
      <c r="T386" s="98"/>
      <c r="U386" s="99"/>
    </row>
    <row r="387" spans="20:21" x14ac:dyDescent="0.25">
      <c r="T387" s="98"/>
      <c r="U387" s="99"/>
    </row>
    <row r="388" spans="20:21" x14ac:dyDescent="0.25">
      <c r="T388" s="98"/>
      <c r="U388" s="99"/>
    </row>
    <row r="389" spans="20:21" x14ac:dyDescent="0.25">
      <c r="T389" s="98"/>
      <c r="U389" s="99"/>
    </row>
    <row r="390" spans="20:21" x14ac:dyDescent="0.25">
      <c r="T390" s="98"/>
      <c r="U390" s="99"/>
    </row>
    <row r="391" spans="20:21" x14ac:dyDescent="0.25">
      <c r="T391" s="98"/>
      <c r="U391" s="99"/>
    </row>
    <row r="392" spans="20:21" x14ac:dyDescent="0.25">
      <c r="T392" s="98"/>
      <c r="U392" s="99"/>
    </row>
    <row r="393" spans="20:21" x14ac:dyDescent="0.25">
      <c r="T393" s="98"/>
      <c r="U393" s="99"/>
    </row>
    <row r="394" spans="20:21" x14ac:dyDescent="0.25">
      <c r="T394" s="98"/>
      <c r="U394" s="99"/>
    </row>
    <row r="395" spans="20:21" x14ac:dyDescent="0.25">
      <c r="T395" s="98"/>
      <c r="U395" s="99"/>
    </row>
    <row r="396" spans="20:21" x14ac:dyDescent="0.25">
      <c r="T396" s="98"/>
      <c r="U396" s="99"/>
    </row>
    <row r="397" spans="20:21" x14ac:dyDescent="0.25">
      <c r="T397" s="98"/>
      <c r="U397" s="99"/>
    </row>
    <row r="398" spans="20:21" x14ac:dyDescent="0.25">
      <c r="T398" s="98"/>
      <c r="U398" s="99"/>
    </row>
    <row r="399" spans="20:21" x14ac:dyDescent="0.25">
      <c r="T399" s="98"/>
      <c r="U399" s="99"/>
    </row>
    <row r="400" spans="20:21" x14ac:dyDescent="0.25">
      <c r="T400" s="98"/>
      <c r="U400" s="99"/>
    </row>
    <row r="401" spans="20:21" x14ac:dyDescent="0.25">
      <c r="T401" s="98"/>
      <c r="U401" s="99"/>
    </row>
    <row r="402" spans="20:21" x14ac:dyDescent="0.25">
      <c r="T402" s="98"/>
      <c r="U402" s="99"/>
    </row>
    <row r="403" spans="20:21" x14ac:dyDescent="0.25">
      <c r="T403" s="98"/>
      <c r="U403" s="99"/>
    </row>
    <row r="404" spans="20:21" x14ac:dyDescent="0.25">
      <c r="T404" s="98"/>
      <c r="U404" s="99"/>
    </row>
    <row r="405" spans="20:21" x14ac:dyDescent="0.25">
      <c r="T405" s="98"/>
      <c r="U405" s="99"/>
    </row>
    <row r="406" spans="20:21" x14ac:dyDescent="0.25">
      <c r="T406" s="98"/>
      <c r="U406" s="99"/>
    </row>
    <row r="407" spans="20:21" x14ac:dyDescent="0.25">
      <c r="T407" s="98"/>
      <c r="U407" s="99"/>
    </row>
    <row r="408" spans="20:21" x14ac:dyDescent="0.25">
      <c r="T408" s="98"/>
      <c r="U408" s="99"/>
    </row>
    <row r="409" spans="20:21" x14ac:dyDescent="0.25">
      <c r="T409" s="98"/>
      <c r="U409" s="99"/>
    </row>
    <row r="410" spans="20:21" x14ac:dyDescent="0.25">
      <c r="T410" s="98"/>
      <c r="U410" s="99"/>
    </row>
    <row r="411" spans="20:21" x14ac:dyDescent="0.25">
      <c r="T411" s="98"/>
      <c r="U411" s="99"/>
    </row>
    <row r="412" spans="20:21" x14ac:dyDescent="0.25">
      <c r="T412" s="98"/>
      <c r="U412" s="99"/>
    </row>
    <row r="413" spans="20:21" x14ac:dyDescent="0.25">
      <c r="T413" s="98"/>
      <c r="U413" s="99"/>
    </row>
    <row r="414" spans="20:21" x14ac:dyDescent="0.25">
      <c r="T414" s="98"/>
      <c r="U414" s="99"/>
    </row>
    <row r="415" spans="20:21" x14ac:dyDescent="0.25">
      <c r="T415" s="98"/>
      <c r="U415" s="99"/>
    </row>
    <row r="416" spans="20:21" x14ac:dyDescent="0.25">
      <c r="T416" s="98"/>
      <c r="U416" s="99"/>
    </row>
    <row r="417" spans="20:21" x14ac:dyDescent="0.25">
      <c r="T417" s="98"/>
      <c r="U417" s="99"/>
    </row>
    <row r="418" spans="20:21" x14ac:dyDescent="0.25">
      <c r="T418" s="98"/>
      <c r="U418" s="99"/>
    </row>
    <row r="419" spans="20:21" x14ac:dyDescent="0.25">
      <c r="T419" s="98"/>
      <c r="U419" s="99"/>
    </row>
    <row r="420" spans="20:21" x14ac:dyDescent="0.25">
      <c r="T420" s="98"/>
      <c r="U420" s="99"/>
    </row>
    <row r="421" spans="20:21" x14ac:dyDescent="0.25">
      <c r="T421" s="98"/>
      <c r="U421" s="99"/>
    </row>
    <row r="422" spans="20:21" x14ac:dyDescent="0.25">
      <c r="T422" s="98"/>
      <c r="U422" s="99"/>
    </row>
    <row r="423" spans="20:21" x14ac:dyDescent="0.25">
      <c r="T423" s="98"/>
      <c r="U423" s="99"/>
    </row>
    <row r="424" spans="20:21" x14ac:dyDescent="0.25">
      <c r="T424" s="98"/>
      <c r="U424" s="99"/>
    </row>
    <row r="425" spans="20:21" x14ac:dyDescent="0.25">
      <c r="T425" s="98"/>
      <c r="U425" s="99"/>
    </row>
    <row r="426" spans="20:21" x14ac:dyDescent="0.25">
      <c r="T426" s="98"/>
      <c r="U426" s="99"/>
    </row>
    <row r="427" spans="20:21" x14ac:dyDescent="0.25">
      <c r="T427" s="98"/>
      <c r="U427" s="99"/>
    </row>
    <row r="428" spans="20:21" x14ac:dyDescent="0.25">
      <c r="T428" s="98"/>
      <c r="U428" s="99"/>
    </row>
    <row r="429" spans="20:21" x14ac:dyDescent="0.25">
      <c r="T429" s="98"/>
      <c r="U429" s="99"/>
    </row>
    <row r="430" spans="20:21" x14ac:dyDescent="0.25">
      <c r="T430" s="98"/>
      <c r="U430" s="99"/>
    </row>
    <row r="431" spans="20:21" x14ac:dyDescent="0.25">
      <c r="T431" s="98"/>
      <c r="U431" s="99"/>
    </row>
    <row r="432" spans="20:21" x14ac:dyDescent="0.25">
      <c r="T432" s="98"/>
      <c r="U432" s="99"/>
    </row>
    <row r="433" spans="20:21" x14ac:dyDescent="0.25">
      <c r="T433" s="98"/>
      <c r="U433" s="99"/>
    </row>
    <row r="434" spans="20:21" x14ac:dyDescent="0.25">
      <c r="T434" s="98"/>
      <c r="U434" s="99"/>
    </row>
    <row r="435" spans="20:21" x14ac:dyDescent="0.25">
      <c r="T435" s="98"/>
      <c r="U435" s="99"/>
    </row>
    <row r="436" spans="20:21" x14ac:dyDescent="0.25">
      <c r="T436" s="98"/>
      <c r="U436" s="99"/>
    </row>
    <row r="437" spans="20:21" x14ac:dyDescent="0.25">
      <c r="T437" s="98"/>
      <c r="U437" s="99"/>
    </row>
    <row r="438" spans="20:21" x14ac:dyDescent="0.25">
      <c r="T438" s="98"/>
      <c r="U438" s="99"/>
    </row>
    <row r="439" spans="20:21" x14ac:dyDescent="0.25">
      <c r="T439" s="98"/>
      <c r="U439" s="99"/>
    </row>
    <row r="440" spans="20:21" x14ac:dyDescent="0.25">
      <c r="T440" s="98"/>
      <c r="U440" s="99"/>
    </row>
    <row r="441" spans="20:21" x14ac:dyDescent="0.25">
      <c r="T441" s="98"/>
      <c r="U441" s="99"/>
    </row>
    <row r="442" spans="20:21" x14ac:dyDescent="0.25">
      <c r="T442" s="98"/>
      <c r="U442" s="99"/>
    </row>
    <row r="443" spans="20:21" x14ac:dyDescent="0.25">
      <c r="T443" s="98"/>
      <c r="U443" s="99"/>
    </row>
    <row r="444" spans="20:21" x14ac:dyDescent="0.25">
      <c r="T444" s="98"/>
      <c r="U444" s="99"/>
    </row>
    <row r="445" spans="20:21" x14ac:dyDescent="0.25">
      <c r="T445" s="98"/>
      <c r="U445" s="99"/>
    </row>
    <row r="446" spans="20:21" x14ac:dyDescent="0.25">
      <c r="T446" s="98"/>
      <c r="U446" s="99"/>
    </row>
    <row r="447" spans="20:21" x14ac:dyDescent="0.25">
      <c r="T447" s="98"/>
      <c r="U447" s="99"/>
    </row>
    <row r="448" spans="20:21" x14ac:dyDescent="0.25">
      <c r="T448" s="98"/>
      <c r="U448" s="99"/>
    </row>
    <row r="449" spans="20:21" x14ac:dyDescent="0.25">
      <c r="T449" s="98"/>
      <c r="U449" s="99"/>
    </row>
    <row r="450" spans="20:21" x14ac:dyDescent="0.25">
      <c r="T450" s="98"/>
      <c r="U450" s="99"/>
    </row>
    <row r="451" spans="20:21" x14ac:dyDescent="0.25">
      <c r="T451" s="98"/>
      <c r="U451" s="99"/>
    </row>
    <row r="452" spans="20:21" x14ac:dyDescent="0.25">
      <c r="T452" s="98"/>
      <c r="U452" s="99"/>
    </row>
    <row r="453" spans="20:21" x14ac:dyDescent="0.25">
      <c r="T453" s="98"/>
      <c r="U453" s="99"/>
    </row>
    <row r="454" spans="20:21" x14ac:dyDescent="0.25">
      <c r="T454" s="98"/>
      <c r="U454" s="99"/>
    </row>
    <row r="455" spans="20:21" x14ac:dyDescent="0.25">
      <c r="T455" s="98"/>
      <c r="U455" s="99"/>
    </row>
    <row r="456" spans="20:21" x14ac:dyDescent="0.25">
      <c r="T456" s="98"/>
      <c r="U456" s="99"/>
    </row>
    <row r="457" spans="20:21" x14ac:dyDescent="0.25">
      <c r="T457" s="98"/>
      <c r="U457" s="99"/>
    </row>
    <row r="458" spans="20:21" x14ac:dyDescent="0.25">
      <c r="T458" s="98"/>
      <c r="U458" s="99"/>
    </row>
    <row r="459" spans="20:21" x14ac:dyDescent="0.25">
      <c r="T459" s="98"/>
      <c r="U459" s="99"/>
    </row>
    <row r="460" spans="20:21" x14ac:dyDescent="0.25">
      <c r="T460" s="98"/>
      <c r="U460" s="99"/>
    </row>
    <row r="461" spans="20:21" x14ac:dyDescent="0.25">
      <c r="T461" s="98"/>
      <c r="U461" s="99"/>
    </row>
    <row r="462" spans="20:21" x14ac:dyDescent="0.25">
      <c r="T462" s="98"/>
      <c r="U462" s="99"/>
    </row>
    <row r="463" spans="20:21" x14ac:dyDescent="0.25">
      <c r="T463" s="98"/>
      <c r="U463" s="99"/>
    </row>
    <row r="464" spans="20:21" x14ac:dyDescent="0.25">
      <c r="T464" s="98"/>
      <c r="U464" s="99"/>
    </row>
    <row r="465" spans="20:21" x14ac:dyDescent="0.25">
      <c r="T465" s="98"/>
      <c r="U465" s="99"/>
    </row>
    <row r="466" spans="20:21" x14ac:dyDescent="0.25">
      <c r="T466" s="98"/>
      <c r="U466" s="99"/>
    </row>
    <row r="467" spans="20:21" x14ac:dyDescent="0.25">
      <c r="T467" s="98"/>
      <c r="U467" s="99"/>
    </row>
    <row r="468" spans="20:21" x14ac:dyDescent="0.25">
      <c r="T468" s="98"/>
      <c r="U468" s="99"/>
    </row>
    <row r="469" spans="20:21" x14ac:dyDescent="0.25">
      <c r="T469" s="98"/>
      <c r="U469" s="99"/>
    </row>
    <row r="470" spans="20:21" x14ac:dyDescent="0.25">
      <c r="T470" s="98"/>
      <c r="U470" s="99"/>
    </row>
    <row r="471" spans="20:21" x14ac:dyDescent="0.25">
      <c r="T471" s="98"/>
      <c r="U471" s="99"/>
    </row>
    <row r="472" spans="20:21" x14ac:dyDescent="0.25">
      <c r="T472" s="98"/>
      <c r="U472" s="99"/>
    </row>
    <row r="473" spans="20:21" x14ac:dyDescent="0.25">
      <c r="T473" s="98"/>
      <c r="U473" s="99"/>
    </row>
    <row r="474" spans="20:21" x14ac:dyDescent="0.25">
      <c r="T474" s="98"/>
      <c r="U474" s="99"/>
    </row>
    <row r="475" spans="20:21" x14ac:dyDescent="0.25">
      <c r="T475" s="98"/>
      <c r="U475" s="99"/>
    </row>
    <row r="476" spans="20:21" x14ac:dyDescent="0.25">
      <c r="T476" s="98"/>
      <c r="U476" s="99"/>
    </row>
    <row r="477" spans="20:21" x14ac:dyDescent="0.25">
      <c r="T477" s="98"/>
      <c r="U477" s="99"/>
    </row>
    <row r="478" spans="20:21" x14ac:dyDescent="0.25">
      <c r="T478" s="98"/>
      <c r="U478" s="99"/>
    </row>
    <row r="479" spans="20:21" x14ac:dyDescent="0.25">
      <c r="T479" s="98"/>
      <c r="U479" s="99"/>
    </row>
    <row r="480" spans="20:21" x14ac:dyDescent="0.25">
      <c r="T480" s="98"/>
      <c r="U480" s="99"/>
    </row>
    <row r="481" spans="20:21" x14ac:dyDescent="0.25">
      <c r="T481" s="98"/>
      <c r="U481" s="99"/>
    </row>
    <row r="482" spans="20:21" x14ac:dyDescent="0.25">
      <c r="T482" s="98"/>
      <c r="U482" s="99"/>
    </row>
    <row r="483" spans="20:21" x14ac:dyDescent="0.25">
      <c r="T483" s="98"/>
      <c r="U483" s="99"/>
    </row>
    <row r="484" spans="20:21" x14ac:dyDescent="0.25">
      <c r="T484" s="98"/>
      <c r="U484" s="99"/>
    </row>
    <row r="485" spans="20:21" x14ac:dyDescent="0.25">
      <c r="T485" s="98"/>
      <c r="U485" s="99"/>
    </row>
    <row r="486" spans="20:21" x14ac:dyDescent="0.25">
      <c r="T486" s="98"/>
      <c r="U486" s="99"/>
    </row>
    <row r="487" spans="20:21" x14ac:dyDescent="0.25">
      <c r="T487" s="98"/>
      <c r="U487" s="99"/>
    </row>
    <row r="488" spans="20:21" x14ac:dyDescent="0.25">
      <c r="T488" s="98"/>
      <c r="U488" s="99"/>
    </row>
    <row r="489" spans="20:21" x14ac:dyDescent="0.25">
      <c r="T489" s="98"/>
      <c r="U489" s="99"/>
    </row>
    <row r="490" spans="20:21" x14ac:dyDescent="0.25">
      <c r="T490" s="98"/>
      <c r="U490" s="99"/>
    </row>
    <row r="491" spans="20:21" x14ac:dyDescent="0.25">
      <c r="T491" s="98"/>
      <c r="U491" s="99"/>
    </row>
    <row r="492" spans="20:21" x14ac:dyDescent="0.25">
      <c r="T492" s="98"/>
      <c r="U492" s="99"/>
    </row>
    <row r="493" spans="20:21" x14ac:dyDescent="0.25">
      <c r="T493" s="98"/>
      <c r="U493" s="99"/>
    </row>
    <row r="494" spans="20:21" x14ac:dyDescent="0.25">
      <c r="T494" s="98"/>
      <c r="U494" s="99"/>
    </row>
    <row r="495" spans="20:21" x14ac:dyDescent="0.25">
      <c r="T495" s="98"/>
      <c r="U495" s="99"/>
    </row>
    <row r="496" spans="20:21" x14ac:dyDescent="0.25">
      <c r="T496" s="98"/>
      <c r="U496" s="99"/>
    </row>
    <row r="497" spans="20:21" x14ac:dyDescent="0.25">
      <c r="T497" s="98"/>
      <c r="U497" s="99"/>
    </row>
    <row r="498" spans="20:21" x14ac:dyDescent="0.25">
      <c r="T498" s="98"/>
      <c r="U498" s="99"/>
    </row>
    <row r="499" spans="20:21" x14ac:dyDescent="0.25">
      <c r="T499" s="98"/>
      <c r="U499" s="99"/>
    </row>
    <row r="500" spans="20:21" x14ac:dyDescent="0.25">
      <c r="T500" s="98"/>
      <c r="U500" s="99"/>
    </row>
    <row r="501" spans="20:21" x14ac:dyDescent="0.25">
      <c r="T501" s="98"/>
      <c r="U501" s="99"/>
    </row>
    <row r="502" spans="20:21" x14ac:dyDescent="0.25">
      <c r="T502" s="98"/>
      <c r="U502" s="99"/>
    </row>
    <row r="503" spans="20:21" x14ac:dyDescent="0.25">
      <c r="T503" s="98"/>
      <c r="U503" s="99"/>
    </row>
    <row r="504" spans="20:21" x14ac:dyDescent="0.25">
      <c r="T504" s="98"/>
      <c r="U504" s="99"/>
    </row>
    <row r="505" spans="20:21" x14ac:dyDescent="0.25">
      <c r="T505" s="98"/>
      <c r="U505" s="99"/>
    </row>
    <row r="506" spans="20:21" x14ac:dyDescent="0.25">
      <c r="T506" s="98"/>
      <c r="U506" s="99"/>
    </row>
    <row r="507" spans="20:21" x14ac:dyDescent="0.25">
      <c r="T507" s="98"/>
      <c r="U507" s="99"/>
    </row>
    <row r="508" spans="20:21" x14ac:dyDescent="0.25">
      <c r="T508" s="98"/>
      <c r="U508" s="99"/>
    </row>
    <row r="509" spans="20:21" x14ac:dyDescent="0.25">
      <c r="T509" s="98"/>
      <c r="U509" s="99"/>
    </row>
    <row r="510" spans="20:21" x14ac:dyDescent="0.25">
      <c r="T510" s="98"/>
      <c r="U510" s="99"/>
    </row>
    <row r="511" spans="20:21" x14ac:dyDescent="0.25">
      <c r="T511" s="98"/>
      <c r="U511" s="99"/>
    </row>
    <row r="512" spans="20:21" x14ac:dyDescent="0.25">
      <c r="T512" s="98"/>
      <c r="U512" s="99"/>
    </row>
    <row r="513" spans="20:21" x14ac:dyDescent="0.25">
      <c r="T513" s="98"/>
      <c r="U513" s="99"/>
    </row>
    <row r="514" spans="20:21" x14ac:dyDescent="0.25">
      <c r="T514" s="98"/>
      <c r="U514" s="99"/>
    </row>
    <row r="515" spans="20:21" x14ac:dyDescent="0.25">
      <c r="T515" s="98"/>
      <c r="U515" s="99"/>
    </row>
    <row r="516" spans="20:21" x14ac:dyDescent="0.25">
      <c r="T516" s="98"/>
      <c r="U516" s="99"/>
    </row>
    <row r="517" spans="20:21" x14ac:dyDescent="0.25">
      <c r="T517" s="98"/>
      <c r="U517" s="99"/>
    </row>
    <row r="518" spans="20:21" x14ac:dyDescent="0.25">
      <c r="T518" s="98"/>
      <c r="U518" s="99"/>
    </row>
    <row r="519" spans="20:21" x14ac:dyDescent="0.25">
      <c r="T519" s="98"/>
      <c r="U519" s="99"/>
    </row>
    <row r="520" spans="20:21" x14ac:dyDescent="0.25">
      <c r="T520" s="98"/>
      <c r="U520" s="99"/>
    </row>
    <row r="521" spans="20:21" x14ac:dyDescent="0.25">
      <c r="T521" s="98"/>
      <c r="U521" s="99"/>
    </row>
    <row r="522" spans="20:21" x14ac:dyDescent="0.25">
      <c r="T522" s="98"/>
      <c r="U522" s="99"/>
    </row>
    <row r="523" spans="20:21" x14ac:dyDescent="0.25">
      <c r="T523" s="98"/>
      <c r="U523" s="99"/>
    </row>
    <row r="524" spans="20:21" x14ac:dyDescent="0.25">
      <c r="T524" s="98"/>
      <c r="U524" s="99"/>
    </row>
    <row r="525" spans="20:21" x14ac:dyDescent="0.25">
      <c r="T525" s="98"/>
      <c r="U525" s="99"/>
    </row>
    <row r="526" spans="20:21" x14ac:dyDescent="0.25">
      <c r="T526" s="98"/>
      <c r="U526" s="99"/>
    </row>
    <row r="527" spans="20:21" x14ac:dyDescent="0.25">
      <c r="T527" s="98"/>
      <c r="U527" s="99"/>
    </row>
    <row r="528" spans="20:21" x14ac:dyDescent="0.25">
      <c r="T528" s="98"/>
      <c r="U528" s="99"/>
    </row>
    <row r="529" spans="20:21" x14ac:dyDescent="0.25">
      <c r="T529" s="98"/>
      <c r="U529" s="99"/>
    </row>
    <row r="530" spans="20:21" x14ac:dyDescent="0.25">
      <c r="T530" s="98"/>
      <c r="U530" s="99"/>
    </row>
    <row r="531" spans="20:21" x14ac:dyDescent="0.25">
      <c r="T531" s="98"/>
      <c r="U531" s="99"/>
    </row>
    <row r="532" spans="20:21" x14ac:dyDescent="0.25">
      <c r="T532" s="98"/>
      <c r="U532" s="99"/>
    </row>
    <row r="533" spans="20:21" x14ac:dyDescent="0.25">
      <c r="T533" s="98"/>
      <c r="U533" s="99"/>
    </row>
    <row r="534" spans="20:21" x14ac:dyDescent="0.25">
      <c r="T534" s="98"/>
      <c r="U534" s="99"/>
    </row>
    <row r="535" spans="20:21" x14ac:dyDescent="0.25">
      <c r="T535" s="98"/>
      <c r="U535" s="99"/>
    </row>
    <row r="536" spans="20:21" x14ac:dyDescent="0.25">
      <c r="T536" s="98"/>
      <c r="U536" s="99"/>
    </row>
    <row r="537" spans="20:21" x14ac:dyDescent="0.25">
      <c r="T537" s="98"/>
      <c r="U537" s="99"/>
    </row>
    <row r="538" spans="20:21" x14ac:dyDescent="0.25">
      <c r="T538" s="98"/>
      <c r="U538" s="99"/>
    </row>
    <row r="539" spans="20:21" x14ac:dyDescent="0.25">
      <c r="T539" s="98"/>
      <c r="U539" s="99"/>
    </row>
    <row r="540" spans="20:21" x14ac:dyDescent="0.25">
      <c r="T540" s="98"/>
      <c r="U540" s="99"/>
    </row>
    <row r="541" spans="20:21" x14ac:dyDescent="0.25">
      <c r="T541" s="98"/>
      <c r="U541" s="99"/>
    </row>
    <row r="542" spans="20:21" x14ac:dyDescent="0.25">
      <c r="T542" s="98"/>
      <c r="U542" s="99"/>
    </row>
    <row r="543" spans="20:21" x14ac:dyDescent="0.25">
      <c r="T543" s="98"/>
      <c r="U543" s="99"/>
    </row>
    <row r="544" spans="20:21" x14ac:dyDescent="0.25">
      <c r="T544" s="98"/>
      <c r="U544" s="99"/>
    </row>
    <row r="545" spans="20:21" x14ac:dyDescent="0.25">
      <c r="T545" s="98"/>
      <c r="U545" s="99"/>
    </row>
    <row r="546" spans="20:21" x14ac:dyDescent="0.25">
      <c r="T546" s="98"/>
      <c r="U546" s="99"/>
    </row>
    <row r="547" spans="20:21" x14ac:dyDescent="0.25">
      <c r="T547" s="98"/>
      <c r="U547" s="99"/>
    </row>
    <row r="548" spans="20:21" x14ac:dyDescent="0.25">
      <c r="T548" s="98"/>
      <c r="U548" s="99"/>
    </row>
    <row r="549" spans="20:21" x14ac:dyDescent="0.25">
      <c r="T549" s="98"/>
      <c r="U549" s="99"/>
    </row>
    <row r="550" spans="20:21" x14ac:dyDescent="0.25">
      <c r="T550" s="98"/>
      <c r="U550" s="99"/>
    </row>
    <row r="551" spans="20:21" x14ac:dyDescent="0.25">
      <c r="T551" s="98"/>
      <c r="U551" s="99"/>
    </row>
    <row r="552" spans="20:21" x14ac:dyDescent="0.25">
      <c r="T552" s="98"/>
      <c r="U552" s="99"/>
    </row>
    <row r="553" spans="20:21" x14ac:dyDescent="0.25">
      <c r="T553" s="98"/>
      <c r="U553" s="99"/>
    </row>
    <row r="554" spans="20:21" x14ac:dyDescent="0.25">
      <c r="T554" s="98"/>
      <c r="U554" s="99"/>
    </row>
    <row r="555" spans="20:21" x14ac:dyDescent="0.25">
      <c r="T555" s="98"/>
      <c r="U555" s="99"/>
    </row>
    <row r="556" spans="20:21" x14ac:dyDescent="0.25">
      <c r="T556" s="98"/>
      <c r="U556" s="99"/>
    </row>
    <row r="557" spans="20:21" x14ac:dyDescent="0.25">
      <c r="T557" s="98"/>
      <c r="U557" s="99"/>
    </row>
    <row r="558" spans="20:21" x14ac:dyDescent="0.25">
      <c r="T558" s="98"/>
      <c r="U558" s="99"/>
    </row>
    <row r="559" spans="20:21" x14ac:dyDescent="0.25">
      <c r="T559" s="98"/>
      <c r="U559" s="99"/>
    </row>
    <row r="560" spans="20:21" x14ac:dyDescent="0.25">
      <c r="T560" s="98"/>
      <c r="U560" s="99"/>
    </row>
    <row r="561" spans="20:21" x14ac:dyDescent="0.25">
      <c r="T561" s="98"/>
      <c r="U561" s="99"/>
    </row>
    <row r="562" spans="20:21" x14ac:dyDescent="0.25">
      <c r="T562" s="98"/>
      <c r="U562" s="99"/>
    </row>
    <row r="563" spans="20:21" x14ac:dyDescent="0.25">
      <c r="T563" s="98"/>
      <c r="U563" s="99"/>
    </row>
    <row r="564" spans="20:21" x14ac:dyDescent="0.25">
      <c r="T564" s="98"/>
      <c r="U564" s="99"/>
    </row>
    <row r="565" spans="20:21" x14ac:dyDescent="0.25">
      <c r="T565" s="98"/>
      <c r="U565" s="99"/>
    </row>
    <row r="566" spans="20:21" x14ac:dyDescent="0.25">
      <c r="T566" s="98"/>
      <c r="U566" s="99"/>
    </row>
    <row r="567" spans="20:21" x14ac:dyDescent="0.25">
      <c r="T567" s="98"/>
      <c r="U567" s="99"/>
    </row>
    <row r="568" spans="20:21" x14ac:dyDescent="0.25">
      <c r="T568" s="98"/>
      <c r="U568" s="99"/>
    </row>
    <row r="569" spans="20:21" x14ac:dyDescent="0.25">
      <c r="T569" s="98"/>
      <c r="U569" s="99"/>
    </row>
    <row r="570" spans="20:21" x14ac:dyDescent="0.25">
      <c r="T570" s="98"/>
      <c r="U570" s="99"/>
    </row>
    <row r="571" spans="20:21" x14ac:dyDescent="0.25">
      <c r="T571" s="98"/>
      <c r="U571" s="99"/>
    </row>
    <row r="572" spans="20:21" x14ac:dyDescent="0.25">
      <c r="T572" s="98"/>
      <c r="U572" s="99"/>
    </row>
    <row r="573" spans="20:21" x14ac:dyDescent="0.25">
      <c r="T573" s="98"/>
      <c r="U573" s="99"/>
    </row>
    <row r="574" spans="20:21" x14ac:dyDescent="0.25">
      <c r="T574" s="98"/>
      <c r="U574" s="99"/>
    </row>
    <row r="575" spans="20:21" x14ac:dyDescent="0.25">
      <c r="T575" s="98"/>
      <c r="U575" s="99"/>
    </row>
    <row r="576" spans="20:21" x14ac:dyDescent="0.25">
      <c r="T576" s="98"/>
      <c r="U576" s="99"/>
    </row>
    <row r="577" spans="20:21" x14ac:dyDescent="0.25">
      <c r="T577" s="98"/>
      <c r="U577" s="99"/>
    </row>
    <row r="578" spans="20:21" x14ac:dyDescent="0.25">
      <c r="T578" s="98"/>
      <c r="U578" s="99"/>
    </row>
    <row r="579" spans="20:21" x14ac:dyDescent="0.25">
      <c r="T579" s="98"/>
      <c r="U579" s="99"/>
    </row>
    <row r="580" spans="20:21" x14ac:dyDescent="0.25">
      <c r="T580" s="98"/>
      <c r="U580" s="99"/>
    </row>
    <row r="581" spans="20:21" x14ac:dyDescent="0.25">
      <c r="T581" s="98"/>
      <c r="U581" s="99"/>
    </row>
    <row r="582" spans="20:21" x14ac:dyDescent="0.25">
      <c r="T582" s="98"/>
      <c r="U582" s="99"/>
    </row>
    <row r="583" spans="20:21" x14ac:dyDescent="0.25">
      <c r="T583" s="98"/>
      <c r="U583" s="99"/>
    </row>
    <row r="584" spans="20:21" x14ac:dyDescent="0.25">
      <c r="T584" s="98"/>
      <c r="U584" s="99"/>
    </row>
    <row r="585" spans="20:21" x14ac:dyDescent="0.25">
      <c r="T585" s="98"/>
      <c r="U585" s="99"/>
    </row>
    <row r="586" spans="20:21" x14ac:dyDescent="0.25">
      <c r="T586" s="98"/>
      <c r="U586" s="99"/>
    </row>
    <row r="587" spans="20:21" x14ac:dyDescent="0.25">
      <c r="T587" s="98"/>
      <c r="U587" s="99"/>
    </row>
    <row r="588" spans="20:21" x14ac:dyDescent="0.25">
      <c r="T588" s="98"/>
      <c r="U588" s="99"/>
    </row>
    <row r="589" spans="20:21" x14ac:dyDescent="0.25">
      <c r="T589" s="98"/>
      <c r="U589" s="99"/>
    </row>
    <row r="590" spans="20:21" x14ac:dyDescent="0.25">
      <c r="T590" s="98"/>
      <c r="U590" s="99"/>
    </row>
    <row r="591" spans="20:21" x14ac:dyDescent="0.25">
      <c r="T591" s="98"/>
      <c r="U591" s="99"/>
    </row>
    <row r="592" spans="20:21" x14ac:dyDescent="0.25">
      <c r="T592" s="98"/>
      <c r="U592" s="99"/>
    </row>
    <row r="593" spans="20:21" x14ac:dyDescent="0.25">
      <c r="T593" s="98"/>
      <c r="U593" s="99"/>
    </row>
    <row r="594" spans="20:21" x14ac:dyDescent="0.25">
      <c r="T594" s="98"/>
      <c r="U594" s="99"/>
    </row>
    <row r="595" spans="20:21" x14ac:dyDescent="0.25">
      <c r="T595" s="98"/>
      <c r="U595" s="99"/>
    </row>
    <row r="596" spans="20:21" x14ac:dyDescent="0.25">
      <c r="T596" s="98"/>
      <c r="U596" s="99"/>
    </row>
    <row r="597" spans="20:21" x14ac:dyDescent="0.25">
      <c r="T597" s="98"/>
      <c r="U597" s="99"/>
    </row>
    <row r="598" spans="20:21" x14ac:dyDescent="0.25">
      <c r="T598" s="98"/>
      <c r="U598" s="99"/>
    </row>
    <row r="599" spans="20:21" x14ac:dyDescent="0.25">
      <c r="T599" s="98"/>
      <c r="U599" s="99"/>
    </row>
    <row r="600" spans="20:21" x14ac:dyDescent="0.25">
      <c r="T600" s="98"/>
      <c r="U600" s="99"/>
    </row>
    <row r="601" spans="20:21" x14ac:dyDescent="0.25">
      <c r="T601" s="98"/>
      <c r="U601" s="99"/>
    </row>
    <row r="602" spans="20:21" x14ac:dyDescent="0.25">
      <c r="T602" s="98"/>
      <c r="U602" s="99"/>
    </row>
    <row r="603" spans="20:21" x14ac:dyDescent="0.25">
      <c r="T603" s="98"/>
      <c r="U603" s="99"/>
    </row>
    <row r="604" spans="20:21" x14ac:dyDescent="0.25">
      <c r="T604" s="98"/>
      <c r="U604" s="99"/>
    </row>
    <row r="605" spans="20:21" x14ac:dyDescent="0.25">
      <c r="T605" s="98"/>
      <c r="U605" s="99"/>
    </row>
    <row r="606" spans="20:21" x14ac:dyDescent="0.25">
      <c r="T606" s="98"/>
      <c r="U606" s="99"/>
    </row>
    <row r="607" spans="20:21" x14ac:dyDescent="0.25">
      <c r="T607" s="98"/>
      <c r="U607" s="99"/>
    </row>
    <row r="608" spans="20:21" x14ac:dyDescent="0.25">
      <c r="T608" s="98"/>
      <c r="U608" s="99"/>
    </row>
    <row r="609" spans="20:21" x14ac:dyDescent="0.25">
      <c r="T609" s="98"/>
      <c r="U609" s="99"/>
    </row>
    <row r="610" spans="20:21" x14ac:dyDescent="0.25">
      <c r="T610" s="98"/>
      <c r="U610" s="99"/>
    </row>
    <row r="611" spans="20:21" x14ac:dyDescent="0.25">
      <c r="T611" s="98"/>
      <c r="U611" s="99"/>
    </row>
    <row r="612" spans="20:21" x14ac:dyDescent="0.25">
      <c r="T612" s="98"/>
      <c r="U612" s="99"/>
    </row>
    <row r="613" spans="20:21" x14ac:dyDescent="0.25">
      <c r="T613" s="98"/>
      <c r="U613" s="99"/>
    </row>
    <row r="614" spans="20:21" x14ac:dyDescent="0.25">
      <c r="T614" s="98"/>
      <c r="U614" s="99"/>
    </row>
    <row r="615" spans="20:21" x14ac:dyDescent="0.25">
      <c r="T615" s="98"/>
      <c r="U615" s="99"/>
    </row>
    <row r="616" spans="20:21" x14ac:dyDescent="0.25">
      <c r="T616" s="98"/>
      <c r="U616" s="99"/>
    </row>
    <row r="617" spans="20:21" x14ac:dyDescent="0.25">
      <c r="T617" s="98"/>
      <c r="U617" s="99"/>
    </row>
    <row r="618" spans="20:21" x14ac:dyDescent="0.25">
      <c r="T618" s="98"/>
      <c r="U618" s="99"/>
    </row>
    <row r="619" spans="20:21" x14ac:dyDescent="0.25">
      <c r="T619" s="98"/>
      <c r="U619" s="99"/>
    </row>
    <row r="620" spans="20:21" x14ac:dyDescent="0.25">
      <c r="T620" s="98"/>
      <c r="U620" s="99"/>
    </row>
    <row r="621" spans="20:21" x14ac:dyDescent="0.25">
      <c r="T621" s="98"/>
      <c r="U621" s="99"/>
    </row>
    <row r="622" spans="20:21" x14ac:dyDescent="0.25">
      <c r="T622" s="98"/>
      <c r="U622" s="99"/>
    </row>
    <row r="623" spans="20:21" x14ac:dyDescent="0.25">
      <c r="T623" s="98"/>
      <c r="U623" s="99"/>
    </row>
    <row r="624" spans="20:21" x14ac:dyDescent="0.25">
      <c r="T624" s="98"/>
      <c r="U624" s="99"/>
    </row>
    <row r="625" spans="20:21" x14ac:dyDescent="0.25">
      <c r="T625" s="98"/>
      <c r="U625" s="99"/>
    </row>
    <row r="626" spans="20:21" x14ac:dyDescent="0.25">
      <c r="T626" s="98"/>
      <c r="U626" s="99"/>
    </row>
    <row r="627" spans="20:21" x14ac:dyDescent="0.25">
      <c r="T627" s="98"/>
      <c r="U627" s="99"/>
    </row>
    <row r="628" spans="20:21" x14ac:dyDescent="0.25">
      <c r="T628" s="98"/>
      <c r="U628" s="99"/>
    </row>
    <row r="629" spans="20:21" x14ac:dyDescent="0.25">
      <c r="T629" s="98"/>
      <c r="U629" s="99"/>
    </row>
    <row r="630" spans="20:21" x14ac:dyDescent="0.25">
      <c r="T630" s="98"/>
      <c r="U630" s="99"/>
    </row>
    <row r="631" spans="20:21" x14ac:dyDescent="0.25">
      <c r="T631" s="98"/>
      <c r="U631" s="99"/>
    </row>
    <row r="632" spans="20:21" x14ac:dyDescent="0.25">
      <c r="T632" s="98"/>
      <c r="U632" s="99"/>
    </row>
    <row r="633" spans="20:21" x14ac:dyDescent="0.25">
      <c r="T633" s="98"/>
      <c r="U633" s="99"/>
    </row>
    <row r="634" spans="20:21" x14ac:dyDescent="0.25">
      <c r="T634" s="98"/>
      <c r="U634" s="99"/>
    </row>
    <row r="635" spans="20:21" x14ac:dyDescent="0.25">
      <c r="T635" s="98"/>
      <c r="U635" s="99"/>
    </row>
    <row r="636" spans="20:21" x14ac:dyDescent="0.25">
      <c r="T636" s="98"/>
      <c r="U636" s="99"/>
    </row>
    <row r="637" spans="20:21" x14ac:dyDescent="0.25">
      <c r="T637" s="98"/>
      <c r="U637" s="99"/>
    </row>
    <row r="638" spans="20:21" x14ac:dyDescent="0.25">
      <c r="T638" s="98"/>
      <c r="U638" s="99"/>
    </row>
    <row r="639" spans="20:21" x14ac:dyDescent="0.25">
      <c r="T639" s="98"/>
      <c r="U639" s="99"/>
    </row>
    <row r="640" spans="20:21" x14ac:dyDescent="0.25">
      <c r="T640" s="98"/>
      <c r="U640" s="99"/>
    </row>
    <row r="641" spans="20:21" x14ac:dyDescent="0.25">
      <c r="T641" s="98"/>
      <c r="U641" s="99"/>
    </row>
    <row r="642" spans="20:21" x14ac:dyDescent="0.25">
      <c r="T642" s="98"/>
      <c r="U642" s="99"/>
    </row>
    <row r="643" spans="20:21" x14ac:dyDescent="0.25">
      <c r="T643" s="98"/>
      <c r="U643" s="99"/>
    </row>
    <row r="644" spans="20:21" x14ac:dyDescent="0.25">
      <c r="T644" s="98"/>
      <c r="U644" s="99"/>
    </row>
    <row r="645" spans="20:21" x14ac:dyDescent="0.25">
      <c r="T645" s="98"/>
      <c r="U645" s="99"/>
    </row>
    <row r="646" spans="20:21" x14ac:dyDescent="0.25">
      <c r="T646" s="98"/>
      <c r="U646" s="99"/>
    </row>
    <row r="647" spans="20:21" x14ac:dyDescent="0.25">
      <c r="T647" s="98"/>
      <c r="U647" s="99"/>
    </row>
    <row r="648" spans="20:21" x14ac:dyDescent="0.25">
      <c r="T648" s="98"/>
      <c r="U648" s="99"/>
    </row>
    <row r="649" spans="20:21" x14ac:dyDescent="0.25">
      <c r="T649" s="98"/>
      <c r="U649" s="99"/>
    </row>
    <row r="650" spans="20:21" x14ac:dyDescent="0.25">
      <c r="T650" s="98"/>
      <c r="U650" s="99"/>
    </row>
    <row r="651" spans="20:21" x14ac:dyDescent="0.25">
      <c r="T651" s="98"/>
      <c r="U651" s="99"/>
    </row>
    <row r="652" spans="20:21" x14ac:dyDescent="0.25">
      <c r="T652" s="98"/>
      <c r="U652" s="99"/>
    </row>
    <row r="653" spans="20:21" x14ac:dyDescent="0.25">
      <c r="T653" s="98"/>
      <c r="U653" s="99"/>
    </row>
    <row r="654" spans="20:21" x14ac:dyDescent="0.25">
      <c r="T654" s="98"/>
      <c r="U654" s="99"/>
    </row>
    <row r="655" spans="20:21" x14ac:dyDescent="0.25">
      <c r="T655" s="98"/>
      <c r="U655" s="99"/>
    </row>
    <row r="656" spans="20:21" x14ac:dyDescent="0.25">
      <c r="T656" s="98"/>
      <c r="U656" s="99"/>
    </row>
    <row r="657" spans="20:21" x14ac:dyDescent="0.25">
      <c r="T657" s="98"/>
      <c r="U657" s="99"/>
    </row>
    <row r="658" spans="20:21" x14ac:dyDescent="0.25">
      <c r="T658" s="98"/>
      <c r="U658" s="99"/>
    </row>
    <row r="659" spans="20:21" x14ac:dyDescent="0.25">
      <c r="T659" s="98"/>
      <c r="U659" s="99"/>
    </row>
    <row r="660" spans="20:21" x14ac:dyDescent="0.25">
      <c r="T660" s="98"/>
      <c r="U660" s="99"/>
    </row>
    <row r="661" spans="20:21" x14ac:dyDescent="0.25">
      <c r="T661" s="98"/>
      <c r="U661" s="99"/>
    </row>
    <row r="662" spans="20:21" x14ac:dyDescent="0.25">
      <c r="T662" s="98"/>
      <c r="U662" s="99"/>
    </row>
    <row r="663" spans="20:21" x14ac:dyDescent="0.25">
      <c r="T663" s="98"/>
      <c r="U663" s="99"/>
    </row>
    <row r="664" spans="20:21" x14ac:dyDescent="0.25">
      <c r="T664" s="98"/>
      <c r="U664" s="99"/>
    </row>
    <row r="665" spans="20:21" x14ac:dyDescent="0.25">
      <c r="T665" s="98"/>
      <c r="U665" s="99"/>
    </row>
    <row r="666" spans="20:21" x14ac:dyDescent="0.25">
      <c r="T666" s="98"/>
      <c r="U666" s="99"/>
    </row>
    <row r="667" spans="20:21" x14ac:dyDescent="0.25">
      <c r="T667" s="98"/>
      <c r="U667" s="99"/>
    </row>
    <row r="668" spans="20:21" x14ac:dyDescent="0.25">
      <c r="T668" s="98"/>
      <c r="U668" s="99"/>
    </row>
    <row r="669" spans="20:21" x14ac:dyDescent="0.25">
      <c r="T669" s="98"/>
      <c r="U669" s="99"/>
    </row>
    <row r="670" spans="20:21" x14ac:dyDescent="0.25">
      <c r="T670" s="98"/>
      <c r="U670" s="99"/>
    </row>
    <row r="671" spans="20:21" x14ac:dyDescent="0.25">
      <c r="T671" s="98"/>
      <c r="U671" s="99"/>
    </row>
    <row r="672" spans="20:21" x14ac:dyDescent="0.25">
      <c r="T672" s="98"/>
      <c r="U672" s="99"/>
    </row>
    <row r="673" spans="20:21" x14ac:dyDescent="0.25">
      <c r="T673" s="98"/>
      <c r="U673" s="99"/>
    </row>
    <row r="674" spans="20:21" x14ac:dyDescent="0.25">
      <c r="T674" s="98"/>
      <c r="U674" s="99"/>
    </row>
    <row r="675" spans="20:21" x14ac:dyDescent="0.25">
      <c r="T675" s="98"/>
      <c r="U675" s="99"/>
    </row>
    <row r="676" spans="20:21" x14ac:dyDescent="0.25">
      <c r="T676" s="98"/>
      <c r="U676" s="99"/>
    </row>
    <row r="677" spans="20:21" x14ac:dyDescent="0.25">
      <c r="T677" s="98"/>
      <c r="U677" s="99"/>
    </row>
    <row r="678" spans="20:21" x14ac:dyDescent="0.25">
      <c r="T678" s="98"/>
      <c r="U678" s="99"/>
    </row>
    <row r="679" spans="20:21" x14ac:dyDescent="0.25">
      <c r="T679" s="98"/>
      <c r="U679" s="99"/>
    </row>
    <row r="680" spans="20:21" x14ac:dyDescent="0.25">
      <c r="T680" s="98"/>
      <c r="U680" s="99"/>
    </row>
    <row r="681" spans="20:21" x14ac:dyDescent="0.25">
      <c r="T681" s="98"/>
      <c r="U681" s="99"/>
    </row>
    <row r="682" spans="20:21" x14ac:dyDescent="0.25">
      <c r="T682" s="98"/>
      <c r="U682" s="99"/>
    </row>
    <row r="683" spans="20:21" x14ac:dyDescent="0.25">
      <c r="T683" s="98"/>
      <c r="U683" s="99"/>
    </row>
    <row r="684" spans="20:21" x14ac:dyDescent="0.25">
      <c r="T684" s="98"/>
      <c r="U684" s="99"/>
    </row>
    <row r="685" spans="20:21" x14ac:dyDescent="0.25">
      <c r="T685" s="98"/>
      <c r="U685" s="99"/>
    </row>
    <row r="686" spans="20:21" x14ac:dyDescent="0.25">
      <c r="T686" s="98"/>
      <c r="U686" s="99"/>
    </row>
    <row r="687" spans="20:21" x14ac:dyDescent="0.25">
      <c r="T687" s="98"/>
      <c r="U687" s="99"/>
    </row>
    <row r="688" spans="20:21" x14ac:dyDescent="0.25">
      <c r="T688" s="98"/>
      <c r="U688" s="99"/>
    </row>
    <row r="689" spans="20:21" x14ac:dyDescent="0.25">
      <c r="T689" s="98"/>
      <c r="U689" s="99"/>
    </row>
    <row r="690" spans="20:21" x14ac:dyDescent="0.25">
      <c r="T690" s="98"/>
      <c r="U690" s="99"/>
    </row>
    <row r="691" spans="20:21" x14ac:dyDescent="0.25">
      <c r="T691" s="98"/>
      <c r="U691" s="99"/>
    </row>
    <row r="692" spans="20:21" x14ac:dyDescent="0.25">
      <c r="T692" s="98"/>
      <c r="U692" s="99"/>
    </row>
    <row r="693" spans="20:21" x14ac:dyDescent="0.25">
      <c r="T693" s="98"/>
      <c r="U693" s="99"/>
    </row>
    <row r="694" spans="20:21" x14ac:dyDescent="0.25">
      <c r="T694" s="98"/>
      <c r="U694" s="99"/>
    </row>
    <row r="695" spans="20:21" x14ac:dyDescent="0.25">
      <c r="T695" s="98"/>
      <c r="U695" s="99"/>
    </row>
    <row r="696" spans="20:21" x14ac:dyDescent="0.25">
      <c r="T696" s="98"/>
      <c r="U696" s="99"/>
    </row>
    <row r="697" spans="20:21" x14ac:dyDescent="0.25">
      <c r="T697" s="98"/>
      <c r="U697" s="99"/>
    </row>
    <row r="698" spans="20:21" x14ac:dyDescent="0.25">
      <c r="T698" s="98"/>
      <c r="U698" s="99"/>
    </row>
    <row r="699" spans="20:21" x14ac:dyDescent="0.25">
      <c r="T699" s="98"/>
      <c r="U699" s="99"/>
    </row>
    <row r="700" spans="20:21" x14ac:dyDescent="0.25">
      <c r="T700" s="98"/>
      <c r="U700" s="99"/>
    </row>
    <row r="701" spans="20:21" x14ac:dyDescent="0.25">
      <c r="T701" s="98"/>
      <c r="U701" s="99"/>
    </row>
    <row r="702" spans="20:21" x14ac:dyDescent="0.25">
      <c r="T702" s="98"/>
      <c r="U702" s="99"/>
    </row>
    <row r="703" spans="20:21" x14ac:dyDescent="0.25">
      <c r="T703" s="98"/>
      <c r="U703" s="99"/>
    </row>
    <row r="704" spans="20:21" x14ac:dyDescent="0.25">
      <c r="T704" s="98"/>
      <c r="U704" s="99"/>
    </row>
    <row r="705" spans="20:21" x14ac:dyDescent="0.25">
      <c r="T705" s="98"/>
      <c r="U705" s="99"/>
    </row>
    <row r="706" spans="20:21" x14ac:dyDescent="0.25">
      <c r="T706" s="98"/>
      <c r="U706" s="99"/>
    </row>
    <row r="707" spans="20:21" x14ac:dyDescent="0.25">
      <c r="T707" s="98"/>
      <c r="U707" s="99"/>
    </row>
    <row r="708" spans="20:21" x14ac:dyDescent="0.25">
      <c r="T708" s="98"/>
      <c r="U708" s="99"/>
    </row>
    <row r="709" spans="20:21" x14ac:dyDescent="0.25">
      <c r="T709" s="98"/>
      <c r="U709" s="99"/>
    </row>
    <row r="710" spans="20:21" x14ac:dyDescent="0.25">
      <c r="T710" s="98"/>
      <c r="U710" s="99"/>
    </row>
    <row r="711" spans="20:21" x14ac:dyDescent="0.25">
      <c r="T711" s="98"/>
      <c r="U711" s="99"/>
    </row>
    <row r="712" spans="20:21" x14ac:dyDescent="0.25">
      <c r="T712" s="98"/>
      <c r="U712" s="99"/>
    </row>
    <row r="713" spans="20:21" x14ac:dyDescent="0.25">
      <c r="T713" s="98"/>
      <c r="U713" s="99"/>
    </row>
    <row r="714" spans="20:21" x14ac:dyDescent="0.25">
      <c r="T714" s="98"/>
      <c r="U714" s="99"/>
    </row>
    <row r="715" spans="20:21" x14ac:dyDescent="0.25">
      <c r="T715" s="98"/>
      <c r="U715" s="99"/>
    </row>
    <row r="716" spans="20:21" x14ac:dyDescent="0.25">
      <c r="T716" s="98"/>
      <c r="U716" s="99"/>
    </row>
    <row r="717" spans="20:21" x14ac:dyDescent="0.25">
      <c r="T717" s="98"/>
      <c r="U717" s="99"/>
    </row>
    <row r="718" spans="20:21" x14ac:dyDescent="0.25">
      <c r="T718" s="98"/>
      <c r="U718" s="99"/>
    </row>
    <row r="719" spans="20:21" x14ac:dyDescent="0.25">
      <c r="T719" s="98"/>
      <c r="U719" s="99"/>
    </row>
    <row r="720" spans="20:21" x14ac:dyDescent="0.25">
      <c r="T720" s="98"/>
      <c r="U720" s="99"/>
    </row>
    <row r="721" spans="20:21" x14ac:dyDescent="0.25">
      <c r="T721" s="98"/>
      <c r="U721" s="99"/>
    </row>
    <row r="722" spans="20:21" x14ac:dyDescent="0.25">
      <c r="T722" s="98"/>
      <c r="U722" s="99"/>
    </row>
    <row r="723" spans="20:21" x14ac:dyDescent="0.25">
      <c r="T723" s="98"/>
      <c r="U723" s="99"/>
    </row>
    <row r="724" spans="20:21" x14ac:dyDescent="0.25">
      <c r="T724" s="98"/>
      <c r="U724" s="99"/>
    </row>
    <row r="725" spans="20:21" x14ac:dyDescent="0.25">
      <c r="T725" s="98"/>
      <c r="U725" s="99"/>
    </row>
    <row r="726" spans="20:21" x14ac:dyDescent="0.25">
      <c r="T726" s="98"/>
      <c r="U726" s="99"/>
    </row>
    <row r="727" spans="20:21" x14ac:dyDescent="0.25">
      <c r="T727" s="98"/>
      <c r="U727" s="99"/>
    </row>
    <row r="728" spans="20:21" x14ac:dyDescent="0.25">
      <c r="T728" s="98"/>
      <c r="U728" s="99"/>
    </row>
    <row r="729" spans="20:21" x14ac:dyDescent="0.25">
      <c r="T729" s="98"/>
      <c r="U729" s="99"/>
    </row>
    <row r="730" spans="20:21" x14ac:dyDescent="0.25">
      <c r="T730" s="98"/>
      <c r="U730" s="99"/>
    </row>
    <row r="731" spans="20:21" x14ac:dyDescent="0.25">
      <c r="T731" s="98"/>
      <c r="U731" s="99"/>
    </row>
    <row r="732" spans="20:21" x14ac:dyDescent="0.25">
      <c r="T732" s="98"/>
      <c r="U732" s="99"/>
    </row>
    <row r="733" spans="20:21" x14ac:dyDescent="0.25">
      <c r="T733" s="98"/>
      <c r="U733" s="99"/>
    </row>
    <row r="734" spans="20:21" x14ac:dyDescent="0.25">
      <c r="T734" s="98"/>
      <c r="U734" s="99"/>
    </row>
    <row r="735" spans="20:21" x14ac:dyDescent="0.25">
      <c r="T735" s="98"/>
      <c r="U735" s="99"/>
    </row>
    <row r="736" spans="20:21" x14ac:dyDescent="0.25">
      <c r="T736" s="98"/>
      <c r="U736" s="99"/>
    </row>
    <row r="737" spans="20:21" x14ac:dyDescent="0.25">
      <c r="T737" s="98"/>
      <c r="U737" s="99"/>
    </row>
    <row r="738" spans="20:21" x14ac:dyDescent="0.25">
      <c r="T738" s="98"/>
      <c r="U738" s="99"/>
    </row>
    <row r="739" spans="20:21" x14ac:dyDescent="0.25">
      <c r="T739" s="98"/>
      <c r="U739" s="99"/>
    </row>
    <row r="740" spans="20:21" x14ac:dyDescent="0.25">
      <c r="T740" s="98"/>
      <c r="U740" s="99"/>
    </row>
    <row r="741" spans="20:21" x14ac:dyDescent="0.25">
      <c r="T741" s="98"/>
      <c r="U741" s="99"/>
    </row>
    <row r="742" spans="20:21" x14ac:dyDescent="0.25">
      <c r="T742" s="98"/>
      <c r="U742" s="99"/>
    </row>
    <row r="743" spans="20:21" x14ac:dyDescent="0.25">
      <c r="T743" s="98"/>
      <c r="U743" s="99"/>
    </row>
    <row r="744" spans="20:21" x14ac:dyDescent="0.25">
      <c r="T744" s="98"/>
      <c r="U744" s="99"/>
    </row>
    <row r="745" spans="20:21" x14ac:dyDescent="0.25">
      <c r="T745" s="98"/>
      <c r="U745" s="99"/>
    </row>
    <row r="746" spans="20:21" x14ac:dyDescent="0.25">
      <c r="T746" s="98"/>
      <c r="U746" s="99"/>
    </row>
    <row r="747" spans="20:21" x14ac:dyDescent="0.25">
      <c r="T747" s="98"/>
      <c r="U747" s="99"/>
    </row>
    <row r="748" spans="20:21" x14ac:dyDescent="0.25">
      <c r="T748" s="98"/>
      <c r="U748" s="99"/>
    </row>
    <row r="749" spans="20:21" x14ac:dyDescent="0.25">
      <c r="T749" s="98"/>
      <c r="U749" s="99"/>
    </row>
    <row r="750" spans="20:21" x14ac:dyDescent="0.25">
      <c r="T750" s="98"/>
      <c r="U750" s="99"/>
    </row>
    <row r="751" spans="20:21" x14ac:dyDescent="0.25">
      <c r="T751" s="98"/>
      <c r="U751" s="99"/>
    </row>
    <row r="752" spans="20:21" x14ac:dyDescent="0.25">
      <c r="T752" s="98"/>
      <c r="U752" s="99"/>
    </row>
    <row r="753" spans="20:21" x14ac:dyDescent="0.25">
      <c r="T753" s="98"/>
      <c r="U753" s="99"/>
    </row>
    <row r="754" spans="20:21" x14ac:dyDescent="0.25">
      <c r="T754" s="98"/>
      <c r="U754" s="99"/>
    </row>
    <row r="755" spans="20:21" x14ac:dyDescent="0.25">
      <c r="T755" s="98"/>
      <c r="U755" s="99"/>
    </row>
    <row r="756" spans="20:21" x14ac:dyDescent="0.25">
      <c r="T756" s="98"/>
      <c r="U756" s="99"/>
    </row>
    <row r="757" spans="20:21" x14ac:dyDescent="0.25">
      <c r="T757" s="98"/>
      <c r="U757" s="99"/>
    </row>
    <row r="758" spans="20:21" x14ac:dyDescent="0.25">
      <c r="T758" s="98"/>
      <c r="U758" s="99"/>
    </row>
    <row r="759" spans="20:21" x14ac:dyDescent="0.25">
      <c r="T759" s="98"/>
      <c r="U759" s="99"/>
    </row>
    <row r="760" spans="20:21" x14ac:dyDescent="0.25">
      <c r="T760" s="98"/>
      <c r="U760" s="99"/>
    </row>
    <row r="761" spans="20:21" x14ac:dyDescent="0.25">
      <c r="T761" s="98"/>
      <c r="U761" s="99"/>
    </row>
    <row r="762" spans="20:21" x14ac:dyDescent="0.25">
      <c r="T762" s="98"/>
      <c r="U762" s="99"/>
    </row>
    <row r="763" spans="20:21" x14ac:dyDescent="0.25">
      <c r="T763" s="98"/>
      <c r="U763" s="99"/>
    </row>
    <row r="764" spans="20:21" x14ac:dyDescent="0.25">
      <c r="T764" s="98"/>
      <c r="U764" s="99"/>
    </row>
    <row r="765" spans="20:21" x14ac:dyDescent="0.25">
      <c r="T765" s="98"/>
      <c r="U765" s="99"/>
    </row>
    <row r="766" spans="20:21" x14ac:dyDescent="0.25">
      <c r="T766" s="98"/>
      <c r="U766" s="99"/>
    </row>
    <row r="767" spans="20:21" x14ac:dyDescent="0.25">
      <c r="T767" s="98"/>
      <c r="U767" s="99"/>
    </row>
    <row r="768" spans="20:21" x14ac:dyDescent="0.25">
      <c r="T768" s="98"/>
      <c r="U768" s="99"/>
    </row>
    <row r="769" spans="20:21" x14ac:dyDescent="0.25">
      <c r="T769" s="98"/>
      <c r="U769" s="99"/>
    </row>
    <row r="770" spans="20:21" x14ac:dyDescent="0.25">
      <c r="T770" s="98"/>
      <c r="U770" s="99"/>
    </row>
    <row r="771" spans="20:21" x14ac:dyDescent="0.25">
      <c r="T771" s="98"/>
      <c r="U771" s="99"/>
    </row>
    <row r="772" spans="20:21" x14ac:dyDescent="0.25">
      <c r="T772" s="98"/>
      <c r="U772" s="99"/>
    </row>
    <row r="773" spans="20:21" x14ac:dyDescent="0.25">
      <c r="T773" s="98"/>
      <c r="U773" s="99"/>
    </row>
    <row r="774" spans="20:21" x14ac:dyDescent="0.25">
      <c r="T774" s="98"/>
      <c r="U774" s="99"/>
    </row>
    <row r="775" spans="20:21" x14ac:dyDescent="0.25">
      <c r="T775" s="98"/>
      <c r="U775" s="99"/>
    </row>
    <row r="776" spans="20:21" x14ac:dyDescent="0.25">
      <c r="T776" s="98"/>
      <c r="U776" s="99"/>
    </row>
    <row r="777" spans="20:21" x14ac:dyDescent="0.25">
      <c r="T777" s="98"/>
      <c r="U777" s="99"/>
    </row>
    <row r="778" spans="20:21" x14ac:dyDescent="0.25">
      <c r="T778" s="98"/>
      <c r="U778" s="99"/>
    </row>
    <row r="779" spans="20:21" x14ac:dyDescent="0.25">
      <c r="T779" s="98"/>
      <c r="U779" s="99"/>
    </row>
    <row r="780" spans="20:21" x14ac:dyDescent="0.25">
      <c r="T780" s="98"/>
      <c r="U780" s="99"/>
    </row>
    <row r="781" spans="20:21" x14ac:dyDescent="0.25">
      <c r="T781" s="98"/>
      <c r="U781" s="99"/>
    </row>
    <row r="782" spans="20:21" x14ac:dyDescent="0.25">
      <c r="T782" s="98"/>
      <c r="U782" s="99"/>
    </row>
    <row r="783" spans="20:21" x14ac:dyDescent="0.25">
      <c r="T783" s="98"/>
      <c r="U783" s="99"/>
    </row>
    <row r="784" spans="20:21" x14ac:dyDescent="0.25">
      <c r="T784" s="98"/>
      <c r="U784" s="99"/>
    </row>
    <row r="785" spans="20:21" x14ac:dyDescent="0.25">
      <c r="T785" s="98"/>
      <c r="U785" s="99"/>
    </row>
    <row r="786" spans="20:21" x14ac:dyDescent="0.25">
      <c r="T786" s="98"/>
      <c r="U786" s="99"/>
    </row>
    <row r="787" spans="20:21" x14ac:dyDescent="0.25">
      <c r="T787" s="98"/>
      <c r="U787" s="99"/>
    </row>
    <row r="788" spans="20:21" x14ac:dyDescent="0.25">
      <c r="T788" s="98"/>
      <c r="U788" s="99"/>
    </row>
    <row r="789" spans="20:21" x14ac:dyDescent="0.25">
      <c r="T789" s="98"/>
      <c r="U789" s="99"/>
    </row>
    <row r="790" spans="20:21" x14ac:dyDescent="0.25">
      <c r="T790" s="98"/>
      <c r="U790" s="99"/>
    </row>
    <row r="791" spans="20:21" x14ac:dyDescent="0.25">
      <c r="T791" s="98"/>
      <c r="U791" s="99"/>
    </row>
    <row r="792" spans="20:21" x14ac:dyDescent="0.25">
      <c r="T792" s="98"/>
      <c r="U792" s="99"/>
    </row>
    <row r="793" spans="20:21" x14ac:dyDescent="0.25">
      <c r="T793" s="98"/>
      <c r="U793" s="99"/>
    </row>
    <row r="794" spans="20:21" x14ac:dyDescent="0.25">
      <c r="T794" s="98"/>
      <c r="U794" s="99"/>
    </row>
    <row r="795" spans="20:21" x14ac:dyDescent="0.25">
      <c r="T795" s="98"/>
      <c r="U795" s="99"/>
    </row>
    <row r="796" spans="20:21" x14ac:dyDescent="0.25">
      <c r="T796" s="98"/>
      <c r="U796" s="99"/>
    </row>
    <row r="797" spans="20:21" x14ac:dyDescent="0.25">
      <c r="T797" s="98"/>
      <c r="U797" s="99"/>
    </row>
    <row r="798" spans="20:21" x14ac:dyDescent="0.25">
      <c r="T798" s="98"/>
      <c r="U798" s="99"/>
    </row>
    <row r="799" spans="20:21" x14ac:dyDescent="0.25">
      <c r="T799" s="98"/>
      <c r="U799" s="99"/>
    </row>
    <row r="800" spans="20:21" x14ac:dyDescent="0.25">
      <c r="T800" s="98"/>
      <c r="U800" s="99"/>
    </row>
    <row r="801" spans="20:21" x14ac:dyDescent="0.25">
      <c r="T801" s="98"/>
      <c r="U801" s="99"/>
    </row>
    <row r="802" spans="20:21" x14ac:dyDescent="0.25">
      <c r="T802" s="98"/>
      <c r="U802" s="99"/>
    </row>
    <row r="803" spans="20:21" x14ac:dyDescent="0.25">
      <c r="T803" s="98"/>
      <c r="U803" s="99"/>
    </row>
    <row r="804" spans="20:21" x14ac:dyDescent="0.25">
      <c r="T804" s="98"/>
      <c r="U804" s="99"/>
    </row>
    <row r="805" spans="20:21" x14ac:dyDescent="0.25">
      <c r="T805" s="98"/>
      <c r="U805" s="99"/>
    </row>
    <row r="806" spans="20:21" x14ac:dyDescent="0.25">
      <c r="T806" s="98"/>
      <c r="U806" s="99"/>
    </row>
    <row r="807" spans="20:21" x14ac:dyDescent="0.25">
      <c r="T807" s="98"/>
      <c r="U807" s="99"/>
    </row>
    <row r="808" spans="20:21" x14ac:dyDescent="0.25">
      <c r="T808" s="98"/>
      <c r="U808" s="99"/>
    </row>
    <row r="809" spans="20:21" x14ac:dyDescent="0.25">
      <c r="T809" s="98"/>
      <c r="U809" s="99"/>
    </row>
    <row r="810" spans="20:21" x14ac:dyDescent="0.25">
      <c r="T810" s="98"/>
      <c r="U810" s="99"/>
    </row>
    <row r="811" spans="20:21" x14ac:dyDescent="0.25">
      <c r="T811" s="98"/>
      <c r="U811" s="99"/>
    </row>
    <row r="812" spans="20:21" x14ac:dyDescent="0.25">
      <c r="T812" s="98"/>
      <c r="U812" s="99"/>
    </row>
    <row r="813" spans="20:21" x14ac:dyDescent="0.25">
      <c r="T813" s="98"/>
      <c r="U813" s="99"/>
    </row>
    <row r="814" spans="20:21" x14ac:dyDescent="0.25">
      <c r="T814" s="98"/>
      <c r="U814" s="99"/>
    </row>
    <row r="815" spans="20:21" x14ac:dyDescent="0.25">
      <c r="T815" s="98"/>
      <c r="U815" s="99"/>
    </row>
    <row r="816" spans="20:21" x14ac:dyDescent="0.25">
      <c r="T816" s="98"/>
      <c r="U816" s="99"/>
    </row>
    <row r="817" spans="20:21" x14ac:dyDescent="0.25">
      <c r="T817" s="98"/>
      <c r="U817" s="99"/>
    </row>
    <row r="818" spans="20:21" x14ac:dyDescent="0.25">
      <c r="T818" s="98"/>
      <c r="U818" s="99"/>
    </row>
    <row r="819" spans="20:21" x14ac:dyDescent="0.25">
      <c r="T819" s="98"/>
      <c r="U819" s="99"/>
    </row>
    <row r="820" spans="20:21" x14ac:dyDescent="0.25">
      <c r="T820" s="98"/>
      <c r="U820" s="99"/>
    </row>
    <row r="821" spans="20:21" x14ac:dyDescent="0.25">
      <c r="T821" s="98"/>
      <c r="U821" s="99"/>
    </row>
    <row r="822" spans="20:21" x14ac:dyDescent="0.25">
      <c r="T822" s="98"/>
      <c r="U822" s="99"/>
    </row>
    <row r="823" spans="20:21" x14ac:dyDescent="0.25">
      <c r="T823" s="98"/>
      <c r="U823" s="99"/>
    </row>
    <row r="824" spans="20:21" x14ac:dyDescent="0.25">
      <c r="T824" s="98"/>
      <c r="U824" s="99"/>
    </row>
    <row r="825" spans="20:21" x14ac:dyDescent="0.25">
      <c r="T825" s="98"/>
      <c r="U825" s="99"/>
    </row>
    <row r="826" spans="20:21" x14ac:dyDescent="0.25">
      <c r="T826" s="98"/>
      <c r="U826" s="99"/>
    </row>
    <row r="827" spans="20:21" x14ac:dyDescent="0.25">
      <c r="T827" s="98"/>
      <c r="U827" s="99"/>
    </row>
    <row r="828" spans="20:21" x14ac:dyDescent="0.25">
      <c r="T828" s="98"/>
      <c r="U828" s="99"/>
    </row>
    <row r="829" spans="20:21" x14ac:dyDescent="0.25">
      <c r="T829" s="98"/>
      <c r="U829" s="99"/>
    </row>
    <row r="830" spans="20:21" x14ac:dyDescent="0.25">
      <c r="T830" s="98"/>
      <c r="U830" s="99"/>
    </row>
    <row r="831" spans="20:21" x14ac:dyDescent="0.25">
      <c r="T831" s="98"/>
      <c r="U831" s="99"/>
    </row>
    <row r="832" spans="20:21" x14ac:dyDescent="0.25">
      <c r="T832" s="98"/>
      <c r="U832" s="99"/>
    </row>
    <row r="833" spans="20:21" x14ac:dyDescent="0.25">
      <c r="T833" s="98"/>
      <c r="U833" s="99"/>
    </row>
    <row r="834" spans="20:21" x14ac:dyDescent="0.25">
      <c r="T834" s="98"/>
      <c r="U834" s="99"/>
    </row>
    <row r="835" spans="20:21" x14ac:dyDescent="0.25">
      <c r="T835" s="98"/>
      <c r="U835" s="99"/>
    </row>
    <row r="836" spans="20:21" x14ac:dyDescent="0.25">
      <c r="T836" s="98"/>
      <c r="U836" s="99"/>
    </row>
    <row r="837" spans="20:21" x14ac:dyDescent="0.25">
      <c r="T837" s="98"/>
      <c r="U837" s="99"/>
    </row>
    <row r="838" spans="20:21" x14ac:dyDescent="0.25">
      <c r="T838" s="98"/>
      <c r="U838" s="99"/>
    </row>
    <row r="839" spans="20:21" x14ac:dyDescent="0.25">
      <c r="T839" s="98"/>
      <c r="U839" s="99"/>
    </row>
    <row r="840" spans="20:21" x14ac:dyDescent="0.25">
      <c r="T840" s="98"/>
      <c r="U840" s="99"/>
    </row>
    <row r="841" spans="20:21" x14ac:dyDescent="0.25">
      <c r="T841" s="98"/>
      <c r="U841" s="99"/>
    </row>
    <row r="842" spans="20:21" x14ac:dyDescent="0.25">
      <c r="T842" s="98"/>
      <c r="U842" s="99"/>
    </row>
    <row r="843" spans="20:21" x14ac:dyDescent="0.25">
      <c r="T843" s="98"/>
      <c r="U843" s="99"/>
    </row>
    <row r="844" spans="20:21" x14ac:dyDescent="0.25">
      <c r="T844" s="98"/>
      <c r="U844" s="99"/>
    </row>
    <row r="845" spans="20:21" x14ac:dyDescent="0.25">
      <c r="T845" s="98"/>
      <c r="U845" s="99"/>
    </row>
    <row r="846" spans="20:21" x14ac:dyDescent="0.25">
      <c r="T846" s="98"/>
      <c r="U846" s="99"/>
    </row>
    <row r="847" spans="20:21" x14ac:dyDescent="0.25">
      <c r="T847" s="98"/>
      <c r="U847" s="99"/>
    </row>
    <row r="848" spans="20:21" x14ac:dyDescent="0.25">
      <c r="T848" s="98"/>
      <c r="U848" s="99"/>
    </row>
    <row r="849" spans="20:21" x14ac:dyDescent="0.25">
      <c r="T849" s="98"/>
      <c r="U849" s="99"/>
    </row>
    <row r="850" spans="20:21" x14ac:dyDescent="0.25">
      <c r="T850" s="98"/>
      <c r="U850" s="99"/>
    </row>
    <row r="851" spans="20:21" x14ac:dyDescent="0.25">
      <c r="T851" s="98"/>
      <c r="U851" s="99"/>
    </row>
    <row r="852" spans="20:21" x14ac:dyDescent="0.25">
      <c r="T852" s="98"/>
      <c r="U852" s="99"/>
    </row>
    <row r="853" spans="20:21" x14ac:dyDescent="0.25">
      <c r="T853" s="98"/>
      <c r="U853" s="99"/>
    </row>
    <row r="854" spans="20:21" x14ac:dyDescent="0.25">
      <c r="T854" s="98"/>
      <c r="U854" s="99"/>
    </row>
    <row r="855" spans="20:21" x14ac:dyDescent="0.25">
      <c r="T855" s="98"/>
      <c r="U855" s="99"/>
    </row>
    <row r="856" spans="20:21" x14ac:dyDescent="0.25">
      <c r="T856" s="98"/>
      <c r="U856" s="99"/>
    </row>
    <row r="857" spans="20:21" x14ac:dyDescent="0.25">
      <c r="T857" s="98"/>
      <c r="U857" s="99"/>
    </row>
    <row r="858" spans="20:21" x14ac:dyDescent="0.25">
      <c r="T858" s="98"/>
      <c r="U858" s="99"/>
    </row>
    <row r="859" spans="20:21" x14ac:dyDescent="0.25">
      <c r="T859" s="98"/>
      <c r="U859" s="99"/>
    </row>
    <row r="860" spans="20:21" x14ac:dyDescent="0.25">
      <c r="T860" s="98"/>
      <c r="U860" s="99"/>
    </row>
    <row r="861" spans="20:21" x14ac:dyDescent="0.25">
      <c r="T861" s="98"/>
      <c r="U861" s="99"/>
    </row>
    <row r="862" spans="20:21" x14ac:dyDescent="0.25">
      <c r="T862" s="98"/>
      <c r="U862" s="99"/>
    </row>
    <row r="863" spans="20:21" x14ac:dyDescent="0.25">
      <c r="T863" s="98"/>
      <c r="U863" s="99"/>
    </row>
    <row r="864" spans="20:21" x14ac:dyDescent="0.25">
      <c r="T864" s="98"/>
      <c r="U864" s="99"/>
    </row>
    <row r="865" spans="20:21" x14ac:dyDescent="0.25">
      <c r="T865" s="98"/>
      <c r="U865" s="99"/>
    </row>
    <row r="866" spans="20:21" x14ac:dyDescent="0.25">
      <c r="T866" s="98"/>
      <c r="U866" s="99"/>
    </row>
    <row r="867" spans="20:21" x14ac:dyDescent="0.25">
      <c r="T867" s="98"/>
      <c r="U867" s="99"/>
    </row>
    <row r="868" spans="20:21" x14ac:dyDescent="0.25">
      <c r="T868" s="98"/>
      <c r="U868" s="99"/>
    </row>
    <row r="869" spans="20:21" x14ac:dyDescent="0.25">
      <c r="T869" s="98"/>
      <c r="U869" s="99"/>
    </row>
    <row r="870" spans="20:21" x14ac:dyDescent="0.25">
      <c r="T870" s="98"/>
      <c r="U870" s="99"/>
    </row>
    <row r="871" spans="20:21" x14ac:dyDescent="0.25">
      <c r="T871" s="98"/>
      <c r="U871" s="99"/>
    </row>
    <row r="872" spans="20:21" x14ac:dyDescent="0.25">
      <c r="T872" s="98"/>
      <c r="U872" s="99"/>
    </row>
    <row r="873" spans="20:21" x14ac:dyDescent="0.25">
      <c r="T873" s="98"/>
      <c r="U873" s="99"/>
    </row>
    <row r="874" spans="20:21" x14ac:dyDescent="0.25">
      <c r="T874" s="98"/>
      <c r="U874" s="99"/>
    </row>
    <row r="875" spans="20:21" x14ac:dyDescent="0.25">
      <c r="T875" s="98"/>
      <c r="U875" s="99"/>
    </row>
    <row r="876" spans="20:21" x14ac:dyDescent="0.25">
      <c r="T876" s="98"/>
      <c r="U876" s="99"/>
    </row>
    <row r="877" spans="20:21" x14ac:dyDescent="0.25">
      <c r="T877" s="98"/>
      <c r="U877" s="99"/>
    </row>
    <row r="878" spans="20:21" x14ac:dyDescent="0.25">
      <c r="T878" s="98"/>
      <c r="U878" s="99"/>
    </row>
    <row r="879" spans="20:21" x14ac:dyDescent="0.25">
      <c r="T879" s="98"/>
      <c r="U879" s="99"/>
    </row>
    <row r="880" spans="20:21" x14ac:dyDescent="0.25">
      <c r="T880" s="98"/>
      <c r="U880" s="99"/>
    </row>
    <row r="881" spans="20:21" x14ac:dyDescent="0.25">
      <c r="T881" s="98"/>
      <c r="U881" s="99"/>
    </row>
    <row r="882" spans="20:21" x14ac:dyDescent="0.25">
      <c r="T882" s="98"/>
      <c r="U882" s="99"/>
    </row>
    <row r="883" spans="20:21" x14ac:dyDescent="0.25">
      <c r="T883" s="98"/>
      <c r="U883" s="99"/>
    </row>
    <row r="884" spans="20:21" x14ac:dyDescent="0.25">
      <c r="T884" s="98"/>
      <c r="U884" s="99"/>
    </row>
    <row r="885" spans="20:21" x14ac:dyDescent="0.25">
      <c r="T885" s="98"/>
      <c r="U885" s="99"/>
    </row>
    <row r="886" spans="20:21" x14ac:dyDescent="0.25">
      <c r="T886" s="98"/>
      <c r="U886" s="99"/>
    </row>
    <row r="887" spans="20:21" x14ac:dyDescent="0.25">
      <c r="T887" s="98"/>
      <c r="U887" s="99"/>
    </row>
    <row r="888" spans="20:21" x14ac:dyDescent="0.25">
      <c r="T888" s="98"/>
      <c r="U888" s="99"/>
    </row>
    <row r="889" spans="20:21" x14ac:dyDescent="0.25">
      <c r="T889" s="98"/>
      <c r="U889" s="99"/>
    </row>
    <row r="890" spans="20:21" x14ac:dyDescent="0.25">
      <c r="T890" s="98"/>
      <c r="U890" s="99"/>
    </row>
    <row r="891" spans="20:21" x14ac:dyDescent="0.25">
      <c r="T891" s="98"/>
      <c r="U891" s="99"/>
    </row>
    <row r="892" spans="20:21" x14ac:dyDescent="0.25">
      <c r="T892" s="98"/>
      <c r="U892" s="99"/>
    </row>
    <row r="893" spans="20:21" x14ac:dyDescent="0.25">
      <c r="T893" s="98"/>
      <c r="U893" s="99"/>
    </row>
    <row r="894" spans="20:21" x14ac:dyDescent="0.25">
      <c r="T894" s="98"/>
      <c r="U894" s="99"/>
    </row>
    <row r="895" spans="20:21" x14ac:dyDescent="0.25">
      <c r="T895" s="98"/>
      <c r="U895" s="99"/>
    </row>
    <row r="896" spans="20:21" x14ac:dyDescent="0.25">
      <c r="T896" s="98"/>
      <c r="U896" s="99"/>
    </row>
    <row r="897" spans="20:21" x14ac:dyDescent="0.25">
      <c r="T897" s="98"/>
      <c r="U897" s="99"/>
    </row>
    <row r="898" spans="20:21" x14ac:dyDescent="0.25">
      <c r="T898" s="98"/>
      <c r="U898" s="99"/>
    </row>
    <row r="899" spans="20:21" x14ac:dyDescent="0.25">
      <c r="T899" s="98"/>
      <c r="U899" s="99"/>
    </row>
    <row r="900" spans="20:21" x14ac:dyDescent="0.25">
      <c r="T900" s="98"/>
      <c r="U900" s="99"/>
    </row>
    <row r="901" spans="20:21" x14ac:dyDescent="0.25">
      <c r="T901" s="98"/>
      <c r="U901" s="99"/>
    </row>
    <row r="902" spans="20:21" x14ac:dyDescent="0.25">
      <c r="T902" s="98"/>
      <c r="U902" s="99"/>
    </row>
    <row r="903" spans="20:21" x14ac:dyDescent="0.25">
      <c r="T903" s="98"/>
      <c r="U903" s="99"/>
    </row>
    <row r="904" spans="20:21" x14ac:dyDescent="0.25">
      <c r="T904" s="98"/>
      <c r="U904" s="99"/>
    </row>
    <row r="905" spans="20:21" x14ac:dyDescent="0.25">
      <c r="T905" s="98"/>
      <c r="U905" s="99"/>
    </row>
    <row r="906" spans="20:21" x14ac:dyDescent="0.25">
      <c r="T906" s="98"/>
      <c r="U906" s="99"/>
    </row>
    <row r="907" spans="20:21" x14ac:dyDescent="0.25">
      <c r="T907" s="98"/>
      <c r="U907" s="99"/>
    </row>
    <row r="908" spans="20:21" x14ac:dyDescent="0.25">
      <c r="T908" s="98"/>
      <c r="U908" s="99"/>
    </row>
    <row r="909" spans="20:21" x14ac:dyDescent="0.25">
      <c r="T909" s="98"/>
      <c r="U909" s="99"/>
    </row>
    <row r="910" spans="20:21" x14ac:dyDescent="0.25">
      <c r="T910" s="98"/>
      <c r="U910" s="99"/>
    </row>
    <row r="911" spans="20:21" x14ac:dyDescent="0.25">
      <c r="T911" s="98"/>
      <c r="U911" s="99"/>
    </row>
    <row r="912" spans="20:21" x14ac:dyDescent="0.25">
      <c r="T912" s="98"/>
      <c r="U912" s="99"/>
    </row>
    <row r="913" spans="20:21" x14ac:dyDescent="0.25">
      <c r="T913" s="98"/>
      <c r="U913" s="99"/>
    </row>
    <row r="914" spans="20:21" x14ac:dyDescent="0.25">
      <c r="T914" s="98"/>
      <c r="U914" s="99"/>
    </row>
    <row r="915" spans="20:21" x14ac:dyDescent="0.25">
      <c r="T915" s="98"/>
      <c r="U915" s="99"/>
    </row>
    <row r="916" spans="20:21" x14ac:dyDescent="0.25">
      <c r="T916" s="98"/>
      <c r="U916" s="99"/>
    </row>
    <row r="917" spans="20:21" x14ac:dyDescent="0.25">
      <c r="T917" s="98"/>
      <c r="U917" s="99"/>
    </row>
    <row r="918" spans="20:21" x14ac:dyDescent="0.25">
      <c r="T918" s="98"/>
      <c r="U918" s="99"/>
    </row>
    <row r="919" spans="20:21" x14ac:dyDescent="0.25">
      <c r="T919" s="98"/>
      <c r="U919" s="99"/>
    </row>
    <row r="920" spans="20:21" x14ac:dyDescent="0.25">
      <c r="T920" s="98"/>
      <c r="U920" s="99"/>
    </row>
    <row r="921" spans="20:21" x14ac:dyDescent="0.25">
      <c r="T921" s="98"/>
      <c r="U921" s="99"/>
    </row>
    <row r="922" spans="20:21" x14ac:dyDescent="0.25">
      <c r="T922" s="98"/>
      <c r="U922" s="99"/>
    </row>
    <row r="923" spans="20:21" x14ac:dyDescent="0.25">
      <c r="T923" s="98"/>
      <c r="U923" s="99"/>
    </row>
    <row r="924" spans="20:21" x14ac:dyDescent="0.25">
      <c r="T924" s="98"/>
      <c r="U924" s="99"/>
    </row>
    <row r="925" spans="20:21" x14ac:dyDescent="0.25">
      <c r="T925" s="98"/>
      <c r="U925" s="99"/>
    </row>
    <row r="926" spans="20:21" x14ac:dyDescent="0.25">
      <c r="T926" s="98"/>
      <c r="U926" s="99"/>
    </row>
    <row r="927" spans="20:21" x14ac:dyDescent="0.25">
      <c r="T927" s="98"/>
      <c r="U927" s="99"/>
    </row>
    <row r="928" spans="20:21" x14ac:dyDescent="0.25">
      <c r="T928" s="98"/>
      <c r="U928" s="99"/>
    </row>
    <row r="929" spans="20:21" x14ac:dyDescent="0.25">
      <c r="T929" s="98"/>
      <c r="U929" s="99"/>
    </row>
    <row r="930" spans="20:21" x14ac:dyDescent="0.25">
      <c r="T930" s="98"/>
      <c r="U930" s="99"/>
    </row>
    <row r="931" spans="20:21" x14ac:dyDescent="0.25">
      <c r="T931" s="98"/>
      <c r="U931" s="99"/>
    </row>
    <row r="932" spans="20:21" x14ac:dyDescent="0.25">
      <c r="T932" s="98"/>
      <c r="U932" s="99"/>
    </row>
    <row r="933" spans="20:21" x14ac:dyDescent="0.25">
      <c r="T933" s="98"/>
      <c r="U933" s="99"/>
    </row>
    <row r="934" spans="20:21" x14ac:dyDescent="0.25">
      <c r="T934" s="98"/>
      <c r="U934" s="99"/>
    </row>
    <row r="935" spans="20:21" x14ac:dyDescent="0.25">
      <c r="T935" s="98"/>
      <c r="U935" s="99"/>
    </row>
    <row r="936" spans="20:21" x14ac:dyDescent="0.25">
      <c r="T936" s="98"/>
      <c r="U936" s="99"/>
    </row>
    <row r="937" spans="20:21" x14ac:dyDescent="0.25">
      <c r="T937" s="98"/>
      <c r="U937" s="99"/>
    </row>
    <row r="938" spans="20:21" x14ac:dyDescent="0.25">
      <c r="T938" s="98"/>
      <c r="U938" s="99"/>
    </row>
    <row r="939" spans="20:21" x14ac:dyDescent="0.25">
      <c r="T939" s="98"/>
      <c r="U939" s="99"/>
    </row>
    <row r="940" spans="20:21" x14ac:dyDescent="0.25">
      <c r="T940" s="98"/>
      <c r="U940" s="99"/>
    </row>
    <row r="941" spans="20:21" x14ac:dyDescent="0.25">
      <c r="T941" s="98"/>
      <c r="U941" s="99"/>
    </row>
    <row r="942" spans="20:21" x14ac:dyDescent="0.25">
      <c r="T942" s="98"/>
      <c r="U942" s="99"/>
    </row>
    <row r="943" spans="20:21" x14ac:dyDescent="0.25">
      <c r="T943" s="98"/>
      <c r="U943" s="99"/>
    </row>
    <row r="944" spans="20:21" x14ac:dyDescent="0.25">
      <c r="T944" s="98"/>
      <c r="U944" s="99"/>
    </row>
    <row r="945" spans="20:21" x14ac:dyDescent="0.25">
      <c r="T945" s="98"/>
      <c r="U945" s="99"/>
    </row>
    <row r="946" spans="20:21" x14ac:dyDescent="0.25">
      <c r="T946" s="98"/>
      <c r="U946" s="99"/>
    </row>
    <row r="947" spans="20:21" x14ac:dyDescent="0.25">
      <c r="T947" s="98"/>
      <c r="U947" s="99"/>
    </row>
    <row r="948" spans="20:21" x14ac:dyDescent="0.25">
      <c r="T948" s="98"/>
      <c r="U948" s="99"/>
    </row>
    <row r="949" spans="20:21" x14ac:dyDescent="0.25">
      <c r="T949" s="98"/>
      <c r="U949" s="99"/>
    </row>
    <row r="950" spans="20:21" x14ac:dyDescent="0.25">
      <c r="T950" s="98"/>
      <c r="U950" s="99"/>
    </row>
    <row r="951" spans="20:21" x14ac:dyDescent="0.25">
      <c r="T951" s="98"/>
      <c r="U951" s="99"/>
    </row>
    <row r="952" spans="20:21" x14ac:dyDescent="0.25">
      <c r="T952" s="98"/>
      <c r="U952" s="99"/>
    </row>
    <row r="953" spans="20:21" x14ac:dyDescent="0.25">
      <c r="T953" s="98"/>
      <c r="U953" s="99"/>
    </row>
    <row r="954" spans="20:21" x14ac:dyDescent="0.25">
      <c r="T954" s="98"/>
      <c r="U954" s="99"/>
    </row>
    <row r="955" spans="20:21" x14ac:dyDescent="0.25">
      <c r="T955" s="98"/>
      <c r="U955" s="99"/>
    </row>
    <row r="956" spans="20:21" x14ac:dyDescent="0.25">
      <c r="T956" s="98"/>
      <c r="U956" s="99"/>
    </row>
    <row r="957" spans="20:21" x14ac:dyDescent="0.25">
      <c r="T957" s="98"/>
      <c r="U957" s="99"/>
    </row>
    <row r="958" spans="20:21" x14ac:dyDescent="0.25">
      <c r="T958" s="98"/>
      <c r="U958" s="99"/>
    </row>
    <row r="959" spans="20:21" x14ac:dyDescent="0.25">
      <c r="T959" s="98"/>
      <c r="U959" s="99"/>
    </row>
    <row r="960" spans="20:21" x14ac:dyDescent="0.25">
      <c r="T960" s="98"/>
      <c r="U960" s="99"/>
    </row>
    <row r="961" spans="20:21" x14ac:dyDescent="0.25">
      <c r="T961" s="98"/>
      <c r="U961" s="99"/>
    </row>
    <row r="962" spans="20:21" x14ac:dyDescent="0.25">
      <c r="T962" s="98"/>
      <c r="U962" s="99"/>
    </row>
    <row r="963" spans="20:21" x14ac:dyDescent="0.25">
      <c r="T963" s="98"/>
      <c r="U963" s="99"/>
    </row>
    <row r="964" spans="20:21" x14ac:dyDescent="0.25">
      <c r="T964" s="98"/>
      <c r="U964" s="99"/>
    </row>
    <row r="965" spans="20:21" x14ac:dyDescent="0.25">
      <c r="T965" s="98"/>
      <c r="U965" s="99"/>
    </row>
    <row r="966" spans="20:21" x14ac:dyDescent="0.25">
      <c r="T966" s="98"/>
      <c r="U966" s="99"/>
    </row>
    <row r="967" spans="20:21" x14ac:dyDescent="0.25">
      <c r="T967" s="98"/>
      <c r="U967" s="99"/>
    </row>
    <row r="968" spans="20:21" x14ac:dyDescent="0.25">
      <c r="T968" s="98"/>
      <c r="U968" s="99"/>
    </row>
    <row r="969" spans="20:21" x14ac:dyDescent="0.25">
      <c r="T969" s="98"/>
      <c r="U969" s="99"/>
    </row>
    <row r="970" spans="20:21" x14ac:dyDescent="0.25">
      <c r="T970" s="98"/>
      <c r="U970" s="99"/>
    </row>
    <row r="971" spans="20:21" x14ac:dyDescent="0.25">
      <c r="T971" s="98"/>
      <c r="U971" s="99"/>
    </row>
    <row r="972" spans="20:21" x14ac:dyDescent="0.25">
      <c r="T972" s="98"/>
      <c r="U972" s="99"/>
    </row>
    <row r="973" spans="20:21" x14ac:dyDescent="0.25">
      <c r="T973" s="98"/>
      <c r="U973" s="99"/>
    </row>
    <row r="974" spans="20:21" x14ac:dyDescent="0.25">
      <c r="T974" s="98"/>
      <c r="U974" s="99"/>
    </row>
    <row r="975" spans="20:21" x14ac:dyDescent="0.25">
      <c r="T975" s="98"/>
      <c r="U975" s="99"/>
    </row>
    <row r="976" spans="20:21" x14ac:dyDescent="0.25">
      <c r="T976" s="98"/>
      <c r="U976" s="99"/>
    </row>
    <row r="977" spans="20:21" x14ac:dyDescent="0.25">
      <c r="T977" s="98"/>
      <c r="U977" s="99"/>
    </row>
    <row r="978" spans="20:21" x14ac:dyDescent="0.25">
      <c r="T978" s="98"/>
      <c r="U978" s="99"/>
    </row>
    <row r="979" spans="20:21" x14ac:dyDescent="0.25">
      <c r="T979" s="98"/>
      <c r="U979" s="99"/>
    </row>
    <row r="980" spans="20:21" x14ac:dyDescent="0.25">
      <c r="T980" s="98"/>
      <c r="U980" s="99"/>
    </row>
    <row r="981" spans="20:21" x14ac:dyDescent="0.25">
      <c r="T981" s="98"/>
      <c r="U981" s="99"/>
    </row>
    <row r="982" spans="20:21" x14ac:dyDescent="0.25">
      <c r="T982" s="98"/>
      <c r="U982" s="99"/>
    </row>
    <row r="983" spans="20:21" x14ac:dyDescent="0.25">
      <c r="T983" s="98"/>
      <c r="U983" s="99"/>
    </row>
    <row r="984" spans="20:21" x14ac:dyDescent="0.25">
      <c r="T984" s="98"/>
      <c r="U984" s="99"/>
    </row>
    <row r="985" spans="20:21" x14ac:dyDescent="0.25">
      <c r="T985" s="98"/>
      <c r="U985" s="99"/>
    </row>
    <row r="986" spans="20:21" x14ac:dyDescent="0.25">
      <c r="T986" s="98"/>
      <c r="U986" s="99"/>
    </row>
    <row r="987" spans="20:21" x14ac:dyDescent="0.25">
      <c r="T987" s="98"/>
      <c r="U987" s="99"/>
    </row>
    <row r="988" spans="20:21" x14ac:dyDescent="0.25">
      <c r="T988" s="98"/>
      <c r="U988" s="99"/>
    </row>
    <row r="989" spans="20:21" x14ac:dyDescent="0.25">
      <c r="T989" s="98"/>
      <c r="U989" s="99"/>
    </row>
    <row r="990" spans="20:21" x14ac:dyDescent="0.25">
      <c r="T990" s="98"/>
      <c r="U990" s="99"/>
    </row>
    <row r="991" spans="20:21" x14ac:dyDescent="0.25">
      <c r="T991" s="98"/>
      <c r="U991" s="99"/>
    </row>
    <row r="992" spans="20:21" x14ac:dyDescent="0.25">
      <c r="T992" s="98"/>
      <c r="U992" s="99"/>
    </row>
    <row r="993" spans="20:21" x14ac:dyDescent="0.25">
      <c r="T993" s="98"/>
      <c r="U993" s="99"/>
    </row>
    <row r="994" spans="20:21" x14ac:dyDescent="0.25">
      <c r="T994" s="98"/>
      <c r="U994" s="99"/>
    </row>
    <row r="995" spans="20:21" x14ac:dyDescent="0.25">
      <c r="T995" s="98"/>
      <c r="U995" s="99"/>
    </row>
    <row r="996" spans="20:21" x14ac:dyDescent="0.25">
      <c r="T996" s="98"/>
      <c r="U996" s="99"/>
    </row>
    <row r="997" spans="20:21" x14ac:dyDescent="0.25">
      <c r="T997" s="98"/>
      <c r="U997" s="99"/>
    </row>
    <row r="998" spans="20:21" x14ac:dyDescent="0.25">
      <c r="T998" s="98"/>
      <c r="U998" s="99"/>
    </row>
    <row r="999" spans="20:21" x14ac:dyDescent="0.25">
      <c r="T999" s="98"/>
      <c r="U999" s="99"/>
    </row>
    <row r="1000" spans="20:21" x14ac:dyDescent="0.25">
      <c r="T1000" s="98"/>
      <c r="U1000" s="99"/>
    </row>
    <row r="1001" spans="20:21" x14ac:dyDescent="0.25">
      <c r="T1001" s="98"/>
      <c r="U1001" s="99"/>
    </row>
    <row r="1002" spans="20:21" x14ac:dyDescent="0.25">
      <c r="T1002" s="98"/>
      <c r="U1002" s="99"/>
    </row>
    <row r="1003" spans="20:21" x14ac:dyDescent="0.25">
      <c r="T1003" s="98"/>
      <c r="U1003" s="99"/>
    </row>
    <row r="1004" spans="20:21" x14ac:dyDescent="0.25">
      <c r="T1004" s="98"/>
      <c r="U1004" s="99"/>
    </row>
    <row r="1005" spans="20:21" x14ac:dyDescent="0.25">
      <c r="T1005" s="98"/>
      <c r="U1005" s="99"/>
    </row>
    <row r="1006" spans="20:21" x14ac:dyDescent="0.25">
      <c r="T1006" s="98"/>
      <c r="U1006" s="99"/>
    </row>
    <row r="1007" spans="20:21" x14ac:dyDescent="0.25">
      <c r="T1007" s="98"/>
      <c r="U1007" s="99"/>
    </row>
    <row r="1008" spans="20:21" x14ac:dyDescent="0.25">
      <c r="T1008" s="98"/>
      <c r="U1008" s="99"/>
    </row>
    <row r="1009" spans="20:21" x14ac:dyDescent="0.25">
      <c r="T1009" s="98"/>
      <c r="U1009" s="99"/>
    </row>
    <row r="1010" spans="20:21" x14ac:dyDescent="0.25">
      <c r="T1010" s="98"/>
      <c r="U1010" s="99"/>
    </row>
    <row r="1011" spans="20:21" x14ac:dyDescent="0.25">
      <c r="T1011" s="98"/>
      <c r="U1011" s="99"/>
    </row>
    <row r="1012" spans="20:21" x14ac:dyDescent="0.25">
      <c r="T1012" s="98"/>
      <c r="U1012" s="99"/>
    </row>
    <row r="1013" spans="20:21" x14ac:dyDescent="0.25">
      <c r="T1013" s="98"/>
      <c r="U1013" s="99"/>
    </row>
    <row r="1014" spans="20:21" x14ac:dyDescent="0.25">
      <c r="T1014" s="98"/>
      <c r="U1014" s="99"/>
    </row>
    <row r="1015" spans="20:21" x14ac:dyDescent="0.25">
      <c r="T1015" s="98"/>
      <c r="U1015" s="99"/>
    </row>
    <row r="1016" spans="20:21" x14ac:dyDescent="0.25">
      <c r="T1016" s="98"/>
      <c r="U1016" s="99"/>
    </row>
    <row r="1017" spans="20:21" x14ac:dyDescent="0.25">
      <c r="T1017" s="98"/>
      <c r="U1017" s="99"/>
    </row>
    <row r="1018" spans="20:21" x14ac:dyDescent="0.25">
      <c r="T1018" s="98"/>
      <c r="U1018" s="99"/>
    </row>
    <row r="1019" spans="20:21" x14ac:dyDescent="0.25">
      <c r="T1019" s="98"/>
      <c r="U1019" s="99"/>
    </row>
    <row r="1020" spans="20:21" x14ac:dyDescent="0.25">
      <c r="T1020" s="98"/>
      <c r="U1020" s="99"/>
    </row>
    <row r="1021" spans="20:21" x14ac:dyDescent="0.25">
      <c r="T1021" s="98"/>
      <c r="U1021" s="99"/>
    </row>
    <row r="1022" spans="20:21" x14ac:dyDescent="0.25">
      <c r="T1022" s="98"/>
      <c r="U1022" s="99"/>
    </row>
    <row r="1023" spans="20:21" x14ac:dyDescent="0.25">
      <c r="T1023" s="98"/>
      <c r="U1023" s="99"/>
    </row>
    <row r="1024" spans="20:21" x14ac:dyDescent="0.25">
      <c r="T1024" s="98"/>
      <c r="U1024" s="99"/>
    </row>
    <row r="1025" spans="20:21" x14ac:dyDescent="0.25">
      <c r="T1025" s="98"/>
      <c r="U1025" s="99"/>
    </row>
    <row r="1026" spans="20:21" x14ac:dyDescent="0.25">
      <c r="T1026" s="98"/>
      <c r="U1026" s="99"/>
    </row>
    <row r="1027" spans="20:21" x14ac:dyDescent="0.25">
      <c r="T1027" s="98"/>
      <c r="U1027" s="99"/>
    </row>
    <row r="1028" spans="20:21" x14ac:dyDescent="0.25">
      <c r="T1028" s="98"/>
      <c r="U1028" s="99"/>
    </row>
    <row r="1029" spans="20:21" x14ac:dyDescent="0.25">
      <c r="T1029" s="98"/>
      <c r="U1029" s="99"/>
    </row>
    <row r="1030" spans="20:21" x14ac:dyDescent="0.25">
      <c r="T1030" s="98"/>
      <c r="U1030" s="99"/>
    </row>
    <row r="1031" spans="20:21" x14ac:dyDescent="0.25">
      <c r="T1031" s="98"/>
      <c r="U1031" s="99"/>
    </row>
    <row r="1032" spans="20:21" x14ac:dyDescent="0.25">
      <c r="T1032" s="98"/>
      <c r="U1032" s="99"/>
    </row>
    <row r="1033" spans="20:21" x14ac:dyDescent="0.25">
      <c r="T1033" s="98"/>
      <c r="U1033" s="99"/>
    </row>
    <row r="1034" spans="20:21" x14ac:dyDescent="0.25">
      <c r="T1034" s="98"/>
      <c r="U1034" s="99"/>
    </row>
    <row r="1035" spans="20:21" x14ac:dyDescent="0.25">
      <c r="T1035" s="98"/>
      <c r="U1035" s="99"/>
    </row>
    <row r="1036" spans="20:21" x14ac:dyDescent="0.25">
      <c r="T1036" s="98"/>
      <c r="U1036" s="99"/>
    </row>
    <row r="1037" spans="20:21" x14ac:dyDescent="0.25">
      <c r="T1037" s="98"/>
      <c r="U1037" s="99"/>
    </row>
    <row r="1038" spans="20:21" x14ac:dyDescent="0.25">
      <c r="T1038" s="98"/>
      <c r="U1038" s="99"/>
    </row>
    <row r="1039" spans="20:21" x14ac:dyDescent="0.25">
      <c r="T1039" s="98"/>
      <c r="U1039" s="99"/>
    </row>
    <row r="1040" spans="20:21" x14ac:dyDescent="0.25">
      <c r="T1040" s="98"/>
      <c r="U1040" s="99"/>
    </row>
    <row r="1041" spans="20:21" x14ac:dyDescent="0.25">
      <c r="T1041" s="98"/>
      <c r="U1041" s="99"/>
    </row>
    <row r="1042" spans="20:21" x14ac:dyDescent="0.25">
      <c r="T1042" s="98"/>
      <c r="U1042" s="99"/>
    </row>
    <row r="1043" spans="20:21" x14ac:dyDescent="0.25">
      <c r="T1043" s="98"/>
      <c r="U1043" s="99"/>
    </row>
    <row r="1044" spans="20:21" x14ac:dyDescent="0.25">
      <c r="T1044" s="98"/>
      <c r="U1044" s="99"/>
    </row>
    <row r="1045" spans="20:21" x14ac:dyDescent="0.25">
      <c r="T1045" s="98"/>
      <c r="U1045" s="99"/>
    </row>
    <row r="1046" spans="20:21" x14ac:dyDescent="0.25">
      <c r="T1046" s="98"/>
      <c r="U1046" s="99"/>
    </row>
    <row r="1047" spans="20:21" x14ac:dyDescent="0.25">
      <c r="T1047" s="98"/>
      <c r="U1047" s="99"/>
    </row>
    <row r="1048" spans="20:21" x14ac:dyDescent="0.25">
      <c r="T1048" s="98"/>
      <c r="U1048" s="99"/>
    </row>
    <row r="1049" spans="20:21" x14ac:dyDescent="0.25">
      <c r="T1049" s="98"/>
      <c r="U1049" s="99"/>
    </row>
    <row r="1050" spans="20:21" x14ac:dyDescent="0.25">
      <c r="T1050" s="98"/>
      <c r="U1050" s="99"/>
    </row>
    <row r="1051" spans="20:21" x14ac:dyDescent="0.25">
      <c r="T1051" s="98"/>
      <c r="U1051" s="99"/>
    </row>
    <row r="1052" spans="20:21" x14ac:dyDescent="0.25">
      <c r="T1052" s="98"/>
      <c r="U1052" s="99"/>
    </row>
    <row r="1053" spans="20:21" x14ac:dyDescent="0.25">
      <c r="T1053" s="98"/>
      <c r="U1053" s="99"/>
    </row>
    <row r="1054" spans="20:21" x14ac:dyDescent="0.25">
      <c r="T1054" s="98"/>
      <c r="U1054" s="99"/>
    </row>
    <row r="1055" spans="20:21" x14ac:dyDescent="0.25">
      <c r="T1055" s="98"/>
      <c r="U1055" s="99"/>
    </row>
    <row r="1056" spans="20:21" x14ac:dyDescent="0.25">
      <c r="T1056" s="98"/>
      <c r="U1056" s="99"/>
    </row>
    <row r="1057" spans="20:21" x14ac:dyDescent="0.25">
      <c r="T1057" s="98"/>
      <c r="U1057" s="99"/>
    </row>
    <row r="1058" spans="20:21" x14ac:dyDescent="0.25">
      <c r="T1058" s="98"/>
      <c r="U1058" s="99"/>
    </row>
    <row r="1059" spans="20:21" x14ac:dyDescent="0.25">
      <c r="T1059" s="98"/>
      <c r="U1059" s="99"/>
    </row>
    <row r="1060" spans="20:21" x14ac:dyDescent="0.25">
      <c r="T1060" s="98"/>
      <c r="U1060" s="99"/>
    </row>
    <row r="1061" spans="20:21" x14ac:dyDescent="0.25">
      <c r="T1061" s="98"/>
      <c r="U1061" s="99"/>
    </row>
    <row r="1062" spans="20:21" x14ac:dyDescent="0.25">
      <c r="T1062" s="98"/>
      <c r="U1062" s="99"/>
    </row>
    <row r="1063" spans="20:21" x14ac:dyDescent="0.25">
      <c r="T1063" s="98"/>
      <c r="U1063" s="99"/>
    </row>
    <row r="1064" spans="20:21" x14ac:dyDescent="0.25">
      <c r="T1064" s="98"/>
      <c r="U1064" s="99"/>
    </row>
    <row r="1065" spans="20:21" x14ac:dyDescent="0.25">
      <c r="T1065" s="98"/>
      <c r="U1065" s="99"/>
    </row>
    <row r="1066" spans="20:21" x14ac:dyDescent="0.25">
      <c r="T1066" s="98"/>
      <c r="U1066" s="99"/>
    </row>
    <row r="1067" spans="20:21" x14ac:dyDescent="0.25">
      <c r="T1067" s="98"/>
      <c r="U1067" s="99"/>
    </row>
    <row r="1068" spans="20:21" x14ac:dyDescent="0.25">
      <c r="T1068" s="98"/>
      <c r="U1068" s="99"/>
    </row>
    <row r="1069" spans="20:21" x14ac:dyDescent="0.25">
      <c r="T1069" s="98"/>
      <c r="U1069" s="99"/>
    </row>
    <row r="1070" spans="20:21" x14ac:dyDescent="0.25">
      <c r="T1070" s="98"/>
      <c r="U1070" s="99"/>
    </row>
    <row r="1071" spans="20:21" x14ac:dyDescent="0.25">
      <c r="T1071" s="98"/>
      <c r="U1071" s="99"/>
    </row>
    <row r="1072" spans="20:21" x14ac:dyDescent="0.25">
      <c r="T1072" s="98"/>
      <c r="U1072" s="99"/>
    </row>
    <row r="1073" spans="20:21" x14ac:dyDescent="0.25">
      <c r="T1073" s="98"/>
      <c r="U1073" s="99"/>
    </row>
    <row r="1074" spans="20:21" x14ac:dyDescent="0.25">
      <c r="T1074" s="98"/>
      <c r="U1074" s="99"/>
    </row>
    <row r="1075" spans="20:21" x14ac:dyDescent="0.25">
      <c r="T1075" s="98"/>
      <c r="U1075" s="99"/>
    </row>
    <row r="1076" spans="20:21" x14ac:dyDescent="0.25">
      <c r="T1076" s="98"/>
      <c r="U1076" s="99"/>
    </row>
    <row r="1077" spans="20:21" x14ac:dyDescent="0.25">
      <c r="T1077" s="98"/>
      <c r="U1077" s="99"/>
    </row>
    <row r="1078" spans="20:21" x14ac:dyDescent="0.25">
      <c r="T1078" s="98"/>
      <c r="U1078" s="99"/>
    </row>
    <row r="1079" spans="20:21" x14ac:dyDescent="0.25">
      <c r="T1079" s="98"/>
      <c r="U1079" s="99"/>
    </row>
    <row r="1080" spans="20:21" x14ac:dyDescent="0.25">
      <c r="T1080" s="98"/>
      <c r="U1080" s="99"/>
    </row>
    <row r="1081" spans="20:21" x14ac:dyDescent="0.25">
      <c r="T1081" s="98"/>
      <c r="U1081" s="99"/>
    </row>
    <row r="1082" spans="20:21" x14ac:dyDescent="0.25">
      <c r="T1082" s="98"/>
      <c r="U1082" s="99"/>
    </row>
    <row r="1083" spans="20:21" x14ac:dyDescent="0.25">
      <c r="T1083" s="98"/>
      <c r="U1083" s="99"/>
    </row>
    <row r="1084" spans="20:21" x14ac:dyDescent="0.25">
      <c r="T1084" s="98"/>
      <c r="U1084" s="99"/>
    </row>
    <row r="1085" spans="20:21" x14ac:dyDescent="0.25">
      <c r="T1085" s="98"/>
      <c r="U1085" s="99"/>
    </row>
    <row r="1086" spans="20:21" x14ac:dyDescent="0.25">
      <c r="T1086" s="98"/>
      <c r="U1086" s="99"/>
    </row>
    <row r="1087" spans="20:21" x14ac:dyDescent="0.25">
      <c r="T1087" s="98"/>
      <c r="U1087" s="99"/>
    </row>
    <row r="1088" spans="20:21" x14ac:dyDescent="0.25">
      <c r="T1088" s="98"/>
      <c r="U1088" s="99"/>
    </row>
    <row r="1089" spans="20:21" x14ac:dyDescent="0.25">
      <c r="T1089" s="98"/>
      <c r="U1089" s="99"/>
    </row>
    <row r="1090" spans="20:21" x14ac:dyDescent="0.25">
      <c r="T1090" s="98"/>
      <c r="U1090" s="99"/>
    </row>
    <row r="1091" spans="20:21" x14ac:dyDescent="0.25">
      <c r="T1091" s="98"/>
      <c r="U1091" s="99"/>
    </row>
    <row r="1092" spans="20:21" x14ac:dyDescent="0.25">
      <c r="T1092" s="98"/>
      <c r="U1092" s="99"/>
    </row>
    <row r="1093" spans="20:21" x14ac:dyDescent="0.25">
      <c r="T1093" s="98"/>
      <c r="U1093" s="99"/>
    </row>
    <row r="1094" spans="20:21" x14ac:dyDescent="0.25">
      <c r="T1094" s="98"/>
      <c r="U1094" s="99"/>
    </row>
    <row r="1095" spans="20:21" x14ac:dyDescent="0.25">
      <c r="T1095" s="98"/>
      <c r="U1095" s="99"/>
    </row>
    <row r="1096" spans="20:21" x14ac:dyDescent="0.25">
      <c r="T1096" s="98"/>
      <c r="U1096" s="99"/>
    </row>
    <row r="1097" spans="20:21" x14ac:dyDescent="0.25">
      <c r="T1097" s="98"/>
      <c r="U1097" s="99"/>
    </row>
    <row r="1098" spans="20:21" x14ac:dyDescent="0.25">
      <c r="T1098" s="98"/>
      <c r="U1098" s="99"/>
    </row>
    <row r="1099" spans="20:21" x14ac:dyDescent="0.25">
      <c r="T1099" s="98"/>
      <c r="U1099" s="99"/>
    </row>
    <row r="1100" spans="20:21" x14ac:dyDescent="0.25">
      <c r="T1100" s="98"/>
      <c r="U1100" s="99"/>
    </row>
    <row r="1101" spans="20:21" x14ac:dyDescent="0.25">
      <c r="T1101" s="98"/>
      <c r="U1101" s="99"/>
    </row>
    <row r="1102" spans="20:21" x14ac:dyDescent="0.25">
      <c r="T1102" s="98"/>
      <c r="U1102" s="99"/>
    </row>
    <row r="1103" spans="20:21" x14ac:dyDescent="0.25">
      <c r="T1103" s="98"/>
      <c r="U1103" s="99"/>
    </row>
    <row r="1104" spans="20:21" x14ac:dyDescent="0.25">
      <c r="T1104" s="98"/>
      <c r="U1104" s="99"/>
    </row>
    <row r="1105" spans="20:21" x14ac:dyDescent="0.25">
      <c r="T1105" s="98"/>
      <c r="U1105" s="99"/>
    </row>
    <row r="1106" spans="20:21" x14ac:dyDescent="0.25">
      <c r="T1106" s="98"/>
      <c r="U1106" s="99"/>
    </row>
    <row r="1107" spans="20:21" x14ac:dyDescent="0.25">
      <c r="T1107" s="98"/>
      <c r="U1107" s="99"/>
    </row>
    <row r="1108" spans="20:21" x14ac:dyDescent="0.25">
      <c r="T1108" s="98"/>
      <c r="U1108" s="99"/>
    </row>
    <row r="1109" spans="20:21" x14ac:dyDescent="0.25">
      <c r="T1109" s="98"/>
      <c r="U1109" s="99"/>
    </row>
    <row r="1110" spans="20:21" x14ac:dyDescent="0.25">
      <c r="T1110" s="98"/>
      <c r="U1110" s="99"/>
    </row>
    <row r="1111" spans="20:21" x14ac:dyDescent="0.25">
      <c r="T1111" s="98"/>
      <c r="U1111" s="99"/>
    </row>
    <row r="1112" spans="20:21" x14ac:dyDescent="0.25">
      <c r="T1112" s="98"/>
      <c r="U1112" s="99"/>
    </row>
    <row r="1113" spans="20:21" x14ac:dyDescent="0.25">
      <c r="T1113" s="98"/>
      <c r="U1113" s="99"/>
    </row>
    <row r="1114" spans="20:21" x14ac:dyDescent="0.25">
      <c r="T1114" s="98"/>
      <c r="U1114" s="99"/>
    </row>
    <row r="1115" spans="20:21" x14ac:dyDescent="0.25">
      <c r="T1115" s="98"/>
      <c r="U1115" s="99"/>
    </row>
    <row r="1116" spans="20:21" x14ac:dyDescent="0.25">
      <c r="T1116" s="98"/>
      <c r="U1116" s="99"/>
    </row>
    <row r="1117" spans="20:21" x14ac:dyDescent="0.25">
      <c r="T1117" s="98"/>
      <c r="U1117" s="99"/>
    </row>
    <row r="1118" spans="20:21" x14ac:dyDescent="0.25">
      <c r="T1118" s="98"/>
      <c r="U1118" s="99"/>
    </row>
    <row r="1119" spans="20:21" x14ac:dyDescent="0.25">
      <c r="T1119" s="98"/>
      <c r="U1119" s="99"/>
    </row>
    <row r="1120" spans="20:21" x14ac:dyDescent="0.25">
      <c r="T1120" s="98"/>
      <c r="U1120" s="99"/>
    </row>
    <row r="1121" spans="20:21" x14ac:dyDescent="0.25">
      <c r="T1121" s="98"/>
      <c r="U1121" s="99"/>
    </row>
    <row r="1122" spans="20:21" x14ac:dyDescent="0.25">
      <c r="T1122" s="98"/>
      <c r="U1122" s="99"/>
    </row>
    <row r="1123" spans="20:21" x14ac:dyDescent="0.25">
      <c r="T1123" s="98"/>
      <c r="U1123" s="99"/>
    </row>
    <row r="1124" spans="20:21" x14ac:dyDescent="0.25">
      <c r="T1124" s="98"/>
      <c r="U1124" s="99"/>
    </row>
    <row r="1125" spans="20:21" x14ac:dyDescent="0.25">
      <c r="T1125" s="98"/>
      <c r="U1125" s="99"/>
    </row>
    <row r="1126" spans="20:21" x14ac:dyDescent="0.25">
      <c r="T1126" s="98"/>
      <c r="U1126" s="99"/>
    </row>
    <row r="1127" spans="20:21" x14ac:dyDescent="0.25">
      <c r="T1127" s="98"/>
      <c r="U1127" s="99"/>
    </row>
    <row r="1128" spans="20:21" x14ac:dyDescent="0.25">
      <c r="T1128" s="98"/>
      <c r="U1128" s="99"/>
    </row>
    <row r="1129" spans="20:21" x14ac:dyDescent="0.25">
      <c r="T1129" s="98"/>
      <c r="U1129" s="99"/>
    </row>
    <row r="1130" spans="20:21" x14ac:dyDescent="0.25">
      <c r="T1130" s="98"/>
      <c r="U1130" s="99"/>
    </row>
    <row r="1131" spans="20:21" x14ac:dyDescent="0.25">
      <c r="T1131" s="98"/>
      <c r="U1131" s="99"/>
    </row>
    <row r="1132" spans="20:21" x14ac:dyDescent="0.25">
      <c r="T1132" s="98"/>
      <c r="U1132" s="99"/>
    </row>
    <row r="1133" spans="20:21" x14ac:dyDescent="0.25">
      <c r="T1133" s="98"/>
      <c r="U1133" s="99"/>
    </row>
    <row r="1134" spans="20:21" x14ac:dyDescent="0.25">
      <c r="T1134" s="98"/>
      <c r="U1134" s="99"/>
    </row>
    <row r="1135" spans="20:21" x14ac:dyDescent="0.25">
      <c r="T1135" s="98"/>
      <c r="U1135" s="99"/>
    </row>
    <row r="1136" spans="20:21" x14ac:dyDescent="0.25">
      <c r="T1136" s="98"/>
      <c r="U1136" s="99"/>
    </row>
    <row r="1137" spans="20:21" x14ac:dyDescent="0.25">
      <c r="T1137" s="98"/>
      <c r="U1137" s="99"/>
    </row>
    <row r="1138" spans="20:21" x14ac:dyDescent="0.25">
      <c r="T1138" s="98"/>
      <c r="U1138" s="99"/>
    </row>
    <row r="1139" spans="20:21" x14ac:dyDescent="0.25">
      <c r="T1139" s="98"/>
      <c r="U1139" s="99"/>
    </row>
    <row r="1140" spans="20:21" x14ac:dyDescent="0.25">
      <c r="T1140" s="98"/>
      <c r="U1140" s="99"/>
    </row>
    <row r="1141" spans="20:21" x14ac:dyDescent="0.25">
      <c r="T1141" s="98"/>
      <c r="U1141" s="99"/>
    </row>
    <row r="1142" spans="20:21" x14ac:dyDescent="0.25">
      <c r="T1142" s="98"/>
      <c r="U1142" s="99"/>
    </row>
    <row r="1143" spans="20:21" x14ac:dyDescent="0.25">
      <c r="T1143" s="98"/>
      <c r="U1143" s="99"/>
    </row>
    <row r="1144" spans="20:21" x14ac:dyDescent="0.25">
      <c r="T1144" s="98"/>
      <c r="U1144" s="99"/>
    </row>
    <row r="1145" spans="20:21" x14ac:dyDescent="0.25">
      <c r="T1145" s="98"/>
      <c r="U1145" s="99"/>
    </row>
    <row r="1146" spans="20:21" x14ac:dyDescent="0.25">
      <c r="T1146" s="98"/>
      <c r="U1146" s="99"/>
    </row>
    <row r="1147" spans="20:21" x14ac:dyDescent="0.25">
      <c r="T1147" s="98"/>
      <c r="U1147" s="99"/>
    </row>
    <row r="1148" spans="20:21" x14ac:dyDescent="0.25">
      <c r="T1148" s="98"/>
      <c r="U1148" s="99"/>
    </row>
    <row r="1149" spans="20:21" x14ac:dyDescent="0.25">
      <c r="T1149" s="98"/>
      <c r="U1149" s="99"/>
    </row>
    <row r="1150" spans="20:21" x14ac:dyDescent="0.25">
      <c r="T1150" s="98"/>
      <c r="U1150" s="99"/>
    </row>
    <row r="1151" spans="20:21" x14ac:dyDescent="0.25">
      <c r="T1151" s="98"/>
      <c r="U1151" s="99"/>
    </row>
    <row r="1152" spans="20:21" x14ac:dyDescent="0.25">
      <c r="T1152" s="98"/>
      <c r="U1152" s="99"/>
    </row>
    <row r="1153" spans="20:21" x14ac:dyDescent="0.25">
      <c r="T1153" s="98"/>
      <c r="U1153" s="99"/>
    </row>
    <row r="1154" spans="20:21" x14ac:dyDescent="0.25">
      <c r="T1154" s="98"/>
      <c r="U1154" s="99"/>
    </row>
    <row r="1155" spans="20:21" x14ac:dyDescent="0.25">
      <c r="T1155" s="98"/>
      <c r="U1155" s="99"/>
    </row>
    <row r="1156" spans="20:21" x14ac:dyDescent="0.25">
      <c r="T1156" s="98"/>
      <c r="U1156" s="99"/>
    </row>
    <row r="1157" spans="20:21" x14ac:dyDescent="0.25">
      <c r="T1157" s="98"/>
      <c r="U1157" s="99"/>
    </row>
    <row r="1158" spans="20:21" x14ac:dyDescent="0.25">
      <c r="T1158" s="98"/>
      <c r="U1158" s="99"/>
    </row>
    <row r="1159" spans="20:21" x14ac:dyDescent="0.25">
      <c r="T1159" s="98"/>
      <c r="U1159" s="99"/>
    </row>
    <row r="1160" spans="20:21" x14ac:dyDescent="0.25">
      <c r="T1160" s="98"/>
      <c r="U1160" s="99"/>
    </row>
    <row r="1161" spans="20:21" x14ac:dyDescent="0.25">
      <c r="T1161" s="98"/>
      <c r="U1161" s="99"/>
    </row>
    <row r="1162" spans="20:21" x14ac:dyDescent="0.25">
      <c r="T1162" s="98"/>
      <c r="U1162" s="99"/>
    </row>
    <row r="1163" spans="20:21" x14ac:dyDescent="0.25">
      <c r="T1163" s="98"/>
      <c r="U1163" s="99"/>
    </row>
    <row r="1164" spans="20:21" x14ac:dyDescent="0.25">
      <c r="T1164" s="98"/>
      <c r="U1164" s="99"/>
    </row>
    <row r="1165" spans="20:21" x14ac:dyDescent="0.25">
      <c r="T1165" s="98"/>
      <c r="U1165" s="99"/>
    </row>
    <row r="1166" spans="20:21" x14ac:dyDescent="0.25">
      <c r="T1166" s="98"/>
      <c r="U1166" s="99"/>
    </row>
    <row r="1167" spans="20:21" x14ac:dyDescent="0.25">
      <c r="T1167" s="98"/>
      <c r="U1167" s="99"/>
    </row>
    <row r="1168" spans="20:21" x14ac:dyDescent="0.25">
      <c r="T1168" s="98"/>
      <c r="U1168" s="99"/>
    </row>
    <row r="1169" spans="20:21" x14ac:dyDescent="0.25">
      <c r="T1169" s="98"/>
      <c r="U1169" s="99"/>
    </row>
    <row r="1170" spans="20:21" x14ac:dyDescent="0.25">
      <c r="T1170" s="98"/>
      <c r="U1170" s="99"/>
    </row>
    <row r="1171" spans="20:21" x14ac:dyDescent="0.25">
      <c r="T1171" s="98"/>
      <c r="U1171" s="99"/>
    </row>
    <row r="1172" spans="20:21" x14ac:dyDescent="0.25">
      <c r="T1172" s="98"/>
      <c r="U1172" s="99"/>
    </row>
    <row r="1173" spans="20:21" x14ac:dyDescent="0.25">
      <c r="T1173" s="98"/>
      <c r="U1173" s="99"/>
    </row>
    <row r="1174" spans="20:21" x14ac:dyDescent="0.25">
      <c r="T1174" s="98"/>
      <c r="U1174" s="99"/>
    </row>
    <row r="1175" spans="20:21" x14ac:dyDescent="0.25">
      <c r="T1175" s="98"/>
      <c r="U1175" s="99"/>
    </row>
    <row r="1176" spans="20:21" x14ac:dyDescent="0.25">
      <c r="T1176" s="98"/>
      <c r="U1176" s="99"/>
    </row>
    <row r="1177" spans="20:21" x14ac:dyDescent="0.25">
      <c r="T1177" s="98"/>
      <c r="U1177" s="99"/>
    </row>
    <row r="1178" spans="20:21" x14ac:dyDescent="0.25">
      <c r="T1178" s="98"/>
      <c r="U1178" s="99"/>
    </row>
    <row r="1179" spans="20:21" x14ac:dyDescent="0.25">
      <c r="T1179" s="98"/>
      <c r="U1179" s="99"/>
    </row>
    <row r="1180" spans="20:21" x14ac:dyDescent="0.25">
      <c r="T1180" s="98"/>
      <c r="U1180" s="99"/>
    </row>
    <row r="1181" spans="20:21" x14ac:dyDescent="0.25">
      <c r="T1181" s="98"/>
      <c r="U1181" s="99"/>
    </row>
    <row r="1182" spans="20:21" x14ac:dyDescent="0.25">
      <c r="T1182" s="98"/>
      <c r="U1182" s="99"/>
    </row>
    <row r="1183" spans="20:21" x14ac:dyDescent="0.25">
      <c r="T1183" s="98"/>
      <c r="U1183" s="99"/>
    </row>
    <row r="1184" spans="20:21" x14ac:dyDescent="0.25">
      <c r="T1184" s="98"/>
      <c r="U1184" s="99"/>
    </row>
    <row r="1185" spans="20:21" x14ac:dyDescent="0.25">
      <c r="T1185" s="98"/>
      <c r="U1185" s="99"/>
    </row>
    <row r="1186" spans="20:21" x14ac:dyDescent="0.25">
      <c r="T1186" s="98"/>
      <c r="U1186" s="99"/>
    </row>
    <row r="1187" spans="20:21" x14ac:dyDescent="0.25">
      <c r="T1187" s="98"/>
      <c r="U1187" s="99"/>
    </row>
    <row r="1188" spans="20:21" x14ac:dyDescent="0.25">
      <c r="T1188" s="98"/>
      <c r="U1188" s="99"/>
    </row>
    <row r="1189" spans="20:21" x14ac:dyDescent="0.25">
      <c r="T1189" s="98"/>
      <c r="U1189" s="99"/>
    </row>
    <row r="1190" spans="20:21" x14ac:dyDescent="0.25">
      <c r="T1190" s="98"/>
      <c r="U1190" s="99"/>
    </row>
    <row r="1191" spans="20:21" x14ac:dyDescent="0.25">
      <c r="T1191" s="98"/>
      <c r="U1191" s="99"/>
    </row>
    <row r="1192" spans="20:21" x14ac:dyDescent="0.25">
      <c r="T1192" s="98"/>
      <c r="U1192" s="99"/>
    </row>
    <row r="1193" spans="20:21" x14ac:dyDescent="0.25">
      <c r="T1193" s="98"/>
      <c r="U1193" s="99"/>
    </row>
    <row r="1194" spans="20:21" x14ac:dyDescent="0.25">
      <c r="T1194" s="98"/>
      <c r="U1194" s="99"/>
    </row>
    <row r="1195" spans="20:21" x14ac:dyDescent="0.25">
      <c r="T1195" s="98"/>
      <c r="U1195" s="99"/>
    </row>
    <row r="1196" spans="20:21" x14ac:dyDescent="0.25">
      <c r="T1196" s="98"/>
      <c r="U1196" s="99"/>
    </row>
    <row r="1197" spans="20:21" x14ac:dyDescent="0.25">
      <c r="T1197" s="98"/>
      <c r="U1197" s="99"/>
    </row>
    <row r="1198" spans="20:21" x14ac:dyDescent="0.25">
      <c r="T1198" s="98"/>
      <c r="U1198" s="99"/>
    </row>
    <row r="1199" spans="20:21" x14ac:dyDescent="0.25">
      <c r="T1199" s="98"/>
      <c r="U1199" s="99"/>
    </row>
    <row r="1200" spans="20:21" x14ac:dyDescent="0.25">
      <c r="T1200" s="98"/>
      <c r="U1200" s="99"/>
    </row>
    <row r="1201" spans="20:21" x14ac:dyDescent="0.25">
      <c r="T1201" s="98"/>
      <c r="U1201" s="99"/>
    </row>
    <row r="1202" spans="20:21" x14ac:dyDescent="0.25">
      <c r="T1202" s="98"/>
      <c r="U1202" s="99"/>
    </row>
    <row r="1203" spans="20:21" x14ac:dyDescent="0.25">
      <c r="T1203" s="98"/>
      <c r="U1203" s="99"/>
    </row>
    <row r="1204" spans="20:21" x14ac:dyDescent="0.25">
      <c r="T1204" s="98"/>
      <c r="U1204" s="99"/>
    </row>
    <row r="1205" spans="20:21" x14ac:dyDescent="0.25">
      <c r="T1205" s="98"/>
      <c r="U1205" s="99"/>
    </row>
    <row r="1206" spans="20:21" x14ac:dyDescent="0.25">
      <c r="T1206" s="98"/>
      <c r="U1206" s="99"/>
    </row>
    <row r="1207" spans="20:21" x14ac:dyDescent="0.25">
      <c r="T1207" s="98"/>
      <c r="U1207" s="99"/>
    </row>
    <row r="1208" spans="20:21" x14ac:dyDescent="0.25">
      <c r="T1208" s="98"/>
      <c r="U1208" s="99"/>
    </row>
    <row r="1209" spans="20:21" x14ac:dyDescent="0.25">
      <c r="T1209" s="98"/>
      <c r="U1209" s="99"/>
    </row>
    <row r="1210" spans="20:21" x14ac:dyDescent="0.25">
      <c r="T1210" s="98"/>
      <c r="U1210" s="99"/>
    </row>
    <row r="1211" spans="20:21" x14ac:dyDescent="0.25">
      <c r="T1211" s="98"/>
      <c r="U1211" s="99"/>
    </row>
    <row r="1212" spans="20:21" x14ac:dyDescent="0.25">
      <c r="T1212" s="98"/>
      <c r="U1212" s="99"/>
    </row>
    <row r="1213" spans="20:21" x14ac:dyDescent="0.25">
      <c r="T1213" s="98"/>
      <c r="U1213" s="99"/>
    </row>
    <row r="1214" spans="20:21" x14ac:dyDescent="0.25">
      <c r="T1214" s="98"/>
      <c r="U1214" s="99"/>
    </row>
    <row r="1215" spans="20:21" x14ac:dyDescent="0.25">
      <c r="T1215" s="98"/>
      <c r="U1215" s="99"/>
    </row>
    <row r="1216" spans="20:21" x14ac:dyDescent="0.25">
      <c r="T1216" s="98"/>
      <c r="U1216" s="99"/>
    </row>
    <row r="1217" spans="20:21" x14ac:dyDescent="0.25">
      <c r="T1217" s="98"/>
      <c r="U1217" s="99"/>
    </row>
    <row r="1218" spans="20:21" x14ac:dyDescent="0.25">
      <c r="T1218" s="98"/>
      <c r="U1218" s="99"/>
    </row>
    <row r="1219" spans="20:21" x14ac:dyDescent="0.25">
      <c r="T1219" s="98"/>
      <c r="U1219" s="99"/>
    </row>
    <row r="1220" spans="20:21" x14ac:dyDescent="0.25">
      <c r="T1220" s="98"/>
      <c r="U1220" s="99"/>
    </row>
    <row r="1221" spans="20:21" x14ac:dyDescent="0.25">
      <c r="T1221" s="98"/>
      <c r="U1221" s="99"/>
    </row>
    <row r="1222" spans="20:21" x14ac:dyDescent="0.25">
      <c r="T1222" s="98"/>
      <c r="U1222" s="99"/>
    </row>
    <row r="1223" spans="20:21" x14ac:dyDescent="0.25">
      <c r="T1223" s="98"/>
      <c r="U1223" s="99"/>
    </row>
    <row r="1224" spans="20:21" x14ac:dyDescent="0.25">
      <c r="T1224" s="98"/>
      <c r="U1224" s="99"/>
    </row>
    <row r="1225" spans="20:21" x14ac:dyDescent="0.25">
      <c r="T1225" s="98"/>
      <c r="U1225" s="99"/>
    </row>
    <row r="1226" spans="20:21" x14ac:dyDescent="0.25">
      <c r="T1226" s="98"/>
      <c r="U1226" s="99"/>
    </row>
    <row r="1227" spans="20:21" x14ac:dyDescent="0.25">
      <c r="T1227" s="98"/>
      <c r="U1227" s="99"/>
    </row>
    <row r="1228" spans="20:21" x14ac:dyDescent="0.25">
      <c r="T1228" s="98"/>
      <c r="U1228" s="99"/>
    </row>
    <row r="1229" spans="20:21" x14ac:dyDescent="0.25">
      <c r="T1229" s="98"/>
      <c r="U1229" s="99"/>
    </row>
    <row r="1230" spans="20:21" x14ac:dyDescent="0.25">
      <c r="T1230" s="98"/>
      <c r="U1230" s="99"/>
    </row>
    <row r="1231" spans="20:21" x14ac:dyDescent="0.25">
      <c r="T1231" s="98"/>
      <c r="U1231" s="99"/>
    </row>
    <row r="1232" spans="20:21" x14ac:dyDescent="0.25">
      <c r="T1232" s="98"/>
      <c r="U1232" s="99"/>
    </row>
    <row r="1233" spans="20:21" x14ac:dyDescent="0.25">
      <c r="T1233" s="98"/>
      <c r="U1233" s="99"/>
    </row>
    <row r="1234" spans="20:21" x14ac:dyDescent="0.25">
      <c r="T1234" s="98"/>
      <c r="U1234" s="99"/>
    </row>
    <row r="1235" spans="20:21" x14ac:dyDescent="0.25">
      <c r="T1235" s="98"/>
      <c r="U1235" s="99"/>
    </row>
    <row r="1236" spans="20:21" x14ac:dyDescent="0.25">
      <c r="T1236" s="98"/>
      <c r="U1236" s="99"/>
    </row>
    <row r="1237" spans="20:21" x14ac:dyDescent="0.25">
      <c r="T1237" s="98"/>
      <c r="U1237" s="99"/>
    </row>
    <row r="1238" spans="20:21" x14ac:dyDescent="0.25">
      <c r="T1238" s="98"/>
      <c r="U1238" s="99"/>
    </row>
    <row r="1239" spans="20:21" x14ac:dyDescent="0.25">
      <c r="T1239" s="98"/>
      <c r="U1239" s="99"/>
    </row>
    <row r="1240" spans="20:21" x14ac:dyDescent="0.25">
      <c r="T1240" s="98"/>
      <c r="U1240" s="99"/>
    </row>
    <row r="1241" spans="20:21" x14ac:dyDescent="0.25">
      <c r="T1241" s="98"/>
      <c r="U1241" s="99"/>
    </row>
    <row r="1242" spans="20:21" x14ac:dyDescent="0.25">
      <c r="T1242" s="98"/>
      <c r="U1242" s="99"/>
    </row>
    <row r="1243" spans="20:21" x14ac:dyDescent="0.25">
      <c r="T1243" s="98"/>
      <c r="U1243" s="99"/>
    </row>
    <row r="1244" spans="20:21" x14ac:dyDescent="0.25">
      <c r="T1244" s="98"/>
      <c r="U1244" s="99"/>
    </row>
    <row r="1245" spans="20:21" x14ac:dyDescent="0.25">
      <c r="T1245" s="98"/>
      <c r="U1245" s="99"/>
    </row>
    <row r="1246" spans="20:21" x14ac:dyDescent="0.25">
      <c r="T1246" s="98"/>
      <c r="U1246" s="99"/>
    </row>
    <row r="1247" spans="20:21" x14ac:dyDescent="0.25">
      <c r="T1247" s="98"/>
      <c r="U1247" s="99"/>
    </row>
    <row r="1248" spans="20:21" x14ac:dyDescent="0.25">
      <c r="T1248" s="98"/>
      <c r="U1248" s="99"/>
    </row>
    <row r="1249" spans="20:21" x14ac:dyDescent="0.25">
      <c r="T1249" s="98"/>
      <c r="U1249" s="99"/>
    </row>
    <row r="1250" spans="20:21" x14ac:dyDescent="0.25">
      <c r="T1250" s="98"/>
      <c r="U1250" s="99"/>
    </row>
    <row r="1251" spans="20:21" x14ac:dyDescent="0.25">
      <c r="T1251" s="98"/>
      <c r="U1251" s="99"/>
    </row>
    <row r="1252" spans="20:21" x14ac:dyDescent="0.25">
      <c r="T1252" s="98"/>
      <c r="U1252" s="99"/>
    </row>
    <row r="1253" spans="20:21" x14ac:dyDescent="0.25">
      <c r="T1253" s="98"/>
      <c r="U1253" s="99"/>
    </row>
    <row r="1254" spans="20:21" x14ac:dyDescent="0.25">
      <c r="T1254" s="98"/>
      <c r="U1254" s="99"/>
    </row>
    <row r="1255" spans="20:21" x14ac:dyDescent="0.25">
      <c r="T1255" s="98"/>
      <c r="U1255" s="99"/>
    </row>
    <row r="1256" spans="20:21" x14ac:dyDescent="0.25">
      <c r="T1256" s="98"/>
      <c r="U1256" s="99"/>
    </row>
    <row r="1257" spans="20:21" x14ac:dyDescent="0.25">
      <c r="T1257" s="98"/>
      <c r="U1257" s="99"/>
    </row>
    <row r="1258" spans="20:21" x14ac:dyDescent="0.25">
      <c r="T1258" s="98"/>
      <c r="U1258" s="99"/>
    </row>
    <row r="1259" spans="20:21" x14ac:dyDescent="0.25">
      <c r="T1259" s="98"/>
      <c r="U1259" s="99"/>
    </row>
    <row r="1260" spans="20:21" x14ac:dyDescent="0.25">
      <c r="T1260" s="98"/>
      <c r="U1260" s="99"/>
    </row>
    <row r="1261" spans="20:21" x14ac:dyDescent="0.25">
      <c r="T1261" s="98"/>
      <c r="U1261" s="99"/>
    </row>
    <row r="1262" spans="20:21" x14ac:dyDescent="0.25">
      <c r="T1262" s="98"/>
      <c r="U1262" s="99"/>
    </row>
    <row r="1263" spans="20:21" x14ac:dyDescent="0.25">
      <c r="T1263" s="98"/>
      <c r="U1263" s="99"/>
    </row>
    <row r="1264" spans="20:21" x14ac:dyDescent="0.25">
      <c r="T1264" s="98"/>
      <c r="U1264" s="99"/>
    </row>
    <row r="1265" spans="20:21" x14ac:dyDescent="0.25">
      <c r="T1265" s="98"/>
      <c r="U1265" s="99"/>
    </row>
    <row r="1266" spans="20:21" x14ac:dyDescent="0.25">
      <c r="T1266" s="98"/>
      <c r="U1266" s="99"/>
    </row>
    <row r="1267" spans="20:21" x14ac:dyDescent="0.25">
      <c r="T1267" s="98"/>
      <c r="U1267" s="99"/>
    </row>
    <row r="1268" spans="20:21" x14ac:dyDescent="0.25">
      <c r="T1268" s="98"/>
      <c r="U1268" s="99"/>
    </row>
    <row r="1269" spans="20:21" x14ac:dyDescent="0.25">
      <c r="T1269" s="98"/>
      <c r="U1269" s="99"/>
    </row>
    <row r="1270" spans="20:21" x14ac:dyDescent="0.25">
      <c r="T1270" s="98"/>
      <c r="U1270" s="99"/>
    </row>
    <row r="1271" spans="20:21" x14ac:dyDescent="0.25">
      <c r="T1271" s="98"/>
      <c r="U1271" s="99"/>
    </row>
    <row r="1272" spans="20:21" x14ac:dyDescent="0.25">
      <c r="T1272" s="98"/>
      <c r="U1272" s="99"/>
    </row>
    <row r="1273" spans="20:21" x14ac:dyDescent="0.25">
      <c r="T1273" s="98"/>
      <c r="U1273" s="99"/>
    </row>
    <row r="1274" spans="20:21" x14ac:dyDescent="0.25">
      <c r="T1274" s="98"/>
      <c r="U1274" s="99"/>
    </row>
    <row r="1275" spans="20:21" x14ac:dyDescent="0.25">
      <c r="T1275" s="98"/>
      <c r="U1275" s="99"/>
    </row>
    <row r="1276" spans="20:21" x14ac:dyDescent="0.25">
      <c r="T1276" s="98"/>
      <c r="U1276" s="99"/>
    </row>
    <row r="1277" spans="20:21" x14ac:dyDescent="0.25">
      <c r="T1277" s="98"/>
      <c r="U1277" s="99"/>
    </row>
    <row r="1278" spans="20:21" x14ac:dyDescent="0.25">
      <c r="T1278" s="98"/>
      <c r="U1278" s="99"/>
    </row>
    <row r="1279" spans="20:21" x14ac:dyDescent="0.25">
      <c r="T1279" s="98"/>
      <c r="U1279" s="99"/>
    </row>
    <row r="1280" spans="20:21" x14ac:dyDescent="0.25">
      <c r="T1280" s="98"/>
      <c r="U1280" s="99"/>
    </row>
    <row r="1281" spans="20:21" x14ac:dyDescent="0.25">
      <c r="T1281" s="98"/>
      <c r="U1281" s="99"/>
    </row>
    <row r="1282" spans="20:21" x14ac:dyDescent="0.25">
      <c r="T1282" s="98"/>
      <c r="U1282" s="99"/>
    </row>
    <row r="1283" spans="20:21" x14ac:dyDescent="0.25">
      <c r="T1283" s="98"/>
      <c r="U1283" s="99"/>
    </row>
    <row r="1284" spans="20:21" x14ac:dyDescent="0.25">
      <c r="T1284" s="98"/>
      <c r="U1284" s="99"/>
    </row>
    <row r="1285" spans="20:21" x14ac:dyDescent="0.25">
      <c r="T1285" s="98"/>
      <c r="U1285" s="99"/>
    </row>
    <row r="1286" spans="20:21" x14ac:dyDescent="0.25">
      <c r="T1286" s="98"/>
      <c r="U1286" s="99"/>
    </row>
    <row r="1287" spans="20:21" x14ac:dyDescent="0.25">
      <c r="T1287" s="98"/>
      <c r="U1287" s="99"/>
    </row>
    <row r="1288" spans="20:21" x14ac:dyDescent="0.25">
      <c r="T1288" s="98"/>
      <c r="U1288" s="99"/>
    </row>
    <row r="1289" spans="20:21" x14ac:dyDescent="0.25">
      <c r="T1289" s="98"/>
      <c r="U1289" s="99"/>
    </row>
    <row r="1290" spans="20:21" x14ac:dyDescent="0.25">
      <c r="T1290" s="98"/>
      <c r="U1290" s="99"/>
    </row>
    <row r="1291" spans="20:21" x14ac:dyDescent="0.25">
      <c r="T1291" s="98"/>
      <c r="U1291" s="99"/>
    </row>
    <row r="1292" spans="20:21" x14ac:dyDescent="0.25">
      <c r="T1292" s="98"/>
      <c r="U1292" s="99"/>
    </row>
    <row r="1293" spans="20:21" x14ac:dyDescent="0.25">
      <c r="T1293" s="98"/>
      <c r="U1293" s="99"/>
    </row>
    <row r="1294" spans="20:21" x14ac:dyDescent="0.25">
      <c r="T1294" s="98"/>
      <c r="U1294" s="99"/>
    </row>
    <row r="1295" spans="20:21" x14ac:dyDescent="0.25">
      <c r="T1295" s="98"/>
      <c r="U1295" s="99"/>
    </row>
    <row r="1296" spans="20:21" x14ac:dyDescent="0.25">
      <c r="T1296" s="98"/>
      <c r="U1296" s="99"/>
    </row>
    <row r="1297" spans="20:21" x14ac:dyDescent="0.25">
      <c r="T1297" s="98"/>
      <c r="U1297" s="99"/>
    </row>
    <row r="1298" spans="20:21" x14ac:dyDescent="0.25">
      <c r="T1298" s="98"/>
      <c r="U1298" s="99"/>
    </row>
    <row r="1299" spans="20:21" x14ac:dyDescent="0.25">
      <c r="T1299" s="98"/>
      <c r="U1299" s="99"/>
    </row>
    <row r="1300" spans="20:21" x14ac:dyDescent="0.25">
      <c r="T1300" s="98"/>
      <c r="U1300" s="99"/>
    </row>
    <row r="1301" spans="20:21" x14ac:dyDescent="0.25">
      <c r="T1301" s="98"/>
      <c r="U1301" s="99"/>
    </row>
    <row r="1302" spans="20:21" x14ac:dyDescent="0.25">
      <c r="T1302" s="98"/>
      <c r="U1302" s="99"/>
    </row>
    <row r="1303" spans="20:21" x14ac:dyDescent="0.25">
      <c r="T1303" s="98"/>
      <c r="U1303" s="99"/>
    </row>
    <row r="1304" spans="20:21" x14ac:dyDescent="0.25">
      <c r="T1304" s="98"/>
      <c r="U1304" s="99"/>
    </row>
    <row r="1305" spans="20:21" x14ac:dyDescent="0.25">
      <c r="T1305" s="98"/>
      <c r="U1305" s="99"/>
    </row>
    <row r="1306" spans="20:21" x14ac:dyDescent="0.25">
      <c r="T1306" s="98"/>
      <c r="U1306" s="99"/>
    </row>
    <row r="1307" spans="20:21" x14ac:dyDescent="0.25">
      <c r="T1307" s="98"/>
      <c r="U1307" s="99"/>
    </row>
    <row r="1308" spans="20:21" x14ac:dyDescent="0.25">
      <c r="T1308" s="98"/>
      <c r="U1308" s="99"/>
    </row>
    <row r="1309" spans="20:21" x14ac:dyDescent="0.25">
      <c r="T1309" s="98"/>
      <c r="U1309" s="99"/>
    </row>
    <row r="1310" spans="20:21" x14ac:dyDescent="0.25">
      <c r="T1310" s="98"/>
      <c r="U1310" s="99"/>
    </row>
    <row r="1311" spans="20:21" x14ac:dyDescent="0.25">
      <c r="T1311" s="98"/>
      <c r="U1311" s="99"/>
    </row>
    <row r="1312" spans="20:21" x14ac:dyDescent="0.25">
      <c r="T1312" s="98"/>
      <c r="U1312" s="99"/>
    </row>
    <row r="1313" spans="20:21" x14ac:dyDescent="0.25">
      <c r="T1313" s="98"/>
      <c r="U1313" s="99"/>
    </row>
    <row r="1314" spans="20:21" x14ac:dyDescent="0.25">
      <c r="T1314" s="98"/>
      <c r="U1314" s="99"/>
    </row>
    <row r="1315" spans="20:21" x14ac:dyDescent="0.25">
      <c r="T1315" s="98"/>
      <c r="U1315" s="99"/>
    </row>
    <row r="1316" spans="20:21" x14ac:dyDescent="0.25">
      <c r="T1316" s="98"/>
      <c r="U1316" s="99"/>
    </row>
    <row r="1317" spans="20:21" x14ac:dyDescent="0.25">
      <c r="T1317" s="98"/>
      <c r="U1317" s="99"/>
    </row>
    <row r="1318" spans="20:21" x14ac:dyDescent="0.25">
      <c r="T1318" s="98"/>
      <c r="U1318" s="99"/>
    </row>
    <row r="1319" spans="20:21" x14ac:dyDescent="0.25">
      <c r="T1319" s="98"/>
      <c r="U1319" s="99"/>
    </row>
    <row r="1320" spans="20:21" x14ac:dyDescent="0.25">
      <c r="T1320" s="98"/>
      <c r="U1320" s="99"/>
    </row>
    <row r="1321" spans="20:21" x14ac:dyDescent="0.25">
      <c r="T1321" s="98"/>
      <c r="U1321" s="99"/>
    </row>
    <row r="1322" spans="20:21" x14ac:dyDescent="0.25">
      <c r="T1322" s="98"/>
      <c r="U1322" s="99"/>
    </row>
    <row r="1323" spans="20:21" x14ac:dyDescent="0.25">
      <c r="T1323" s="98"/>
      <c r="U1323" s="99"/>
    </row>
    <row r="1324" spans="20:21" x14ac:dyDescent="0.25">
      <c r="T1324" s="98"/>
      <c r="U1324" s="99"/>
    </row>
    <row r="1325" spans="20:21" x14ac:dyDescent="0.25">
      <c r="T1325" s="98"/>
      <c r="U1325" s="99"/>
    </row>
    <row r="1326" spans="20:21" x14ac:dyDescent="0.25">
      <c r="T1326" s="98"/>
      <c r="U1326" s="99"/>
    </row>
    <row r="1327" spans="20:21" x14ac:dyDescent="0.25">
      <c r="T1327" s="98"/>
      <c r="U1327" s="99"/>
    </row>
    <row r="1328" spans="20:21" x14ac:dyDescent="0.25">
      <c r="T1328" s="98"/>
      <c r="U1328" s="99"/>
    </row>
    <row r="1329" spans="20:21" x14ac:dyDescent="0.25">
      <c r="T1329" s="98"/>
      <c r="U1329" s="99"/>
    </row>
    <row r="1330" spans="20:21" x14ac:dyDescent="0.25">
      <c r="T1330" s="98"/>
      <c r="U1330" s="99"/>
    </row>
    <row r="1331" spans="20:21" x14ac:dyDescent="0.25">
      <c r="T1331" s="98"/>
      <c r="U1331" s="99"/>
    </row>
    <row r="1332" spans="20:21" x14ac:dyDescent="0.25">
      <c r="T1332" s="98"/>
      <c r="U1332" s="99"/>
    </row>
    <row r="1333" spans="20:21" x14ac:dyDescent="0.25">
      <c r="T1333" s="98"/>
      <c r="U1333" s="99"/>
    </row>
    <row r="1334" spans="20:21" x14ac:dyDescent="0.25">
      <c r="T1334" s="98"/>
      <c r="U1334" s="99"/>
    </row>
    <row r="1335" spans="20:21" x14ac:dyDescent="0.25">
      <c r="T1335" s="98"/>
      <c r="U1335" s="99"/>
    </row>
    <row r="1336" spans="20:21" x14ac:dyDescent="0.25">
      <c r="T1336" s="98"/>
      <c r="U1336" s="99"/>
    </row>
    <row r="1337" spans="20:21" x14ac:dyDescent="0.25">
      <c r="T1337" s="98"/>
      <c r="U1337" s="99"/>
    </row>
    <row r="1338" spans="20:21" x14ac:dyDescent="0.25">
      <c r="T1338" s="98"/>
      <c r="U1338" s="99"/>
    </row>
    <row r="1339" spans="20:21" x14ac:dyDescent="0.25">
      <c r="T1339" s="98"/>
      <c r="U1339" s="99"/>
    </row>
    <row r="1340" spans="20:21" x14ac:dyDescent="0.25">
      <c r="T1340" s="98"/>
      <c r="U1340" s="99"/>
    </row>
    <row r="1341" spans="20:21" x14ac:dyDescent="0.25">
      <c r="T1341" s="98"/>
      <c r="U1341" s="99"/>
    </row>
    <row r="1342" spans="20:21" x14ac:dyDescent="0.25">
      <c r="T1342" s="98"/>
      <c r="U1342" s="99"/>
    </row>
    <row r="1343" spans="20:21" x14ac:dyDescent="0.25">
      <c r="T1343" s="98"/>
      <c r="U1343" s="99"/>
    </row>
    <row r="1344" spans="20:21" x14ac:dyDescent="0.25">
      <c r="T1344" s="98"/>
      <c r="U1344" s="99"/>
    </row>
    <row r="1345" spans="20:21" x14ac:dyDescent="0.25">
      <c r="T1345" s="98"/>
      <c r="U1345" s="99"/>
    </row>
    <row r="1346" spans="20:21" x14ac:dyDescent="0.25">
      <c r="T1346" s="98"/>
      <c r="U1346" s="99"/>
    </row>
    <row r="1347" spans="20:21" x14ac:dyDescent="0.25">
      <c r="T1347" s="98"/>
      <c r="U1347" s="99"/>
    </row>
    <row r="1348" spans="20:21" x14ac:dyDescent="0.25">
      <c r="T1348" s="98"/>
      <c r="U1348" s="99"/>
    </row>
    <row r="1349" spans="20:21" x14ac:dyDescent="0.25">
      <c r="T1349" s="98"/>
      <c r="U1349" s="99"/>
    </row>
    <row r="1350" spans="20:21" x14ac:dyDescent="0.25">
      <c r="T1350" s="98"/>
      <c r="U1350" s="99"/>
    </row>
    <row r="1351" spans="20:21" x14ac:dyDescent="0.25">
      <c r="T1351" s="98"/>
      <c r="U1351" s="99"/>
    </row>
    <row r="1352" spans="20:21" x14ac:dyDescent="0.25">
      <c r="T1352" s="98"/>
      <c r="U1352" s="99"/>
    </row>
    <row r="1353" spans="20:21" x14ac:dyDescent="0.25">
      <c r="T1353" s="98"/>
      <c r="U1353" s="99"/>
    </row>
    <row r="1354" spans="20:21" x14ac:dyDescent="0.25">
      <c r="T1354" s="98"/>
      <c r="U1354" s="99"/>
    </row>
    <row r="1355" spans="20:21" x14ac:dyDescent="0.25">
      <c r="T1355" s="98"/>
      <c r="U1355" s="99"/>
    </row>
    <row r="1356" spans="20:21" x14ac:dyDescent="0.25">
      <c r="T1356" s="98"/>
      <c r="U1356" s="99"/>
    </row>
    <row r="1357" spans="20:21" x14ac:dyDescent="0.25">
      <c r="T1357" s="98"/>
      <c r="U1357" s="99"/>
    </row>
    <row r="1358" spans="20:21" x14ac:dyDescent="0.25">
      <c r="T1358" s="98"/>
      <c r="U1358" s="99"/>
    </row>
    <row r="1359" spans="20:21" x14ac:dyDescent="0.25">
      <c r="T1359" s="98"/>
      <c r="U1359" s="99"/>
    </row>
    <row r="1360" spans="20:21" x14ac:dyDescent="0.25">
      <c r="T1360" s="98"/>
      <c r="U1360" s="99"/>
    </row>
    <row r="1361" spans="20:21" x14ac:dyDescent="0.25">
      <c r="T1361" s="98"/>
      <c r="U1361" s="99"/>
    </row>
    <row r="1362" spans="20:21" x14ac:dyDescent="0.25">
      <c r="T1362" s="98"/>
      <c r="U1362" s="99"/>
    </row>
    <row r="1363" spans="20:21" x14ac:dyDescent="0.25">
      <c r="T1363" s="98"/>
      <c r="U1363" s="99"/>
    </row>
    <row r="1364" spans="20:21" x14ac:dyDescent="0.25">
      <c r="T1364" s="98"/>
      <c r="U1364" s="99"/>
    </row>
    <row r="1365" spans="20:21" x14ac:dyDescent="0.25">
      <c r="T1365" s="98"/>
      <c r="U1365" s="99"/>
    </row>
    <row r="1366" spans="20:21" x14ac:dyDescent="0.25">
      <c r="T1366" s="98"/>
      <c r="U1366" s="99"/>
    </row>
    <row r="1367" spans="20:21" x14ac:dyDescent="0.25">
      <c r="T1367" s="98"/>
      <c r="U1367" s="99"/>
    </row>
    <row r="1368" spans="20:21" x14ac:dyDescent="0.25">
      <c r="T1368" s="98"/>
      <c r="U1368" s="99"/>
    </row>
    <row r="1369" spans="20:21" x14ac:dyDescent="0.25">
      <c r="T1369" s="98"/>
      <c r="U1369" s="99"/>
    </row>
    <row r="1370" spans="20:21" x14ac:dyDescent="0.25">
      <c r="T1370" s="98"/>
      <c r="U1370" s="99"/>
    </row>
    <row r="1371" spans="20:21" x14ac:dyDescent="0.25">
      <c r="T1371" s="98"/>
      <c r="U1371" s="99"/>
    </row>
    <row r="1372" spans="20:21" x14ac:dyDescent="0.25">
      <c r="T1372" s="98"/>
      <c r="U1372" s="99"/>
    </row>
    <row r="1373" spans="20:21" x14ac:dyDescent="0.25">
      <c r="T1373" s="98"/>
      <c r="U1373" s="99"/>
    </row>
    <row r="1374" spans="20:21" x14ac:dyDescent="0.25">
      <c r="T1374" s="98"/>
      <c r="U1374" s="99"/>
    </row>
    <row r="1375" spans="20:21" x14ac:dyDescent="0.25">
      <c r="T1375" s="98"/>
      <c r="U1375" s="99"/>
    </row>
    <row r="1376" spans="20:21" x14ac:dyDescent="0.25">
      <c r="T1376" s="98"/>
      <c r="U1376" s="99"/>
    </row>
    <row r="1377" spans="20:21" x14ac:dyDescent="0.25">
      <c r="T1377" s="98"/>
      <c r="U1377" s="99"/>
    </row>
    <row r="1378" spans="20:21" x14ac:dyDescent="0.25">
      <c r="T1378" s="98"/>
      <c r="U1378" s="99"/>
    </row>
    <row r="1379" spans="20:21" x14ac:dyDescent="0.25">
      <c r="T1379" s="98"/>
      <c r="U1379" s="99"/>
    </row>
    <row r="1380" spans="20:21" x14ac:dyDescent="0.25">
      <c r="T1380" s="98"/>
      <c r="U1380" s="99"/>
    </row>
    <row r="1381" spans="20:21" x14ac:dyDescent="0.25">
      <c r="T1381" s="98"/>
      <c r="U1381" s="99"/>
    </row>
    <row r="1382" spans="20:21" x14ac:dyDescent="0.25">
      <c r="T1382" s="98"/>
      <c r="U1382" s="99"/>
    </row>
    <row r="1383" spans="20:21" x14ac:dyDescent="0.25">
      <c r="T1383" s="98"/>
      <c r="U1383" s="99"/>
    </row>
    <row r="1384" spans="20:21" x14ac:dyDescent="0.25">
      <c r="T1384" s="98"/>
      <c r="U1384" s="99"/>
    </row>
    <row r="1385" spans="20:21" x14ac:dyDescent="0.25">
      <c r="T1385" s="98"/>
      <c r="U1385" s="99"/>
    </row>
    <row r="1386" spans="20:21" x14ac:dyDescent="0.25">
      <c r="T1386" s="98"/>
      <c r="U1386" s="99"/>
    </row>
    <row r="1387" spans="20:21" x14ac:dyDescent="0.25">
      <c r="T1387" s="98"/>
      <c r="U1387" s="99"/>
    </row>
    <row r="1388" spans="20:21" x14ac:dyDescent="0.25">
      <c r="T1388" s="98"/>
      <c r="U1388" s="99"/>
    </row>
    <row r="1389" spans="20:21" x14ac:dyDescent="0.25">
      <c r="T1389" s="98"/>
      <c r="U1389" s="99"/>
    </row>
    <row r="1390" spans="20:21" x14ac:dyDescent="0.25">
      <c r="T1390" s="98"/>
      <c r="U1390" s="99"/>
    </row>
    <row r="1391" spans="20:21" x14ac:dyDescent="0.25">
      <c r="T1391" s="98"/>
      <c r="U1391" s="99"/>
    </row>
    <row r="1392" spans="20:21" x14ac:dyDescent="0.25">
      <c r="T1392" s="98"/>
      <c r="U1392" s="99"/>
    </row>
    <row r="1393" spans="20:21" x14ac:dyDescent="0.25">
      <c r="T1393" s="98"/>
      <c r="U1393" s="99"/>
    </row>
    <row r="1394" spans="20:21" x14ac:dyDescent="0.25">
      <c r="T1394" s="98"/>
      <c r="U1394" s="99"/>
    </row>
    <row r="1395" spans="20:21" x14ac:dyDescent="0.25">
      <c r="T1395" s="98"/>
      <c r="U1395" s="99"/>
    </row>
    <row r="1396" spans="20:21" x14ac:dyDescent="0.25">
      <c r="T1396" s="98"/>
      <c r="U1396" s="99"/>
    </row>
    <row r="1397" spans="20:21" x14ac:dyDescent="0.25">
      <c r="T1397" s="98"/>
      <c r="U1397" s="99"/>
    </row>
    <row r="1398" spans="20:21" x14ac:dyDescent="0.25">
      <c r="T1398" s="98"/>
      <c r="U1398" s="99"/>
    </row>
    <row r="1399" spans="20:21" x14ac:dyDescent="0.25">
      <c r="T1399" s="98"/>
      <c r="U1399" s="99"/>
    </row>
    <row r="1400" spans="20:21" x14ac:dyDescent="0.25">
      <c r="T1400" s="98"/>
      <c r="U1400" s="99"/>
    </row>
    <row r="1401" spans="20:21" x14ac:dyDescent="0.25">
      <c r="T1401" s="98"/>
      <c r="U1401" s="99"/>
    </row>
    <row r="1402" spans="20:21" x14ac:dyDescent="0.25">
      <c r="T1402" s="98"/>
      <c r="U1402" s="99"/>
    </row>
    <row r="1403" spans="20:21" x14ac:dyDescent="0.25">
      <c r="T1403" s="98"/>
      <c r="U1403" s="99"/>
    </row>
    <row r="1404" spans="20:21" x14ac:dyDescent="0.25">
      <c r="T1404" s="98"/>
      <c r="U1404" s="99"/>
    </row>
    <row r="1405" spans="20:21" x14ac:dyDescent="0.25">
      <c r="T1405" s="98"/>
      <c r="U1405" s="99"/>
    </row>
    <row r="1406" spans="20:21" x14ac:dyDescent="0.25">
      <c r="T1406" s="98"/>
      <c r="U1406" s="99"/>
    </row>
    <row r="1407" spans="20:21" x14ac:dyDescent="0.25">
      <c r="T1407" s="98"/>
      <c r="U1407" s="99"/>
    </row>
    <row r="1408" spans="20:21" x14ac:dyDescent="0.25">
      <c r="T1408" s="98"/>
      <c r="U1408" s="99"/>
    </row>
    <row r="1409" spans="20:21" x14ac:dyDescent="0.25">
      <c r="T1409" s="98"/>
      <c r="U1409" s="99"/>
    </row>
    <row r="1410" spans="20:21" x14ac:dyDescent="0.25">
      <c r="T1410" s="98"/>
      <c r="U1410" s="99"/>
    </row>
    <row r="1411" spans="20:21" x14ac:dyDescent="0.25">
      <c r="T1411" s="98"/>
      <c r="U1411" s="99"/>
    </row>
    <row r="1412" spans="20:21" x14ac:dyDescent="0.25">
      <c r="T1412" s="98"/>
      <c r="U1412" s="99"/>
    </row>
    <row r="1413" spans="20:21" x14ac:dyDescent="0.25">
      <c r="T1413" s="98"/>
      <c r="U1413" s="99"/>
    </row>
    <row r="1414" spans="20:21" x14ac:dyDescent="0.25">
      <c r="T1414" s="98"/>
      <c r="U1414" s="99"/>
    </row>
    <row r="1415" spans="20:21" x14ac:dyDescent="0.25">
      <c r="T1415" s="98"/>
      <c r="U1415" s="99"/>
    </row>
    <row r="1416" spans="20:21" x14ac:dyDescent="0.25">
      <c r="T1416" s="98"/>
      <c r="U1416" s="99"/>
    </row>
    <row r="1417" spans="20:21" x14ac:dyDescent="0.25">
      <c r="T1417" s="98"/>
      <c r="U1417" s="99"/>
    </row>
    <row r="1418" spans="20:21" x14ac:dyDescent="0.25">
      <c r="T1418" s="98"/>
      <c r="U1418" s="99"/>
    </row>
    <row r="1419" spans="20:21" x14ac:dyDescent="0.25">
      <c r="T1419" s="98"/>
      <c r="U1419" s="99"/>
    </row>
    <row r="1420" spans="20:21" x14ac:dyDescent="0.25">
      <c r="T1420" s="98"/>
      <c r="U1420" s="99"/>
    </row>
    <row r="1421" spans="20:21" x14ac:dyDescent="0.25">
      <c r="T1421" s="98"/>
      <c r="U1421" s="99"/>
    </row>
    <row r="1422" spans="20:21" x14ac:dyDescent="0.25">
      <c r="T1422" s="98"/>
      <c r="U1422" s="99"/>
    </row>
    <row r="1423" spans="20:21" x14ac:dyDescent="0.25">
      <c r="T1423" s="98"/>
      <c r="U1423" s="99"/>
    </row>
    <row r="1424" spans="20:21" x14ac:dyDescent="0.25">
      <c r="T1424" s="98"/>
      <c r="U1424" s="99"/>
    </row>
    <row r="1425" spans="20:21" x14ac:dyDescent="0.25">
      <c r="T1425" s="98"/>
      <c r="U1425" s="99"/>
    </row>
    <row r="1426" spans="20:21" x14ac:dyDescent="0.25">
      <c r="T1426" s="98"/>
      <c r="U1426" s="99"/>
    </row>
    <row r="1427" spans="20:21" x14ac:dyDescent="0.25">
      <c r="T1427" s="98"/>
      <c r="U1427" s="99"/>
    </row>
    <row r="1428" spans="20:21" x14ac:dyDescent="0.25">
      <c r="T1428" s="98"/>
      <c r="U1428" s="99"/>
    </row>
    <row r="1429" spans="20:21" x14ac:dyDescent="0.25">
      <c r="T1429" s="98"/>
      <c r="U1429" s="99"/>
    </row>
    <row r="1430" spans="20:21" x14ac:dyDescent="0.25">
      <c r="T1430" s="98"/>
      <c r="U1430" s="99"/>
    </row>
    <row r="1431" spans="20:21" x14ac:dyDescent="0.25">
      <c r="T1431" s="98"/>
      <c r="U1431" s="99"/>
    </row>
    <row r="1432" spans="20:21" x14ac:dyDescent="0.25">
      <c r="T1432" s="98"/>
      <c r="U1432" s="99"/>
    </row>
    <row r="1433" spans="20:21" x14ac:dyDescent="0.25">
      <c r="T1433" s="98"/>
      <c r="U1433" s="99"/>
    </row>
    <row r="1434" spans="20:21" x14ac:dyDescent="0.25">
      <c r="T1434" s="98"/>
      <c r="U1434" s="99"/>
    </row>
    <row r="1435" spans="20:21" x14ac:dyDescent="0.25">
      <c r="T1435" s="98"/>
      <c r="U1435" s="99"/>
    </row>
    <row r="1436" spans="20:21" x14ac:dyDescent="0.25">
      <c r="T1436" s="98"/>
      <c r="U1436" s="99"/>
    </row>
    <row r="1437" spans="20:21" x14ac:dyDescent="0.25">
      <c r="T1437" s="98"/>
      <c r="U1437" s="99"/>
    </row>
    <row r="1438" spans="20:21" x14ac:dyDescent="0.25">
      <c r="T1438" s="98"/>
      <c r="U1438" s="99"/>
    </row>
    <row r="1439" spans="20:21" x14ac:dyDescent="0.25">
      <c r="T1439" s="98"/>
      <c r="U1439" s="99"/>
    </row>
    <row r="1440" spans="20:21" x14ac:dyDescent="0.25">
      <c r="T1440" s="98"/>
      <c r="U1440" s="99"/>
    </row>
    <row r="1441" spans="20:21" x14ac:dyDescent="0.25">
      <c r="T1441" s="98"/>
      <c r="U1441" s="99"/>
    </row>
    <row r="1442" spans="20:21" x14ac:dyDescent="0.25">
      <c r="T1442" s="98"/>
      <c r="U1442" s="99"/>
    </row>
    <row r="1443" spans="20:21" x14ac:dyDescent="0.25">
      <c r="T1443" s="98"/>
      <c r="U1443" s="99"/>
    </row>
    <row r="1444" spans="20:21" x14ac:dyDescent="0.25">
      <c r="T1444" s="98"/>
      <c r="U1444" s="99"/>
    </row>
    <row r="1445" spans="20:21" x14ac:dyDescent="0.25">
      <c r="T1445" s="98"/>
      <c r="U1445" s="99"/>
    </row>
    <row r="1446" spans="20:21" x14ac:dyDescent="0.25">
      <c r="T1446" s="98"/>
      <c r="U1446" s="99"/>
    </row>
    <row r="1447" spans="20:21" x14ac:dyDescent="0.25">
      <c r="T1447" s="98"/>
      <c r="U1447" s="99"/>
    </row>
    <row r="1448" spans="20:21" x14ac:dyDescent="0.25">
      <c r="T1448" s="98"/>
      <c r="U1448" s="99"/>
    </row>
    <row r="1449" spans="20:21" x14ac:dyDescent="0.25">
      <c r="T1449" s="98"/>
      <c r="U1449" s="99"/>
    </row>
    <row r="1450" spans="20:21" x14ac:dyDescent="0.25">
      <c r="T1450" s="98"/>
      <c r="U1450" s="99"/>
    </row>
    <row r="1451" spans="20:21" x14ac:dyDescent="0.25">
      <c r="T1451" s="98"/>
      <c r="U1451" s="99"/>
    </row>
    <row r="1452" spans="20:21" x14ac:dyDescent="0.25">
      <c r="T1452" s="98"/>
      <c r="U1452" s="99"/>
    </row>
    <row r="1453" spans="20:21" x14ac:dyDescent="0.25">
      <c r="T1453" s="98"/>
      <c r="U1453" s="99"/>
    </row>
    <row r="1454" spans="20:21" x14ac:dyDescent="0.25">
      <c r="T1454" s="98"/>
      <c r="U1454" s="99"/>
    </row>
    <row r="1455" spans="20:21" x14ac:dyDescent="0.25">
      <c r="T1455" s="98"/>
      <c r="U1455" s="99"/>
    </row>
    <row r="1456" spans="20:21" x14ac:dyDescent="0.25">
      <c r="T1456" s="98"/>
      <c r="U1456" s="99"/>
    </row>
    <row r="1457" spans="20:21" x14ac:dyDescent="0.25">
      <c r="T1457" s="98"/>
      <c r="U1457" s="99"/>
    </row>
    <row r="1458" spans="20:21" x14ac:dyDescent="0.25">
      <c r="T1458" s="98"/>
      <c r="U1458" s="99"/>
    </row>
    <row r="1459" spans="20:21" x14ac:dyDescent="0.25">
      <c r="T1459" s="98"/>
      <c r="U1459" s="99"/>
    </row>
    <row r="1460" spans="20:21" x14ac:dyDescent="0.25">
      <c r="T1460" s="98"/>
      <c r="U1460" s="99"/>
    </row>
    <row r="1461" spans="20:21" x14ac:dyDescent="0.25">
      <c r="T1461" s="98"/>
      <c r="U1461" s="99"/>
    </row>
    <row r="1462" spans="20:21" x14ac:dyDescent="0.25">
      <c r="T1462" s="98"/>
      <c r="U1462" s="99"/>
    </row>
    <row r="1463" spans="20:21" x14ac:dyDescent="0.25">
      <c r="T1463" s="98"/>
      <c r="U1463" s="99"/>
    </row>
    <row r="1464" spans="20:21" x14ac:dyDescent="0.25">
      <c r="T1464" s="98"/>
      <c r="U1464" s="99"/>
    </row>
    <row r="1465" spans="20:21" x14ac:dyDescent="0.25">
      <c r="T1465" s="98"/>
      <c r="U1465" s="99"/>
    </row>
    <row r="1466" spans="20:21" x14ac:dyDescent="0.25">
      <c r="T1466" s="98"/>
      <c r="U1466" s="99"/>
    </row>
    <row r="1467" spans="20:21" x14ac:dyDescent="0.25">
      <c r="T1467" s="98"/>
      <c r="U1467" s="99"/>
    </row>
    <row r="1468" spans="20:21" x14ac:dyDescent="0.25">
      <c r="T1468" s="98"/>
      <c r="U1468" s="99"/>
    </row>
    <row r="1469" spans="20:21" x14ac:dyDescent="0.25">
      <c r="T1469" s="98"/>
      <c r="U1469" s="99"/>
    </row>
    <row r="1470" spans="20:21" x14ac:dyDescent="0.25">
      <c r="T1470" s="98"/>
      <c r="U1470" s="99"/>
    </row>
    <row r="1471" spans="20:21" x14ac:dyDescent="0.25">
      <c r="T1471" s="98"/>
      <c r="U1471" s="99"/>
    </row>
    <row r="1472" spans="20:21" x14ac:dyDescent="0.25">
      <c r="T1472" s="98"/>
      <c r="U1472" s="99"/>
    </row>
    <row r="1473" spans="20:21" x14ac:dyDescent="0.25">
      <c r="T1473" s="98"/>
      <c r="U1473" s="99"/>
    </row>
    <row r="1474" spans="20:21" x14ac:dyDescent="0.25">
      <c r="T1474" s="98"/>
      <c r="U1474" s="99"/>
    </row>
    <row r="1475" spans="20:21" x14ac:dyDescent="0.25">
      <c r="T1475" s="98"/>
      <c r="U1475" s="99"/>
    </row>
    <row r="1476" spans="20:21" x14ac:dyDescent="0.25">
      <c r="T1476" s="98"/>
      <c r="U1476" s="99"/>
    </row>
    <row r="1477" spans="20:21" x14ac:dyDescent="0.25">
      <c r="T1477" s="98"/>
      <c r="U1477" s="99"/>
    </row>
    <row r="1478" spans="20:21" x14ac:dyDescent="0.25">
      <c r="T1478" s="98"/>
      <c r="U1478" s="99"/>
    </row>
    <row r="1479" spans="20:21" x14ac:dyDescent="0.25">
      <c r="T1479" s="98"/>
      <c r="U1479" s="99"/>
    </row>
    <row r="1480" spans="20:21" x14ac:dyDescent="0.25">
      <c r="T1480" s="98"/>
      <c r="U1480" s="99"/>
    </row>
    <row r="1481" spans="20:21" x14ac:dyDescent="0.25">
      <c r="T1481" s="98"/>
      <c r="U1481" s="99"/>
    </row>
    <row r="1482" spans="20:21" x14ac:dyDescent="0.25">
      <c r="T1482" s="98"/>
      <c r="U1482" s="99"/>
    </row>
    <row r="1483" spans="20:21" x14ac:dyDescent="0.25">
      <c r="T1483" s="98"/>
      <c r="U1483" s="99"/>
    </row>
    <row r="1484" spans="20:21" x14ac:dyDescent="0.25">
      <c r="T1484" s="98"/>
      <c r="U1484" s="99"/>
    </row>
    <row r="1485" spans="20:21" x14ac:dyDescent="0.25">
      <c r="T1485" s="98"/>
      <c r="U1485" s="99"/>
    </row>
    <row r="1486" spans="20:21" x14ac:dyDescent="0.25">
      <c r="T1486" s="98"/>
      <c r="U1486" s="99"/>
    </row>
    <row r="1487" spans="20:21" x14ac:dyDescent="0.25">
      <c r="T1487" s="98"/>
      <c r="U1487" s="99"/>
    </row>
    <row r="1488" spans="20:21" x14ac:dyDescent="0.25">
      <c r="T1488" s="98"/>
      <c r="U1488" s="99"/>
    </row>
    <row r="1489" spans="20:21" x14ac:dyDescent="0.25">
      <c r="T1489" s="98"/>
      <c r="U1489" s="99"/>
    </row>
    <row r="1490" spans="20:21" x14ac:dyDescent="0.25">
      <c r="T1490" s="98"/>
      <c r="U1490" s="99"/>
    </row>
    <row r="1491" spans="20:21" x14ac:dyDescent="0.25">
      <c r="T1491" s="98"/>
      <c r="U1491" s="99"/>
    </row>
    <row r="1492" spans="20:21" x14ac:dyDescent="0.25">
      <c r="T1492" s="98"/>
      <c r="U1492" s="99"/>
    </row>
    <row r="1493" spans="20:21" x14ac:dyDescent="0.25">
      <c r="T1493" s="98"/>
      <c r="U1493" s="99"/>
    </row>
    <row r="1494" spans="20:21" x14ac:dyDescent="0.25">
      <c r="T1494" s="98"/>
      <c r="U1494" s="99"/>
    </row>
    <row r="1495" spans="20:21" x14ac:dyDescent="0.25">
      <c r="T1495" s="98"/>
      <c r="U1495" s="99"/>
    </row>
    <row r="1496" spans="20:21" x14ac:dyDescent="0.25">
      <c r="T1496" s="98"/>
      <c r="U1496" s="99"/>
    </row>
    <row r="1497" spans="20:21" x14ac:dyDescent="0.25">
      <c r="T1497" s="98"/>
      <c r="U1497" s="99"/>
    </row>
    <row r="1498" spans="20:21" x14ac:dyDescent="0.25">
      <c r="T1498" s="98"/>
      <c r="U1498" s="99"/>
    </row>
    <row r="1499" spans="20:21" x14ac:dyDescent="0.25">
      <c r="T1499" s="98"/>
      <c r="U1499" s="99"/>
    </row>
    <row r="1500" spans="20:21" x14ac:dyDescent="0.25">
      <c r="T1500" s="98"/>
      <c r="U1500" s="99"/>
    </row>
    <row r="1501" spans="20:21" x14ac:dyDescent="0.25">
      <c r="T1501" s="98"/>
      <c r="U1501" s="99"/>
    </row>
    <row r="1502" spans="20:21" x14ac:dyDescent="0.25">
      <c r="T1502" s="98"/>
      <c r="U1502" s="99"/>
    </row>
    <row r="1503" spans="20:21" x14ac:dyDescent="0.25">
      <c r="T1503" s="98"/>
      <c r="U1503" s="99"/>
    </row>
    <row r="1504" spans="20:21" x14ac:dyDescent="0.25">
      <c r="T1504" s="98"/>
      <c r="U1504" s="99"/>
    </row>
    <row r="1505" spans="20:21" x14ac:dyDescent="0.25">
      <c r="T1505" s="98"/>
      <c r="U1505" s="99"/>
    </row>
    <row r="1506" spans="20:21" x14ac:dyDescent="0.25">
      <c r="T1506" s="98"/>
      <c r="U1506" s="99"/>
    </row>
    <row r="1507" spans="20:21" x14ac:dyDescent="0.25">
      <c r="T1507" s="98"/>
      <c r="U1507" s="99"/>
    </row>
    <row r="1508" spans="20:21" x14ac:dyDescent="0.25">
      <c r="T1508" s="98"/>
      <c r="U1508" s="99"/>
    </row>
    <row r="1509" spans="20:21" x14ac:dyDescent="0.25">
      <c r="T1509" s="98"/>
      <c r="U1509" s="99"/>
    </row>
    <row r="1510" spans="20:21" x14ac:dyDescent="0.25">
      <c r="T1510" s="98"/>
      <c r="U1510" s="99"/>
    </row>
    <row r="1511" spans="20:21" x14ac:dyDescent="0.25">
      <c r="T1511" s="98"/>
      <c r="U1511" s="99"/>
    </row>
    <row r="1512" spans="20:21" x14ac:dyDescent="0.25">
      <c r="T1512" s="98"/>
      <c r="U1512" s="99"/>
    </row>
    <row r="1513" spans="20:21" x14ac:dyDescent="0.25">
      <c r="T1513" s="98"/>
      <c r="U1513" s="99"/>
    </row>
    <row r="1514" spans="20:21" x14ac:dyDescent="0.25">
      <c r="T1514" s="98"/>
      <c r="U1514" s="99"/>
    </row>
    <row r="1515" spans="20:21" x14ac:dyDescent="0.25">
      <c r="T1515" s="98"/>
      <c r="U1515" s="99"/>
    </row>
    <row r="1516" spans="20:21" x14ac:dyDescent="0.25">
      <c r="T1516" s="98"/>
      <c r="U1516" s="99"/>
    </row>
    <row r="1517" spans="20:21" x14ac:dyDescent="0.25">
      <c r="T1517" s="98"/>
      <c r="U1517" s="99"/>
    </row>
    <row r="1518" spans="20:21" x14ac:dyDescent="0.25">
      <c r="T1518" s="98"/>
      <c r="U1518" s="99"/>
    </row>
    <row r="1519" spans="20:21" x14ac:dyDescent="0.25">
      <c r="T1519" s="98"/>
      <c r="U1519" s="99"/>
    </row>
    <row r="1520" spans="20:21" x14ac:dyDescent="0.25">
      <c r="T1520" s="98"/>
      <c r="U1520" s="99"/>
    </row>
    <row r="1521" spans="20:21" x14ac:dyDescent="0.25">
      <c r="T1521" s="98"/>
      <c r="U1521" s="99"/>
    </row>
    <row r="1522" spans="20:21" x14ac:dyDescent="0.25">
      <c r="T1522" s="98"/>
      <c r="U1522" s="99"/>
    </row>
    <row r="1523" spans="20:21" x14ac:dyDescent="0.25">
      <c r="T1523" s="98"/>
      <c r="U1523" s="99"/>
    </row>
    <row r="1524" spans="20:21" x14ac:dyDescent="0.25">
      <c r="T1524" s="98"/>
      <c r="U1524" s="99"/>
    </row>
    <row r="1525" spans="20:21" x14ac:dyDescent="0.25">
      <c r="T1525" s="98"/>
      <c r="U1525" s="99"/>
    </row>
    <row r="1526" spans="20:21" x14ac:dyDescent="0.25">
      <c r="T1526" s="98"/>
      <c r="U1526" s="99"/>
    </row>
    <row r="1527" spans="20:21" x14ac:dyDescent="0.25">
      <c r="T1527" s="98"/>
      <c r="U1527" s="99"/>
    </row>
    <row r="1528" spans="20:21" x14ac:dyDescent="0.25">
      <c r="T1528" s="98"/>
      <c r="U1528" s="99"/>
    </row>
    <row r="1529" spans="20:21" x14ac:dyDescent="0.25">
      <c r="T1529" s="98"/>
      <c r="U1529" s="99"/>
    </row>
    <row r="1530" spans="20:21" x14ac:dyDescent="0.25">
      <c r="T1530" s="98"/>
      <c r="U1530" s="99"/>
    </row>
    <row r="1531" spans="20:21" x14ac:dyDescent="0.25">
      <c r="T1531" s="98"/>
      <c r="U1531" s="99"/>
    </row>
    <row r="1532" spans="20:21" x14ac:dyDescent="0.25">
      <c r="T1532" s="98"/>
      <c r="U1532" s="99"/>
    </row>
    <row r="1533" spans="20:21" x14ac:dyDescent="0.25">
      <c r="T1533" s="98"/>
      <c r="U1533" s="99"/>
    </row>
    <row r="1534" spans="20:21" x14ac:dyDescent="0.25">
      <c r="T1534" s="98"/>
      <c r="U1534" s="99"/>
    </row>
    <row r="1535" spans="20:21" x14ac:dyDescent="0.25">
      <c r="T1535" s="98"/>
      <c r="U1535" s="99"/>
    </row>
    <row r="1536" spans="20:21" x14ac:dyDescent="0.25">
      <c r="T1536" s="98"/>
      <c r="U1536" s="99"/>
    </row>
    <row r="1537" spans="20:21" x14ac:dyDescent="0.25">
      <c r="T1537" s="98"/>
      <c r="U1537" s="99"/>
    </row>
    <row r="1538" spans="20:21" x14ac:dyDescent="0.25">
      <c r="T1538" s="98"/>
      <c r="U1538" s="99"/>
    </row>
    <row r="1539" spans="20:21" x14ac:dyDescent="0.25">
      <c r="T1539" s="98"/>
      <c r="U1539" s="99"/>
    </row>
    <row r="1540" spans="20:21" x14ac:dyDescent="0.25">
      <c r="T1540" s="98"/>
      <c r="U1540" s="99"/>
    </row>
    <row r="1541" spans="20:21" x14ac:dyDescent="0.25">
      <c r="T1541" s="98"/>
      <c r="U1541" s="99"/>
    </row>
    <row r="1542" spans="20:21" x14ac:dyDescent="0.25">
      <c r="T1542" s="98"/>
      <c r="U1542" s="99"/>
    </row>
    <row r="1543" spans="20:21" x14ac:dyDescent="0.25">
      <c r="T1543" s="98"/>
      <c r="U1543" s="99"/>
    </row>
    <row r="1544" spans="20:21" x14ac:dyDescent="0.25">
      <c r="T1544" s="98"/>
      <c r="U1544" s="99"/>
    </row>
    <row r="1545" spans="20:21" x14ac:dyDescent="0.25">
      <c r="T1545" s="98"/>
      <c r="U1545" s="99"/>
    </row>
    <row r="1546" spans="20:21" x14ac:dyDescent="0.25">
      <c r="T1546" s="98"/>
      <c r="U1546" s="99"/>
    </row>
    <row r="1547" spans="20:21" x14ac:dyDescent="0.25">
      <c r="T1547" s="98"/>
      <c r="U1547" s="99"/>
    </row>
    <row r="1548" spans="20:21" x14ac:dyDescent="0.25">
      <c r="T1548" s="98"/>
      <c r="U1548" s="99"/>
    </row>
    <row r="1549" spans="20:21" x14ac:dyDescent="0.25">
      <c r="T1549" s="98"/>
      <c r="U1549" s="99"/>
    </row>
    <row r="1550" spans="20:21" x14ac:dyDescent="0.25">
      <c r="T1550" s="98"/>
      <c r="U1550" s="99"/>
    </row>
    <row r="1551" spans="20:21" x14ac:dyDescent="0.25">
      <c r="T1551" s="98"/>
      <c r="U1551" s="99"/>
    </row>
    <row r="1552" spans="20:21" x14ac:dyDescent="0.25">
      <c r="T1552" s="98"/>
      <c r="U1552" s="99"/>
    </row>
    <row r="1553" spans="20:21" x14ac:dyDescent="0.25">
      <c r="T1553" s="98"/>
      <c r="U1553" s="99"/>
    </row>
    <row r="1554" spans="20:21" x14ac:dyDescent="0.25">
      <c r="T1554" s="98"/>
      <c r="U1554" s="99"/>
    </row>
    <row r="1555" spans="20:21" x14ac:dyDescent="0.25">
      <c r="T1555" s="98"/>
      <c r="U1555" s="99"/>
    </row>
    <row r="1556" spans="20:21" x14ac:dyDescent="0.25">
      <c r="T1556" s="98"/>
      <c r="U1556" s="99"/>
    </row>
    <row r="1557" spans="20:21" x14ac:dyDescent="0.25">
      <c r="T1557" s="98"/>
      <c r="U1557" s="99"/>
    </row>
    <row r="1558" spans="20:21" x14ac:dyDescent="0.25">
      <c r="T1558" s="98"/>
      <c r="U1558" s="99"/>
    </row>
    <row r="1559" spans="20:21" x14ac:dyDescent="0.25">
      <c r="T1559" s="98"/>
      <c r="U1559" s="99"/>
    </row>
    <row r="1560" spans="20:21" x14ac:dyDescent="0.25">
      <c r="T1560" s="98"/>
      <c r="U1560" s="99"/>
    </row>
    <row r="1561" spans="20:21" x14ac:dyDescent="0.25">
      <c r="T1561" s="98"/>
      <c r="U1561" s="99"/>
    </row>
    <row r="1562" spans="20:21" x14ac:dyDescent="0.25">
      <c r="T1562" s="98"/>
      <c r="U1562" s="99"/>
    </row>
    <row r="1563" spans="20:21" x14ac:dyDescent="0.25">
      <c r="T1563" s="98"/>
      <c r="U1563" s="99"/>
    </row>
    <row r="1564" spans="20:21" x14ac:dyDescent="0.25">
      <c r="T1564" s="98"/>
      <c r="U1564" s="99"/>
    </row>
    <row r="1565" spans="20:21" x14ac:dyDescent="0.25">
      <c r="T1565" s="98"/>
      <c r="U1565" s="99"/>
    </row>
    <row r="1566" spans="20:21" x14ac:dyDescent="0.25">
      <c r="T1566" s="98"/>
      <c r="U1566" s="99"/>
    </row>
    <row r="1567" spans="20:21" x14ac:dyDescent="0.25">
      <c r="T1567" s="98"/>
      <c r="U1567" s="99"/>
    </row>
    <row r="1568" spans="20:21" x14ac:dyDescent="0.25">
      <c r="T1568" s="98"/>
      <c r="U1568" s="99"/>
    </row>
    <row r="1569" spans="20:21" x14ac:dyDescent="0.25">
      <c r="T1569" s="98"/>
      <c r="U1569" s="99"/>
    </row>
    <row r="1570" spans="20:21" x14ac:dyDescent="0.25">
      <c r="T1570" s="98"/>
      <c r="U1570" s="99"/>
    </row>
    <row r="1571" spans="20:21" x14ac:dyDescent="0.25">
      <c r="T1571" s="98"/>
      <c r="U1571" s="99"/>
    </row>
    <row r="1572" spans="20:21" x14ac:dyDescent="0.25">
      <c r="T1572" s="98"/>
      <c r="U1572" s="99"/>
    </row>
    <row r="1573" spans="20:21" x14ac:dyDescent="0.25">
      <c r="T1573" s="98"/>
      <c r="U1573" s="99"/>
    </row>
    <row r="1574" spans="20:21" x14ac:dyDescent="0.25">
      <c r="T1574" s="98"/>
      <c r="U1574" s="99"/>
    </row>
    <row r="1575" spans="20:21" x14ac:dyDescent="0.25">
      <c r="T1575" s="98"/>
      <c r="U1575" s="99"/>
    </row>
    <row r="1576" spans="20:21" x14ac:dyDescent="0.25">
      <c r="T1576" s="98"/>
      <c r="U1576" s="99"/>
    </row>
    <row r="1577" spans="20:21" x14ac:dyDescent="0.25">
      <c r="T1577" s="98"/>
      <c r="U1577" s="99"/>
    </row>
    <row r="1578" spans="20:21" x14ac:dyDescent="0.25">
      <c r="T1578" s="98"/>
      <c r="U1578" s="99"/>
    </row>
    <row r="1579" spans="20:21" x14ac:dyDescent="0.25">
      <c r="T1579" s="98"/>
      <c r="U1579" s="99"/>
    </row>
    <row r="1580" spans="20:21" x14ac:dyDescent="0.25">
      <c r="T1580" s="98"/>
      <c r="U1580" s="99"/>
    </row>
    <row r="1581" spans="20:21" x14ac:dyDescent="0.25">
      <c r="T1581" s="98"/>
      <c r="U1581" s="99"/>
    </row>
    <row r="1582" spans="20:21" x14ac:dyDescent="0.25">
      <c r="T1582" s="98"/>
      <c r="U1582" s="99"/>
    </row>
    <row r="1583" spans="20:21" x14ac:dyDescent="0.25">
      <c r="T1583" s="98"/>
      <c r="U1583" s="99"/>
    </row>
    <row r="1584" spans="20:21" x14ac:dyDescent="0.25">
      <c r="T1584" s="98"/>
      <c r="U1584" s="99"/>
    </row>
    <row r="1585" spans="20:21" x14ac:dyDescent="0.25">
      <c r="T1585" s="98"/>
      <c r="U1585" s="99"/>
    </row>
    <row r="1586" spans="20:21" x14ac:dyDescent="0.25">
      <c r="T1586" s="98"/>
      <c r="U1586" s="99"/>
    </row>
    <row r="1587" spans="20:21" x14ac:dyDescent="0.25">
      <c r="T1587" s="98"/>
      <c r="U1587" s="99"/>
    </row>
    <row r="1588" spans="20:21" x14ac:dyDescent="0.25">
      <c r="T1588" s="98"/>
      <c r="U1588" s="99"/>
    </row>
    <row r="1589" spans="20:21" x14ac:dyDescent="0.25">
      <c r="T1589" s="98"/>
      <c r="U1589" s="99"/>
    </row>
    <row r="1590" spans="20:21" x14ac:dyDescent="0.25">
      <c r="T1590" s="98"/>
      <c r="U1590" s="99"/>
    </row>
    <row r="1591" spans="20:21" x14ac:dyDescent="0.25">
      <c r="T1591" s="98"/>
      <c r="U1591" s="99"/>
    </row>
    <row r="1592" spans="20:21" x14ac:dyDescent="0.25">
      <c r="T1592" s="98"/>
      <c r="U1592" s="99"/>
    </row>
    <row r="1593" spans="20:21" x14ac:dyDescent="0.25">
      <c r="T1593" s="98"/>
      <c r="U1593" s="99"/>
    </row>
    <row r="1594" spans="20:21" x14ac:dyDescent="0.25">
      <c r="T1594" s="98"/>
      <c r="U1594" s="99"/>
    </row>
    <row r="1595" spans="20:21" x14ac:dyDescent="0.25">
      <c r="T1595" s="98"/>
      <c r="U1595" s="99"/>
    </row>
    <row r="1596" spans="20:21" x14ac:dyDescent="0.25">
      <c r="T1596" s="98"/>
      <c r="U1596" s="99"/>
    </row>
    <row r="1597" spans="20:21" x14ac:dyDescent="0.25">
      <c r="T1597" s="98"/>
      <c r="U1597" s="99"/>
    </row>
    <row r="1598" spans="20:21" x14ac:dyDescent="0.25">
      <c r="T1598" s="98"/>
      <c r="U1598" s="99"/>
    </row>
    <row r="1599" spans="20:21" x14ac:dyDescent="0.25">
      <c r="T1599" s="98"/>
      <c r="U1599" s="99"/>
    </row>
    <row r="1600" spans="20:21" x14ac:dyDescent="0.25">
      <c r="T1600" s="98"/>
      <c r="U1600" s="99"/>
    </row>
    <row r="1601" spans="20:21" x14ac:dyDescent="0.25">
      <c r="T1601" s="98"/>
      <c r="U1601" s="99"/>
    </row>
    <row r="1602" spans="20:21" x14ac:dyDescent="0.25">
      <c r="T1602" s="98"/>
      <c r="U1602" s="99"/>
    </row>
    <row r="1603" spans="20:21" x14ac:dyDescent="0.25">
      <c r="T1603" s="98"/>
      <c r="U1603" s="99"/>
    </row>
    <row r="1604" spans="20:21" x14ac:dyDescent="0.25">
      <c r="T1604" s="98"/>
      <c r="U1604" s="99"/>
    </row>
    <row r="1605" spans="20:21" x14ac:dyDescent="0.25">
      <c r="T1605" s="98"/>
      <c r="U1605" s="99"/>
    </row>
    <row r="1606" spans="20:21" x14ac:dyDescent="0.25">
      <c r="T1606" s="98"/>
      <c r="U1606" s="99"/>
    </row>
    <row r="1607" spans="20:21" x14ac:dyDescent="0.25">
      <c r="T1607" s="98"/>
      <c r="U1607" s="99"/>
    </row>
    <row r="1608" spans="20:21" x14ac:dyDescent="0.25">
      <c r="T1608" s="98"/>
      <c r="U1608" s="99"/>
    </row>
    <row r="1609" spans="20:21" x14ac:dyDescent="0.25">
      <c r="T1609" s="98"/>
      <c r="U1609" s="99"/>
    </row>
    <row r="1610" spans="20:21" x14ac:dyDescent="0.25">
      <c r="T1610" s="98"/>
      <c r="U1610" s="99"/>
    </row>
    <row r="1611" spans="20:21" x14ac:dyDescent="0.25">
      <c r="T1611" s="98"/>
      <c r="U1611" s="99"/>
    </row>
    <row r="1612" spans="20:21" x14ac:dyDescent="0.25">
      <c r="T1612" s="98"/>
      <c r="U1612" s="99"/>
    </row>
    <row r="1613" spans="20:21" x14ac:dyDescent="0.25">
      <c r="T1613" s="98"/>
      <c r="U1613" s="99"/>
    </row>
    <row r="1614" spans="20:21" x14ac:dyDescent="0.25">
      <c r="T1614" s="98"/>
      <c r="U1614" s="99"/>
    </row>
    <row r="1615" spans="20:21" x14ac:dyDescent="0.25">
      <c r="T1615" s="98"/>
      <c r="U1615" s="99"/>
    </row>
    <row r="1616" spans="20:21" x14ac:dyDescent="0.25">
      <c r="T1616" s="98"/>
      <c r="U1616" s="99"/>
    </row>
    <row r="1617" spans="20:21" x14ac:dyDescent="0.25">
      <c r="T1617" s="98"/>
      <c r="U1617" s="99"/>
    </row>
    <row r="1618" spans="20:21" x14ac:dyDescent="0.25">
      <c r="T1618" s="98"/>
      <c r="U1618" s="99"/>
    </row>
    <row r="1619" spans="20:21" x14ac:dyDescent="0.25">
      <c r="T1619" s="98"/>
      <c r="U1619" s="99"/>
    </row>
    <row r="1620" spans="20:21" x14ac:dyDescent="0.25">
      <c r="T1620" s="98"/>
      <c r="U1620" s="99"/>
    </row>
    <row r="1621" spans="20:21" x14ac:dyDescent="0.25">
      <c r="T1621" s="98"/>
      <c r="U1621" s="99"/>
    </row>
    <row r="1622" spans="20:21" x14ac:dyDescent="0.25">
      <c r="T1622" s="98"/>
      <c r="U1622" s="99"/>
    </row>
    <row r="1623" spans="20:21" x14ac:dyDescent="0.25">
      <c r="T1623" s="98"/>
      <c r="U1623" s="99"/>
    </row>
    <row r="1624" spans="20:21" x14ac:dyDescent="0.25">
      <c r="T1624" s="98"/>
      <c r="U1624" s="99"/>
    </row>
    <row r="1625" spans="20:21" x14ac:dyDescent="0.25">
      <c r="T1625" s="98"/>
      <c r="U1625" s="99"/>
    </row>
    <row r="1626" spans="20:21" x14ac:dyDescent="0.25">
      <c r="T1626" s="98"/>
      <c r="U1626" s="99"/>
    </row>
    <row r="1627" spans="20:21" x14ac:dyDescent="0.25">
      <c r="T1627" s="98"/>
      <c r="U1627" s="99"/>
    </row>
    <row r="1628" spans="20:21" x14ac:dyDescent="0.25">
      <c r="T1628" s="98"/>
      <c r="U1628" s="99"/>
    </row>
    <row r="1629" spans="20:21" x14ac:dyDescent="0.25">
      <c r="T1629" s="98"/>
      <c r="U1629" s="99"/>
    </row>
    <row r="1630" spans="20:21" x14ac:dyDescent="0.25">
      <c r="T1630" s="98"/>
      <c r="U1630" s="99"/>
    </row>
    <row r="1631" spans="20:21" x14ac:dyDescent="0.25">
      <c r="T1631" s="98"/>
      <c r="U1631" s="99"/>
    </row>
    <row r="1632" spans="20:21" x14ac:dyDescent="0.25">
      <c r="T1632" s="98"/>
      <c r="U1632" s="99"/>
    </row>
    <row r="1633" spans="20:21" x14ac:dyDescent="0.25">
      <c r="T1633" s="98"/>
      <c r="U1633" s="99"/>
    </row>
    <row r="1634" spans="20:21" x14ac:dyDescent="0.25">
      <c r="T1634" s="98"/>
      <c r="U1634" s="99"/>
    </row>
    <row r="1635" spans="20:21" x14ac:dyDescent="0.25">
      <c r="T1635" s="98"/>
      <c r="U1635" s="99"/>
    </row>
    <row r="1636" spans="20:21" x14ac:dyDescent="0.25">
      <c r="T1636" s="98"/>
      <c r="U1636" s="99"/>
    </row>
    <row r="1637" spans="20:21" x14ac:dyDescent="0.25">
      <c r="T1637" s="98"/>
      <c r="U1637" s="99"/>
    </row>
    <row r="1638" spans="20:21" x14ac:dyDescent="0.25">
      <c r="T1638" s="98"/>
      <c r="U1638" s="99"/>
    </row>
    <row r="1639" spans="20:21" x14ac:dyDescent="0.25">
      <c r="T1639" s="98"/>
      <c r="U1639" s="99"/>
    </row>
    <row r="1640" spans="20:21" x14ac:dyDescent="0.25">
      <c r="T1640" s="98"/>
      <c r="U1640" s="99"/>
    </row>
    <row r="1641" spans="20:21" x14ac:dyDescent="0.25">
      <c r="T1641" s="98"/>
      <c r="U1641" s="99"/>
    </row>
    <row r="1642" spans="20:21" x14ac:dyDescent="0.25">
      <c r="T1642" s="98"/>
      <c r="U1642" s="99"/>
    </row>
    <row r="1643" spans="20:21" x14ac:dyDescent="0.25">
      <c r="T1643" s="98"/>
      <c r="U1643" s="99"/>
    </row>
    <row r="1644" spans="20:21" x14ac:dyDescent="0.25">
      <c r="T1644" s="98"/>
      <c r="U1644" s="99"/>
    </row>
    <row r="1645" spans="20:21" x14ac:dyDescent="0.25">
      <c r="T1645" s="98"/>
      <c r="U1645" s="99"/>
    </row>
    <row r="1646" spans="20:21" x14ac:dyDescent="0.25">
      <c r="T1646" s="98"/>
      <c r="U1646" s="99"/>
    </row>
    <row r="1647" spans="20:21" x14ac:dyDescent="0.25">
      <c r="T1647" s="98"/>
      <c r="U1647" s="99"/>
    </row>
    <row r="1648" spans="20:21" x14ac:dyDescent="0.25">
      <c r="T1648" s="98"/>
      <c r="U1648" s="99"/>
    </row>
    <row r="1649" spans="20:21" x14ac:dyDescent="0.25">
      <c r="T1649" s="98"/>
      <c r="U1649" s="99"/>
    </row>
    <row r="1650" spans="20:21" x14ac:dyDescent="0.25">
      <c r="T1650" s="98"/>
      <c r="U1650" s="99"/>
    </row>
    <row r="1651" spans="20:21" x14ac:dyDescent="0.25">
      <c r="T1651" s="98"/>
      <c r="U1651" s="99"/>
    </row>
    <row r="1652" spans="20:21" x14ac:dyDescent="0.25">
      <c r="T1652" s="98"/>
      <c r="U1652" s="99"/>
    </row>
    <row r="1653" spans="20:21" x14ac:dyDescent="0.25">
      <c r="T1653" s="98"/>
      <c r="U1653" s="99"/>
    </row>
    <row r="1654" spans="20:21" x14ac:dyDescent="0.25">
      <c r="T1654" s="98"/>
      <c r="U1654" s="99"/>
    </row>
    <row r="1655" spans="20:21" x14ac:dyDescent="0.25">
      <c r="T1655" s="98"/>
      <c r="U1655" s="99"/>
    </row>
    <row r="1656" spans="20:21" x14ac:dyDescent="0.25">
      <c r="T1656" s="98"/>
      <c r="U1656" s="99"/>
    </row>
    <row r="1657" spans="20:21" x14ac:dyDescent="0.25">
      <c r="T1657" s="98"/>
      <c r="U1657" s="99"/>
    </row>
    <row r="1658" spans="20:21" x14ac:dyDescent="0.25">
      <c r="T1658" s="98"/>
      <c r="U1658" s="99"/>
    </row>
    <row r="1659" spans="20:21" x14ac:dyDescent="0.25">
      <c r="T1659" s="98"/>
      <c r="U1659" s="99"/>
    </row>
    <row r="1660" spans="20:21" x14ac:dyDescent="0.25">
      <c r="T1660" s="98"/>
      <c r="U1660" s="99"/>
    </row>
    <row r="1661" spans="20:21" x14ac:dyDescent="0.25">
      <c r="T1661" s="98"/>
      <c r="U1661" s="99"/>
    </row>
    <row r="1662" spans="20:21" x14ac:dyDescent="0.25">
      <c r="T1662" s="98"/>
      <c r="U1662" s="99"/>
    </row>
    <row r="1663" spans="20:21" x14ac:dyDescent="0.25">
      <c r="T1663" s="98"/>
      <c r="U1663" s="99"/>
    </row>
    <row r="1664" spans="20:21" x14ac:dyDescent="0.25">
      <c r="T1664" s="98"/>
      <c r="U1664" s="99"/>
    </row>
    <row r="1665" spans="20:21" x14ac:dyDescent="0.25">
      <c r="T1665" s="98"/>
      <c r="U1665" s="99"/>
    </row>
    <row r="1666" spans="20:21" x14ac:dyDescent="0.25">
      <c r="T1666" s="98"/>
      <c r="U1666" s="99"/>
    </row>
    <row r="1667" spans="20:21" x14ac:dyDescent="0.25">
      <c r="T1667" s="98"/>
      <c r="U1667" s="99"/>
    </row>
    <row r="1668" spans="20:21" x14ac:dyDescent="0.25">
      <c r="T1668" s="98"/>
      <c r="U1668" s="99"/>
    </row>
    <row r="1669" spans="20:21" x14ac:dyDescent="0.25">
      <c r="T1669" s="98"/>
      <c r="U1669" s="99"/>
    </row>
    <row r="1670" spans="20:21" x14ac:dyDescent="0.25">
      <c r="T1670" s="98"/>
      <c r="U1670" s="99"/>
    </row>
    <row r="1671" spans="20:21" x14ac:dyDescent="0.25">
      <c r="T1671" s="98"/>
      <c r="U1671" s="99"/>
    </row>
    <row r="1672" spans="20:21" x14ac:dyDescent="0.25">
      <c r="T1672" s="98"/>
      <c r="U1672" s="99"/>
    </row>
    <row r="1673" spans="20:21" x14ac:dyDescent="0.25">
      <c r="T1673" s="98"/>
      <c r="U1673" s="99"/>
    </row>
    <row r="1674" spans="20:21" x14ac:dyDescent="0.25">
      <c r="T1674" s="98"/>
      <c r="U1674" s="99"/>
    </row>
    <row r="1675" spans="20:21" x14ac:dyDescent="0.25">
      <c r="T1675" s="98"/>
      <c r="U1675" s="99"/>
    </row>
    <row r="1676" spans="20:21" x14ac:dyDescent="0.25">
      <c r="T1676" s="98"/>
      <c r="U1676" s="99"/>
    </row>
    <row r="1677" spans="20:21" x14ac:dyDescent="0.25">
      <c r="T1677" s="98"/>
      <c r="U1677" s="99"/>
    </row>
    <row r="1678" spans="20:21" x14ac:dyDescent="0.25">
      <c r="T1678" s="98"/>
      <c r="U1678" s="99"/>
    </row>
    <row r="1679" spans="20:21" x14ac:dyDescent="0.25">
      <c r="T1679" s="98"/>
      <c r="U1679" s="99"/>
    </row>
    <row r="1680" spans="20:21" x14ac:dyDescent="0.25">
      <c r="T1680" s="98"/>
      <c r="U1680" s="99"/>
    </row>
    <row r="1681" spans="20:21" x14ac:dyDescent="0.25">
      <c r="T1681" s="98"/>
      <c r="U1681" s="99"/>
    </row>
    <row r="1682" spans="20:21" x14ac:dyDescent="0.25">
      <c r="T1682" s="98"/>
      <c r="U1682" s="99"/>
    </row>
    <row r="1683" spans="20:21" x14ac:dyDescent="0.25">
      <c r="T1683" s="98"/>
      <c r="U1683" s="99"/>
    </row>
    <row r="1684" spans="20:21" x14ac:dyDescent="0.25">
      <c r="T1684" s="98"/>
      <c r="U1684" s="99"/>
    </row>
    <row r="1685" spans="20:21" x14ac:dyDescent="0.25">
      <c r="T1685" s="98"/>
      <c r="U1685" s="99"/>
    </row>
    <row r="1686" spans="20:21" x14ac:dyDescent="0.25">
      <c r="T1686" s="98"/>
      <c r="U1686" s="99"/>
    </row>
    <row r="1687" spans="20:21" x14ac:dyDescent="0.25">
      <c r="T1687" s="98"/>
      <c r="U1687" s="99"/>
    </row>
    <row r="1688" spans="20:21" x14ac:dyDescent="0.25">
      <c r="T1688" s="98"/>
      <c r="U1688" s="99"/>
    </row>
    <row r="1689" spans="20:21" x14ac:dyDescent="0.25">
      <c r="T1689" s="98"/>
      <c r="U1689" s="99"/>
    </row>
    <row r="1690" spans="20:21" x14ac:dyDescent="0.25">
      <c r="T1690" s="98"/>
      <c r="U1690" s="99"/>
    </row>
    <row r="1691" spans="20:21" x14ac:dyDescent="0.25">
      <c r="T1691" s="98"/>
      <c r="U1691" s="99"/>
    </row>
    <row r="1692" spans="20:21" x14ac:dyDescent="0.25">
      <c r="T1692" s="98"/>
      <c r="U1692" s="99"/>
    </row>
    <row r="1693" spans="20:21" x14ac:dyDescent="0.25">
      <c r="T1693" s="98"/>
      <c r="U1693" s="99"/>
    </row>
    <row r="1694" spans="20:21" x14ac:dyDescent="0.25">
      <c r="T1694" s="98"/>
      <c r="U1694" s="99"/>
    </row>
    <row r="1695" spans="20:21" x14ac:dyDescent="0.25">
      <c r="T1695" s="98"/>
      <c r="U1695" s="99"/>
    </row>
    <row r="1696" spans="20:21" x14ac:dyDescent="0.25">
      <c r="T1696" s="98"/>
      <c r="U1696" s="99"/>
    </row>
    <row r="1697" spans="20:21" x14ac:dyDescent="0.25">
      <c r="T1697" s="98"/>
      <c r="U1697" s="99"/>
    </row>
    <row r="1698" spans="20:21" x14ac:dyDescent="0.25">
      <c r="T1698" s="98"/>
      <c r="U1698" s="99"/>
    </row>
    <row r="1699" spans="20:21" x14ac:dyDescent="0.25">
      <c r="T1699" s="98"/>
      <c r="U1699" s="99"/>
    </row>
    <row r="1700" spans="20:21" x14ac:dyDescent="0.25">
      <c r="T1700" s="98"/>
      <c r="U1700" s="99"/>
    </row>
    <row r="1701" spans="20:21" x14ac:dyDescent="0.25">
      <c r="T1701" s="98"/>
      <c r="U1701" s="99"/>
    </row>
    <row r="1702" spans="20:21" x14ac:dyDescent="0.25">
      <c r="T1702" s="98"/>
      <c r="U1702" s="99"/>
    </row>
    <row r="1703" spans="20:21" x14ac:dyDescent="0.25">
      <c r="T1703" s="98"/>
      <c r="U1703" s="99"/>
    </row>
    <row r="1704" spans="20:21" x14ac:dyDescent="0.25">
      <c r="T1704" s="98"/>
      <c r="U1704" s="99"/>
    </row>
    <row r="1705" spans="20:21" x14ac:dyDescent="0.25">
      <c r="T1705" s="98"/>
      <c r="U1705" s="99"/>
    </row>
    <row r="1706" spans="20:21" x14ac:dyDescent="0.25">
      <c r="T1706" s="98"/>
      <c r="U1706" s="99"/>
    </row>
    <row r="1707" spans="20:21" x14ac:dyDescent="0.25">
      <c r="T1707" s="98"/>
      <c r="U1707" s="99"/>
    </row>
    <row r="1708" spans="20:21" x14ac:dyDescent="0.25">
      <c r="T1708" s="98"/>
      <c r="U1708" s="99"/>
    </row>
    <row r="1709" spans="20:21" x14ac:dyDescent="0.25">
      <c r="T1709" s="98"/>
      <c r="U1709" s="99"/>
    </row>
    <row r="1710" spans="20:21" x14ac:dyDescent="0.25">
      <c r="T1710" s="98"/>
      <c r="U1710" s="99"/>
    </row>
    <row r="1711" spans="20:21" x14ac:dyDescent="0.25">
      <c r="T1711" s="98"/>
      <c r="U1711" s="99"/>
    </row>
    <row r="1712" spans="20:21" x14ac:dyDescent="0.25">
      <c r="T1712" s="98"/>
      <c r="U1712" s="99"/>
    </row>
    <row r="1713" spans="20:21" x14ac:dyDescent="0.25">
      <c r="T1713" s="98"/>
      <c r="U1713" s="99"/>
    </row>
    <row r="1714" spans="20:21" x14ac:dyDescent="0.25">
      <c r="T1714" s="98"/>
      <c r="U1714" s="99"/>
    </row>
    <row r="1715" spans="20:21" x14ac:dyDescent="0.25">
      <c r="T1715" s="98"/>
      <c r="U1715" s="99"/>
    </row>
    <row r="1716" spans="20:21" x14ac:dyDescent="0.25">
      <c r="T1716" s="98"/>
      <c r="U1716" s="99"/>
    </row>
    <row r="1717" spans="20:21" x14ac:dyDescent="0.25">
      <c r="T1717" s="98"/>
      <c r="U1717" s="99"/>
    </row>
    <row r="1718" spans="20:21" x14ac:dyDescent="0.25">
      <c r="T1718" s="98"/>
      <c r="U1718" s="99"/>
    </row>
    <row r="1719" spans="20:21" x14ac:dyDescent="0.25">
      <c r="T1719" s="98"/>
      <c r="U1719" s="99"/>
    </row>
    <row r="1720" spans="20:21" x14ac:dyDescent="0.25">
      <c r="T1720" s="98"/>
      <c r="U1720" s="99"/>
    </row>
    <row r="1721" spans="20:21" x14ac:dyDescent="0.25">
      <c r="T1721" s="98"/>
      <c r="U1721" s="99"/>
    </row>
    <row r="1722" spans="20:21" x14ac:dyDescent="0.25">
      <c r="T1722" s="98"/>
      <c r="U1722" s="99"/>
    </row>
    <row r="1723" spans="20:21" x14ac:dyDescent="0.25">
      <c r="T1723" s="98"/>
      <c r="U1723" s="99"/>
    </row>
    <row r="1724" spans="20:21" x14ac:dyDescent="0.25">
      <c r="T1724" s="98"/>
      <c r="U1724" s="99"/>
    </row>
    <row r="1725" spans="20:21" x14ac:dyDescent="0.25">
      <c r="T1725" s="98"/>
      <c r="U1725" s="99"/>
    </row>
    <row r="1726" spans="20:21" x14ac:dyDescent="0.25">
      <c r="T1726" s="98"/>
      <c r="U1726" s="99"/>
    </row>
    <row r="1727" spans="20:21" x14ac:dyDescent="0.25">
      <c r="T1727" s="98"/>
      <c r="U1727" s="99"/>
    </row>
    <row r="1728" spans="20:21" x14ac:dyDescent="0.25">
      <c r="T1728" s="98"/>
      <c r="U1728" s="99"/>
    </row>
    <row r="1729" spans="20:21" x14ac:dyDescent="0.25">
      <c r="T1729" s="98"/>
      <c r="U1729" s="99"/>
    </row>
    <row r="1730" spans="20:21" x14ac:dyDescent="0.25">
      <c r="T1730" s="98"/>
      <c r="U1730" s="99"/>
    </row>
    <row r="1731" spans="20:21" x14ac:dyDescent="0.25">
      <c r="T1731" s="98"/>
      <c r="U1731" s="99"/>
    </row>
    <row r="1732" spans="20:21" x14ac:dyDescent="0.25">
      <c r="T1732" s="98"/>
      <c r="U1732" s="99"/>
    </row>
    <row r="1733" spans="20:21" x14ac:dyDescent="0.25">
      <c r="T1733" s="98"/>
      <c r="U1733" s="99"/>
    </row>
    <row r="1734" spans="20:21" x14ac:dyDescent="0.25">
      <c r="T1734" s="98"/>
      <c r="U1734" s="99"/>
    </row>
    <row r="1735" spans="20:21" x14ac:dyDescent="0.25">
      <c r="T1735" s="98"/>
      <c r="U1735" s="99"/>
    </row>
    <row r="1736" spans="20:21" x14ac:dyDescent="0.25">
      <c r="T1736" s="98"/>
      <c r="U1736" s="99"/>
    </row>
    <row r="1737" spans="20:21" x14ac:dyDescent="0.25">
      <c r="T1737" s="98"/>
      <c r="U1737" s="99"/>
    </row>
    <row r="1738" spans="20:21" x14ac:dyDescent="0.25">
      <c r="T1738" s="98"/>
      <c r="U1738" s="99"/>
    </row>
    <row r="1739" spans="20:21" x14ac:dyDescent="0.25">
      <c r="T1739" s="98"/>
      <c r="U1739" s="99"/>
    </row>
    <row r="1740" spans="20:21" x14ac:dyDescent="0.25">
      <c r="T1740" s="98"/>
      <c r="U1740" s="99"/>
    </row>
    <row r="1741" spans="20:21" x14ac:dyDescent="0.25">
      <c r="T1741" s="98"/>
      <c r="U1741" s="99"/>
    </row>
    <row r="1742" spans="20:21" x14ac:dyDescent="0.25">
      <c r="T1742" s="98"/>
      <c r="U1742" s="99"/>
    </row>
    <row r="1743" spans="20:21" x14ac:dyDescent="0.25">
      <c r="T1743" s="98"/>
      <c r="U1743" s="99"/>
    </row>
    <row r="1744" spans="20:21" x14ac:dyDescent="0.25">
      <c r="T1744" s="98"/>
      <c r="U1744" s="99"/>
    </row>
    <row r="1745" spans="20:21" x14ac:dyDescent="0.25">
      <c r="T1745" s="98"/>
      <c r="U1745" s="99"/>
    </row>
    <row r="1746" spans="20:21" x14ac:dyDescent="0.25">
      <c r="T1746" s="98"/>
      <c r="U1746" s="99"/>
    </row>
    <row r="1747" spans="20:21" x14ac:dyDescent="0.25">
      <c r="T1747" s="98"/>
      <c r="U1747" s="99"/>
    </row>
    <row r="1748" spans="20:21" x14ac:dyDescent="0.25">
      <c r="T1748" s="98"/>
      <c r="U1748" s="99"/>
    </row>
    <row r="1749" spans="20:21" x14ac:dyDescent="0.25">
      <c r="T1749" s="98"/>
      <c r="U1749" s="99"/>
    </row>
    <row r="1750" spans="20:21" x14ac:dyDescent="0.25">
      <c r="T1750" s="98"/>
      <c r="U1750" s="99"/>
    </row>
    <row r="1751" spans="20:21" x14ac:dyDescent="0.25">
      <c r="T1751" s="98"/>
      <c r="U1751" s="99"/>
    </row>
    <row r="1752" spans="20:21" x14ac:dyDescent="0.25">
      <c r="T1752" s="98"/>
      <c r="U1752" s="99"/>
    </row>
    <row r="1753" spans="20:21" x14ac:dyDescent="0.25">
      <c r="T1753" s="98"/>
      <c r="U1753" s="99"/>
    </row>
    <row r="1754" spans="20:21" x14ac:dyDescent="0.25">
      <c r="T1754" s="98"/>
      <c r="U1754" s="99"/>
    </row>
    <row r="1755" spans="20:21" x14ac:dyDescent="0.25">
      <c r="T1755" s="98"/>
      <c r="U1755" s="99"/>
    </row>
    <row r="1756" spans="20:21" x14ac:dyDescent="0.25">
      <c r="T1756" s="98"/>
      <c r="U1756" s="99"/>
    </row>
    <row r="1757" spans="20:21" x14ac:dyDescent="0.25">
      <c r="T1757" s="98"/>
      <c r="U1757" s="99"/>
    </row>
    <row r="1758" spans="20:21" x14ac:dyDescent="0.25">
      <c r="T1758" s="98"/>
      <c r="U1758" s="99"/>
    </row>
    <row r="1759" spans="20:21" x14ac:dyDescent="0.25">
      <c r="T1759" s="98"/>
      <c r="U1759" s="99"/>
    </row>
    <row r="1760" spans="20:21" x14ac:dyDescent="0.25">
      <c r="T1760" s="98"/>
      <c r="U1760" s="99"/>
    </row>
    <row r="1761" spans="20:21" x14ac:dyDescent="0.25">
      <c r="T1761" s="98"/>
      <c r="U1761" s="99"/>
    </row>
    <row r="1762" spans="20:21" x14ac:dyDescent="0.25">
      <c r="T1762" s="98"/>
      <c r="U1762" s="99"/>
    </row>
    <row r="1763" spans="20:21" x14ac:dyDescent="0.25">
      <c r="T1763" s="98"/>
      <c r="U1763" s="99"/>
    </row>
    <row r="1764" spans="20:21" x14ac:dyDescent="0.25">
      <c r="T1764" s="98"/>
      <c r="U1764" s="99"/>
    </row>
    <row r="1765" spans="20:21" x14ac:dyDescent="0.25">
      <c r="T1765" s="98"/>
      <c r="U1765" s="99"/>
    </row>
    <row r="1766" spans="20:21" x14ac:dyDescent="0.25">
      <c r="T1766" s="98"/>
      <c r="U1766" s="99"/>
    </row>
    <row r="1767" spans="20:21" x14ac:dyDescent="0.25">
      <c r="T1767" s="98"/>
      <c r="U1767" s="99"/>
    </row>
    <row r="1768" spans="20:21" x14ac:dyDescent="0.25">
      <c r="T1768" s="98"/>
      <c r="U1768" s="99"/>
    </row>
    <row r="1769" spans="20:21" x14ac:dyDescent="0.25">
      <c r="T1769" s="98"/>
      <c r="U1769" s="99"/>
    </row>
    <row r="1770" spans="20:21" x14ac:dyDescent="0.25">
      <c r="T1770" s="98"/>
      <c r="U1770" s="99"/>
    </row>
    <row r="1771" spans="20:21" x14ac:dyDescent="0.25">
      <c r="T1771" s="98"/>
      <c r="U1771" s="99"/>
    </row>
    <row r="1772" spans="20:21" x14ac:dyDescent="0.25">
      <c r="T1772" s="98"/>
      <c r="U1772" s="99"/>
    </row>
    <row r="1773" spans="20:21" x14ac:dyDescent="0.25">
      <c r="T1773" s="98"/>
      <c r="U1773" s="99"/>
    </row>
    <row r="1774" spans="20:21" x14ac:dyDescent="0.25">
      <c r="T1774" s="98"/>
      <c r="U1774" s="99"/>
    </row>
    <row r="1775" spans="20:21" x14ac:dyDescent="0.25">
      <c r="T1775" s="98"/>
      <c r="U1775" s="99"/>
    </row>
    <row r="1776" spans="20:21" x14ac:dyDescent="0.25">
      <c r="T1776" s="98"/>
      <c r="U1776" s="99"/>
    </row>
    <row r="1777" spans="20:21" x14ac:dyDescent="0.25">
      <c r="T1777" s="98"/>
      <c r="U1777" s="99"/>
    </row>
    <row r="1778" spans="20:21" x14ac:dyDescent="0.25">
      <c r="T1778" s="98"/>
      <c r="U1778" s="99"/>
    </row>
    <row r="1779" spans="20:21" x14ac:dyDescent="0.25">
      <c r="T1779" s="98"/>
      <c r="U1779" s="99"/>
    </row>
    <row r="1780" spans="20:21" x14ac:dyDescent="0.25">
      <c r="T1780" s="98"/>
      <c r="U1780" s="99"/>
    </row>
    <row r="1781" spans="20:21" x14ac:dyDescent="0.25">
      <c r="T1781" s="98"/>
      <c r="U1781" s="99"/>
    </row>
    <row r="1782" spans="20:21" x14ac:dyDescent="0.25">
      <c r="T1782" s="98"/>
      <c r="U1782" s="99"/>
    </row>
    <row r="1783" spans="20:21" x14ac:dyDescent="0.25">
      <c r="T1783" s="98"/>
      <c r="U1783" s="99"/>
    </row>
    <row r="1784" spans="20:21" x14ac:dyDescent="0.25">
      <c r="T1784" s="98"/>
      <c r="U1784" s="99"/>
    </row>
    <row r="1785" spans="20:21" x14ac:dyDescent="0.25">
      <c r="T1785" s="98"/>
      <c r="U1785" s="99"/>
    </row>
    <row r="1786" spans="20:21" x14ac:dyDescent="0.25">
      <c r="T1786" s="98"/>
      <c r="U1786" s="99"/>
    </row>
    <row r="1787" spans="20:21" x14ac:dyDescent="0.25">
      <c r="T1787" s="98"/>
      <c r="U1787" s="99"/>
    </row>
    <row r="1788" spans="20:21" x14ac:dyDescent="0.25">
      <c r="T1788" s="98"/>
      <c r="U1788" s="99"/>
    </row>
    <row r="1789" spans="20:21" x14ac:dyDescent="0.25">
      <c r="T1789" s="98"/>
      <c r="U1789" s="99"/>
    </row>
    <row r="1790" spans="20:21" x14ac:dyDescent="0.25">
      <c r="T1790" s="98"/>
      <c r="U1790" s="99"/>
    </row>
    <row r="1791" spans="20:21" x14ac:dyDescent="0.25">
      <c r="T1791" s="98"/>
      <c r="U1791" s="99"/>
    </row>
    <row r="1792" spans="20:21" x14ac:dyDescent="0.25">
      <c r="T1792" s="98"/>
      <c r="U1792" s="99"/>
    </row>
    <row r="1793" spans="20:21" x14ac:dyDescent="0.25">
      <c r="T1793" s="98"/>
      <c r="U1793" s="99"/>
    </row>
    <row r="1794" spans="20:21" x14ac:dyDescent="0.25">
      <c r="T1794" s="98"/>
      <c r="U1794" s="99"/>
    </row>
    <row r="1795" spans="20:21" x14ac:dyDescent="0.25">
      <c r="T1795" s="98"/>
      <c r="U1795" s="99"/>
    </row>
    <row r="1796" spans="20:21" x14ac:dyDescent="0.25">
      <c r="T1796" s="98"/>
      <c r="U1796" s="99"/>
    </row>
    <row r="1797" spans="20:21" x14ac:dyDescent="0.25">
      <c r="T1797" s="98"/>
      <c r="U1797" s="99"/>
    </row>
    <row r="1798" spans="20:21" x14ac:dyDescent="0.25">
      <c r="T1798" s="98"/>
      <c r="U1798" s="99"/>
    </row>
    <row r="1799" spans="20:21" x14ac:dyDescent="0.25">
      <c r="T1799" s="98"/>
      <c r="U1799" s="99"/>
    </row>
    <row r="1800" spans="20:21" x14ac:dyDescent="0.25">
      <c r="T1800" s="98"/>
      <c r="U1800" s="99"/>
    </row>
    <row r="1801" spans="20:21" x14ac:dyDescent="0.25">
      <c r="T1801" s="98"/>
      <c r="U1801" s="99"/>
    </row>
    <row r="1802" spans="20:21" x14ac:dyDescent="0.25">
      <c r="T1802" s="98"/>
      <c r="U1802" s="99"/>
    </row>
    <row r="1803" spans="20:21" x14ac:dyDescent="0.25">
      <c r="T1803" s="98"/>
      <c r="U1803" s="99"/>
    </row>
    <row r="1804" spans="20:21" x14ac:dyDescent="0.25">
      <c r="T1804" s="98"/>
      <c r="U1804" s="99"/>
    </row>
    <row r="1805" spans="20:21" x14ac:dyDescent="0.25">
      <c r="T1805" s="98"/>
      <c r="U1805" s="99"/>
    </row>
    <row r="1806" spans="20:21" x14ac:dyDescent="0.25">
      <c r="T1806" s="98"/>
      <c r="U1806" s="99"/>
    </row>
    <row r="1807" spans="20:21" x14ac:dyDescent="0.25">
      <c r="T1807" s="98"/>
      <c r="U1807" s="99"/>
    </row>
    <row r="1808" spans="20:21" x14ac:dyDescent="0.25">
      <c r="T1808" s="98"/>
      <c r="U1808" s="99"/>
    </row>
    <row r="1809" spans="20:21" x14ac:dyDescent="0.25">
      <c r="T1809" s="98"/>
      <c r="U1809" s="99"/>
    </row>
    <row r="1810" spans="20:21" x14ac:dyDescent="0.25">
      <c r="T1810" s="98"/>
      <c r="U1810" s="99"/>
    </row>
    <row r="1811" spans="20:21" x14ac:dyDescent="0.25">
      <c r="T1811" s="98"/>
      <c r="U1811" s="99"/>
    </row>
    <row r="1812" spans="20:21" x14ac:dyDescent="0.25">
      <c r="T1812" s="98"/>
      <c r="U1812" s="99"/>
    </row>
    <row r="1813" spans="20:21" x14ac:dyDescent="0.25">
      <c r="T1813" s="98"/>
      <c r="U1813" s="99"/>
    </row>
    <row r="1814" spans="20:21" x14ac:dyDescent="0.25">
      <c r="T1814" s="98"/>
      <c r="U1814" s="99"/>
    </row>
    <row r="1815" spans="20:21" x14ac:dyDescent="0.25">
      <c r="T1815" s="98"/>
      <c r="U1815" s="99"/>
    </row>
    <row r="1816" spans="20:21" x14ac:dyDescent="0.25">
      <c r="T1816" s="98"/>
      <c r="U1816" s="99"/>
    </row>
    <row r="1817" spans="20:21" x14ac:dyDescent="0.25">
      <c r="T1817" s="98"/>
      <c r="U1817" s="99"/>
    </row>
    <row r="1818" spans="20:21" x14ac:dyDescent="0.25">
      <c r="T1818" s="98"/>
      <c r="U1818" s="99"/>
    </row>
    <row r="1819" spans="20:21" x14ac:dyDescent="0.25">
      <c r="T1819" s="98"/>
      <c r="U1819" s="99"/>
    </row>
    <row r="1820" spans="20:21" x14ac:dyDescent="0.25">
      <c r="T1820" s="98"/>
      <c r="U1820" s="99"/>
    </row>
    <row r="1821" spans="20:21" x14ac:dyDescent="0.25">
      <c r="T1821" s="98"/>
      <c r="U1821" s="99"/>
    </row>
    <row r="1822" spans="20:21" x14ac:dyDescent="0.25">
      <c r="T1822" s="98"/>
      <c r="U1822" s="99"/>
    </row>
    <row r="1823" spans="20:21" x14ac:dyDescent="0.25">
      <c r="T1823" s="98"/>
      <c r="U1823" s="99"/>
    </row>
    <row r="1824" spans="20:21" x14ac:dyDescent="0.25">
      <c r="T1824" s="98"/>
      <c r="U1824" s="99"/>
    </row>
    <row r="1825" spans="20:21" x14ac:dyDescent="0.25">
      <c r="T1825" s="98"/>
      <c r="U1825" s="99"/>
    </row>
    <row r="1826" spans="20:21" x14ac:dyDescent="0.25">
      <c r="T1826" s="98"/>
      <c r="U1826" s="99"/>
    </row>
    <row r="1827" spans="20:21" x14ac:dyDescent="0.25">
      <c r="T1827" s="98"/>
      <c r="U1827" s="99"/>
    </row>
    <row r="1828" spans="20:21" x14ac:dyDescent="0.25">
      <c r="T1828" s="98"/>
      <c r="U1828" s="99"/>
    </row>
    <row r="1829" spans="20:21" x14ac:dyDescent="0.25">
      <c r="T1829" s="98"/>
      <c r="U1829" s="99"/>
    </row>
    <row r="1830" spans="20:21" x14ac:dyDescent="0.25">
      <c r="T1830" s="98"/>
      <c r="U1830" s="99"/>
    </row>
    <row r="1831" spans="20:21" x14ac:dyDescent="0.25">
      <c r="T1831" s="98"/>
      <c r="U1831" s="99"/>
    </row>
    <row r="1832" spans="20:21" x14ac:dyDescent="0.25">
      <c r="T1832" s="98"/>
      <c r="U1832" s="99"/>
    </row>
    <row r="1833" spans="20:21" x14ac:dyDescent="0.25">
      <c r="T1833" s="98"/>
      <c r="U1833" s="99"/>
    </row>
    <row r="1834" spans="20:21" x14ac:dyDescent="0.25">
      <c r="T1834" s="98"/>
      <c r="U1834" s="99"/>
    </row>
    <row r="1835" spans="20:21" x14ac:dyDescent="0.25">
      <c r="T1835" s="98"/>
      <c r="U1835" s="99"/>
    </row>
    <row r="1836" spans="20:21" x14ac:dyDescent="0.25">
      <c r="T1836" s="98"/>
      <c r="U1836" s="99"/>
    </row>
    <row r="1837" spans="20:21" x14ac:dyDescent="0.25">
      <c r="T1837" s="98"/>
      <c r="U1837" s="99"/>
    </row>
    <row r="1838" spans="20:21" x14ac:dyDescent="0.25">
      <c r="T1838" s="98"/>
      <c r="U1838" s="99"/>
    </row>
    <row r="1839" spans="20:21" x14ac:dyDescent="0.25">
      <c r="T1839" s="98"/>
      <c r="U1839" s="99"/>
    </row>
    <row r="1840" spans="20:21" x14ac:dyDescent="0.25">
      <c r="T1840" s="98"/>
      <c r="U1840" s="99"/>
    </row>
    <row r="1841" spans="20:21" x14ac:dyDescent="0.25">
      <c r="T1841" s="98"/>
      <c r="U1841" s="99"/>
    </row>
    <row r="1842" spans="20:21" x14ac:dyDescent="0.25">
      <c r="T1842" s="98"/>
      <c r="U1842" s="99"/>
    </row>
    <row r="1843" spans="20:21" x14ac:dyDescent="0.25">
      <c r="T1843" s="98"/>
      <c r="U1843" s="99"/>
    </row>
    <row r="1844" spans="20:21" x14ac:dyDescent="0.25">
      <c r="T1844" s="98"/>
      <c r="U1844" s="99"/>
    </row>
    <row r="1845" spans="20:21" x14ac:dyDescent="0.25">
      <c r="T1845" s="98"/>
      <c r="U1845" s="99"/>
    </row>
    <row r="1846" spans="20:21" x14ac:dyDescent="0.25">
      <c r="T1846" s="98"/>
      <c r="U1846" s="99"/>
    </row>
    <row r="1847" spans="20:21" x14ac:dyDescent="0.25">
      <c r="T1847" s="98"/>
      <c r="U1847" s="99"/>
    </row>
    <row r="1848" spans="20:21" x14ac:dyDescent="0.25">
      <c r="T1848" s="98"/>
      <c r="U1848" s="99"/>
    </row>
    <row r="1849" spans="20:21" x14ac:dyDescent="0.25">
      <c r="T1849" s="98"/>
      <c r="U1849" s="99"/>
    </row>
    <row r="1850" spans="20:21" x14ac:dyDescent="0.25">
      <c r="T1850" s="98"/>
      <c r="U1850" s="99"/>
    </row>
    <row r="1851" spans="20:21" x14ac:dyDescent="0.25">
      <c r="T1851" s="98"/>
      <c r="U1851" s="99"/>
    </row>
    <row r="1852" spans="20:21" x14ac:dyDescent="0.25">
      <c r="T1852" s="98"/>
      <c r="U1852" s="99"/>
    </row>
    <row r="1853" spans="20:21" x14ac:dyDescent="0.25">
      <c r="T1853" s="98"/>
      <c r="U1853" s="99"/>
    </row>
    <row r="1854" spans="20:21" x14ac:dyDescent="0.25">
      <c r="T1854" s="98"/>
      <c r="U1854" s="99"/>
    </row>
    <row r="1855" spans="20:21" x14ac:dyDescent="0.25">
      <c r="T1855" s="98"/>
      <c r="U1855" s="99"/>
    </row>
    <row r="1856" spans="20:21" x14ac:dyDescent="0.25">
      <c r="T1856" s="98"/>
      <c r="U1856" s="99"/>
    </row>
    <row r="1857" spans="20:21" x14ac:dyDescent="0.25">
      <c r="T1857" s="98"/>
      <c r="U1857" s="99"/>
    </row>
    <row r="1858" spans="20:21" x14ac:dyDescent="0.25">
      <c r="T1858" s="98"/>
      <c r="U1858" s="99"/>
    </row>
    <row r="1859" spans="20:21" x14ac:dyDescent="0.25">
      <c r="T1859" s="98"/>
      <c r="U1859" s="99"/>
    </row>
    <row r="1860" spans="20:21" x14ac:dyDescent="0.25">
      <c r="T1860" s="98"/>
      <c r="U1860" s="99"/>
    </row>
    <row r="1861" spans="20:21" x14ac:dyDescent="0.25">
      <c r="T1861" s="98"/>
      <c r="U1861" s="99"/>
    </row>
    <row r="1862" spans="20:21" x14ac:dyDescent="0.25">
      <c r="T1862" s="98"/>
      <c r="U1862" s="99"/>
    </row>
    <row r="1863" spans="20:21" x14ac:dyDescent="0.25">
      <c r="T1863" s="98"/>
      <c r="U1863" s="99"/>
    </row>
    <row r="1864" spans="20:21" x14ac:dyDescent="0.25">
      <c r="T1864" s="98"/>
      <c r="U1864" s="99"/>
    </row>
    <row r="1865" spans="20:21" x14ac:dyDescent="0.25">
      <c r="T1865" s="98"/>
      <c r="U1865" s="99"/>
    </row>
    <row r="1866" spans="20:21" x14ac:dyDescent="0.25">
      <c r="T1866" s="98"/>
      <c r="U1866" s="99"/>
    </row>
    <row r="1867" spans="20:21" x14ac:dyDescent="0.25">
      <c r="T1867" s="98"/>
      <c r="U1867" s="99"/>
    </row>
    <row r="1868" spans="20:21" x14ac:dyDescent="0.25">
      <c r="T1868" s="98"/>
      <c r="U1868" s="99"/>
    </row>
    <row r="1869" spans="20:21" x14ac:dyDescent="0.25">
      <c r="T1869" s="98"/>
      <c r="U1869" s="99"/>
    </row>
    <row r="1870" spans="20:21" x14ac:dyDescent="0.25">
      <c r="T1870" s="98"/>
      <c r="U1870" s="99"/>
    </row>
    <row r="1871" spans="20:21" x14ac:dyDescent="0.25">
      <c r="T1871" s="98"/>
      <c r="U1871" s="99"/>
    </row>
    <row r="1872" spans="20:21" x14ac:dyDescent="0.25">
      <c r="T1872" s="98"/>
      <c r="U1872" s="99"/>
    </row>
    <row r="1873" spans="20:21" x14ac:dyDescent="0.25">
      <c r="T1873" s="98"/>
      <c r="U1873" s="99"/>
    </row>
    <row r="1874" spans="20:21" x14ac:dyDescent="0.25">
      <c r="T1874" s="98"/>
      <c r="U1874" s="99"/>
    </row>
    <row r="1875" spans="20:21" x14ac:dyDescent="0.25">
      <c r="T1875" s="98"/>
      <c r="U1875" s="99"/>
    </row>
    <row r="1876" spans="20:21" x14ac:dyDescent="0.25">
      <c r="T1876" s="98"/>
      <c r="U1876" s="99"/>
    </row>
    <row r="1877" spans="20:21" x14ac:dyDescent="0.25">
      <c r="T1877" s="98"/>
      <c r="U1877" s="99"/>
    </row>
    <row r="1878" spans="20:21" x14ac:dyDescent="0.25">
      <c r="T1878" s="98"/>
      <c r="U1878" s="99"/>
    </row>
    <row r="1879" spans="20:21" x14ac:dyDescent="0.25">
      <c r="T1879" s="98"/>
      <c r="U1879" s="99"/>
    </row>
    <row r="1880" spans="20:21" x14ac:dyDescent="0.25">
      <c r="T1880" s="98"/>
      <c r="U1880" s="99"/>
    </row>
    <row r="1881" spans="20:21" x14ac:dyDescent="0.25">
      <c r="T1881" s="98"/>
      <c r="U1881" s="99"/>
    </row>
    <row r="1882" spans="20:21" x14ac:dyDescent="0.25">
      <c r="T1882" s="98"/>
      <c r="U1882" s="99"/>
    </row>
    <row r="1883" spans="20:21" x14ac:dyDescent="0.25">
      <c r="T1883" s="98"/>
      <c r="U1883" s="99"/>
    </row>
    <row r="1884" spans="20:21" x14ac:dyDescent="0.25">
      <c r="T1884" s="98"/>
      <c r="U1884" s="99"/>
    </row>
    <row r="1885" spans="20:21" x14ac:dyDescent="0.25">
      <c r="T1885" s="98"/>
      <c r="U1885" s="99"/>
    </row>
    <row r="1886" spans="20:21" x14ac:dyDescent="0.25">
      <c r="T1886" s="98"/>
      <c r="U1886" s="99"/>
    </row>
    <row r="1887" spans="20:21" x14ac:dyDescent="0.25">
      <c r="T1887" s="98"/>
      <c r="U1887" s="99"/>
    </row>
    <row r="1888" spans="20:21" x14ac:dyDescent="0.25">
      <c r="T1888" s="98"/>
      <c r="U1888" s="99"/>
    </row>
    <row r="1889" spans="20:21" x14ac:dyDescent="0.25">
      <c r="T1889" s="98"/>
      <c r="U1889" s="99"/>
    </row>
    <row r="1890" spans="20:21" x14ac:dyDescent="0.25">
      <c r="T1890" s="98"/>
      <c r="U1890" s="99"/>
    </row>
    <row r="1891" spans="20:21" x14ac:dyDescent="0.25">
      <c r="T1891" s="98"/>
      <c r="U1891" s="99"/>
    </row>
    <row r="1892" spans="20:21" x14ac:dyDescent="0.25">
      <c r="T1892" s="98"/>
      <c r="U1892" s="99"/>
    </row>
    <row r="1893" spans="20:21" x14ac:dyDescent="0.25">
      <c r="T1893" s="98"/>
      <c r="U1893" s="99"/>
    </row>
    <row r="1894" spans="20:21" x14ac:dyDescent="0.25">
      <c r="T1894" s="98"/>
      <c r="U1894" s="99"/>
    </row>
    <row r="1895" spans="20:21" x14ac:dyDescent="0.25">
      <c r="T1895" s="98"/>
      <c r="U1895" s="99"/>
    </row>
    <row r="1896" spans="20:21" x14ac:dyDescent="0.25">
      <c r="T1896" s="98"/>
      <c r="U1896" s="99"/>
    </row>
    <row r="1897" spans="20:21" x14ac:dyDescent="0.25">
      <c r="T1897" s="98"/>
      <c r="U1897" s="99"/>
    </row>
    <row r="1898" spans="20:21" x14ac:dyDescent="0.25">
      <c r="T1898" s="98"/>
      <c r="U1898" s="99"/>
    </row>
    <row r="1899" spans="20:21" x14ac:dyDescent="0.25">
      <c r="T1899" s="98"/>
      <c r="U1899" s="99"/>
    </row>
    <row r="1900" spans="20:21" x14ac:dyDescent="0.25">
      <c r="T1900" s="98"/>
      <c r="U1900" s="99"/>
    </row>
    <row r="1901" spans="20:21" x14ac:dyDescent="0.25">
      <c r="T1901" s="98"/>
      <c r="U1901" s="99"/>
    </row>
    <row r="1902" spans="20:21" x14ac:dyDescent="0.25">
      <c r="T1902" s="98"/>
      <c r="U1902" s="99"/>
    </row>
    <row r="1903" spans="20:21" x14ac:dyDescent="0.25">
      <c r="T1903" s="98"/>
      <c r="U1903" s="99"/>
    </row>
    <row r="1904" spans="20:21" x14ac:dyDescent="0.25">
      <c r="T1904" s="98"/>
      <c r="U1904" s="99"/>
    </row>
    <row r="1905" spans="20:21" x14ac:dyDescent="0.25">
      <c r="T1905" s="98"/>
      <c r="U1905" s="99"/>
    </row>
    <row r="1906" spans="20:21" x14ac:dyDescent="0.25">
      <c r="T1906" s="98"/>
      <c r="U1906" s="99"/>
    </row>
    <row r="1907" spans="20:21" x14ac:dyDescent="0.25">
      <c r="T1907" s="98"/>
      <c r="U1907" s="99"/>
    </row>
    <row r="1908" spans="20:21" x14ac:dyDescent="0.25">
      <c r="T1908" s="98"/>
      <c r="U1908" s="99"/>
    </row>
    <row r="1909" spans="20:21" x14ac:dyDescent="0.25">
      <c r="T1909" s="98"/>
      <c r="U1909" s="99"/>
    </row>
    <row r="1910" spans="20:21" x14ac:dyDescent="0.25">
      <c r="T1910" s="98"/>
      <c r="U1910" s="99"/>
    </row>
    <row r="1911" spans="20:21" x14ac:dyDescent="0.25">
      <c r="T1911" s="98"/>
      <c r="U1911" s="99"/>
    </row>
    <row r="1912" spans="20:21" x14ac:dyDescent="0.25">
      <c r="T1912" s="98"/>
      <c r="U1912" s="99"/>
    </row>
    <row r="1913" spans="20:21" x14ac:dyDescent="0.25">
      <c r="T1913" s="98"/>
      <c r="U1913" s="99"/>
    </row>
    <row r="1914" spans="20:21" x14ac:dyDescent="0.25">
      <c r="T1914" s="98"/>
      <c r="U1914" s="99"/>
    </row>
    <row r="1915" spans="20:21" x14ac:dyDescent="0.25">
      <c r="T1915" s="98"/>
      <c r="U1915" s="99"/>
    </row>
    <row r="1916" spans="20:21" x14ac:dyDescent="0.25">
      <c r="T1916" s="98"/>
      <c r="U1916" s="99"/>
    </row>
    <row r="1917" spans="20:21" x14ac:dyDescent="0.25">
      <c r="T1917" s="98"/>
      <c r="U1917" s="99"/>
    </row>
    <row r="1918" spans="20:21" x14ac:dyDescent="0.25">
      <c r="T1918" s="98"/>
      <c r="U1918" s="99"/>
    </row>
    <row r="1919" spans="20:21" x14ac:dyDescent="0.25">
      <c r="T1919" s="98"/>
      <c r="U1919" s="99"/>
    </row>
    <row r="1920" spans="20:21" x14ac:dyDescent="0.25">
      <c r="T1920" s="98"/>
      <c r="U1920" s="99"/>
    </row>
    <row r="1921" spans="20:21" x14ac:dyDescent="0.25">
      <c r="T1921" s="98"/>
      <c r="U1921" s="99"/>
    </row>
    <row r="1922" spans="20:21" x14ac:dyDescent="0.25">
      <c r="T1922" s="98"/>
      <c r="U1922" s="99"/>
    </row>
    <row r="1923" spans="20:21" x14ac:dyDescent="0.25">
      <c r="T1923" s="98"/>
      <c r="U1923" s="99"/>
    </row>
    <row r="1924" spans="20:21" x14ac:dyDescent="0.25">
      <c r="T1924" s="98"/>
      <c r="U1924" s="99"/>
    </row>
    <row r="1925" spans="20:21" x14ac:dyDescent="0.25">
      <c r="T1925" s="98"/>
      <c r="U1925" s="99"/>
    </row>
    <row r="1926" spans="20:21" x14ac:dyDescent="0.25">
      <c r="T1926" s="98"/>
      <c r="U1926" s="99"/>
    </row>
    <row r="1927" spans="20:21" x14ac:dyDescent="0.25">
      <c r="T1927" s="98"/>
      <c r="U1927" s="99"/>
    </row>
    <row r="1928" spans="20:21" x14ac:dyDescent="0.25">
      <c r="T1928" s="98"/>
      <c r="U1928" s="99"/>
    </row>
    <row r="1929" spans="20:21" x14ac:dyDescent="0.25">
      <c r="T1929" s="98"/>
      <c r="U1929" s="99"/>
    </row>
    <row r="1930" spans="20:21" x14ac:dyDescent="0.25">
      <c r="T1930" s="98"/>
      <c r="U1930" s="99"/>
    </row>
    <row r="1931" spans="20:21" x14ac:dyDescent="0.25">
      <c r="T1931" s="98"/>
      <c r="U1931" s="99"/>
    </row>
    <row r="1932" spans="20:21" x14ac:dyDescent="0.25">
      <c r="T1932" s="98"/>
      <c r="U1932" s="99"/>
    </row>
    <row r="1933" spans="20:21" x14ac:dyDescent="0.25">
      <c r="T1933" s="98"/>
      <c r="U1933" s="99"/>
    </row>
    <row r="1934" spans="20:21" x14ac:dyDescent="0.25">
      <c r="T1934" s="98"/>
      <c r="U1934" s="99"/>
    </row>
    <row r="1935" spans="20:21" x14ac:dyDescent="0.25">
      <c r="T1935" s="98"/>
      <c r="U1935" s="99"/>
    </row>
    <row r="1936" spans="20:21" x14ac:dyDescent="0.25">
      <c r="T1936" s="98"/>
      <c r="U1936" s="99"/>
    </row>
    <row r="1937" spans="20:21" x14ac:dyDescent="0.25">
      <c r="T1937" s="98"/>
      <c r="U1937" s="99"/>
    </row>
    <row r="1938" spans="20:21" x14ac:dyDescent="0.25">
      <c r="T1938" s="98"/>
      <c r="U1938" s="99"/>
    </row>
    <row r="1939" spans="20:21" x14ac:dyDescent="0.25">
      <c r="T1939" s="98"/>
      <c r="U1939" s="99"/>
    </row>
    <row r="1940" spans="20:21" x14ac:dyDescent="0.25">
      <c r="T1940" s="98"/>
      <c r="U1940" s="99"/>
    </row>
    <row r="1941" spans="20:21" x14ac:dyDescent="0.25">
      <c r="T1941" s="98"/>
      <c r="U1941" s="99"/>
    </row>
    <row r="1942" spans="20:21" x14ac:dyDescent="0.25">
      <c r="T1942" s="98"/>
      <c r="U1942" s="99"/>
    </row>
    <row r="1943" spans="20:21" x14ac:dyDescent="0.25">
      <c r="T1943" s="98"/>
      <c r="U1943" s="99"/>
    </row>
    <row r="1944" spans="20:21" x14ac:dyDescent="0.25">
      <c r="T1944" s="98"/>
      <c r="U1944" s="99"/>
    </row>
    <row r="1945" spans="20:21" x14ac:dyDescent="0.25">
      <c r="T1945" s="98"/>
      <c r="U1945" s="99"/>
    </row>
    <row r="1946" spans="20:21" x14ac:dyDescent="0.25">
      <c r="T1946" s="98"/>
      <c r="U1946" s="99"/>
    </row>
    <row r="1947" spans="20:21" x14ac:dyDescent="0.25">
      <c r="T1947" s="98"/>
      <c r="U1947" s="99"/>
    </row>
    <row r="1948" spans="20:21" x14ac:dyDescent="0.25">
      <c r="T1948" s="98"/>
      <c r="U1948" s="99"/>
    </row>
    <row r="1949" spans="20:21" x14ac:dyDescent="0.25">
      <c r="T1949" s="98"/>
      <c r="U1949" s="99"/>
    </row>
    <row r="1950" spans="20:21" x14ac:dyDescent="0.25">
      <c r="T1950" s="98"/>
      <c r="U1950" s="99"/>
    </row>
    <row r="1951" spans="20:21" x14ac:dyDescent="0.25">
      <c r="T1951" s="98"/>
      <c r="U1951" s="99"/>
    </row>
    <row r="1952" spans="20:21" x14ac:dyDescent="0.25">
      <c r="T1952" s="98"/>
      <c r="U1952" s="99"/>
    </row>
    <row r="1953" spans="20:21" x14ac:dyDescent="0.25">
      <c r="T1953" s="98"/>
      <c r="U1953" s="99"/>
    </row>
    <row r="1954" spans="20:21" x14ac:dyDescent="0.25">
      <c r="T1954" s="98"/>
      <c r="U1954" s="99"/>
    </row>
    <row r="1955" spans="20:21" x14ac:dyDescent="0.25">
      <c r="T1955" s="98"/>
      <c r="U1955" s="99"/>
    </row>
    <row r="1956" spans="20:21" x14ac:dyDescent="0.25">
      <c r="T1956" s="98"/>
      <c r="U1956" s="99"/>
    </row>
    <row r="1957" spans="20:21" x14ac:dyDescent="0.25">
      <c r="T1957" s="98"/>
      <c r="U1957" s="99"/>
    </row>
    <row r="1958" spans="20:21" x14ac:dyDescent="0.25">
      <c r="T1958" s="98"/>
      <c r="U1958" s="99"/>
    </row>
    <row r="1959" spans="20:21" x14ac:dyDescent="0.25">
      <c r="T1959" s="98"/>
      <c r="U1959" s="99"/>
    </row>
    <row r="1960" spans="20:21" x14ac:dyDescent="0.25">
      <c r="T1960" s="98"/>
      <c r="U1960" s="99"/>
    </row>
    <row r="1961" spans="20:21" x14ac:dyDescent="0.25">
      <c r="T1961" s="98"/>
      <c r="U1961" s="99"/>
    </row>
    <row r="1962" spans="20:21" x14ac:dyDescent="0.25">
      <c r="T1962" s="98"/>
      <c r="U1962" s="99"/>
    </row>
    <row r="1963" spans="20:21" x14ac:dyDescent="0.25">
      <c r="T1963" s="98"/>
      <c r="U1963" s="99"/>
    </row>
    <row r="1964" spans="20:21" x14ac:dyDescent="0.25">
      <c r="T1964" s="98"/>
      <c r="U1964" s="99"/>
    </row>
    <row r="1965" spans="20:21" x14ac:dyDescent="0.25">
      <c r="T1965" s="98"/>
      <c r="U1965" s="99"/>
    </row>
    <row r="1966" spans="20:21" x14ac:dyDescent="0.25">
      <c r="T1966" s="98"/>
      <c r="U1966" s="99"/>
    </row>
    <row r="1967" spans="20:21" x14ac:dyDescent="0.25">
      <c r="T1967" s="98"/>
      <c r="U1967" s="99"/>
    </row>
    <row r="1968" spans="20:21" x14ac:dyDescent="0.25">
      <c r="T1968" s="98"/>
      <c r="U1968" s="99"/>
    </row>
    <row r="1969" spans="20:21" x14ac:dyDescent="0.25">
      <c r="T1969" s="98"/>
      <c r="U1969" s="99"/>
    </row>
    <row r="1970" spans="20:21" x14ac:dyDescent="0.25">
      <c r="T1970" s="98"/>
      <c r="U1970" s="99"/>
    </row>
    <row r="1971" spans="20:21" x14ac:dyDescent="0.25">
      <c r="T1971" s="98"/>
      <c r="U1971" s="99"/>
    </row>
    <row r="1972" spans="20:21" x14ac:dyDescent="0.25">
      <c r="T1972" s="98"/>
      <c r="U1972" s="99"/>
    </row>
    <row r="1973" spans="20:21" x14ac:dyDescent="0.25">
      <c r="T1973" s="98"/>
      <c r="U1973" s="99"/>
    </row>
    <row r="1974" spans="20:21" x14ac:dyDescent="0.25">
      <c r="T1974" s="98"/>
      <c r="U1974" s="99"/>
    </row>
    <row r="1975" spans="20:21" x14ac:dyDescent="0.25">
      <c r="T1975" s="98"/>
      <c r="U1975" s="99"/>
    </row>
    <row r="1976" spans="20:21" x14ac:dyDescent="0.25">
      <c r="T1976" s="98"/>
      <c r="U1976" s="99"/>
    </row>
    <row r="1977" spans="20:21" x14ac:dyDescent="0.25">
      <c r="T1977" s="98"/>
      <c r="U1977" s="99"/>
    </row>
    <row r="1978" spans="20:21" x14ac:dyDescent="0.25">
      <c r="T1978" s="98"/>
      <c r="U1978" s="99"/>
    </row>
    <row r="1979" spans="20:21" x14ac:dyDescent="0.25">
      <c r="T1979" s="98"/>
      <c r="U1979" s="99"/>
    </row>
    <row r="1980" spans="20:21" x14ac:dyDescent="0.25">
      <c r="T1980" s="98"/>
      <c r="U1980" s="99"/>
    </row>
    <row r="1981" spans="20:21" x14ac:dyDescent="0.25">
      <c r="T1981" s="98"/>
      <c r="U1981" s="99"/>
    </row>
    <row r="1982" spans="20:21" x14ac:dyDescent="0.25">
      <c r="T1982" s="98"/>
      <c r="U1982" s="99"/>
    </row>
    <row r="1983" spans="20:21" x14ac:dyDescent="0.25">
      <c r="T1983" s="98"/>
      <c r="U1983" s="99"/>
    </row>
    <row r="1984" spans="20:21" x14ac:dyDescent="0.25">
      <c r="T1984" s="98"/>
      <c r="U1984" s="99"/>
    </row>
    <row r="1985" spans="20:21" x14ac:dyDescent="0.25">
      <c r="T1985" s="98"/>
      <c r="U1985" s="99"/>
    </row>
    <row r="1986" spans="20:21" x14ac:dyDescent="0.25">
      <c r="T1986" s="98"/>
      <c r="U1986" s="99"/>
    </row>
    <row r="1987" spans="20:21" x14ac:dyDescent="0.25">
      <c r="T1987" s="98"/>
      <c r="U1987" s="99"/>
    </row>
    <row r="1988" spans="20:21" x14ac:dyDescent="0.25">
      <c r="T1988" s="98"/>
      <c r="U1988" s="99"/>
    </row>
    <row r="1989" spans="20:21" x14ac:dyDescent="0.25">
      <c r="T1989" s="98"/>
      <c r="U1989" s="99"/>
    </row>
    <row r="1990" spans="20:21" x14ac:dyDescent="0.25">
      <c r="T1990" s="98"/>
      <c r="U1990" s="99"/>
    </row>
    <row r="1991" spans="20:21" x14ac:dyDescent="0.25">
      <c r="T1991" s="98"/>
      <c r="U1991" s="99"/>
    </row>
    <row r="1992" spans="20:21" x14ac:dyDescent="0.25">
      <c r="T1992" s="98"/>
      <c r="U1992" s="99"/>
    </row>
    <row r="1993" spans="20:21" x14ac:dyDescent="0.25">
      <c r="T1993" s="98"/>
      <c r="U1993" s="99"/>
    </row>
    <row r="1994" spans="20:21" x14ac:dyDescent="0.25">
      <c r="T1994" s="98"/>
      <c r="U1994" s="99"/>
    </row>
    <row r="1995" spans="20:21" x14ac:dyDescent="0.25">
      <c r="T1995" s="98"/>
      <c r="U1995" s="99"/>
    </row>
    <row r="1996" spans="20:21" x14ac:dyDescent="0.25">
      <c r="T1996" s="98"/>
      <c r="U1996" s="99"/>
    </row>
    <row r="1997" spans="20:21" x14ac:dyDescent="0.25">
      <c r="T1997" s="98"/>
      <c r="U1997" s="99"/>
    </row>
    <row r="1998" spans="20:21" x14ac:dyDescent="0.25">
      <c r="T1998" s="98"/>
      <c r="U1998" s="99"/>
    </row>
    <row r="1999" spans="20:21" x14ac:dyDescent="0.25">
      <c r="T1999" s="98"/>
      <c r="U1999" s="99"/>
    </row>
    <row r="2000" spans="20:21" x14ac:dyDescent="0.25">
      <c r="T2000" s="98"/>
      <c r="U2000" s="99"/>
    </row>
    <row r="2001" spans="20:21" x14ac:dyDescent="0.25">
      <c r="T2001" s="98"/>
      <c r="U2001" s="99"/>
    </row>
    <row r="2002" spans="20:21" x14ac:dyDescent="0.25">
      <c r="T2002" s="98"/>
      <c r="U2002" s="99"/>
    </row>
    <row r="2003" spans="20:21" x14ac:dyDescent="0.25">
      <c r="T2003" s="98"/>
      <c r="U2003" s="99"/>
    </row>
    <row r="2004" spans="20:21" x14ac:dyDescent="0.25">
      <c r="T2004" s="98"/>
      <c r="U2004" s="99"/>
    </row>
    <row r="2005" spans="20:21" x14ac:dyDescent="0.25">
      <c r="T2005" s="98"/>
      <c r="U2005" s="99"/>
    </row>
    <row r="2006" spans="20:21" x14ac:dyDescent="0.25">
      <c r="T2006" s="98"/>
      <c r="U2006" s="99"/>
    </row>
    <row r="2007" spans="20:21" x14ac:dyDescent="0.25">
      <c r="T2007" s="98"/>
      <c r="U2007" s="99"/>
    </row>
    <row r="2008" spans="20:21" x14ac:dyDescent="0.25">
      <c r="T2008" s="98"/>
      <c r="U2008" s="99"/>
    </row>
    <row r="2009" spans="20:21" x14ac:dyDescent="0.25">
      <c r="T2009" s="98"/>
      <c r="U2009" s="99"/>
    </row>
    <row r="2010" spans="20:21" x14ac:dyDescent="0.25">
      <c r="T2010" s="98"/>
      <c r="U2010" s="99"/>
    </row>
    <row r="2011" spans="20:21" x14ac:dyDescent="0.25">
      <c r="T2011" s="98"/>
      <c r="U2011" s="99"/>
    </row>
    <row r="2012" spans="20:21" x14ac:dyDescent="0.25">
      <c r="T2012" s="98"/>
      <c r="U2012" s="99"/>
    </row>
    <row r="2013" spans="20:21" x14ac:dyDescent="0.25">
      <c r="T2013" s="98"/>
      <c r="U2013" s="99"/>
    </row>
    <row r="2014" spans="20:21" x14ac:dyDescent="0.25">
      <c r="T2014" s="98"/>
      <c r="U2014" s="99"/>
    </row>
    <row r="2015" spans="20:21" x14ac:dyDescent="0.25">
      <c r="T2015" s="98"/>
      <c r="U2015" s="99"/>
    </row>
    <row r="2016" spans="20:21" x14ac:dyDescent="0.25">
      <c r="T2016" s="98"/>
      <c r="U2016" s="99"/>
    </row>
    <row r="2017" spans="20:21" x14ac:dyDescent="0.25">
      <c r="T2017" s="98"/>
      <c r="U2017" s="99"/>
    </row>
    <row r="2018" spans="20:21" x14ac:dyDescent="0.25">
      <c r="T2018" s="98"/>
      <c r="U2018" s="99"/>
    </row>
    <row r="2019" spans="20:21" x14ac:dyDescent="0.25">
      <c r="T2019" s="98"/>
      <c r="U2019" s="99"/>
    </row>
    <row r="2020" spans="20:21" x14ac:dyDescent="0.25">
      <c r="T2020" s="98"/>
      <c r="U2020" s="99"/>
    </row>
    <row r="2021" spans="20:21" x14ac:dyDescent="0.25">
      <c r="T2021" s="98"/>
      <c r="U2021" s="99"/>
    </row>
    <row r="2022" spans="20:21" x14ac:dyDescent="0.25">
      <c r="T2022" s="98"/>
      <c r="U2022" s="99"/>
    </row>
    <row r="2023" spans="20:21" x14ac:dyDescent="0.25">
      <c r="T2023" s="98"/>
      <c r="U2023" s="99"/>
    </row>
    <row r="2024" spans="20:21" x14ac:dyDescent="0.25">
      <c r="T2024" s="98"/>
      <c r="U2024" s="99"/>
    </row>
    <row r="2025" spans="20:21" x14ac:dyDescent="0.25">
      <c r="T2025" s="98"/>
      <c r="U2025" s="99"/>
    </row>
    <row r="2026" spans="20:21" x14ac:dyDescent="0.25">
      <c r="T2026" s="98"/>
      <c r="U2026" s="99"/>
    </row>
    <row r="2027" spans="20:21" x14ac:dyDescent="0.25">
      <c r="T2027" s="98"/>
      <c r="U2027" s="99"/>
    </row>
    <row r="2028" spans="20:21" x14ac:dyDescent="0.25">
      <c r="T2028" s="98"/>
      <c r="U2028" s="99"/>
    </row>
    <row r="2029" spans="20:21" x14ac:dyDescent="0.25">
      <c r="T2029" s="98"/>
      <c r="U2029" s="99"/>
    </row>
    <row r="2030" spans="20:21" x14ac:dyDescent="0.25">
      <c r="T2030" s="98"/>
      <c r="U2030" s="99"/>
    </row>
    <row r="2031" spans="20:21" x14ac:dyDescent="0.25">
      <c r="T2031" s="98"/>
      <c r="U2031" s="99"/>
    </row>
    <row r="2032" spans="20:21" x14ac:dyDescent="0.25">
      <c r="T2032" s="98"/>
      <c r="U2032" s="99"/>
    </row>
    <row r="2033" spans="20:21" x14ac:dyDescent="0.25">
      <c r="T2033" s="98"/>
      <c r="U2033" s="99"/>
    </row>
    <row r="2034" spans="20:21" x14ac:dyDescent="0.25">
      <c r="T2034" s="98"/>
      <c r="U2034" s="99"/>
    </row>
    <row r="2035" spans="20:21" x14ac:dyDescent="0.25">
      <c r="T2035" s="98"/>
      <c r="U2035" s="99"/>
    </row>
    <row r="2036" spans="20:21" x14ac:dyDescent="0.25">
      <c r="T2036" s="98"/>
      <c r="U2036" s="99"/>
    </row>
    <row r="2037" spans="20:21" x14ac:dyDescent="0.25">
      <c r="T2037" s="98"/>
      <c r="U2037" s="99"/>
    </row>
    <row r="2038" spans="20:21" x14ac:dyDescent="0.25">
      <c r="T2038" s="98"/>
      <c r="U2038" s="99"/>
    </row>
    <row r="2039" spans="20:21" x14ac:dyDescent="0.25">
      <c r="T2039" s="98"/>
      <c r="U2039" s="99"/>
    </row>
    <row r="2040" spans="20:21" x14ac:dyDescent="0.25">
      <c r="T2040" s="98"/>
      <c r="U2040" s="99"/>
    </row>
    <row r="2041" spans="20:21" x14ac:dyDescent="0.25">
      <c r="T2041" s="98"/>
      <c r="U2041" s="99"/>
    </row>
    <row r="2042" spans="20:21" x14ac:dyDescent="0.25">
      <c r="T2042" s="98"/>
      <c r="U2042" s="99"/>
    </row>
    <row r="2043" spans="20:21" x14ac:dyDescent="0.25">
      <c r="T2043" s="98"/>
      <c r="U2043" s="99"/>
    </row>
    <row r="2044" spans="20:21" x14ac:dyDescent="0.25">
      <c r="T2044" s="98"/>
      <c r="U2044" s="99"/>
    </row>
    <row r="2045" spans="20:21" x14ac:dyDescent="0.25">
      <c r="T2045" s="98"/>
      <c r="U2045" s="99"/>
    </row>
    <row r="2046" spans="20:21" x14ac:dyDescent="0.25">
      <c r="T2046" s="98"/>
      <c r="U2046" s="99"/>
    </row>
    <row r="2047" spans="20:21" x14ac:dyDescent="0.25">
      <c r="T2047" s="98"/>
      <c r="U2047" s="99"/>
    </row>
    <row r="2048" spans="20:21" x14ac:dyDescent="0.25">
      <c r="T2048" s="98"/>
      <c r="U2048" s="99"/>
    </row>
    <row r="2049" spans="20:21" x14ac:dyDescent="0.25">
      <c r="T2049" s="98"/>
      <c r="U2049" s="99"/>
    </row>
    <row r="2050" spans="20:21" x14ac:dyDescent="0.25">
      <c r="T2050" s="98"/>
      <c r="U2050" s="99"/>
    </row>
    <row r="2051" spans="20:21" x14ac:dyDescent="0.25">
      <c r="T2051" s="98"/>
      <c r="U2051" s="99"/>
    </row>
    <row r="2052" spans="20:21" x14ac:dyDescent="0.25">
      <c r="T2052" s="98"/>
      <c r="U2052" s="99"/>
    </row>
    <row r="2053" spans="20:21" x14ac:dyDescent="0.25">
      <c r="T2053" s="98"/>
      <c r="U2053" s="99"/>
    </row>
    <row r="2054" spans="20:21" x14ac:dyDescent="0.25">
      <c r="T2054" s="98"/>
      <c r="U2054" s="99"/>
    </row>
    <row r="2055" spans="20:21" x14ac:dyDescent="0.25">
      <c r="T2055" s="98"/>
      <c r="U2055" s="99"/>
    </row>
    <row r="2056" spans="20:21" x14ac:dyDescent="0.25">
      <c r="T2056" s="98"/>
      <c r="U2056" s="99"/>
    </row>
    <row r="2057" spans="20:21" x14ac:dyDescent="0.25">
      <c r="T2057" s="98"/>
      <c r="U2057" s="99"/>
    </row>
    <row r="2058" spans="20:21" x14ac:dyDescent="0.25">
      <c r="T2058" s="98"/>
      <c r="U2058" s="99"/>
    </row>
    <row r="2059" spans="20:21" x14ac:dyDescent="0.25">
      <c r="T2059" s="98"/>
      <c r="U2059" s="99"/>
    </row>
    <row r="2060" spans="20:21" x14ac:dyDescent="0.25">
      <c r="T2060" s="98"/>
      <c r="U2060" s="99"/>
    </row>
    <row r="2061" spans="20:21" x14ac:dyDescent="0.25">
      <c r="T2061" s="98"/>
      <c r="U2061" s="99"/>
    </row>
    <row r="2062" spans="20:21" x14ac:dyDescent="0.25">
      <c r="T2062" s="98"/>
      <c r="U2062" s="99"/>
    </row>
    <row r="2063" spans="20:21" x14ac:dyDescent="0.25">
      <c r="T2063" s="98"/>
      <c r="U2063" s="99"/>
    </row>
    <row r="2064" spans="20:21" x14ac:dyDescent="0.25">
      <c r="T2064" s="98"/>
      <c r="U2064" s="99"/>
    </row>
    <row r="2065" spans="20:21" x14ac:dyDescent="0.25">
      <c r="T2065" s="98"/>
      <c r="U2065" s="99"/>
    </row>
    <row r="2066" spans="20:21" x14ac:dyDescent="0.25">
      <c r="T2066" s="98"/>
      <c r="U2066" s="99"/>
    </row>
    <row r="2067" spans="20:21" x14ac:dyDescent="0.25">
      <c r="T2067" s="98"/>
      <c r="U2067" s="99"/>
    </row>
    <row r="2068" spans="20:21" x14ac:dyDescent="0.25">
      <c r="T2068" s="98"/>
      <c r="U2068" s="99"/>
    </row>
    <row r="2069" spans="20:21" x14ac:dyDescent="0.25">
      <c r="T2069" s="98"/>
      <c r="U2069" s="99"/>
    </row>
    <row r="2070" spans="20:21" x14ac:dyDescent="0.25">
      <c r="T2070" s="98"/>
      <c r="U2070" s="99"/>
    </row>
    <row r="2071" spans="20:21" x14ac:dyDescent="0.25">
      <c r="T2071" s="98"/>
      <c r="U2071" s="99"/>
    </row>
    <row r="2072" spans="20:21" x14ac:dyDescent="0.25">
      <c r="T2072" s="98"/>
      <c r="U2072" s="99"/>
    </row>
    <row r="2073" spans="20:21" x14ac:dyDescent="0.25">
      <c r="T2073" s="98"/>
      <c r="U2073" s="99"/>
    </row>
    <row r="2074" spans="20:21" x14ac:dyDescent="0.25">
      <c r="T2074" s="98"/>
      <c r="U2074" s="99"/>
    </row>
    <row r="2075" spans="20:21" x14ac:dyDescent="0.25">
      <c r="T2075" s="98"/>
      <c r="U2075" s="99"/>
    </row>
    <row r="2076" spans="20:21" x14ac:dyDescent="0.25">
      <c r="T2076" s="98"/>
      <c r="U2076" s="99"/>
    </row>
    <row r="2077" spans="20:21" x14ac:dyDescent="0.25">
      <c r="T2077" s="98"/>
      <c r="U2077" s="99"/>
    </row>
    <row r="2078" spans="20:21" x14ac:dyDescent="0.25">
      <c r="T2078" s="98"/>
      <c r="U2078" s="99"/>
    </row>
    <row r="2079" spans="20:21" x14ac:dyDescent="0.25">
      <c r="T2079" s="98"/>
      <c r="U2079" s="99"/>
    </row>
    <row r="2080" spans="20:21" x14ac:dyDescent="0.25">
      <c r="T2080" s="98"/>
      <c r="U2080" s="99"/>
    </row>
    <row r="2081" spans="20:21" x14ac:dyDescent="0.25">
      <c r="T2081" s="98"/>
      <c r="U2081" s="99"/>
    </row>
    <row r="2082" spans="20:21" x14ac:dyDescent="0.25">
      <c r="T2082" s="98"/>
      <c r="U2082" s="99"/>
    </row>
    <row r="2083" spans="20:21" x14ac:dyDescent="0.25">
      <c r="T2083" s="98"/>
      <c r="U2083" s="99"/>
    </row>
    <row r="2084" spans="20:21" x14ac:dyDescent="0.25">
      <c r="T2084" s="98"/>
      <c r="U2084" s="99"/>
    </row>
    <row r="2085" spans="20:21" x14ac:dyDescent="0.25">
      <c r="T2085" s="98"/>
      <c r="U2085" s="99"/>
    </row>
    <row r="2086" spans="20:21" x14ac:dyDescent="0.25">
      <c r="T2086" s="98"/>
      <c r="U2086" s="99"/>
    </row>
    <row r="2087" spans="20:21" x14ac:dyDescent="0.25">
      <c r="T2087" s="98"/>
      <c r="U2087" s="99"/>
    </row>
    <row r="2088" spans="20:21" x14ac:dyDescent="0.25">
      <c r="T2088" s="98"/>
      <c r="U2088" s="99"/>
    </row>
    <row r="2089" spans="20:21" x14ac:dyDescent="0.25">
      <c r="T2089" s="98"/>
      <c r="U2089" s="99"/>
    </row>
    <row r="2090" spans="20:21" x14ac:dyDescent="0.25">
      <c r="T2090" s="98"/>
      <c r="U2090" s="99"/>
    </row>
    <row r="2091" spans="20:21" x14ac:dyDescent="0.25">
      <c r="T2091" s="98"/>
      <c r="U2091" s="99"/>
    </row>
    <row r="2092" spans="20:21" x14ac:dyDescent="0.25">
      <c r="T2092" s="98"/>
      <c r="U2092" s="99"/>
    </row>
    <row r="2093" spans="20:21" x14ac:dyDescent="0.25">
      <c r="T2093" s="98"/>
      <c r="U2093" s="99"/>
    </row>
    <row r="2094" spans="20:21" x14ac:dyDescent="0.25">
      <c r="T2094" s="98"/>
      <c r="U2094" s="99"/>
    </row>
    <row r="2095" spans="20:21" x14ac:dyDescent="0.25">
      <c r="T2095" s="98"/>
      <c r="U2095" s="99"/>
    </row>
    <row r="2096" spans="20:21" x14ac:dyDescent="0.25">
      <c r="T2096" s="98"/>
      <c r="U2096" s="99"/>
    </row>
    <row r="2097" spans="20:21" x14ac:dyDescent="0.25">
      <c r="T2097" s="98"/>
      <c r="U2097" s="99"/>
    </row>
    <row r="2098" spans="20:21" x14ac:dyDescent="0.25">
      <c r="T2098" s="98"/>
      <c r="U2098" s="99"/>
    </row>
    <row r="2099" spans="20:21" x14ac:dyDescent="0.25">
      <c r="T2099" s="98"/>
      <c r="U2099" s="99"/>
    </row>
    <row r="2100" spans="20:21" x14ac:dyDescent="0.25">
      <c r="T2100" s="98"/>
      <c r="U2100" s="99"/>
    </row>
    <row r="2101" spans="20:21" x14ac:dyDescent="0.25">
      <c r="T2101" s="98"/>
      <c r="U2101" s="99"/>
    </row>
    <row r="2102" spans="20:21" x14ac:dyDescent="0.25">
      <c r="T2102" s="98"/>
      <c r="U2102" s="99"/>
    </row>
    <row r="2103" spans="20:21" x14ac:dyDescent="0.25">
      <c r="T2103" s="98"/>
      <c r="U2103" s="99"/>
    </row>
    <row r="2104" spans="20:21" x14ac:dyDescent="0.25">
      <c r="T2104" s="98"/>
      <c r="U2104" s="99"/>
    </row>
    <row r="2105" spans="20:21" x14ac:dyDescent="0.25">
      <c r="T2105" s="98"/>
      <c r="U2105" s="99"/>
    </row>
    <row r="2106" spans="20:21" x14ac:dyDescent="0.25">
      <c r="T2106" s="98"/>
      <c r="U2106" s="99"/>
    </row>
    <row r="2107" spans="20:21" x14ac:dyDescent="0.25">
      <c r="T2107" s="98"/>
      <c r="U2107" s="99"/>
    </row>
    <row r="2108" spans="20:21" x14ac:dyDescent="0.25">
      <c r="T2108" s="98"/>
      <c r="U2108" s="99"/>
    </row>
    <row r="2109" spans="20:21" x14ac:dyDescent="0.25">
      <c r="T2109" s="98"/>
      <c r="U2109" s="99"/>
    </row>
    <row r="2110" spans="20:21" x14ac:dyDescent="0.25">
      <c r="T2110" s="98"/>
      <c r="U2110" s="99"/>
    </row>
    <row r="2111" spans="20:21" x14ac:dyDescent="0.25">
      <c r="T2111" s="98"/>
      <c r="U2111" s="99"/>
    </row>
    <row r="2112" spans="20:21" x14ac:dyDescent="0.25">
      <c r="T2112" s="98"/>
      <c r="U2112" s="99"/>
    </row>
    <row r="2113" spans="20:21" x14ac:dyDescent="0.25">
      <c r="T2113" s="98"/>
      <c r="U2113" s="99"/>
    </row>
    <row r="2114" spans="20:21" x14ac:dyDescent="0.25">
      <c r="T2114" s="98"/>
      <c r="U2114" s="99"/>
    </row>
    <row r="2115" spans="20:21" x14ac:dyDescent="0.25">
      <c r="T2115" s="98"/>
      <c r="U2115" s="99"/>
    </row>
    <row r="2116" spans="20:21" x14ac:dyDescent="0.25">
      <c r="T2116" s="98"/>
      <c r="U2116" s="99"/>
    </row>
    <row r="2117" spans="20:21" x14ac:dyDescent="0.25">
      <c r="T2117" s="98"/>
      <c r="U2117" s="99"/>
    </row>
    <row r="2118" spans="20:21" x14ac:dyDescent="0.25">
      <c r="T2118" s="98"/>
      <c r="U2118" s="99"/>
    </row>
    <row r="2119" spans="20:21" x14ac:dyDescent="0.25">
      <c r="T2119" s="98"/>
      <c r="U2119" s="99"/>
    </row>
    <row r="2120" spans="20:21" x14ac:dyDescent="0.25">
      <c r="T2120" s="98"/>
      <c r="U2120" s="99"/>
    </row>
    <row r="2121" spans="20:21" x14ac:dyDescent="0.25">
      <c r="T2121" s="98"/>
      <c r="U2121" s="99"/>
    </row>
    <row r="2122" spans="20:21" x14ac:dyDescent="0.25">
      <c r="T2122" s="98"/>
      <c r="U2122" s="99"/>
    </row>
    <row r="2123" spans="20:21" x14ac:dyDescent="0.25">
      <c r="T2123" s="98"/>
      <c r="U2123" s="99"/>
    </row>
    <row r="2124" spans="20:21" x14ac:dyDescent="0.25">
      <c r="T2124" s="98"/>
      <c r="U2124" s="99"/>
    </row>
    <row r="2125" spans="20:21" x14ac:dyDescent="0.25">
      <c r="T2125" s="98"/>
      <c r="U2125" s="99"/>
    </row>
    <row r="2126" spans="20:21" x14ac:dyDescent="0.25">
      <c r="T2126" s="98"/>
      <c r="U2126" s="99"/>
    </row>
    <row r="2127" spans="20:21" x14ac:dyDescent="0.25">
      <c r="T2127" s="98"/>
      <c r="U2127" s="99"/>
    </row>
    <row r="2128" spans="20:21" x14ac:dyDescent="0.25">
      <c r="T2128" s="98"/>
      <c r="U2128" s="99"/>
    </row>
    <row r="2129" spans="20:21" x14ac:dyDescent="0.25">
      <c r="T2129" s="98"/>
      <c r="U2129" s="99"/>
    </row>
    <row r="2130" spans="20:21" x14ac:dyDescent="0.25">
      <c r="T2130" s="98"/>
      <c r="U2130" s="99"/>
    </row>
    <row r="2131" spans="20:21" x14ac:dyDescent="0.25">
      <c r="T2131" s="98"/>
      <c r="U2131" s="99"/>
    </row>
    <row r="2132" spans="20:21" x14ac:dyDescent="0.25">
      <c r="T2132" s="98"/>
      <c r="U2132" s="99"/>
    </row>
    <row r="2133" spans="20:21" x14ac:dyDescent="0.25">
      <c r="T2133" s="98"/>
      <c r="U2133" s="99"/>
    </row>
    <row r="2134" spans="20:21" x14ac:dyDescent="0.25">
      <c r="T2134" s="98"/>
      <c r="U2134" s="99"/>
    </row>
    <row r="2135" spans="20:21" x14ac:dyDescent="0.25">
      <c r="T2135" s="98"/>
      <c r="U2135" s="99"/>
    </row>
    <row r="2136" spans="20:21" x14ac:dyDescent="0.25">
      <c r="T2136" s="98"/>
      <c r="U2136" s="99"/>
    </row>
    <row r="2137" spans="20:21" x14ac:dyDescent="0.25">
      <c r="T2137" s="98"/>
      <c r="U2137" s="99"/>
    </row>
    <row r="2138" spans="20:21" x14ac:dyDescent="0.25">
      <c r="T2138" s="98"/>
      <c r="U2138" s="99"/>
    </row>
    <row r="2139" spans="20:21" x14ac:dyDescent="0.25">
      <c r="T2139" s="98"/>
      <c r="U2139" s="99"/>
    </row>
    <row r="2140" spans="20:21" x14ac:dyDescent="0.25">
      <c r="T2140" s="98"/>
      <c r="U2140" s="99"/>
    </row>
    <row r="2141" spans="20:21" x14ac:dyDescent="0.25">
      <c r="T2141" s="98"/>
      <c r="U2141" s="99"/>
    </row>
    <row r="2142" spans="20:21" x14ac:dyDescent="0.25">
      <c r="T2142" s="98"/>
      <c r="U2142" s="99"/>
    </row>
    <row r="2143" spans="20:21" x14ac:dyDescent="0.25">
      <c r="T2143" s="98"/>
      <c r="U2143" s="99"/>
    </row>
    <row r="2144" spans="20:21" x14ac:dyDescent="0.25">
      <c r="T2144" s="98"/>
      <c r="U2144" s="99"/>
    </row>
    <row r="2145" spans="20:21" x14ac:dyDescent="0.25">
      <c r="T2145" s="98"/>
      <c r="U2145" s="99"/>
    </row>
    <row r="2146" spans="20:21" x14ac:dyDescent="0.25">
      <c r="T2146" s="98"/>
      <c r="U2146" s="99"/>
    </row>
    <row r="2147" spans="20:21" x14ac:dyDescent="0.25">
      <c r="T2147" s="98"/>
      <c r="U2147" s="99"/>
    </row>
    <row r="2148" spans="20:21" x14ac:dyDescent="0.25">
      <c r="T2148" s="98"/>
      <c r="U2148" s="99"/>
    </row>
    <row r="2149" spans="20:21" x14ac:dyDescent="0.25">
      <c r="T2149" s="98"/>
      <c r="U2149" s="99"/>
    </row>
    <row r="2150" spans="20:21" x14ac:dyDescent="0.25">
      <c r="T2150" s="98"/>
      <c r="U2150" s="99"/>
    </row>
    <row r="2151" spans="20:21" x14ac:dyDescent="0.25">
      <c r="T2151" s="98"/>
      <c r="U2151" s="99"/>
    </row>
    <row r="2152" spans="20:21" x14ac:dyDescent="0.25">
      <c r="T2152" s="98"/>
      <c r="U2152" s="99"/>
    </row>
    <row r="2153" spans="20:21" x14ac:dyDescent="0.25">
      <c r="T2153" s="98"/>
      <c r="U2153" s="99"/>
    </row>
    <row r="2154" spans="20:21" x14ac:dyDescent="0.25">
      <c r="T2154" s="98"/>
      <c r="U2154" s="99"/>
    </row>
    <row r="2155" spans="20:21" x14ac:dyDescent="0.25">
      <c r="T2155" s="98"/>
      <c r="U2155" s="99"/>
    </row>
    <row r="2156" spans="20:21" x14ac:dyDescent="0.25">
      <c r="T2156" s="98"/>
      <c r="U2156" s="99"/>
    </row>
    <row r="2157" spans="20:21" x14ac:dyDescent="0.25">
      <c r="T2157" s="98"/>
      <c r="U2157" s="99"/>
    </row>
    <row r="2158" spans="20:21" x14ac:dyDescent="0.25">
      <c r="T2158" s="98"/>
      <c r="U2158" s="99"/>
    </row>
    <row r="2159" spans="20:21" x14ac:dyDescent="0.25">
      <c r="T2159" s="98"/>
      <c r="U2159" s="99"/>
    </row>
    <row r="2160" spans="20:21" x14ac:dyDescent="0.25">
      <c r="T2160" s="98"/>
      <c r="U2160" s="99"/>
    </row>
    <row r="2161" spans="20:21" x14ac:dyDescent="0.25">
      <c r="T2161" s="98"/>
      <c r="U2161" s="99"/>
    </row>
    <row r="2162" spans="20:21" x14ac:dyDescent="0.25">
      <c r="T2162" s="98"/>
      <c r="U2162" s="99"/>
    </row>
    <row r="2163" spans="20:21" x14ac:dyDescent="0.25">
      <c r="T2163" s="98"/>
      <c r="U2163" s="99"/>
    </row>
    <row r="2164" spans="20:21" x14ac:dyDescent="0.25">
      <c r="T2164" s="98"/>
      <c r="U2164" s="99"/>
    </row>
    <row r="2165" spans="20:21" x14ac:dyDescent="0.25">
      <c r="T2165" s="98"/>
      <c r="U2165" s="99"/>
    </row>
    <row r="2166" spans="20:21" x14ac:dyDescent="0.25">
      <c r="T2166" s="98"/>
      <c r="U2166" s="99"/>
    </row>
    <row r="2167" spans="20:21" x14ac:dyDescent="0.25">
      <c r="T2167" s="98"/>
      <c r="U2167" s="99"/>
    </row>
    <row r="2168" spans="20:21" x14ac:dyDescent="0.25">
      <c r="T2168" s="98"/>
      <c r="U2168" s="99"/>
    </row>
    <row r="2169" spans="20:21" x14ac:dyDescent="0.25">
      <c r="T2169" s="98"/>
      <c r="U2169" s="99"/>
    </row>
    <row r="2170" spans="20:21" x14ac:dyDescent="0.25">
      <c r="T2170" s="98"/>
      <c r="U2170" s="99"/>
    </row>
    <row r="2171" spans="20:21" x14ac:dyDescent="0.25">
      <c r="T2171" s="98"/>
      <c r="U2171" s="99"/>
    </row>
    <row r="2172" spans="20:21" x14ac:dyDescent="0.25">
      <c r="T2172" s="98"/>
      <c r="U2172" s="99"/>
    </row>
    <row r="2173" spans="20:21" x14ac:dyDescent="0.25">
      <c r="T2173" s="98"/>
      <c r="U2173" s="99"/>
    </row>
    <row r="2174" spans="20:21" x14ac:dyDescent="0.25">
      <c r="T2174" s="98"/>
      <c r="U2174" s="99"/>
    </row>
    <row r="2175" spans="20:21" x14ac:dyDescent="0.25">
      <c r="T2175" s="98"/>
      <c r="U2175" s="99"/>
    </row>
    <row r="2176" spans="20:21" x14ac:dyDescent="0.25">
      <c r="T2176" s="98"/>
      <c r="U2176" s="99"/>
    </row>
    <row r="2177" spans="20:21" x14ac:dyDescent="0.25">
      <c r="T2177" s="98"/>
      <c r="U2177" s="99"/>
    </row>
    <row r="2178" spans="20:21" x14ac:dyDescent="0.25">
      <c r="T2178" s="98"/>
      <c r="U2178" s="99"/>
    </row>
    <row r="2179" spans="20:21" x14ac:dyDescent="0.25">
      <c r="T2179" s="98"/>
      <c r="U2179" s="99"/>
    </row>
    <row r="2180" spans="20:21" x14ac:dyDescent="0.25">
      <c r="T2180" s="98"/>
      <c r="U2180" s="99"/>
    </row>
    <row r="2181" spans="20:21" x14ac:dyDescent="0.25">
      <c r="T2181" s="98"/>
      <c r="U2181" s="99"/>
    </row>
    <row r="2182" spans="20:21" x14ac:dyDescent="0.25">
      <c r="T2182" s="98"/>
      <c r="U2182" s="99"/>
    </row>
    <row r="2183" spans="20:21" x14ac:dyDescent="0.25">
      <c r="T2183" s="98"/>
      <c r="U2183" s="99"/>
    </row>
    <row r="2184" spans="20:21" x14ac:dyDescent="0.25">
      <c r="T2184" s="98"/>
      <c r="U2184" s="99"/>
    </row>
    <row r="2185" spans="20:21" x14ac:dyDescent="0.25">
      <c r="T2185" s="98"/>
      <c r="U2185" s="99"/>
    </row>
    <row r="2186" spans="20:21" x14ac:dyDescent="0.25">
      <c r="T2186" s="98"/>
      <c r="U2186" s="99"/>
    </row>
    <row r="2187" spans="20:21" x14ac:dyDescent="0.25">
      <c r="T2187" s="98"/>
      <c r="U2187" s="99"/>
    </row>
    <row r="2188" spans="20:21" x14ac:dyDescent="0.25">
      <c r="T2188" s="98"/>
      <c r="U2188" s="99"/>
    </row>
    <row r="2189" spans="20:21" x14ac:dyDescent="0.25">
      <c r="T2189" s="98"/>
      <c r="U2189" s="99"/>
    </row>
    <row r="2190" spans="20:21" x14ac:dyDescent="0.25">
      <c r="T2190" s="98"/>
      <c r="U2190" s="99"/>
    </row>
    <row r="2191" spans="20:21" x14ac:dyDescent="0.25">
      <c r="T2191" s="98"/>
      <c r="U2191" s="99"/>
    </row>
    <row r="2192" spans="20:21" x14ac:dyDescent="0.25">
      <c r="T2192" s="98"/>
      <c r="U2192" s="99"/>
    </row>
    <row r="2193" spans="20:21" x14ac:dyDescent="0.25">
      <c r="T2193" s="98"/>
      <c r="U2193" s="99"/>
    </row>
    <row r="2194" spans="20:21" x14ac:dyDescent="0.25">
      <c r="T2194" s="98"/>
      <c r="U2194" s="99"/>
    </row>
    <row r="2195" spans="20:21" x14ac:dyDescent="0.25">
      <c r="T2195" s="98"/>
      <c r="U2195" s="99"/>
    </row>
    <row r="2196" spans="20:21" x14ac:dyDescent="0.25">
      <c r="T2196" s="98"/>
      <c r="U2196" s="99"/>
    </row>
    <row r="2197" spans="20:21" x14ac:dyDescent="0.25">
      <c r="T2197" s="98"/>
      <c r="U2197" s="99"/>
    </row>
    <row r="2198" spans="20:21" x14ac:dyDescent="0.25">
      <c r="T2198" s="98"/>
      <c r="U2198" s="99"/>
    </row>
    <row r="2199" spans="20:21" x14ac:dyDescent="0.25">
      <c r="T2199" s="98"/>
      <c r="U2199" s="99"/>
    </row>
    <row r="2200" spans="20:21" x14ac:dyDescent="0.25">
      <c r="T2200" s="98"/>
      <c r="U2200" s="99"/>
    </row>
    <row r="2201" spans="20:21" x14ac:dyDescent="0.25">
      <c r="T2201" s="98"/>
      <c r="U2201" s="99"/>
    </row>
    <row r="2202" spans="20:21" x14ac:dyDescent="0.25">
      <c r="T2202" s="98"/>
      <c r="U2202" s="99"/>
    </row>
    <row r="2203" spans="20:21" x14ac:dyDescent="0.25">
      <c r="T2203" s="98"/>
      <c r="U2203" s="99"/>
    </row>
    <row r="2204" spans="20:21" x14ac:dyDescent="0.25">
      <c r="T2204" s="98"/>
      <c r="U2204" s="99"/>
    </row>
    <row r="2205" spans="20:21" x14ac:dyDescent="0.25">
      <c r="T2205" s="98"/>
      <c r="U2205" s="99"/>
    </row>
    <row r="2206" spans="20:21" x14ac:dyDescent="0.25">
      <c r="T2206" s="98"/>
      <c r="U2206" s="99"/>
    </row>
    <row r="2207" spans="20:21" x14ac:dyDescent="0.25">
      <c r="T2207" s="98"/>
      <c r="U2207" s="99"/>
    </row>
    <row r="2208" spans="20:21" x14ac:dyDescent="0.25">
      <c r="T2208" s="98"/>
      <c r="U2208" s="99"/>
    </row>
    <row r="2209" spans="20:21" x14ac:dyDescent="0.25">
      <c r="T2209" s="98"/>
      <c r="U2209" s="99"/>
    </row>
    <row r="2210" spans="20:21" x14ac:dyDescent="0.25">
      <c r="T2210" s="98"/>
      <c r="U2210" s="99"/>
    </row>
    <row r="2211" spans="20:21" x14ac:dyDescent="0.25">
      <c r="T2211" s="98"/>
      <c r="U2211" s="99"/>
    </row>
    <row r="2212" spans="20:21" x14ac:dyDescent="0.25">
      <c r="T2212" s="98"/>
      <c r="U2212" s="99"/>
    </row>
    <row r="2213" spans="20:21" x14ac:dyDescent="0.25">
      <c r="T2213" s="98"/>
      <c r="U2213" s="99"/>
    </row>
    <row r="2214" spans="20:21" x14ac:dyDescent="0.25">
      <c r="T2214" s="98"/>
      <c r="U2214" s="99"/>
    </row>
    <row r="2215" spans="20:21" x14ac:dyDescent="0.25">
      <c r="T2215" s="98"/>
      <c r="U2215" s="99"/>
    </row>
    <row r="2216" spans="20:21" x14ac:dyDescent="0.25">
      <c r="T2216" s="98"/>
      <c r="U2216" s="99"/>
    </row>
    <row r="2217" spans="20:21" x14ac:dyDescent="0.25">
      <c r="T2217" s="98"/>
      <c r="U2217" s="99"/>
    </row>
    <row r="2218" spans="20:21" x14ac:dyDescent="0.25">
      <c r="T2218" s="98"/>
      <c r="U2218" s="99"/>
    </row>
    <row r="2219" spans="20:21" x14ac:dyDescent="0.25">
      <c r="T2219" s="98"/>
      <c r="U2219" s="99"/>
    </row>
    <row r="2220" spans="20:21" x14ac:dyDescent="0.25">
      <c r="T2220" s="98"/>
      <c r="U2220" s="99"/>
    </row>
    <row r="2221" spans="20:21" x14ac:dyDescent="0.25">
      <c r="T2221" s="98"/>
      <c r="U2221" s="99"/>
    </row>
    <row r="2222" spans="20:21" x14ac:dyDescent="0.25">
      <c r="T2222" s="98"/>
      <c r="U2222" s="99"/>
    </row>
    <row r="2223" spans="20:21" x14ac:dyDescent="0.25">
      <c r="T2223" s="98"/>
      <c r="U2223" s="99"/>
    </row>
    <row r="2224" spans="20:21" x14ac:dyDescent="0.25">
      <c r="T2224" s="98"/>
      <c r="U2224" s="99"/>
    </row>
    <row r="2225" spans="20:21" x14ac:dyDescent="0.25">
      <c r="T2225" s="98"/>
      <c r="U2225" s="99"/>
    </row>
    <row r="2226" spans="20:21" x14ac:dyDescent="0.25">
      <c r="T2226" s="98"/>
      <c r="U2226" s="99"/>
    </row>
    <row r="2227" spans="20:21" x14ac:dyDescent="0.25">
      <c r="T2227" s="98"/>
      <c r="U2227" s="99"/>
    </row>
    <row r="2228" spans="20:21" x14ac:dyDescent="0.25">
      <c r="T2228" s="98"/>
      <c r="U2228" s="99"/>
    </row>
    <row r="2229" spans="20:21" x14ac:dyDescent="0.25">
      <c r="T2229" s="98"/>
      <c r="U2229" s="99"/>
    </row>
    <row r="2230" spans="20:21" x14ac:dyDescent="0.25">
      <c r="T2230" s="98"/>
      <c r="U2230" s="99"/>
    </row>
    <row r="2231" spans="20:21" x14ac:dyDescent="0.25">
      <c r="T2231" s="98"/>
      <c r="U2231" s="99"/>
    </row>
    <row r="2232" spans="20:21" x14ac:dyDescent="0.25">
      <c r="T2232" s="98"/>
      <c r="U2232" s="99"/>
    </row>
    <row r="2233" spans="20:21" x14ac:dyDescent="0.25">
      <c r="T2233" s="98"/>
      <c r="U2233" s="99"/>
    </row>
    <row r="2234" spans="20:21" x14ac:dyDescent="0.25">
      <c r="T2234" s="98"/>
      <c r="U2234" s="99"/>
    </row>
    <row r="2235" spans="20:21" x14ac:dyDescent="0.25">
      <c r="T2235" s="98"/>
      <c r="U2235" s="99"/>
    </row>
    <row r="2236" spans="20:21" x14ac:dyDescent="0.25">
      <c r="T2236" s="98"/>
      <c r="U2236" s="99"/>
    </row>
    <row r="2237" spans="20:21" x14ac:dyDescent="0.25">
      <c r="T2237" s="98"/>
      <c r="U2237" s="99"/>
    </row>
    <row r="2238" spans="20:21" x14ac:dyDescent="0.25">
      <c r="T2238" s="98"/>
      <c r="U2238" s="99"/>
    </row>
    <row r="2239" spans="20:21" x14ac:dyDescent="0.25">
      <c r="T2239" s="98"/>
      <c r="U2239" s="99"/>
    </row>
    <row r="2240" spans="20:21" x14ac:dyDescent="0.25">
      <c r="T2240" s="98"/>
      <c r="U2240" s="99"/>
    </row>
    <row r="2241" spans="20:21" x14ac:dyDescent="0.25">
      <c r="T2241" s="98"/>
      <c r="U2241" s="99"/>
    </row>
    <row r="2242" spans="20:21" x14ac:dyDescent="0.25">
      <c r="T2242" s="98"/>
      <c r="U2242" s="99"/>
    </row>
    <row r="2243" spans="20:21" x14ac:dyDescent="0.25">
      <c r="T2243" s="98"/>
      <c r="U2243" s="99"/>
    </row>
    <row r="2244" spans="20:21" x14ac:dyDescent="0.25">
      <c r="T2244" s="98"/>
      <c r="U2244" s="99"/>
    </row>
    <row r="2245" spans="20:21" x14ac:dyDescent="0.25">
      <c r="T2245" s="98"/>
      <c r="U2245" s="99"/>
    </row>
    <row r="2246" spans="20:21" x14ac:dyDescent="0.25">
      <c r="T2246" s="98"/>
      <c r="U2246" s="99"/>
    </row>
    <row r="2247" spans="20:21" x14ac:dyDescent="0.25">
      <c r="T2247" s="98"/>
      <c r="U2247" s="99"/>
    </row>
    <row r="2248" spans="20:21" x14ac:dyDescent="0.25">
      <c r="T2248" s="98"/>
      <c r="U2248" s="99"/>
    </row>
    <row r="2249" spans="20:21" x14ac:dyDescent="0.25">
      <c r="T2249" s="98"/>
      <c r="U2249" s="99"/>
    </row>
    <row r="2250" spans="20:21" x14ac:dyDescent="0.25">
      <c r="T2250" s="98"/>
      <c r="U2250" s="99"/>
    </row>
    <row r="2251" spans="20:21" x14ac:dyDescent="0.25">
      <c r="T2251" s="98"/>
      <c r="U2251" s="99"/>
    </row>
    <row r="2252" spans="20:21" x14ac:dyDescent="0.25">
      <c r="T2252" s="98"/>
      <c r="U2252" s="99"/>
    </row>
    <row r="2253" spans="20:21" x14ac:dyDescent="0.25">
      <c r="T2253" s="98"/>
      <c r="U2253" s="99"/>
    </row>
    <row r="2254" spans="20:21" x14ac:dyDescent="0.25">
      <c r="T2254" s="98"/>
      <c r="U2254" s="99"/>
    </row>
    <row r="2255" spans="20:21" x14ac:dyDescent="0.25">
      <c r="T2255" s="98"/>
      <c r="U2255" s="99"/>
    </row>
    <row r="2256" spans="20:21" x14ac:dyDescent="0.25">
      <c r="T2256" s="98"/>
      <c r="U2256" s="99"/>
    </row>
    <row r="2257" spans="20:21" x14ac:dyDescent="0.25">
      <c r="T2257" s="98"/>
      <c r="U2257" s="99"/>
    </row>
    <row r="2258" spans="20:21" x14ac:dyDescent="0.25">
      <c r="T2258" s="98"/>
      <c r="U2258" s="99"/>
    </row>
    <row r="2259" spans="20:21" x14ac:dyDescent="0.25">
      <c r="T2259" s="98"/>
      <c r="U2259" s="99"/>
    </row>
    <row r="2260" spans="20:21" x14ac:dyDescent="0.25">
      <c r="T2260" s="98"/>
      <c r="U2260" s="99"/>
    </row>
    <row r="2261" spans="20:21" x14ac:dyDescent="0.25">
      <c r="T2261" s="98"/>
      <c r="U2261" s="99"/>
    </row>
    <row r="2262" spans="20:21" x14ac:dyDescent="0.25">
      <c r="T2262" s="98"/>
      <c r="U2262" s="99"/>
    </row>
    <row r="2263" spans="20:21" x14ac:dyDescent="0.25">
      <c r="T2263" s="98"/>
      <c r="U2263" s="99"/>
    </row>
    <row r="2264" spans="20:21" x14ac:dyDescent="0.25">
      <c r="T2264" s="98"/>
      <c r="U2264" s="99"/>
    </row>
    <row r="2265" spans="20:21" x14ac:dyDescent="0.25">
      <c r="T2265" s="98"/>
      <c r="U2265" s="99"/>
    </row>
    <row r="2266" spans="20:21" x14ac:dyDescent="0.25">
      <c r="T2266" s="98"/>
      <c r="U2266" s="99"/>
    </row>
    <row r="2267" spans="20:21" x14ac:dyDescent="0.25">
      <c r="T2267" s="98"/>
      <c r="U2267" s="99"/>
    </row>
    <row r="2268" spans="20:21" x14ac:dyDescent="0.25">
      <c r="T2268" s="98"/>
      <c r="U2268" s="99"/>
    </row>
    <row r="2269" spans="20:21" x14ac:dyDescent="0.25">
      <c r="T2269" s="98"/>
      <c r="U2269" s="99"/>
    </row>
    <row r="2270" spans="20:21" x14ac:dyDescent="0.25">
      <c r="T2270" s="98"/>
      <c r="U2270" s="99"/>
    </row>
    <row r="2271" spans="20:21" x14ac:dyDescent="0.25">
      <c r="T2271" s="98"/>
      <c r="U2271" s="99"/>
    </row>
    <row r="2272" spans="20:21" x14ac:dyDescent="0.25">
      <c r="T2272" s="98"/>
      <c r="U2272" s="99"/>
    </row>
    <row r="2273" spans="20:21" x14ac:dyDescent="0.25">
      <c r="T2273" s="98"/>
      <c r="U2273" s="99"/>
    </row>
    <row r="2274" spans="20:21" x14ac:dyDescent="0.25">
      <c r="T2274" s="98"/>
      <c r="U2274" s="99"/>
    </row>
    <row r="2275" spans="20:21" x14ac:dyDescent="0.25">
      <c r="T2275" s="98"/>
      <c r="U2275" s="99"/>
    </row>
    <row r="2276" spans="20:21" x14ac:dyDescent="0.25">
      <c r="T2276" s="98"/>
      <c r="U2276" s="99"/>
    </row>
    <row r="2277" spans="20:21" x14ac:dyDescent="0.25">
      <c r="T2277" s="98"/>
      <c r="U2277" s="99"/>
    </row>
    <row r="2278" spans="20:21" x14ac:dyDescent="0.25">
      <c r="T2278" s="98"/>
      <c r="U2278" s="99"/>
    </row>
    <row r="2279" spans="20:21" x14ac:dyDescent="0.25">
      <c r="T2279" s="98"/>
      <c r="U2279" s="99"/>
    </row>
    <row r="2280" spans="20:21" x14ac:dyDescent="0.25">
      <c r="T2280" s="98"/>
      <c r="U2280" s="99"/>
    </row>
    <row r="2281" spans="20:21" x14ac:dyDescent="0.25">
      <c r="T2281" s="98"/>
      <c r="U2281" s="99"/>
    </row>
    <row r="2282" spans="20:21" x14ac:dyDescent="0.25">
      <c r="T2282" s="98"/>
      <c r="U2282" s="99"/>
    </row>
    <row r="2283" spans="20:21" x14ac:dyDescent="0.25">
      <c r="T2283" s="98"/>
      <c r="U2283" s="99"/>
    </row>
    <row r="2284" spans="20:21" x14ac:dyDescent="0.25">
      <c r="T2284" s="98"/>
      <c r="U2284" s="99"/>
    </row>
    <row r="2285" spans="20:21" x14ac:dyDescent="0.25">
      <c r="T2285" s="98"/>
      <c r="U2285" s="99"/>
    </row>
    <row r="2286" spans="20:21" x14ac:dyDescent="0.25">
      <c r="T2286" s="98"/>
      <c r="U2286" s="99"/>
    </row>
    <row r="2287" spans="20:21" x14ac:dyDescent="0.25">
      <c r="T2287" s="98"/>
      <c r="U2287" s="99"/>
    </row>
    <row r="2288" spans="20:21" x14ac:dyDescent="0.25">
      <c r="T2288" s="98"/>
      <c r="U2288" s="99"/>
    </row>
    <row r="2289" spans="20:21" x14ac:dyDescent="0.25">
      <c r="T2289" s="98"/>
      <c r="U2289" s="99"/>
    </row>
    <row r="2290" spans="20:21" x14ac:dyDescent="0.25">
      <c r="T2290" s="98"/>
      <c r="U2290" s="99"/>
    </row>
    <row r="2291" spans="20:21" x14ac:dyDescent="0.25">
      <c r="T2291" s="98"/>
      <c r="U2291" s="99"/>
    </row>
    <row r="2292" spans="20:21" x14ac:dyDescent="0.25">
      <c r="T2292" s="98"/>
      <c r="U2292" s="99"/>
    </row>
    <row r="2293" spans="20:21" x14ac:dyDescent="0.25">
      <c r="T2293" s="98"/>
      <c r="U2293" s="99"/>
    </row>
    <row r="2294" spans="20:21" x14ac:dyDescent="0.25">
      <c r="T2294" s="98"/>
      <c r="U2294" s="99"/>
    </row>
    <row r="2295" spans="20:21" x14ac:dyDescent="0.25">
      <c r="T2295" s="98"/>
      <c r="U2295" s="99"/>
    </row>
    <row r="2296" spans="20:21" x14ac:dyDescent="0.25">
      <c r="T2296" s="98"/>
      <c r="U2296" s="99"/>
    </row>
    <row r="2297" spans="20:21" x14ac:dyDescent="0.25">
      <c r="T2297" s="98"/>
      <c r="U2297" s="99"/>
    </row>
    <row r="2298" spans="20:21" x14ac:dyDescent="0.25">
      <c r="T2298" s="98"/>
      <c r="U2298" s="99"/>
    </row>
    <row r="2299" spans="20:21" x14ac:dyDescent="0.25">
      <c r="T2299" s="98"/>
      <c r="U2299" s="99"/>
    </row>
    <row r="2300" spans="20:21" x14ac:dyDescent="0.25">
      <c r="T2300" s="98"/>
      <c r="U2300" s="99"/>
    </row>
    <row r="2301" spans="20:21" x14ac:dyDescent="0.25">
      <c r="T2301" s="98"/>
      <c r="U2301" s="99"/>
    </row>
    <row r="2302" spans="20:21" x14ac:dyDescent="0.25">
      <c r="T2302" s="98"/>
      <c r="U2302" s="99"/>
    </row>
    <row r="2303" spans="20:21" x14ac:dyDescent="0.25">
      <c r="T2303" s="98"/>
      <c r="U2303" s="99"/>
    </row>
    <row r="2304" spans="20:21" x14ac:dyDescent="0.25">
      <c r="T2304" s="98"/>
      <c r="U2304" s="99"/>
    </row>
    <row r="2305" spans="20:21" x14ac:dyDescent="0.25">
      <c r="T2305" s="98"/>
      <c r="U2305" s="99"/>
    </row>
    <row r="2306" spans="20:21" x14ac:dyDescent="0.25">
      <c r="T2306" s="98"/>
      <c r="U2306" s="99"/>
    </row>
    <row r="2307" spans="20:21" x14ac:dyDescent="0.25">
      <c r="T2307" s="98"/>
      <c r="U2307" s="99"/>
    </row>
    <row r="2308" spans="20:21" x14ac:dyDescent="0.25">
      <c r="T2308" s="98"/>
      <c r="U2308" s="99"/>
    </row>
    <row r="2309" spans="20:21" x14ac:dyDescent="0.25">
      <c r="T2309" s="98"/>
      <c r="U2309" s="99"/>
    </row>
    <row r="2310" spans="20:21" x14ac:dyDescent="0.25">
      <c r="T2310" s="98"/>
      <c r="U2310" s="99"/>
    </row>
    <row r="2311" spans="20:21" x14ac:dyDescent="0.25">
      <c r="T2311" s="98"/>
      <c r="U2311" s="99"/>
    </row>
    <row r="2312" spans="20:21" x14ac:dyDescent="0.25">
      <c r="T2312" s="98"/>
      <c r="U2312" s="99"/>
    </row>
    <row r="2313" spans="20:21" x14ac:dyDescent="0.25">
      <c r="T2313" s="98"/>
      <c r="U2313" s="99"/>
    </row>
    <row r="2314" spans="20:21" x14ac:dyDescent="0.25">
      <c r="T2314" s="98"/>
      <c r="U2314" s="99"/>
    </row>
    <row r="2315" spans="20:21" x14ac:dyDescent="0.25">
      <c r="T2315" s="98"/>
      <c r="U2315" s="99"/>
    </row>
    <row r="2316" spans="20:21" x14ac:dyDescent="0.25">
      <c r="T2316" s="98"/>
      <c r="U2316" s="99"/>
    </row>
    <row r="2317" spans="20:21" x14ac:dyDescent="0.25">
      <c r="T2317" s="98"/>
      <c r="U2317" s="99"/>
    </row>
    <row r="2318" spans="20:21" x14ac:dyDescent="0.25">
      <c r="T2318" s="98"/>
      <c r="U2318" s="99"/>
    </row>
    <row r="2319" spans="20:21" x14ac:dyDescent="0.25">
      <c r="T2319" s="98"/>
      <c r="U2319" s="99"/>
    </row>
    <row r="2320" spans="20:21" x14ac:dyDescent="0.25">
      <c r="T2320" s="98"/>
      <c r="U2320" s="99"/>
    </row>
    <row r="2321" spans="20:21" x14ac:dyDescent="0.25">
      <c r="T2321" s="98"/>
      <c r="U2321" s="99"/>
    </row>
    <row r="2322" spans="20:21" x14ac:dyDescent="0.25">
      <c r="T2322" s="98"/>
      <c r="U2322" s="99"/>
    </row>
    <row r="2323" spans="20:21" x14ac:dyDescent="0.25">
      <c r="T2323" s="98"/>
      <c r="U2323" s="99"/>
    </row>
    <row r="2324" spans="20:21" x14ac:dyDescent="0.25">
      <c r="T2324" s="98"/>
      <c r="U2324" s="99"/>
    </row>
    <row r="2325" spans="20:21" x14ac:dyDescent="0.25">
      <c r="T2325" s="98"/>
      <c r="U2325" s="99"/>
    </row>
    <row r="2326" spans="20:21" x14ac:dyDescent="0.25">
      <c r="T2326" s="98"/>
      <c r="U2326" s="99"/>
    </row>
    <row r="2327" spans="20:21" x14ac:dyDescent="0.25">
      <c r="T2327" s="98"/>
      <c r="U2327" s="99"/>
    </row>
    <row r="2328" spans="20:21" x14ac:dyDescent="0.25">
      <c r="T2328" s="98"/>
      <c r="U2328" s="99"/>
    </row>
    <row r="2329" spans="20:21" x14ac:dyDescent="0.25">
      <c r="T2329" s="98"/>
      <c r="U2329" s="99"/>
    </row>
    <row r="2330" spans="20:21" x14ac:dyDescent="0.25">
      <c r="T2330" s="98"/>
      <c r="U2330" s="99"/>
    </row>
    <row r="2331" spans="20:21" x14ac:dyDescent="0.25">
      <c r="T2331" s="98"/>
      <c r="U2331" s="99"/>
    </row>
    <row r="2332" spans="20:21" x14ac:dyDescent="0.25">
      <c r="T2332" s="98"/>
      <c r="U2332" s="99"/>
    </row>
    <row r="2333" spans="20:21" x14ac:dyDescent="0.25">
      <c r="T2333" s="98"/>
      <c r="U2333" s="99"/>
    </row>
    <row r="2334" spans="20:21" x14ac:dyDescent="0.25">
      <c r="T2334" s="98"/>
      <c r="U2334" s="99"/>
    </row>
    <row r="2335" spans="20:21" x14ac:dyDescent="0.25">
      <c r="T2335" s="98"/>
      <c r="U2335" s="99"/>
    </row>
    <row r="2336" spans="20:21" x14ac:dyDescent="0.25">
      <c r="T2336" s="98"/>
      <c r="U2336" s="99"/>
    </row>
    <row r="2337" spans="20:21" x14ac:dyDescent="0.25">
      <c r="T2337" s="98"/>
      <c r="U2337" s="99"/>
    </row>
    <row r="2338" spans="20:21" x14ac:dyDescent="0.25">
      <c r="T2338" s="98"/>
      <c r="U2338" s="99"/>
    </row>
    <row r="2339" spans="20:21" x14ac:dyDescent="0.25">
      <c r="T2339" s="98"/>
      <c r="U2339" s="99"/>
    </row>
    <row r="2340" spans="20:21" x14ac:dyDescent="0.25">
      <c r="T2340" s="98"/>
      <c r="U2340" s="99"/>
    </row>
    <row r="2341" spans="20:21" x14ac:dyDescent="0.25">
      <c r="T2341" s="98"/>
      <c r="U2341" s="99"/>
    </row>
    <row r="2342" spans="20:21" x14ac:dyDescent="0.25">
      <c r="T2342" s="98"/>
      <c r="U2342" s="99"/>
    </row>
    <row r="2343" spans="20:21" x14ac:dyDescent="0.25">
      <c r="T2343" s="98"/>
      <c r="U2343" s="99"/>
    </row>
    <row r="2344" spans="20:21" x14ac:dyDescent="0.25">
      <c r="T2344" s="98"/>
      <c r="U2344" s="99"/>
    </row>
    <row r="2345" spans="20:21" x14ac:dyDescent="0.25">
      <c r="T2345" s="98"/>
      <c r="U2345" s="99"/>
    </row>
    <row r="2346" spans="20:21" x14ac:dyDescent="0.25">
      <c r="T2346" s="98"/>
      <c r="U2346" s="99"/>
    </row>
    <row r="2347" spans="20:21" x14ac:dyDescent="0.25">
      <c r="T2347" s="98"/>
      <c r="U2347" s="99"/>
    </row>
    <row r="2348" spans="20:21" x14ac:dyDescent="0.25">
      <c r="T2348" s="98"/>
      <c r="U2348" s="99"/>
    </row>
    <row r="2349" spans="20:21" x14ac:dyDescent="0.25">
      <c r="T2349" s="98"/>
      <c r="U2349" s="99"/>
    </row>
    <row r="2350" spans="20:21" x14ac:dyDescent="0.25">
      <c r="T2350" s="98"/>
      <c r="U2350" s="99"/>
    </row>
    <row r="2351" spans="20:21" x14ac:dyDescent="0.25">
      <c r="T2351" s="98"/>
      <c r="U2351" s="99"/>
    </row>
    <row r="2352" spans="20:21" x14ac:dyDescent="0.25">
      <c r="T2352" s="98"/>
      <c r="U2352" s="99"/>
    </row>
    <row r="2353" spans="20:21" x14ac:dyDescent="0.25">
      <c r="T2353" s="98"/>
      <c r="U2353" s="99"/>
    </row>
    <row r="2354" spans="20:21" x14ac:dyDescent="0.25">
      <c r="T2354" s="98"/>
      <c r="U2354" s="99"/>
    </row>
    <row r="2355" spans="20:21" x14ac:dyDescent="0.25">
      <c r="T2355" s="98"/>
      <c r="U2355" s="99"/>
    </row>
    <row r="2356" spans="20:21" x14ac:dyDescent="0.25">
      <c r="T2356" s="98"/>
      <c r="U2356" s="99"/>
    </row>
    <row r="2357" spans="20:21" x14ac:dyDescent="0.25">
      <c r="T2357" s="98"/>
      <c r="U2357" s="99"/>
    </row>
    <row r="2358" spans="20:21" x14ac:dyDescent="0.25">
      <c r="T2358" s="98"/>
      <c r="U2358" s="99"/>
    </row>
    <row r="2359" spans="20:21" x14ac:dyDescent="0.25">
      <c r="T2359" s="98"/>
      <c r="U2359" s="99"/>
    </row>
    <row r="2360" spans="20:21" x14ac:dyDescent="0.25">
      <c r="T2360" s="98"/>
      <c r="U2360" s="99"/>
    </row>
    <row r="2361" spans="20:21" x14ac:dyDescent="0.25">
      <c r="T2361" s="98"/>
      <c r="U2361" s="99"/>
    </row>
    <row r="2362" spans="20:21" x14ac:dyDescent="0.25">
      <c r="T2362" s="98"/>
      <c r="U2362" s="99"/>
    </row>
    <row r="2363" spans="20:21" x14ac:dyDescent="0.25">
      <c r="T2363" s="98"/>
      <c r="U2363" s="99"/>
    </row>
    <row r="2364" spans="20:21" x14ac:dyDescent="0.25">
      <c r="T2364" s="98"/>
      <c r="U2364" s="99"/>
    </row>
    <row r="2365" spans="20:21" x14ac:dyDescent="0.25">
      <c r="T2365" s="98"/>
      <c r="U2365" s="99"/>
    </row>
    <row r="2366" spans="20:21" x14ac:dyDescent="0.25">
      <c r="T2366" s="98"/>
      <c r="U2366" s="99"/>
    </row>
    <row r="2367" spans="20:21" x14ac:dyDescent="0.25">
      <c r="T2367" s="98"/>
      <c r="U2367" s="99"/>
    </row>
    <row r="2368" spans="20:21" x14ac:dyDescent="0.25">
      <c r="T2368" s="98"/>
      <c r="U2368" s="99"/>
    </row>
    <row r="2369" spans="20:21" x14ac:dyDescent="0.25">
      <c r="T2369" s="98"/>
      <c r="U2369" s="99"/>
    </row>
    <row r="2370" spans="20:21" x14ac:dyDescent="0.25">
      <c r="T2370" s="98"/>
      <c r="U2370" s="99"/>
    </row>
    <row r="2371" spans="20:21" x14ac:dyDescent="0.25">
      <c r="T2371" s="98"/>
      <c r="U2371" s="99"/>
    </row>
    <row r="2372" spans="20:21" x14ac:dyDescent="0.25">
      <c r="T2372" s="98"/>
      <c r="U2372" s="99"/>
    </row>
    <row r="2373" spans="20:21" x14ac:dyDescent="0.25">
      <c r="T2373" s="98"/>
      <c r="U2373" s="99"/>
    </row>
    <row r="2374" spans="20:21" x14ac:dyDescent="0.25">
      <c r="T2374" s="98"/>
      <c r="U2374" s="99"/>
    </row>
    <row r="2375" spans="20:21" x14ac:dyDescent="0.25">
      <c r="T2375" s="98"/>
      <c r="U2375" s="99"/>
    </row>
    <row r="2376" spans="20:21" x14ac:dyDescent="0.25">
      <c r="T2376" s="98"/>
      <c r="U2376" s="99"/>
    </row>
    <row r="2377" spans="20:21" x14ac:dyDescent="0.25">
      <c r="T2377" s="98"/>
      <c r="U2377" s="99"/>
    </row>
    <row r="2378" spans="20:21" x14ac:dyDescent="0.25">
      <c r="T2378" s="98"/>
      <c r="U2378" s="99"/>
    </row>
    <row r="2379" spans="20:21" x14ac:dyDescent="0.25">
      <c r="T2379" s="98"/>
      <c r="U2379" s="99"/>
    </row>
    <row r="2380" spans="20:21" x14ac:dyDescent="0.25">
      <c r="T2380" s="98"/>
      <c r="U2380" s="99"/>
    </row>
    <row r="2381" spans="20:21" x14ac:dyDescent="0.25">
      <c r="T2381" s="98"/>
      <c r="U2381" s="99"/>
    </row>
    <row r="2382" spans="20:21" x14ac:dyDescent="0.25">
      <c r="T2382" s="98"/>
      <c r="U2382" s="99"/>
    </row>
    <row r="2383" spans="20:21" x14ac:dyDescent="0.25">
      <c r="T2383" s="98"/>
      <c r="U2383" s="99"/>
    </row>
    <row r="2384" spans="20:21" x14ac:dyDescent="0.25">
      <c r="T2384" s="98"/>
      <c r="U2384" s="99"/>
    </row>
    <row r="2385" spans="20:21" x14ac:dyDescent="0.25">
      <c r="T2385" s="98"/>
      <c r="U2385" s="99"/>
    </row>
    <row r="2386" spans="20:21" x14ac:dyDescent="0.25">
      <c r="T2386" s="98"/>
      <c r="U2386" s="99"/>
    </row>
    <row r="2387" spans="20:21" x14ac:dyDescent="0.25">
      <c r="T2387" s="98"/>
      <c r="U2387" s="99"/>
    </row>
    <row r="2388" spans="20:21" x14ac:dyDescent="0.25">
      <c r="T2388" s="98"/>
      <c r="U2388" s="99"/>
    </row>
    <row r="2389" spans="20:21" x14ac:dyDescent="0.25">
      <c r="T2389" s="98"/>
      <c r="U2389" s="99"/>
    </row>
    <row r="2390" spans="20:21" x14ac:dyDescent="0.25">
      <c r="T2390" s="98"/>
      <c r="U2390" s="99"/>
    </row>
    <row r="2391" spans="20:21" x14ac:dyDescent="0.25">
      <c r="T2391" s="98"/>
      <c r="U2391" s="99"/>
    </row>
    <row r="2392" spans="20:21" x14ac:dyDescent="0.25">
      <c r="T2392" s="98"/>
      <c r="U2392" s="99"/>
    </row>
    <row r="2393" spans="20:21" x14ac:dyDescent="0.25">
      <c r="T2393" s="98"/>
      <c r="U2393" s="99"/>
    </row>
    <row r="2394" spans="20:21" x14ac:dyDescent="0.25">
      <c r="T2394" s="98"/>
      <c r="U2394" s="99"/>
    </row>
    <row r="2395" spans="20:21" x14ac:dyDescent="0.25">
      <c r="T2395" s="98"/>
      <c r="U2395" s="99"/>
    </row>
    <row r="2396" spans="20:21" x14ac:dyDescent="0.25">
      <c r="T2396" s="98"/>
      <c r="U2396" s="99"/>
    </row>
    <row r="2397" spans="20:21" x14ac:dyDescent="0.25">
      <c r="T2397" s="98"/>
      <c r="U2397" s="99"/>
    </row>
    <row r="2398" spans="20:21" x14ac:dyDescent="0.25">
      <c r="T2398" s="98"/>
      <c r="U2398" s="99"/>
    </row>
    <row r="2399" spans="20:21" x14ac:dyDescent="0.25">
      <c r="T2399" s="98"/>
      <c r="U2399" s="99"/>
    </row>
    <row r="2400" spans="20:21" x14ac:dyDescent="0.25">
      <c r="T2400" s="98"/>
      <c r="U2400" s="99"/>
    </row>
    <row r="2401" spans="20:21" x14ac:dyDescent="0.25">
      <c r="T2401" s="98"/>
      <c r="U2401" s="99"/>
    </row>
    <row r="2402" spans="20:21" x14ac:dyDescent="0.25">
      <c r="T2402" s="98"/>
      <c r="U2402" s="99"/>
    </row>
    <row r="2403" spans="20:21" x14ac:dyDescent="0.25">
      <c r="T2403" s="98"/>
      <c r="U2403" s="99"/>
    </row>
    <row r="2404" spans="20:21" x14ac:dyDescent="0.25">
      <c r="T2404" s="98"/>
      <c r="U2404" s="99"/>
    </row>
    <row r="2405" spans="20:21" x14ac:dyDescent="0.25">
      <c r="T2405" s="98"/>
      <c r="U2405" s="99"/>
    </row>
    <row r="2406" spans="20:21" x14ac:dyDescent="0.25">
      <c r="T2406" s="98"/>
      <c r="U2406" s="99"/>
    </row>
    <row r="2407" spans="20:21" x14ac:dyDescent="0.25">
      <c r="T2407" s="98"/>
      <c r="U2407" s="99"/>
    </row>
    <row r="2408" spans="20:21" x14ac:dyDescent="0.25">
      <c r="T2408" s="98"/>
      <c r="U2408" s="99"/>
    </row>
    <row r="2409" spans="20:21" x14ac:dyDescent="0.25">
      <c r="T2409" s="98"/>
      <c r="U2409" s="99"/>
    </row>
    <row r="2410" spans="20:21" x14ac:dyDescent="0.25">
      <c r="T2410" s="98"/>
      <c r="U2410" s="99"/>
    </row>
    <row r="2411" spans="20:21" x14ac:dyDescent="0.25">
      <c r="T2411" s="98"/>
      <c r="U2411" s="99"/>
    </row>
    <row r="2412" spans="20:21" x14ac:dyDescent="0.25">
      <c r="T2412" s="98"/>
      <c r="U2412" s="99"/>
    </row>
    <row r="2413" spans="20:21" x14ac:dyDescent="0.25">
      <c r="T2413" s="98"/>
      <c r="U2413" s="99"/>
    </row>
    <row r="2414" spans="20:21" x14ac:dyDescent="0.25">
      <c r="T2414" s="98"/>
      <c r="U2414" s="99"/>
    </row>
    <row r="2415" spans="20:21" x14ac:dyDescent="0.25">
      <c r="T2415" s="98"/>
      <c r="U2415" s="99"/>
    </row>
    <row r="2416" spans="20:21" x14ac:dyDescent="0.25">
      <c r="T2416" s="98"/>
      <c r="U2416" s="99"/>
    </row>
    <row r="2417" spans="20:21" x14ac:dyDescent="0.25">
      <c r="T2417" s="98"/>
      <c r="U2417" s="99"/>
    </row>
    <row r="2418" spans="20:21" x14ac:dyDescent="0.25">
      <c r="T2418" s="98"/>
      <c r="U2418" s="99"/>
    </row>
    <row r="2419" spans="20:21" x14ac:dyDescent="0.25">
      <c r="T2419" s="98"/>
      <c r="U2419" s="99"/>
    </row>
    <row r="2420" spans="20:21" x14ac:dyDescent="0.25">
      <c r="T2420" s="98"/>
      <c r="U2420" s="99"/>
    </row>
    <row r="2421" spans="20:21" x14ac:dyDescent="0.25">
      <c r="T2421" s="98"/>
      <c r="U2421" s="99"/>
    </row>
    <row r="2422" spans="20:21" x14ac:dyDescent="0.25">
      <c r="T2422" s="98"/>
      <c r="U2422" s="99"/>
    </row>
    <row r="2423" spans="20:21" x14ac:dyDescent="0.25">
      <c r="T2423" s="98"/>
      <c r="U2423" s="99"/>
    </row>
    <row r="2424" spans="20:21" x14ac:dyDescent="0.25">
      <c r="T2424" s="98"/>
      <c r="U2424" s="99"/>
    </row>
    <row r="2425" spans="20:21" x14ac:dyDescent="0.25">
      <c r="T2425" s="98"/>
      <c r="U2425" s="99"/>
    </row>
    <row r="2426" spans="20:21" x14ac:dyDescent="0.25">
      <c r="T2426" s="98"/>
      <c r="U2426" s="99"/>
    </row>
    <row r="2427" spans="20:21" x14ac:dyDescent="0.25">
      <c r="T2427" s="98"/>
      <c r="U2427" s="99"/>
    </row>
    <row r="2428" spans="20:21" x14ac:dyDescent="0.25">
      <c r="T2428" s="98"/>
      <c r="U2428" s="99"/>
    </row>
    <row r="2429" spans="20:21" x14ac:dyDescent="0.25">
      <c r="T2429" s="98"/>
      <c r="U2429" s="99"/>
    </row>
    <row r="2430" spans="20:21" x14ac:dyDescent="0.25">
      <c r="T2430" s="98"/>
      <c r="U2430" s="99"/>
    </row>
    <row r="2431" spans="20:21" x14ac:dyDescent="0.25">
      <c r="T2431" s="98"/>
      <c r="U2431" s="99"/>
    </row>
    <row r="2432" spans="20:21" x14ac:dyDescent="0.25">
      <c r="T2432" s="98"/>
      <c r="U2432" s="99"/>
    </row>
    <row r="2433" spans="20:21" x14ac:dyDescent="0.25">
      <c r="T2433" s="98"/>
      <c r="U2433" s="99"/>
    </row>
    <row r="2434" spans="20:21" x14ac:dyDescent="0.25">
      <c r="T2434" s="98"/>
      <c r="U2434" s="99"/>
    </row>
    <row r="2435" spans="20:21" x14ac:dyDescent="0.25">
      <c r="T2435" s="98"/>
      <c r="U2435" s="99"/>
    </row>
    <row r="2436" spans="20:21" x14ac:dyDescent="0.25">
      <c r="T2436" s="98"/>
      <c r="U2436" s="99"/>
    </row>
    <row r="2437" spans="20:21" x14ac:dyDescent="0.25">
      <c r="T2437" s="98"/>
      <c r="U2437" s="99"/>
    </row>
    <row r="2438" spans="20:21" x14ac:dyDescent="0.25">
      <c r="T2438" s="98"/>
      <c r="U2438" s="99"/>
    </row>
    <row r="2439" spans="20:21" x14ac:dyDescent="0.25">
      <c r="T2439" s="98"/>
      <c r="U2439" s="99"/>
    </row>
    <row r="2440" spans="20:21" x14ac:dyDescent="0.25">
      <c r="T2440" s="98"/>
      <c r="U2440" s="99"/>
    </row>
    <row r="2441" spans="20:21" x14ac:dyDescent="0.25">
      <c r="T2441" s="98"/>
      <c r="U2441" s="99"/>
    </row>
    <row r="2442" spans="20:21" x14ac:dyDescent="0.25">
      <c r="T2442" s="98"/>
      <c r="U2442" s="99"/>
    </row>
    <row r="2443" spans="20:21" x14ac:dyDescent="0.25">
      <c r="T2443" s="98"/>
      <c r="U2443" s="99"/>
    </row>
    <row r="2444" spans="20:21" x14ac:dyDescent="0.25">
      <c r="T2444" s="98"/>
      <c r="U2444" s="99"/>
    </row>
    <row r="2445" spans="20:21" x14ac:dyDescent="0.25">
      <c r="T2445" s="98"/>
      <c r="U2445" s="99"/>
    </row>
    <row r="2446" spans="20:21" x14ac:dyDescent="0.25">
      <c r="T2446" s="98"/>
      <c r="U2446" s="99"/>
    </row>
    <row r="2447" spans="20:21" x14ac:dyDescent="0.25">
      <c r="T2447" s="98"/>
      <c r="U2447" s="99"/>
    </row>
    <row r="2448" spans="20:21" x14ac:dyDescent="0.25">
      <c r="T2448" s="98"/>
      <c r="U2448" s="99"/>
    </row>
    <row r="2449" spans="20:21" x14ac:dyDescent="0.25">
      <c r="T2449" s="98"/>
      <c r="U2449" s="99"/>
    </row>
    <row r="2450" spans="20:21" x14ac:dyDescent="0.25">
      <c r="T2450" s="98"/>
      <c r="U2450" s="99"/>
    </row>
    <row r="2451" spans="20:21" x14ac:dyDescent="0.25">
      <c r="T2451" s="98"/>
      <c r="U2451" s="99"/>
    </row>
    <row r="2452" spans="20:21" x14ac:dyDescent="0.25">
      <c r="T2452" s="98"/>
      <c r="U2452" s="99"/>
    </row>
    <row r="2453" spans="20:21" x14ac:dyDescent="0.25">
      <c r="T2453" s="98"/>
      <c r="U2453" s="99"/>
    </row>
    <row r="2454" spans="20:21" x14ac:dyDescent="0.25">
      <c r="T2454" s="98"/>
      <c r="U2454" s="99"/>
    </row>
    <row r="2455" spans="20:21" x14ac:dyDescent="0.25">
      <c r="T2455" s="98"/>
      <c r="U2455" s="99"/>
    </row>
    <row r="2456" spans="20:21" x14ac:dyDescent="0.25">
      <c r="T2456" s="98"/>
      <c r="U2456" s="99"/>
    </row>
    <row r="2457" spans="20:21" x14ac:dyDescent="0.25">
      <c r="T2457" s="98"/>
      <c r="U2457" s="99"/>
    </row>
    <row r="2458" spans="20:21" x14ac:dyDescent="0.25">
      <c r="T2458" s="98"/>
      <c r="U2458" s="99"/>
    </row>
    <row r="2459" spans="20:21" x14ac:dyDescent="0.25">
      <c r="T2459" s="98"/>
      <c r="U2459" s="99"/>
    </row>
    <row r="2460" spans="20:21" x14ac:dyDescent="0.25">
      <c r="T2460" s="98"/>
      <c r="U2460" s="99"/>
    </row>
    <row r="2461" spans="20:21" x14ac:dyDescent="0.25">
      <c r="T2461" s="98"/>
      <c r="U2461" s="99"/>
    </row>
    <row r="2462" spans="20:21" x14ac:dyDescent="0.25">
      <c r="T2462" s="98"/>
      <c r="U2462" s="99"/>
    </row>
    <row r="2463" spans="20:21" x14ac:dyDescent="0.25">
      <c r="T2463" s="98"/>
      <c r="U2463" s="99"/>
    </row>
    <row r="2464" spans="20:21" x14ac:dyDescent="0.25">
      <c r="T2464" s="98"/>
      <c r="U2464" s="99"/>
    </row>
    <row r="2465" spans="20:21" x14ac:dyDescent="0.25">
      <c r="T2465" s="98"/>
      <c r="U2465" s="99"/>
    </row>
    <row r="2466" spans="20:21" x14ac:dyDescent="0.25">
      <c r="T2466" s="98"/>
      <c r="U2466" s="99"/>
    </row>
    <row r="2467" spans="20:21" x14ac:dyDescent="0.25">
      <c r="T2467" s="98"/>
      <c r="U2467" s="99"/>
    </row>
    <row r="2468" spans="20:21" x14ac:dyDescent="0.25">
      <c r="T2468" s="98"/>
      <c r="U2468" s="99"/>
    </row>
    <row r="2469" spans="20:21" x14ac:dyDescent="0.25">
      <c r="T2469" s="98"/>
      <c r="U2469" s="99"/>
    </row>
    <row r="2470" spans="20:21" x14ac:dyDescent="0.25">
      <c r="T2470" s="98"/>
      <c r="U2470" s="99"/>
    </row>
    <row r="2471" spans="20:21" x14ac:dyDescent="0.25">
      <c r="T2471" s="98"/>
      <c r="U2471" s="99"/>
    </row>
    <row r="2472" spans="20:21" x14ac:dyDescent="0.25">
      <c r="T2472" s="98"/>
      <c r="U2472" s="99"/>
    </row>
    <row r="2473" spans="20:21" x14ac:dyDescent="0.25">
      <c r="T2473" s="98"/>
      <c r="U2473" s="99"/>
    </row>
    <row r="2474" spans="20:21" x14ac:dyDescent="0.25">
      <c r="T2474" s="98"/>
      <c r="U2474" s="99"/>
    </row>
    <row r="2475" spans="20:21" x14ac:dyDescent="0.25">
      <c r="T2475" s="98"/>
      <c r="U2475" s="99"/>
    </row>
    <row r="2476" spans="20:21" x14ac:dyDescent="0.25">
      <c r="T2476" s="98"/>
      <c r="U2476" s="99"/>
    </row>
    <row r="2477" spans="20:21" x14ac:dyDescent="0.25">
      <c r="T2477" s="98"/>
      <c r="U2477" s="99"/>
    </row>
    <row r="2478" spans="20:21" x14ac:dyDescent="0.25">
      <c r="T2478" s="98"/>
      <c r="U2478" s="99"/>
    </row>
    <row r="2479" spans="20:21" x14ac:dyDescent="0.25">
      <c r="T2479" s="98"/>
      <c r="U2479" s="99"/>
    </row>
    <row r="2480" spans="20:21" x14ac:dyDescent="0.25">
      <c r="T2480" s="98"/>
      <c r="U2480" s="99"/>
    </row>
    <row r="2481" spans="20:21" x14ac:dyDescent="0.25">
      <c r="T2481" s="98"/>
      <c r="U2481" s="99"/>
    </row>
    <row r="2482" spans="20:21" x14ac:dyDescent="0.25">
      <c r="T2482" s="98"/>
      <c r="U2482" s="99"/>
    </row>
    <row r="2483" spans="20:21" x14ac:dyDescent="0.25">
      <c r="T2483" s="98"/>
      <c r="U2483" s="99"/>
    </row>
    <row r="2484" spans="20:21" x14ac:dyDescent="0.25">
      <c r="T2484" s="98"/>
      <c r="U2484" s="99"/>
    </row>
    <row r="2485" spans="20:21" x14ac:dyDescent="0.25">
      <c r="T2485" s="98"/>
      <c r="U2485" s="99"/>
    </row>
    <row r="2486" spans="20:21" x14ac:dyDescent="0.25">
      <c r="T2486" s="98"/>
      <c r="U2486" s="99"/>
    </row>
    <row r="2487" spans="20:21" x14ac:dyDescent="0.25">
      <c r="T2487" s="98"/>
      <c r="U2487" s="99"/>
    </row>
    <row r="2488" spans="20:21" x14ac:dyDescent="0.25">
      <c r="T2488" s="98"/>
      <c r="U2488" s="99"/>
    </row>
    <row r="2489" spans="20:21" x14ac:dyDescent="0.25">
      <c r="T2489" s="98"/>
      <c r="U2489" s="99"/>
    </row>
    <row r="2490" spans="20:21" x14ac:dyDescent="0.25">
      <c r="T2490" s="98"/>
      <c r="U2490" s="99"/>
    </row>
    <row r="2491" spans="20:21" x14ac:dyDescent="0.25">
      <c r="T2491" s="98"/>
      <c r="U2491" s="99"/>
    </row>
    <row r="2492" spans="20:21" x14ac:dyDescent="0.25">
      <c r="T2492" s="98"/>
      <c r="U2492" s="99"/>
    </row>
    <row r="2493" spans="20:21" x14ac:dyDescent="0.25">
      <c r="T2493" s="98"/>
      <c r="U2493" s="99"/>
    </row>
    <row r="2494" spans="20:21" x14ac:dyDescent="0.25">
      <c r="T2494" s="98"/>
      <c r="U2494" s="99"/>
    </row>
    <row r="2495" spans="20:21" x14ac:dyDescent="0.25">
      <c r="T2495" s="98"/>
      <c r="U2495" s="99"/>
    </row>
    <row r="2496" spans="20:21" x14ac:dyDescent="0.25">
      <c r="T2496" s="98"/>
      <c r="U2496" s="99"/>
    </row>
    <row r="2497" spans="20:21" x14ac:dyDescent="0.25">
      <c r="T2497" s="98"/>
      <c r="U2497" s="99"/>
    </row>
    <row r="2498" spans="20:21" x14ac:dyDescent="0.25">
      <c r="T2498" s="98"/>
      <c r="U2498" s="99"/>
    </row>
    <row r="2499" spans="20:21" x14ac:dyDescent="0.25">
      <c r="T2499" s="98"/>
      <c r="U2499" s="99"/>
    </row>
    <row r="2500" spans="20:21" x14ac:dyDescent="0.25">
      <c r="T2500" s="98"/>
      <c r="U2500" s="99"/>
    </row>
    <row r="2501" spans="20:21" x14ac:dyDescent="0.25">
      <c r="T2501" s="98"/>
      <c r="U2501" s="99"/>
    </row>
    <row r="2502" spans="20:21" x14ac:dyDescent="0.25">
      <c r="T2502" s="98"/>
      <c r="U2502" s="99"/>
    </row>
    <row r="2503" spans="20:21" x14ac:dyDescent="0.25">
      <c r="T2503" s="98"/>
      <c r="U2503" s="99"/>
    </row>
    <row r="2504" spans="20:21" x14ac:dyDescent="0.25">
      <c r="T2504" s="98"/>
      <c r="U2504" s="99"/>
    </row>
    <row r="2505" spans="20:21" x14ac:dyDescent="0.25">
      <c r="T2505" s="98"/>
      <c r="U2505" s="99"/>
    </row>
    <row r="2506" spans="20:21" x14ac:dyDescent="0.25">
      <c r="T2506" s="98"/>
      <c r="U2506" s="99"/>
    </row>
    <row r="2507" spans="20:21" x14ac:dyDescent="0.25">
      <c r="T2507" s="98"/>
      <c r="U2507" s="99"/>
    </row>
    <row r="2508" spans="20:21" x14ac:dyDescent="0.25">
      <c r="T2508" s="98"/>
      <c r="U2508" s="99"/>
    </row>
    <row r="2509" spans="20:21" x14ac:dyDescent="0.25">
      <c r="T2509" s="98"/>
      <c r="U2509" s="99"/>
    </row>
    <row r="2510" spans="20:21" x14ac:dyDescent="0.25">
      <c r="T2510" s="98"/>
      <c r="U2510" s="99"/>
    </row>
    <row r="2511" spans="20:21" x14ac:dyDescent="0.25">
      <c r="T2511" s="98"/>
      <c r="U2511" s="99"/>
    </row>
    <row r="2512" spans="20:21" x14ac:dyDescent="0.25">
      <c r="T2512" s="98"/>
      <c r="U2512" s="99"/>
    </row>
    <row r="2513" spans="20:21" x14ac:dyDescent="0.25">
      <c r="T2513" s="98"/>
      <c r="U2513" s="99"/>
    </row>
    <row r="2514" spans="20:21" x14ac:dyDescent="0.25">
      <c r="T2514" s="98"/>
      <c r="U2514" s="99"/>
    </row>
    <row r="2515" spans="20:21" x14ac:dyDescent="0.25">
      <c r="T2515" s="98"/>
      <c r="U2515" s="99"/>
    </row>
    <row r="2516" spans="20:21" x14ac:dyDescent="0.25">
      <c r="T2516" s="98"/>
      <c r="U2516" s="99"/>
    </row>
    <row r="2517" spans="20:21" x14ac:dyDescent="0.25">
      <c r="T2517" s="98"/>
      <c r="U2517" s="99"/>
    </row>
    <row r="2518" spans="20:21" x14ac:dyDescent="0.25">
      <c r="T2518" s="98"/>
      <c r="U2518" s="99"/>
    </row>
    <row r="2519" spans="20:21" x14ac:dyDescent="0.25">
      <c r="T2519" s="98"/>
      <c r="U2519" s="99"/>
    </row>
    <row r="2520" spans="20:21" x14ac:dyDescent="0.25">
      <c r="T2520" s="98"/>
      <c r="U2520" s="99"/>
    </row>
    <row r="2521" spans="20:21" x14ac:dyDescent="0.25">
      <c r="T2521" s="98"/>
      <c r="U2521" s="99"/>
    </row>
    <row r="2522" spans="20:21" x14ac:dyDescent="0.25">
      <c r="T2522" s="98"/>
      <c r="U2522" s="99"/>
    </row>
    <row r="2523" spans="20:21" x14ac:dyDescent="0.25">
      <c r="T2523" s="98"/>
      <c r="U2523" s="99"/>
    </row>
    <row r="2524" spans="20:21" x14ac:dyDescent="0.25">
      <c r="T2524" s="98"/>
      <c r="U2524" s="99"/>
    </row>
    <row r="2525" spans="20:21" x14ac:dyDescent="0.25">
      <c r="T2525" s="98"/>
      <c r="U2525" s="99"/>
    </row>
    <row r="2526" spans="20:21" x14ac:dyDescent="0.25">
      <c r="T2526" s="98"/>
      <c r="U2526" s="99"/>
    </row>
    <row r="2527" spans="20:21" x14ac:dyDescent="0.25">
      <c r="T2527" s="98"/>
      <c r="U2527" s="99"/>
    </row>
    <row r="2528" spans="20:21" x14ac:dyDescent="0.25">
      <c r="T2528" s="98"/>
      <c r="U2528" s="99"/>
    </row>
    <row r="2529" spans="20:21" x14ac:dyDescent="0.25">
      <c r="T2529" s="98"/>
      <c r="U2529" s="99"/>
    </row>
    <row r="2530" spans="20:21" x14ac:dyDescent="0.25">
      <c r="T2530" s="98"/>
      <c r="U2530" s="99"/>
    </row>
    <row r="2531" spans="20:21" x14ac:dyDescent="0.25">
      <c r="T2531" s="98"/>
      <c r="U2531" s="99"/>
    </row>
    <row r="2532" spans="20:21" x14ac:dyDescent="0.25">
      <c r="T2532" s="98"/>
      <c r="U2532" s="99"/>
    </row>
    <row r="2533" spans="20:21" x14ac:dyDescent="0.25">
      <c r="T2533" s="98"/>
      <c r="U2533" s="99"/>
    </row>
    <row r="2534" spans="20:21" x14ac:dyDescent="0.25">
      <c r="T2534" s="98"/>
      <c r="U2534" s="99"/>
    </row>
    <row r="2535" spans="20:21" x14ac:dyDescent="0.25">
      <c r="T2535" s="98"/>
      <c r="U2535" s="99"/>
    </row>
    <row r="2536" spans="20:21" x14ac:dyDescent="0.25">
      <c r="T2536" s="98"/>
      <c r="U2536" s="99"/>
    </row>
    <row r="2537" spans="20:21" x14ac:dyDescent="0.25">
      <c r="T2537" s="98"/>
      <c r="U2537" s="99"/>
    </row>
    <row r="2538" spans="20:21" x14ac:dyDescent="0.25">
      <c r="T2538" s="98"/>
      <c r="U2538" s="99"/>
    </row>
    <row r="2539" spans="20:21" x14ac:dyDescent="0.25">
      <c r="T2539" s="98"/>
      <c r="U2539" s="99"/>
    </row>
    <row r="2540" spans="20:21" x14ac:dyDescent="0.25">
      <c r="T2540" s="98"/>
      <c r="U2540" s="99"/>
    </row>
    <row r="2541" spans="20:21" x14ac:dyDescent="0.25">
      <c r="T2541" s="98"/>
      <c r="U2541" s="99"/>
    </row>
    <row r="2542" spans="20:21" x14ac:dyDescent="0.25">
      <c r="T2542" s="98"/>
      <c r="U2542" s="99"/>
    </row>
    <row r="2543" spans="20:21" x14ac:dyDescent="0.25">
      <c r="T2543" s="98"/>
      <c r="U2543" s="99"/>
    </row>
    <row r="2544" spans="20:21" x14ac:dyDescent="0.25">
      <c r="T2544" s="98"/>
      <c r="U2544" s="99"/>
    </row>
    <row r="2545" spans="20:21" x14ac:dyDescent="0.25">
      <c r="T2545" s="98"/>
      <c r="U2545" s="99"/>
    </row>
    <row r="2546" spans="20:21" x14ac:dyDescent="0.25">
      <c r="T2546" s="98"/>
      <c r="U2546" s="99"/>
    </row>
    <row r="2547" spans="20:21" x14ac:dyDescent="0.25">
      <c r="T2547" s="98"/>
      <c r="U2547" s="99"/>
    </row>
    <row r="2548" spans="20:21" x14ac:dyDescent="0.25">
      <c r="T2548" s="98"/>
      <c r="U2548" s="99"/>
    </row>
    <row r="2549" spans="20:21" x14ac:dyDescent="0.25">
      <c r="T2549" s="98"/>
      <c r="U2549" s="99"/>
    </row>
    <row r="2550" spans="20:21" x14ac:dyDescent="0.25">
      <c r="T2550" s="98"/>
      <c r="U2550" s="99"/>
    </row>
    <row r="2551" spans="20:21" x14ac:dyDescent="0.25">
      <c r="T2551" s="98"/>
      <c r="U2551" s="99"/>
    </row>
    <row r="2552" spans="20:21" x14ac:dyDescent="0.25">
      <c r="T2552" s="98"/>
      <c r="U2552" s="99"/>
    </row>
    <row r="2553" spans="20:21" x14ac:dyDescent="0.25">
      <c r="T2553" s="98"/>
      <c r="U2553" s="99"/>
    </row>
    <row r="2554" spans="20:21" x14ac:dyDescent="0.25">
      <c r="T2554" s="98"/>
      <c r="U2554" s="99"/>
    </row>
    <row r="2555" spans="20:21" x14ac:dyDescent="0.25">
      <c r="T2555" s="98"/>
      <c r="U2555" s="99"/>
    </row>
    <row r="2556" spans="20:21" x14ac:dyDescent="0.25">
      <c r="T2556" s="98"/>
      <c r="U2556" s="99"/>
    </row>
    <row r="2557" spans="20:21" x14ac:dyDescent="0.25">
      <c r="T2557" s="98"/>
      <c r="U2557" s="99"/>
    </row>
    <row r="2558" spans="20:21" x14ac:dyDescent="0.25">
      <c r="T2558" s="98"/>
      <c r="U2558" s="99"/>
    </row>
    <row r="2559" spans="20:21" x14ac:dyDescent="0.25">
      <c r="T2559" s="98"/>
      <c r="U2559" s="99"/>
    </row>
    <row r="2560" spans="20:21" x14ac:dyDescent="0.25">
      <c r="T2560" s="98"/>
      <c r="U2560" s="99"/>
    </row>
    <row r="2561" spans="20:21" x14ac:dyDescent="0.25">
      <c r="T2561" s="98"/>
      <c r="U2561" s="99"/>
    </row>
    <row r="2562" spans="20:21" x14ac:dyDescent="0.25">
      <c r="T2562" s="98"/>
      <c r="U2562" s="99"/>
    </row>
    <row r="2563" spans="20:21" x14ac:dyDescent="0.25">
      <c r="T2563" s="98"/>
      <c r="U2563" s="99"/>
    </row>
    <row r="2564" spans="20:21" x14ac:dyDescent="0.25">
      <c r="T2564" s="98"/>
      <c r="U2564" s="99"/>
    </row>
    <row r="2565" spans="20:21" x14ac:dyDescent="0.25">
      <c r="T2565" s="98"/>
      <c r="U2565" s="99"/>
    </row>
    <row r="2566" spans="20:21" x14ac:dyDescent="0.25">
      <c r="T2566" s="98"/>
      <c r="U2566" s="99"/>
    </row>
    <row r="2567" spans="20:21" x14ac:dyDescent="0.25">
      <c r="T2567" s="98"/>
      <c r="U2567" s="99"/>
    </row>
    <row r="2568" spans="20:21" x14ac:dyDescent="0.25">
      <c r="T2568" s="98"/>
      <c r="U2568" s="99"/>
    </row>
    <row r="2569" spans="20:21" x14ac:dyDescent="0.25">
      <c r="T2569" s="98"/>
      <c r="U2569" s="99"/>
    </row>
    <row r="2570" spans="20:21" x14ac:dyDescent="0.25">
      <c r="T2570" s="98"/>
      <c r="U2570" s="99"/>
    </row>
    <row r="2571" spans="20:21" x14ac:dyDescent="0.25">
      <c r="T2571" s="98"/>
      <c r="U2571" s="99"/>
    </row>
    <row r="2572" spans="20:21" x14ac:dyDescent="0.25">
      <c r="T2572" s="98"/>
      <c r="U2572" s="99"/>
    </row>
    <row r="2573" spans="20:21" x14ac:dyDescent="0.25">
      <c r="T2573" s="98"/>
      <c r="U2573" s="99"/>
    </row>
    <row r="2574" spans="20:21" x14ac:dyDescent="0.25">
      <c r="T2574" s="98"/>
      <c r="U2574" s="99"/>
    </row>
    <row r="2575" spans="20:21" x14ac:dyDescent="0.25">
      <c r="T2575" s="98"/>
      <c r="U2575" s="99"/>
    </row>
    <row r="2576" spans="20:21" x14ac:dyDescent="0.25">
      <c r="T2576" s="98"/>
      <c r="U2576" s="99"/>
    </row>
    <row r="2577" spans="20:21" x14ac:dyDescent="0.25">
      <c r="T2577" s="98"/>
      <c r="U2577" s="99"/>
    </row>
    <row r="2578" spans="20:21" x14ac:dyDescent="0.25">
      <c r="T2578" s="98"/>
      <c r="U2578" s="99"/>
    </row>
    <row r="2579" spans="20:21" x14ac:dyDescent="0.25">
      <c r="T2579" s="98"/>
      <c r="U2579" s="99"/>
    </row>
    <row r="2580" spans="20:21" x14ac:dyDescent="0.25">
      <c r="T2580" s="98"/>
      <c r="U2580" s="99"/>
    </row>
    <row r="2581" spans="20:21" x14ac:dyDescent="0.25">
      <c r="T2581" s="98"/>
      <c r="U2581" s="99"/>
    </row>
    <row r="2582" spans="20:21" x14ac:dyDescent="0.25">
      <c r="T2582" s="98"/>
      <c r="U2582" s="99"/>
    </row>
    <row r="2583" spans="20:21" x14ac:dyDescent="0.25">
      <c r="T2583" s="98"/>
      <c r="U2583" s="99"/>
    </row>
    <row r="2584" spans="20:21" x14ac:dyDescent="0.25">
      <c r="T2584" s="98"/>
      <c r="U2584" s="99"/>
    </row>
    <row r="2585" spans="20:21" x14ac:dyDescent="0.25">
      <c r="T2585" s="98"/>
      <c r="U2585" s="99"/>
    </row>
    <row r="2586" spans="20:21" x14ac:dyDescent="0.25">
      <c r="T2586" s="98"/>
      <c r="U2586" s="99"/>
    </row>
    <row r="2587" spans="20:21" x14ac:dyDescent="0.25">
      <c r="T2587" s="98"/>
      <c r="U2587" s="99"/>
    </row>
    <row r="2588" spans="20:21" x14ac:dyDescent="0.25">
      <c r="T2588" s="98"/>
      <c r="U2588" s="99"/>
    </row>
    <row r="2589" spans="20:21" x14ac:dyDescent="0.25">
      <c r="T2589" s="98"/>
      <c r="U2589" s="99"/>
    </row>
    <row r="2590" spans="20:21" x14ac:dyDescent="0.25">
      <c r="T2590" s="98"/>
      <c r="U2590" s="99"/>
    </row>
    <row r="2591" spans="20:21" x14ac:dyDescent="0.25">
      <c r="T2591" s="98"/>
      <c r="U2591" s="99"/>
    </row>
    <row r="2592" spans="20:21" x14ac:dyDescent="0.25">
      <c r="T2592" s="98"/>
      <c r="U2592" s="99"/>
    </row>
    <row r="2593" spans="20:21" x14ac:dyDescent="0.25">
      <c r="T2593" s="98"/>
      <c r="U2593" s="99"/>
    </row>
    <row r="2594" spans="20:21" x14ac:dyDescent="0.25">
      <c r="T2594" s="98"/>
      <c r="U2594" s="99"/>
    </row>
    <row r="2595" spans="20:21" x14ac:dyDescent="0.25">
      <c r="T2595" s="98"/>
      <c r="U2595" s="99"/>
    </row>
    <row r="2596" spans="20:21" x14ac:dyDescent="0.25">
      <c r="T2596" s="98"/>
      <c r="U2596" s="99"/>
    </row>
    <row r="2597" spans="20:21" x14ac:dyDescent="0.25">
      <c r="T2597" s="98"/>
      <c r="U2597" s="99"/>
    </row>
    <row r="2598" spans="20:21" x14ac:dyDescent="0.25">
      <c r="T2598" s="98"/>
      <c r="U2598" s="99"/>
    </row>
    <row r="2599" spans="20:21" x14ac:dyDescent="0.25">
      <c r="T2599" s="98"/>
      <c r="U2599" s="99"/>
    </row>
    <row r="2600" spans="20:21" x14ac:dyDescent="0.25">
      <c r="T2600" s="98"/>
      <c r="U2600" s="99"/>
    </row>
    <row r="2601" spans="20:21" x14ac:dyDescent="0.25">
      <c r="T2601" s="98"/>
      <c r="U2601" s="99"/>
    </row>
    <row r="2602" spans="20:21" x14ac:dyDescent="0.25">
      <c r="T2602" s="98"/>
      <c r="U2602" s="99"/>
    </row>
    <row r="2603" spans="20:21" x14ac:dyDescent="0.25">
      <c r="T2603" s="98"/>
      <c r="U2603" s="99"/>
    </row>
    <row r="2604" spans="20:21" x14ac:dyDescent="0.25">
      <c r="T2604" s="98"/>
      <c r="U2604" s="99"/>
    </row>
    <row r="2605" spans="20:21" x14ac:dyDescent="0.25">
      <c r="T2605" s="98"/>
      <c r="U2605" s="99"/>
    </row>
    <row r="2606" spans="20:21" x14ac:dyDescent="0.25">
      <c r="T2606" s="98"/>
      <c r="U2606" s="99"/>
    </row>
    <row r="2607" spans="20:21" x14ac:dyDescent="0.25">
      <c r="T2607" s="98"/>
      <c r="U2607" s="99"/>
    </row>
    <row r="2608" spans="20:21" x14ac:dyDescent="0.25">
      <c r="T2608" s="98"/>
      <c r="U2608" s="99"/>
    </row>
    <row r="2609" spans="20:21" x14ac:dyDescent="0.25">
      <c r="T2609" s="98"/>
      <c r="U2609" s="99"/>
    </row>
    <row r="2610" spans="20:21" x14ac:dyDescent="0.25">
      <c r="T2610" s="98"/>
      <c r="U2610" s="99"/>
    </row>
    <row r="2611" spans="20:21" x14ac:dyDescent="0.25">
      <c r="T2611" s="98"/>
      <c r="U2611" s="99"/>
    </row>
    <row r="2612" spans="20:21" x14ac:dyDescent="0.25">
      <c r="T2612" s="98"/>
      <c r="U2612" s="99"/>
    </row>
    <row r="2613" spans="20:21" x14ac:dyDescent="0.25">
      <c r="T2613" s="98"/>
      <c r="U2613" s="99"/>
    </row>
    <row r="2614" spans="20:21" x14ac:dyDescent="0.25">
      <c r="T2614" s="98"/>
      <c r="U2614" s="99"/>
    </row>
    <row r="2615" spans="20:21" x14ac:dyDescent="0.25">
      <c r="T2615" s="98"/>
      <c r="U2615" s="99"/>
    </row>
    <row r="2616" spans="20:21" x14ac:dyDescent="0.25">
      <c r="T2616" s="98"/>
      <c r="U2616" s="99"/>
    </row>
    <row r="2617" spans="20:21" x14ac:dyDescent="0.25">
      <c r="T2617" s="98"/>
      <c r="U2617" s="99"/>
    </row>
    <row r="2618" spans="20:21" x14ac:dyDescent="0.25">
      <c r="T2618" s="98"/>
      <c r="U2618" s="99"/>
    </row>
    <row r="2619" spans="20:21" x14ac:dyDescent="0.25">
      <c r="T2619" s="98"/>
      <c r="U2619" s="99"/>
    </row>
    <row r="2620" spans="20:21" x14ac:dyDescent="0.25">
      <c r="T2620" s="98"/>
      <c r="U2620" s="99"/>
    </row>
    <row r="2621" spans="20:21" x14ac:dyDescent="0.25">
      <c r="T2621" s="98"/>
      <c r="U2621" s="99"/>
    </row>
    <row r="2622" spans="20:21" x14ac:dyDescent="0.25">
      <c r="T2622" s="98"/>
      <c r="U2622" s="99"/>
    </row>
    <row r="2623" spans="20:21" x14ac:dyDescent="0.25">
      <c r="T2623" s="98"/>
      <c r="U2623" s="99"/>
    </row>
    <row r="2624" spans="20:21" x14ac:dyDescent="0.25">
      <c r="T2624" s="98"/>
      <c r="U2624" s="99"/>
    </row>
    <row r="2625" spans="20:21" x14ac:dyDescent="0.25">
      <c r="T2625" s="98"/>
      <c r="U2625" s="99"/>
    </row>
    <row r="2626" spans="20:21" x14ac:dyDescent="0.25">
      <c r="T2626" s="98"/>
      <c r="U2626" s="99"/>
    </row>
    <row r="2627" spans="20:21" x14ac:dyDescent="0.25">
      <c r="T2627" s="98"/>
      <c r="U2627" s="99"/>
    </row>
    <row r="2628" spans="20:21" x14ac:dyDescent="0.25">
      <c r="T2628" s="98"/>
      <c r="U2628" s="99"/>
    </row>
    <row r="2629" spans="20:21" x14ac:dyDescent="0.25">
      <c r="T2629" s="98"/>
      <c r="U2629" s="99"/>
    </row>
    <row r="2630" spans="20:21" x14ac:dyDescent="0.25">
      <c r="T2630" s="98"/>
      <c r="U2630" s="99"/>
    </row>
    <row r="2631" spans="20:21" x14ac:dyDescent="0.25">
      <c r="T2631" s="98"/>
      <c r="U2631" s="99"/>
    </row>
    <row r="2632" spans="20:21" x14ac:dyDescent="0.25">
      <c r="T2632" s="98"/>
      <c r="U2632" s="99"/>
    </row>
    <row r="2633" spans="20:21" x14ac:dyDescent="0.25">
      <c r="T2633" s="98"/>
      <c r="U2633" s="99"/>
    </row>
    <row r="2634" spans="20:21" x14ac:dyDescent="0.25">
      <c r="T2634" s="98"/>
      <c r="U2634" s="99"/>
    </row>
    <row r="2635" spans="20:21" x14ac:dyDescent="0.25">
      <c r="T2635" s="98"/>
      <c r="U2635" s="99"/>
    </row>
    <row r="2636" spans="20:21" x14ac:dyDescent="0.25">
      <c r="T2636" s="98"/>
      <c r="U2636" s="99"/>
    </row>
    <row r="2637" spans="20:21" x14ac:dyDescent="0.25">
      <c r="T2637" s="98"/>
      <c r="U2637" s="99"/>
    </row>
    <row r="2638" spans="20:21" x14ac:dyDescent="0.25">
      <c r="T2638" s="98"/>
      <c r="U2638" s="99"/>
    </row>
    <row r="2639" spans="20:21" x14ac:dyDescent="0.25">
      <c r="T2639" s="98"/>
      <c r="U2639" s="99"/>
    </row>
    <row r="2640" spans="20:21" x14ac:dyDescent="0.25">
      <c r="T2640" s="98"/>
      <c r="U2640" s="99"/>
    </row>
    <row r="2641" spans="20:21" x14ac:dyDescent="0.25">
      <c r="T2641" s="98"/>
      <c r="U2641" s="99"/>
    </row>
    <row r="2642" spans="20:21" x14ac:dyDescent="0.25">
      <c r="T2642" s="98"/>
      <c r="U2642" s="99"/>
    </row>
    <row r="2643" spans="20:21" x14ac:dyDescent="0.25">
      <c r="T2643" s="98"/>
      <c r="U2643" s="99"/>
    </row>
    <row r="2644" spans="20:21" x14ac:dyDescent="0.25">
      <c r="T2644" s="98"/>
      <c r="U2644" s="99"/>
    </row>
    <row r="2645" spans="20:21" x14ac:dyDescent="0.25">
      <c r="T2645" s="98"/>
      <c r="U2645" s="99"/>
    </row>
    <row r="2646" spans="20:21" x14ac:dyDescent="0.25">
      <c r="T2646" s="98"/>
      <c r="U2646" s="99"/>
    </row>
    <row r="2647" spans="20:21" x14ac:dyDescent="0.25">
      <c r="T2647" s="98"/>
      <c r="U2647" s="99"/>
    </row>
    <row r="2648" spans="20:21" x14ac:dyDescent="0.25">
      <c r="T2648" s="98"/>
      <c r="U2648" s="99"/>
    </row>
    <row r="2649" spans="20:21" x14ac:dyDescent="0.25">
      <c r="T2649" s="98"/>
      <c r="U2649" s="99"/>
    </row>
    <row r="2650" spans="20:21" x14ac:dyDescent="0.25">
      <c r="T2650" s="98"/>
      <c r="U2650" s="99"/>
    </row>
    <row r="2651" spans="20:21" x14ac:dyDescent="0.25">
      <c r="T2651" s="98"/>
      <c r="U2651" s="99"/>
    </row>
    <row r="2652" spans="20:21" x14ac:dyDescent="0.25">
      <c r="T2652" s="98"/>
      <c r="U2652" s="99"/>
    </row>
    <row r="2653" spans="20:21" x14ac:dyDescent="0.25">
      <c r="T2653" s="98"/>
      <c r="U2653" s="99"/>
    </row>
    <row r="2654" spans="20:21" x14ac:dyDescent="0.25">
      <c r="T2654" s="98"/>
      <c r="U2654" s="99"/>
    </row>
    <row r="2655" spans="20:21" x14ac:dyDescent="0.25">
      <c r="T2655" s="98"/>
      <c r="U2655" s="99"/>
    </row>
    <row r="2656" spans="20:21" x14ac:dyDescent="0.25">
      <c r="T2656" s="98"/>
      <c r="U2656" s="99"/>
    </row>
    <row r="2657" spans="20:21" x14ac:dyDescent="0.25">
      <c r="T2657" s="98"/>
      <c r="U2657" s="99"/>
    </row>
    <row r="2658" spans="20:21" x14ac:dyDescent="0.25">
      <c r="T2658" s="98"/>
      <c r="U2658" s="99"/>
    </row>
    <row r="2659" spans="20:21" x14ac:dyDescent="0.25">
      <c r="T2659" s="98"/>
      <c r="U2659" s="99"/>
    </row>
    <row r="2660" spans="20:21" x14ac:dyDescent="0.25">
      <c r="T2660" s="98"/>
      <c r="U2660" s="99"/>
    </row>
    <row r="2661" spans="20:21" x14ac:dyDescent="0.25">
      <c r="T2661" s="98"/>
      <c r="U2661" s="99"/>
    </row>
    <row r="2662" spans="20:21" x14ac:dyDescent="0.25">
      <c r="T2662" s="98"/>
      <c r="U2662" s="99"/>
    </row>
    <row r="2663" spans="20:21" x14ac:dyDescent="0.25">
      <c r="T2663" s="98"/>
      <c r="U2663" s="99"/>
    </row>
    <row r="2664" spans="20:21" x14ac:dyDescent="0.25">
      <c r="T2664" s="98"/>
      <c r="U2664" s="99"/>
    </row>
    <row r="2665" spans="20:21" x14ac:dyDescent="0.25">
      <c r="T2665" s="98"/>
      <c r="U2665" s="99"/>
    </row>
    <row r="2666" spans="20:21" x14ac:dyDescent="0.25">
      <c r="T2666" s="98"/>
      <c r="U2666" s="99"/>
    </row>
    <row r="2667" spans="20:21" x14ac:dyDescent="0.25">
      <c r="T2667" s="98"/>
      <c r="U2667" s="99"/>
    </row>
    <row r="2668" spans="20:21" x14ac:dyDescent="0.25">
      <c r="T2668" s="98"/>
      <c r="U2668" s="99"/>
    </row>
    <row r="2669" spans="20:21" x14ac:dyDescent="0.25">
      <c r="T2669" s="98"/>
      <c r="U2669" s="99"/>
    </row>
    <row r="2670" spans="20:21" x14ac:dyDescent="0.25">
      <c r="T2670" s="98"/>
      <c r="U2670" s="99"/>
    </row>
    <row r="2671" spans="20:21" x14ac:dyDescent="0.25">
      <c r="T2671" s="98"/>
      <c r="U2671" s="99"/>
    </row>
    <row r="2672" spans="20:21" x14ac:dyDescent="0.25">
      <c r="T2672" s="98"/>
      <c r="U2672" s="99"/>
    </row>
    <row r="2673" spans="20:21" x14ac:dyDescent="0.25">
      <c r="T2673" s="98"/>
      <c r="U2673" s="99"/>
    </row>
    <row r="2674" spans="20:21" x14ac:dyDescent="0.25">
      <c r="T2674" s="98"/>
      <c r="U2674" s="99"/>
    </row>
    <row r="2675" spans="20:21" x14ac:dyDescent="0.25">
      <c r="T2675" s="98"/>
      <c r="U2675" s="99"/>
    </row>
    <row r="2676" spans="20:21" x14ac:dyDescent="0.25">
      <c r="T2676" s="98"/>
      <c r="U2676" s="99"/>
    </row>
    <row r="2677" spans="20:21" x14ac:dyDescent="0.25">
      <c r="T2677" s="98"/>
      <c r="U2677" s="99"/>
    </row>
    <row r="2678" spans="20:21" x14ac:dyDescent="0.25">
      <c r="T2678" s="98"/>
      <c r="U2678" s="99"/>
    </row>
    <row r="2679" spans="20:21" x14ac:dyDescent="0.25">
      <c r="T2679" s="98"/>
      <c r="U2679" s="99"/>
    </row>
    <row r="2680" spans="20:21" x14ac:dyDescent="0.25">
      <c r="T2680" s="98"/>
      <c r="U2680" s="99"/>
    </row>
    <row r="2681" spans="20:21" x14ac:dyDescent="0.25">
      <c r="T2681" s="98"/>
      <c r="U2681" s="99"/>
    </row>
    <row r="2682" spans="20:21" x14ac:dyDescent="0.25">
      <c r="T2682" s="98"/>
      <c r="U2682" s="99"/>
    </row>
    <row r="2683" spans="20:21" x14ac:dyDescent="0.25">
      <c r="T2683" s="98"/>
      <c r="U2683" s="99"/>
    </row>
    <row r="2684" spans="20:21" x14ac:dyDescent="0.25">
      <c r="T2684" s="98"/>
      <c r="U2684" s="99"/>
    </row>
    <row r="2685" spans="20:21" x14ac:dyDescent="0.25">
      <c r="T2685" s="98"/>
      <c r="U2685" s="99"/>
    </row>
    <row r="2686" spans="20:21" x14ac:dyDescent="0.25">
      <c r="T2686" s="98"/>
      <c r="U2686" s="99"/>
    </row>
    <row r="2687" spans="20:21" x14ac:dyDescent="0.25">
      <c r="T2687" s="98"/>
      <c r="U2687" s="99"/>
    </row>
    <row r="2688" spans="20:21" x14ac:dyDescent="0.25">
      <c r="T2688" s="98"/>
      <c r="U2688" s="99"/>
    </row>
    <row r="2689" spans="20:21" x14ac:dyDescent="0.25">
      <c r="T2689" s="98"/>
      <c r="U2689" s="99"/>
    </row>
    <row r="2690" spans="20:21" x14ac:dyDescent="0.25">
      <c r="T2690" s="98"/>
      <c r="U2690" s="99"/>
    </row>
    <row r="2691" spans="20:21" x14ac:dyDescent="0.25">
      <c r="T2691" s="98"/>
      <c r="U2691" s="99"/>
    </row>
    <row r="2692" spans="20:21" x14ac:dyDescent="0.25">
      <c r="T2692" s="98"/>
      <c r="U2692" s="99"/>
    </row>
    <row r="2693" spans="20:21" x14ac:dyDescent="0.25">
      <c r="T2693" s="98"/>
      <c r="U2693" s="99"/>
    </row>
    <row r="2694" spans="20:21" x14ac:dyDescent="0.25">
      <c r="T2694" s="98"/>
      <c r="U2694" s="99"/>
    </row>
    <row r="2695" spans="20:21" x14ac:dyDescent="0.25">
      <c r="T2695" s="98"/>
      <c r="U2695" s="99"/>
    </row>
    <row r="2696" spans="20:21" x14ac:dyDescent="0.25">
      <c r="T2696" s="98"/>
      <c r="U2696" s="99"/>
    </row>
    <row r="2697" spans="20:21" x14ac:dyDescent="0.25">
      <c r="T2697" s="98"/>
      <c r="U2697" s="99"/>
    </row>
    <row r="2698" spans="20:21" x14ac:dyDescent="0.25">
      <c r="T2698" s="98"/>
      <c r="U2698" s="99"/>
    </row>
    <row r="2699" spans="20:21" x14ac:dyDescent="0.25">
      <c r="T2699" s="98"/>
      <c r="U2699" s="99"/>
    </row>
    <row r="2700" spans="20:21" x14ac:dyDescent="0.25">
      <c r="T2700" s="98"/>
      <c r="U2700" s="99"/>
    </row>
    <row r="2701" spans="20:21" x14ac:dyDescent="0.25">
      <c r="T2701" s="98"/>
      <c r="U2701" s="99"/>
    </row>
    <row r="2702" spans="20:21" x14ac:dyDescent="0.25">
      <c r="T2702" s="98"/>
      <c r="U2702" s="99"/>
    </row>
    <row r="2703" spans="20:21" x14ac:dyDescent="0.25">
      <c r="T2703" s="98"/>
      <c r="U2703" s="99"/>
    </row>
    <row r="2704" spans="20:21" x14ac:dyDescent="0.25">
      <c r="T2704" s="98"/>
      <c r="U2704" s="99"/>
    </row>
    <row r="2705" spans="20:21" x14ac:dyDescent="0.25">
      <c r="T2705" s="98"/>
      <c r="U2705" s="99"/>
    </row>
    <row r="2706" spans="20:21" x14ac:dyDescent="0.25">
      <c r="T2706" s="98"/>
      <c r="U2706" s="99"/>
    </row>
    <row r="2707" spans="20:21" x14ac:dyDescent="0.25">
      <c r="T2707" s="98"/>
      <c r="U2707" s="99"/>
    </row>
    <row r="2708" spans="20:21" x14ac:dyDescent="0.25">
      <c r="T2708" s="98"/>
      <c r="U2708" s="99"/>
    </row>
    <row r="2709" spans="20:21" x14ac:dyDescent="0.25">
      <c r="T2709" s="98"/>
      <c r="U2709" s="99"/>
    </row>
    <row r="2710" spans="20:21" x14ac:dyDescent="0.25">
      <c r="T2710" s="98"/>
      <c r="U2710" s="99"/>
    </row>
    <row r="2711" spans="20:21" x14ac:dyDescent="0.25">
      <c r="T2711" s="98"/>
      <c r="U2711" s="99"/>
    </row>
    <row r="2712" spans="20:21" x14ac:dyDescent="0.25">
      <c r="T2712" s="98"/>
      <c r="U2712" s="99"/>
    </row>
    <row r="2713" spans="20:21" x14ac:dyDescent="0.25">
      <c r="T2713" s="98"/>
      <c r="U2713" s="99"/>
    </row>
    <row r="2714" spans="20:21" x14ac:dyDescent="0.25">
      <c r="T2714" s="98"/>
      <c r="U2714" s="99"/>
    </row>
    <row r="2715" spans="20:21" x14ac:dyDescent="0.25">
      <c r="T2715" s="98"/>
      <c r="U2715" s="99"/>
    </row>
    <row r="2716" spans="20:21" x14ac:dyDescent="0.25">
      <c r="T2716" s="98"/>
      <c r="U2716" s="99"/>
    </row>
    <row r="2717" spans="20:21" x14ac:dyDescent="0.25">
      <c r="T2717" s="98"/>
      <c r="U2717" s="99"/>
    </row>
    <row r="2718" spans="20:21" x14ac:dyDescent="0.25">
      <c r="T2718" s="98"/>
      <c r="U2718" s="99"/>
    </row>
    <row r="2719" spans="20:21" x14ac:dyDescent="0.25">
      <c r="T2719" s="98"/>
      <c r="U2719" s="99"/>
    </row>
    <row r="2720" spans="20:21" x14ac:dyDescent="0.25">
      <c r="T2720" s="98"/>
      <c r="U2720" s="99"/>
    </row>
    <row r="2721" spans="20:21" x14ac:dyDescent="0.25">
      <c r="T2721" s="98"/>
      <c r="U2721" s="99"/>
    </row>
    <row r="2722" spans="20:21" x14ac:dyDescent="0.25">
      <c r="T2722" s="98"/>
      <c r="U2722" s="99"/>
    </row>
    <row r="2723" spans="20:21" x14ac:dyDescent="0.25">
      <c r="T2723" s="98"/>
      <c r="U2723" s="99"/>
    </row>
    <row r="2724" spans="20:21" x14ac:dyDescent="0.25">
      <c r="T2724" s="98"/>
      <c r="U2724" s="99"/>
    </row>
    <row r="2725" spans="20:21" x14ac:dyDescent="0.25">
      <c r="T2725" s="98"/>
      <c r="U2725" s="99"/>
    </row>
    <row r="2726" spans="20:21" x14ac:dyDescent="0.25">
      <c r="T2726" s="98"/>
      <c r="U2726" s="99"/>
    </row>
    <row r="2727" spans="20:21" x14ac:dyDescent="0.25">
      <c r="T2727" s="98"/>
      <c r="U2727" s="99"/>
    </row>
    <row r="2728" spans="20:21" x14ac:dyDescent="0.25">
      <c r="T2728" s="98"/>
      <c r="U2728" s="99"/>
    </row>
    <row r="2729" spans="20:21" x14ac:dyDescent="0.25">
      <c r="T2729" s="98"/>
      <c r="U2729" s="99"/>
    </row>
    <row r="2730" spans="20:21" x14ac:dyDescent="0.25">
      <c r="T2730" s="98"/>
      <c r="U2730" s="99"/>
    </row>
    <row r="2731" spans="20:21" x14ac:dyDescent="0.25">
      <c r="T2731" s="98"/>
      <c r="U2731" s="99"/>
    </row>
    <row r="2732" spans="20:21" x14ac:dyDescent="0.25">
      <c r="T2732" s="98"/>
      <c r="U2732" s="99"/>
    </row>
    <row r="2733" spans="20:21" x14ac:dyDescent="0.25">
      <c r="T2733" s="98"/>
      <c r="U2733" s="99"/>
    </row>
    <row r="2734" spans="20:21" x14ac:dyDescent="0.25">
      <c r="T2734" s="98"/>
      <c r="U2734" s="99"/>
    </row>
    <row r="2735" spans="20:21" x14ac:dyDescent="0.25">
      <c r="T2735" s="98"/>
      <c r="U2735" s="99"/>
    </row>
    <row r="2736" spans="20:21" x14ac:dyDescent="0.25">
      <c r="T2736" s="98"/>
      <c r="U2736" s="99"/>
    </row>
    <row r="2737" spans="20:21" x14ac:dyDescent="0.25">
      <c r="T2737" s="98"/>
      <c r="U2737" s="99"/>
    </row>
    <row r="2738" spans="20:21" x14ac:dyDescent="0.25">
      <c r="T2738" s="98"/>
      <c r="U2738" s="99"/>
    </row>
    <row r="2739" spans="20:21" x14ac:dyDescent="0.25">
      <c r="T2739" s="98"/>
      <c r="U2739" s="99"/>
    </row>
    <row r="2740" spans="20:21" x14ac:dyDescent="0.25">
      <c r="T2740" s="98"/>
      <c r="U2740" s="99"/>
    </row>
    <row r="2741" spans="20:21" x14ac:dyDescent="0.25">
      <c r="T2741" s="98"/>
      <c r="U2741" s="99"/>
    </row>
    <row r="2742" spans="20:21" x14ac:dyDescent="0.25">
      <c r="T2742" s="98"/>
      <c r="U2742" s="99"/>
    </row>
    <row r="2743" spans="20:21" x14ac:dyDescent="0.25">
      <c r="T2743" s="98"/>
      <c r="U2743" s="99"/>
    </row>
    <row r="2744" spans="20:21" x14ac:dyDescent="0.25">
      <c r="T2744" s="98"/>
      <c r="U2744" s="99"/>
    </row>
    <row r="2745" spans="20:21" x14ac:dyDescent="0.25">
      <c r="T2745" s="98"/>
      <c r="U2745" s="99"/>
    </row>
    <row r="2746" spans="20:21" x14ac:dyDescent="0.25">
      <c r="T2746" s="98"/>
      <c r="U2746" s="99"/>
    </row>
    <row r="2747" spans="20:21" x14ac:dyDescent="0.25">
      <c r="T2747" s="98"/>
      <c r="U2747" s="99"/>
    </row>
    <row r="2748" spans="20:21" x14ac:dyDescent="0.25">
      <c r="T2748" s="98"/>
      <c r="U2748" s="99"/>
    </row>
    <row r="2749" spans="20:21" x14ac:dyDescent="0.25">
      <c r="T2749" s="98"/>
      <c r="U2749" s="99"/>
    </row>
    <row r="2750" spans="20:21" x14ac:dyDescent="0.25">
      <c r="T2750" s="98"/>
      <c r="U2750" s="99"/>
    </row>
    <row r="2751" spans="20:21" x14ac:dyDescent="0.25">
      <c r="T2751" s="98"/>
      <c r="U2751" s="99"/>
    </row>
    <row r="2752" spans="20:21" x14ac:dyDescent="0.25">
      <c r="T2752" s="98"/>
      <c r="U2752" s="99"/>
    </row>
    <row r="2753" spans="20:21" x14ac:dyDescent="0.25">
      <c r="T2753" s="98"/>
      <c r="U2753" s="99"/>
    </row>
    <row r="2754" spans="20:21" x14ac:dyDescent="0.25">
      <c r="T2754" s="98"/>
      <c r="U2754" s="99"/>
    </row>
    <row r="2755" spans="20:21" x14ac:dyDescent="0.25">
      <c r="T2755" s="98"/>
      <c r="U2755" s="99"/>
    </row>
    <row r="2756" spans="20:21" x14ac:dyDescent="0.25">
      <c r="T2756" s="98"/>
      <c r="U2756" s="99"/>
    </row>
    <row r="2757" spans="20:21" x14ac:dyDescent="0.25">
      <c r="T2757" s="98"/>
      <c r="U2757" s="99"/>
    </row>
    <row r="2758" spans="20:21" x14ac:dyDescent="0.25">
      <c r="T2758" s="98"/>
      <c r="U2758" s="99"/>
    </row>
    <row r="2759" spans="20:21" x14ac:dyDescent="0.25">
      <c r="T2759" s="98"/>
      <c r="U2759" s="99"/>
    </row>
    <row r="2760" spans="20:21" x14ac:dyDescent="0.25">
      <c r="T2760" s="98"/>
      <c r="U2760" s="99"/>
    </row>
    <row r="2761" spans="20:21" x14ac:dyDescent="0.25">
      <c r="T2761" s="98"/>
      <c r="U2761" s="99"/>
    </row>
    <row r="2762" spans="20:21" x14ac:dyDescent="0.25">
      <c r="T2762" s="98"/>
      <c r="U2762" s="99"/>
    </row>
    <row r="2763" spans="20:21" x14ac:dyDescent="0.25">
      <c r="T2763" s="98"/>
      <c r="U2763" s="99"/>
    </row>
    <row r="2764" spans="20:21" x14ac:dyDescent="0.25">
      <c r="T2764" s="98"/>
      <c r="U2764" s="99"/>
    </row>
    <row r="2765" spans="20:21" x14ac:dyDescent="0.25">
      <c r="T2765" s="98"/>
      <c r="U2765" s="99"/>
    </row>
    <row r="2766" spans="20:21" x14ac:dyDescent="0.25">
      <c r="T2766" s="98"/>
      <c r="U2766" s="99"/>
    </row>
    <row r="2767" spans="20:21" x14ac:dyDescent="0.25">
      <c r="T2767" s="98"/>
      <c r="U2767" s="99"/>
    </row>
    <row r="2768" spans="20:21" x14ac:dyDescent="0.25">
      <c r="T2768" s="98"/>
      <c r="U2768" s="99"/>
    </row>
    <row r="2769" spans="20:21" x14ac:dyDescent="0.25">
      <c r="T2769" s="98"/>
      <c r="U2769" s="99"/>
    </row>
    <row r="2770" spans="20:21" x14ac:dyDescent="0.25">
      <c r="T2770" s="98"/>
      <c r="U2770" s="99"/>
    </row>
    <row r="2771" spans="20:21" x14ac:dyDescent="0.25">
      <c r="T2771" s="98"/>
      <c r="U2771" s="99"/>
    </row>
    <row r="2772" spans="20:21" x14ac:dyDescent="0.25">
      <c r="T2772" s="98"/>
      <c r="U2772" s="99"/>
    </row>
    <row r="2773" spans="20:21" x14ac:dyDescent="0.25">
      <c r="T2773" s="98"/>
      <c r="U2773" s="99"/>
    </row>
    <row r="2774" spans="20:21" x14ac:dyDescent="0.25">
      <c r="T2774" s="98"/>
      <c r="U2774" s="99"/>
    </row>
    <row r="2775" spans="20:21" x14ac:dyDescent="0.25">
      <c r="T2775" s="98"/>
      <c r="U2775" s="99"/>
    </row>
    <row r="2776" spans="20:21" x14ac:dyDescent="0.25">
      <c r="T2776" s="98"/>
      <c r="U2776" s="99"/>
    </row>
    <row r="2777" spans="20:21" x14ac:dyDescent="0.25">
      <c r="T2777" s="98"/>
      <c r="U2777" s="99"/>
    </row>
    <row r="2778" spans="20:21" x14ac:dyDescent="0.25">
      <c r="T2778" s="98"/>
      <c r="U2778" s="99"/>
    </row>
    <row r="2779" spans="20:21" x14ac:dyDescent="0.25">
      <c r="T2779" s="98"/>
      <c r="U2779" s="99"/>
    </row>
    <row r="2780" spans="20:21" x14ac:dyDescent="0.25">
      <c r="T2780" s="98"/>
      <c r="U2780" s="99"/>
    </row>
    <row r="2781" spans="20:21" x14ac:dyDescent="0.25">
      <c r="T2781" s="98"/>
      <c r="U2781" s="99"/>
    </row>
    <row r="2782" spans="20:21" x14ac:dyDescent="0.25">
      <c r="T2782" s="98"/>
      <c r="U2782" s="99"/>
    </row>
    <row r="2783" spans="20:21" x14ac:dyDescent="0.25">
      <c r="T2783" s="98"/>
      <c r="U2783" s="99"/>
    </row>
    <row r="2784" spans="20:21" x14ac:dyDescent="0.25">
      <c r="T2784" s="98"/>
      <c r="U2784" s="99"/>
    </row>
    <row r="2785" spans="20:21" x14ac:dyDescent="0.25">
      <c r="T2785" s="98"/>
      <c r="U2785" s="99"/>
    </row>
    <row r="2786" spans="20:21" x14ac:dyDescent="0.25">
      <c r="T2786" s="98"/>
      <c r="U2786" s="99"/>
    </row>
    <row r="2787" spans="20:21" x14ac:dyDescent="0.25">
      <c r="T2787" s="98"/>
      <c r="U2787" s="99"/>
    </row>
    <row r="2788" spans="20:21" x14ac:dyDescent="0.25">
      <c r="T2788" s="98"/>
      <c r="U2788" s="99"/>
    </row>
    <row r="2789" spans="20:21" x14ac:dyDescent="0.25">
      <c r="T2789" s="98"/>
      <c r="U2789" s="99"/>
    </row>
    <row r="2790" spans="20:21" x14ac:dyDescent="0.25">
      <c r="T2790" s="98"/>
      <c r="U2790" s="99"/>
    </row>
    <row r="2791" spans="20:21" x14ac:dyDescent="0.25">
      <c r="T2791" s="98"/>
      <c r="U2791" s="99"/>
    </row>
    <row r="2792" spans="20:21" x14ac:dyDescent="0.25">
      <c r="T2792" s="98"/>
      <c r="U2792" s="99"/>
    </row>
    <row r="2793" spans="20:21" x14ac:dyDescent="0.25">
      <c r="T2793" s="98"/>
      <c r="U2793" s="99"/>
    </row>
    <row r="2794" spans="20:21" x14ac:dyDescent="0.25">
      <c r="T2794" s="98"/>
      <c r="U2794" s="99"/>
    </row>
    <row r="2795" spans="20:21" x14ac:dyDescent="0.25">
      <c r="T2795" s="98"/>
      <c r="U2795" s="99"/>
    </row>
    <row r="2796" spans="20:21" x14ac:dyDescent="0.25">
      <c r="T2796" s="98"/>
      <c r="U2796" s="99"/>
    </row>
    <row r="2797" spans="20:21" x14ac:dyDescent="0.25">
      <c r="T2797" s="98"/>
      <c r="U2797" s="99"/>
    </row>
    <row r="2798" spans="20:21" x14ac:dyDescent="0.25">
      <c r="T2798" s="98"/>
      <c r="U2798" s="99"/>
    </row>
    <row r="2799" spans="20:21" x14ac:dyDescent="0.25">
      <c r="T2799" s="98"/>
      <c r="U2799" s="99"/>
    </row>
    <row r="2800" spans="20:21" x14ac:dyDescent="0.25">
      <c r="T2800" s="98"/>
      <c r="U2800" s="99"/>
    </row>
    <row r="2801" spans="20:21" x14ac:dyDescent="0.25">
      <c r="T2801" s="98"/>
      <c r="U2801" s="99"/>
    </row>
    <row r="2802" spans="20:21" x14ac:dyDescent="0.25">
      <c r="T2802" s="98"/>
      <c r="U2802" s="99"/>
    </row>
    <row r="2803" spans="20:21" x14ac:dyDescent="0.25">
      <c r="T2803" s="98"/>
      <c r="U2803" s="99"/>
    </row>
    <row r="2804" spans="20:21" x14ac:dyDescent="0.25">
      <c r="T2804" s="98"/>
      <c r="U2804" s="99"/>
    </row>
    <row r="2805" spans="20:21" x14ac:dyDescent="0.25">
      <c r="T2805" s="98"/>
      <c r="U2805" s="99"/>
    </row>
    <row r="2806" spans="20:21" x14ac:dyDescent="0.25">
      <c r="T2806" s="98"/>
      <c r="U2806" s="99"/>
    </row>
    <row r="2807" spans="20:21" x14ac:dyDescent="0.25">
      <c r="T2807" s="98"/>
      <c r="U2807" s="99"/>
    </row>
    <row r="2808" spans="20:21" x14ac:dyDescent="0.25">
      <c r="T2808" s="98"/>
      <c r="U2808" s="99"/>
    </row>
    <row r="2809" spans="20:21" x14ac:dyDescent="0.25">
      <c r="T2809" s="98"/>
      <c r="U2809" s="99"/>
    </row>
    <row r="2810" spans="20:21" x14ac:dyDescent="0.25">
      <c r="T2810" s="98"/>
      <c r="U2810" s="99"/>
    </row>
    <row r="2811" spans="20:21" x14ac:dyDescent="0.25">
      <c r="T2811" s="98"/>
      <c r="U2811" s="99"/>
    </row>
    <row r="2812" spans="20:21" x14ac:dyDescent="0.25">
      <c r="T2812" s="98"/>
      <c r="U2812" s="99"/>
    </row>
    <row r="2813" spans="20:21" x14ac:dyDescent="0.25">
      <c r="T2813" s="98"/>
      <c r="U2813" s="99"/>
    </row>
    <row r="2814" spans="20:21" x14ac:dyDescent="0.25">
      <c r="T2814" s="98"/>
      <c r="U2814" s="99"/>
    </row>
    <row r="2815" spans="20:21" x14ac:dyDescent="0.25">
      <c r="T2815" s="98"/>
      <c r="U2815" s="99"/>
    </row>
    <row r="2816" spans="20:21" x14ac:dyDescent="0.25">
      <c r="T2816" s="98"/>
      <c r="U2816" s="99"/>
    </row>
    <row r="2817" spans="20:21" x14ac:dyDescent="0.25">
      <c r="T2817" s="98"/>
      <c r="U2817" s="99"/>
    </row>
    <row r="2818" spans="20:21" x14ac:dyDescent="0.25">
      <c r="T2818" s="98"/>
      <c r="U2818" s="99"/>
    </row>
    <row r="2819" spans="20:21" x14ac:dyDescent="0.25">
      <c r="T2819" s="98"/>
      <c r="U2819" s="99"/>
    </row>
    <row r="2820" spans="20:21" x14ac:dyDescent="0.25">
      <c r="T2820" s="98"/>
      <c r="U2820" s="99"/>
    </row>
    <row r="2821" spans="20:21" x14ac:dyDescent="0.25">
      <c r="T2821" s="98"/>
      <c r="U2821" s="99"/>
    </row>
    <row r="2822" spans="20:21" x14ac:dyDescent="0.25">
      <c r="T2822" s="98"/>
      <c r="U2822" s="99"/>
    </row>
    <row r="2823" spans="20:21" x14ac:dyDescent="0.25">
      <c r="T2823" s="98"/>
      <c r="U2823" s="99"/>
    </row>
    <row r="2824" spans="20:21" x14ac:dyDescent="0.25">
      <c r="T2824" s="98"/>
      <c r="U2824" s="99"/>
    </row>
    <row r="2825" spans="20:21" x14ac:dyDescent="0.25">
      <c r="T2825" s="98"/>
      <c r="U2825" s="99"/>
    </row>
    <row r="2826" spans="20:21" x14ac:dyDescent="0.25">
      <c r="T2826" s="98"/>
      <c r="U2826" s="99"/>
    </row>
    <row r="2827" spans="20:21" x14ac:dyDescent="0.25">
      <c r="T2827" s="98"/>
      <c r="U2827" s="99"/>
    </row>
    <row r="2828" spans="20:21" x14ac:dyDescent="0.25">
      <c r="T2828" s="98"/>
      <c r="U2828" s="99"/>
    </row>
    <row r="2829" spans="20:21" x14ac:dyDescent="0.25">
      <c r="T2829" s="98"/>
      <c r="U2829" s="99"/>
    </row>
    <row r="2830" spans="20:21" x14ac:dyDescent="0.25">
      <c r="T2830" s="98"/>
      <c r="U2830" s="99"/>
    </row>
    <row r="2831" spans="20:21" x14ac:dyDescent="0.25">
      <c r="T2831" s="98"/>
      <c r="U2831" s="99"/>
    </row>
    <row r="2832" spans="20:21" x14ac:dyDescent="0.25">
      <c r="T2832" s="98"/>
      <c r="U2832" s="99"/>
    </row>
    <row r="2833" spans="20:21" x14ac:dyDescent="0.25">
      <c r="T2833" s="98"/>
      <c r="U2833" s="99"/>
    </row>
    <row r="2834" spans="20:21" x14ac:dyDescent="0.25">
      <c r="T2834" s="98"/>
      <c r="U2834" s="99"/>
    </row>
    <row r="2835" spans="20:21" x14ac:dyDescent="0.25">
      <c r="T2835" s="98"/>
      <c r="U2835" s="99"/>
    </row>
    <row r="2836" spans="20:21" x14ac:dyDescent="0.25">
      <c r="T2836" s="98"/>
      <c r="U2836" s="99"/>
    </row>
    <row r="2837" spans="20:21" x14ac:dyDescent="0.25">
      <c r="T2837" s="98"/>
      <c r="U2837" s="99"/>
    </row>
    <row r="2838" spans="20:21" x14ac:dyDescent="0.25">
      <c r="T2838" s="98"/>
      <c r="U2838" s="99"/>
    </row>
    <row r="2839" spans="20:21" x14ac:dyDescent="0.25">
      <c r="T2839" s="98"/>
      <c r="U2839" s="99"/>
    </row>
    <row r="2840" spans="20:21" x14ac:dyDescent="0.25">
      <c r="T2840" s="98"/>
      <c r="U2840" s="99"/>
    </row>
    <row r="2841" spans="20:21" x14ac:dyDescent="0.25">
      <c r="T2841" s="98"/>
      <c r="U2841" s="99"/>
    </row>
    <row r="2842" spans="20:21" x14ac:dyDescent="0.25">
      <c r="T2842" s="98"/>
      <c r="U2842" s="99"/>
    </row>
    <row r="2843" spans="20:21" x14ac:dyDescent="0.25">
      <c r="T2843" s="98"/>
      <c r="U2843" s="99"/>
    </row>
    <row r="2844" spans="20:21" x14ac:dyDescent="0.25">
      <c r="T2844" s="98"/>
      <c r="U2844" s="99"/>
    </row>
    <row r="2845" spans="20:21" x14ac:dyDescent="0.25">
      <c r="T2845" s="98"/>
      <c r="U2845" s="99"/>
    </row>
    <row r="2846" spans="20:21" x14ac:dyDescent="0.25">
      <c r="T2846" s="98"/>
      <c r="U2846" s="99"/>
    </row>
    <row r="2847" spans="20:21" x14ac:dyDescent="0.25">
      <c r="T2847" s="98"/>
      <c r="U2847" s="99"/>
    </row>
    <row r="2848" spans="20:21" x14ac:dyDescent="0.25">
      <c r="T2848" s="98"/>
      <c r="U2848" s="99"/>
    </row>
    <row r="2849" spans="20:21" x14ac:dyDescent="0.25">
      <c r="T2849" s="98"/>
      <c r="U2849" s="99"/>
    </row>
    <row r="2850" spans="20:21" x14ac:dyDescent="0.25">
      <c r="T2850" s="98"/>
      <c r="U2850" s="99"/>
    </row>
    <row r="2851" spans="20:21" x14ac:dyDescent="0.25">
      <c r="T2851" s="98"/>
      <c r="U2851" s="99"/>
    </row>
    <row r="2852" spans="20:21" x14ac:dyDescent="0.25">
      <c r="T2852" s="98"/>
      <c r="U2852" s="99"/>
    </row>
    <row r="2853" spans="20:21" x14ac:dyDescent="0.25">
      <c r="T2853" s="98"/>
      <c r="U2853" s="99"/>
    </row>
    <row r="2854" spans="20:21" x14ac:dyDescent="0.25">
      <c r="T2854" s="98"/>
      <c r="U2854" s="99"/>
    </row>
    <row r="2855" spans="20:21" x14ac:dyDescent="0.25">
      <c r="T2855" s="98"/>
      <c r="U2855" s="99"/>
    </row>
    <row r="2856" spans="20:21" x14ac:dyDescent="0.25">
      <c r="T2856" s="98"/>
      <c r="U2856" s="99"/>
    </row>
    <row r="2857" spans="20:21" x14ac:dyDescent="0.25">
      <c r="T2857" s="98"/>
      <c r="U2857" s="99"/>
    </row>
    <row r="2858" spans="20:21" x14ac:dyDescent="0.25">
      <c r="T2858" s="98"/>
      <c r="U2858" s="99"/>
    </row>
    <row r="2859" spans="20:21" x14ac:dyDescent="0.25">
      <c r="T2859" s="98"/>
      <c r="U2859" s="99"/>
    </row>
    <row r="2860" spans="20:21" x14ac:dyDescent="0.25">
      <c r="T2860" s="98"/>
      <c r="U2860" s="99"/>
    </row>
    <row r="2861" spans="20:21" x14ac:dyDescent="0.25">
      <c r="T2861" s="98"/>
      <c r="U2861" s="99"/>
    </row>
    <row r="2862" spans="20:21" x14ac:dyDescent="0.25">
      <c r="T2862" s="98"/>
      <c r="U2862" s="99"/>
    </row>
    <row r="2863" spans="20:21" x14ac:dyDescent="0.25">
      <c r="T2863" s="98"/>
      <c r="U2863" s="99"/>
    </row>
    <row r="2864" spans="20:21" x14ac:dyDescent="0.25">
      <c r="T2864" s="98"/>
      <c r="U2864" s="99"/>
    </row>
    <row r="2865" spans="20:21" x14ac:dyDescent="0.25">
      <c r="T2865" s="98"/>
      <c r="U2865" s="99"/>
    </row>
    <row r="2866" spans="20:21" x14ac:dyDescent="0.25">
      <c r="T2866" s="98"/>
      <c r="U2866" s="99"/>
    </row>
    <row r="2867" spans="20:21" x14ac:dyDescent="0.25">
      <c r="T2867" s="98"/>
      <c r="U2867" s="99"/>
    </row>
    <row r="2868" spans="20:21" x14ac:dyDescent="0.25">
      <c r="T2868" s="98"/>
      <c r="U2868" s="99"/>
    </row>
    <row r="2869" spans="20:21" x14ac:dyDescent="0.25">
      <c r="T2869" s="98"/>
      <c r="U2869" s="99"/>
    </row>
    <row r="2870" spans="20:21" x14ac:dyDescent="0.25">
      <c r="T2870" s="98"/>
      <c r="U2870" s="99"/>
    </row>
    <row r="2871" spans="20:21" x14ac:dyDescent="0.25">
      <c r="T2871" s="98"/>
      <c r="U2871" s="99"/>
    </row>
    <row r="2872" spans="20:21" x14ac:dyDescent="0.25">
      <c r="T2872" s="98"/>
      <c r="U2872" s="99"/>
    </row>
    <row r="2873" spans="20:21" x14ac:dyDescent="0.25">
      <c r="T2873" s="98"/>
      <c r="U2873" s="99"/>
    </row>
    <row r="2874" spans="20:21" x14ac:dyDescent="0.25">
      <c r="T2874" s="98"/>
      <c r="U2874" s="99"/>
    </row>
    <row r="2875" spans="20:21" x14ac:dyDescent="0.25">
      <c r="T2875" s="98"/>
      <c r="U2875" s="99"/>
    </row>
    <row r="2876" spans="20:21" x14ac:dyDescent="0.25">
      <c r="T2876" s="98"/>
      <c r="U2876" s="99"/>
    </row>
    <row r="2877" spans="20:21" x14ac:dyDescent="0.25">
      <c r="T2877" s="98"/>
      <c r="U2877" s="99"/>
    </row>
    <row r="2878" spans="20:21" x14ac:dyDescent="0.25">
      <c r="T2878" s="98"/>
      <c r="U2878" s="99"/>
    </row>
    <row r="2879" spans="20:21" x14ac:dyDescent="0.25">
      <c r="T2879" s="98"/>
      <c r="U2879" s="99"/>
    </row>
    <row r="2880" spans="20:21" x14ac:dyDescent="0.25">
      <c r="T2880" s="98"/>
      <c r="U2880" s="99"/>
    </row>
    <row r="2881" spans="20:21" x14ac:dyDescent="0.25">
      <c r="T2881" s="98"/>
      <c r="U2881" s="99"/>
    </row>
    <row r="2882" spans="20:21" x14ac:dyDescent="0.25">
      <c r="T2882" s="98"/>
      <c r="U2882" s="99"/>
    </row>
    <row r="2883" spans="20:21" x14ac:dyDescent="0.25">
      <c r="T2883" s="98"/>
      <c r="U2883" s="99"/>
    </row>
    <row r="2884" spans="20:21" x14ac:dyDescent="0.25">
      <c r="T2884" s="98"/>
      <c r="U2884" s="99"/>
    </row>
    <row r="2885" spans="20:21" x14ac:dyDescent="0.25">
      <c r="T2885" s="98"/>
      <c r="U2885" s="99"/>
    </row>
    <row r="2886" spans="20:21" x14ac:dyDescent="0.25">
      <c r="T2886" s="98"/>
      <c r="U2886" s="99"/>
    </row>
    <row r="2887" spans="20:21" x14ac:dyDescent="0.25">
      <c r="T2887" s="98"/>
      <c r="U2887" s="99"/>
    </row>
    <row r="2888" spans="20:21" x14ac:dyDescent="0.25">
      <c r="T2888" s="98"/>
      <c r="U2888" s="99"/>
    </row>
    <row r="2889" spans="20:21" x14ac:dyDescent="0.25">
      <c r="T2889" s="98"/>
      <c r="U2889" s="99"/>
    </row>
    <row r="2890" spans="20:21" x14ac:dyDescent="0.25">
      <c r="T2890" s="98"/>
      <c r="U2890" s="99"/>
    </row>
    <row r="2891" spans="20:21" x14ac:dyDescent="0.25">
      <c r="T2891" s="98"/>
      <c r="U2891" s="99"/>
    </row>
    <row r="2892" spans="20:21" x14ac:dyDescent="0.25">
      <c r="T2892" s="98"/>
      <c r="U2892" s="99"/>
    </row>
    <row r="2893" spans="20:21" x14ac:dyDescent="0.25">
      <c r="T2893" s="98"/>
      <c r="U2893" s="99"/>
    </row>
    <row r="2894" spans="20:21" x14ac:dyDescent="0.25">
      <c r="T2894" s="98"/>
      <c r="U2894" s="99"/>
    </row>
    <row r="2895" spans="20:21" x14ac:dyDescent="0.25">
      <c r="T2895" s="98"/>
      <c r="U2895" s="99"/>
    </row>
    <row r="2896" spans="20:21" x14ac:dyDescent="0.25">
      <c r="T2896" s="98"/>
      <c r="U2896" s="99"/>
    </row>
    <row r="2897" spans="20:21" x14ac:dyDescent="0.25">
      <c r="T2897" s="98"/>
      <c r="U2897" s="99"/>
    </row>
    <row r="2898" spans="20:21" x14ac:dyDescent="0.25">
      <c r="T2898" s="98"/>
      <c r="U2898" s="99"/>
    </row>
    <row r="2899" spans="20:21" x14ac:dyDescent="0.25">
      <c r="T2899" s="98"/>
      <c r="U2899" s="99"/>
    </row>
    <row r="2900" spans="20:21" x14ac:dyDescent="0.25">
      <c r="T2900" s="98"/>
      <c r="U2900" s="99"/>
    </row>
    <row r="2901" spans="20:21" x14ac:dyDescent="0.25">
      <c r="T2901" s="98"/>
      <c r="U2901" s="99"/>
    </row>
    <row r="2902" spans="20:21" x14ac:dyDescent="0.25">
      <c r="T2902" s="98"/>
      <c r="U2902" s="99"/>
    </row>
    <row r="2903" spans="20:21" x14ac:dyDescent="0.25">
      <c r="T2903" s="98"/>
      <c r="U2903" s="99"/>
    </row>
    <row r="2904" spans="20:21" x14ac:dyDescent="0.25">
      <c r="T2904" s="98"/>
      <c r="U2904" s="99"/>
    </row>
    <row r="2905" spans="20:21" x14ac:dyDescent="0.25">
      <c r="T2905" s="98"/>
      <c r="U2905" s="99"/>
    </row>
    <row r="2906" spans="20:21" x14ac:dyDescent="0.25">
      <c r="T2906" s="98"/>
      <c r="U2906" s="99"/>
    </row>
    <row r="2907" spans="20:21" x14ac:dyDescent="0.25">
      <c r="T2907" s="98"/>
      <c r="U2907" s="99"/>
    </row>
    <row r="2908" spans="20:21" x14ac:dyDescent="0.25">
      <c r="T2908" s="98"/>
      <c r="U2908" s="99"/>
    </row>
    <row r="2909" spans="20:21" x14ac:dyDescent="0.25">
      <c r="T2909" s="98"/>
      <c r="U2909" s="99"/>
    </row>
    <row r="2910" spans="20:21" x14ac:dyDescent="0.25">
      <c r="T2910" s="98"/>
      <c r="U2910" s="99"/>
    </row>
    <row r="2911" spans="20:21" x14ac:dyDescent="0.25">
      <c r="T2911" s="98"/>
      <c r="U2911" s="99"/>
    </row>
    <row r="2912" spans="20:21" x14ac:dyDescent="0.25">
      <c r="T2912" s="98"/>
      <c r="U2912" s="99"/>
    </row>
    <row r="2913" spans="20:21" x14ac:dyDescent="0.25">
      <c r="T2913" s="98"/>
      <c r="U2913" s="99"/>
    </row>
    <row r="2914" spans="20:21" x14ac:dyDescent="0.25">
      <c r="T2914" s="98"/>
      <c r="U2914" s="99"/>
    </row>
    <row r="2915" spans="20:21" x14ac:dyDescent="0.25">
      <c r="T2915" s="98"/>
      <c r="U2915" s="99"/>
    </row>
    <row r="2916" spans="20:21" x14ac:dyDescent="0.25">
      <c r="T2916" s="98"/>
      <c r="U2916" s="99"/>
    </row>
    <row r="2917" spans="20:21" x14ac:dyDescent="0.25">
      <c r="T2917" s="98"/>
      <c r="U2917" s="99"/>
    </row>
    <row r="2918" spans="20:21" x14ac:dyDescent="0.25">
      <c r="T2918" s="98"/>
      <c r="U2918" s="99"/>
    </row>
    <row r="2919" spans="20:21" x14ac:dyDescent="0.25">
      <c r="T2919" s="98"/>
      <c r="U2919" s="99"/>
    </row>
    <row r="2920" spans="20:21" x14ac:dyDescent="0.25">
      <c r="T2920" s="98"/>
      <c r="U2920" s="99"/>
    </row>
    <row r="2921" spans="20:21" x14ac:dyDescent="0.25">
      <c r="T2921" s="98"/>
      <c r="U2921" s="99"/>
    </row>
    <row r="2922" spans="20:21" x14ac:dyDescent="0.25">
      <c r="T2922" s="98"/>
      <c r="U2922" s="99"/>
    </row>
    <row r="2923" spans="20:21" x14ac:dyDescent="0.25">
      <c r="T2923" s="98"/>
      <c r="U2923" s="99"/>
    </row>
    <row r="2924" spans="20:21" x14ac:dyDescent="0.25">
      <c r="T2924" s="98"/>
      <c r="U2924" s="99"/>
    </row>
    <row r="2925" spans="20:21" x14ac:dyDescent="0.25">
      <c r="T2925" s="98"/>
      <c r="U2925" s="99"/>
    </row>
    <row r="2926" spans="20:21" x14ac:dyDescent="0.25">
      <c r="T2926" s="98"/>
      <c r="U2926" s="99"/>
    </row>
    <row r="2927" spans="20:21" x14ac:dyDescent="0.25">
      <c r="T2927" s="98"/>
      <c r="U2927" s="99"/>
    </row>
    <row r="2928" spans="20:21" x14ac:dyDescent="0.25">
      <c r="T2928" s="98"/>
      <c r="U2928" s="99"/>
    </row>
    <row r="2929" spans="20:21" x14ac:dyDescent="0.25">
      <c r="T2929" s="98"/>
      <c r="U2929" s="99"/>
    </row>
    <row r="2930" spans="20:21" x14ac:dyDescent="0.25">
      <c r="T2930" s="98"/>
      <c r="U2930" s="99"/>
    </row>
    <row r="2931" spans="20:21" x14ac:dyDescent="0.25">
      <c r="T2931" s="98"/>
      <c r="U2931" s="99"/>
    </row>
    <row r="2932" spans="20:21" x14ac:dyDescent="0.25">
      <c r="T2932" s="98"/>
      <c r="U2932" s="99"/>
    </row>
    <row r="2933" spans="20:21" x14ac:dyDescent="0.25">
      <c r="T2933" s="98"/>
      <c r="U2933" s="99"/>
    </row>
    <row r="2934" spans="20:21" x14ac:dyDescent="0.25">
      <c r="T2934" s="98"/>
      <c r="U2934" s="99"/>
    </row>
    <row r="2935" spans="20:21" x14ac:dyDescent="0.25">
      <c r="T2935" s="98"/>
      <c r="U2935" s="99"/>
    </row>
    <row r="2936" spans="20:21" x14ac:dyDescent="0.25">
      <c r="T2936" s="98"/>
      <c r="U2936" s="99"/>
    </row>
    <row r="2937" spans="20:21" x14ac:dyDescent="0.25">
      <c r="T2937" s="98"/>
      <c r="U2937" s="99"/>
    </row>
    <row r="2938" spans="20:21" x14ac:dyDescent="0.25">
      <c r="T2938" s="98"/>
      <c r="U2938" s="99"/>
    </row>
    <row r="2939" spans="20:21" x14ac:dyDescent="0.25">
      <c r="T2939" s="98"/>
      <c r="U2939" s="99"/>
    </row>
    <row r="2940" spans="20:21" x14ac:dyDescent="0.25">
      <c r="T2940" s="98"/>
      <c r="U2940" s="99"/>
    </row>
    <row r="2941" spans="20:21" x14ac:dyDescent="0.25">
      <c r="T2941" s="98"/>
      <c r="U2941" s="99"/>
    </row>
    <row r="2942" spans="20:21" x14ac:dyDescent="0.25">
      <c r="T2942" s="98"/>
      <c r="U2942" s="99"/>
    </row>
    <row r="2943" spans="20:21" x14ac:dyDescent="0.25">
      <c r="T2943" s="98"/>
      <c r="U2943" s="99"/>
    </row>
    <row r="2944" spans="20:21" x14ac:dyDescent="0.25">
      <c r="T2944" s="98"/>
      <c r="U2944" s="99"/>
    </row>
    <row r="2945" spans="20:21" x14ac:dyDescent="0.25">
      <c r="T2945" s="98"/>
      <c r="U2945" s="99"/>
    </row>
    <row r="2946" spans="20:21" x14ac:dyDescent="0.25">
      <c r="T2946" s="98"/>
      <c r="U2946" s="99"/>
    </row>
    <row r="2947" spans="20:21" x14ac:dyDescent="0.25">
      <c r="T2947" s="98"/>
      <c r="U2947" s="99"/>
    </row>
    <row r="2948" spans="20:21" x14ac:dyDescent="0.25">
      <c r="T2948" s="98"/>
      <c r="U2948" s="99"/>
    </row>
    <row r="2949" spans="20:21" x14ac:dyDescent="0.25">
      <c r="T2949" s="98"/>
      <c r="U2949" s="99"/>
    </row>
    <row r="2950" spans="20:21" x14ac:dyDescent="0.25">
      <c r="T2950" s="98"/>
      <c r="U2950" s="99"/>
    </row>
    <row r="2951" spans="20:21" x14ac:dyDescent="0.25">
      <c r="T2951" s="98"/>
      <c r="U2951" s="99"/>
    </row>
    <row r="2952" spans="20:21" x14ac:dyDescent="0.25">
      <c r="T2952" s="98"/>
      <c r="U2952" s="99"/>
    </row>
    <row r="2953" spans="20:21" x14ac:dyDescent="0.25">
      <c r="T2953" s="98"/>
      <c r="U2953" s="99"/>
    </row>
    <row r="2954" spans="20:21" x14ac:dyDescent="0.25">
      <c r="T2954" s="98"/>
      <c r="U2954" s="99"/>
    </row>
    <row r="2955" spans="20:21" x14ac:dyDescent="0.25">
      <c r="T2955" s="98"/>
      <c r="U2955" s="99"/>
    </row>
    <row r="2956" spans="20:21" x14ac:dyDescent="0.25">
      <c r="T2956" s="98"/>
      <c r="U2956" s="99"/>
    </row>
    <row r="2957" spans="20:21" x14ac:dyDescent="0.25">
      <c r="T2957" s="98"/>
      <c r="U2957" s="99"/>
    </row>
    <row r="2958" spans="20:21" x14ac:dyDescent="0.25">
      <c r="T2958" s="98"/>
      <c r="U2958" s="99"/>
    </row>
    <row r="2959" spans="20:21" x14ac:dyDescent="0.25">
      <c r="T2959" s="98"/>
      <c r="U2959" s="99"/>
    </row>
    <row r="2960" spans="20:21" x14ac:dyDescent="0.25">
      <c r="T2960" s="98"/>
      <c r="U2960" s="99"/>
    </row>
    <row r="2961" spans="20:21" x14ac:dyDescent="0.25">
      <c r="T2961" s="98"/>
      <c r="U2961" s="99"/>
    </row>
    <row r="2962" spans="20:21" x14ac:dyDescent="0.25">
      <c r="T2962" s="98"/>
      <c r="U2962" s="99"/>
    </row>
    <row r="2963" spans="20:21" x14ac:dyDescent="0.25">
      <c r="T2963" s="98"/>
      <c r="U2963" s="99"/>
    </row>
    <row r="2964" spans="20:21" x14ac:dyDescent="0.25">
      <c r="T2964" s="98"/>
      <c r="U2964" s="99"/>
    </row>
    <row r="2965" spans="20:21" x14ac:dyDescent="0.25">
      <c r="T2965" s="98"/>
      <c r="U2965" s="99"/>
    </row>
    <row r="2966" spans="20:21" x14ac:dyDescent="0.25">
      <c r="T2966" s="98"/>
      <c r="U2966" s="99"/>
    </row>
    <row r="2967" spans="20:21" x14ac:dyDescent="0.25">
      <c r="T2967" s="98"/>
      <c r="U2967" s="99"/>
    </row>
    <row r="2968" spans="20:21" x14ac:dyDescent="0.25">
      <c r="T2968" s="98"/>
      <c r="U2968" s="99"/>
    </row>
    <row r="2969" spans="20:21" x14ac:dyDescent="0.25">
      <c r="T2969" s="98"/>
      <c r="U2969" s="99"/>
    </row>
    <row r="2970" spans="20:21" x14ac:dyDescent="0.25">
      <c r="T2970" s="98"/>
      <c r="U2970" s="99"/>
    </row>
    <row r="2971" spans="20:21" x14ac:dyDescent="0.25">
      <c r="T2971" s="98"/>
      <c r="U2971" s="99"/>
    </row>
    <row r="2972" spans="20:21" x14ac:dyDescent="0.25">
      <c r="T2972" s="98"/>
      <c r="U2972" s="99"/>
    </row>
    <row r="2973" spans="20:21" x14ac:dyDescent="0.25">
      <c r="T2973" s="98"/>
      <c r="U2973" s="99"/>
    </row>
    <row r="2974" spans="20:21" x14ac:dyDescent="0.25">
      <c r="T2974" s="98"/>
      <c r="U2974" s="99"/>
    </row>
    <row r="2975" spans="20:21" x14ac:dyDescent="0.25">
      <c r="T2975" s="98"/>
      <c r="U2975" s="99"/>
    </row>
    <row r="2976" spans="20:21" x14ac:dyDescent="0.25">
      <c r="T2976" s="98"/>
      <c r="U2976" s="99"/>
    </row>
    <row r="2977" spans="20:21" x14ac:dyDescent="0.25">
      <c r="T2977" s="98"/>
      <c r="U2977" s="99"/>
    </row>
    <row r="2978" spans="20:21" x14ac:dyDescent="0.25">
      <c r="T2978" s="98"/>
      <c r="U2978" s="99"/>
    </row>
    <row r="2979" spans="20:21" x14ac:dyDescent="0.25">
      <c r="T2979" s="98"/>
      <c r="U2979" s="99"/>
    </row>
    <row r="2980" spans="20:21" x14ac:dyDescent="0.25">
      <c r="T2980" s="98"/>
      <c r="U2980" s="99"/>
    </row>
    <row r="2981" spans="20:21" x14ac:dyDescent="0.25">
      <c r="T2981" s="98"/>
      <c r="U2981" s="99"/>
    </row>
    <row r="2982" spans="20:21" x14ac:dyDescent="0.25">
      <c r="T2982" s="98"/>
      <c r="U2982" s="99"/>
    </row>
    <row r="2983" spans="20:21" x14ac:dyDescent="0.25">
      <c r="T2983" s="98"/>
      <c r="U2983" s="99"/>
    </row>
    <row r="2984" spans="20:21" x14ac:dyDescent="0.25">
      <c r="T2984" s="98"/>
      <c r="U2984" s="99"/>
    </row>
    <row r="2985" spans="20:21" x14ac:dyDescent="0.25">
      <c r="T2985" s="98"/>
      <c r="U2985" s="99"/>
    </row>
    <row r="2986" spans="20:21" x14ac:dyDescent="0.25">
      <c r="T2986" s="98"/>
      <c r="U2986" s="99"/>
    </row>
    <row r="2987" spans="20:21" x14ac:dyDescent="0.25">
      <c r="T2987" s="98"/>
      <c r="U2987" s="99"/>
    </row>
    <row r="2988" spans="20:21" x14ac:dyDescent="0.25">
      <c r="T2988" s="98"/>
      <c r="U2988" s="99"/>
    </row>
    <row r="2989" spans="20:21" x14ac:dyDescent="0.25">
      <c r="T2989" s="98"/>
      <c r="U2989" s="99"/>
    </row>
    <row r="2990" spans="20:21" x14ac:dyDescent="0.25">
      <c r="T2990" s="98"/>
      <c r="U2990" s="99"/>
    </row>
    <row r="2991" spans="20:21" x14ac:dyDescent="0.25">
      <c r="T2991" s="98"/>
      <c r="U2991" s="99"/>
    </row>
    <row r="2992" spans="20:21" x14ac:dyDescent="0.25">
      <c r="T2992" s="98"/>
      <c r="U2992" s="99"/>
    </row>
    <row r="2993" spans="20:21" x14ac:dyDescent="0.25">
      <c r="T2993" s="98"/>
      <c r="U2993" s="99"/>
    </row>
    <row r="2994" spans="20:21" x14ac:dyDescent="0.25">
      <c r="T2994" s="98"/>
      <c r="U2994" s="99"/>
    </row>
    <row r="2995" spans="20:21" x14ac:dyDescent="0.25">
      <c r="T2995" s="98"/>
      <c r="U2995" s="99"/>
    </row>
    <row r="2996" spans="20:21" x14ac:dyDescent="0.25">
      <c r="T2996" s="98"/>
      <c r="U2996" s="99"/>
    </row>
    <row r="2997" spans="20:21" x14ac:dyDescent="0.25">
      <c r="T2997" s="98"/>
      <c r="U2997" s="99"/>
    </row>
    <row r="2998" spans="20:21" x14ac:dyDescent="0.25">
      <c r="T2998" s="98"/>
      <c r="U2998" s="99"/>
    </row>
    <row r="2999" spans="20:21" x14ac:dyDescent="0.25">
      <c r="T2999" s="98"/>
      <c r="U2999" s="99"/>
    </row>
    <row r="3000" spans="20:21" x14ac:dyDescent="0.25">
      <c r="T3000" s="98"/>
      <c r="U3000" s="99"/>
    </row>
    <row r="3001" spans="20:21" x14ac:dyDescent="0.25">
      <c r="T3001" s="98"/>
      <c r="U3001" s="99"/>
    </row>
    <row r="3002" spans="20:21" x14ac:dyDescent="0.25">
      <c r="T3002" s="98"/>
      <c r="U3002" s="99"/>
    </row>
    <row r="3003" spans="20:21" x14ac:dyDescent="0.25">
      <c r="T3003" s="98"/>
      <c r="U3003" s="99"/>
    </row>
    <row r="3004" spans="20:21" x14ac:dyDescent="0.25">
      <c r="T3004" s="98"/>
      <c r="U3004" s="99"/>
    </row>
    <row r="3005" spans="20:21" x14ac:dyDescent="0.25">
      <c r="T3005" s="98"/>
      <c r="U3005" s="99"/>
    </row>
    <row r="3006" spans="20:21" x14ac:dyDescent="0.25">
      <c r="T3006" s="98"/>
      <c r="U3006" s="99"/>
    </row>
    <row r="3007" spans="20:21" x14ac:dyDescent="0.25">
      <c r="T3007" s="98"/>
      <c r="U3007" s="99"/>
    </row>
    <row r="3008" spans="20:21" x14ac:dyDescent="0.25">
      <c r="T3008" s="98"/>
      <c r="U3008" s="99"/>
    </row>
    <row r="3009" spans="20:21" x14ac:dyDescent="0.25">
      <c r="T3009" s="98"/>
      <c r="U3009" s="99"/>
    </row>
    <row r="3010" spans="20:21" x14ac:dyDescent="0.25">
      <c r="T3010" s="98"/>
      <c r="U3010" s="99"/>
    </row>
    <row r="3011" spans="20:21" x14ac:dyDescent="0.25">
      <c r="T3011" s="98"/>
      <c r="U3011" s="99"/>
    </row>
    <row r="3012" spans="20:21" x14ac:dyDescent="0.25">
      <c r="T3012" s="98"/>
      <c r="U3012" s="99"/>
    </row>
    <row r="3013" spans="20:21" x14ac:dyDescent="0.25">
      <c r="T3013" s="98"/>
      <c r="U3013" s="99"/>
    </row>
    <row r="3014" spans="20:21" x14ac:dyDescent="0.25">
      <c r="T3014" s="98"/>
      <c r="U3014" s="99"/>
    </row>
    <row r="3015" spans="20:21" x14ac:dyDescent="0.25">
      <c r="T3015" s="98"/>
      <c r="U3015" s="99"/>
    </row>
    <row r="3016" spans="20:21" x14ac:dyDescent="0.25">
      <c r="T3016" s="98"/>
      <c r="U3016" s="99"/>
    </row>
    <row r="3017" spans="20:21" x14ac:dyDescent="0.25">
      <c r="T3017" s="98"/>
      <c r="U3017" s="99"/>
    </row>
    <row r="3018" spans="20:21" x14ac:dyDescent="0.25">
      <c r="T3018" s="98"/>
      <c r="U3018" s="99"/>
    </row>
    <row r="3019" spans="20:21" x14ac:dyDescent="0.25">
      <c r="T3019" s="98"/>
      <c r="U3019" s="99"/>
    </row>
    <row r="3020" spans="20:21" x14ac:dyDescent="0.25">
      <c r="T3020" s="98"/>
      <c r="U3020" s="99"/>
    </row>
    <row r="3021" spans="20:21" x14ac:dyDescent="0.25">
      <c r="T3021" s="98"/>
      <c r="U3021" s="99"/>
    </row>
    <row r="3022" spans="20:21" x14ac:dyDescent="0.25">
      <c r="T3022" s="98"/>
      <c r="U3022" s="99"/>
    </row>
    <row r="3023" spans="20:21" x14ac:dyDescent="0.25">
      <c r="T3023" s="98"/>
      <c r="U3023" s="99"/>
    </row>
    <row r="3024" spans="20:21" x14ac:dyDescent="0.25">
      <c r="T3024" s="98"/>
      <c r="U3024" s="99"/>
    </row>
    <row r="3025" spans="20:21" x14ac:dyDescent="0.25">
      <c r="T3025" s="98"/>
      <c r="U3025" s="99"/>
    </row>
    <row r="3026" spans="20:21" x14ac:dyDescent="0.25">
      <c r="T3026" s="98"/>
      <c r="U3026" s="99"/>
    </row>
    <row r="3027" spans="20:21" x14ac:dyDescent="0.25">
      <c r="T3027" s="98"/>
      <c r="U3027" s="99"/>
    </row>
    <row r="3028" spans="20:21" x14ac:dyDescent="0.25">
      <c r="T3028" s="98"/>
      <c r="U3028" s="99"/>
    </row>
    <row r="3029" spans="20:21" x14ac:dyDescent="0.25">
      <c r="T3029" s="98"/>
      <c r="U3029" s="99"/>
    </row>
    <row r="3030" spans="20:21" x14ac:dyDescent="0.25">
      <c r="T3030" s="98"/>
      <c r="U3030" s="99"/>
    </row>
    <row r="3031" spans="20:21" x14ac:dyDescent="0.25">
      <c r="T3031" s="98"/>
      <c r="U3031" s="99"/>
    </row>
    <row r="3032" spans="20:21" x14ac:dyDescent="0.25">
      <c r="T3032" s="98"/>
      <c r="U3032" s="99"/>
    </row>
    <row r="3033" spans="20:21" x14ac:dyDescent="0.25">
      <c r="T3033" s="98"/>
      <c r="U3033" s="99"/>
    </row>
    <row r="3034" spans="20:21" x14ac:dyDescent="0.25">
      <c r="T3034" s="98"/>
      <c r="U3034" s="99"/>
    </row>
    <row r="3035" spans="20:21" x14ac:dyDescent="0.25">
      <c r="T3035" s="98"/>
      <c r="U3035" s="99"/>
    </row>
    <row r="3036" spans="20:21" x14ac:dyDescent="0.25">
      <c r="T3036" s="98"/>
      <c r="U3036" s="99"/>
    </row>
    <row r="3037" spans="20:21" x14ac:dyDescent="0.25">
      <c r="T3037" s="98"/>
      <c r="U3037" s="99"/>
    </row>
    <row r="3038" spans="20:21" x14ac:dyDescent="0.25">
      <c r="T3038" s="98"/>
      <c r="U3038" s="99"/>
    </row>
    <row r="3039" spans="20:21" x14ac:dyDescent="0.25">
      <c r="T3039" s="98"/>
      <c r="U3039" s="99"/>
    </row>
    <row r="3040" spans="20:21" x14ac:dyDescent="0.25">
      <c r="T3040" s="98"/>
      <c r="U3040" s="99"/>
    </row>
    <row r="3041" spans="20:21" x14ac:dyDescent="0.25">
      <c r="T3041" s="98"/>
      <c r="U3041" s="99"/>
    </row>
    <row r="3042" spans="20:21" x14ac:dyDescent="0.25">
      <c r="T3042" s="98"/>
      <c r="U3042" s="99"/>
    </row>
    <row r="3043" spans="20:21" x14ac:dyDescent="0.25">
      <c r="T3043" s="98"/>
      <c r="U3043" s="99"/>
    </row>
    <row r="3044" spans="20:21" x14ac:dyDescent="0.25">
      <c r="T3044" s="98"/>
      <c r="U3044" s="99"/>
    </row>
    <row r="3045" spans="20:21" x14ac:dyDescent="0.25">
      <c r="T3045" s="98"/>
      <c r="U3045" s="99"/>
    </row>
    <row r="3046" spans="20:21" x14ac:dyDescent="0.25">
      <c r="T3046" s="98"/>
      <c r="U3046" s="99"/>
    </row>
    <row r="3047" spans="20:21" x14ac:dyDescent="0.25">
      <c r="T3047" s="98"/>
      <c r="U3047" s="99"/>
    </row>
    <row r="3048" spans="20:21" x14ac:dyDescent="0.25">
      <c r="T3048" s="98"/>
      <c r="U3048" s="99"/>
    </row>
    <row r="3049" spans="20:21" x14ac:dyDescent="0.25">
      <c r="T3049" s="98"/>
      <c r="U3049" s="99"/>
    </row>
    <row r="3050" spans="20:21" x14ac:dyDescent="0.25">
      <c r="T3050" s="98"/>
      <c r="U3050" s="99"/>
    </row>
    <row r="3051" spans="20:21" x14ac:dyDescent="0.25">
      <c r="T3051" s="98"/>
      <c r="U3051" s="99"/>
    </row>
    <row r="3052" spans="20:21" x14ac:dyDescent="0.25">
      <c r="T3052" s="98"/>
      <c r="U3052" s="99"/>
    </row>
    <row r="3053" spans="20:21" x14ac:dyDescent="0.25">
      <c r="T3053" s="98"/>
      <c r="U3053" s="99"/>
    </row>
    <row r="3054" spans="20:21" x14ac:dyDescent="0.25">
      <c r="T3054" s="98"/>
      <c r="U3054" s="99"/>
    </row>
    <row r="3055" spans="20:21" x14ac:dyDescent="0.25">
      <c r="T3055" s="98"/>
      <c r="U3055" s="99"/>
    </row>
    <row r="3056" spans="20:21" x14ac:dyDescent="0.25">
      <c r="T3056" s="98"/>
      <c r="U3056" s="99"/>
    </row>
    <row r="3057" spans="20:21" x14ac:dyDescent="0.25">
      <c r="T3057" s="98"/>
      <c r="U3057" s="99"/>
    </row>
    <row r="3058" spans="20:21" x14ac:dyDescent="0.25">
      <c r="T3058" s="98"/>
      <c r="U3058" s="99"/>
    </row>
    <row r="3059" spans="20:21" x14ac:dyDescent="0.25">
      <c r="T3059" s="98"/>
      <c r="U3059" s="99"/>
    </row>
    <row r="3060" spans="20:21" x14ac:dyDescent="0.25">
      <c r="T3060" s="98"/>
      <c r="U3060" s="99"/>
    </row>
    <row r="3061" spans="20:21" x14ac:dyDescent="0.25">
      <c r="T3061" s="98"/>
      <c r="U3061" s="99"/>
    </row>
    <row r="3062" spans="20:21" x14ac:dyDescent="0.25">
      <c r="T3062" s="98"/>
      <c r="U3062" s="99"/>
    </row>
    <row r="3063" spans="20:21" x14ac:dyDescent="0.25">
      <c r="T3063" s="98"/>
      <c r="U3063" s="99"/>
    </row>
    <row r="3064" spans="20:21" x14ac:dyDescent="0.25">
      <c r="T3064" s="98"/>
      <c r="U3064" s="99"/>
    </row>
    <row r="3065" spans="20:21" x14ac:dyDescent="0.25">
      <c r="T3065" s="98"/>
      <c r="U3065" s="99"/>
    </row>
    <row r="3066" spans="20:21" x14ac:dyDescent="0.25">
      <c r="T3066" s="98"/>
      <c r="U3066" s="99"/>
    </row>
    <row r="3067" spans="20:21" x14ac:dyDescent="0.25">
      <c r="T3067" s="98"/>
      <c r="U3067" s="99"/>
    </row>
    <row r="3068" spans="20:21" x14ac:dyDescent="0.25">
      <c r="T3068" s="98"/>
      <c r="U3068" s="99"/>
    </row>
    <row r="3069" spans="20:21" x14ac:dyDescent="0.25">
      <c r="T3069" s="98"/>
      <c r="U3069" s="99"/>
    </row>
    <row r="3070" spans="20:21" x14ac:dyDescent="0.25">
      <c r="T3070" s="98"/>
      <c r="U3070" s="99"/>
    </row>
    <row r="3071" spans="20:21" x14ac:dyDescent="0.25">
      <c r="T3071" s="98"/>
      <c r="U3071" s="99"/>
    </row>
    <row r="3072" spans="20:21" x14ac:dyDescent="0.25">
      <c r="T3072" s="98"/>
      <c r="U3072" s="99"/>
    </row>
    <row r="3073" spans="20:21" x14ac:dyDescent="0.25">
      <c r="T3073" s="98"/>
      <c r="U3073" s="99"/>
    </row>
    <row r="3074" spans="20:21" x14ac:dyDescent="0.25">
      <c r="T3074" s="98"/>
      <c r="U3074" s="99"/>
    </row>
    <row r="3075" spans="20:21" x14ac:dyDescent="0.25">
      <c r="T3075" s="98"/>
      <c r="U3075" s="99"/>
    </row>
    <row r="3076" spans="20:21" x14ac:dyDescent="0.25">
      <c r="T3076" s="98"/>
      <c r="U3076" s="99"/>
    </row>
    <row r="3077" spans="20:21" x14ac:dyDescent="0.25">
      <c r="T3077" s="98"/>
      <c r="U3077" s="99"/>
    </row>
    <row r="3078" spans="20:21" x14ac:dyDescent="0.25">
      <c r="T3078" s="98"/>
      <c r="U3078" s="99"/>
    </row>
    <row r="3079" spans="20:21" x14ac:dyDescent="0.25">
      <c r="T3079" s="98"/>
      <c r="U3079" s="99"/>
    </row>
    <row r="3080" spans="20:21" x14ac:dyDescent="0.25">
      <c r="T3080" s="98"/>
      <c r="U3080" s="99"/>
    </row>
    <row r="3081" spans="20:21" x14ac:dyDescent="0.25">
      <c r="T3081" s="98"/>
      <c r="U3081" s="99"/>
    </row>
    <row r="3082" spans="20:21" x14ac:dyDescent="0.25">
      <c r="T3082" s="98"/>
      <c r="U3082" s="99"/>
    </row>
    <row r="3083" spans="20:21" x14ac:dyDescent="0.25">
      <c r="T3083" s="98"/>
      <c r="U3083" s="99"/>
    </row>
    <row r="3084" spans="20:21" x14ac:dyDescent="0.25">
      <c r="T3084" s="98"/>
      <c r="U3084" s="99"/>
    </row>
    <row r="3085" spans="20:21" x14ac:dyDescent="0.25">
      <c r="T3085" s="98"/>
      <c r="U3085" s="99"/>
    </row>
    <row r="3086" spans="20:21" x14ac:dyDescent="0.25">
      <c r="T3086" s="98"/>
      <c r="U3086" s="99"/>
    </row>
    <row r="3087" spans="20:21" x14ac:dyDescent="0.25">
      <c r="T3087" s="98"/>
      <c r="U3087" s="99"/>
    </row>
    <row r="3088" spans="20:21" x14ac:dyDescent="0.25">
      <c r="T3088" s="98"/>
      <c r="U3088" s="99"/>
    </row>
    <row r="3089" spans="20:21" x14ac:dyDescent="0.25">
      <c r="T3089" s="98"/>
      <c r="U3089" s="99"/>
    </row>
    <row r="3090" spans="20:21" x14ac:dyDescent="0.25">
      <c r="T3090" s="98"/>
      <c r="U3090" s="99"/>
    </row>
    <row r="3091" spans="20:21" x14ac:dyDescent="0.25">
      <c r="T3091" s="98"/>
      <c r="U3091" s="99"/>
    </row>
    <row r="3092" spans="20:21" x14ac:dyDescent="0.25">
      <c r="T3092" s="98"/>
      <c r="U3092" s="99"/>
    </row>
    <row r="3093" spans="20:21" x14ac:dyDescent="0.25">
      <c r="T3093" s="98"/>
      <c r="U3093" s="99"/>
    </row>
    <row r="3094" spans="20:21" x14ac:dyDescent="0.25">
      <c r="T3094" s="98"/>
      <c r="U3094" s="99"/>
    </row>
    <row r="3095" spans="20:21" x14ac:dyDescent="0.25">
      <c r="T3095" s="98"/>
      <c r="U3095" s="99"/>
    </row>
    <row r="3096" spans="20:21" x14ac:dyDescent="0.25">
      <c r="T3096" s="98"/>
      <c r="U3096" s="99"/>
    </row>
    <row r="3097" spans="20:21" x14ac:dyDescent="0.25">
      <c r="T3097" s="98"/>
      <c r="U3097" s="99"/>
    </row>
    <row r="3098" spans="20:21" x14ac:dyDescent="0.25">
      <c r="T3098" s="98"/>
      <c r="U3098" s="99"/>
    </row>
    <row r="3099" spans="20:21" x14ac:dyDescent="0.25">
      <c r="T3099" s="98"/>
      <c r="U3099" s="99"/>
    </row>
    <row r="3100" spans="20:21" x14ac:dyDescent="0.25">
      <c r="T3100" s="98"/>
      <c r="U3100" s="99"/>
    </row>
    <row r="3101" spans="20:21" x14ac:dyDescent="0.25">
      <c r="T3101" s="98"/>
      <c r="U3101" s="99"/>
    </row>
    <row r="3102" spans="20:21" x14ac:dyDescent="0.25">
      <c r="T3102" s="98"/>
      <c r="U3102" s="99"/>
    </row>
    <row r="3103" spans="20:21" x14ac:dyDescent="0.25">
      <c r="T3103" s="98"/>
      <c r="U3103" s="99"/>
    </row>
    <row r="3104" spans="20:21" x14ac:dyDescent="0.25">
      <c r="T3104" s="98"/>
      <c r="U3104" s="99"/>
    </row>
    <row r="3105" spans="20:21" x14ac:dyDescent="0.25">
      <c r="T3105" s="98"/>
      <c r="U3105" s="99"/>
    </row>
    <row r="3106" spans="20:21" x14ac:dyDescent="0.25">
      <c r="T3106" s="98"/>
      <c r="U3106" s="99"/>
    </row>
    <row r="3107" spans="20:21" x14ac:dyDescent="0.25">
      <c r="T3107" s="98"/>
      <c r="U3107" s="99"/>
    </row>
    <row r="3108" spans="20:21" x14ac:dyDescent="0.25">
      <c r="T3108" s="98"/>
      <c r="U3108" s="99"/>
    </row>
    <row r="3109" spans="20:21" x14ac:dyDescent="0.25">
      <c r="T3109" s="98"/>
      <c r="U3109" s="99"/>
    </row>
    <row r="3110" spans="20:21" x14ac:dyDescent="0.25">
      <c r="T3110" s="98"/>
      <c r="U3110" s="99"/>
    </row>
    <row r="3111" spans="20:21" x14ac:dyDescent="0.25">
      <c r="T3111" s="98"/>
      <c r="U3111" s="99"/>
    </row>
    <row r="3112" spans="20:21" x14ac:dyDescent="0.25">
      <c r="T3112" s="98"/>
      <c r="U3112" s="99"/>
    </row>
    <row r="3113" spans="20:21" x14ac:dyDescent="0.25">
      <c r="T3113" s="98"/>
      <c r="U3113" s="99"/>
    </row>
    <row r="3114" spans="20:21" x14ac:dyDescent="0.25">
      <c r="T3114" s="98"/>
      <c r="U3114" s="99"/>
    </row>
    <row r="3115" spans="20:21" x14ac:dyDescent="0.25">
      <c r="T3115" s="98"/>
      <c r="U3115" s="99"/>
    </row>
    <row r="3116" spans="20:21" x14ac:dyDescent="0.25">
      <c r="T3116" s="98"/>
      <c r="U3116" s="99"/>
    </row>
    <row r="3117" spans="20:21" x14ac:dyDescent="0.25">
      <c r="T3117" s="98"/>
      <c r="U3117" s="99"/>
    </row>
    <row r="3118" spans="20:21" x14ac:dyDescent="0.25">
      <c r="T3118" s="98"/>
      <c r="U3118" s="99"/>
    </row>
    <row r="3119" spans="20:21" x14ac:dyDescent="0.25">
      <c r="T3119" s="98"/>
      <c r="U3119" s="99"/>
    </row>
    <row r="3120" spans="20:21" x14ac:dyDescent="0.25">
      <c r="T3120" s="98"/>
      <c r="U3120" s="99"/>
    </row>
    <row r="3121" spans="20:21" x14ac:dyDescent="0.25">
      <c r="T3121" s="98"/>
      <c r="U3121" s="99"/>
    </row>
    <row r="3122" spans="20:21" x14ac:dyDescent="0.25">
      <c r="T3122" s="98"/>
      <c r="U3122" s="99"/>
    </row>
    <row r="3123" spans="20:21" x14ac:dyDescent="0.25">
      <c r="T3123" s="98"/>
      <c r="U3123" s="99"/>
    </row>
    <row r="3124" spans="20:21" x14ac:dyDescent="0.25">
      <c r="T3124" s="98"/>
      <c r="U3124" s="99"/>
    </row>
    <row r="3125" spans="20:21" x14ac:dyDescent="0.25">
      <c r="T3125" s="98"/>
      <c r="U3125" s="99"/>
    </row>
    <row r="3126" spans="20:21" x14ac:dyDescent="0.25">
      <c r="T3126" s="98"/>
      <c r="U3126" s="99"/>
    </row>
    <row r="3127" spans="20:21" x14ac:dyDescent="0.25">
      <c r="T3127" s="98"/>
      <c r="U3127" s="99"/>
    </row>
    <row r="3128" spans="20:21" x14ac:dyDescent="0.25">
      <c r="T3128" s="98"/>
      <c r="U3128" s="99"/>
    </row>
    <row r="3129" spans="20:21" x14ac:dyDescent="0.25">
      <c r="T3129" s="98"/>
      <c r="U3129" s="99"/>
    </row>
    <row r="3130" spans="20:21" x14ac:dyDescent="0.25">
      <c r="T3130" s="98"/>
      <c r="U3130" s="99"/>
    </row>
    <row r="3131" spans="20:21" x14ac:dyDescent="0.25">
      <c r="T3131" s="98"/>
      <c r="U3131" s="99"/>
    </row>
    <row r="3132" spans="20:21" x14ac:dyDescent="0.25">
      <c r="T3132" s="98"/>
      <c r="U3132" s="99"/>
    </row>
    <row r="3133" spans="20:21" x14ac:dyDescent="0.25">
      <c r="T3133" s="98"/>
      <c r="U3133" s="99"/>
    </row>
    <row r="3134" spans="20:21" x14ac:dyDescent="0.25">
      <c r="T3134" s="98"/>
      <c r="U3134" s="99"/>
    </row>
    <row r="3135" spans="20:21" x14ac:dyDescent="0.25">
      <c r="T3135" s="98"/>
      <c r="U3135" s="99"/>
    </row>
    <row r="3136" spans="20:21" x14ac:dyDescent="0.25">
      <c r="T3136" s="98"/>
      <c r="U3136" s="99"/>
    </row>
    <row r="3137" spans="20:21" x14ac:dyDescent="0.25">
      <c r="T3137" s="98"/>
      <c r="U3137" s="99"/>
    </row>
    <row r="3138" spans="20:21" x14ac:dyDescent="0.25">
      <c r="T3138" s="98"/>
      <c r="U3138" s="99"/>
    </row>
    <row r="3139" spans="20:21" x14ac:dyDescent="0.25">
      <c r="T3139" s="98"/>
      <c r="U3139" s="99"/>
    </row>
    <row r="3140" spans="20:21" x14ac:dyDescent="0.25">
      <c r="T3140" s="98"/>
      <c r="U3140" s="99"/>
    </row>
    <row r="3141" spans="20:21" x14ac:dyDescent="0.25">
      <c r="T3141" s="98"/>
      <c r="U3141" s="99"/>
    </row>
    <row r="3142" spans="20:21" x14ac:dyDescent="0.25">
      <c r="T3142" s="98"/>
      <c r="U3142" s="99"/>
    </row>
    <row r="3143" spans="20:21" x14ac:dyDescent="0.25">
      <c r="T3143" s="98"/>
      <c r="U3143" s="99"/>
    </row>
    <row r="3144" spans="20:21" x14ac:dyDescent="0.25">
      <c r="T3144" s="98"/>
      <c r="U3144" s="99"/>
    </row>
    <row r="3145" spans="20:21" x14ac:dyDescent="0.25">
      <c r="T3145" s="98"/>
      <c r="U3145" s="99"/>
    </row>
    <row r="3146" spans="20:21" x14ac:dyDescent="0.25">
      <c r="T3146" s="98"/>
      <c r="U3146" s="99"/>
    </row>
    <row r="3147" spans="20:21" x14ac:dyDescent="0.25">
      <c r="T3147" s="98"/>
      <c r="U3147" s="99"/>
    </row>
    <row r="3148" spans="20:21" x14ac:dyDescent="0.25">
      <c r="T3148" s="98"/>
      <c r="U3148" s="99"/>
    </row>
    <row r="3149" spans="20:21" x14ac:dyDescent="0.25">
      <c r="T3149" s="98"/>
      <c r="U3149" s="99"/>
    </row>
    <row r="3150" spans="20:21" x14ac:dyDescent="0.25">
      <c r="T3150" s="98"/>
      <c r="U3150" s="99"/>
    </row>
    <row r="3151" spans="20:21" x14ac:dyDescent="0.25">
      <c r="T3151" s="98"/>
      <c r="U3151" s="99"/>
    </row>
    <row r="3152" spans="20:21" x14ac:dyDescent="0.25">
      <c r="T3152" s="98"/>
      <c r="U3152" s="99"/>
    </row>
    <row r="3153" spans="20:21" x14ac:dyDescent="0.25">
      <c r="T3153" s="98"/>
      <c r="U3153" s="99"/>
    </row>
    <row r="3154" spans="20:21" x14ac:dyDescent="0.25">
      <c r="T3154" s="98"/>
      <c r="U3154" s="99"/>
    </row>
    <row r="3155" spans="20:21" x14ac:dyDescent="0.25">
      <c r="T3155" s="98"/>
      <c r="U3155" s="99"/>
    </row>
    <row r="3156" spans="20:21" x14ac:dyDescent="0.25">
      <c r="T3156" s="98"/>
      <c r="U3156" s="99"/>
    </row>
    <row r="3157" spans="20:21" x14ac:dyDescent="0.25">
      <c r="T3157" s="98"/>
      <c r="U3157" s="99"/>
    </row>
    <row r="3158" spans="20:21" x14ac:dyDescent="0.25">
      <c r="T3158" s="98"/>
      <c r="U3158" s="99"/>
    </row>
    <row r="3159" spans="20:21" x14ac:dyDescent="0.25">
      <c r="T3159" s="98"/>
      <c r="U3159" s="99"/>
    </row>
    <row r="3160" spans="20:21" x14ac:dyDescent="0.25">
      <c r="T3160" s="98"/>
      <c r="U3160" s="99"/>
    </row>
    <row r="3161" spans="20:21" x14ac:dyDescent="0.25">
      <c r="T3161" s="98"/>
      <c r="U3161" s="99"/>
    </row>
    <row r="3162" spans="20:21" x14ac:dyDescent="0.25">
      <c r="T3162" s="98"/>
      <c r="U3162" s="99"/>
    </row>
    <row r="3163" spans="20:21" x14ac:dyDescent="0.25">
      <c r="T3163" s="98"/>
      <c r="U3163" s="99"/>
    </row>
    <row r="3164" spans="20:21" x14ac:dyDescent="0.25">
      <c r="T3164" s="98"/>
      <c r="U3164" s="99"/>
    </row>
    <row r="3165" spans="20:21" x14ac:dyDescent="0.25">
      <c r="T3165" s="98"/>
      <c r="U3165" s="99"/>
    </row>
    <row r="3166" spans="20:21" x14ac:dyDescent="0.25">
      <c r="T3166" s="98"/>
      <c r="U3166" s="99"/>
    </row>
    <row r="3167" spans="20:21" x14ac:dyDescent="0.25">
      <c r="T3167" s="98"/>
      <c r="U3167" s="99"/>
    </row>
    <row r="3168" spans="20:21" x14ac:dyDescent="0.25">
      <c r="T3168" s="98"/>
      <c r="U3168" s="99"/>
    </row>
    <row r="3169" spans="20:21" x14ac:dyDescent="0.25">
      <c r="T3169" s="98"/>
      <c r="U3169" s="99"/>
    </row>
    <row r="3170" spans="20:21" x14ac:dyDescent="0.25">
      <c r="T3170" s="98"/>
      <c r="U3170" s="99"/>
    </row>
    <row r="3171" spans="20:21" x14ac:dyDescent="0.25">
      <c r="T3171" s="98"/>
      <c r="U3171" s="99"/>
    </row>
    <row r="3172" spans="20:21" x14ac:dyDescent="0.25">
      <c r="T3172" s="98"/>
      <c r="U3172" s="99"/>
    </row>
    <row r="3173" spans="20:21" x14ac:dyDescent="0.25">
      <c r="T3173" s="98"/>
      <c r="U3173" s="99"/>
    </row>
    <row r="3174" spans="20:21" x14ac:dyDescent="0.25">
      <c r="T3174" s="98"/>
      <c r="U3174" s="99"/>
    </row>
    <row r="3175" spans="20:21" x14ac:dyDescent="0.25">
      <c r="T3175" s="98"/>
      <c r="U3175" s="99"/>
    </row>
    <row r="3176" spans="20:21" x14ac:dyDescent="0.25">
      <c r="T3176" s="98"/>
      <c r="U3176" s="99"/>
    </row>
    <row r="3177" spans="20:21" x14ac:dyDescent="0.25">
      <c r="T3177" s="98"/>
      <c r="U3177" s="99"/>
    </row>
    <row r="3178" spans="20:21" x14ac:dyDescent="0.25">
      <c r="T3178" s="98"/>
      <c r="U3178" s="99"/>
    </row>
    <row r="3179" spans="20:21" x14ac:dyDescent="0.25">
      <c r="T3179" s="98"/>
      <c r="U3179" s="99"/>
    </row>
    <row r="3180" spans="20:21" x14ac:dyDescent="0.25">
      <c r="T3180" s="98"/>
      <c r="U3180" s="99"/>
    </row>
    <row r="3181" spans="20:21" x14ac:dyDescent="0.25">
      <c r="T3181" s="98"/>
      <c r="U3181" s="99"/>
    </row>
    <row r="3182" spans="20:21" x14ac:dyDescent="0.25">
      <c r="T3182" s="98"/>
      <c r="U3182" s="99"/>
    </row>
    <row r="3183" spans="20:21" x14ac:dyDescent="0.25">
      <c r="T3183" s="98"/>
      <c r="U3183" s="99"/>
    </row>
    <row r="3184" spans="20:21" x14ac:dyDescent="0.25">
      <c r="T3184" s="98"/>
      <c r="U3184" s="99"/>
    </row>
    <row r="3185" spans="20:21" x14ac:dyDescent="0.25">
      <c r="T3185" s="98"/>
      <c r="U3185" s="99"/>
    </row>
    <row r="3186" spans="20:21" x14ac:dyDescent="0.25">
      <c r="T3186" s="98"/>
      <c r="U3186" s="99"/>
    </row>
    <row r="3187" spans="20:21" x14ac:dyDescent="0.25">
      <c r="T3187" s="98"/>
      <c r="U3187" s="99"/>
    </row>
    <row r="3188" spans="20:21" x14ac:dyDescent="0.25">
      <c r="T3188" s="98"/>
      <c r="U3188" s="99"/>
    </row>
    <row r="3189" spans="20:21" x14ac:dyDescent="0.25">
      <c r="T3189" s="98"/>
      <c r="U3189" s="99"/>
    </row>
    <row r="3190" spans="20:21" x14ac:dyDescent="0.25">
      <c r="T3190" s="98"/>
      <c r="U3190" s="99"/>
    </row>
    <row r="3191" spans="20:21" x14ac:dyDescent="0.25">
      <c r="T3191" s="98"/>
      <c r="U3191" s="99"/>
    </row>
    <row r="3192" spans="20:21" x14ac:dyDescent="0.25">
      <c r="T3192" s="98"/>
      <c r="U3192" s="99"/>
    </row>
    <row r="3193" spans="20:21" x14ac:dyDescent="0.25">
      <c r="T3193" s="98"/>
      <c r="U3193" s="99"/>
    </row>
    <row r="3194" spans="20:21" x14ac:dyDescent="0.25">
      <c r="T3194" s="98"/>
      <c r="U3194" s="99"/>
    </row>
    <row r="3195" spans="20:21" x14ac:dyDescent="0.25">
      <c r="T3195" s="98"/>
      <c r="U3195" s="99"/>
    </row>
    <row r="3196" spans="20:21" x14ac:dyDescent="0.25">
      <c r="T3196" s="98"/>
      <c r="U3196" s="99"/>
    </row>
    <row r="3197" spans="20:21" x14ac:dyDescent="0.25">
      <c r="T3197" s="98"/>
      <c r="U3197" s="99"/>
    </row>
    <row r="3198" spans="20:21" x14ac:dyDescent="0.25">
      <c r="T3198" s="98"/>
      <c r="U3198" s="99"/>
    </row>
    <row r="3199" spans="20:21" x14ac:dyDescent="0.25">
      <c r="T3199" s="98"/>
      <c r="U3199" s="99"/>
    </row>
    <row r="3200" spans="20:21" x14ac:dyDescent="0.25">
      <c r="T3200" s="98"/>
      <c r="U3200" s="99"/>
    </row>
    <row r="3201" spans="20:21" x14ac:dyDescent="0.25">
      <c r="T3201" s="98"/>
      <c r="U3201" s="99"/>
    </row>
    <row r="3202" spans="20:21" x14ac:dyDescent="0.25">
      <c r="T3202" s="98"/>
      <c r="U3202" s="99"/>
    </row>
    <row r="3203" spans="20:21" x14ac:dyDescent="0.25">
      <c r="T3203" s="98"/>
      <c r="U3203" s="99"/>
    </row>
    <row r="3204" spans="20:21" x14ac:dyDescent="0.25">
      <c r="T3204" s="98"/>
      <c r="U3204" s="99"/>
    </row>
    <row r="3205" spans="20:21" x14ac:dyDescent="0.25">
      <c r="T3205" s="98"/>
      <c r="U3205" s="99"/>
    </row>
    <row r="3206" spans="20:21" x14ac:dyDescent="0.25">
      <c r="T3206" s="98"/>
      <c r="U3206" s="99"/>
    </row>
    <row r="3207" spans="20:21" x14ac:dyDescent="0.25">
      <c r="T3207" s="98"/>
      <c r="U3207" s="99"/>
    </row>
    <row r="3208" spans="20:21" x14ac:dyDescent="0.25">
      <c r="T3208" s="98"/>
      <c r="U3208" s="99"/>
    </row>
    <row r="3209" spans="20:21" x14ac:dyDescent="0.25">
      <c r="T3209" s="98"/>
      <c r="U3209" s="99"/>
    </row>
    <row r="3210" spans="20:21" x14ac:dyDescent="0.25">
      <c r="T3210" s="98"/>
      <c r="U3210" s="99"/>
    </row>
    <row r="3211" spans="20:21" x14ac:dyDescent="0.25">
      <c r="T3211" s="98"/>
      <c r="U3211" s="99"/>
    </row>
    <row r="3212" spans="20:21" x14ac:dyDescent="0.25">
      <c r="T3212" s="98"/>
      <c r="U3212" s="99"/>
    </row>
    <row r="3213" spans="20:21" x14ac:dyDescent="0.25">
      <c r="T3213" s="98"/>
      <c r="U3213" s="99"/>
    </row>
    <row r="3214" spans="20:21" x14ac:dyDescent="0.25">
      <c r="T3214" s="98"/>
      <c r="U3214" s="99"/>
    </row>
    <row r="3215" spans="20:21" x14ac:dyDescent="0.25">
      <c r="T3215" s="98"/>
      <c r="U3215" s="99"/>
    </row>
    <row r="3216" spans="20:21" x14ac:dyDescent="0.25">
      <c r="T3216" s="98"/>
      <c r="U3216" s="99"/>
    </row>
    <row r="3217" spans="20:21" x14ac:dyDescent="0.25">
      <c r="T3217" s="98"/>
      <c r="U3217" s="99"/>
    </row>
    <row r="3218" spans="20:21" x14ac:dyDescent="0.25">
      <c r="T3218" s="98"/>
      <c r="U3218" s="99"/>
    </row>
    <row r="3219" spans="20:21" x14ac:dyDescent="0.25">
      <c r="T3219" s="98"/>
      <c r="U3219" s="99"/>
    </row>
    <row r="3220" spans="20:21" x14ac:dyDescent="0.25">
      <c r="T3220" s="98"/>
      <c r="U3220" s="99"/>
    </row>
    <row r="3221" spans="20:21" x14ac:dyDescent="0.25">
      <c r="T3221" s="98"/>
      <c r="U3221" s="99"/>
    </row>
    <row r="3222" spans="20:21" x14ac:dyDescent="0.25">
      <c r="T3222" s="98"/>
      <c r="U3222" s="99"/>
    </row>
    <row r="3223" spans="20:21" x14ac:dyDescent="0.25">
      <c r="T3223" s="98"/>
      <c r="U3223" s="99"/>
    </row>
    <row r="3224" spans="20:21" x14ac:dyDescent="0.25">
      <c r="T3224" s="98"/>
      <c r="U3224" s="99"/>
    </row>
    <row r="3225" spans="20:21" x14ac:dyDescent="0.25">
      <c r="T3225" s="98"/>
      <c r="U3225" s="99"/>
    </row>
    <row r="3226" spans="20:21" x14ac:dyDescent="0.25">
      <c r="T3226" s="98"/>
      <c r="U3226" s="99"/>
    </row>
    <row r="3227" spans="20:21" x14ac:dyDescent="0.25">
      <c r="T3227" s="98"/>
      <c r="U3227" s="99"/>
    </row>
    <row r="3228" spans="20:21" x14ac:dyDescent="0.25">
      <c r="T3228" s="98"/>
      <c r="U3228" s="99"/>
    </row>
    <row r="3229" spans="20:21" x14ac:dyDescent="0.25">
      <c r="T3229" s="98"/>
      <c r="U3229" s="99"/>
    </row>
    <row r="3230" spans="20:21" x14ac:dyDescent="0.25">
      <c r="T3230" s="98"/>
      <c r="U3230" s="99"/>
    </row>
    <row r="3231" spans="20:21" x14ac:dyDescent="0.25">
      <c r="T3231" s="98"/>
      <c r="U3231" s="99"/>
    </row>
    <row r="3232" spans="20:21" x14ac:dyDescent="0.25">
      <c r="T3232" s="98"/>
      <c r="U3232" s="99"/>
    </row>
    <row r="3233" spans="20:21" x14ac:dyDescent="0.25">
      <c r="T3233" s="98"/>
      <c r="U3233" s="99"/>
    </row>
    <row r="3234" spans="20:21" x14ac:dyDescent="0.25">
      <c r="T3234" s="98"/>
      <c r="U3234" s="99"/>
    </row>
    <row r="3235" spans="20:21" x14ac:dyDescent="0.25">
      <c r="T3235" s="98"/>
      <c r="U3235" s="99"/>
    </row>
    <row r="3236" spans="20:21" x14ac:dyDescent="0.25">
      <c r="T3236" s="98"/>
      <c r="U3236" s="99"/>
    </row>
    <row r="3237" spans="20:21" x14ac:dyDescent="0.25">
      <c r="T3237" s="98"/>
      <c r="U3237" s="99"/>
    </row>
    <row r="3238" spans="20:21" x14ac:dyDescent="0.25">
      <c r="T3238" s="98"/>
      <c r="U3238" s="99"/>
    </row>
    <row r="3239" spans="20:21" x14ac:dyDescent="0.25">
      <c r="T3239" s="98"/>
      <c r="U3239" s="99"/>
    </row>
    <row r="3240" spans="20:21" x14ac:dyDescent="0.25">
      <c r="T3240" s="98"/>
      <c r="U3240" s="99"/>
    </row>
    <row r="3241" spans="20:21" x14ac:dyDescent="0.25">
      <c r="T3241" s="98"/>
      <c r="U3241" s="99"/>
    </row>
    <row r="3242" spans="20:21" x14ac:dyDescent="0.25">
      <c r="T3242" s="98"/>
      <c r="U3242" s="99"/>
    </row>
    <row r="3243" spans="20:21" x14ac:dyDescent="0.25">
      <c r="T3243" s="98"/>
      <c r="U3243" s="99"/>
    </row>
    <row r="3244" spans="20:21" x14ac:dyDescent="0.25">
      <c r="T3244" s="98"/>
      <c r="U3244" s="99"/>
    </row>
    <row r="3245" spans="20:21" x14ac:dyDescent="0.25">
      <c r="T3245" s="98"/>
      <c r="U3245" s="99"/>
    </row>
    <row r="3246" spans="20:21" x14ac:dyDescent="0.25">
      <c r="T3246" s="98"/>
      <c r="U3246" s="99"/>
    </row>
    <row r="3247" spans="20:21" x14ac:dyDescent="0.25">
      <c r="T3247" s="98"/>
      <c r="U3247" s="99"/>
    </row>
    <row r="3248" spans="20:21" x14ac:dyDescent="0.25">
      <c r="T3248" s="98"/>
      <c r="U3248" s="99"/>
    </row>
    <row r="3249" spans="20:21" x14ac:dyDescent="0.25">
      <c r="T3249" s="98"/>
      <c r="U3249" s="99"/>
    </row>
    <row r="3250" spans="20:21" x14ac:dyDescent="0.25">
      <c r="T3250" s="98"/>
      <c r="U3250" s="99"/>
    </row>
    <row r="3251" spans="20:21" x14ac:dyDescent="0.25">
      <c r="T3251" s="98"/>
      <c r="U3251" s="99"/>
    </row>
    <row r="3252" spans="20:21" x14ac:dyDescent="0.25">
      <c r="T3252" s="98"/>
      <c r="U3252" s="99"/>
    </row>
    <row r="3253" spans="20:21" x14ac:dyDescent="0.25">
      <c r="T3253" s="98"/>
      <c r="U3253" s="99"/>
    </row>
    <row r="3254" spans="20:21" x14ac:dyDescent="0.25">
      <c r="T3254" s="98"/>
      <c r="U3254" s="99"/>
    </row>
    <row r="3255" spans="20:21" x14ac:dyDescent="0.25">
      <c r="T3255" s="98"/>
      <c r="U3255" s="99"/>
    </row>
    <row r="3256" spans="20:21" x14ac:dyDescent="0.25">
      <c r="T3256" s="98"/>
      <c r="U3256" s="99"/>
    </row>
    <row r="3257" spans="20:21" x14ac:dyDescent="0.25">
      <c r="T3257" s="98"/>
      <c r="U3257" s="99"/>
    </row>
    <row r="3258" spans="20:21" x14ac:dyDescent="0.25">
      <c r="T3258" s="98"/>
      <c r="U3258" s="99"/>
    </row>
    <row r="3259" spans="20:21" x14ac:dyDescent="0.25">
      <c r="T3259" s="98"/>
      <c r="U3259" s="99"/>
    </row>
    <row r="3260" spans="20:21" x14ac:dyDescent="0.25">
      <c r="T3260" s="98"/>
      <c r="U3260" s="99"/>
    </row>
    <row r="3261" spans="20:21" x14ac:dyDescent="0.25">
      <c r="T3261" s="98"/>
      <c r="U3261" s="99"/>
    </row>
    <row r="3262" spans="20:21" x14ac:dyDescent="0.25">
      <c r="T3262" s="98"/>
      <c r="U3262" s="99"/>
    </row>
    <row r="3263" spans="20:21" x14ac:dyDescent="0.25">
      <c r="T3263" s="98"/>
      <c r="U3263" s="99"/>
    </row>
    <row r="3264" spans="20:21" x14ac:dyDescent="0.25">
      <c r="T3264" s="98"/>
      <c r="U3264" s="99"/>
    </row>
    <row r="3265" spans="20:21" x14ac:dyDescent="0.25">
      <c r="T3265" s="98"/>
      <c r="U3265" s="99"/>
    </row>
    <row r="3266" spans="20:21" x14ac:dyDescent="0.25">
      <c r="T3266" s="98"/>
      <c r="U3266" s="99"/>
    </row>
    <row r="3267" spans="20:21" x14ac:dyDescent="0.25">
      <c r="T3267" s="98"/>
      <c r="U3267" s="99"/>
    </row>
    <row r="3268" spans="20:21" x14ac:dyDescent="0.25">
      <c r="T3268" s="98"/>
      <c r="U3268" s="99"/>
    </row>
    <row r="3269" spans="20:21" x14ac:dyDescent="0.25">
      <c r="T3269" s="98"/>
      <c r="U3269" s="99"/>
    </row>
    <row r="3270" spans="20:21" x14ac:dyDescent="0.25">
      <c r="T3270" s="98"/>
      <c r="U3270" s="99"/>
    </row>
    <row r="3271" spans="20:21" x14ac:dyDescent="0.25">
      <c r="T3271" s="98"/>
      <c r="U3271" s="99"/>
    </row>
    <row r="3272" spans="20:21" x14ac:dyDescent="0.25">
      <c r="T3272" s="98"/>
      <c r="U3272" s="99"/>
    </row>
    <row r="3273" spans="20:21" x14ac:dyDescent="0.25">
      <c r="T3273" s="98"/>
      <c r="U3273" s="99"/>
    </row>
    <row r="3274" spans="20:21" x14ac:dyDescent="0.25">
      <c r="T3274" s="98"/>
      <c r="U3274" s="99"/>
    </row>
    <row r="3275" spans="20:21" x14ac:dyDescent="0.25">
      <c r="T3275" s="98"/>
      <c r="U3275" s="99"/>
    </row>
    <row r="3276" spans="20:21" x14ac:dyDescent="0.25">
      <c r="T3276" s="98"/>
      <c r="U3276" s="99"/>
    </row>
    <row r="3277" spans="20:21" x14ac:dyDescent="0.25">
      <c r="T3277" s="98"/>
      <c r="U3277" s="99"/>
    </row>
    <row r="3278" spans="20:21" x14ac:dyDescent="0.25">
      <c r="T3278" s="98"/>
      <c r="U3278" s="99"/>
    </row>
    <row r="3279" spans="20:21" x14ac:dyDescent="0.25">
      <c r="T3279" s="98"/>
      <c r="U3279" s="99"/>
    </row>
    <row r="3280" spans="20:21" x14ac:dyDescent="0.25">
      <c r="T3280" s="98"/>
      <c r="U3280" s="99"/>
    </row>
    <row r="3281" spans="20:21" x14ac:dyDescent="0.25">
      <c r="T3281" s="98"/>
      <c r="U3281" s="99"/>
    </row>
    <row r="3282" spans="20:21" x14ac:dyDescent="0.25">
      <c r="T3282" s="98"/>
      <c r="U3282" s="99"/>
    </row>
    <row r="3283" spans="20:21" x14ac:dyDescent="0.25">
      <c r="T3283" s="98"/>
      <c r="U3283" s="99"/>
    </row>
    <row r="3284" spans="20:21" x14ac:dyDescent="0.25">
      <c r="T3284" s="98"/>
      <c r="U3284" s="99"/>
    </row>
    <row r="3285" spans="20:21" x14ac:dyDescent="0.25">
      <c r="T3285" s="98"/>
      <c r="U3285" s="99"/>
    </row>
    <row r="3286" spans="20:21" x14ac:dyDescent="0.25">
      <c r="T3286" s="98"/>
      <c r="U3286" s="99"/>
    </row>
    <row r="3287" spans="20:21" x14ac:dyDescent="0.25">
      <c r="T3287" s="98"/>
      <c r="U3287" s="99"/>
    </row>
    <row r="3288" spans="20:21" x14ac:dyDescent="0.25">
      <c r="T3288" s="98"/>
      <c r="U3288" s="99"/>
    </row>
    <row r="3289" spans="20:21" x14ac:dyDescent="0.25">
      <c r="T3289" s="98"/>
      <c r="U3289" s="99"/>
    </row>
    <row r="3290" spans="20:21" x14ac:dyDescent="0.25">
      <c r="T3290" s="98"/>
      <c r="U3290" s="99"/>
    </row>
    <row r="3291" spans="20:21" x14ac:dyDescent="0.25">
      <c r="T3291" s="98"/>
      <c r="U3291" s="99"/>
    </row>
    <row r="3292" spans="20:21" x14ac:dyDescent="0.25">
      <c r="T3292" s="98"/>
      <c r="U3292" s="99"/>
    </row>
    <row r="3293" spans="20:21" x14ac:dyDescent="0.25">
      <c r="T3293" s="98"/>
      <c r="U3293" s="99"/>
    </row>
    <row r="3294" spans="20:21" x14ac:dyDescent="0.25">
      <c r="T3294" s="98"/>
      <c r="U3294" s="99"/>
    </row>
    <row r="3295" spans="20:21" x14ac:dyDescent="0.25">
      <c r="T3295" s="98"/>
      <c r="U3295" s="99"/>
    </row>
    <row r="3296" spans="20:21" x14ac:dyDescent="0.25">
      <c r="T3296" s="98"/>
      <c r="U3296" s="99"/>
    </row>
    <row r="3297" spans="20:21" x14ac:dyDescent="0.25">
      <c r="T3297" s="98"/>
      <c r="U3297" s="99"/>
    </row>
    <row r="3298" spans="20:21" x14ac:dyDescent="0.25">
      <c r="T3298" s="98"/>
      <c r="U3298" s="99"/>
    </row>
    <row r="3299" spans="20:21" x14ac:dyDescent="0.25">
      <c r="T3299" s="98"/>
      <c r="U3299" s="99"/>
    </row>
    <row r="3300" spans="20:21" x14ac:dyDescent="0.25">
      <c r="T3300" s="98"/>
      <c r="U3300" s="99"/>
    </row>
    <row r="3301" spans="20:21" x14ac:dyDescent="0.25">
      <c r="T3301" s="98"/>
      <c r="U3301" s="99"/>
    </row>
    <row r="3302" spans="20:21" x14ac:dyDescent="0.25">
      <c r="T3302" s="98"/>
      <c r="U3302" s="99"/>
    </row>
    <row r="3303" spans="20:21" x14ac:dyDescent="0.25">
      <c r="T3303" s="98"/>
      <c r="U3303" s="99"/>
    </row>
    <row r="3304" spans="20:21" x14ac:dyDescent="0.25">
      <c r="T3304" s="98"/>
      <c r="U3304" s="99"/>
    </row>
    <row r="3305" spans="20:21" x14ac:dyDescent="0.25">
      <c r="T3305" s="98"/>
      <c r="U3305" s="99"/>
    </row>
    <row r="3306" spans="20:21" x14ac:dyDescent="0.25">
      <c r="T3306" s="98"/>
      <c r="U3306" s="99"/>
    </row>
    <row r="3307" spans="20:21" x14ac:dyDescent="0.25">
      <c r="T3307" s="98"/>
      <c r="U3307" s="99"/>
    </row>
    <row r="3308" spans="20:21" x14ac:dyDescent="0.25">
      <c r="T3308" s="98"/>
      <c r="U3308" s="99"/>
    </row>
    <row r="3309" spans="20:21" x14ac:dyDescent="0.25">
      <c r="T3309" s="98"/>
      <c r="U3309" s="99"/>
    </row>
    <row r="3310" spans="20:21" x14ac:dyDescent="0.25">
      <c r="T3310" s="98"/>
      <c r="U3310" s="99"/>
    </row>
    <row r="3311" spans="20:21" x14ac:dyDescent="0.25">
      <c r="T3311" s="98"/>
      <c r="U3311" s="99"/>
    </row>
    <row r="3312" spans="20:21" x14ac:dyDescent="0.25">
      <c r="T3312" s="98"/>
      <c r="U3312" s="99"/>
    </row>
    <row r="3313" spans="20:21" x14ac:dyDescent="0.25">
      <c r="T3313" s="98"/>
      <c r="U3313" s="99"/>
    </row>
    <row r="3314" spans="20:21" x14ac:dyDescent="0.25">
      <c r="T3314" s="98"/>
      <c r="U3314" s="99"/>
    </row>
    <row r="3315" spans="20:21" x14ac:dyDescent="0.25">
      <c r="T3315" s="98"/>
      <c r="U3315" s="99"/>
    </row>
    <row r="3316" spans="20:21" x14ac:dyDescent="0.25">
      <c r="T3316" s="98"/>
      <c r="U3316" s="99"/>
    </row>
    <row r="3317" spans="20:21" x14ac:dyDescent="0.25">
      <c r="T3317" s="98"/>
      <c r="U3317" s="99"/>
    </row>
    <row r="3318" spans="20:21" x14ac:dyDescent="0.25">
      <c r="T3318" s="98"/>
      <c r="U3318" s="99"/>
    </row>
    <row r="3319" spans="20:21" x14ac:dyDescent="0.25">
      <c r="T3319" s="98"/>
      <c r="U3319" s="99"/>
    </row>
    <row r="3320" spans="20:21" x14ac:dyDescent="0.25">
      <c r="T3320" s="98"/>
      <c r="U3320" s="99"/>
    </row>
    <row r="3321" spans="20:21" x14ac:dyDescent="0.25">
      <c r="T3321" s="98"/>
      <c r="U3321" s="99"/>
    </row>
    <row r="3322" spans="20:21" x14ac:dyDescent="0.25">
      <c r="T3322" s="98"/>
      <c r="U3322" s="99"/>
    </row>
    <row r="3323" spans="20:21" x14ac:dyDescent="0.25">
      <c r="T3323" s="98"/>
      <c r="U3323" s="99"/>
    </row>
    <row r="3324" spans="20:21" x14ac:dyDescent="0.25">
      <c r="T3324" s="98"/>
      <c r="U3324" s="99"/>
    </row>
    <row r="3325" spans="20:21" x14ac:dyDescent="0.25">
      <c r="T3325" s="98"/>
      <c r="U3325" s="99"/>
    </row>
    <row r="3326" spans="20:21" x14ac:dyDescent="0.25">
      <c r="T3326" s="98"/>
      <c r="U3326" s="99"/>
    </row>
    <row r="3327" spans="20:21" x14ac:dyDescent="0.25">
      <c r="T3327" s="98"/>
      <c r="U3327" s="99"/>
    </row>
    <row r="3328" spans="20:21" x14ac:dyDescent="0.25">
      <c r="T3328" s="98"/>
      <c r="U3328" s="99"/>
    </row>
    <row r="3329" spans="20:21" x14ac:dyDescent="0.25">
      <c r="T3329" s="98"/>
      <c r="U3329" s="99"/>
    </row>
    <row r="3330" spans="20:21" x14ac:dyDescent="0.25">
      <c r="T3330" s="98"/>
      <c r="U3330" s="99"/>
    </row>
    <row r="3331" spans="20:21" x14ac:dyDescent="0.25">
      <c r="T3331" s="98"/>
      <c r="U3331" s="99"/>
    </row>
    <row r="3332" spans="20:21" x14ac:dyDescent="0.25">
      <c r="T3332" s="98"/>
      <c r="U3332" s="99"/>
    </row>
    <row r="3333" spans="20:21" x14ac:dyDescent="0.25">
      <c r="T3333" s="98"/>
      <c r="U3333" s="99"/>
    </row>
    <row r="3334" spans="20:21" x14ac:dyDescent="0.25">
      <c r="T3334" s="98"/>
      <c r="U3334" s="99"/>
    </row>
    <row r="3335" spans="20:21" x14ac:dyDescent="0.25">
      <c r="T3335" s="98"/>
      <c r="U3335" s="99"/>
    </row>
    <row r="3336" spans="20:21" x14ac:dyDescent="0.25">
      <c r="T3336" s="98"/>
      <c r="U3336" s="99"/>
    </row>
    <row r="3337" spans="20:21" x14ac:dyDescent="0.25">
      <c r="T3337" s="98"/>
      <c r="U3337" s="99"/>
    </row>
    <row r="3338" spans="20:21" x14ac:dyDescent="0.25">
      <c r="T3338" s="98"/>
      <c r="U3338" s="99"/>
    </row>
    <row r="3339" spans="20:21" x14ac:dyDescent="0.25">
      <c r="T3339" s="98"/>
      <c r="U3339" s="99"/>
    </row>
    <row r="3340" spans="20:21" x14ac:dyDescent="0.25">
      <c r="T3340" s="98"/>
      <c r="U3340" s="99"/>
    </row>
    <row r="3341" spans="20:21" x14ac:dyDescent="0.25">
      <c r="T3341" s="98"/>
      <c r="U3341" s="99"/>
    </row>
    <row r="3342" spans="20:21" x14ac:dyDescent="0.25">
      <c r="T3342" s="98"/>
      <c r="U3342" s="99"/>
    </row>
    <row r="3343" spans="20:21" x14ac:dyDescent="0.25">
      <c r="T3343" s="98"/>
      <c r="U3343" s="99"/>
    </row>
    <row r="3344" spans="20:21" x14ac:dyDescent="0.25">
      <c r="T3344" s="98"/>
      <c r="U3344" s="99"/>
    </row>
    <row r="3345" spans="20:21" x14ac:dyDescent="0.25">
      <c r="T3345" s="98"/>
      <c r="U3345" s="99"/>
    </row>
    <row r="3346" spans="20:21" x14ac:dyDescent="0.25">
      <c r="T3346" s="98"/>
      <c r="U3346" s="99"/>
    </row>
    <row r="3347" spans="20:21" x14ac:dyDescent="0.25">
      <c r="T3347" s="98"/>
      <c r="U3347" s="99"/>
    </row>
    <row r="3348" spans="20:21" x14ac:dyDescent="0.25">
      <c r="T3348" s="98"/>
      <c r="U3348" s="99"/>
    </row>
    <row r="3349" spans="20:21" x14ac:dyDescent="0.25">
      <c r="T3349" s="98"/>
      <c r="U3349" s="99"/>
    </row>
    <row r="3350" spans="20:21" x14ac:dyDescent="0.25">
      <c r="T3350" s="98"/>
      <c r="U3350" s="99"/>
    </row>
    <row r="3351" spans="20:21" x14ac:dyDescent="0.25">
      <c r="T3351" s="98"/>
      <c r="U3351" s="99"/>
    </row>
    <row r="3352" spans="20:21" x14ac:dyDescent="0.25">
      <c r="T3352" s="98"/>
      <c r="U3352" s="99"/>
    </row>
    <row r="3353" spans="20:21" x14ac:dyDescent="0.25">
      <c r="T3353" s="98"/>
      <c r="U3353" s="99"/>
    </row>
    <row r="3354" spans="20:21" x14ac:dyDescent="0.25">
      <c r="T3354" s="98"/>
      <c r="U3354" s="99"/>
    </row>
    <row r="3355" spans="20:21" x14ac:dyDescent="0.25">
      <c r="T3355" s="98"/>
      <c r="U3355" s="99"/>
    </row>
    <row r="3356" spans="20:21" x14ac:dyDescent="0.25">
      <c r="T3356" s="98"/>
      <c r="U3356" s="99"/>
    </row>
    <row r="3357" spans="20:21" x14ac:dyDescent="0.25">
      <c r="T3357" s="98"/>
      <c r="U3357" s="99"/>
    </row>
    <row r="3358" spans="20:21" x14ac:dyDescent="0.25">
      <c r="T3358" s="98"/>
      <c r="U3358" s="99"/>
    </row>
    <row r="3359" spans="20:21" x14ac:dyDescent="0.25">
      <c r="T3359" s="98"/>
      <c r="U3359" s="99"/>
    </row>
    <row r="3360" spans="20:21" x14ac:dyDescent="0.25">
      <c r="T3360" s="98"/>
      <c r="U3360" s="99"/>
    </row>
    <row r="3361" spans="20:21" x14ac:dyDescent="0.25">
      <c r="T3361" s="98"/>
      <c r="U3361" s="99"/>
    </row>
    <row r="3362" spans="20:21" x14ac:dyDescent="0.25">
      <c r="T3362" s="98"/>
      <c r="U3362" s="99"/>
    </row>
    <row r="3363" spans="20:21" x14ac:dyDescent="0.25">
      <c r="T3363" s="98"/>
      <c r="U3363" s="99"/>
    </row>
    <row r="3364" spans="20:21" x14ac:dyDescent="0.25">
      <c r="T3364" s="98"/>
      <c r="U3364" s="99"/>
    </row>
    <row r="3365" spans="20:21" x14ac:dyDescent="0.25">
      <c r="T3365" s="98"/>
      <c r="U3365" s="99"/>
    </row>
    <row r="3366" spans="20:21" x14ac:dyDescent="0.25">
      <c r="T3366" s="98"/>
      <c r="U3366" s="99"/>
    </row>
    <row r="3367" spans="20:21" x14ac:dyDescent="0.25">
      <c r="T3367" s="98"/>
      <c r="U3367" s="99"/>
    </row>
    <row r="3368" spans="20:21" x14ac:dyDescent="0.25">
      <c r="T3368" s="98"/>
      <c r="U3368" s="99"/>
    </row>
    <row r="3369" spans="20:21" x14ac:dyDescent="0.25">
      <c r="T3369" s="98"/>
      <c r="U3369" s="99"/>
    </row>
    <row r="3370" spans="20:21" x14ac:dyDescent="0.25">
      <c r="T3370" s="98"/>
      <c r="U3370" s="99"/>
    </row>
    <row r="3371" spans="20:21" x14ac:dyDescent="0.25">
      <c r="T3371" s="98"/>
      <c r="U3371" s="99"/>
    </row>
    <row r="3372" spans="20:21" x14ac:dyDescent="0.25">
      <c r="T3372" s="98"/>
      <c r="U3372" s="99"/>
    </row>
    <row r="3373" spans="20:21" x14ac:dyDescent="0.25">
      <c r="T3373" s="98"/>
      <c r="U3373" s="99"/>
    </row>
    <row r="3374" spans="20:21" x14ac:dyDescent="0.25">
      <c r="T3374" s="98"/>
      <c r="U3374" s="99"/>
    </row>
    <row r="3375" spans="20:21" x14ac:dyDescent="0.25">
      <c r="T3375" s="98"/>
      <c r="U3375" s="99"/>
    </row>
    <row r="3376" spans="20:21" x14ac:dyDescent="0.25">
      <c r="T3376" s="98"/>
      <c r="U3376" s="99"/>
    </row>
    <row r="3377" spans="20:21" x14ac:dyDescent="0.25">
      <c r="T3377" s="98"/>
      <c r="U3377" s="99"/>
    </row>
    <row r="3378" spans="20:21" x14ac:dyDescent="0.25">
      <c r="T3378" s="98"/>
      <c r="U3378" s="99"/>
    </row>
    <row r="3379" spans="20:21" x14ac:dyDescent="0.25">
      <c r="T3379" s="98"/>
      <c r="U3379" s="99"/>
    </row>
    <row r="3380" spans="20:21" x14ac:dyDescent="0.25">
      <c r="T3380" s="98"/>
      <c r="U3380" s="99"/>
    </row>
    <row r="3381" spans="20:21" x14ac:dyDescent="0.25">
      <c r="T3381" s="98"/>
      <c r="U3381" s="99"/>
    </row>
    <row r="3382" spans="20:21" x14ac:dyDescent="0.25">
      <c r="T3382" s="98"/>
      <c r="U3382" s="99"/>
    </row>
    <row r="3383" spans="20:21" x14ac:dyDescent="0.25">
      <c r="T3383" s="98"/>
      <c r="U3383" s="99"/>
    </row>
    <row r="3384" spans="20:21" x14ac:dyDescent="0.25">
      <c r="T3384" s="98"/>
      <c r="U3384" s="99"/>
    </row>
    <row r="3385" spans="20:21" x14ac:dyDescent="0.25">
      <c r="T3385" s="98"/>
      <c r="U3385" s="99"/>
    </row>
    <row r="3386" spans="20:21" x14ac:dyDescent="0.25">
      <c r="T3386" s="98"/>
      <c r="U3386" s="99"/>
    </row>
    <row r="3387" spans="20:21" x14ac:dyDescent="0.25">
      <c r="T3387" s="98"/>
      <c r="U3387" s="99"/>
    </row>
    <row r="3388" spans="20:21" x14ac:dyDescent="0.25">
      <c r="T3388" s="98"/>
      <c r="U3388" s="99"/>
    </row>
    <row r="3389" spans="20:21" x14ac:dyDescent="0.25">
      <c r="T3389" s="98"/>
      <c r="U3389" s="99"/>
    </row>
    <row r="3390" spans="20:21" x14ac:dyDescent="0.25">
      <c r="T3390" s="98"/>
      <c r="U3390" s="99"/>
    </row>
    <row r="3391" spans="20:21" x14ac:dyDescent="0.25">
      <c r="T3391" s="98"/>
      <c r="U3391" s="99"/>
    </row>
    <row r="3392" spans="20:21" x14ac:dyDescent="0.25">
      <c r="T3392" s="98"/>
      <c r="U3392" s="99"/>
    </row>
    <row r="3393" spans="20:21" x14ac:dyDescent="0.25">
      <c r="T3393" s="98"/>
      <c r="U3393" s="99"/>
    </row>
    <row r="3394" spans="20:21" x14ac:dyDescent="0.25">
      <c r="T3394" s="98"/>
      <c r="U3394" s="99"/>
    </row>
    <row r="3395" spans="20:21" x14ac:dyDescent="0.25">
      <c r="T3395" s="98"/>
      <c r="U3395" s="99"/>
    </row>
    <row r="3396" spans="20:21" x14ac:dyDescent="0.25">
      <c r="T3396" s="98"/>
      <c r="U3396" s="99"/>
    </row>
    <row r="3397" spans="20:21" x14ac:dyDescent="0.25">
      <c r="T3397" s="98"/>
      <c r="U3397" s="99"/>
    </row>
    <row r="3398" spans="20:21" x14ac:dyDescent="0.25">
      <c r="T3398" s="98"/>
      <c r="U3398" s="99"/>
    </row>
    <row r="3399" spans="20:21" x14ac:dyDescent="0.25">
      <c r="T3399" s="98"/>
      <c r="U3399" s="99"/>
    </row>
    <row r="3400" spans="20:21" x14ac:dyDescent="0.25">
      <c r="T3400" s="98"/>
      <c r="U3400" s="99"/>
    </row>
    <row r="3401" spans="20:21" x14ac:dyDescent="0.25">
      <c r="T3401" s="98"/>
      <c r="U3401" s="99"/>
    </row>
    <row r="3402" spans="20:21" x14ac:dyDescent="0.25">
      <c r="T3402" s="98"/>
      <c r="U3402" s="99"/>
    </row>
    <row r="3403" spans="20:21" x14ac:dyDescent="0.25">
      <c r="T3403" s="98"/>
      <c r="U3403" s="99"/>
    </row>
    <row r="3404" spans="20:21" x14ac:dyDescent="0.25">
      <c r="T3404" s="98"/>
      <c r="U3404" s="99"/>
    </row>
    <row r="3405" spans="20:21" x14ac:dyDescent="0.25">
      <c r="T3405" s="98"/>
      <c r="U3405" s="99"/>
    </row>
    <row r="3406" spans="20:21" x14ac:dyDescent="0.25">
      <c r="T3406" s="98"/>
      <c r="U3406" s="99"/>
    </row>
    <row r="3407" spans="20:21" x14ac:dyDescent="0.25">
      <c r="T3407" s="98"/>
      <c r="U3407" s="99"/>
    </row>
    <row r="3408" spans="20:21" x14ac:dyDescent="0.25">
      <c r="T3408" s="98"/>
      <c r="U3408" s="99"/>
    </row>
    <row r="3409" spans="20:21" x14ac:dyDescent="0.25">
      <c r="T3409" s="98"/>
      <c r="U3409" s="99"/>
    </row>
    <row r="3410" spans="20:21" x14ac:dyDescent="0.25">
      <c r="T3410" s="98"/>
      <c r="U3410" s="99"/>
    </row>
    <row r="3411" spans="20:21" x14ac:dyDescent="0.25">
      <c r="T3411" s="98"/>
      <c r="U3411" s="99"/>
    </row>
    <row r="3412" spans="20:21" x14ac:dyDescent="0.25">
      <c r="T3412" s="98"/>
      <c r="U3412" s="99"/>
    </row>
    <row r="3413" spans="20:21" x14ac:dyDescent="0.25">
      <c r="T3413" s="98"/>
      <c r="U3413" s="99"/>
    </row>
    <row r="3414" spans="20:21" x14ac:dyDescent="0.25">
      <c r="T3414" s="98"/>
      <c r="U3414" s="99"/>
    </row>
    <row r="3415" spans="20:21" x14ac:dyDescent="0.25">
      <c r="T3415" s="98"/>
      <c r="U3415" s="99"/>
    </row>
    <row r="3416" spans="20:21" x14ac:dyDescent="0.25">
      <c r="T3416" s="98"/>
      <c r="U3416" s="99"/>
    </row>
    <row r="3417" spans="20:21" x14ac:dyDescent="0.25">
      <c r="T3417" s="98"/>
      <c r="U3417" s="99"/>
    </row>
    <row r="3418" spans="20:21" x14ac:dyDescent="0.25">
      <c r="T3418" s="98"/>
      <c r="U3418" s="99"/>
    </row>
    <row r="3419" spans="20:21" x14ac:dyDescent="0.25">
      <c r="T3419" s="98"/>
      <c r="U3419" s="99"/>
    </row>
    <row r="3420" spans="20:21" x14ac:dyDescent="0.25">
      <c r="T3420" s="98"/>
      <c r="U3420" s="99"/>
    </row>
    <row r="3421" spans="20:21" x14ac:dyDescent="0.25">
      <c r="T3421" s="98"/>
      <c r="U3421" s="99"/>
    </row>
    <row r="3422" spans="20:21" x14ac:dyDescent="0.25">
      <c r="T3422" s="98"/>
      <c r="U3422" s="99"/>
    </row>
    <row r="3423" spans="20:21" x14ac:dyDescent="0.25">
      <c r="T3423" s="98"/>
      <c r="U3423" s="99"/>
    </row>
    <row r="3424" spans="20:21" x14ac:dyDescent="0.25">
      <c r="T3424" s="98"/>
      <c r="U3424" s="99"/>
    </row>
    <row r="3425" spans="20:21" x14ac:dyDescent="0.25">
      <c r="T3425" s="98"/>
      <c r="U3425" s="99"/>
    </row>
    <row r="3426" spans="20:21" x14ac:dyDescent="0.25">
      <c r="T3426" s="98"/>
      <c r="U3426" s="99"/>
    </row>
    <row r="3427" spans="20:21" x14ac:dyDescent="0.25">
      <c r="T3427" s="98"/>
      <c r="U3427" s="99"/>
    </row>
    <row r="3428" spans="20:21" x14ac:dyDescent="0.25">
      <c r="T3428" s="98"/>
      <c r="U3428" s="99"/>
    </row>
    <row r="3429" spans="20:21" x14ac:dyDescent="0.25">
      <c r="T3429" s="98"/>
      <c r="U3429" s="99"/>
    </row>
    <row r="3430" spans="20:21" x14ac:dyDescent="0.25">
      <c r="T3430" s="98"/>
      <c r="U3430" s="99"/>
    </row>
    <row r="3431" spans="20:21" x14ac:dyDescent="0.25">
      <c r="T3431" s="98"/>
      <c r="U3431" s="99"/>
    </row>
    <row r="3432" spans="20:21" x14ac:dyDescent="0.25">
      <c r="T3432" s="98"/>
      <c r="U3432" s="99"/>
    </row>
    <row r="3433" spans="20:21" x14ac:dyDescent="0.25">
      <c r="T3433" s="98"/>
      <c r="U3433" s="99"/>
    </row>
    <row r="3434" spans="20:21" x14ac:dyDescent="0.25">
      <c r="T3434" s="98"/>
      <c r="U3434" s="99"/>
    </row>
    <row r="3435" spans="20:21" x14ac:dyDescent="0.25">
      <c r="T3435" s="98"/>
      <c r="U3435" s="99"/>
    </row>
    <row r="3436" spans="20:21" x14ac:dyDescent="0.25">
      <c r="T3436" s="98"/>
      <c r="U3436" s="99"/>
    </row>
    <row r="3437" spans="20:21" x14ac:dyDescent="0.25">
      <c r="T3437" s="98"/>
      <c r="U3437" s="99"/>
    </row>
    <row r="3438" spans="20:21" x14ac:dyDescent="0.25">
      <c r="T3438" s="98"/>
      <c r="U3438" s="99"/>
    </row>
    <row r="3439" spans="20:21" x14ac:dyDescent="0.25">
      <c r="T3439" s="98"/>
      <c r="U3439" s="99"/>
    </row>
    <row r="3440" spans="20:21" x14ac:dyDescent="0.25">
      <c r="T3440" s="98"/>
      <c r="U3440" s="99"/>
    </row>
    <row r="3441" spans="20:21" x14ac:dyDescent="0.25">
      <c r="T3441" s="98"/>
      <c r="U3441" s="99"/>
    </row>
    <row r="3442" spans="20:21" x14ac:dyDescent="0.25">
      <c r="T3442" s="98"/>
      <c r="U3442" s="99"/>
    </row>
    <row r="3443" spans="20:21" x14ac:dyDescent="0.25">
      <c r="T3443" s="98"/>
      <c r="U3443" s="99"/>
    </row>
    <row r="3444" spans="20:21" x14ac:dyDescent="0.25">
      <c r="T3444" s="98"/>
      <c r="U3444" s="99"/>
    </row>
    <row r="3445" spans="20:21" x14ac:dyDescent="0.25">
      <c r="T3445" s="98"/>
      <c r="U3445" s="99"/>
    </row>
    <row r="3446" spans="20:21" x14ac:dyDescent="0.25">
      <c r="T3446" s="98"/>
      <c r="U3446" s="99"/>
    </row>
    <row r="3447" spans="20:21" x14ac:dyDescent="0.25">
      <c r="T3447" s="98"/>
      <c r="U3447" s="99"/>
    </row>
    <row r="3448" spans="20:21" x14ac:dyDescent="0.25">
      <c r="T3448" s="98"/>
      <c r="U3448" s="99"/>
    </row>
    <row r="3449" spans="20:21" x14ac:dyDescent="0.25">
      <c r="T3449" s="98"/>
      <c r="U3449" s="99"/>
    </row>
    <row r="3450" spans="20:21" x14ac:dyDescent="0.25">
      <c r="T3450" s="98"/>
      <c r="U3450" s="99"/>
    </row>
    <row r="3451" spans="20:21" x14ac:dyDescent="0.25">
      <c r="T3451" s="98"/>
      <c r="U3451" s="99"/>
    </row>
    <row r="3452" spans="20:21" x14ac:dyDescent="0.25">
      <c r="T3452" s="98"/>
      <c r="U3452" s="99"/>
    </row>
    <row r="3453" spans="20:21" x14ac:dyDescent="0.25">
      <c r="T3453" s="98"/>
      <c r="U3453" s="99"/>
    </row>
    <row r="3454" spans="20:21" x14ac:dyDescent="0.25">
      <c r="T3454" s="98"/>
      <c r="U3454" s="99"/>
    </row>
    <row r="3455" spans="20:21" x14ac:dyDescent="0.25">
      <c r="T3455" s="98"/>
      <c r="U3455" s="99"/>
    </row>
    <row r="3456" spans="20:21" x14ac:dyDescent="0.25">
      <c r="T3456" s="98"/>
      <c r="U3456" s="99"/>
    </row>
    <row r="3457" spans="20:21" x14ac:dyDescent="0.25">
      <c r="T3457" s="98"/>
      <c r="U3457" s="99"/>
    </row>
    <row r="3458" spans="20:21" x14ac:dyDescent="0.25">
      <c r="T3458" s="98"/>
      <c r="U3458" s="99"/>
    </row>
    <row r="3459" spans="20:21" x14ac:dyDescent="0.25">
      <c r="T3459" s="98"/>
      <c r="U3459" s="99"/>
    </row>
    <row r="3460" spans="20:21" x14ac:dyDescent="0.25">
      <c r="T3460" s="98"/>
      <c r="U3460" s="99"/>
    </row>
    <row r="3461" spans="20:21" x14ac:dyDescent="0.25">
      <c r="T3461" s="98"/>
      <c r="U3461" s="99"/>
    </row>
    <row r="3462" spans="20:21" x14ac:dyDescent="0.25">
      <c r="T3462" s="98"/>
      <c r="U3462" s="99"/>
    </row>
    <row r="3463" spans="20:21" x14ac:dyDescent="0.25">
      <c r="T3463" s="98"/>
      <c r="U3463" s="99"/>
    </row>
    <row r="3464" spans="20:21" x14ac:dyDescent="0.25">
      <c r="T3464" s="98"/>
      <c r="U3464" s="99"/>
    </row>
    <row r="3465" spans="20:21" x14ac:dyDescent="0.25">
      <c r="T3465" s="98"/>
      <c r="U3465" s="99"/>
    </row>
    <row r="3466" spans="20:21" x14ac:dyDescent="0.25">
      <c r="T3466" s="98"/>
      <c r="U3466" s="99"/>
    </row>
    <row r="3467" spans="20:21" x14ac:dyDescent="0.25">
      <c r="T3467" s="98"/>
      <c r="U3467" s="99"/>
    </row>
    <row r="3468" spans="20:21" x14ac:dyDescent="0.25">
      <c r="T3468" s="98"/>
      <c r="U3468" s="99"/>
    </row>
    <row r="3469" spans="20:21" x14ac:dyDescent="0.25">
      <c r="T3469" s="98"/>
      <c r="U3469" s="99"/>
    </row>
    <row r="3470" spans="20:21" x14ac:dyDescent="0.25">
      <c r="T3470" s="98"/>
      <c r="U3470" s="99"/>
    </row>
    <row r="3471" spans="20:21" x14ac:dyDescent="0.25">
      <c r="T3471" s="98"/>
      <c r="U3471" s="99"/>
    </row>
    <row r="3472" spans="20:21" x14ac:dyDescent="0.25">
      <c r="T3472" s="98"/>
      <c r="U3472" s="99"/>
    </row>
    <row r="3473" spans="20:21" x14ac:dyDescent="0.25">
      <c r="T3473" s="98"/>
      <c r="U3473" s="99"/>
    </row>
    <row r="3474" spans="20:21" x14ac:dyDescent="0.25">
      <c r="T3474" s="98"/>
      <c r="U3474" s="99"/>
    </row>
    <row r="3475" spans="20:21" x14ac:dyDescent="0.25">
      <c r="T3475" s="98"/>
      <c r="U3475" s="99"/>
    </row>
    <row r="3476" spans="20:21" x14ac:dyDescent="0.25">
      <c r="T3476" s="98"/>
      <c r="U3476" s="99"/>
    </row>
    <row r="3477" spans="20:21" x14ac:dyDescent="0.25">
      <c r="T3477" s="98"/>
      <c r="U3477" s="99"/>
    </row>
    <row r="3478" spans="20:21" x14ac:dyDescent="0.25">
      <c r="T3478" s="98"/>
      <c r="U3478" s="99"/>
    </row>
    <row r="3479" spans="20:21" x14ac:dyDescent="0.25">
      <c r="T3479" s="98"/>
      <c r="U3479" s="99"/>
    </row>
    <row r="3480" spans="20:21" x14ac:dyDescent="0.25">
      <c r="T3480" s="98"/>
      <c r="U3480" s="99"/>
    </row>
    <row r="3481" spans="20:21" x14ac:dyDescent="0.25">
      <c r="T3481" s="98"/>
      <c r="U3481" s="99"/>
    </row>
    <row r="3482" spans="20:21" x14ac:dyDescent="0.25">
      <c r="T3482" s="98"/>
      <c r="U3482" s="99"/>
    </row>
    <row r="3483" spans="20:21" x14ac:dyDescent="0.25">
      <c r="T3483" s="98"/>
      <c r="U3483" s="99"/>
    </row>
    <row r="3484" spans="20:21" x14ac:dyDescent="0.25">
      <c r="T3484" s="98"/>
      <c r="U3484" s="99"/>
    </row>
    <row r="3485" spans="20:21" x14ac:dyDescent="0.25">
      <c r="T3485" s="98"/>
      <c r="U3485" s="99"/>
    </row>
    <row r="3486" spans="20:21" x14ac:dyDescent="0.25">
      <c r="T3486" s="98"/>
      <c r="U3486" s="99"/>
    </row>
    <row r="3487" spans="20:21" x14ac:dyDescent="0.25">
      <c r="T3487" s="98"/>
      <c r="U3487" s="99"/>
    </row>
    <row r="3488" spans="20:21" x14ac:dyDescent="0.25">
      <c r="T3488" s="98"/>
      <c r="U3488" s="99"/>
    </row>
    <row r="3489" spans="20:21" x14ac:dyDescent="0.25">
      <c r="T3489" s="98"/>
      <c r="U3489" s="99"/>
    </row>
    <row r="3490" spans="20:21" x14ac:dyDescent="0.25">
      <c r="T3490" s="98"/>
      <c r="U3490" s="99"/>
    </row>
    <row r="3491" spans="20:21" x14ac:dyDescent="0.25">
      <c r="T3491" s="98"/>
      <c r="U3491" s="99"/>
    </row>
    <row r="3492" spans="20:21" x14ac:dyDescent="0.25">
      <c r="T3492" s="98"/>
      <c r="U3492" s="99"/>
    </row>
    <row r="3493" spans="20:21" x14ac:dyDescent="0.25">
      <c r="T3493" s="98"/>
      <c r="U3493" s="99"/>
    </row>
    <row r="3494" spans="20:21" x14ac:dyDescent="0.25">
      <c r="T3494" s="98"/>
      <c r="U3494" s="99"/>
    </row>
    <row r="3495" spans="20:21" x14ac:dyDescent="0.25">
      <c r="T3495" s="98"/>
      <c r="U3495" s="99"/>
    </row>
    <row r="3496" spans="20:21" x14ac:dyDescent="0.25">
      <c r="T3496" s="98"/>
      <c r="U3496" s="99"/>
    </row>
    <row r="3497" spans="20:21" x14ac:dyDescent="0.25">
      <c r="T3497" s="98"/>
      <c r="U3497" s="99"/>
    </row>
    <row r="3498" spans="20:21" x14ac:dyDescent="0.25">
      <c r="T3498" s="98"/>
      <c r="U3498" s="99"/>
    </row>
    <row r="3499" spans="20:21" x14ac:dyDescent="0.25">
      <c r="T3499" s="98"/>
      <c r="U3499" s="99"/>
    </row>
    <row r="3500" spans="20:21" x14ac:dyDescent="0.25">
      <c r="T3500" s="98"/>
      <c r="U3500" s="99"/>
    </row>
    <row r="3501" spans="20:21" x14ac:dyDescent="0.25">
      <c r="T3501" s="98"/>
      <c r="U3501" s="99"/>
    </row>
    <row r="3502" spans="20:21" x14ac:dyDescent="0.25">
      <c r="T3502" s="98"/>
      <c r="U3502" s="99"/>
    </row>
    <row r="3503" spans="20:21" x14ac:dyDescent="0.25">
      <c r="T3503" s="98"/>
      <c r="U3503" s="99"/>
    </row>
    <row r="3504" spans="20:21" x14ac:dyDescent="0.25">
      <c r="T3504" s="98"/>
      <c r="U3504" s="99"/>
    </row>
    <row r="3505" spans="20:21" x14ac:dyDescent="0.25">
      <c r="T3505" s="98"/>
      <c r="U3505" s="99"/>
    </row>
    <row r="3506" spans="20:21" x14ac:dyDescent="0.25">
      <c r="T3506" s="98"/>
      <c r="U3506" s="99"/>
    </row>
    <row r="3507" spans="20:21" x14ac:dyDescent="0.25">
      <c r="T3507" s="98"/>
      <c r="U3507" s="99"/>
    </row>
    <row r="3508" spans="20:21" x14ac:dyDescent="0.25">
      <c r="T3508" s="98"/>
      <c r="U3508" s="99"/>
    </row>
    <row r="3509" spans="20:21" x14ac:dyDescent="0.25">
      <c r="T3509" s="98"/>
      <c r="U3509" s="99"/>
    </row>
    <row r="3510" spans="20:21" x14ac:dyDescent="0.25">
      <c r="T3510" s="98"/>
      <c r="U3510" s="99"/>
    </row>
    <row r="3511" spans="20:21" x14ac:dyDescent="0.25">
      <c r="T3511" s="98"/>
      <c r="U3511" s="99"/>
    </row>
    <row r="3512" spans="20:21" x14ac:dyDescent="0.25">
      <c r="T3512" s="98"/>
      <c r="U3512" s="99"/>
    </row>
    <row r="3513" spans="20:21" x14ac:dyDescent="0.25">
      <c r="T3513" s="98"/>
      <c r="U3513" s="99"/>
    </row>
    <row r="3514" spans="20:21" x14ac:dyDescent="0.25">
      <c r="T3514" s="98"/>
      <c r="U3514" s="99"/>
    </row>
    <row r="3515" spans="20:21" x14ac:dyDescent="0.25">
      <c r="T3515" s="98"/>
      <c r="U3515" s="99"/>
    </row>
    <row r="3516" spans="20:21" x14ac:dyDescent="0.25">
      <c r="T3516" s="98"/>
      <c r="U3516" s="99"/>
    </row>
    <row r="3517" spans="20:21" x14ac:dyDescent="0.25">
      <c r="T3517" s="98"/>
      <c r="U3517" s="99"/>
    </row>
    <row r="3518" spans="20:21" x14ac:dyDescent="0.25">
      <c r="T3518" s="98"/>
      <c r="U3518" s="99"/>
    </row>
    <row r="3519" spans="20:21" x14ac:dyDescent="0.25">
      <c r="T3519" s="98"/>
      <c r="U3519" s="99"/>
    </row>
    <row r="3520" spans="20:21" x14ac:dyDescent="0.25">
      <c r="T3520" s="98"/>
      <c r="U3520" s="99"/>
    </row>
    <row r="3521" spans="20:21" x14ac:dyDescent="0.25">
      <c r="T3521" s="98"/>
      <c r="U3521" s="99"/>
    </row>
    <row r="3522" spans="20:21" x14ac:dyDescent="0.25">
      <c r="T3522" s="98"/>
      <c r="U3522" s="99"/>
    </row>
    <row r="3523" spans="20:21" x14ac:dyDescent="0.25">
      <c r="T3523" s="98"/>
      <c r="U3523" s="99"/>
    </row>
    <row r="3524" spans="20:21" x14ac:dyDescent="0.25">
      <c r="T3524" s="98"/>
      <c r="U3524" s="99"/>
    </row>
    <row r="3525" spans="20:21" x14ac:dyDescent="0.25">
      <c r="T3525" s="98"/>
      <c r="U3525" s="99"/>
    </row>
    <row r="3526" spans="20:21" x14ac:dyDescent="0.25">
      <c r="T3526" s="98"/>
      <c r="U3526" s="99"/>
    </row>
    <row r="3527" spans="20:21" x14ac:dyDescent="0.25">
      <c r="T3527" s="98"/>
      <c r="U3527" s="99"/>
    </row>
    <row r="3528" spans="20:21" x14ac:dyDescent="0.25">
      <c r="T3528" s="98"/>
      <c r="U3528" s="99"/>
    </row>
    <row r="3529" spans="20:21" x14ac:dyDescent="0.25">
      <c r="T3529" s="98"/>
      <c r="U3529" s="99"/>
    </row>
    <row r="3530" spans="20:21" x14ac:dyDescent="0.25">
      <c r="T3530" s="98"/>
      <c r="U3530" s="99"/>
    </row>
    <row r="3531" spans="20:21" x14ac:dyDescent="0.25">
      <c r="T3531" s="98"/>
      <c r="U3531" s="99"/>
    </row>
    <row r="3532" spans="20:21" x14ac:dyDescent="0.25">
      <c r="T3532" s="98"/>
      <c r="U3532" s="99"/>
    </row>
    <row r="3533" spans="20:21" x14ac:dyDescent="0.25">
      <c r="T3533" s="98"/>
      <c r="U3533" s="99"/>
    </row>
    <row r="3534" spans="20:21" x14ac:dyDescent="0.25">
      <c r="T3534" s="98"/>
      <c r="U3534" s="99"/>
    </row>
    <row r="3535" spans="20:21" x14ac:dyDescent="0.25">
      <c r="T3535" s="98"/>
      <c r="U3535" s="99"/>
    </row>
    <row r="3536" spans="20:21" x14ac:dyDescent="0.25">
      <c r="T3536" s="98"/>
      <c r="U3536" s="99"/>
    </row>
    <row r="3537" spans="20:21" x14ac:dyDescent="0.25">
      <c r="T3537" s="98"/>
      <c r="U3537" s="99"/>
    </row>
    <row r="3538" spans="20:21" x14ac:dyDescent="0.25">
      <c r="T3538" s="98"/>
      <c r="U3538" s="99"/>
    </row>
    <row r="3539" spans="20:21" x14ac:dyDescent="0.25">
      <c r="T3539" s="98"/>
      <c r="U3539" s="99"/>
    </row>
    <row r="3540" spans="20:21" x14ac:dyDescent="0.25">
      <c r="T3540" s="98"/>
      <c r="U3540" s="99"/>
    </row>
    <row r="3541" spans="20:21" x14ac:dyDescent="0.25">
      <c r="T3541" s="98"/>
      <c r="U3541" s="99"/>
    </row>
    <row r="3542" spans="20:21" x14ac:dyDescent="0.25">
      <c r="T3542" s="98"/>
      <c r="U3542" s="99"/>
    </row>
    <row r="3543" spans="20:21" x14ac:dyDescent="0.25">
      <c r="T3543" s="98"/>
      <c r="U3543" s="99"/>
    </row>
    <row r="3544" spans="20:21" x14ac:dyDescent="0.25">
      <c r="T3544" s="98"/>
      <c r="U3544" s="99"/>
    </row>
    <row r="3545" spans="20:21" x14ac:dyDescent="0.25">
      <c r="T3545" s="98"/>
      <c r="U3545" s="99"/>
    </row>
    <row r="3546" spans="20:21" x14ac:dyDescent="0.25">
      <c r="T3546" s="98"/>
      <c r="U3546" s="99"/>
    </row>
    <row r="3547" spans="20:21" x14ac:dyDescent="0.25">
      <c r="T3547" s="98"/>
      <c r="U3547" s="99"/>
    </row>
    <row r="3548" spans="20:21" x14ac:dyDescent="0.25">
      <c r="T3548" s="98"/>
      <c r="U3548" s="99"/>
    </row>
    <row r="3549" spans="20:21" x14ac:dyDescent="0.25">
      <c r="T3549" s="98"/>
      <c r="U3549" s="99"/>
    </row>
    <row r="3550" spans="20:21" x14ac:dyDescent="0.25">
      <c r="T3550" s="98"/>
      <c r="U3550" s="99"/>
    </row>
    <row r="3551" spans="20:21" x14ac:dyDescent="0.25">
      <c r="T3551" s="98"/>
      <c r="U3551" s="99"/>
    </row>
    <row r="3552" spans="20:21" x14ac:dyDescent="0.25">
      <c r="T3552" s="98"/>
      <c r="U3552" s="99"/>
    </row>
    <row r="3553" spans="20:21" x14ac:dyDescent="0.25">
      <c r="T3553" s="98"/>
      <c r="U3553" s="99"/>
    </row>
    <row r="3554" spans="20:21" x14ac:dyDescent="0.25">
      <c r="T3554" s="98"/>
      <c r="U3554" s="99"/>
    </row>
    <row r="3555" spans="20:21" x14ac:dyDescent="0.25">
      <c r="T3555" s="98"/>
      <c r="U3555" s="99"/>
    </row>
    <row r="3556" spans="20:21" x14ac:dyDescent="0.25">
      <c r="T3556" s="98"/>
      <c r="U3556" s="99"/>
    </row>
    <row r="3557" spans="20:21" x14ac:dyDescent="0.25">
      <c r="T3557" s="98"/>
      <c r="U3557" s="99"/>
    </row>
    <row r="3558" spans="20:21" x14ac:dyDescent="0.25">
      <c r="T3558" s="98"/>
      <c r="U3558" s="99"/>
    </row>
    <row r="3559" spans="20:21" x14ac:dyDescent="0.25">
      <c r="T3559" s="98"/>
      <c r="U3559" s="99"/>
    </row>
    <row r="3560" spans="20:21" x14ac:dyDescent="0.25">
      <c r="T3560" s="98"/>
      <c r="U3560" s="99"/>
    </row>
    <row r="3561" spans="20:21" x14ac:dyDescent="0.25">
      <c r="T3561" s="98"/>
      <c r="U3561" s="99"/>
    </row>
    <row r="3562" spans="20:21" x14ac:dyDescent="0.25">
      <c r="T3562" s="98"/>
      <c r="U3562" s="99"/>
    </row>
    <row r="3563" spans="20:21" x14ac:dyDescent="0.25">
      <c r="T3563" s="98"/>
      <c r="U3563" s="99"/>
    </row>
    <row r="3564" spans="20:21" x14ac:dyDescent="0.25">
      <c r="T3564" s="98"/>
      <c r="U3564" s="99"/>
    </row>
    <row r="3565" spans="20:21" x14ac:dyDescent="0.25">
      <c r="T3565" s="98"/>
      <c r="U3565" s="99"/>
    </row>
    <row r="3566" spans="20:21" x14ac:dyDescent="0.25">
      <c r="T3566" s="98"/>
      <c r="U3566" s="99"/>
    </row>
    <row r="3567" spans="20:21" x14ac:dyDescent="0.25">
      <c r="T3567" s="98"/>
      <c r="U3567" s="99"/>
    </row>
    <row r="3568" spans="20:21" x14ac:dyDescent="0.25">
      <c r="T3568" s="98"/>
      <c r="U3568" s="99"/>
    </row>
    <row r="3569" spans="20:21" x14ac:dyDescent="0.25">
      <c r="T3569" s="98"/>
      <c r="U3569" s="99"/>
    </row>
    <row r="3570" spans="20:21" x14ac:dyDescent="0.25">
      <c r="T3570" s="98"/>
      <c r="U3570" s="99"/>
    </row>
    <row r="3571" spans="20:21" x14ac:dyDescent="0.25">
      <c r="T3571" s="98"/>
      <c r="U3571" s="99"/>
    </row>
    <row r="3572" spans="20:21" x14ac:dyDescent="0.25">
      <c r="T3572" s="98"/>
      <c r="U3572" s="99"/>
    </row>
    <row r="3573" spans="20:21" x14ac:dyDescent="0.25">
      <c r="T3573" s="98"/>
      <c r="U3573" s="99"/>
    </row>
    <row r="3574" spans="20:21" x14ac:dyDescent="0.25">
      <c r="T3574" s="98"/>
      <c r="U3574" s="99"/>
    </row>
    <row r="3575" spans="20:21" x14ac:dyDescent="0.25">
      <c r="T3575" s="98"/>
      <c r="U3575" s="99"/>
    </row>
    <row r="3576" spans="20:21" x14ac:dyDescent="0.25">
      <c r="T3576" s="98"/>
      <c r="U3576" s="99"/>
    </row>
    <row r="3577" spans="20:21" x14ac:dyDescent="0.25">
      <c r="T3577" s="98"/>
      <c r="U3577" s="99"/>
    </row>
    <row r="3578" spans="20:21" x14ac:dyDescent="0.25">
      <c r="T3578" s="98"/>
      <c r="U3578" s="99"/>
    </row>
    <row r="3579" spans="20:21" x14ac:dyDescent="0.25">
      <c r="T3579" s="98"/>
      <c r="U3579" s="99"/>
    </row>
    <row r="3580" spans="20:21" x14ac:dyDescent="0.25">
      <c r="T3580" s="98"/>
      <c r="U3580" s="99"/>
    </row>
    <row r="3581" spans="20:21" x14ac:dyDescent="0.25">
      <c r="T3581" s="98"/>
      <c r="U3581" s="99"/>
    </row>
    <row r="3582" spans="20:21" x14ac:dyDescent="0.25">
      <c r="T3582" s="98"/>
      <c r="U3582" s="99"/>
    </row>
    <row r="3583" spans="20:21" x14ac:dyDescent="0.25">
      <c r="T3583" s="98"/>
      <c r="U3583" s="99"/>
    </row>
    <row r="3584" spans="20:21" x14ac:dyDescent="0.25">
      <c r="T3584" s="98"/>
      <c r="U3584" s="99"/>
    </row>
    <row r="3585" spans="20:21" x14ac:dyDescent="0.25">
      <c r="T3585" s="98"/>
      <c r="U3585" s="99"/>
    </row>
    <row r="3586" spans="20:21" x14ac:dyDescent="0.25">
      <c r="T3586" s="98"/>
      <c r="U3586" s="99"/>
    </row>
    <row r="3587" spans="20:21" x14ac:dyDescent="0.25">
      <c r="T3587" s="98"/>
      <c r="U3587" s="99"/>
    </row>
    <row r="3588" spans="20:21" x14ac:dyDescent="0.25">
      <c r="T3588" s="98"/>
      <c r="U3588" s="99"/>
    </row>
    <row r="3589" spans="20:21" x14ac:dyDescent="0.25">
      <c r="T3589" s="98"/>
      <c r="U3589" s="99"/>
    </row>
    <row r="3590" spans="20:21" x14ac:dyDescent="0.25">
      <c r="T3590" s="98"/>
      <c r="U3590" s="99"/>
    </row>
    <row r="3591" spans="20:21" x14ac:dyDescent="0.25">
      <c r="T3591" s="98"/>
      <c r="U3591" s="99"/>
    </row>
    <row r="3592" spans="20:21" x14ac:dyDescent="0.25">
      <c r="T3592" s="98"/>
      <c r="U3592" s="99"/>
    </row>
    <row r="3593" spans="20:21" x14ac:dyDescent="0.25">
      <c r="T3593" s="98"/>
      <c r="U3593" s="99"/>
    </row>
    <row r="3594" spans="20:21" x14ac:dyDescent="0.25">
      <c r="T3594" s="98"/>
      <c r="U3594" s="99"/>
    </row>
    <row r="3595" spans="20:21" x14ac:dyDescent="0.25">
      <c r="T3595" s="98"/>
      <c r="U3595" s="99"/>
    </row>
    <row r="3596" spans="20:21" x14ac:dyDescent="0.25">
      <c r="T3596" s="98"/>
      <c r="U3596" s="99"/>
    </row>
    <row r="3597" spans="20:21" x14ac:dyDescent="0.25">
      <c r="T3597" s="98"/>
      <c r="U3597" s="99"/>
    </row>
    <row r="3598" spans="20:21" x14ac:dyDescent="0.25">
      <c r="T3598" s="98"/>
      <c r="U3598" s="99"/>
    </row>
    <row r="3599" spans="20:21" x14ac:dyDescent="0.25">
      <c r="T3599" s="98"/>
      <c r="U3599" s="99"/>
    </row>
    <row r="3600" spans="20:21" x14ac:dyDescent="0.25">
      <c r="T3600" s="98"/>
      <c r="U3600" s="99"/>
    </row>
    <row r="3601" spans="20:21" x14ac:dyDescent="0.25">
      <c r="T3601" s="98"/>
      <c r="U3601" s="99"/>
    </row>
    <row r="3602" spans="20:21" x14ac:dyDescent="0.25">
      <c r="T3602" s="98"/>
      <c r="U3602" s="99"/>
    </row>
    <row r="3603" spans="20:21" x14ac:dyDescent="0.25">
      <c r="T3603" s="98"/>
      <c r="U3603" s="99"/>
    </row>
    <row r="3604" spans="20:21" x14ac:dyDescent="0.25">
      <c r="T3604" s="98"/>
      <c r="U3604" s="99"/>
    </row>
    <row r="3605" spans="20:21" x14ac:dyDescent="0.25">
      <c r="T3605" s="98"/>
      <c r="U3605" s="99"/>
    </row>
    <row r="3606" spans="20:21" x14ac:dyDescent="0.25">
      <c r="T3606" s="98"/>
      <c r="U3606" s="99"/>
    </row>
    <row r="3607" spans="20:21" x14ac:dyDescent="0.25">
      <c r="T3607" s="98"/>
      <c r="U3607" s="99"/>
    </row>
    <row r="3608" spans="20:21" x14ac:dyDescent="0.25">
      <c r="T3608" s="98"/>
      <c r="U3608" s="99"/>
    </row>
    <row r="3609" spans="20:21" x14ac:dyDescent="0.25">
      <c r="T3609" s="98"/>
      <c r="U3609" s="99"/>
    </row>
    <row r="3610" spans="20:21" x14ac:dyDescent="0.25">
      <c r="T3610" s="98"/>
      <c r="U3610" s="99"/>
    </row>
    <row r="3611" spans="20:21" x14ac:dyDescent="0.25">
      <c r="T3611" s="98"/>
      <c r="U3611" s="99"/>
    </row>
    <row r="3612" spans="20:21" x14ac:dyDescent="0.25">
      <c r="T3612" s="98"/>
      <c r="U3612" s="99"/>
    </row>
    <row r="3613" spans="20:21" x14ac:dyDescent="0.25">
      <c r="T3613" s="98"/>
      <c r="U3613" s="99"/>
    </row>
    <row r="3614" spans="20:21" x14ac:dyDescent="0.25">
      <c r="T3614" s="98"/>
      <c r="U3614" s="99"/>
    </row>
    <row r="3615" spans="20:21" x14ac:dyDescent="0.25">
      <c r="T3615" s="98"/>
      <c r="U3615" s="99"/>
    </row>
    <row r="3616" spans="20:21" x14ac:dyDescent="0.25">
      <c r="T3616" s="98"/>
      <c r="U3616" s="99"/>
    </row>
    <row r="3617" spans="20:21" x14ac:dyDescent="0.25">
      <c r="T3617" s="98"/>
      <c r="U3617" s="99"/>
    </row>
    <row r="3618" spans="20:21" x14ac:dyDescent="0.25">
      <c r="T3618" s="98"/>
      <c r="U3618" s="99"/>
    </row>
    <row r="3619" spans="20:21" x14ac:dyDescent="0.25">
      <c r="T3619" s="98"/>
      <c r="U3619" s="99"/>
    </row>
    <row r="3620" spans="20:21" x14ac:dyDescent="0.25">
      <c r="T3620" s="98"/>
      <c r="U3620" s="99"/>
    </row>
    <row r="3621" spans="20:21" x14ac:dyDescent="0.25">
      <c r="T3621" s="98"/>
      <c r="U3621" s="99"/>
    </row>
    <row r="3622" spans="20:21" x14ac:dyDescent="0.25">
      <c r="T3622" s="98"/>
      <c r="U3622" s="99"/>
    </row>
    <row r="3623" spans="20:21" x14ac:dyDescent="0.25">
      <c r="T3623" s="98"/>
      <c r="U3623" s="99"/>
    </row>
    <row r="3624" spans="20:21" x14ac:dyDescent="0.25">
      <c r="T3624" s="98"/>
      <c r="U3624" s="99"/>
    </row>
    <row r="3625" spans="20:21" x14ac:dyDescent="0.25">
      <c r="T3625" s="98"/>
      <c r="U3625" s="99"/>
    </row>
    <row r="3626" spans="20:21" x14ac:dyDescent="0.25">
      <c r="T3626" s="98"/>
      <c r="U3626" s="99"/>
    </row>
    <row r="3627" spans="20:21" x14ac:dyDescent="0.25">
      <c r="T3627" s="98"/>
      <c r="U3627" s="99"/>
    </row>
    <row r="3628" spans="20:21" x14ac:dyDescent="0.25">
      <c r="T3628" s="98"/>
      <c r="U3628" s="99"/>
    </row>
    <row r="3629" spans="20:21" x14ac:dyDescent="0.25">
      <c r="T3629" s="98"/>
      <c r="U3629" s="99"/>
    </row>
    <row r="3630" spans="20:21" x14ac:dyDescent="0.25">
      <c r="T3630" s="98"/>
      <c r="U3630" s="99"/>
    </row>
    <row r="3631" spans="20:21" x14ac:dyDescent="0.25">
      <c r="T3631" s="98"/>
      <c r="U3631" s="99"/>
    </row>
    <row r="3632" spans="20:21" x14ac:dyDescent="0.25">
      <c r="T3632" s="98"/>
      <c r="U3632" s="99"/>
    </row>
    <row r="3633" spans="20:21" x14ac:dyDescent="0.25">
      <c r="T3633" s="98"/>
      <c r="U3633" s="99"/>
    </row>
    <row r="3634" spans="20:21" x14ac:dyDescent="0.25">
      <c r="T3634" s="98"/>
      <c r="U3634" s="99"/>
    </row>
    <row r="3635" spans="20:21" x14ac:dyDescent="0.25">
      <c r="T3635" s="98"/>
      <c r="U3635" s="99"/>
    </row>
    <row r="3636" spans="20:21" x14ac:dyDescent="0.25">
      <c r="T3636" s="98"/>
      <c r="U3636" s="99"/>
    </row>
    <row r="3637" spans="20:21" x14ac:dyDescent="0.25">
      <c r="T3637" s="98"/>
      <c r="U3637" s="99"/>
    </row>
    <row r="3638" spans="20:21" x14ac:dyDescent="0.25">
      <c r="T3638" s="98"/>
      <c r="U3638" s="99"/>
    </row>
    <row r="3639" spans="20:21" x14ac:dyDescent="0.25">
      <c r="T3639" s="98"/>
      <c r="U3639" s="99"/>
    </row>
    <row r="3640" spans="20:21" x14ac:dyDescent="0.25">
      <c r="T3640" s="98"/>
      <c r="U3640" s="99"/>
    </row>
    <row r="3641" spans="20:21" x14ac:dyDescent="0.25">
      <c r="T3641" s="98"/>
      <c r="U3641" s="99"/>
    </row>
    <row r="3642" spans="20:21" x14ac:dyDescent="0.25">
      <c r="T3642" s="98"/>
      <c r="U3642" s="99"/>
    </row>
    <row r="3643" spans="20:21" x14ac:dyDescent="0.25">
      <c r="T3643" s="98"/>
      <c r="U3643" s="99"/>
    </row>
    <row r="3644" spans="20:21" x14ac:dyDescent="0.25">
      <c r="T3644" s="98"/>
      <c r="U3644" s="99"/>
    </row>
    <row r="3645" spans="20:21" x14ac:dyDescent="0.25">
      <c r="T3645" s="98"/>
      <c r="U3645" s="99"/>
    </row>
    <row r="3646" spans="20:21" x14ac:dyDescent="0.25">
      <c r="T3646" s="98"/>
      <c r="U3646" s="99"/>
    </row>
    <row r="3647" spans="20:21" x14ac:dyDescent="0.25">
      <c r="T3647" s="98"/>
      <c r="U3647" s="99"/>
    </row>
    <row r="3648" spans="20:21" x14ac:dyDescent="0.25">
      <c r="T3648" s="98"/>
      <c r="U3648" s="99"/>
    </row>
    <row r="3649" spans="20:21" x14ac:dyDescent="0.25">
      <c r="T3649" s="98"/>
      <c r="U3649" s="99"/>
    </row>
    <row r="3650" spans="20:21" x14ac:dyDescent="0.25">
      <c r="T3650" s="98"/>
      <c r="U3650" s="99"/>
    </row>
    <row r="3651" spans="20:21" x14ac:dyDescent="0.25">
      <c r="T3651" s="98"/>
      <c r="U3651" s="99"/>
    </row>
    <row r="3652" spans="20:21" x14ac:dyDescent="0.25">
      <c r="T3652" s="98"/>
      <c r="U3652" s="99"/>
    </row>
    <row r="3653" spans="20:21" x14ac:dyDescent="0.25">
      <c r="T3653" s="98"/>
      <c r="U3653" s="99"/>
    </row>
    <row r="3654" spans="20:21" x14ac:dyDescent="0.25">
      <c r="T3654" s="98"/>
      <c r="U3654" s="99"/>
    </row>
    <row r="3655" spans="20:21" x14ac:dyDescent="0.25">
      <c r="T3655" s="98"/>
      <c r="U3655" s="99"/>
    </row>
    <row r="3656" spans="20:21" x14ac:dyDescent="0.25">
      <c r="T3656" s="98"/>
      <c r="U3656" s="99"/>
    </row>
    <row r="3657" spans="20:21" x14ac:dyDescent="0.25">
      <c r="T3657" s="98"/>
      <c r="U3657" s="99"/>
    </row>
    <row r="3658" spans="20:21" x14ac:dyDescent="0.25">
      <c r="T3658" s="98"/>
      <c r="U3658" s="99"/>
    </row>
    <row r="3659" spans="20:21" x14ac:dyDescent="0.25">
      <c r="T3659" s="98"/>
      <c r="U3659" s="99"/>
    </row>
    <row r="3660" spans="20:21" x14ac:dyDescent="0.25">
      <c r="T3660" s="98"/>
      <c r="U3660" s="99"/>
    </row>
    <row r="3661" spans="20:21" x14ac:dyDescent="0.25">
      <c r="T3661" s="98"/>
      <c r="U3661" s="99"/>
    </row>
    <row r="3662" spans="20:21" x14ac:dyDescent="0.25">
      <c r="T3662" s="98"/>
      <c r="U3662" s="99"/>
    </row>
    <row r="3663" spans="20:21" x14ac:dyDescent="0.25">
      <c r="T3663" s="98"/>
      <c r="U3663" s="99"/>
    </row>
    <row r="3664" spans="20:21" x14ac:dyDescent="0.25">
      <c r="T3664" s="98"/>
      <c r="U3664" s="99"/>
    </row>
    <row r="3665" spans="20:21" x14ac:dyDescent="0.25">
      <c r="T3665" s="98"/>
      <c r="U3665" s="99"/>
    </row>
    <row r="3666" spans="20:21" x14ac:dyDescent="0.25">
      <c r="T3666" s="98"/>
      <c r="U3666" s="99"/>
    </row>
    <row r="3667" spans="20:21" x14ac:dyDescent="0.25">
      <c r="T3667" s="98"/>
      <c r="U3667" s="99"/>
    </row>
    <row r="3668" spans="20:21" x14ac:dyDescent="0.25">
      <c r="T3668" s="98"/>
      <c r="U3668" s="99"/>
    </row>
    <row r="3669" spans="20:21" x14ac:dyDescent="0.25">
      <c r="T3669" s="98"/>
      <c r="U3669" s="99"/>
    </row>
    <row r="3670" spans="20:21" x14ac:dyDescent="0.25">
      <c r="T3670" s="98"/>
      <c r="U3670" s="99"/>
    </row>
    <row r="3671" spans="20:21" x14ac:dyDescent="0.25">
      <c r="T3671" s="98"/>
      <c r="U3671" s="99"/>
    </row>
    <row r="3672" spans="20:21" x14ac:dyDescent="0.25">
      <c r="T3672" s="98"/>
      <c r="U3672" s="99"/>
    </row>
    <row r="3673" spans="20:21" x14ac:dyDescent="0.25">
      <c r="T3673" s="98"/>
      <c r="U3673" s="99"/>
    </row>
    <row r="3674" spans="20:21" x14ac:dyDescent="0.25">
      <c r="T3674" s="98"/>
      <c r="U3674" s="99"/>
    </row>
    <row r="3675" spans="20:21" x14ac:dyDescent="0.25">
      <c r="T3675" s="98"/>
      <c r="U3675" s="99"/>
    </row>
    <row r="3676" spans="20:21" x14ac:dyDescent="0.25">
      <c r="T3676" s="98"/>
      <c r="U3676" s="99"/>
    </row>
    <row r="3677" spans="20:21" x14ac:dyDescent="0.25">
      <c r="T3677" s="98"/>
      <c r="U3677" s="99"/>
    </row>
    <row r="3678" spans="20:21" x14ac:dyDescent="0.25">
      <c r="T3678" s="98"/>
      <c r="U3678" s="99"/>
    </row>
    <row r="3679" spans="20:21" x14ac:dyDescent="0.25">
      <c r="T3679" s="98"/>
      <c r="U3679" s="99"/>
    </row>
    <row r="3680" spans="20:21" x14ac:dyDescent="0.25">
      <c r="T3680" s="98"/>
      <c r="U3680" s="99"/>
    </row>
    <row r="3681" spans="20:21" x14ac:dyDescent="0.25">
      <c r="T3681" s="98"/>
      <c r="U3681" s="99"/>
    </row>
    <row r="3682" spans="20:21" x14ac:dyDescent="0.25">
      <c r="T3682" s="98"/>
      <c r="U3682" s="99"/>
    </row>
    <row r="3683" spans="20:21" x14ac:dyDescent="0.25">
      <c r="T3683" s="98"/>
      <c r="U3683" s="99"/>
    </row>
    <row r="3684" spans="20:21" x14ac:dyDescent="0.25">
      <c r="T3684" s="98"/>
      <c r="U3684" s="99"/>
    </row>
    <row r="3685" spans="20:21" x14ac:dyDescent="0.25">
      <c r="T3685" s="98"/>
      <c r="U3685" s="99"/>
    </row>
    <row r="3686" spans="20:21" x14ac:dyDescent="0.25">
      <c r="T3686" s="98"/>
      <c r="U3686" s="99"/>
    </row>
    <row r="3687" spans="20:21" x14ac:dyDescent="0.25">
      <c r="T3687" s="98"/>
      <c r="U3687" s="99"/>
    </row>
    <row r="3688" spans="20:21" x14ac:dyDescent="0.25">
      <c r="T3688" s="98"/>
      <c r="U3688" s="99"/>
    </row>
    <row r="3689" spans="20:21" x14ac:dyDescent="0.25">
      <c r="T3689" s="98"/>
      <c r="U3689" s="99"/>
    </row>
    <row r="3690" spans="20:21" x14ac:dyDescent="0.25">
      <c r="T3690" s="98"/>
      <c r="U3690" s="99"/>
    </row>
    <row r="3691" spans="20:21" x14ac:dyDescent="0.25">
      <c r="T3691" s="98"/>
      <c r="U3691" s="99"/>
    </row>
    <row r="3692" spans="20:21" x14ac:dyDescent="0.25">
      <c r="T3692" s="98"/>
      <c r="U3692" s="99"/>
    </row>
    <row r="3693" spans="20:21" x14ac:dyDescent="0.25">
      <c r="T3693" s="98"/>
      <c r="U3693" s="99"/>
    </row>
    <row r="3694" spans="20:21" x14ac:dyDescent="0.25">
      <c r="T3694" s="98"/>
      <c r="U3694" s="99"/>
    </row>
    <row r="3695" spans="20:21" x14ac:dyDescent="0.25">
      <c r="T3695" s="98"/>
      <c r="U3695" s="99"/>
    </row>
    <row r="3696" spans="20:21" x14ac:dyDescent="0.25">
      <c r="T3696" s="98"/>
      <c r="U3696" s="99"/>
    </row>
    <row r="3697" spans="20:21" x14ac:dyDescent="0.25">
      <c r="T3697" s="98"/>
      <c r="U3697" s="99"/>
    </row>
    <row r="3698" spans="20:21" x14ac:dyDescent="0.25">
      <c r="T3698" s="98"/>
      <c r="U3698" s="99"/>
    </row>
    <row r="3699" spans="20:21" x14ac:dyDescent="0.25">
      <c r="T3699" s="98"/>
      <c r="U3699" s="99"/>
    </row>
    <row r="3700" spans="20:21" x14ac:dyDescent="0.25">
      <c r="T3700" s="98"/>
      <c r="U3700" s="99"/>
    </row>
    <row r="3701" spans="20:21" x14ac:dyDescent="0.25">
      <c r="T3701" s="98"/>
      <c r="U3701" s="99"/>
    </row>
    <row r="3702" spans="20:21" x14ac:dyDescent="0.25">
      <c r="T3702" s="98"/>
      <c r="U3702" s="99"/>
    </row>
    <row r="3703" spans="20:21" x14ac:dyDescent="0.25">
      <c r="T3703" s="98"/>
      <c r="U3703" s="99"/>
    </row>
    <row r="3704" spans="20:21" x14ac:dyDescent="0.25">
      <c r="T3704" s="98"/>
      <c r="U3704" s="99"/>
    </row>
    <row r="3705" spans="20:21" x14ac:dyDescent="0.25">
      <c r="T3705" s="98"/>
      <c r="U3705" s="99"/>
    </row>
    <row r="3706" spans="20:21" x14ac:dyDescent="0.25">
      <c r="T3706" s="98"/>
      <c r="U3706" s="99"/>
    </row>
    <row r="3707" spans="20:21" x14ac:dyDescent="0.25">
      <c r="T3707" s="98"/>
      <c r="U3707" s="99"/>
    </row>
    <row r="3708" spans="20:21" x14ac:dyDescent="0.25">
      <c r="T3708" s="98"/>
      <c r="U3708" s="99"/>
    </row>
    <row r="3709" spans="20:21" x14ac:dyDescent="0.25">
      <c r="T3709" s="98"/>
      <c r="U3709" s="99"/>
    </row>
    <row r="3710" spans="20:21" x14ac:dyDescent="0.25">
      <c r="T3710" s="98"/>
      <c r="U3710" s="99"/>
    </row>
    <row r="3711" spans="20:21" x14ac:dyDescent="0.25">
      <c r="T3711" s="98"/>
      <c r="U3711" s="99"/>
    </row>
    <row r="3712" spans="20:21" x14ac:dyDescent="0.25">
      <c r="T3712" s="98"/>
      <c r="U3712" s="99"/>
    </row>
    <row r="3713" spans="20:21" x14ac:dyDescent="0.25">
      <c r="T3713" s="98"/>
      <c r="U3713" s="99"/>
    </row>
    <row r="3714" spans="20:21" x14ac:dyDescent="0.25">
      <c r="T3714" s="98"/>
      <c r="U3714" s="99"/>
    </row>
    <row r="3715" spans="20:21" x14ac:dyDescent="0.25">
      <c r="T3715" s="98"/>
      <c r="U3715" s="99"/>
    </row>
    <row r="3716" spans="20:21" x14ac:dyDescent="0.25">
      <c r="T3716" s="98"/>
      <c r="U3716" s="99"/>
    </row>
    <row r="3717" spans="20:21" x14ac:dyDescent="0.25">
      <c r="T3717" s="98"/>
      <c r="U3717" s="99"/>
    </row>
    <row r="3718" spans="20:21" x14ac:dyDescent="0.25">
      <c r="T3718" s="98"/>
      <c r="U3718" s="99"/>
    </row>
    <row r="3719" spans="20:21" x14ac:dyDescent="0.25">
      <c r="T3719" s="98"/>
      <c r="U3719" s="99"/>
    </row>
    <row r="3720" spans="20:21" x14ac:dyDescent="0.25">
      <c r="T3720" s="98"/>
      <c r="U3720" s="99"/>
    </row>
    <row r="3721" spans="20:21" x14ac:dyDescent="0.25">
      <c r="T3721" s="98"/>
      <c r="U3721" s="99"/>
    </row>
    <row r="3722" spans="20:21" x14ac:dyDescent="0.25">
      <c r="T3722" s="98"/>
      <c r="U3722" s="99"/>
    </row>
    <row r="3723" spans="20:21" x14ac:dyDescent="0.25">
      <c r="T3723" s="98"/>
      <c r="U3723" s="99"/>
    </row>
    <row r="3724" spans="20:21" x14ac:dyDescent="0.25">
      <c r="T3724" s="98"/>
      <c r="U3724" s="99"/>
    </row>
    <row r="3725" spans="20:21" x14ac:dyDescent="0.25">
      <c r="T3725" s="98"/>
      <c r="U3725" s="99"/>
    </row>
    <row r="3726" spans="20:21" x14ac:dyDescent="0.25">
      <c r="T3726" s="98"/>
      <c r="U3726" s="99"/>
    </row>
    <row r="3727" spans="20:21" x14ac:dyDescent="0.25">
      <c r="T3727" s="98"/>
      <c r="U3727" s="99"/>
    </row>
    <row r="3728" spans="20:21" x14ac:dyDescent="0.25">
      <c r="T3728" s="98"/>
      <c r="U3728" s="99"/>
    </row>
    <row r="3729" spans="20:21" x14ac:dyDescent="0.25">
      <c r="T3729" s="98"/>
      <c r="U3729" s="99"/>
    </row>
    <row r="3730" spans="20:21" x14ac:dyDescent="0.25">
      <c r="T3730" s="98"/>
      <c r="U3730" s="99"/>
    </row>
    <row r="3731" spans="20:21" x14ac:dyDescent="0.25">
      <c r="T3731" s="98"/>
      <c r="U3731" s="99"/>
    </row>
    <row r="3732" spans="20:21" x14ac:dyDescent="0.25">
      <c r="T3732" s="98"/>
      <c r="U3732" s="99"/>
    </row>
    <row r="3733" spans="20:21" x14ac:dyDescent="0.25">
      <c r="T3733" s="98"/>
      <c r="U3733" s="99"/>
    </row>
    <row r="3734" spans="20:21" x14ac:dyDescent="0.25">
      <c r="T3734" s="98"/>
      <c r="U3734" s="99"/>
    </row>
    <row r="3735" spans="20:21" x14ac:dyDescent="0.25">
      <c r="T3735" s="98"/>
      <c r="U3735" s="99"/>
    </row>
    <row r="3736" spans="20:21" x14ac:dyDescent="0.25">
      <c r="T3736" s="98"/>
      <c r="U3736" s="99"/>
    </row>
    <row r="3737" spans="20:21" x14ac:dyDescent="0.25">
      <c r="T3737" s="98"/>
      <c r="U3737" s="99"/>
    </row>
    <row r="3738" spans="20:21" x14ac:dyDescent="0.25">
      <c r="T3738" s="98"/>
      <c r="U3738" s="99"/>
    </row>
    <row r="3739" spans="20:21" x14ac:dyDescent="0.25">
      <c r="T3739" s="98"/>
      <c r="U3739" s="99"/>
    </row>
    <row r="3740" spans="20:21" x14ac:dyDescent="0.25">
      <c r="T3740" s="98"/>
      <c r="U3740" s="99"/>
    </row>
    <row r="3741" spans="20:21" x14ac:dyDescent="0.25">
      <c r="T3741" s="98"/>
      <c r="U3741" s="99"/>
    </row>
    <row r="3742" spans="20:21" x14ac:dyDescent="0.25">
      <c r="T3742" s="98"/>
      <c r="U3742" s="99"/>
    </row>
    <row r="3743" spans="20:21" x14ac:dyDescent="0.25">
      <c r="T3743" s="98"/>
      <c r="U3743" s="99"/>
    </row>
    <row r="3744" spans="20:21" x14ac:dyDescent="0.25">
      <c r="T3744" s="98"/>
      <c r="U3744" s="99"/>
    </row>
    <row r="3745" spans="20:21" x14ac:dyDescent="0.25">
      <c r="T3745" s="98"/>
      <c r="U3745" s="99"/>
    </row>
    <row r="3746" spans="20:21" x14ac:dyDescent="0.25">
      <c r="T3746" s="98"/>
      <c r="U3746" s="99"/>
    </row>
    <row r="3747" spans="20:21" x14ac:dyDescent="0.25">
      <c r="T3747" s="98"/>
      <c r="U3747" s="99"/>
    </row>
    <row r="3748" spans="20:21" x14ac:dyDescent="0.25">
      <c r="T3748" s="98"/>
      <c r="U3748" s="99"/>
    </row>
    <row r="3749" spans="20:21" x14ac:dyDescent="0.25">
      <c r="T3749" s="98"/>
      <c r="U3749" s="99"/>
    </row>
    <row r="3750" spans="20:21" x14ac:dyDescent="0.25">
      <c r="T3750" s="98"/>
      <c r="U3750" s="99"/>
    </row>
    <row r="3751" spans="20:21" x14ac:dyDescent="0.25">
      <c r="T3751" s="98"/>
      <c r="U3751" s="99"/>
    </row>
    <row r="3752" spans="20:21" x14ac:dyDescent="0.25">
      <c r="T3752" s="98"/>
      <c r="U3752" s="99"/>
    </row>
    <row r="3753" spans="20:21" x14ac:dyDescent="0.25">
      <c r="T3753" s="98"/>
      <c r="U3753" s="99"/>
    </row>
    <row r="3754" spans="20:21" x14ac:dyDescent="0.25">
      <c r="T3754" s="98"/>
      <c r="U3754" s="99"/>
    </row>
    <row r="3755" spans="20:21" x14ac:dyDescent="0.25">
      <c r="T3755" s="98"/>
      <c r="U3755" s="99"/>
    </row>
    <row r="3756" spans="20:21" x14ac:dyDescent="0.25">
      <c r="T3756" s="98"/>
      <c r="U3756" s="99"/>
    </row>
    <row r="3757" spans="20:21" x14ac:dyDescent="0.25">
      <c r="T3757" s="98"/>
      <c r="U3757" s="99"/>
    </row>
    <row r="3758" spans="20:21" x14ac:dyDescent="0.25">
      <c r="T3758" s="98"/>
      <c r="U3758" s="99"/>
    </row>
    <row r="3759" spans="20:21" x14ac:dyDescent="0.25">
      <c r="T3759" s="98"/>
      <c r="U3759" s="99"/>
    </row>
    <row r="3760" spans="20:21" x14ac:dyDescent="0.25">
      <c r="T3760" s="98"/>
      <c r="U3760" s="99"/>
    </row>
    <row r="3761" spans="20:21" x14ac:dyDescent="0.25">
      <c r="T3761" s="98"/>
      <c r="U3761" s="99"/>
    </row>
    <row r="3762" spans="20:21" x14ac:dyDescent="0.25">
      <c r="T3762" s="98"/>
      <c r="U3762" s="99"/>
    </row>
    <row r="3763" spans="20:21" x14ac:dyDescent="0.25">
      <c r="T3763" s="98"/>
      <c r="U3763" s="99"/>
    </row>
    <row r="3764" spans="20:21" x14ac:dyDescent="0.25">
      <c r="T3764" s="98"/>
      <c r="U3764" s="99"/>
    </row>
    <row r="3765" spans="20:21" x14ac:dyDescent="0.25">
      <c r="T3765" s="98"/>
      <c r="U3765" s="99"/>
    </row>
    <row r="3766" spans="20:21" x14ac:dyDescent="0.25">
      <c r="T3766" s="98"/>
      <c r="U3766" s="99"/>
    </row>
    <row r="3767" spans="20:21" x14ac:dyDescent="0.25">
      <c r="T3767" s="98"/>
      <c r="U3767" s="99"/>
    </row>
    <row r="3768" spans="20:21" x14ac:dyDescent="0.25">
      <c r="T3768" s="98"/>
      <c r="U3768" s="99"/>
    </row>
    <row r="3769" spans="20:21" x14ac:dyDescent="0.25">
      <c r="T3769" s="98"/>
      <c r="U3769" s="99"/>
    </row>
    <row r="3770" spans="20:21" x14ac:dyDescent="0.25">
      <c r="T3770" s="98"/>
      <c r="U3770" s="99"/>
    </row>
    <row r="3771" spans="20:21" x14ac:dyDescent="0.25">
      <c r="T3771" s="98"/>
      <c r="U3771" s="99"/>
    </row>
    <row r="3772" spans="20:21" x14ac:dyDescent="0.25">
      <c r="T3772" s="98"/>
      <c r="U3772" s="99"/>
    </row>
    <row r="3773" spans="20:21" x14ac:dyDescent="0.25">
      <c r="T3773" s="98"/>
      <c r="U3773" s="99"/>
    </row>
    <row r="3774" spans="20:21" x14ac:dyDescent="0.25">
      <c r="T3774" s="98"/>
      <c r="U3774" s="99"/>
    </row>
    <row r="3775" spans="20:21" x14ac:dyDescent="0.25">
      <c r="T3775" s="98"/>
      <c r="U3775" s="99"/>
    </row>
    <row r="3776" spans="20:21" x14ac:dyDescent="0.25">
      <c r="T3776" s="98"/>
      <c r="U3776" s="99"/>
    </row>
    <row r="3777" spans="20:21" x14ac:dyDescent="0.25">
      <c r="T3777" s="98"/>
      <c r="U3777" s="99"/>
    </row>
    <row r="3778" spans="20:21" x14ac:dyDescent="0.25">
      <c r="T3778" s="98"/>
      <c r="U3778" s="99"/>
    </row>
    <row r="3779" spans="20:21" x14ac:dyDescent="0.25">
      <c r="T3779" s="98"/>
      <c r="U3779" s="99"/>
    </row>
    <row r="3780" spans="20:21" x14ac:dyDescent="0.25">
      <c r="T3780" s="98"/>
      <c r="U3780" s="99"/>
    </row>
    <row r="3781" spans="20:21" x14ac:dyDescent="0.25">
      <c r="T3781" s="98"/>
      <c r="U3781" s="99"/>
    </row>
    <row r="3782" spans="20:21" x14ac:dyDescent="0.25">
      <c r="T3782" s="98"/>
      <c r="U3782" s="99"/>
    </row>
    <row r="3783" spans="20:21" x14ac:dyDescent="0.25">
      <c r="T3783" s="98"/>
      <c r="U3783" s="99"/>
    </row>
    <row r="3784" spans="20:21" x14ac:dyDescent="0.25">
      <c r="T3784" s="98"/>
      <c r="U3784" s="99"/>
    </row>
    <row r="3785" spans="20:21" x14ac:dyDescent="0.25">
      <c r="T3785" s="98"/>
      <c r="U3785" s="99"/>
    </row>
    <row r="3786" spans="20:21" x14ac:dyDescent="0.25">
      <c r="T3786" s="98"/>
      <c r="U3786" s="99"/>
    </row>
    <row r="3787" spans="20:21" x14ac:dyDescent="0.25">
      <c r="T3787" s="98"/>
      <c r="U3787" s="99"/>
    </row>
    <row r="3788" spans="20:21" x14ac:dyDescent="0.25">
      <c r="T3788" s="98"/>
      <c r="U3788" s="99"/>
    </row>
    <row r="3789" spans="20:21" x14ac:dyDescent="0.25">
      <c r="T3789" s="98"/>
      <c r="U3789" s="99"/>
    </row>
    <row r="3790" spans="20:21" x14ac:dyDescent="0.25">
      <c r="T3790" s="98"/>
      <c r="U3790" s="99"/>
    </row>
    <row r="3791" spans="20:21" x14ac:dyDescent="0.25">
      <c r="T3791" s="98"/>
      <c r="U3791" s="99"/>
    </row>
    <row r="3792" spans="20:21" x14ac:dyDescent="0.25">
      <c r="T3792" s="98"/>
      <c r="U3792" s="99"/>
    </row>
    <row r="3793" spans="20:21" x14ac:dyDescent="0.25">
      <c r="T3793" s="98"/>
      <c r="U3793" s="99"/>
    </row>
    <row r="3794" spans="20:21" x14ac:dyDescent="0.25">
      <c r="T3794" s="98"/>
      <c r="U3794" s="99"/>
    </row>
    <row r="3795" spans="20:21" x14ac:dyDescent="0.25">
      <c r="T3795" s="98"/>
      <c r="U3795" s="99"/>
    </row>
    <row r="3796" spans="20:21" x14ac:dyDescent="0.25">
      <c r="T3796" s="98"/>
      <c r="U3796" s="99"/>
    </row>
    <row r="3797" spans="20:21" x14ac:dyDescent="0.25">
      <c r="T3797" s="98"/>
      <c r="U3797" s="99"/>
    </row>
    <row r="3798" spans="20:21" x14ac:dyDescent="0.25">
      <c r="T3798" s="98"/>
      <c r="U3798" s="99"/>
    </row>
    <row r="3799" spans="20:21" x14ac:dyDescent="0.25">
      <c r="T3799" s="98"/>
      <c r="U3799" s="99"/>
    </row>
    <row r="3800" spans="20:21" x14ac:dyDescent="0.25">
      <c r="T3800" s="98"/>
      <c r="U3800" s="99"/>
    </row>
    <row r="3801" spans="20:21" x14ac:dyDescent="0.25">
      <c r="T3801" s="98"/>
      <c r="U3801" s="99"/>
    </row>
    <row r="3802" spans="20:21" x14ac:dyDescent="0.25">
      <c r="T3802" s="98"/>
      <c r="U3802" s="99"/>
    </row>
    <row r="3803" spans="20:21" x14ac:dyDescent="0.25">
      <c r="T3803" s="98"/>
      <c r="U3803" s="99"/>
    </row>
    <row r="3804" spans="20:21" x14ac:dyDescent="0.25">
      <c r="T3804" s="98"/>
      <c r="U3804" s="99"/>
    </row>
    <row r="3805" spans="20:21" x14ac:dyDescent="0.25">
      <c r="T3805" s="98"/>
      <c r="U3805" s="99"/>
    </row>
    <row r="3806" spans="20:21" x14ac:dyDescent="0.25">
      <c r="T3806" s="98"/>
      <c r="U3806" s="99"/>
    </row>
    <row r="3807" spans="20:21" x14ac:dyDescent="0.25">
      <c r="T3807" s="98"/>
      <c r="U3807" s="99"/>
    </row>
    <row r="3808" spans="20:21" x14ac:dyDescent="0.25">
      <c r="T3808" s="98"/>
      <c r="U3808" s="99"/>
    </row>
    <row r="3809" spans="20:21" x14ac:dyDescent="0.25">
      <c r="T3809" s="98"/>
      <c r="U3809" s="99"/>
    </row>
    <row r="3810" spans="20:21" x14ac:dyDescent="0.25">
      <c r="T3810" s="98"/>
      <c r="U3810" s="99"/>
    </row>
    <row r="3811" spans="20:21" x14ac:dyDescent="0.25">
      <c r="T3811" s="98"/>
      <c r="U3811" s="99"/>
    </row>
    <row r="3812" spans="20:21" x14ac:dyDescent="0.25">
      <c r="T3812" s="98"/>
      <c r="U3812" s="99"/>
    </row>
    <row r="3813" spans="20:21" x14ac:dyDescent="0.25">
      <c r="T3813" s="98"/>
      <c r="U3813" s="99"/>
    </row>
    <row r="3814" spans="20:21" x14ac:dyDescent="0.25">
      <c r="T3814" s="98"/>
      <c r="U3814" s="99"/>
    </row>
    <row r="3815" spans="20:21" x14ac:dyDescent="0.25">
      <c r="T3815" s="98"/>
      <c r="U3815" s="99"/>
    </row>
    <row r="3816" spans="20:21" x14ac:dyDescent="0.25">
      <c r="T3816" s="98"/>
      <c r="U3816" s="99"/>
    </row>
    <row r="3817" spans="20:21" x14ac:dyDescent="0.25">
      <c r="T3817" s="98"/>
      <c r="U3817" s="99"/>
    </row>
    <row r="3818" spans="20:21" x14ac:dyDescent="0.25">
      <c r="T3818" s="98"/>
      <c r="U3818" s="99"/>
    </row>
    <row r="3819" spans="20:21" x14ac:dyDescent="0.25">
      <c r="T3819" s="98"/>
      <c r="U3819" s="99"/>
    </row>
    <row r="3820" spans="20:21" x14ac:dyDescent="0.25">
      <c r="T3820" s="98"/>
      <c r="U3820" s="99"/>
    </row>
    <row r="3821" spans="20:21" x14ac:dyDescent="0.25">
      <c r="T3821" s="98"/>
      <c r="U3821" s="99"/>
    </row>
    <row r="3822" spans="20:21" x14ac:dyDescent="0.25">
      <c r="T3822" s="98"/>
      <c r="U3822" s="99"/>
    </row>
    <row r="3823" spans="20:21" x14ac:dyDescent="0.25">
      <c r="T3823" s="98"/>
      <c r="U3823" s="99"/>
    </row>
    <row r="3824" spans="20:21" x14ac:dyDescent="0.25">
      <c r="T3824" s="98"/>
      <c r="U3824" s="99"/>
    </row>
    <row r="3825" spans="20:21" x14ac:dyDescent="0.25">
      <c r="T3825" s="98"/>
      <c r="U3825" s="99"/>
    </row>
    <row r="3826" spans="20:21" x14ac:dyDescent="0.25">
      <c r="T3826" s="98"/>
      <c r="U3826" s="99"/>
    </row>
    <row r="3827" spans="20:21" x14ac:dyDescent="0.25">
      <c r="T3827" s="98"/>
      <c r="U3827" s="99"/>
    </row>
    <row r="3828" spans="20:21" x14ac:dyDescent="0.25">
      <c r="T3828" s="98"/>
      <c r="U3828" s="99"/>
    </row>
    <row r="3829" spans="20:21" x14ac:dyDescent="0.25">
      <c r="T3829" s="98"/>
      <c r="U3829" s="99"/>
    </row>
    <row r="3830" spans="20:21" x14ac:dyDescent="0.25">
      <c r="T3830" s="98"/>
      <c r="U3830" s="99"/>
    </row>
    <row r="3831" spans="20:21" x14ac:dyDescent="0.25">
      <c r="T3831" s="98"/>
      <c r="U3831" s="99"/>
    </row>
    <row r="3832" spans="20:21" x14ac:dyDescent="0.25">
      <c r="T3832" s="98"/>
      <c r="U3832" s="99"/>
    </row>
    <row r="3833" spans="20:21" x14ac:dyDescent="0.25">
      <c r="T3833" s="98"/>
      <c r="U3833" s="99"/>
    </row>
    <row r="3834" spans="20:21" x14ac:dyDescent="0.25">
      <c r="T3834" s="98"/>
      <c r="U3834" s="99"/>
    </row>
    <row r="3835" spans="20:21" x14ac:dyDescent="0.25">
      <c r="T3835" s="98"/>
      <c r="U3835" s="99"/>
    </row>
    <row r="3836" spans="20:21" x14ac:dyDescent="0.25">
      <c r="T3836" s="98"/>
      <c r="U3836" s="99"/>
    </row>
    <row r="3837" spans="20:21" x14ac:dyDescent="0.25">
      <c r="T3837" s="98"/>
      <c r="U3837" s="99"/>
    </row>
    <row r="3838" spans="20:21" x14ac:dyDescent="0.25">
      <c r="T3838" s="98"/>
      <c r="U3838" s="99"/>
    </row>
    <row r="3839" spans="20:21" x14ac:dyDescent="0.25">
      <c r="T3839" s="98"/>
      <c r="U3839" s="99"/>
    </row>
    <row r="3840" spans="20:21" x14ac:dyDescent="0.25">
      <c r="T3840" s="98"/>
      <c r="U3840" s="99"/>
    </row>
    <row r="3841" spans="20:21" x14ac:dyDescent="0.25">
      <c r="T3841" s="98"/>
      <c r="U3841" s="99"/>
    </row>
    <row r="3842" spans="20:21" x14ac:dyDescent="0.25">
      <c r="T3842" s="98"/>
      <c r="U3842" s="99"/>
    </row>
    <row r="3843" spans="20:21" x14ac:dyDescent="0.25">
      <c r="T3843" s="98"/>
      <c r="U3843" s="99"/>
    </row>
    <row r="3844" spans="20:21" x14ac:dyDescent="0.25">
      <c r="T3844" s="98"/>
      <c r="U3844" s="99"/>
    </row>
    <row r="3845" spans="20:21" x14ac:dyDescent="0.25">
      <c r="T3845" s="98"/>
      <c r="U3845" s="99"/>
    </row>
    <row r="3846" spans="20:21" x14ac:dyDescent="0.25">
      <c r="T3846" s="98"/>
      <c r="U3846" s="99"/>
    </row>
    <row r="3847" spans="20:21" x14ac:dyDescent="0.25">
      <c r="T3847" s="98"/>
      <c r="U3847" s="99"/>
    </row>
    <row r="3848" spans="20:21" x14ac:dyDescent="0.25">
      <c r="T3848" s="98"/>
      <c r="U3848" s="99"/>
    </row>
    <row r="3849" spans="20:21" x14ac:dyDescent="0.25">
      <c r="T3849" s="98"/>
      <c r="U3849" s="99"/>
    </row>
    <row r="3850" spans="20:21" x14ac:dyDescent="0.25">
      <c r="T3850" s="98"/>
      <c r="U3850" s="99"/>
    </row>
    <row r="3851" spans="20:21" x14ac:dyDescent="0.25">
      <c r="T3851" s="98"/>
      <c r="U3851" s="99"/>
    </row>
    <row r="3852" spans="20:21" x14ac:dyDescent="0.25">
      <c r="T3852" s="98"/>
      <c r="U3852" s="99"/>
    </row>
    <row r="3853" spans="20:21" x14ac:dyDescent="0.25">
      <c r="T3853" s="98"/>
      <c r="U3853" s="99"/>
    </row>
    <row r="3854" spans="20:21" x14ac:dyDescent="0.25">
      <c r="T3854" s="98"/>
      <c r="U3854" s="99"/>
    </row>
    <row r="3855" spans="20:21" x14ac:dyDescent="0.25">
      <c r="T3855" s="98"/>
      <c r="U3855" s="99"/>
    </row>
    <row r="3856" spans="20:21" x14ac:dyDescent="0.25">
      <c r="T3856" s="98"/>
      <c r="U3856" s="99"/>
    </row>
    <row r="3857" spans="20:21" x14ac:dyDescent="0.25">
      <c r="T3857" s="98"/>
      <c r="U3857" s="99"/>
    </row>
    <row r="3858" spans="20:21" x14ac:dyDescent="0.25">
      <c r="T3858" s="98"/>
      <c r="U3858" s="99"/>
    </row>
    <row r="3859" spans="20:21" x14ac:dyDescent="0.25">
      <c r="T3859" s="98"/>
      <c r="U3859" s="99"/>
    </row>
    <row r="3860" spans="20:21" x14ac:dyDescent="0.25">
      <c r="T3860" s="98"/>
      <c r="U3860" s="99"/>
    </row>
    <row r="3861" spans="20:21" x14ac:dyDescent="0.25">
      <c r="T3861" s="98"/>
      <c r="U3861" s="99"/>
    </row>
    <row r="3862" spans="20:21" x14ac:dyDescent="0.25">
      <c r="T3862" s="98"/>
      <c r="U3862" s="99"/>
    </row>
    <row r="3863" spans="20:21" x14ac:dyDescent="0.25">
      <c r="T3863" s="98"/>
      <c r="U3863" s="99"/>
    </row>
    <row r="3864" spans="20:21" x14ac:dyDescent="0.25">
      <c r="T3864" s="98"/>
      <c r="U3864" s="99"/>
    </row>
    <row r="3865" spans="20:21" x14ac:dyDescent="0.25">
      <c r="T3865" s="98"/>
      <c r="U3865" s="99"/>
    </row>
    <row r="3866" spans="20:21" x14ac:dyDescent="0.25">
      <c r="T3866" s="98"/>
      <c r="U3866" s="99"/>
    </row>
    <row r="3867" spans="20:21" x14ac:dyDescent="0.25">
      <c r="T3867" s="98"/>
      <c r="U3867" s="99"/>
    </row>
    <row r="3868" spans="20:21" x14ac:dyDescent="0.25">
      <c r="T3868" s="98"/>
      <c r="U3868" s="99"/>
    </row>
    <row r="3869" spans="20:21" x14ac:dyDescent="0.25">
      <c r="T3869" s="98"/>
      <c r="U3869" s="99"/>
    </row>
    <row r="3870" spans="20:21" x14ac:dyDescent="0.25">
      <c r="T3870" s="98"/>
      <c r="U3870" s="99"/>
    </row>
    <row r="3871" spans="20:21" x14ac:dyDescent="0.25">
      <c r="T3871" s="98"/>
      <c r="U3871" s="99"/>
    </row>
    <row r="3872" spans="20:21" x14ac:dyDescent="0.25">
      <c r="T3872" s="98"/>
      <c r="U3872" s="99"/>
    </row>
    <row r="3873" spans="20:21" x14ac:dyDescent="0.25">
      <c r="T3873" s="98"/>
      <c r="U3873" s="99"/>
    </row>
    <row r="3874" spans="20:21" x14ac:dyDescent="0.25">
      <c r="T3874" s="98"/>
      <c r="U3874" s="99"/>
    </row>
    <row r="3875" spans="20:21" x14ac:dyDescent="0.25">
      <c r="T3875" s="98"/>
      <c r="U3875" s="99"/>
    </row>
    <row r="3876" spans="20:21" x14ac:dyDescent="0.25">
      <c r="T3876" s="98"/>
      <c r="U3876" s="99"/>
    </row>
    <row r="3877" spans="20:21" x14ac:dyDescent="0.25">
      <c r="T3877" s="98"/>
      <c r="U3877" s="99"/>
    </row>
    <row r="3878" spans="20:21" x14ac:dyDescent="0.25">
      <c r="T3878" s="98"/>
      <c r="U3878" s="99"/>
    </row>
    <row r="3879" spans="20:21" x14ac:dyDescent="0.25">
      <c r="T3879" s="98"/>
      <c r="U3879" s="99"/>
    </row>
    <row r="3880" spans="20:21" x14ac:dyDescent="0.25">
      <c r="T3880" s="98"/>
      <c r="U3880" s="99"/>
    </row>
    <row r="3881" spans="20:21" x14ac:dyDescent="0.25">
      <c r="T3881" s="98"/>
      <c r="U3881" s="99"/>
    </row>
    <row r="3882" spans="20:21" x14ac:dyDescent="0.25">
      <c r="T3882" s="98"/>
      <c r="U3882" s="99"/>
    </row>
    <row r="3883" spans="20:21" x14ac:dyDescent="0.25">
      <c r="T3883" s="98"/>
      <c r="U3883" s="99"/>
    </row>
    <row r="3884" spans="20:21" x14ac:dyDescent="0.25">
      <c r="T3884" s="98"/>
      <c r="U3884" s="99"/>
    </row>
    <row r="3885" spans="20:21" x14ac:dyDescent="0.25">
      <c r="T3885" s="98"/>
      <c r="U3885" s="99"/>
    </row>
    <row r="3886" spans="20:21" x14ac:dyDescent="0.25">
      <c r="T3886" s="98"/>
      <c r="U3886" s="99"/>
    </row>
    <row r="3887" spans="20:21" x14ac:dyDescent="0.25">
      <c r="T3887" s="98"/>
      <c r="U3887" s="99"/>
    </row>
    <row r="3888" spans="20:21" x14ac:dyDescent="0.25">
      <c r="T3888" s="98"/>
      <c r="U3888" s="99"/>
    </row>
    <row r="3889" spans="20:21" x14ac:dyDescent="0.25">
      <c r="T3889" s="98"/>
      <c r="U3889" s="99"/>
    </row>
    <row r="3890" spans="20:21" x14ac:dyDescent="0.25">
      <c r="T3890" s="98"/>
      <c r="U3890" s="99"/>
    </row>
    <row r="3891" spans="20:21" x14ac:dyDescent="0.25">
      <c r="T3891" s="98"/>
      <c r="U3891" s="99"/>
    </row>
    <row r="3892" spans="20:21" x14ac:dyDescent="0.25">
      <c r="T3892" s="98"/>
      <c r="U3892" s="99"/>
    </row>
    <row r="3893" spans="20:21" x14ac:dyDescent="0.25">
      <c r="T3893" s="98"/>
      <c r="U3893" s="99"/>
    </row>
    <row r="3894" spans="20:21" x14ac:dyDescent="0.25">
      <c r="T3894" s="98"/>
      <c r="U3894" s="99"/>
    </row>
    <row r="3895" spans="20:21" x14ac:dyDescent="0.25">
      <c r="T3895" s="98"/>
      <c r="U3895" s="99"/>
    </row>
    <row r="3896" spans="20:21" x14ac:dyDescent="0.25">
      <c r="T3896" s="98"/>
      <c r="U3896" s="99"/>
    </row>
    <row r="3897" spans="20:21" x14ac:dyDescent="0.25">
      <c r="T3897" s="98"/>
      <c r="U3897" s="99"/>
    </row>
    <row r="3898" spans="20:21" x14ac:dyDescent="0.25">
      <c r="T3898" s="98"/>
      <c r="U3898" s="99"/>
    </row>
    <row r="3899" spans="20:21" x14ac:dyDescent="0.25">
      <c r="T3899" s="98"/>
      <c r="U3899" s="99"/>
    </row>
    <row r="3900" spans="20:21" x14ac:dyDescent="0.25">
      <c r="T3900" s="98"/>
      <c r="U3900" s="99"/>
    </row>
    <row r="3901" spans="20:21" x14ac:dyDescent="0.25">
      <c r="T3901" s="98"/>
      <c r="U3901" s="99"/>
    </row>
    <row r="3902" spans="20:21" x14ac:dyDescent="0.25">
      <c r="T3902" s="98"/>
      <c r="U3902" s="99"/>
    </row>
    <row r="3903" spans="20:21" x14ac:dyDescent="0.25">
      <c r="T3903" s="98"/>
      <c r="U3903" s="99"/>
    </row>
    <row r="3904" spans="20:21" x14ac:dyDescent="0.25">
      <c r="T3904" s="98"/>
      <c r="U3904" s="99"/>
    </row>
    <row r="3905" spans="20:21" x14ac:dyDescent="0.25">
      <c r="T3905" s="98"/>
      <c r="U3905" s="99"/>
    </row>
    <row r="3906" spans="20:21" x14ac:dyDescent="0.25">
      <c r="T3906" s="98"/>
      <c r="U3906" s="99"/>
    </row>
    <row r="3907" spans="20:21" x14ac:dyDescent="0.25">
      <c r="T3907" s="98"/>
      <c r="U3907" s="99"/>
    </row>
    <row r="3908" spans="20:21" x14ac:dyDescent="0.25">
      <c r="T3908" s="98"/>
      <c r="U3908" s="99"/>
    </row>
    <row r="3909" spans="20:21" x14ac:dyDescent="0.25">
      <c r="T3909" s="98"/>
      <c r="U3909" s="99"/>
    </row>
    <row r="3910" spans="20:21" x14ac:dyDescent="0.25">
      <c r="T3910" s="98"/>
      <c r="U3910" s="99"/>
    </row>
    <row r="3911" spans="20:21" x14ac:dyDescent="0.25">
      <c r="T3911" s="98"/>
      <c r="U3911" s="99"/>
    </row>
    <row r="3912" spans="20:21" x14ac:dyDescent="0.25">
      <c r="T3912" s="98"/>
      <c r="U3912" s="99"/>
    </row>
    <row r="3913" spans="20:21" x14ac:dyDescent="0.25">
      <c r="T3913" s="98"/>
      <c r="U3913" s="99"/>
    </row>
    <row r="3914" spans="20:21" x14ac:dyDescent="0.25">
      <c r="T3914" s="98"/>
      <c r="U3914" s="99"/>
    </row>
    <row r="3915" spans="20:21" x14ac:dyDescent="0.25">
      <c r="T3915" s="98"/>
      <c r="U3915" s="99"/>
    </row>
    <row r="3916" spans="20:21" x14ac:dyDescent="0.25">
      <c r="T3916" s="98"/>
      <c r="U3916" s="99"/>
    </row>
    <row r="3917" spans="20:21" x14ac:dyDescent="0.25">
      <c r="T3917" s="98"/>
      <c r="U3917" s="99"/>
    </row>
    <row r="3918" spans="20:21" x14ac:dyDescent="0.25">
      <c r="T3918" s="98"/>
      <c r="U3918" s="99"/>
    </row>
    <row r="3919" spans="20:21" x14ac:dyDescent="0.25">
      <c r="T3919" s="98"/>
      <c r="U3919" s="99"/>
    </row>
    <row r="3920" spans="20:21" x14ac:dyDescent="0.25">
      <c r="T3920" s="98"/>
      <c r="U3920" s="99"/>
    </row>
    <row r="3921" spans="20:21" x14ac:dyDescent="0.25">
      <c r="T3921" s="98"/>
      <c r="U3921" s="99"/>
    </row>
    <row r="3922" spans="20:21" x14ac:dyDescent="0.25">
      <c r="T3922" s="98"/>
      <c r="U3922" s="99"/>
    </row>
    <row r="3923" spans="20:21" x14ac:dyDescent="0.25">
      <c r="T3923" s="98"/>
      <c r="U3923" s="99"/>
    </row>
    <row r="3924" spans="20:21" x14ac:dyDescent="0.25">
      <c r="T3924" s="98"/>
      <c r="U3924" s="99"/>
    </row>
    <row r="3925" spans="20:21" x14ac:dyDescent="0.25">
      <c r="T3925" s="98"/>
      <c r="U3925" s="99"/>
    </row>
    <row r="3926" spans="20:21" x14ac:dyDescent="0.25">
      <c r="T3926" s="98"/>
      <c r="U3926" s="99"/>
    </row>
    <row r="3927" spans="20:21" x14ac:dyDescent="0.25">
      <c r="T3927" s="98"/>
      <c r="U3927" s="99"/>
    </row>
    <row r="3928" spans="20:21" x14ac:dyDescent="0.25">
      <c r="T3928" s="98"/>
      <c r="U3928" s="99"/>
    </row>
    <row r="3929" spans="20:21" x14ac:dyDescent="0.25">
      <c r="T3929" s="98"/>
      <c r="U3929" s="99"/>
    </row>
    <row r="3930" spans="20:21" x14ac:dyDescent="0.25">
      <c r="T3930" s="98"/>
      <c r="U3930" s="99"/>
    </row>
    <row r="3931" spans="20:21" x14ac:dyDescent="0.25">
      <c r="T3931" s="98"/>
      <c r="U3931" s="99"/>
    </row>
    <row r="3932" spans="20:21" x14ac:dyDescent="0.25">
      <c r="T3932" s="98"/>
      <c r="U3932" s="99"/>
    </row>
    <row r="3933" spans="20:21" x14ac:dyDescent="0.25">
      <c r="T3933" s="98"/>
      <c r="U3933" s="99"/>
    </row>
    <row r="3934" spans="20:21" x14ac:dyDescent="0.25">
      <c r="T3934" s="98"/>
      <c r="U3934" s="99"/>
    </row>
    <row r="3935" spans="20:21" x14ac:dyDescent="0.25">
      <c r="T3935" s="98"/>
      <c r="U3935" s="99"/>
    </row>
    <row r="3936" spans="20:21" x14ac:dyDescent="0.25">
      <c r="T3936" s="98"/>
      <c r="U3936" s="99"/>
    </row>
    <row r="3937" spans="20:21" x14ac:dyDescent="0.25">
      <c r="T3937" s="98"/>
      <c r="U3937" s="99"/>
    </row>
    <row r="3938" spans="20:21" x14ac:dyDescent="0.25">
      <c r="T3938" s="98"/>
      <c r="U3938" s="99"/>
    </row>
    <row r="3939" spans="20:21" x14ac:dyDescent="0.25">
      <c r="T3939" s="98"/>
      <c r="U3939" s="99"/>
    </row>
    <row r="3940" spans="20:21" x14ac:dyDescent="0.25">
      <c r="T3940" s="98"/>
      <c r="U3940" s="99"/>
    </row>
    <row r="3941" spans="20:21" x14ac:dyDescent="0.25">
      <c r="T3941" s="98"/>
      <c r="U3941" s="99"/>
    </row>
    <row r="3942" spans="20:21" x14ac:dyDescent="0.25">
      <c r="T3942" s="98"/>
      <c r="U3942" s="99"/>
    </row>
    <row r="3943" spans="20:21" x14ac:dyDescent="0.25">
      <c r="T3943" s="98"/>
      <c r="U3943" s="99"/>
    </row>
    <row r="3944" spans="20:21" x14ac:dyDescent="0.25">
      <c r="T3944" s="98"/>
      <c r="U3944" s="99"/>
    </row>
    <row r="3945" spans="20:21" x14ac:dyDescent="0.25">
      <c r="T3945" s="98"/>
      <c r="U3945" s="99"/>
    </row>
    <row r="3946" spans="20:21" x14ac:dyDescent="0.25">
      <c r="T3946" s="98"/>
      <c r="U3946" s="99"/>
    </row>
    <row r="3947" spans="20:21" x14ac:dyDescent="0.25">
      <c r="T3947" s="98"/>
      <c r="U3947" s="99"/>
    </row>
    <row r="3948" spans="20:21" x14ac:dyDescent="0.25">
      <c r="T3948" s="98"/>
      <c r="U3948" s="99"/>
    </row>
    <row r="3949" spans="20:21" x14ac:dyDescent="0.25">
      <c r="T3949" s="98"/>
      <c r="U3949" s="99"/>
    </row>
    <row r="3950" spans="20:21" x14ac:dyDescent="0.25">
      <c r="T3950" s="98"/>
      <c r="U3950" s="99"/>
    </row>
    <row r="3951" spans="20:21" x14ac:dyDescent="0.25">
      <c r="T3951" s="98"/>
      <c r="U3951" s="99"/>
    </row>
    <row r="3952" spans="20:21" x14ac:dyDescent="0.25">
      <c r="T3952" s="98"/>
      <c r="U3952" s="99"/>
    </row>
    <row r="3953" spans="20:21" x14ac:dyDescent="0.25">
      <c r="T3953" s="98"/>
      <c r="U3953" s="99"/>
    </row>
    <row r="3954" spans="20:21" x14ac:dyDescent="0.25">
      <c r="T3954" s="98"/>
      <c r="U3954" s="99"/>
    </row>
    <row r="3955" spans="20:21" x14ac:dyDescent="0.25">
      <c r="T3955" s="98"/>
      <c r="U3955" s="99"/>
    </row>
    <row r="3956" spans="20:21" x14ac:dyDescent="0.25">
      <c r="T3956" s="98"/>
      <c r="U3956" s="99"/>
    </row>
    <row r="3957" spans="20:21" x14ac:dyDescent="0.25">
      <c r="T3957" s="98"/>
      <c r="U3957" s="99"/>
    </row>
    <row r="3958" spans="20:21" x14ac:dyDescent="0.25">
      <c r="T3958" s="98"/>
      <c r="U3958" s="99"/>
    </row>
    <row r="3959" spans="20:21" x14ac:dyDescent="0.25">
      <c r="T3959" s="98"/>
      <c r="U3959" s="99"/>
    </row>
    <row r="3960" spans="20:21" x14ac:dyDescent="0.25">
      <c r="T3960" s="98"/>
      <c r="U3960" s="99"/>
    </row>
    <row r="3961" spans="20:21" x14ac:dyDescent="0.25">
      <c r="T3961" s="98"/>
      <c r="U3961" s="99"/>
    </row>
    <row r="3962" spans="20:21" x14ac:dyDescent="0.25">
      <c r="T3962" s="98"/>
      <c r="U3962" s="99"/>
    </row>
    <row r="3963" spans="20:21" x14ac:dyDescent="0.25">
      <c r="T3963" s="98"/>
      <c r="U3963" s="99"/>
    </row>
    <row r="3964" spans="20:21" x14ac:dyDescent="0.25">
      <c r="T3964" s="98"/>
      <c r="U3964" s="99"/>
    </row>
    <row r="3965" spans="20:21" x14ac:dyDescent="0.25">
      <c r="T3965" s="98"/>
      <c r="U3965" s="99"/>
    </row>
    <row r="3966" spans="20:21" x14ac:dyDescent="0.25">
      <c r="T3966" s="98"/>
      <c r="U3966" s="99"/>
    </row>
    <row r="3967" spans="20:21" x14ac:dyDescent="0.25">
      <c r="T3967" s="98"/>
      <c r="U3967" s="99"/>
    </row>
    <row r="3968" spans="20:21" x14ac:dyDescent="0.25">
      <c r="T3968" s="98"/>
      <c r="U3968" s="99"/>
    </row>
    <row r="3969" spans="20:21" x14ac:dyDescent="0.25">
      <c r="T3969" s="98"/>
      <c r="U3969" s="99"/>
    </row>
    <row r="3970" spans="20:21" x14ac:dyDescent="0.25">
      <c r="T3970" s="98"/>
      <c r="U3970" s="99"/>
    </row>
    <row r="3971" spans="20:21" x14ac:dyDescent="0.25">
      <c r="T3971" s="98"/>
      <c r="U3971" s="99"/>
    </row>
    <row r="3972" spans="20:21" x14ac:dyDescent="0.25">
      <c r="T3972" s="98"/>
      <c r="U3972" s="99"/>
    </row>
    <row r="3973" spans="20:21" x14ac:dyDescent="0.25">
      <c r="T3973" s="98"/>
      <c r="U3973" s="99"/>
    </row>
    <row r="3974" spans="20:21" x14ac:dyDescent="0.25">
      <c r="T3974" s="98"/>
      <c r="U3974" s="99"/>
    </row>
    <row r="3975" spans="20:21" x14ac:dyDescent="0.25">
      <c r="T3975" s="98"/>
      <c r="U3975" s="99"/>
    </row>
    <row r="3976" spans="20:21" x14ac:dyDescent="0.25">
      <c r="T3976" s="98"/>
      <c r="U3976" s="99"/>
    </row>
    <row r="3977" spans="20:21" x14ac:dyDescent="0.25">
      <c r="T3977" s="98"/>
      <c r="U3977" s="99"/>
    </row>
    <row r="3978" spans="20:21" x14ac:dyDescent="0.25">
      <c r="T3978" s="98"/>
      <c r="U3978" s="99"/>
    </row>
    <row r="3979" spans="20:21" x14ac:dyDescent="0.25">
      <c r="T3979" s="98"/>
      <c r="U3979" s="99"/>
    </row>
    <row r="3980" spans="20:21" x14ac:dyDescent="0.25">
      <c r="T3980" s="98"/>
      <c r="U3980" s="99"/>
    </row>
    <row r="3981" spans="20:21" x14ac:dyDescent="0.25">
      <c r="T3981" s="98"/>
      <c r="U3981" s="99"/>
    </row>
    <row r="3982" spans="20:21" x14ac:dyDescent="0.25">
      <c r="T3982" s="98"/>
      <c r="U3982" s="99"/>
    </row>
    <row r="3983" spans="20:21" x14ac:dyDescent="0.25">
      <c r="T3983" s="98"/>
      <c r="U3983" s="99"/>
    </row>
    <row r="3984" spans="20:21" x14ac:dyDescent="0.25">
      <c r="T3984" s="98"/>
      <c r="U3984" s="99"/>
    </row>
    <row r="3985" spans="20:21" x14ac:dyDescent="0.25">
      <c r="T3985" s="98"/>
      <c r="U3985" s="99"/>
    </row>
    <row r="3986" spans="20:21" x14ac:dyDescent="0.25">
      <c r="T3986" s="98"/>
      <c r="U3986" s="99"/>
    </row>
    <row r="3987" spans="20:21" x14ac:dyDescent="0.25">
      <c r="T3987" s="98"/>
      <c r="U3987" s="99"/>
    </row>
    <row r="3988" spans="20:21" x14ac:dyDescent="0.25">
      <c r="T3988" s="98"/>
      <c r="U3988" s="99"/>
    </row>
    <row r="3989" spans="20:21" x14ac:dyDescent="0.25">
      <c r="T3989" s="98"/>
      <c r="U3989" s="99"/>
    </row>
    <row r="3990" spans="20:21" x14ac:dyDescent="0.25">
      <c r="T3990" s="98"/>
      <c r="U3990" s="99"/>
    </row>
    <row r="3991" spans="20:21" x14ac:dyDescent="0.25">
      <c r="T3991" s="98"/>
      <c r="U3991" s="99"/>
    </row>
    <row r="3992" spans="20:21" x14ac:dyDescent="0.25">
      <c r="T3992" s="98"/>
      <c r="U3992" s="99"/>
    </row>
    <row r="3993" spans="20:21" x14ac:dyDescent="0.25">
      <c r="T3993" s="98"/>
      <c r="U3993" s="99"/>
    </row>
    <row r="3994" spans="20:21" x14ac:dyDescent="0.25">
      <c r="T3994" s="98"/>
      <c r="U3994" s="99"/>
    </row>
    <row r="3995" spans="20:21" x14ac:dyDescent="0.25">
      <c r="T3995" s="98"/>
      <c r="U3995" s="99"/>
    </row>
    <row r="3996" spans="20:21" x14ac:dyDescent="0.25">
      <c r="T3996" s="98"/>
      <c r="U3996" s="99"/>
    </row>
    <row r="3997" spans="20:21" x14ac:dyDescent="0.25">
      <c r="T3997" s="98"/>
      <c r="U3997" s="99"/>
    </row>
    <row r="3998" spans="20:21" x14ac:dyDescent="0.25">
      <c r="T3998" s="98"/>
      <c r="U3998" s="99"/>
    </row>
    <row r="3999" spans="20:21" x14ac:dyDescent="0.25">
      <c r="T3999" s="98"/>
      <c r="U3999" s="99"/>
    </row>
    <row r="4000" spans="20:21" x14ac:dyDescent="0.25">
      <c r="T4000" s="98"/>
      <c r="U4000" s="99"/>
    </row>
    <row r="4001" spans="20:21" x14ac:dyDescent="0.25">
      <c r="T4001" s="98"/>
      <c r="U4001" s="99"/>
    </row>
    <row r="4002" spans="20:21" x14ac:dyDescent="0.25">
      <c r="T4002" s="98"/>
      <c r="U4002" s="99"/>
    </row>
    <row r="4003" spans="20:21" x14ac:dyDescent="0.25">
      <c r="T4003" s="98"/>
      <c r="U4003" s="99"/>
    </row>
    <row r="4004" spans="20:21" x14ac:dyDescent="0.25">
      <c r="T4004" s="98"/>
      <c r="U4004" s="99"/>
    </row>
    <row r="4005" spans="20:21" x14ac:dyDescent="0.25">
      <c r="T4005" s="98"/>
      <c r="U4005" s="99"/>
    </row>
    <row r="4006" spans="20:21" x14ac:dyDescent="0.25">
      <c r="T4006" s="98"/>
      <c r="U4006" s="99"/>
    </row>
    <row r="4007" spans="20:21" x14ac:dyDescent="0.25">
      <c r="T4007" s="98"/>
      <c r="U4007" s="99"/>
    </row>
    <row r="4008" spans="20:21" x14ac:dyDescent="0.25">
      <c r="T4008" s="98"/>
      <c r="U4008" s="99"/>
    </row>
    <row r="4009" spans="20:21" x14ac:dyDescent="0.25">
      <c r="T4009" s="98"/>
      <c r="U4009" s="99"/>
    </row>
    <row r="4010" spans="20:21" x14ac:dyDescent="0.25">
      <c r="T4010" s="98"/>
      <c r="U4010" s="99"/>
    </row>
    <row r="4011" spans="20:21" x14ac:dyDescent="0.25">
      <c r="T4011" s="98"/>
      <c r="U4011" s="99"/>
    </row>
    <row r="4012" spans="20:21" x14ac:dyDescent="0.25">
      <c r="T4012" s="98"/>
      <c r="U4012" s="99"/>
    </row>
    <row r="4013" spans="20:21" x14ac:dyDescent="0.25">
      <c r="T4013" s="98"/>
      <c r="U4013" s="99"/>
    </row>
    <row r="4014" spans="20:21" x14ac:dyDescent="0.25">
      <c r="T4014" s="98"/>
      <c r="U4014" s="99"/>
    </row>
    <row r="4015" spans="20:21" x14ac:dyDescent="0.25">
      <c r="T4015" s="98"/>
      <c r="U4015" s="99"/>
    </row>
    <row r="4016" spans="20:21" x14ac:dyDescent="0.25">
      <c r="T4016" s="98"/>
      <c r="U4016" s="99"/>
    </row>
    <row r="4017" spans="20:21" x14ac:dyDescent="0.25">
      <c r="T4017" s="98"/>
      <c r="U4017" s="99"/>
    </row>
    <row r="4018" spans="20:21" x14ac:dyDescent="0.25">
      <c r="T4018" s="98"/>
      <c r="U4018" s="99"/>
    </row>
    <row r="4019" spans="20:21" x14ac:dyDescent="0.25">
      <c r="T4019" s="98"/>
      <c r="U4019" s="99"/>
    </row>
    <row r="4020" spans="20:21" x14ac:dyDescent="0.25">
      <c r="T4020" s="98"/>
      <c r="U4020" s="99"/>
    </row>
    <row r="4021" spans="20:21" x14ac:dyDescent="0.25">
      <c r="T4021" s="98"/>
      <c r="U4021" s="99"/>
    </row>
    <row r="4022" spans="20:21" x14ac:dyDescent="0.25">
      <c r="T4022" s="98"/>
      <c r="U4022" s="99"/>
    </row>
    <row r="4023" spans="20:21" x14ac:dyDescent="0.25">
      <c r="T4023" s="98"/>
      <c r="U4023" s="99"/>
    </row>
    <row r="4024" spans="20:21" x14ac:dyDescent="0.25">
      <c r="T4024" s="98"/>
      <c r="U4024" s="99"/>
    </row>
    <row r="4025" spans="20:21" x14ac:dyDescent="0.25">
      <c r="T4025" s="98"/>
      <c r="U4025" s="99"/>
    </row>
    <row r="4026" spans="20:21" x14ac:dyDescent="0.25">
      <c r="T4026" s="98"/>
      <c r="U4026" s="99"/>
    </row>
    <row r="4027" spans="20:21" x14ac:dyDescent="0.25">
      <c r="T4027" s="98"/>
      <c r="U4027" s="99"/>
    </row>
    <row r="4028" spans="20:21" x14ac:dyDescent="0.25">
      <c r="T4028" s="98"/>
      <c r="U4028" s="99"/>
    </row>
    <row r="4029" spans="20:21" x14ac:dyDescent="0.25">
      <c r="T4029" s="98"/>
      <c r="U4029" s="99"/>
    </row>
    <row r="4030" spans="20:21" x14ac:dyDescent="0.25">
      <c r="T4030" s="98"/>
      <c r="U4030" s="99"/>
    </row>
    <row r="4031" spans="20:21" x14ac:dyDescent="0.25">
      <c r="T4031" s="98"/>
      <c r="U4031" s="99"/>
    </row>
    <row r="4032" spans="20:21" x14ac:dyDescent="0.25">
      <c r="T4032" s="98"/>
      <c r="U4032" s="99"/>
    </row>
    <row r="4033" spans="20:21" x14ac:dyDescent="0.25">
      <c r="T4033" s="98"/>
      <c r="U4033" s="99"/>
    </row>
    <row r="4034" spans="20:21" x14ac:dyDescent="0.25">
      <c r="T4034" s="98"/>
      <c r="U4034" s="99"/>
    </row>
    <row r="4035" spans="20:21" x14ac:dyDescent="0.25">
      <c r="T4035" s="98"/>
      <c r="U4035" s="99"/>
    </row>
    <row r="4036" spans="20:21" x14ac:dyDescent="0.25">
      <c r="T4036" s="98"/>
      <c r="U4036" s="99"/>
    </row>
    <row r="4037" spans="20:21" x14ac:dyDescent="0.25">
      <c r="T4037" s="98"/>
      <c r="U4037" s="99"/>
    </row>
    <row r="4038" spans="20:21" x14ac:dyDescent="0.25">
      <c r="T4038" s="98"/>
      <c r="U4038" s="99"/>
    </row>
    <row r="4039" spans="20:21" x14ac:dyDescent="0.25">
      <c r="T4039" s="98"/>
      <c r="U4039" s="99"/>
    </row>
    <row r="4040" spans="20:21" x14ac:dyDescent="0.25">
      <c r="T4040" s="98"/>
      <c r="U4040" s="99"/>
    </row>
    <row r="4041" spans="20:21" x14ac:dyDescent="0.25">
      <c r="T4041" s="98"/>
      <c r="U4041" s="99"/>
    </row>
    <row r="4042" spans="20:21" x14ac:dyDescent="0.25">
      <c r="T4042" s="98"/>
      <c r="U4042" s="99"/>
    </row>
    <row r="4043" spans="20:21" x14ac:dyDescent="0.25">
      <c r="T4043" s="98"/>
      <c r="U4043" s="99"/>
    </row>
    <row r="4044" spans="20:21" x14ac:dyDescent="0.25">
      <c r="T4044" s="98"/>
      <c r="U4044" s="99"/>
    </row>
    <row r="4045" spans="20:21" x14ac:dyDescent="0.25">
      <c r="T4045" s="98"/>
      <c r="U4045" s="99"/>
    </row>
    <row r="4046" spans="20:21" x14ac:dyDescent="0.25">
      <c r="T4046" s="98"/>
      <c r="U4046" s="99"/>
    </row>
    <row r="4047" spans="20:21" x14ac:dyDescent="0.25">
      <c r="T4047" s="98"/>
      <c r="U4047" s="99"/>
    </row>
    <row r="4048" spans="20:21" x14ac:dyDescent="0.25">
      <c r="T4048" s="98"/>
      <c r="U4048" s="99"/>
    </row>
    <row r="4049" spans="20:21" x14ac:dyDescent="0.25">
      <c r="T4049" s="98"/>
      <c r="U4049" s="99"/>
    </row>
    <row r="4050" spans="20:21" x14ac:dyDescent="0.25">
      <c r="T4050" s="98"/>
      <c r="U4050" s="99"/>
    </row>
    <row r="4051" spans="20:21" x14ac:dyDescent="0.25">
      <c r="T4051" s="98"/>
      <c r="U4051" s="99"/>
    </row>
    <row r="4052" spans="20:21" x14ac:dyDescent="0.25">
      <c r="T4052" s="98"/>
      <c r="U4052" s="99"/>
    </row>
    <row r="4053" spans="20:21" x14ac:dyDescent="0.25">
      <c r="T4053" s="98"/>
      <c r="U4053" s="99"/>
    </row>
    <row r="4054" spans="20:21" x14ac:dyDescent="0.25">
      <c r="T4054" s="98"/>
      <c r="U4054" s="99"/>
    </row>
    <row r="4055" spans="20:21" x14ac:dyDescent="0.25">
      <c r="T4055" s="98"/>
      <c r="U4055" s="99"/>
    </row>
    <row r="4056" spans="20:21" x14ac:dyDescent="0.25">
      <c r="T4056" s="98"/>
      <c r="U4056" s="99"/>
    </row>
    <row r="4057" spans="20:21" x14ac:dyDescent="0.25">
      <c r="T4057" s="98"/>
      <c r="U4057" s="99"/>
    </row>
    <row r="4058" spans="20:21" x14ac:dyDescent="0.25">
      <c r="T4058" s="98"/>
      <c r="U4058" s="99"/>
    </row>
    <row r="4059" spans="20:21" x14ac:dyDescent="0.25">
      <c r="T4059" s="98"/>
      <c r="U4059" s="99"/>
    </row>
    <row r="4060" spans="20:21" x14ac:dyDescent="0.25">
      <c r="T4060" s="98"/>
      <c r="U4060" s="99"/>
    </row>
    <row r="4061" spans="20:21" x14ac:dyDescent="0.25">
      <c r="T4061" s="98"/>
      <c r="U4061" s="99"/>
    </row>
    <row r="4062" spans="20:21" x14ac:dyDescent="0.25">
      <c r="T4062" s="98"/>
      <c r="U4062" s="99"/>
    </row>
    <row r="4063" spans="20:21" x14ac:dyDescent="0.25">
      <c r="T4063" s="98"/>
      <c r="U4063" s="99"/>
    </row>
    <row r="4064" spans="20:21" x14ac:dyDescent="0.25">
      <c r="T4064" s="98"/>
      <c r="U4064" s="99"/>
    </row>
    <row r="4065" spans="20:21" x14ac:dyDescent="0.25">
      <c r="T4065" s="98"/>
      <c r="U4065" s="99"/>
    </row>
    <row r="4066" spans="20:21" x14ac:dyDescent="0.25">
      <c r="T4066" s="98"/>
      <c r="U4066" s="99"/>
    </row>
    <row r="4067" spans="20:21" x14ac:dyDescent="0.25">
      <c r="T4067" s="98"/>
      <c r="U4067" s="99"/>
    </row>
    <row r="4068" spans="20:21" x14ac:dyDescent="0.25">
      <c r="T4068" s="98"/>
      <c r="U4068" s="99"/>
    </row>
    <row r="4069" spans="20:21" x14ac:dyDescent="0.25">
      <c r="T4069" s="98"/>
      <c r="U4069" s="99"/>
    </row>
    <row r="4070" spans="20:21" x14ac:dyDescent="0.25">
      <c r="T4070" s="98"/>
      <c r="U4070" s="99"/>
    </row>
    <row r="4071" spans="20:21" x14ac:dyDescent="0.25">
      <c r="T4071" s="98"/>
      <c r="U4071" s="99"/>
    </row>
    <row r="4072" spans="20:21" x14ac:dyDescent="0.25">
      <c r="T4072" s="98"/>
      <c r="U4072" s="99"/>
    </row>
    <row r="4073" spans="20:21" x14ac:dyDescent="0.25">
      <c r="T4073" s="98"/>
      <c r="U4073" s="99"/>
    </row>
    <row r="4074" spans="20:21" x14ac:dyDescent="0.25">
      <c r="T4074" s="98"/>
      <c r="U4074" s="99"/>
    </row>
    <row r="4075" spans="20:21" x14ac:dyDescent="0.25">
      <c r="T4075" s="98"/>
      <c r="U4075" s="99"/>
    </row>
    <row r="4076" spans="20:21" x14ac:dyDescent="0.25">
      <c r="T4076" s="98"/>
      <c r="U4076" s="99"/>
    </row>
    <row r="4077" spans="20:21" x14ac:dyDescent="0.25">
      <c r="T4077" s="98"/>
      <c r="U4077" s="99"/>
    </row>
    <row r="4078" spans="20:21" x14ac:dyDescent="0.25">
      <c r="T4078" s="98"/>
      <c r="U4078" s="99"/>
    </row>
    <row r="4079" spans="20:21" x14ac:dyDescent="0.25">
      <c r="T4079" s="98"/>
      <c r="U4079" s="99"/>
    </row>
    <row r="4080" spans="20:21" x14ac:dyDescent="0.25">
      <c r="T4080" s="98"/>
      <c r="U4080" s="99"/>
    </row>
    <row r="4081" spans="20:21" x14ac:dyDescent="0.25">
      <c r="T4081" s="98"/>
      <c r="U4081" s="99"/>
    </row>
    <row r="4082" spans="20:21" x14ac:dyDescent="0.25">
      <c r="T4082" s="98"/>
      <c r="U4082" s="99"/>
    </row>
    <row r="4083" spans="20:21" x14ac:dyDescent="0.25">
      <c r="T4083" s="98"/>
      <c r="U4083" s="99"/>
    </row>
    <row r="4084" spans="20:21" x14ac:dyDescent="0.25">
      <c r="T4084" s="98"/>
      <c r="U4084" s="99"/>
    </row>
    <row r="4085" spans="20:21" x14ac:dyDescent="0.25">
      <c r="T4085" s="98"/>
      <c r="U4085" s="99"/>
    </row>
    <row r="4086" spans="20:21" x14ac:dyDescent="0.25">
      <c r="T4086" s="98"/>
      <c r="U4086" s="99"/>
    </row>
    <row r="4087" spans="20:21" x14ac:dyDescent="0.25">
      <c r="T4087" s="98"/>
      <c r="U4087" s="99"/>
    </row>
    <row r="4088" spans="20:21" x14ac:dyDescent="0.25">
      <c r="T4088" s="98"/>
      <c r="U4088" s="99"/>
    </row>
    <row r="4089" spans="20:21" x14ac:dyDescent="0.25">
      <c r="T4089" s="98"/>
      <c r="U4089" s="99"/>
    </row>
    <row r="4090" spans="20:21" x14ac:dyDescent="0.25">
      <c r="T4090" s="98"/>
      <c r="U4090" s="99"/>
    </row>
    <row r="4091" spans="20:21" x14ac:dyDescent="0.25">
      <c r="T4091" s="98"/>
      <c r="U4091" s="99"/>
    </row>
    <row r="4092" spans="20:21" x14ac:dyDescent="0.25">
      <c r="T4092" s="98"/>
      <c r="U4092" s="99"/>
    </row>
    <row r="4093" spans="20:21" x14ac:dyDescent="0.25">
      <c r="T4093" s="98"/>
      <c r="U4093" s="99"/>
    </row>
    <row r="4094" spans="20:21" x14ac:dyDescent="0.25">
      <c r="T4094" s="98"/>
      <c r="U4094" s="99"/>
    </row>
    <row r="4095" spans="20:21" x14ac:dyDescent="0.25">
      <c r="T4095" s="98"/>
      <c r="U4095" s="99"/>
    </row>
    <row r="4096" spans="20:21" x14ac:dyDescent="0.25">
      <c r="T4096" s="98"/>
      <c r="U4096" s="99"/>
    </row>
    <row r="4097" spans="20:21" x14ac:dyDescent="0.25">
      <c r="T4097" s="98"/>
      <c r="U4097" s="99"/>
    </row>
    <row r="4098" spans="20:21" x14ac:dyDescent="0.25">
      <c r="T4098" s="98"/>
      <c r="U4098" s="99"/>
    </row>
    <row r="4099" spans="20:21" x14ac:dyDescent="0.25">
      <c r="T4099" s="98"/>
      <c r="U4099" s="99"/>
    </row>
    <row r="4100" spans="20:21" x14ac:dyDescent="0.25">
      <c r="T4100" s="98"/>
      <c r="U4100" s="99"/>
    </row>
    <row r="4101" spans="20:21" x14ac:dyDescent="0.25">
      <c r="T4101" s="98"/>
      <c r="U4101" s="99"/>
    </row>
    <row r="4102" spans="20:21" x14ac:dyDescent="0.25">
      <c r="T4102" s="98"/>
      <c r="U4102" s="99"/>
    </row>
    <row r="4103" spans="20:21" x14ac:dyDescent="0.25">
      <c r="T4103" s="98"/>
      <c r="U4103" s="99"/>
    </row>
    <row r="4104" spans="20:21" x14ac:dyDescent="0.25">
      <c r="T4104" s="98"/>
      <c r="U4104" s="99"/>
    </row>
    <row r="4105" spans="20:21" x14ac:dyDescent="0.25">
      <c r="T4105" s="98"/>
      <c r="U4105" s="99"/>
    </row>
    <row r="4106" spans="20:21" x14ac:dyDescent="0.25">
      <c r="T4106" s="98"/>
      <c r="U4106" s="99"/>
    </row>
    <row r="4107" spans="20:21" x14ac:dyDescent="0.25">
      <c r="T4107" s="98"/>
      <c r="U4107" s="99"/>
    </row>
    <row r="4108" spans="20:21" x14ac:dyDescent="0.25">
      <c r="T4108" s="98"/>
      <c r="U4108" s="99"/>
    </row>
    <row r="4109" spans="20:21" x14ac:dyDescent="0.25">
      <c r="T4109" s="98"/>
      <c r="U4109" s="99"/>
    </row>
    <row r="4110" spans="20:21" x14ac:dyDescent="0.25">
      <c r="T4110" s="98"/>
      <c r="U4110" s="99"/>
    </row>
    <row r="4111" spans="20:21" x14ac:dyDescent="0.25">
      <c r="T4111" s="98"/>
      <c r="U4111" s="99"/>
    </row>
    <row r="4112" spans="20:21" x14ac:dyDescent="0.25">
      <c r="T4112" s="98"/>
      <c r="U4112" s="99"/>
    </row>
    <row r="4113" spans="20:21" x14ac:dyDescent="0.25">
      <c r="T4113" s="98"/>
      <c r="U4113" s="99"/>
    </row>
    <row r="4114" spans="20:21" x14ac:dyDescent="0.25">
      <c r="T4114" s="98"/>
      <c r="U4114" s="99"/>
    </row>
    <row r="4115" spans="20:21" x14ac:dyDescent="0.25">
      <c r="T4115" s="98"/>
      <c r="U4115" s="99"/>
    </row>
    <row r="4116" spans="20:21" x14ac:dyDescent="0.25">
      <c r="T4116" s="98"/>
      <c r="U4116" s="99"/>
    </row>
    <row r="4117" spans="20:21" x14ac:dyDescent="0.25">
      <c r="T4117" s="98"/>
      <c r="U4117" s="99"/>
    </row>
    <row r="4118" spans="20:21" x14ac:dyDescent="0.25">
      <c r="T4118" s="98"/>
      <c r="U4118" s="99"/>
    </row>
    <row r="4119" spans="20:21" x14ac:dyDescent="0.25">
      <c r="T4119" s="98"/>
      <c r="U4119" s="99"/>
    </row>
    <row r="4120" spans="20:21" x14ac:dyDescent="0.25">
      <c r="T4120" s="98"/>
      <c r="U4120" s="99"/>
    </row>
    <row r="4121" spans="20:21" x14ac:dyDescent="0.25">
      <c r="T4121" s="98"/>
      <c r="U4121" s="99"/>
    </row>
    <row r="4122" spans="20:21" x14ac:dyDescent="0.25">
      <c r="T4122" s="98"/>
      <c r="U4122" s="99"/>
    </row>
    <row r="4123" spans="20:21" x14ac:dyDescent="0.25">
      <c r="T4123" s="98"/>
      <c r="U4123" s="99"/>
    </row>
    <row r="4124" spans="20:21" x14ac:dyDescent="0.25">
      <c r="T4124" s="98"/>
      <c r="U4124" s="99"/>
    </row>
    <row r="4125" spans="20:21" x14ac:dyDescent="0.25">
      <c r="T4125" s="98"/>
      <c r="U4125" s="99"/>
    </row>
    <row r="4126" spans="20:21" x14ac:dyDescent="0.25">
      <c r="T4126" s="98"/>
      <c r="U4126" s="99"/>
    </row>
    <row r="4127" spans="20:21" x14ac:dyDescent="0.25">
      <c r="T4127" s="98"/>
      <c r="U4127" s="99"/>
    </row>
    <row r="4128" spans="20:21" x14ac:dyDescent="0.25">
      <c r="T4128" s="98"/>
      <c r="U4128" s="99"/>
    </row>
    <row r="4129" spans="20:21" x14ac:dyDescent="0.25">
      <c r="T4129" s="98"/>
      <c r="U4129" s="99"/>
    </row>
    <row r="4130" spans="20:21" x14ac:dyDescent="0.25">
      <c r="T4130" s="98"/>
      <c r="U4130" s="99"/>
    </row>
    <row r="4131" spans="20:21" x14ac:dyDescent="0.25">
      <c r="T4131" s="98"/>
      <c r="U4131" s="99"/>
    </row>
    <row r="4132" spans="20:21" x14ac:dyDescent="0.25">
      <c r="T4132" s="98"/>
      <c r="U4132" s="99"/>
    </row>
    <row r="4133" spans="20:21" x14ac:dyDescent="0.25">
      <c r="T4133" s="98"/>
      <c r="U4133" s="99"/>
    </row>
    <row r="4134" spans="20:21" x14ac:dyDescent="0.25">
      <c r="T4134" s="98"/>
      <c r="U4134" s="99"/>
    </row>
    <row r="4135" spans="20:21" x14ac:dyDescent="0.25">
      <c r="T4135" s="98"/>
      <c r="U4135" s="99"/>
    </row>
    <row r="4136" spans="20:21" x14ac:dyDescent="0.25">
      <c r="T4136" s="98"/>
      <c r="U4136" s="99"/>
    </row>
    <row r="4137" spans="20:21" x14ac:dyDescent="0.25">
      <c r="T4137" s="98"/>
      <c r="U4137" s="99"/>
    </row>
    <row r="4138" spans="20:21" x14ac:dyDescent="0.25">
      <c r="T4138" s="98"/>
      <c r="U4138" s="99"/>
    </row>
    <row r="4139" spans="20:21" x14ac:dyDescent="0.25">
      <c r="T4139" s="98"/>
      <c r="U4139" s="99"/>
    </row>
    <row r="4140" spans="20:21" x14ac:dyDescent="0.25">
      <c r="T4140" s="98"/>
      <c r="U4140" s="99"/>
    </row>
    <row r="4141" spans="20:21" x14ac:dyDescent="0.25">
      <c r="T4141" s="98"/>
      <c r="U4141" s="99"/>
    </row>
    <row r="4142" spans="20:21" x14ac:dyDescent="0.25">
      <c r="T4142" s="98"/>
      <c r="U4142" s="99"/>
    </row>
    <row r="4143" spans="20:21" x14ac:dyDescent="0.25">
      <c r="T4143" s="98"/>
      <c r="U4143" s="99"/>
    </row>
    <row r="4144" spans="20:21" x14ac:dyDescent="0.25">
      <c r="T4144" s="98"/>
      <c r="U4144" s="99"/>
    </row>
    <row r="4145" spans="20:21" x14ac:dyDescent="0.25">
      <c r="T4145" s="98"/>
      <c r="U4145" s="99"/>
    </row>
    <row r="4146" spans="20:21" x14ac:dyDescent="0.25">
      <c r="T4146" s="98"/>
      <c r="U4146" s="99"/>
    </row>
    <row r="4147" spans="20:21" x14ac:dyDescent="0.25">
      <c r="T4147" s="98"/>
      <c r="U4147" s="99"/>
    </row>
    <row r="4148" spans="20:21" x14ac:dyDescent="0.25">
      <c r="T4148" s="98"/>
      <c r="U4148" s="99"/>
    </row>
    <row r="4149" spans="20:21" x14ac:dyDescent="0.25">
      <c r="T4149" s="98"/>
      <c r="U4149" s="99"/>
    </row>
    <row r="4150" spans="20:21" x14ac:dyDescent="0.25">
      <c r="T4150" s="98"/>
      <c r="U4150" s="99"/>
    </row>
    <row r="4151" spans="20:21" x14ac:dyDescent="0.25">
      <c r="T4151" s="98"/>
      <c r="U4151" s="99"/>
    </row>
    <row r="4152" spans="20:21" x14ac:dyDescent="0.25">
      <c r="T4152" s="98"/>
      <c r="U4152" s="99"/>
    </row>
    <row r="4153" spans="20:21" x14ac:dyDescent="0.25">
      <c r="T4153" s="98"/>
      <c r="U4153" s="99"/>
    </row>
    <row r="4154" spans="20:21" x14ac:dyDescent="0.25">
      <c r="T4154" s="98"/>
      <c r="U4154" s="99"/>
    </row>
    <row r="4155" spans="20:21" x14ac:dyDescent="0.25">
      <c r="T4155" s="98"/>
      <c r="U4155" s="99"/>
    </row>
    <row r="4156" spans="20:21" x14ac:dyDescent="0.25">
      <c r="T4156" s="98"/>
      <c r="U4156" s="99"/>
    </row>
    <row r="4157" spans="20:21" x14ac:dyDescent="0.25">
      <c r="T4157" s="98"/>
      <c r="U4157" s="99"/>
    </row>
    <row r="4158" spans="20:21" x14ac:dyDescent="0.25">
      <c r="T4158" s="98"/>
      <c r="U4158" s="99"/>
    </row>
    <row r="4159" spans="20:21" x14ac:dyDescent="0.25">
      <c r="T4159" s="98"/>
      <c r="U4159" s="99"/>
    </row>
    <row r="4160" spans="20:21" x14ac:dyDescent="0.25">
      <c r="T4160" s="98"/>
      <c r="U4160" s="99"/>
    </row>
    <row r="4161" spans="20:21" x14ac:dyDescent="0.25">
      <c r="T4161" s="98"/>
      <c r="U4161" s="99"/>
    </row>
    <row r="4162" spans="20:21" x14ac:dyDescent="0.25">
      <c r="T4162" s="98"/>
      <c r="U4162" s="99"/>
    </row>
    <row r="4163" spans="20:21" x14ac:dyDescent="0.25">
      <c r="T4163" s="98"/>
      <c r="U4163" s="99"/>
    </row>
    <row r="4164" spans="20:21" x14ac:dyDescent="0.25">
      <c r="T4164" s="98"/>
      <c r="U4164" s="99"/>
    </row>
    <row r="4165" spans="20:21" x14ac:dyDescent="0.25">
      <c r="T4165" s="98"/>
      <c r="U4165" s="99"/>
    </row>
    <row r="4166" spans="20:21" x14ac:dyDescent="0.25">
      <c r="T4166" s="98"/>
      <c r="U4166" s="99"/>
    </row>
    <row r="4167" spans="20:21" x14ac:dyDescent="0.25">
      <c r="T4167" s="98"/>
      <c r="U4167" s="99"/>
    </row>
    <row r="4168" spans="20:21" x14ac:dyDescent="0.25">
      <c r="T4168" s="98"/>
      <c r="U4168" s="99"/>
    </row>
    <row r="4169" spans="20:21" x14ac:dyDescent="0.25">
      <c r="T4169" s="98"/>
      <c r="U4169" s="99"/>
    </row>
    <row r="4170" spans="20:21" x14ac:dyDescent="0.25">
      <c r="T4170" s="98"/>
      <c r="U4170" s="99"/>
    </row>
    <row r="4171" spans="20:21" x14ac:dyDescent="0.25">
      <c r="T4171" s="98"/>
      <c r="U4171" s="99"/>
    </row>
    <row r="4172" spans="20:21" x14ac:dyDescent="0.25">
      <c r="T4172" s="98"/>
      <c r="U4172" s="99"/>
    </row>
    <row r="4173" spans="20:21" x14ac:dyDescent="0.25">
      <c r="T4173" s="98"/>
      <c r="U4173" s="99"/>
    </row>
    <row r="4174" spans="20:21" x14ac:dyDescent="0.25">
      <c r="T4174" s="98"/>
      <c r="U4174" s="99"/>
    </row>
    <row r="4175" spans="20:21" x14ac:dyDescent="0.25">
      <c r="T4175" s="98"/>
      <c r="U4175" s="99"/>
    </row>
    <row r="4176" spans="20:21" x14ac:dyDescent="0.25">
      <c r="T4176" s="98"/>
      <c r="U4176" s="99"/>
    </row>
    <row r="4177" spans="20:21" x14ac:dyDescent="0.25">
      <c r="T4177" s="98"/>
      <c r="U4177" s="99"/>
    </row>
    <row r="4178" spans="20:21" x14ac:dyDescent="0.25">
      <c r="T4178" s="98"/>
      <c r="U4178" s="99"/>
    </row>
    <row r="4179" spans="20:21" x14ac:dyDescent="0.25">
      <c r="T4179" s="98"/>
      <c r="U4179" s="99"/>
    </row>
    <row r="4180" spans="20:21" x14ac:dyDescent="0.25">
      <c r="T4180" s="98"/>
      <c r="U4180" s="99"/>
    </row>
    <row r="4181" spans="20:21" x14ac:dyDescent="0.25">
      <c r="T4181" s="98"/>
      <c r="U4181" s="99"/>
    </row>
    <row r="4182" spans="20:21" x14ac:dyDescent="0.25">
      <c r="T4182" s="98"/>
      <c r="U4182" s="99"/>
    </row>
    <row r="4183" spans="20:21" x14ac:dyDescent="0.25">
      <c r="T4183" s="98"/>
      <c r="U4183" s="99"/>
    </row>
    <row r="4184" spans="20:21" x14ac:dyDescent="0.25">
      <c r="T4184" s="98"/>
      <c r="U4184" s="99"/>
    </row>
    <row r="4185" spans="20:21" x14ac:dyDescent="0.25">
      <c r="T4185" s="98"/>
      <c r="U4185" s="99"/>
    </row>
    <row r="4186" spans="20:21" x14ac:dyDescent="0.25">
      <c r="T4186" s="98"/>
      <c r="U4186" s="99"/>
    </row>
    <row r="4187" spans="20:21" x14ac:dyDescent="0.25">
      <c r="T4187" s="98"/>
      <c r="U4187" s="99"/>
    </row>
    <row r="4188" spans="20:21" x14ac:dyDescent="0.25">
      <c r="T4188" s="98"/>
      <c r="U4188" s="99"/>
    </row>
    <row r="4189" spans="20:21" x14ac:dyDescent="0.25">
      <c r="T4189" s="98"/>
      <c r="U4189" s="99"/>
    </row>
    <row r="4190" spans="20:21" x14ac:dyDescent="0.25">
      <c r="T4190" s="98"/>
      <c r="U4190" s="99"/>
    </row>
    <row r="4191" spans="20:21" x14ac:dyDescent="0.25">
      <c r="T4191" s="98"/>
      <c r="U4191" s="99"/>
    </row>
    <row r="4192" spans="20:21" x14ac:dyDescent="0.25">
      <c r="T4192" s="98"/>
      <c r="U4192" s="99"/>
    </row>
    <row r="4193" spans="20:21" x14ac:dyDescent="0.25">
      <c r="T4193" s="98"/>
      <c r="U4193" s="99"/>
    </row>
    <row r="4194" spans="20:21" x14ac:dyDescent="0.25">
      <c r="T4194" s="98"/>
      <c r="U4194" s="99"/>
    </row>
    <row r="4195" spans="20:21" x14ac:dyDescent="0.25">
      <c r="T4195" s="98"/>
      <c r="U4195" s="99"/>
    </row>
    <row r="4196" spans="20:21" x14ac:dyDescent="0.25">
      <c r="T4196" s="98"/>
      <c r="U4196" s="99"/>
    </row>
    <row r="4197" spans="20:21" x14ac:dyDescent="0.25">
      <c r="T4197" s="98"/>
      <c r="U4197" s="99"/>
    </row>
    <row r="4198" spans="20:21" x14ac:dyDescent="0.25">
      <c r="T4198" s="98"/>
      <c r="U4198" s="99"/>
    </row>
    <row r="4199" spans="20:21" x14ac:dyDescent="0.25">
      <c r="T4199" s="98"/>
      <c r="U4199" s="99"/>
    </row>
    <row r="4200" spans="20:21" x14ac:dyDescent="0.25">
      <c r="T4200" s="98"/>
      <c r="U4200" s="99"/>
    </row>
    <row r="4201" spans="20:21" x14ac:dyDescent="0.25">
      <c r="T4201" s="98"/>
      <c r="U4201" s="99"/>
    </row>
    <row r="4202" spans="20:21" x14ac:dyDescent="0.25">
      <c r="T4202" s="98"/>
      <c r="U4202" s="99"/>
    </row>
    <row r="4203" spans="20:21" x14ac:dyDescent="0.25">
      <c r="T4203" s="98"/>
      <c r="U4203" s="99"/>
    </row>
    <row r="4204" spans="20:21" x14ac:dyDescent="0.25">
      <c r="T4204" s="98"/>
      <c r="U4204" s="99"/>
    </row>
    <row r="4205" spans="20:21" x14ac:dyDescent="0.25">
      <c r="T4205" s="98"/>
      <c r="U4205" s="99"/>
    </row>
    <row r="4206" spans="20:21" x14ac:dyDescent="0.25">
      <c r="T4206" s="98"/>
      <c r="U4206" s="99"/>
    </row>
    <row r="4207" spans="20:21" x14ac:dyDescent="0.25">
      <c r="T4207" s="98"/>
      <c r="U4207" s="99"/>
    </row>
    <row r="4208" spans="20:21" x14ac:dyDescent="0.25">
      <c r="T4208" s="98"/>
      <c r="U4208" s="99"/>
    </row>
    <row r="4209" spans="20:21" x14ac:dyDescent="0.25">
      <c r="T4209" s="98"/>
      <c r="U4209" s="99"/>
    </row>
    <row r="4210" spans="20:21" x14ac:dyDescent="0.25">
      <c r="T4210" s="98"/>
      <c r="U4210" s="99"/>
    </row>
    <row r="4211" spans="20:21" x14ac:dyDescent="0.25">
      <c r="T4211" s="98"/>
      <c r="U4211" s="99"/>
    </row>
    <row r="4212" spans="20:21" x14ac:dyDescent="0.25">
      <c r="T4212" s="98"/>
      <c r="U4212" s="99"/>
    </row>
    <row r="4213" spans="20:21" x14ac:dyDescent="0.25">
      <c r="T4213" s="98"/>
      <c r="U4213" s="99"/>
    </row>
    <row r="4214" spans="20:21" x14ac:dyDescent="0.25">
      <c r="T4214" s="98"/>
      <c r="U4214" s="99"/>
    </row>
    <row r="4215" spans="20:21" x14ac:dyDescent="0.25">
      <c r="T4215" s="98"/>
      <c r="U4215" s="99"/>
    </row>
    <row r="4216" spans="20:21" x14ac:dyDescent="0.25">
      <c r="T4216" s="98"/>
      <c r="U4216" s="99"/>
    </row>
    <row r="4217" spans="20:21" x14ac:dyDescent="0.25">
      <c r="T4217" s="98"/>
      <c r="U4217" s="99"/>
    </row>
    <row r="4218" spans="20:21" x14ac:dyDescent="0.25">
      <c r="T4218" s="98"/>
      <c r="U4218" s="99"/>
    </row>
    <row r="4219" spans="20:21" x14ac:dyDescent="0.25">
      <c r="T4219" s="98"/>
      <c r="U4219" s="99"/>
    </row>
    <row r="4220" spans="20:21" x14ac:dyDescent="0.25">
      <c r="T4220" s="98"/>
      <c r="U4220" s="99"/>
    </row>
    <row r="4221" spans="20:21" x14ac:dyDescent="0.25">
      <c r="T4221" s="98"/>
      <c r="U4221" s="99"/>
    </row>
    <row r="4222" spans="20:21" x14ac:dyDescent="0.25">
      <c r="T4222" s="98"/>
      <c r="U4222" s="99"/>
    </row>
    <row r="4223" spans="20:21" x14ac:dyDescent="0.25">
      <c r="T4223" s="98"/>
      <c r="U4223" s="99"/>
    </row>
    <row r="4224" spans="20:21" x14ac:dyDescent="0.25">
      <c r="T4224" s="98"/>
      <c r="U4224" s="99"/>
    </row>
    <row r="4225" spans="20:21" x14ac:dyDescent="0.25">
      <c r="T4225" s="98"/>
      <c r="U4225" s="99"/>
    </row>
    <row r="4226" spans="20:21" x14ac:dyDescent="0.25">
      <c r="T4226" s="98"/>
      <c r="U4226" s="99"/>
    </row>
    <row r="4227" spans="20:21" x14ac:dyDescent="0.25">
      <c r="T4227" s="98"/>
      <c r="U4227" s="99"/>
    </row>
    <row r="4228" spans="20:21" x14ac:dyDescent="0.25">
      <c r="T4228" s="98"/>
      <c r="U4228" s="99"/>
    </row>
    <row r="4229" spans="20:21" x14ac:dyDescent="0.25">
      <c r="T4229" s="98"/>
      <c r="U4229" s="99"/>
    </row>
    <row r="4230" spans="20:21" x14ac:dyDescent="0.25">
      <c r="T4230" s="98"/>
      <c r="U4230" s="99"/>
    </row>
    <row r="4231" spans="20:21" x14ac:dyDescent="0.25">
      <c r="T4231" s="98"/>
      <c r="U4231" s="99"/>
    </row>
    <row r="4232" spans="20:21" x14ac:dyDescent="0.25">
      <c r="T4232" s="98"/>
      <c r="U4232" s="99"/>
    </row>
    <row r="4233" spans="20:21" x14ac:dyDescent="0.25">
      <c r="T4233" s="98"/>
      <c r="U4233" s="99"/>
    </row>
    <row r="4234" spans="20:21" x14ac:dyDescent="0.25">
      <c r="T4234" s="98"/>
      <c r="U4234" s="99"/>
    </row>
    <row r="4235" spans="20:21" x14ac:dyDescent="0.25">
      <c r="T4235" s="98"/>
      <c r="U4235" s="99"/>
    </row>
    <row r="4236" spans="20:21" x14ac:dyDescent="0.25">
      <c r="T4236" s="98"/>
      <c r="U4236" s="99"/>
    </row>
    <row r="4237" spans="20:21" x14ac:dyDescent="0.25">
      <c r="T4237" s="98"/>
      <c r="U4237" s="99"/>
    </row>
    <row r="4238" spans="20:21" x14ac:dyDescent="0.25">
      <c r="T4238" s="98"/>
      <c r="U4238" s="99"/>
    </row>
    <row r="4239" spans="20:21" x14ac:dyDescent="0.25">
      <c r="T4239" s="98"/>
      <c r="U4239" s="99"/>
    </row>
    <row r="4240" spans="20:21" x14ac:dyDescent="0.25">
      <c r="T4240" s="98"/>
      <c r="U4240" s="99"/>
    </row>
    <row r="4241" spans="20:21" x14ac:dyDescent="0.25">
      <c r="T4241" s="98"/>
      <c r="U4241" s="99"/>
    </row>
    <row r="4242" spans="20:21" x14ac:dyDescent="0.25">
      <c r="T4242" s="98"/>
      <c r="U4242" s="99"/>
    </row>
    <row r="4243" spans="20:21" x14ac:dyDescent="0.25">
      <c r="T4243" s="98"/>
      <c r="U4243" s="99"/>
    </row>
    <row r="4244" spans="20:21" x14ac:dyDescent="0.25">
      <c r="T4244" s="98"/>
      <c r="U4244" s="99"/>
    </row>
    <row r="4245" spans="20:21" x14ac:dyDescent="0.25">
      <c r="T4245" s="98"/>
      <c r="U4245" s="99"/>
    </row>
    <row r="4246" spans="20:21" x14ac:dyDescent="0.25">
      <c r="T4246" s="98"/>
      <c r="U4246" s="99"/>
    </row>
    <row r="4247" spans="20:21" x14ac:dyDescent="0.25">
      <c r="T4247" s="98"/>
      <c r="U4247" s="99"/>
    </row>
    <row r="4248" spans="20:21" x14ac:dyDescent="0.25">
      <c r="T4248" s="98"/>
      <c r="U4248" s="99"/>
    </row>
    <row r="4249" spans="20:21" x14ac:dyDescent="0.25">
      <c r="T4249" s="98"/>
      <c r="U4249" s="99"/>
    </row>
    <row r="4250" spans="20:21" x14ac:dyDescent="0.25">
      <c r="T4250" s="98"/>
      <c r="U4250" s="99"/>
    </row>
    <row r="4251" spans="20:21" x14ac:dyDescent="0.25">
      <c r="T4251" s="98"/>
      <c r="U4251" s="99"/>
    </row>
    <row r="4252" spans="20:21" x14ac:dyDescent="0.25">
      <c r="T4252" s="98"/>
      <c r="U4252" s="99"/>
    </row>
    <row r="4253" spans="20:21" x14ac:dyDescent="0.25">
      <c r="T4253" s="98"/>
      <c r="U4253" s="99"/>
    </row>
    <row r="4254" spans="20:21" x14ac:dyDescent="0.25">
      <c r="T4254" s="98"/>
      <c r="U4254" s="99"/>
    </row>
    <row r="4255" spans="20:21" x14ac:dyDescent="0.25">
      <c r="T4255" s="98"/>
      <c r="U4255" s="99"/>
    </row>
    <row r="4256" spans="20:21" x14ac:dyDescent="0.25">
      <c r="T4256" s="98"/>
      <c r="U4256" s="99"/>
    </row>
    <row r="4257" spans="20:21" x14ac:dyDescent="0.25">
      <c r="T4257" s="98"/>
      <c r="U4257" s="99"/>
    </row>
    <row r="4258" spans="20:21" x14ac:dyDescent="0.25">
      <c r="T4258" s="98"/>
      <c r="U4258" s="99"/>
    </row>
    <row r="4259" spans="20:21" x14ac:dyDescent="0.25">
      <c r="T4259" s="98"/>
      <c r="U4259" s="99"/>
    </row>
    <row r="4260" spans="20:21" x14ac:dyDescent="0.25">
      <c r="T4260" s="98"/>
      <c r="U4260" s="99"/>
    </row>
    <row r="4261" spans="20:21" x14ac:dyDescent="0.25">
      <c r="T4261" s="98"/>
      <c r="U4261" s="99"/>
    </row>
    <row r="4262" spans="20:21" x14ac:dyDescent="0.25">
      <c r="T4262" s="98"/>
      <c r="U4262" s="99"/>
    </row>
    <row r="4263" spans="20:21" x14ac:dyDescent="0.25">
      <c r="T4263" s="98"/>
      <c r="U4263" s="99"/>
    </row>
    <row r="4264" spans="20:21" x14ac:dyDescent="0.25">
      <c r="T4264" s="98"/>
      <c r="U4264" s="99"/>
    </row>
    <row r="4265" spans="20:21" x14ac:dyDescent="0.25">
      <c r="T4265" s="98"/>
      <c r="U4265" s="99"/>
    </row>
    <row r="4266" spans="20:21" x14ac:dyDescent="0.25">
      <c r="T4266" s="98"/>
      <c r="U4266" s="99"/>
    </row>
    <row r="4267" spans="20:21" x14ac:dyDescent="0.25">
      <c r="T4267" s="98"/>
      <c r="U4267" s="99"/>
    </row>
    <row r="4268" spans="20:21" x14ac:dyDescent="0.25">
      <c r="T4268" s="98"/>
      <c r="U4268" s="99"/>
    </row>
    <row r="4269" spans="20:21" x14ac:dyDescent="0.25">
      <c r="T4269" s="98"/>
      <c r="U4269" s="99"/>
    </row>
    <row r="4270" spans="20:21" x14ac:dyDescent="0.25">
      <c r="T4270" s="98"/>
      <c r="U4270" s="99"/>
    </row>
    <row r="4271" spans="20:21" x14ac:dyDescent="0.25">
      <c r="T4271" s="98"/>
      <c r="U4271" s="99"/>
    </row>
    <row r="4272" spans="20:21" x14ac:dyDescent="0.25">
      <c r="T4272" s="98"/>
      <c r="U4272" s="99"/>
    </row>
    <row r="4273" spans="20:21" x14ac:dyDescent="0.25">
      <c r="T4273" s="98"/>
      <c r="U4273" s="99"/>
    </row>
    <row r="4274" spans="20:21" x14ac:dyDescent="0.25">
      <c r="T4274" s="98"/>
      <c r="U4274" s="99"/>
    </row>
    <row r="4275" spans="20:21" x14ac:dyDescent="0.25">
      <c r="T4275" s="98"/>
      <c r="U4275" s="99"/>
    </row>
    <row r="4276" spans="20:21" x14ac:dyDescent="0.25">
      <c r="T4276" s="98"/>
      <c r="U4276" s="99"/>
    </row>
    <row r="4277" spans="20:21" x14ac:dyDescent="0.25">
      <c r="T4277" s="98"/>
      <c r="U4277" s="99"/>
    </row>
    <row r="4278" spans="20:21" x14ac:dyDescent="0.25">
      <c r="T4278" s="98"/>
      <c r="U4278" s="99"/>
    </row>
    <row r="4279" spans="20:21" x14ac:dyDescent="0.25">
      <c r="T4279" s="98"/>
      <c r="U4279" s="99"/>
    </row>
    <row r="4280" spans="20:21" x14ac:dyDescent="0.25">
      <c r="T4280" s="98"/>
      <c r="U4280" s="99"/>
    </row>
    <row r="4281" spans="20:21" x14ac:dyDescent="0.25">
      <c r="T4281" s="98"/>
      <c r="U4281" s="99"/>
    </row>
    <row r="4282" spans="20:21" x14ac:dyDescent="0.25">
      <c r="T4282" s="98"/>
      <c r="U4282" s="99"/>
    </row>
    <row r="4283" spans="20:21" x14ac:dyDescent="0.25">
      <c r="T4283" s="98"/>
      <c r="U4283" s="99"/>
    </row>
    <row r="4284" spans="20:21" x14ac:dyDescent="0.25">
      <c r="T4284" s="98"/>
      <c r="U4284" s="99"/>
    </row>
    <row r="4285" spans="20:21" x14ac:dyDescent="0.25">
      <c r="T4285" s="98"/>
      <c r="U4285" s="99"/>
    </row>
    <row r="4286" spans="20:21" x14ac:dyDescent="0.25">
      <c r="T4286" s="98"/>
      <c r="U4286" s="99"/>
    </row>
    <row r="4287" spans="20:21" x14ac:dyDescent="0.25">
      <c r="T4287" s="98"/>
      <c r="U4287" s="99"/>
    </row>
    <row r="4288" spans="20:21" x14ac:dyDescent="0.25">
      <c r="T4288" s="98"/>
      <c r="U4288" s="99"/>
    </row>
    <row r="4289" spans="20:21" x14ac:dyDescent="0.25">
      <c r="T4289" s="98"/>
      <c r="U4289" s="99"/>
    </row>
    <row r="4290" spans="20:21" x14ac:dyDescent="0.25">
      <c r="T4290" s="98"/>
      <c r="U4290" s="99"/>
    </row>
    <row r="4291" spans="20:21" x14ac:dyDescent="0.25">
      <c r="T4291" s="98"/>
      <c r="U4291" s="99"/>
    </row>
    <row r="4292" spans="20:21" x14ac:dyDescent="0.25">
      <c r="T4292" s="98"/>
      <c r="U4292" s="99"/>
    </row>
    <row r="4293" spans="20:21" x14ac:dyDescent="0.25">
      <c r="T4293" s="98"/>
      <c r="U4293" s="99"/>
    </row>
    <row r="4294" spans="20:21" x14ac:dyDescent="0.25">
      <c r="T4294" s="98"/>
      <c r="U4294" s="99"/>
    </row>
    <row r="4295" spans="20:21" x14ac:dyDescent="0.25">
      <c r="T4295" s="98"/>
      <c r="U4295" s="99"/>
    </row>
    <row r="4296" spans="20:21" x14ac:dyDescent="0.25">
      <c r="T4296" s="98"/>
      <c r="U4296" s="99"/>
    </row>
    <row r="4297" spans="20:21" x14ac:dyDescent="0.25">
      <c r="T4297" s="98"/>
      <c r="U4297" s="99"/>
    </row>
    <row r="4298" spans="20:21" x14ac:dyDescent="0.25">
      <c r="T4298" s="98"/>
      <c r="U4298" s="99"/>
    </row>
    <row r="4299" spans="20:21" x14ac:dyDescent="0.25">
      <c r="T4299" s="98"/>
      <c r="U4299" s="99"/>
    </row>
    <row r="4300" spans="20:21" x14ac:dyDescent="0.25">
      <c r="T4300" s="98"/>
      <c r="U4300" s="99"/>
    </row>
    <row r="4301" spans="20:21" x14ac:dyDescent="0.25">
      <c r="T4301" s="98"/>
      <c r="U4301" s="99"/>
    </row>
    <row r="4302" spans="20:21" x14ac:dyDescent="0.25">
      <c r="T4302" s="98"/>
      <c r="U4302" s="99"/>
    </row>
    <row r="4303" spans="20:21" x14ac:dyDescent="0.25">
      <c r="T4303" s="98"/>
      <c r="U4303" s="99"/>
    </row>
    <row r="4304" spans="20:21" x14ac:dyDescent="0.25">
      <c r="T4304" s="98"/>
      <c r="U4304" s="99"/>
    </row>
    <row r="4305" spans="20:21" x14ac:dyDescent="0.25">
      <c r="T4305" s="98"/>
      <c r="U4305" s="99"/>
    </row>
    <row r="4306" spans="20:21" x14ac:dyDescent="0.25">
      <c r="T4306" s="98"/>
      <c r="U4306" s="99"/>
    </row>
    <row r="4307" spans="20:21" x14ac:dyDescent="0.25">
      <c r="T4307" s="98"/>
      <c r="U4307" s="99"/>
    </row>
    <row r="4308" spans="20:21" x14ac:dyDescent="0.25">
      <c r="T4308" s="98"/>
      <c r="U4308" s="99"/>
    </row>
    <row r="4309" spans="20:21" x14ac:dyDescent="0.25">
      <c r="T4309" s="98"/>
      <c r="U4309" s="99"/>
    </row>
    <row r="4310" spans="20:21" x14ac:dyDescent="0.25">
      <c r="T4310" s="98"/>
      <c r="U4310" s="99"/>
    </row>
    <row r="4311" spans="20:21" x14ac:dyDescent="0.25">
      <c r="T4311" s="98"/>
      <c r="U4311" s="99"/>
    </row>
    <row r="4312" spans="20:21" x14ac:dyDescent="0.25">
      <c r="T4312" s="98"/>
      <c r="U4312" s="99"/>
    </row>
    <row r="4313" spans="20:21" x14ac:dyDescent="0.25">
      <c r="T4313" s="98"/>
      <c r="U4313" s="99"/>
    </row>
    <row r="4314" spans="20:21" x14ac:dyDescent="0.25">
      <c r="T4314" s="98"/>
      <c r="U4314" s="99"/>
    </row>
    <row r="4315" spans="20:21" x14ac:dyDescent="0.25">
      <c r="T4315" s="98"/>
      <c r="U4315" s="99"/>
    </row>
    <row r="4316" spans="20:21" x14ac:dyDescent="0.25">
      <c r="T4316" s="98"/>
      <c r="U4316" s="99"/>
    </row>
    <row r="4317" spans="20:21" x14ac:dyDescent="0.25">
      <c r="T4317" s="98"/>
      <c r="U4317" s="99"/>
    </row>
    <row r="4318" spans="20:21" x14ac:dyDescent="0.25">
      <c r="T4318" s="98"/>
      <c r="U4318" s="99"/>
    </row>
    <row r="4319" spans="20:21" x14ac:dyDescent="0.25">
      <c r="T4319" s="98"/>
      <c r="U4319" s="99"/>
    </row>
    <row r="4320" spans="20:21" x14ac:dyDescent="0.25">
      <c r="T4320" s="98"/>
      <c r="U4320" s="99"/>
    </row>
    <row r="4321" spans="20:21" x14ac:dyDescent="0.25">
      <c r="T4321" s="98"/>
      <c r="U4321" s="99"/>
    </row>
    <row r="4322" spans="20:21" x14ac:dyDescent="0.25">
      <c r="T4322" s="98"/>
      <c r="U4322" s="99"/>
    </row>
    <row r="4323" spans="20:21" x14ac:dyDescent="0.25">
      <c r="T4323" s="98"/>
      <c r="U4323" s="99"/>
    </row>
    <row r="4324" spans="20:21" x14ac:dyDescent="0.25">
      <c r="T4324" s="98"/>
      <c r="U4324" s="99"/>
    </row>
    <row r="4325" spans="20:21" x14ac:dyDescent="0.25">
      <c r="T4325" s="98"/>
      <c r="U4325" s="99"/>
    </row>
    <row r="4326" spans="20:21" x14ac:dyDescent="0.25">
      <c r="T4326" s="98"/>
      <c r="U4326" s="99"/>
    </row>
    <row r="4327" spans="20:21" x14ac:dyDescent="0.25">
      <c r="T4327" s="98"/>
      <c r="U4327" s="99"/>
    </row>
    <row r="4328" spans="20:21" x14ac:dyDescent="0.25">
      <c r="T4328" s="98"/>
      <c r="U4328" s="99"/>
    </row>
    <row r="4329" spans="20:21" x14ac:dyDescent="0.25">
      <c r="T4329" s="98"/>
      <c r="U4329" s="99"/>
    </row>
    <row r="4330" spans="20:21" x14ac:dyDescent="0.25">
      <c r="T4330" s="98"/>
      <c r="U4330" s="99"/>
    </row>
    <row r="4331" spans="20:21" x14ac:dyDescent="0.25">
      <c r="T4331" s="98"/>
      <c r="U4331" s="99"/>
    </row>
    <row r="4332" spans="20:21" x14ac:dyDescent="0.25">
      <c r="T4332" s="98"/>
      <c r="U4332" s="99"/>
    </row>
    <row r="4333" spans="20:21" x14ac:dyDescent="0.25">
      <c r="T4333" s="98"/>
      <c r="U4333" s="99"/>
    </row>
    <row r="4334" spans="20:21" x14ac:dyDescent="0.25">
      <c r="T4334" s="98"/>
      <c r="U4334" s="99"/>
    </row>
    <row r="4335" spans="20:21" x14ac:dyDescent="0.25">
      <c r="T4335" s="98"/>
      <c r="U4335" s="99"/>
    </row>
    <row r="4336" spans="20:21" x14ac:dyDescent="0.25">
      <c r="T4336" s="98"/>
      <c r="U4336" s="99"/>
    </row>
    <row r="4337" spans="20:21" x14ac:dyDescent="0.25">
      <c r="T4337" s="98"/>
      <c r="U4337" s="99"/>
    </row>
    <row r="4338" spans="20:21" x14ac:dyDescent="0.25">
      <c r="T4338" s="98"/>
      <c r="U4338" s="99"/>
    </row>
    <row r="4339" spans="20:21" x14ac:dyDescent="0.25">
      <c r="T4339" s="98"/>
      <c r="U4339" s="99"/>
    </row>
    <row r="4340" spans="20:21" x14ac:dyDescent="0.25">
      <c r="T4340" s="98"/>
      <c r="U4340" s="99"/>
    </row>
    <row r="4341" spans="20:21" x14ac:dyDescent="0.25">
      <c r="T4341" s="98"/>
      <c r="U4341" s="99"/>
    </row>
    <row r="4342" spans="20:21" x14ac:dyDescent="0.25">
      <c r="T4342" s="98"/>
      <c r="U4342" s="99"/>
    </row>
    <row r="4343" spans="20:21" x14ac:dyDescent="0.25">
      <c r="T4343" s="98"/>
      <c r="U4343" s="99"/>
    </row>
    <row r="4344" spans="20:21" x14ac:dyDescent="0.25">
      <c r="T4344" s="98"/>
      <c r="U4344" s="99"/>
    </row>
    <row r="4345" spans="20:21" x14ac:dyDescent="0.25">
      <c r="T4345" s="98"/>
      <c r="U4345" s="99"/>
    </row>
    <row r="4346" spans="20:21" x14ac:dyDescent="0.25">
      <c r="T4346" s="98"/>
      <c r="U4346" s="99"/>
    </row>
    <row r="4347" spans="20:21" x14ac:dyDescent="0.25">
      <c r="T4347" s="98"/>
      <c r="U4347" s="99"/>
    </row>
    <row r="4348" spans="20:21" x14ac:dyDescent="0.25">
      <c r="T4348" s="98"/>
      <c r="U4348" s="99"/>
    </row>
    <row r="4349" spans="20:21" x14ac:dyDescent="0.25">
      <c r="T4349" s="98"/>
      <c r="U4349" s="99"/>
    </row>
    <row r="4350" spans="20:21" x14ac:dyDescent="0.25">
      <c r="T4350" s="98"/>
      <c r="U4350" s="99"/>
    </row>
    <row r="4351" spans="20:21" x14ac:dyDescent="0.25">
      <c r="T4351" s="98"/>
      <c r="U4351" s="99"/>
    </row>
    <row r="4352" spans="20:21" x14ac:dyDescent="0.25">
      <c r="T4352" s="98"/>
      <c r="U4352" s="99"/>
    </row>
    <row r="4353" spans="20:21" x14ac:dyDescent="0.25">
      <c r="T4353" s="98"/>
      <c r="U4353" s="99"/>
    </row>
    <row r="4354" spans="20:21" x14ac:dyDescent="0.25">
      <c r="T4354" s="98"/>
      <c r="U4354" s="99"/>
    </row>
    <row r="4355" spans="20:21" x14ac:dyDescent="0.25">
      <c r="T4355" s="98"/>
      <c r="U4355" s="99"/>
    </row>
    <row r="4356" spans="20:21" x14ac:dyDescent="0.25">
      <c r="T4356" s="98"/>
      <c r="U4356" s="99"/>
    </row>
    <row r="4357" spans="20:21" x14ac:dyDescent="0.25">
      <c r="T4357" s="98"/>
      <c r="U4357" s="99"/>
    </row>
    <row r="4358" spans="20:21" x14ac:dyDescent="0.25">
      <c r="T4358" s="98"/>
      <c r="U4358" s="99"/>
    </row>
    <row r="4359" spans="20:21" x14ac:dyDescent="0.25">
      <c r="T4359" s="98"/>
      <c r="U4359" s="99"/>
    </row>
    <row r="4360" spans="20:21" x14ac:dyDescent="0.25">
      <c r="T4360" s="98"/>
      <c r="U4360" s="99"/>
    </row>
    <row r="4361" spans="20:21" x14ac:dyDescent="0.25">
      <c r="T4361" s="98"/>
      <c r="U4361" s="99"/>
    </row>
    <row r="4362" spans="20:21" x14ac:dyDescent="0.25">
      <c r="T4362" s="98"/>
      <c r="U4362" s="99"/>
    </row>
    <row r="4363" spans="20:21" x14ac:dyDescent="0.25">
      <c r="T4363" s="98"/>
      <c r="U4363" s="99"/>
    </row>
    <row r="4364" spans="20:21" x14ac:dyDescent="0.25">
      <c r="T4364" s="98"/>
      <c r="U4364" s="99"/>
    </row>
    <row r="4365" spans="20:21" x14ac:dyDescent="0.25">
      <c r="T4365" s="98"/>
      <c r="U4365" s="99"/>
    </row>
    <row r="4366" spans="20:21" x14ac:dyDescent="0.25">
      <c r="T4366" s="98"/>
      <c r="U4366" s="99"/>
    </row>
    <row r="4367" spans="20:21" x14ac:dyDescent="0.25">
      <c r="T4367" s="98"/>
      <c r="U4367" s="99"/>
    </row>
    <row r="4368" spans="20:21" x14ac:dyDescent="0.25">
      <c r="T4368" s="98"/>
      <c r="U4368" s="99"/>
    </row>
    <row r="4369" spans="20:21" x14ac:dyDescent="0.25">
      <c r="T4369" s="98"/>
      <c r="U4369" s="99"/>
    </row>
    <row r="4370" spans="20:21" x14ac:dyDescent="0.25">
      <c r="T4370" s="98"/>
      <c r="U4370" s="99"/>
    </row>
    <row r="4371" spans="20:21" x14ac:dyDescent="0.25">
      <c r="T4371" s="98"/>
      <c r="U4371" s="99"/>
    </row>
    <row r="4372" spans="20:21" x14ac:dyDescent="0.25">
      <c r="T4372" s="98"/>
      <c r="U4372" s="99"/>
    </row>
    <row r="4373" spans="20:21" x14ac:dyDescent="0.25">
      <c r="T4373" s="98"/>
      <c r="U4373" s="99"/>
    </row>
    <row r="4374" spans="20:21" x14ac:dyDescent="0.25">
      <c r="T4374" s="98"/>
      <c r="U4374" s="99"/>
    </row>
    <row r="4375" spans="20:21" x14ac:dyDescent="0.25">
      <c r="T4375" s="98"/>
      <c r="U4375" s="99"/>
    </row>
    <row r="4376" spans="20:21" x14ac:dyDescent="0.25">
      <c r="T4376" s="98"/>
      <c r="U4376" s="99"/>
    </row>
    <row r="4377" spans="20:21" x14ac:dyDescent="0.25">
      <c r="T4377" s="98"/>
      <c r="U4377" s="99"/>
    </row>
    <row r="4378" spans="20:21" x14ac:dyDescent="0.25">
      <c r="T4378" s="98"/>
      <c r="U4378" s="99"/>
    </row>
    <row r="4379" spans="20:21" x14ac:dyDescent="0.25">
      <c r="T4379" s="98"/>
      <c r="U4379" s="99"/>
    </row>
    <row r="4380" spans="20:21" x14ac:dyDescent="0.25">
      <c r="T4380" s="98"/>
      <c r="U4380" s="99"/>
    </row>
    <row r="4381" spans="20:21" x14ac:dyDescent="0.25">
      <c r="T4381" s="98"/>
      <c r="U4381" s="99"/>
    </row>
    <row r="4382" spans="20:21" x14ac:dyDescent="0.25">
      <c r="T4382" s="98"/>
      <c r="U4382" s="99"/>
    </row>
    <row r="4383" spans="20:21" x14ac:dyDescent="0.25">
      <c r="T4383" s="98"/>
      <c r="U4383" s="99"/>
    </row>
    <row r="4384" spans="20:21" x14ac:dyDescent="0.25">
      <c r="T4384" s="98"/>
      <c r="U4384" s="99"/>
    </row>
    <row r="4385" spans="20:21" x14ac:dyDescent="0.25">
      <c r="T4385" s="98"/>
      <c r="U4385" s="99"/>
    </row>
    <row r="4386" spans="20:21" x14ac:dyDescent="0.25">
      <c r="T4386" s="98"/>
      <c r="U4386" s="99"/>
    </row>
    <row r="4387" spans="20:21" x14ac:dyDescent="0.25">
      <c r="T4387" s="98"/>
      <c r="U4387" s="99"/>
    </row>
    <row r="4388" spans="20:21" x14ac:dyDescent="0.25">
      <c r="T4388" s="98"/>
      <c r="U4388" s="99"/>
    </row>
    <row r="4389" spans="20:21" x14ac:dyDescent="0.25">
      <c r="T4389" s="98"/>
      <c r="U4389" s="99"/>
    </row>
    <row r="4390" spans="20:21" x14ac:dyDescent="0.25">
      <c r="T4390" s="98"/>
      <c r="U4390" s="99"/>
    </row>
    <row r="4391" spans="20:21" x14ac:dyDescent="0.25">
      <c r="T4391" s="98"/>
      <c r="U4391" s="99"/>
    </row>
    <row r="4392" spans="20:21" x14ac:dyDescent="0.25">
      <c r="T4392" s="98"/>
      <c r="U4392" s="99"/>
    </row>
    <row r="4393" spans="20:21" x14ac:dyDescent="0.25">
      <c r="T4393" s="98"/>
      <c r="U4393" s="99"/>
    </row>
    <row r="4394" spans="20:21" x14ac:dyDescent="0.25">
      <c r="T4394" s="98"/>
      <c r="U4394" s="99"/>
    </row>
    <row r="4395" spans="20:21" x14ac:dyDescent="0.25">
      <c r="T4395" s="98"/>
      <c r="U4395" s="99"/>
    </row>
    <row r="4396" spans="20:21" x14ac:dyDescent="0.25">
      <c r="T4396" s="98"/>
      <c r="U4396" s="99"/>
    </row>
    <row r="4397" spans="20:21" x14ac:dyDescent="0.25">
      <c r="T4397" s="98"/>
      <c r="U4397" s="99"/>
    </row>
    <row r="4398" spans="20:21" x14ac:dyDescent="0.25">
      <c r="T4398" s="98"/>
      <c r="U4398" s="99"/>
    </row>
    <row r="4399" spans="20:21" x14ac:dyDescent="0.25">
      <c r="T4399" s="98"/>
      <c r="U4399" s="99"/>
    </row>
    <row r="4400" spans="20:21" x14ac:dyDescent="0.25">
      <c r="T4400" s="98"/>
      <c r="U4400" s="99"/>
    </row>
    <row r="4401" spans="20:21" x14ac:dyDescent="0.25">
      <c r="T4401" s="98"/>
      <c r="U4401" s="99"/>
    </row>
    <row r="4402" spans="20:21" x14ac:dyDescent="0.25">
      <c r="T4402" s="98"/>
      <c r="U4402" s="99"/>
    </row>
    <row r="4403" spans="20:21" x14ac:dyDescent="0.25">
      <c r="T4403" s="98"/>
      <c r="U4403" s="99"/>
    </row>
    <row r="4404" spans="20:21" x14ac:dyDescent="0.25">
      <c r="T4404" s="98"/>
      <c r="U4404" s="99"/>
    </row>
    <row r="4405" spans="20:21" x14ac:dyDescent="0.25">
      <c r="T4405" s="98"/>
      <c r="U4405" s="99"/>
    </row>
    <row r="4406" spans="20:21" x14ac:dyDescent="0.25">
      <c r="T4406" s="98"/>
      <c r="U4406" s="99"/>
    </row>
    <row r="4407" spans="20:21" x14ac:dyDescent="0.25">
      <c r="T4407" s="98"/>
      <c r="U4407" s="99"/>
    </row>
    <row r="4408" spans="20:21" x14ac:dyDescent="0.25">
      <c r="T4408" s="98"/>
      <c r="U4408" s="99"/>
    </row>
    <row r="4409" spans="20:21" x14ac:dyDescent="0.25">
      <c r="T4409" s="98"/>
      <c r="U4409" s="99"/>
    </row>
    <row r="4410" spans="20:21" x14ac:dyDescent="0.25">
      <c r="T4410" s="98"/>
      <c r="U4410" s="99"/>
    </row>
    <row r="4411" spans="20:21" x14ac:dyDescent="0.25">
      <c r="T4411" s="98"/>
      <c r="U4411" s="99"/>
    </row>
    <row r="4412" spans="20:21" x14ac:dyDescent="0.25">
      <c r="T4412" s="98"/>
      <c r="U4412" s="99"/>
    </row>
    <row r="4413" spans="20:21" x14ac:dyDescent="0.25">
      <c r="T4413" s="98"/>
      <c r="U4413" s="99"/>
    </row>
    <row r="4414" spans="20:21" x14ac:dyDescent="0.25">
      <c r="T4414" s="98"/>
      <c r="U4414" s="99"/>
    </row>
    <row r="4415" spans="20:21" x14ac:dyDescent="0.25">
      <c r="T4415" s="98"/>
      <c r="U4415" s="99"/>
    </row>
    <row r="4416" spans="20:21" x14ac:dyDescent="0.25">
      <c r="T4416" s="98"/>
      <c r="U4416" s="99"/>
    </row>
    <row r="4417" spans="20:21" x14ac:dyDescent="0.25">
      <c r="T4417" s="98"/>
      <c r="U4417" s="99"/>
    </row>
    <row r="4418" spans="20:21" x14ac:dyDescent="0.25">
      <c r="T4418" s="98"/>
      <c r="U4418" s="99"/>
    </row>
    <row r="4419" spans="20:21" x14ac:dyDescent="0.25">
      <c r="T4419" s="98"/>
      <c r="U4419" s="99"/>
    </row>
    <row r="4420" spans="20:21" x14ac:dyDescent="0.25">
      <c r="T4420" s="98"/>
      <c r="U4420" s="99"/>
    </row>
    <row r="4421" spans="20:21" x14ac:dyDescent="0.25">
      <c r="T4421" s="98"/>
      <c r="U4421" s="99"/>
    </row>
    <row r="4422" spans="20:21" x14ac:dyDescent="0.25">
      <c r="T4422" s="98"/>
      <c r="U4422" s="99"/>
    </row>
    <row r="4423" spans="20:21" x14ac:dyDescent="0.25">
      <c r="T4423" s="98"/>
      <c r="U4423" s="99"/>
    </row>
    <row r="4424" spans="20:21" x14ac:dyDescent="0.25">
      <c r="T4424" s="98"/>
      <c r="U4424" s="99"/>
    </row>
    <row r="4425" spans="20:21" x14ac:dyDescent="0.25">
      <c r="T4425" s="98"/>
      <c r="U4425" s="99"/>
    </row>
    <row r="4426" spans="20:21" x14ac:dyDescent="0.25">
      <c r="T4426" s="98"/>
      <c r="U4426" s="99"/>
    </row>
    <row r="4427" spans="20:21" x14ac:dyDescent="0.25">
      <c r="T4427" s="98"/>
      <c r="U4427" s="99"/>
    </row>
    <row r="4428" spans="20:21" x14ac:dyDescent="0.25">
      <c r="T4428" s="98"/>
      <c r="U4428" s="99"/>
    </row>
    <row r="4429" spans="20:21" x14ac:dyDescent="0.25">
      <c r="T4429" s="98"/>
      <c r="U4429" s="99"/>
    </row>
    <row r="4430" spans="20:21" x14ac:dyDescent="0.25">
      <c r="T4430" s="98"/>
      <c r="U4430" s="99"/>
    </row>
    <row r="4431" spans="20:21" x14ac:dyDescent="0.25">
      <c r="T4431" s="98"/>
      <c r="U4431" s="99"/>
    </row>
    <row r="4432" spans="20:21" x14ac:dyDescent="0.25">
      <c r="T4432" s="98"/>
      <c r="U4432" s="99"/>
    </row>
    <row r="4433" spans="20:21" x14ac:dyDescent="0.25">
      <c r="T4433" s="98"/>
      <c r="U4433" s="99"/>
    </row>
    <row r="4434" spans="20:21" x14ac:dyDescent="0.25">
      <c r="T4434" s="98"/>
      <c r="U4434" s="99"/>
    </row>
    <row r="4435" spans="20:21" x14ac:dyDescent="0.25">
      <c r="T4435" s="98"/>
      <c r="U4435" s="99"/>
    </row>
    <row r="4436" spans="20:21" x14ac:dyDescent="0.25">
      <c r="T4436" s="98"/>
      <c r="U4436" s="99"/>
    </row>
    <row r="4437" spans="20:21" x14ac:dyDescent="0.25">
      <c r="T4437" s="98"/>
      <c r="U4437" s="99"/>
    </row>
    <row r="4438" spans="20:21" x14ac:dyDescent="0.25">
      <c r="T4438" s="98"/>
      <c r="U4438" s="99"/>
    </row>
    <row r="4439" spans="20:21" x14ac:dyDescent="0.25">
      <c r="T4439" s="98"/>
      <c r="U4439" s="99"/>
    </row>
    <row r="4440" spans="20:21" x14ac:dyDescent="0.25">
      <c r="T4440" s="98"/>
      <c r="U4440" s="99"/>
    </row>
    <row r="4441" spans="20:21" x14ac:dyDescent="0.25">
      <c r="T4441" s="98"/>
      <c r="U4441" s="99"/>
    </row>
    <row r="4442" spans="20:21" x14ac:dyDescent="0.25">
      <c r="T4442" s="98"/>
      <c r="U4442" s="99"/>
    </row>
    <row r="4443" spans="20:21" x14ac:dyDescent="0.25">
      <c r="T4443" s="98"/>
      <c r="U4443" s="99"/>
    </row>
    <row r="4444" spans="20:21" x14ac:dyDescent="0.25">
      <c r="T4444" s="98"/>
      <c r="U4444" s="99"/>
    </row>
    <row r="4445" spans="20:21" x14ac:dyDescent="0.25">
      <c r="T4445" s="98"/>
      <c r="U4445" s="99"/>
    </row>
    <row r="4446" spans="20:21" x14ac:dyDescent="0.25">
      <c r="T4446" s="98"/>
      <c r="U4446" s="99"/>
    </row>
    <row r="4447" spans="20:21" x14ac:dyDescent="0.25">
      <c r="T4447" s="98"/>
      <c r="U4447" s="99"/>
    </row>
    <row r="4448" spans="20:21" x14ac:dyDescent="0.25">
      <c r="T4448" s="98"/>
      <c r="U4448" s="99"/>
    </row>
    <row r="4449" spans="20:21" x14ac:dyDescent="0.25">
      <c r="T4449" s="98"/>
      <c r="U4449" s="99"/>
    </row>
    <row r="4450" spans="20:21" x14ac:dyDescent="0.25">
      <c r="T4450" s="98"/>
      <c r="U4450" s="99"/>
    </row>
    <row r="4451" spans="20:21" x14ac:dyDescent="0.25">
      <c r="T4451" s="98"/>
      <c r="U4451" s="99"/>
    </row>
    <row r="4452" spans="20:21" x14ac:dyDescent="0.25">
      <c r="T4452" s="98"/>
      <c r="U4452" s="99"/>
    </row>
    <row r="4453" spans="20:21" x14ac:dyDescent="0.25">
      <c r="T4453" s="98"/>
      <c r="U4453" s="99"/>
    </row>
    <row r="4454" spans="20:21" x14ac:dyDescent="0.25">
      <c r="T4454" s="98"/>
      <c r="U4454" s="99"/>
    </row>
    <row r="4455" spans="20:21" x14ac:dyDescent="0.25">
      <c r="T4455" s="98"/>
      <c r="U4455" s="99"/>
    </row>
    <row r="4456" spans="20:21" x14ac:dyDescent="0.25">
      <c r="T4456" s="98"/>
      <c r="U4456" s="99"/>
    </row>
    <row r="4457" spans="20:21" x14ac:dyDescent="0.25">
      <c r="T4457" s="98"/>
      <c r="U4457" s="99"/>
    </row>
    <row r="4458" spans="20:21" x14ac:dyDescent="0.25">
      <c r="T4458" s="98"/>
      <c r="U4458" s="99"/>
    </row>
    <row r="4459" spans="20:21" x14ac:dyDescent="0.25">
      <c r="T4459" s="98"/>
      <c r="U4459" s="99"/>
    </row>
    <row r="4460" spans="20:21" x14ac:dyDescent="0.25">
      <c r="T4460" s="98"/>
      <c r="U4460" s="99"/>
    </row>
    <row r="4461" spans="20:21" x14ac:dyDescent="0.25">
      <c r="T4461" s="98"/>
      <c r="U4461" s="99"/>
    </row>
    <row r="4462" spans="20:21" x14ac:dyDescent="0.25">
      <c r="T4462" s="98"/>
      <c r="U4462" s="99"/>
    </row>
    <row r="4463" spans="20:21" x14ac:dyDescent="0.25">
      <c r="T4463" s="98"/>
      <c r="U4463" s="99"/>
    </row>
    <row r="4464" spans="20:21" x14ac:dyDescent="0.25">
      <c r="T4464" s="98"/>
      <c r="U4464" s="99"/>
    </row>
    <row r="4465" spans="20:21" x14ac:dyDescent="0.25">
      <c r="T4465" s="98"/>
      <c r="U4465" s="99"/>
    </row>
    <row r="4466" spans="20:21" x14ac:dyDescent="0.25">
      <c r="T4466" s="98"/>
      <c r="U4466" s="99"/>
    </row>
    <row r="4467" spans="20:21" x14ac:dyDescent="0.25">
      <c r="T4467" s="98"/>
      <c r="U4467" s="99"/>
    </row>
    <row r="4468" spans="20:21" x14ac:dyDescent="0.25">
      <c r="T4468" s="98"/>
      <c r="U4468" s="99"/>
    </row>
    <row r="4469" spans="20:21" x14ac:dyDescent="0.25">
      <c r="T4469" s="98"/>
      <c r="U4469" s="99"/>
    </row>
    <row r="4470" spans="20:21" x14ac:dyDescent="0.25">
      <c r="T4470" s="98"/>
      <c r="U4470" s="99"/>
    </row>
    <row r="4471" spans="20:21" x14ac:dyDescent="0.25">
      <c r="T4471" s="98"/>
      <c r="U4471" s="99"/>
    </row>
    <row r="4472" spans="20:21" x14ac:dyDescent="0.25">
      <c r="T4472" s="98"/>
      <c r="U4472" s="99"/>
    </row>
    <row r="4473" spans="20:21" x14ac:dyDescent="0.25">
      <c r="T4473" s="98"/>
      <c r="U4473" s="99"/>
    </row>
    <row r="4474" spans="20:21" x14ac:dyDescent="0.25">
      <c r="T4474" s="98"/>
      <c r="U4474" s="99"/>
    </row>
    <row r="4475" spans="20:21" x14ac:dyDescent="0.25">
      <c r="T4475" s="98"/>
      <c r="U4475" s="99"/>
    </row>
    <row r="4476" spans="20:21" x14ac:dyDescent="0.25">
      <c r="T4476" s="98"/>
      <c r="U4476" s="99"/>
    </row>
    <row r="4477" spans="20:21" x14ac:dyDescent="0.25">
      <c r="T4477" s="98"/>
      <c r="U4477" s="99"/>
    </row>
    <row r="4478" spans="20:21" x14ac:dyDescent="0.25">
      <c r="T4478" s="98"/>
      <c r="U4478" s="99"/>
    </row>
    <row r="4479" spans="20:21" x14ac:dyDescent="0.25">
      <c r="T4479" s="98"/>
      <c r="U4479" s="99"/>
    </row>
    <row r="4480" spans="20:21" x14ac:dyDescent="0.25">
      <c r="T4480" s="98"/>
      <c r="U4480" s="99"/>
    </row>
    <row r="4481" spans="20:21" x14ac:dyDescent="0.25">
      <c r="T4481" s="98"/>
      <c r="U4481" s="99"/>
    </row>
    <row r="4482" spans="20:21" x14ac:dyDescent="0.25">
      <c r="T4482" s="98"/>
      <c r="U4482" s="99"/>
    </row>
    <row r="4483" spans="20:21" x14ac:dyDescent="0.25">
      <c r="T4483" s="98"/>
      <c r="U4483" s="99"/>
    </row>
    <row r="4484" spans="20:21" x14ac:dyDescent="0.25">
      <c r="T4484" s="98"/>
      <c r="U4484" s="99"/>
    </row>
    <row r="4485" spans="20:21" x14ac:dyDescent="0.25">
      <c r="T4485" s="98"/>
      <c r="U4485" s="99"/>
    </row>
    <row r="4486" spans="20:21" x14ac:dyDescent="0.25">
      <c r="T4486" s="98"/>
      <c r="U4486" s="99"/>
    </row>
    <row r="4487" spans="20:21" x14ac:dyDescent="0.25">
      <c r="T4487" s="98"/>
      <c r="U4487" s="99"/>
    </row>
    <row r="4488" spans="20:21" x14ac:dyDescent="0.25">
      <c r="T4488" s="98"/>
      <c r="U4488" s="99"/>
    </row>
    <row r="4489" spans="20:21" x14ac:dyDescent="0.25">
      <c r="T4489" s="98"/>
      <c r="U4489" s="99"/>
    </row>
    <row r="4490" spans="20:21" x14ac:dyDescent="0.25">
      <c r="T4490" s="98"/>
      <c r="U4490" s="99"/>
    </row>
    <row r="4491" spans="20:21" x14ac:dyDescent="0.25">
      <c r="T4491" s="98"/>
      <c r="U4491" s="99"/>
    </row>
    <row r="4492" spans="20:21" x14ac:dyDescent="0.25">
      <c r="T4492" s="98"/>
      <c r="U4492" s="99"/>
    </row>
    <row r="4493" spans="20:21" x14ac:dyDescent="0.25">
      <c r="T4493" s="98"/>
      <c r="U4493" s="99"/>
    </row>
    <row r="4494" spans="20:21" x14ac:dyDescent="0.25">
      <c r="T4494" s="98"/>
      <c r="U4494" s="99"/>
    </row>
    <row r="4495" spans="20:21" x14ac:dyDescent="0.25">
      <c r="T4495" s="98"/>
      <c r="U4495" s="99"/>
    </row>
    <row r="4496" spans="20:21" x14ac:dyDescent="0.25">
      <c r="T4496" s="98"/>
      <c r="U4496" s="99"/>
    </row>
    <row r="4497" spans="20:21" x14ac:dyDescent="0.25">
      <c r="T4497" s="98"/>
      <c r="U4497" s="99"/>
    </row>
    <row r="4498" spans="20:21" x14ac:dyDescent="0.25">
      <c r="T4498" s="98"/>
      <c r="U4498" s="99"/>
    </row>
    <row r="4499" spans="20:21" x14ac:dyDescent="0.25">
      <c r="T4499" s="98"/>
      <c r="U4499" s="99"/>
    </row>
    <row r="4500" spans="20:21" x14ac:dyDescent="0.25">
      <c r="T4500" s="98"/>
      <c r="U4500" s="99"/>
    </row>
    <row r="4501" spans="20:21" x14ac:dyDescent="0.25">
      <c r="T4501" s="98"/>
      <c r="U4501" s="99"/>
    </row>
    <row r="4502" spans="20:21" x14ac:dyDescent="0.25">
      <c r="T4502" s="98"/>
      <c r="U4502" s="99"/>
    </row>
    <row r="4503" spans="20:21" x14ac:dyDescent="0.25">
      <c r="T4503" s="98"/>
      <c r="U4503" s="99"/>
    </row>
    <row r="4504" spans="20:21" x14ac:dyDescent="0.25">
      <c r="T4504" s="98"/>
      <c r="U4504" s="99"/>
    </row>
    <row r="4505" spans="20:21" x14ac:dyDescent="0.25">
      <c r="T4505" s="98"/>
      <c r="U4505" s="99"/>
    </row>
    <row r="4506" spans="20:21" x14ac:dyDescent="0.25">
      <c r="T4506" s="98"/>
      <c r="U4506" s="99"/>
    </row>
    <row r="4507" spans="20:21" x14ac:dyDescent="0.25">
      <c r="T4507" s="98"/>
      <c r="U4507" s="99"/>
    </row>
    <row r="4508" spans="20:21" x14ac:dyDescent="0.25">
      <c r="T4508" s="98"/>
      <c r="U4508" s="99"/>
    </row>
    <row r="4509" spans="20:21" x14ac:dyDescent="0.25">
      <c r="T4509" s="98"/>
      <c r="U4509" s="99"/>
    </row>
    <row r="4510" spans="20:21" x14ac:dyDescent="0.25">
      <c r="T4510" s="98"/>
      <c r="U4510" s="99"/>
    </row>
    <row r="4511" spans="20:21" x14ac:dyDescent="0.25">
      <c r="T4511" s="98"/>
      <c r="U4511" s="99"/>
    </row>
    <row r="4512" spans="20:21" x14ac:dyDescent="0.25">
      <c r="T4512" s="98"/>
      <c r="U4512" s="99"/>
    </row>
    <row r="4513" spans="20:21" x14ac:dyDescent="0.25">
      <c r="T4513" s="98"/>
      <c r="U4513" s="99"/>
    </row>
    <row r="4514" spans="20:21" x14ac:dyDescent="0.25">
      <c r="T4514" s="98"/>
      <c r="U4514" s="99"/>
    </row>
    <row r="4515" spans="20:21" x14ac:dyDescent="0.25">
      <c r="T4515" s="98"/>
      <c r="U4515" s="99"/>
    </row>
    <row r="4516" spans="20:21" x14ac:dyDescent="0.25">
      <c r="T4516" s="98"/>
      <c r="U4516" s="99"/>
    </row>
    <row r="4517" spans="20:21" x14ac:dyDescent="0.25">
      <c r="T4517" s="98"/>
      <c r="U4517" s="99"/>
    </row>
    <row r="4518" spans="20:21" x14ac:dyDescent="0.25">
      <c r="T4518" s="98"/>
      <c r="U4518" s="99"/>
    </row>
    <row r="4519" spans="20:21" x14ac:dyDescent="0.25">
      <c r="T4519" s="98"/>
      <c r="U4519" s="99"/>
    </row>
    <row r="4520" spans="20:21" x14ac:dyDescent="0.25">
      <c r="T4520" s="98"/>
      <c r="U4520" s="99"/>
    </row>
    <row r="4521" spans="20:21" x14ac:dyDescent="0.25">
      <c r="T4521" s="98"/>
      <c r="U4521" s="99"/>
    </row>
    <row r="4522" spans="20:21" x14ac:dyDescent="0.25">
      <c r="T4522" s="98"/>
      <c r="U4522" s="99"/>
    </row>
    <row r="4523" spans="20:21" x14ac:dyDescent="0.25">
      <c r="T4523" s="98"/>
      <c r="U4523" s="99"/>
    </row>
    <row r="4524" spans="20:21" x14ac:dyDescent="0.25">
      <c r="T4524" s="98"/>
      <c r="U4524" s="99"/>
    </row>
    <row r="4525" spans="20:21" x14ac:dyDescent="0.25">
      <c r="T4525" s="98"/>
      <c r="U4525" s="99"/>
    </row>
    <row r="4526" spans="20:21" x14ac:dyDescent="0.25">
      <c r="T4526" s="98"/>
      <c r="U4526" s="99"/>
    </row>
    <row r="4527" spans="20:21" x14ac:dyDescent="0.25">
      <c r="T4527" s="98"/>
      <c r="U4527" s="99"/>
    </row>
    <row r="4528" spans="20:21" x14ac:dyDescent="0.25">
      <c r="T4528" s="98"/>
      <c r="U4528" s="99"/>
    </row>
    <row r="4529" spans="20:21" x14ac:dyDescent="0.25">
      <c r="T4529" s="98"/>
      <c r="U4529" s="99"/>
    </row>
    <row r="4530" spans="20:21" x14ac:dyDescent="0.25">
      <c r="T4530" s="98"/>
      <c r="U4530" s="99"/>
    </row>
    <row r="4531" spans="20:21" x14ac:dyDescent="0.25">
      <c r="T4531" s="98"/>
      <c r="U4531" s="99"/>
    </row>
    <row r="4532" spans="20:21" x14ac:dyDescent="0.25">
      <c r="T4532" s="98"/>
      <c r="U4532" s="99"/>
    </row>
    <row r="4533" spans="20:21" x14ac:dyDescent="0.25">
      <c r="T4533" s="98"/>
      <c r="U4533" s="99"/>
    </row>
    <row r="4534" spans="20:21" x14ac:dyDescent="0.25">
      <c r="T4534" s="98"/>
      <c r="U4534" s="99"/>
    </row>
    <row r="4535" spans="20:21" x14ac:dyDescent="0.25">
      <c r="T4535" s="98"/>
      <c r="U4535" s="99"/>
    </row>
    <row r="4536" spans="20:21" x14ac:dyDescent="0.25">
      <c r="T4536" s="98"/>
      <c r="U4536" s="99"/>
    </row>
    <row r="4537" spans="20:21" x14ac:dyDescent="0.25">
      <c r="T4537" s="98"/>
      <c r="U4537" s="99"/>
    </row>
    <row r="4538" spans="20:21" x14ac:dyDescent="0.25">
      <c r="T4538" s="98"/>
      <c r="U4538" s="99"/>
    </row>
    <row r="4539" spans="20:21" x14ac:dyDescent="0.25">
      <c r="T4539" s="98"/>
      <c r="U4539" s="99"/>
    </row>
    <row r="4540" spans="20:21" x14ac:dyDescent="0.25">
      <c r="T4540" s="98"/>
      <c r="U4540" s="99"/>
    </row>
    <row r="4541" spans="20:21" x14ac:dyDescent="0.25">
      <c r="T4541" s="98"/>
      <c r="U4541" s="99"/>
    </row>
    <row r="4542" spans="20:21" x14ac:dyDescent="0.25">
      <c r="T4542" s="98"/>
      <c r="U4542" s="99"/>
    </row>
    <row r="4543" spans="20:21" x14ac:dyDescent="0.25">
      <c r="T4543" s="98"/>
      <c r="U4543" s="99"/>
    </row>
    <row r="4544" spans="20:21" x14ac:dyDescent="0.25">
      <c r="T4544" s="98"/>
      <c r="U4544" s="99"/>
    </row>
    <row r="4545" spans="20:21" x14ac:dyDescent="0.25">
      <c r="T4545" s="98"/>
      <c r="U4545" s="99"/>
    </row>
    <row r="4546" spans="20:21" x14ac:dyDescent="0.25">
      <c r="T4546" s="98"/>
      <c r="U4546" s="99"/>
    </row>
    <row r="4547" spans="20:21" x14ac:dyDescent="0.25">
      <c r="T4547" s="98"/>
      <c r="U4547" s="99"/>
    </row>
    <row r="4548" spans="20:21" x14ac:dyDescent="0.25">
      <c r="T4548" s="98"/>
      <c r="U4548" s="99"/>
    </row>
    <row r="4549" spans="20:21" x14ac:dyDescent="0.25">
      <c r="T4549" s="98"/>
      <c r="U4549" s="99"/>
    </row>
    <row r="4550" spans="20:21" x14ac:dyDescent="0.25">
      <c r="T4550" s="98"/>
      <c r="U4550" s="99"/>
    </row>
    <row r="4551" spans="20:21" x14ac:dyDescent="0.25">
      <c r="T4551" s="98"/>
      <c r="U4551" s="99"/>
    </row>
    <row r="4552" spans="20:21" x14ac:dyDescent="0.25">
      <c r="T4552" s="98"/>
      <c r="U4552" s="99"/>
    </row>
    <row r="4553" spans="20:21" x14ac:dyDescent="0.25">
      <c r="T4553" s="98"/>
      <c r="U4553" s="99"/>
    </row>
    <row r="4554" spans="20:21" x14ac:dyDescent="0.25">
      <c r="T4554" s="98"/>
      <c r="U4554" s="99"/>
    </row>
    <row r="4555" spans="20:21" x14ac:dyDescent="0.25">
      <c r="T4555" s="98"/>
      <c r="U4555" s="99"/>
    </row>
    <row r="4556" spans="20:21" x14ac:dyDescent="0.25">
      <c r="T4556" s="98"/>
      <c r="U4556" s="99"/>
    </row>
    <row r="4557" spans="20:21" x14ac:dyDescent="0.25">
      <c r="T4557" s="98"/>
      <c r="U4557" s="99"/>
    </row>
    <row r="4558" spans="20:21" x14ac:dyDescent="0.25">
      <c r="T4558" s="98"/>
      <c r="U4558" s="99"/>
    </row>
    <row r="4559" spans="20:21" x14ac:dyDescent="0.25">
      <c r="T4559" s="98"/>
      <c r="U4559" s="99"/>
    </row>
    <row r="4560" spans="20:21" x14ac:dyDescent="0.25">
      <c r="T4560" s="98"/>
      <c r="U4560" s="99"/>
    </row>
    <row r="4561" spans="20:21" x14ac:dyDescent="0.25">
      <c r="T4561" s="98"/>
      <c r="U4561" s="99"/>
    </row>
    <row r="4562" spans="20:21" x14ac:dyDescent="0.25">
      <c r="T4562" s="98"/>
      <c r="U4562" s="99"/>
    </row>
    <row r="4563" spans="20:21" x14ac:dyDescent="0.25">
      <c r="T4563" s="98"/>
      <c r="U4563" s="99"/>
    </row>
    <row r="4564" spans="20:21" x14ac:dyDescent="0.25">
      <c r="T4564" s="98"/>
      <c r="U4564" s="99"/>
    </row>
    <row r="4565" spans="20:21" x14ac:dyDescent="0.25">
      <c r="T4565" s="98"/>
      <c r="U4565" s="99"/>
    </row>
    <row r="4566" spans="20:21" x14ac:dyDescent="0.25">
      <c r="T4566" s="98"/>
      <c r="U4566" s="99"/>
    </row>
    <row r="4567" spans="20:21" x14ac:dyDescent="0.25">
      <c r="T4567" s="98"/>
      <c r="U4567" s="99"/>
    </row>
    <row r="4568" spans="20:21" x14ac:dyDescent="0.25">
      <c r="T4568" s="98"/>
      <c r="U4568" s="99"/>
    </row>
    <row r="4569" spans="20:21" x14ac:dyDescent="0.25">
      <c r="T4569" s="98"/>
      <c r="U4569" s="99"/>
    </row>
    <row r="4570" spans="20:21" x14ac:dyDescent="0.25">
      <c r="T4570" s="98"/>
      <c r="U4570" s="99"/>
    </row>
    <row r="4571" spans="20:21" x14ac:dyDescent="0.25">
      <c r="T4571" s="98"/>
      <c r="U4571" s="99"/>
    </row>
    <row r="4572" spans="20:21" x14ac:dyDescent="0.25">
      <c r="T4572" s="98"/>
      <c r="U4572" s="99"/>
    </row>
    <row r="4573" spans="20:21" x14ac:dyDescent="0.25">
      <c r="T4573" s="98"/>
      <c r="U4573" s="99"/>
    </row>
    <row r="4574" spans="20:21" x14ac:dyDescent="0.25">
      <c r="T4574" s="98"/>
      <c r="U4574" s="99"/>
    </row>
    <row r="4575" spans="20:21" x14ac:dyDescent="0.25">
      <c r="T4575" s="98"/>
      <c r="U4575" s="99"/>
    </row>
    <row r="4576" spans="20:21" x14ac:dyDescent="0.25">
      <c r="T4576" s="98"/>
      <c r="U4576" s="99"/>
    </row>
    <row r="4577" spans="20:21" x14ac:dyDescent="0.25">
      <c r="T4577" s="98"/>
      <c r="U4577" s="99"/>
    </row>
    <row r="4578" spans="20:21" x14ac:dyDescent="0.25">
      <c r="T4578" s="98"/>
      <c r="U4578" s="99"/>
    </row>
    <row r="4579" spans="20:21" x14ac:dyDescent="0.25">
      <c r="T4579" s="98"/>
      <c r="U4579" s="99"/>
    </row>
    <row r="4580" spans="20:21" x14ac:dyDescent="0.25">
      <c r="T4580" s="98"/>
      <c r="U4580" s="99"/>
    </row>
    <row r="4581" spans="20:21" x14ac:dyDescent="0.25">
      <c r="T4581" s="98"/>
      <c r="U4581" s="99"/>
    </row>
    <row r="4582" spans="20:21" x14ac:dyDescent="0.25">
      <c r="T4582" s="98"/>
      <c r="U4582" s="99"/>
    </row>
    <row r="4583" spans="20:21" x14ac:dyDescent="0.25">
      <c r="T4583" s="98"/>
      <c r="U4583" s="99"/>
    </row>
    <row r="4584" spans="20:21" x14ac:dyDescent="0.25">
      <c r="T4584" s="98"/>
      <c r="U4584" s="99"/>
    </row>
    <row r="4585" spans="20:21" x14ac:dyDescent="0.25">
      <c r="T4585" s="98"/>
      <c r="U4585" s="99"/>
    </row>
    <row r="4586" spans="20:21" x14ac:dyDescent="0.25">
      <c r="T4586" s="98"/>
      <c r="U4586" s="99"/>
    </row>
    <row r="4587" spans="20:21" x14ac:dyDescent="0.25">
      <c r="T4587" s="98"/>
      <c r="U4587" s="99"/>
    </row>
    <row r="4588" spans="20:21" x14ac:dyDescent="0.25">
      <c r="T4588" s="98"/>
      <c r="U4588" s="99"/>
    </row>
    <row r="4589" spans="20:21" x14ac:dyDescent="0.25">
      <c r="T4589" s="98"/>
      <c r="U4589" s="99"/>
    </row>
    <row r="4590" spans="20:21" x14ac:dyDescent="0.25">
      <c r="T4590" s="98"/>
      <c r="U4590" s="99"/>
    </row>
    <row r="4591" spans="20:21" x14ac:dyDescent="0.25">
      <c r="T4591" s="98"/>
      <c r="U4591" s="99"/>
    </row>
    <row r="4592" spans="20:21" x14ac:dyDescent="0.25">
      <c r="T4592" s="98"/>
      <c r="U4592" s="99"/>
    </row>
    <row r="4593" spans="20:21" x14ac:dyDescent="0.25">
      <c r="T4593" s="98"/>
      <c r="U4593" s="99"/>
    </row>
    <row r="4594" spans="20:21" x14ac:dyDescent="0.25">
      <c r="T4594" s="98"/>
      <c r="U4594" s="99"/>
    </row>
    <row r="4595" spans="20:21" x14ac:dyDescent="0.25">
      <c r="T4595" s="98"/>
      <c r="U4595" s="99"/>
    </row>
    <row r="4596" spans="20:21" x14ac:dyDescent="0.25">
      <c r="T4596" s="98"/>
      <c r="U4596" s="99"/>
    </row>
    <row r="4597" spans="20:21" x14ac:dyDescent="0.25">
      <c r="T4597" s="98"/>
      <c r="U4597" s="99"/>
    </row>
    <row r="4598" spans="20:21" x14ac:dyDescent="0.25">
      <c r="T4598" s="98"/>
      <c r="U4598" s="99"/>
    </row>
    <row r="4599" spans="20:21" x14ac:dyDescent="0.25">
      <c r="T4599" s="98"/>
      <c r="U4599" s="99"/>
    </row>
    <row r="4600" spans="20:21" x14ac:dyDescent="0.25">
      <c r="T4600" s="98"/>
      <c r="U4600" s="99"/>
    </row>
    <row r="4601" spans="20:21" x14ac:dyDescent="0.25">
      <c r="T4601" s="98"/>
      <c r="U4601" s="99"/>
    </row>
    <row r="4602" spans="20:21" x14ac:dyDescent="0.25">
      <c r="T4602" s="98"/>
      <c r="U4602" s="99"/>
    </row>
    <row r="4603" spans="20:21" x14ac:dyDescent="0.25">
      <c r="T4603" s="98"/>
      <c r="U4603" s="99"/>
    </row>
    <row r="4604" spans="20:21" x14ac:dyDescent="0.25">
      <c r="T4604" s="98"/>
      <c r="U4604" s="99"/>
    </row>
    <row r="4605" spans="20:21" x14ac:dyDescent="0.25">
      <c r="T4605" s="98"/>
      <c r="U4605" s="99"/>
    </row>
    <row r="4606" spans="20:21" x14ac:dyDescent="0.25">
      <c r="T4606" s="98"/>
      <c r="U4606" s="99"/>
    </row>
    <row r="4607" spans="20:21" x14ac:dyDescent="0.25">
      <c r="T4607" s="98"/>
      <c r="U4607" s="99"/>
    </row>
    <row r="4608" spans="20:21" x14ac:dyDescent="0.25">
      <c r="T4608" s="98"/>
      <c r="U4608" s="99"/>
    </row>
    <row r="4609" spans="20:21" x14ac:dyDescent="0.25">
      <c r="T4609" s="98"/>
      <c r="U4609" s="99"/>
    </row>
    <row r="4610" spans="20:21" x14ac:dyDescent="0.25">
      <c r="T4610" s="98"/>
      <c r="U4610" s="99"/>
    </row>
    <row r="4611" spans="20:21" x14ac:dyDescent="0.25">
      <c r="T4611" s="98"/>
      <c r="U4611" s="99"/>
    </row>
    <row r="4612" spans="20:21" x14ac:dyDescent="0.25">
      <c r="T4612" s="98"/>
      <c r="U4612" s="99"/>
    </row>
    <row r="4613" spans="20:21" x14ac:dyDescent="0.25">
      <c r="T4613" s="98"/>
      <c r="U4613" s="99"/>
    </row>
    <row r="4614" spans="20:21" x14ac:dyDescent="0.25">
      <c r="T4614" s="98"/>
      <c r="U4614" s="99"/>
    </row>
    <row r="4615" spans="20:21" x14ac:dyDescent="0.25">
      <c r="T4615" s="98"/>
      <c r="U4615" s="99"/>
    </row>
    <row r="4616" spans="20:21" x14ac:dyDescent="0.25">
      <c r="T4616" s="98"/>
      <c r="U4616" s="99"/>
    </row>
    <row r="4617" spans="20:21" x14ac:dyDescent="0.25">
      <c r="T4617" s="98"/>
      <c r="U4617" s="99"/>
    </row>
    <row r="4618" spans="20:21" x14ac:dyDescent="0.25">
      <c r="T4618" s="98"/>
      <c r="U4618" s="99"/>
    </row>
    <row r="4619" spans="20:21" x14ac:dyDescent="0.25">
      <c r="T4619" s="98"/>
      <c r="U4619" s="99"/>
    </row>
    <row r="4620" spans="20:21" x14ac:dyDescent="0.25">
      <c r="T4620" s="98"/>
      <c r="U4620" s="99"/>
    </row>
    <row r="4621" spans="20:21" x14ac:dyDescent="0.25">
      <c r="T4621" s="98"/>
      <c r="U4621" s="99"/>
    </row>
    <row r="4622" spans="20:21" x14ac:dyDescent="0.25">
      <c r="T4622" s="98"/>
      <c r="U4622" s="99"/>
    </row>
    <row r="4623" spans="20:21" x14ac:dyDescent="0.25">
      <c r="T4623" s="98"/>
      <c r="U4623" s="99"/>
    </row>
    <row r="4624" spans="20:21" x14ac:dyDescent="0.25">
      <c r="T4624" s="98"/>
      <c r="U4624" s="99"/>
    </row>
    <row r="4625" spans="20:21" x14ac:dyDescent="0.25">
      <c r="T4625" s="98"/>
      <c r="U4625" s="99"/>
    </row>
    <row r="4626" spans="20:21" x14ac:dyDescent="0.25">
      <c r="T4626" s="98"/>
      <c r="U4626" s="99"/>
    </row>
    <row r="4627" spans="20:21" x14ac:dyDescent="0.25">
      <c r="T4627" s="98"/>
      <c r="U4627" s="99"/>
    </row>
    <row r="4628" spans="20:21" x14ac:dyDescent="0.25">
      <c r="T4628" s="98"/>
      <c r="U4628" s="99"/>
    </row>
    <row r="4629" spans="20:21" x14ac:dyDescent="0.25">
      <c r="T4629" s="98"/>
      <c r="U4629" s="99"/>
    </row>
    <row r="4630" spans="20:21" x14ac:dyDescent="0.25">
      <c r="T4630" s="98"/>
      <c r="U4630" s="99"/>
    </row>
    <row r="4631" spans="20:21" x14ac:dyDescent="0.25">
      <c r="T4631" s="98"/>
      <c r="U4631" s="99"/>
    </row>
    <row r="4632" spans="20:21" x14ac:dyDescent="0.25">
      <c r="T4632" s="98"/>
      <c r="U4632" s="99"/>
    </row>
    <row r="4633" spans="20:21" x14ac:dyDescent="0.25">
      <c r="T4633" s="98"/>
      <c r="U4633" s="99"/>
    </row>
    <row r="4634" spans="20:21" x14ac:dyDescent="0.25">
      <c r="T4634" s="98"/>
      <c r="U4634" s="99"/>
    </row>
    <row r="4635" spans="20:21" x14ac:dyDescent="0.25">
      <c r="T4635" s="98"/>
      <c r="U4635" s="99"/>
    </row>
    <row r="4636" spans="20:21" x14ac:dyDescent="0.25">
      <c r="T4636" s="98"/>
      <c r="U4636" s="99"/>
    </row>
    <row r="4637" spans="20:21" x14ac:dyDescent="0.25">
      <c r="T4637" s="98"/>
      <c r="U4637" s="99"/>
    </row>
    <row r="4638" spans="20:21" x14ac:dyDescent="0.25">
      <c r="T4638" s="98"/>
      <c r="U4638" s="99"/>
    </row>
    <row r="4639" spans="20:21" x14ac:dyDescent="0.25">
      <c r="T4639" s="98"/>
      <c r="U4639" s="99"/>
    </row>
    <row r="4640" spans="20:21" x14ac:dyDescent="0.25">
      <c r="T4640" s="98"/>
      <c r="U4640" s="99"/>
    </row>
    <row r="4641" spans="20:21" x14ac:dyDescent="0.25">
      <c r="T4641" s="98"/>
      <c r="U4641" s="99"/>
    </row>
    <row r="4642" spans="20:21" x14ac:dyDescent="0.25">
      <c r="T4642" s="98"/>
      <c r="U4642" s="99"/>
    </row>
    <row r="4643" spans="20:21" x14ac:dyDescent="0.25">
      <c r="T4643" s="98"/>
      <c r="U4643" s="99"/>
    </row>
    <row r="4644" spans="20:21" x14ac:dyDescent="0.25">
      <c r="T4644" s="98"/>
      <c r="U4644" s="99"/>
    </row>
    <row r="4645" spans="20:21" x14ac:dyDescent="0.25">
      <c r="T4645" s="98"/>
      <c r="U4645" s="99"/>
    </row>
    <row r="4646" spans="20:21" x14ac:dyDescent="0.25">
      <c r="T4646" s="98"/>
      <c r="U4646" s="99"/>
    </row>
    <row r="4647" spans="20:21" x14ac:dyDescent="0.25">
      <c r="T4647" s="98"/>
      <c r="U4647" s="99"/>
    </row>
    <row r="4648" spans="20:21" x14ac:dyDescent="0.25">
      <c r="T4648" s="98"/>
      <c r="U4648" s="99"/>
    </row>
    <row r="4649" spans="20:21" x14ac:dyDescent="0.25">
      <c r="T4649" s="98"/>
      <c r="U4649" s="99"/>
    </row>
    <row r="4650" spans="20:21" x14ac:dyDescent="0.25">
      <c r="T4650" s="98"/>
      <c r="U4650" s="99"/>
    </row>
    <row r="4651" spans="20:21" x14ac:dyDescent="0.25">
      <c r="T4651" s="98"/>
      <c r="U4651" s="99"/>
    </row>
    <row r="4652" spans="20:21" x14ac:dyDescent="0.25">
      <c r="T4652" s="98"/>
      <c r="U4652" s="99"/>
    </row>
    <row r="4653" spans="20:21" x14ac:dyDescent="0.25">
      <c r="T4653" s="98"/>
      <c r="U4653" s="99"/>
    </row>
    <row r="4654" spans="20:21" x14ac:dyDescent="0.25">
      <c r="T4654" s="98"/>
      <c r="U4654" s="99"/>
    </row>
    <row r="4655" spans="20:21" x14ac:dyDescent="0.25">
      <c r="T4655" s="98"/>
      <c r="U4655" s="99"/>
    </row>
    <row r="4656" spans="20:21" x14ac:dyDescent="0.25">
      <c r="T4656" s="98"/>
      <c r="U4656" s="99"/>
    </row>
    <row r="4657" spans="20:21" x14ac:dyDescent="0.25">
      <c r="T4657" s="98"/>
      <c r="U4657" s="99"/>
    </row>
    <row r="4658" spans="20:21" x14ac:dyDescent="0.25">
      <c r="T4658" s="98"/>
      <c r="U4658" s="99"/>
    </row>
    <row r="4659" spans="20:21" x14ac:dyDescent="0.25">
      <c r="T4659" s="98"/>
      <c r="U4659" s="99"/>
    </row>
    <row r="4660" spans="20:21" x14ac:dyDescent="0.25">
      <c r="T4660" s="98"/>
      <c r="U4660" s="99"/>
    </row>
    <row r="4661" spans="20:21" x14ac:dyDescent="0.25">
      <c r="T4661" s="98"/>
      <c r="U4661" s="99"/>
    </row>
    <row r="4662" spans="20:21" x14ac:dyDescent="0.25">
      <c r="T4662" s="98"/>
      <c r="U4662" s="99"/>
    </row>
    <row r="4663" spans="20:21" x14ac:dyDescent="0.25">
      <c r="T4663" s="98"/>
      <c r="U4663" s="99"/>
    </row>
    <row r="4664" spans="20:21" x14ac:dyDescent="0.25">
      <c r="T4664" s="98"/>
      <c r="U4664" s="99"/>
    </row>
    <row r="4665" spans="20:21" x14ac:dyDescent="0.25">
      <c r="T4665" s="98"/>
      <c r="U4665" s="99"/>
    </row>
    <row r="4666" spans="20:21" x14ac:dyDescent="0.25">
      <c r="T4666" s="98"/>
      <c r="U4666" s="99"/>
    </row>
    <row r="4667" spans="20:21" x14ac:dyDescent="0.25">
      <c r="T4667" s="98"/>
      <c r="U4667" s="99"/>
    </row>
    <row r="4668" spans="20:21" x14ac:dyDescent="0.25">
      <c r="T4668" s="98"/>
      <c r="U4668" s="99"/>
    </row>
    <row r="4669" spans="20:21" x14ac:dyDescent="0.25">
      <c r="T4669" s="98"/>
      <c r="U4669" s="99"/>
    </row>
    <row r="4670" spans="20:21" x14ac:dyDescent="0.25">
      <c r="T4670" s="98"/>
      <c r="U4670" s="99"/>
    </row>
    <row r="4671" spans="20:21" x14ac:dyDescent="0.25">
      <c r="T4671" s="98"/>
      <c r="U4671" s="99"/>
    </row>
    <row r="4672" spans="20:21" x14ac:dyDescent="0.25">
      <c r="T4672" s="98"/>
      <c r="U4672" s="99"/>
    </row>
    <row r="4673" spans="20:21" x14ac:dyDescent="0.25">
      <c r="T4673" s="98"/>
      <c r="U4673" s="99"/>
    </row>
    <row r="4674" spans="20:21" x14ac:dyDescent="0.25">
      <c r="T4674" s="98"/>
      <c r="U4674" s="99"/>
    </row>
    <row r="4675" spans="20:21" x14ac:dyDescent="0.25">
      <c r="T4675" s="98"/>
      <c r="U4675" s="99"/>
    </row>
    <row r="4676" spans="20:21" x14ac:dyDescent="0.25">
      <c r="T4676" s="98"/>
      <c r="U4676" s="99"/>
    </row>
    <row r="4677" spans="20:21" x14ac:dyDescent="0.25">
      <c r="T4677" s="98"/>
      <c r="U4677" s="99"/>
    </row>
    <row r="4678" spans="20:21" x14ac:dyDescent="0.25">
      <c r="T4678" s="98"/>
      <c r="U4678" s="99"/>
    </row>
    <row r="4679" spans="20:21" x14ac:dyDescent="0.25">
      <c r="T4679" s="98"/>
      <c r="U4679" s="99"/>
    </row>
    <row r="4680" spans="20:21" x14ac:dyDescent="0.25">
      <c r="T4680" s="98"/>
      <c r="U4680" s="99"/>
    </row>
    <row r="4681" spans="20:21" x14ac:dyDescent="0.25">
      <c r="T4681" s="98"/>
      <c r="U4681" s="99"/>
    </row>
    <row r="4682" spans="20:21" x14ac:dyDescent="0.25">
      <c r="T4682" s="98"/>
      <c r="U4682" s="99"/>
    </row>
    <row r="4683" spans="20:21" x14ac:dyDescent="0.25">
      <c r="T4683" s="98"/>
      <c r="U4683" s="99"/>
    </row>
    <row r="4684" spans="20:21" x14ac:dyDescent="0.25">
      <c r="T4684" s="98"/>
      <c r="U4684" s="99"/>
    </row>
    <row r="4685" spans="20:21" x14ac:dyDescent="0.25">
      <c r="T4685" s="98"/>
      <c r="U4685" s="99"/>
    </row>
    <row r="4686" spans="20:21" x14ac:dyDescent="0.25">
      <c r="T4686" s="98"/>
      <c r="U4686" s="99"/>
    </row>
    <row r="4687" spans="20:21" x14ac:dyDescent="0.25">
      <c r="T4687" s="98"/>
      <c r="U4687" s="99"/>
    </row>
    <row r="4688" spans="20:21" x14ac:dyDescent="0.25">
      <c r="T4688" s="98"/>
      <c r="U4688" s="99"/>
    </row>
    <row r="4689" spans="20:21" x14ac:dyDescent="0.25">
      <c r="T4689" s="98"/>
      <c r="U4689" s="99"/>
    </row>
    <row r="4690" spans="20:21" x14ac:dyDescent="0.25">
      <c r="T4690" s="98"/>
      <c r="U4690" s="99"/>
    </row>
    <row r="4691" spans="20:21" x14ac:dyDescent="0.25">
      <c r="T4691" s="98"/>
      <c r="U4691" s="99"/>
    </row>
    <row r="4692" spans="20:21" x14ac:dyDescent="0.25">
      <c r="T4692" s="98"/>
      <c r="U4692" s="99"/>
    </row>
    <row r="4693" spans="20:21" x14ac:dyDescent="0.25">
      <c r="T4693" s="98"/>
      <c r="U4693" s="99"/>
    </row>
    <row r="4694" spans="20:21" x14ac:dyDescent="0.25">
      <c r="T4694" s="98"/>
      <c r="U4694" s="99"/>
    </row>
    <row r="4695" spans="20:21" x14ac:dyDescent="0.25">
      <c r="T4695" s="98"/>
      <c r="U4695" s="99"/>
    </row>
    <row r="4696" spans="20:21" x14ac:dyDescent="0.25">
      <c r="T4696" s="98"/>
      <c r="U4696" s="99"/>
    </row>
    <row r="4697" spans="20:21" x14ac:dyDescent="0.25">
      <c r="T4697" s="98"/>
      <c r="U4697" s="99"/>
    </row>
    <row r="4698" spans="20:21" x14ac:dyDescent="0.25">
      <c r="T4698" s="98"/>
      <c r="U4698" s="99"/>
    </row>
    <row r="4699" spans="20:21" x14ac:dyDescent="0.25">
      <c r="T4699" s="98"/>
      <c r="U4699" s="99"/>
    </row>
    <row r="4700" spans="20:21" x14ac:dyDescent="0.25">
      <c r="T4700" s="98"/>
      <c r="U4700" s="99"/>
    </row>
    <row r="4701" spans="20:21" x14ac:dyDescent="0.25">
      <c r="T4701" s="98"/>
      <c r="U4701" s="99"/>
    </row>
    <row r="4702" spans="20:21" x14ac:dyDescent="0.25">
      <c r="T4702" s="98"/>
      <c r="U4702" s="99"/>
    </row>
    <row r="4703" spans="20:21" x14ac:dyDescent="0.25">
      <c r="T4703" s="98"/>
      <c r="U4703" s="99"/>
    </row>
    <row r="4704" spans="20:21" x14ac:dyDescent="0.25">
      <c r="T4704" s="98"/>
      <c r="U4704" s="99"/>
    </row>
    <row r="4705" spans="20:21" x14ac:dyDescent="0.25">
      <c r="T4705" s="98"/>
      <c r="U4705" s="99"/>
    </row>
    <row r="4706" spans="20:21" x14ac:dyDescent="0.25">
      <c r="T4706" s="98"/>
      <c r="U4706" s="99"/>
    </row>
    <row r="4707" spans="20:21" x14ac:dyDescent="0.25">
      <c r="T4707" s="98"/>
      <c r="U4707" s="99"/>
    </row>
    <row r="4708" spans="20:21" x14ac:dyDescent="0.25">
      <c r="T4708" s="98"/>
      <c r="U4708" s="99"/>
    </row>
    <row r="4709" spans="20:21" x14ac:dyDescent="0.25">
      <c r="T4709" s="98"/>
      <c r="U4709" s="99"/>
    </row>
    <row r="4710" spans="20:21" x14ac:dyDescent="0.25">
      <c r="T4710" s="98"/>
      <c r="U4710" s="99"/>
    </row>
    <row r="4711" spans="20:21" x14ac:dyDescent="0.25">
      <c r="T4711" s="98"/>
      <c r="U4711" s="99"/>
    </row>
    <row r="4712" spans="20:21" x14ac:dyDescent="0.25">
      <c r="T4712" s="98"/>
      <c r="U4712" s="99"/>
    </row>
    <row r="4713" spans="20:21" x14ac:dyDescent="0.25">
      <c r="T4713" s="98"/>
      <c r="U4713" s="99"/>
    </row>
    <row r="4714" spans="20:21" x14ac:dyDescent="0.25">
      <c r="T4714" s="98"/>
      <c r="U4714" s="99"/>
    </row>
    <row r="4715" spans="20:21" x14ac:dyDescent="0.25">
      <c r="T4715" s="98"/>
      <c r="U4715" s="99"/>
    </row>
    <row r="4716" spans="20:21" x14ac:dyDescent="0.25">
      <c r="T4716" s="98"/>
      <c r="U4716" s="99"/>
    </row>
    <row r="4717" spans="20:21" x14ac:dyDescent="0.25">
      <c r="T4717" s="98"/>
      <c r="U4717" s="99"/>
    </row>
    <row r="4718" spans="20:21" x14ac:dyDescent="0.25">
      <c r="T4718" s="98"/>
      <c r="U4718" s="99"/>
    </row>
    <row r="4719" spans="20:21" x14ac:dyDescent="0.25">
      <c r="T4719" s="98"/>
      <c r="U4719" s="99"/>
    </row>
    <row r="4720" spans="20:21" x14ac:dyDescent="0.25">
      <c r="T4720" s="98"/>
      <c r="U4720" s="99"/>
    </row>
    <row r="4721" spans="20:21" x14ac:dyDescent="0.25">
      <c r="T4721" s="98"/>
      <c r="U4721" s="99"/>
    </row>
    <row r="4722" spans="20:21" x14ac:dyDescent="0.25">
      <c r="T4722" s="98"/>
      <c r="U4722" s="99"/>
    </row>
    <row r="4723" spans="20:21" x14ac:dyDescent="0.25">
      <c r="T4723" s="98"/>
      <c r="U4723" s="99"/>
    </row>
    <row r="4724" spans="20:21" x14ac:dyDescent="0.25">
      <c r="T4724" s="98"/>
      <c r="U4724" s="99"/>
    </row>
    <row r="4725" spans="20:21" x14ac:dyDescent="0.25">
      <c r="T4725" s="98"/>
      <c r="U4725" s="99"/>
    </row>
    <row r="4726" spans="20:21" x14ac:dyDescent="0.25">
      <c r="T4726" s="98"/>
      <c r="U4726" s="99"/>
    </row>
    <row r="4727" spans="20:21" x14ac:dyDescent="0.25">
      <c r="T4727" s="98"/>
      <c r="U4727" s="99"/>
    </row>
    <row r="4728" spans="20:21" x14ac:dyDescent="0.25">
      <c r="T4728" s="98"/>
      <c r="U4728" s="99"/>
    </row>
    <row r="4729" spans="20:21" x14ac:dyDescent="0.25">
      <c r="T4729" s="98"/>
      <c r="U4729" s="99"/>
    </row>
    <row r="4730" spans="20:21" x14ac:dyDescent="0.25">
      <c r="T4730" s="98"/>
      <c r="U4730" s="99"/>
    </row>
    <row r="4731" spans="20:21" x14ac:dyDescent="0.25">
      <c r="T4731" s="98"/>
      <c r="U4731" s="99"/>
    </row>
    <row r="4732" spans="20:21" x14ac:dyDescent="0.25">
      <c r="T4732" s="98"/>
      <c r="U4732" s="99"/>
    </row>
    <row r="4733" spans="20:21" x14ac:dyDescent="0.25">
      <c r="T4733" s="98"/>
      <c r="U4733" s="99"/>
    </row>
    <row r="4734" spans="20:21" x14ac:dyDescent="0.25">
      <c r="T4734" s="98"/>
      <c r="U4734" s="99"/>
    </row>
    <row r="4735" spans="20:21" x14ac:dyDescent="0.25">
      <c r="T4735" s="98"/>
      <c r="U4735" s="99"/>
    </row>
    <row r="4736" spans="20:21" x14ac:dyDescent="0.25">
      <c r="T4736" s="98"/>
      <c r="U4736" s="99"/>
    </row>
    <row r="4737" spans="20:21" x14ac:dyDescent="0.25">
      <c r="T4737" s="98"/>
      <c r="U4737" s="99"/>
    </row>
    <row r="4738" spans="20:21" x14ac:dyDescent="0.25">
      <c r="T4738" s="98"/>
      <c r="U4738" s="99"/>
    </row>
    <row r="4739" spans="20:21" x14ac:dyDescent="0.25">
      <c r="T4739" s="98"/>
      <c r="U4739" s="99"/>
    </row>
    <row r="4740" spans="20:21" x14ac:dyDescent="0.25">
      <c r="T4740" s="98"/>
      <c r="U4740" s="99"/>
    </row>
    <row r="4741" spans="20:21" x14ac:dyDescent="0.25">
      <c r="T4741" s="98"/>
      <c r="U4741" s="99"/>
    </row>
    <row r="4742" spans="20:21" x14ac:dyDescent="0.25">
      <c r="T4742" s="98"/>
      <c r="U4742" s="99"/>
    </row>
    <row r="4743" spans="20:21" x14ac:dyDescent="0.25">
      <c r="T4743" s="98"/>
      <c r="U4743" s="99"/>
    </row>
    <row r="4744" spans="20:21" x14ac:dyDescent="0.25">
      <c r="T4744" s="98"/>
      <c r="U4744" s="99"/>
    </row>
    <row r="4745" spans="20:21" x14ac:dyDescent="0.25">
      <c r="T4745" s="98"/>
      <c r="U4745" s="99"/>
    </row>
    <row r="4746" spans="20:21" x14ac:dyDescent="0.25">
      <c r="T4746" s="98"/>
      <c r="U4746" s="99"/>
    </row>
    <row r="4747" spans="20:21" x14ac:dyDescent="0.25">
      <c r="T4747" s="98"/>
      <c r="U4747" s="99"/>
    </row>
    <row r="4748" spans="20:21" x14ac:dyDescent="0.25">
      <c r="T4748" s="98"/>
      <c r="U4748" s="99"/>
    </row>
    <row r="4749" spans="20:21" x14ac:dyDescent="0.25">
      <c r="T4749" s="98"/>
      <c r="U4749" s="99"/>
    </row>
    <row r="4750" spans="20:21" x14ac:dyDescent="0.25">
      <c r="T4750" s="98"/>
      <c r="U4750" s="99"/>
    </row>
    <row r="4751" spans="20:21" x14ac:dyDescent="0.25">
      <c r="T4751" s="98"/>
      <c r="U4751" s="99"/>
    </row>
    <row r="4752" spans="20:21" x14ac:dyDescent="0.25">
      <c r="T4752" s="98"/>
      <c r="U4752" s="99"/>
    </row>
    <row r="4753" spans="20:21" x14ac:dyDescent="0.25">
      <c r="T4753" s="98"/>
      <c r="U4753" s="99"/>
    </row>
    <row r="4754" spans="20:21" x14ac:dyDescent="0.25">
      <c r="T4754" s="98"/>
      <c r="U4754" s="99"/>
    </row>
    <row r="4755" spans="20:21" x14ac:dyDescent="0.25">
      <c r="T4755" s="98"/>
      <c r="U4755" s="99"/>
    </row>
    <row r="4756" spans="20:21" x14ac:dyDescent="0.25">
      <c r="T4756" s="98"/>
      <c r="U4756" s="99"/>
    </row>
    <row r="4757" spans="20:21" x14ac:dyDescent="0.25">
      <c r="T4757" s="98"/>
      <c r="U4757" s="99"/>
    </row>
    <row r="4758" spans="20:21" x14ac:dyDescent="0.25">
      <c r="T4758" s="98"/>
      <c r="U4758" s="99"/>
    </row>
    <row r="4759" spans="20:21" x14ac:dyDescent="0.25">
      <c r="T4759" s="98"/>
      <c r="U4759" s="99"/>
    </row>
    <row r="4760" spans="20:21" x14ac:dyDescent="0.25">
      <c r="T4760" s="98"/>
      <c r="U4760" s="99"/>
    </row>
    <row r="4761" spans="20:21" x14ac:dyDescent="0.25">
      <c r="T4761" s="98"/>
      <c r="U4761" s="99"/>
    </row>
    <row r="4762" spans="20:21" x14ac:dyDescent="0.25">
      <c r="T4762" s="98"/>
      <c r="U4762" s="99"/>
    </row>
    <row r="4763" spans="20:21" x14ac:dyDescent="0.25">
      <c r="T4763" s="98"/>
      <c r="U4763" s="99"/>
    </row>
    <row r="4764" spans="20:21" x14ac:dyDescent="0.25">
      <c r="T4764" s="98"/>
      <c r="U4764" s="99"/>
    </row>
    <row r="4765" spans="20:21" x14ac:dyDescent="0.25">
      <c r="T4765" s="98"/>
      <c r="U4765" s="99"/>
    </row>
    <row r="4766" spans="20:21" x14ac:dyDescent="0.25">
      <c r="T4766" s="98"/>
      <c r="U4766" s="99"/>
    </row>
    <row r="4767" spans="20:21" x14ac:dyDescent="0.25">
      <c r="T4767" s="98"/>
      <c r="U4767" s="99"/>
    </row>
    <row r="4768" spans="20:21" x14ac:dyDescent="0.25">
      <c r="T4768" s="98"/>
      <c r="U4768" s="99"/>
    </row>
    <row r="4769" spans="20:21" x14ac:dyDescent="0.25">
      <c r="T4769" s="98"/>
      <c r="U4769" s="99"/>
    </row>
    <row r="4770" spans="20:21" x14ac:dyDescent="0.25">
      <c r="T4770" s="98"/>
      <c r="U4770" s="99"/>
    </row>
    <row r="4771" spans="20:21" x14ac:dyDescent="0.25">
      <c r="T4771" s="98"/>
      <c r="U4771" s="99"/>
    </row>
    <row r="4772" spans="20:21" x14ac:dyDescent="0.25">
      <c r="T4772" s="98"/>
      <c r="U4772" s="99"/>
    </row>
    <row r="4773" spans="20:21" x14ac:dyDescent="0.25">
      <c r="T4773" s="98"/>
      <c r="U4773" s="99"/>
    </row>
    <row r="4774" spans="20:21" x14ac:dyDescent="0.25">
      <c r="T4774" s="98"/>
      <c r="U4774" s="99"/>
    </row>
    <row r="4775" spans="20:21" x14ac:dyDescent="0.25">
      <c r="T4775" s="98"/>
      <c r="U4775" s="99"/>
    </row>
    <row r="4776" spans="20:21" x14ac:dyDescent="0.25">
      <c r="T4776" s="98"/>
      <c r="U4776" s="99"/>
    </row>
    <row r="4777" spans="20:21" x14ac:dyDescent="0.25">
      <c r="T4777" s="98"/>
      <c r="U4777" s="99"/>
    </row>
    <row r="4778" spans="20:21" x14ac:dyDescent="0.25">
      <c r="T4778" s="98"/>
      <c r="U4778" s="99"/>
    </row>
    <row r="4779" spans="20:21" x14ac:dyDescent="0.25">
      <c r="T4779" s="98"/>
      <c r="U4779" s="99"/>
    </row>
    <row r="4780" spans="20:21" x14ac:dyDescent="0.25">
      <c r="T4780" s="98"/>
      <c r="U4780" s="99"/>
    </row>
    <row r="4781" spans="20:21" x14ac:dyDescent="0.25">
      <c r="T4781" s="98"/>
      <c r="U4781" s="99"/>
    </row>
    <row r="4782" spans="20:21" x14ac:dyDescent="0.25">
      <c r="T4782" s="98"/>
      <c r="U4782" s="99"/>
    </row>
    <row r="4783" spans="20:21" x14ac:dyDescent="0.25">
      <c r="T4783" s="98"/>
      <c r="U4783" s="99"/>
    </row>
    <row r="4784" spans="20:21" x14ac:dyDescent="0.25">
      <c r="T4784" s="98"/>
      <c r="U4784" s="99"/>
    </row>
    <row r="4785" spans="20:21" x14ac:dyDescent="0.25">
      <c r="T4785" s="98"/>
      <c r="U4785" s="99"/>
    </row>
    <row r="4786" spans="20:21" x14ac:dyDescent="0.25">
      <c r="T4786" s="98"/>
      <c r="U4786" s="99"/>
    </row>
    <row r="4787" spans="20:21" x14ac:dyDescent="0.25">
      <c r="T4787" s="98"/>
      <c r="U4787" s="99"/>
    </row>
    <row r="4788" spans="20:21" x14ac:dyDescent="0.25">
      <c r="T4788" s="98"/>
      <c r="U4788" s="99"/>
    </row>
    <row r="4789" spans="20:21" x14ac:dyDescent="0.25">
      <c r="T4789" s="98"/>
      <c r="U4789" s="99"/>
    </row>
    <row r="4790" spans="20:21" x14ac:dyDescent="0.25">
      <c r="T4790" s="98"/>
      <c r="U4790" s="99"/>
    </row>
    <row r="4791" spans="20:21" x14ac:dyDescent="0.25">
      <c r="T4791" s="98"/>
      <c r="U4791" s="99"/>
    </row>
    <row r="4792" spans="20:21" x14ac:dyDescent="0.25">
      <c r="T4792" s="98"/>
      <c r="U4792" s="99"/>
    </row>
    <row r="4793" spans="20:21" x14ac:dyDescent="0.25">
      <c r="T4793" s="98"/>
      <c r="U4793" s="99"/>
    </row>
    <row r="4794" spans="20:21" x14ac:dyDescent="0.25">
      <c r="T4794" s="98"/>
      <c r="U4794" s="99"/>
    </row>
    <row r="4795" spans="20:21" x14ac:dyDescent="0.25">
      <c r="T4795" s="98"/>
      <c r="U4795" s="99"/>
    </row>
    <row r="4796" spans="20:21" x14ac:dyDescent="0.25">
      <c r="T4796" s="98"/>
      <c r="U4796" s="99"/>
    </row>
    <row r="4797" spans="20:21" x14ac:dyDescent="0.25">
      <c r="T4797" s="98"/>
      <c r="U4797" s="99"/>
    </row>
    <row r="4798" spans="20:21" x14ac:dyDescent="0.25">
      <c r="T4798" s="98"/>
      <c r="U4798" s="99"/>
    </row>
    <row r="4799" spans="20:21" x14ac:dyDescent="0.25">
      <c r="T4799" s="98"/>
      <c r="U4799" s="99"/>
    </row>
    <row r="4800" spans="20:21" x14ac:dyDescent="0.25">
      <c r="T4800" s="98"/>
      <c r="U4800" s="99"/>
    </row>
    <row r="4801" spans="20:21" x14ac:dyDescent="0.25">
      <c r="T4801" s="98"/>
      <c r="U4801" s="99"/>
    </row>
    <row r="4802" spans="20:21" x14ac:dyDescent="0.25">
      <c r="T4802" s="98"/>
      <c r="U4802" s="99"/>
    </row>
    <row r="4803" spans="20:21" x14ac:dyDescent="0.25">
      <c r="T4803" s="98"/>
      <c r="U4803" s="99"/>
    </row>
    <row r="4804" spans="20:21" x14ac:dyDescent="0.25">
      <c r="T4804" s="98"/>
      <c r="U4804" s="99"/>
    </row>
    <row r="4805" spans="20:21" x14ac:dyDescent="0.25">
      <c r="T4805" s="98"/>
      <c r="U4805" s="99"/>
    </row>
    <row r="4806" spans="20:21" x14ac:dyDescent="0.25">
      <c r="T4806" s="98"/>
      <c r="U4806" s="99"/>
    </row>
    <row r="4807" spans="20:21" x14ac:dyDescent="0.25">
      <c r="T4807" s="98"/>
      <c r="U4807" s="99"/>
    </row>
    <row r="4808" spans="20:21" x14ac:dyDescent="0.25">
      <c r="T4808" s="98"/>
      <c r="U4808" s="99"/>
    </row>
    <row r="4809" spans="20:21" x14ac:dyDescent="0.25">
      <c r="T4809" s="98"/>
      <c r="U4809" s="99"/>
    </row>
    <row r="4810" spans="20:21" x14ac:dyDescent="0.25">
      <c r="T4810" s="98"/>
      <c r="U4810" s="99"/>
    </row>
    <row r="4811" spans="20:21" x14ac:dyDescent="0.25">
      <c r="T4811" s="98"/>
      <c r="U4811" s="99"/>
    </row>
    <row r="4812" spans="20:21" x14ac:dyDescent="0.25">
      <c r="T4812" s="98"/>
      <c r="U4812" s="99"/>
    </row>
    <row r="4813" spans="20:21" x14ac:dyDescent="0.25">
      <c r="T4813" s="98"/>
      <c r="U4813" s="99"/>
    </row>
    <row r="4814" spans="20:21" x14ac:dyDescent="0.25">
      <c r="T4814" s="98"/>
      <c r="U4814" s="99"/>
    </row>
    <row r="4815" spans="20:21" x14ac:dyDescent="0.25">
      <c r="T4815" s="98"/>
      <c r="U4815" s="99"/>
    </row>
    <row r="4816" spans="20:21" x14ac:dyDescent="0.25">
      <c r="T4816" s="98"/>
      <c r="U4816" s="99"/>
    </row>
    <row r="4817" spans="20:21" x14ac:dyDescent="0.25">
      <c r="T4817" s="98"/>
      <c r="U4817" s="99"/>
    </row>
    <row r="4818" spans="20:21" x14ac:dyDescent="0.25">
      <c r="T4818" s="98"/>
      <c r="U4818" s="99"/>
    </row>
    <row r="4819" spans="20:21" x14ac:dyDescent="0.25">
      <c r="T4819" s="98"/>
      <c r="U4819" s="99"/>
    </row>
    <row r="4820" spans="20:21" x14ac:dyDescent="0.25">
      <c r="T4820" s="98"/>
      <c r="U4820" s="99"/>
    </row>
    <row r="4821" spans="20:21" x14ac:dyDescent="0.25">
      <c r="T4821" s="98"/>
      <c r="U4821" s="99"/>
    </row>
    <row r="4822" spans="20:21" x14ac:dyDescent="0.25">
      <c r="T4822" s="98"/>
      <c r="U4822" s="99"/>
    </row>
    <row r="4823" spans="20:21" x14ac:dyDescent="0.25">
      <c r="T4823" s="98"/>
      <c r="U4823" s="99"/>
    </row>
    <row r="4824" spans="20:21" x14ac:dyDescent="0.25">
      <c r="T4824" s="98"/>
      <c r="U4824" s="99"/>
    </row>
    <row r="4825" spans="20:21" x14ac:dyDescent="0.25">
      <c r="T4825" s="98"/>
      <c r="U4825" s="99"/>
    </row>
    <row r="4826" spans="20:21" x14ac:dyDescent="0.25">
      <c r="T4826" s="98"/>
      <c r="U4826" s="99"/>
    </row>
    <row r="4827" spans="20:21" x14ac:dyDescent="0.25">
      <c r="T4827" s="98"/>
      <c r="U4827" s="99"/>
    </row>
    <row r="4828" spans="20:21" x14ac:dyDescent="0.25">
      <c r="T4828" s="98"/>
      <c r="U4828" s="99"/>
    </row>
    <row r="4829" spans="20:21" x14ac:dyDescent="0.25">
      <c r="T4829" s="98"/>
      <c r="U4829" s="99"/>
    </row>
    <row r="4830" spans="20:21" x14ac:dyDescent="0.25">
      <c r="T4830" s="98"/>
      <c r="U4830" s="99"/>
    </row>
    <row r="4831" spans="20:21" x14ac:dyDescent="0.25">
      <c r="T4831" s="98"/>
      <c r="U4831" s="99"/>
    </row>
    <row r="4832" spans="20:21" x14ac:dyDescent="0.25">
      <c r="T4832" s="98"/>
      <c r="U4832" s="99"/>
    </row>
    <row r="4833" spans="20:21" x14ac:dyDescent="0.25">
      <c r="T4833" s="98"/>
      <c r="U4833" s="99"/>
    </row>
    <row r="4834" spans="20:21" x14ac:dyDescent="0.25">
      <c r="T4834" s="98"/>
      <c r="U4834" s="99"/>
    </row>
    <row r="4835" spans="20:21" x14ac:dyDescent="0.25">
      <c r="T4835" s="98"/>
      <c r="U4835" s="99"/>
    </row>
    <row r="4836" spans="20:21" x14ac:dyDescent="0.25">
      <c r="T4836" s="98"/>
      <c r="U4836" s="99"/>
    </row>
    <row r="4837" spans="20:21" x14ac:dyDescent="0.25">
      <c r="T4837" s="98"/>
      <c r="U4837" s="99"/>
    </row>
    <row r="4838" spans="20:21" x14ac:dyDescent="0.25">
      <c r="T4838" s="98"/>
      <c r="U4838" s="99"/>
    </row>
    <row r="4839" spans="20:21" x14ac:dyDescent="0.25">
      <c r="T4839" s="98"/>
      <c r="U4839" s="99"/>
    </row>
    <row r="4840" spans="20:21" x14ac:dyDescent="0.25">
      <c r="T4840" s="98"/>
      <c r="U4840" s="99"/>
    </row>
    <row r="4841" spans="20:21" x14ac:dyDescent="0.25">
      <c r="T4841" s="98"/>
      <c r="U4841" s="99"/>
    </row>
    <row r="4842" spans="20:21" x14ac:dyDescent="0.25">
      <c r="T4842" s="98"/>
      <c r="U4842" s="99"/>
    </row>
    <row r="4843" spans="20:21" x14ac:dyDescent="0.25">
      <c r="T4843" s="98"/>
      <c r="U4843" s="99"/>
    </row>
    <row r="4844" spans="20:21" x14ac:dyDescent="0.25">
      <c r="T4844" s="98"/>
      <c r="U4844" s="99"/>
    </row>
    <row r="4845" spans="20:21" x14ac:dyDescent="0.25">
      <c r="T4845" s="98"/>
      <c r="U4845" s="99"/>
    </row>
    <row r="4846" spans="20:21" x14ac:dyDescent="0.25">
      <c r="T4846" s="98"/>
      <c r="U4846" s="99"/>
    </row>
    <row r="4847" spans="20:21" x14ac:dyDescent="0.25">
      <c r="T4847" s="98"/>
      <c r="U4847" s="99"/>
    </row>
    <row r="4848" spans="20:21" x14ac:dyDescent="0.25">
      <c r="T4848" s="98"/>
      <c r="U4848" s="99"/>
    </row>
    <row r="4849" spans="20:21" x14ac:dyDescent="0.25">
      <c r="T4849" s="98"/>
      <c r="U4849" s="99"/>
    </row>
    <row r="4850" spans="20:21" x14ac:dyDescent="0.25">
      <c r="T4850" s="98"/>
      <c r="U4850" s="99"/>
    </row>
    <row r="4851" spans="20:21" x14ac:dyDescent="0.25">
      <c r="T4851" s="98"/>
      <c r="U4851" s="99"/>
    </row>
    <row r="4852" spans="20:21" x14ac:dyDescent="0.25">
      <c r="T4852" s="98"/>
      <c r="U4852" s="99"/>
    </row>
    <row r="4853" spans="20:21" x14ac:dyDescent="0.25">
      <c r="T4853" s="98"/>
      <c r="U4853" s="99"/>
    </row>
    <row r="4854" spans="20:21" x14ac:dyDescent="0.25">
      <c r="T4854" s="98"/>
      <c r="U4854" s="99"/>
    </row>
    <row r="4855" spans="20:21" x14ac:dyDescent="0.25">
      <c r="T4855" s="98"/>
      <c r="U4855" s="99"/>
    </row>
    <row r="4856" spans="20:21" x14ac:dyDescent="0.25">
      <c r="T4856" s="98"/>
      <c r="U4856" s="99"/>
    </row>
    <row r="4857" spans="20:21" x14ac:dyDescent="0.25">
      <c r="T4857" s="98"/>
      <c r="U4857" s="99"/>
    </row>
    <row r="4858" spans="20:21" x14ac:dyDescent="0.25">
      <c r="T4858" s="98"/>
      <c r="U4858" s="99"/>
    </row>
    <row r="4859" spans="20:21" x14ac:dyDescent="0.25">
      <c r="T4859" s="98"/>
      <c r="U4859" s="99"/>
    </row>
    <row r="4860" spans="20:21" x14ac:dyDescent="0.25">
      <c r="T4860" s="98"/>
      <c r="U4860" s="99"/>
    </row>
    <row r="4861" spans="20:21" x14ac:dyDescent="0.25">
      <c r="T4861" s="98"/>
      <c r="U4861" s="99"/>
    </row>
    <row r="4862" spans="20:21" x14ac:dyDescent="0.25">
      <c r="T4862" s="98"/>
      <c r="U4862" s="99"/>
    </row>
    <row r="4863" spans="20:21" x14ac:dyDescent="0.25">
      <c r="T4863" s="98"/>
      <c r="U4863" s="99"/>
    </row>
    <row r="4864" spans="20:21" x14ac:dyDescent="0.25">
      <c r="T4864" s="98"/>
      <c r="U4864" s="99"/>
    </row>
    <row r="4865" spans="20:21" x14ac:dyDescent="0.25">
      <c r="T4865" s="98"/>
      <c r="U4865" s="99"/>
    </row>
    <row r="4866" spans="20:21" x14ac:dyDescent="0.25">
      <c r="T4866" s="98"/>
      <c r="U4866" s="99"/>
    </row>
    <row r="4867" spans="20:21" x14ac:dyDescent="0.25">
      <c r="T4867" s="98"/>
      <c r="U4867" s="99"/>
    </row>
    <row r="4868" spans="20:21" x14ac:dyDescent="0.25">
      <c r="T4868" s="98"/>
      <c r="U4868" s="99"/>
    </row>
    <row r="4869" spans="20:21" x14ac:dyDescent="0.25">
      <c r="T4869" s="98"/>
      <c r="U4869" s="99"/>
    </row>
    <row r="4870" spans="20:21" x14ac:dyDescent="0.25">
      <c r="T4870" s="98"/>
      <c r="U4870" s="99"/>
    </row>
    <row r="4871" spans="20:21" x14ac:dyDescent="0.25">
      <c r="T4871" s="98"/>
      <c r="U4871" s="99"/>
    </row>
    <row r="4872" spans="20:21" x14ac:dyDescent="0.25">
      <c r="T4872" s="98"/>
      <c r="U4872" s="99"/>
    </row>
    <row r="4873" spans="20:21" x14ac:dyDescent="0.25">
      <c r="T4873" s="98"/>
      <c r="U4873" s="99"/>
    </row>
    <row r="4874" spans="20:21" x14ac:dyDescent="0.25">
      <c r="T4874" s="98"/>
      <c r="U4874" s="99"/>
    </row>
    <row r="4875" spans="20:21" x14ac:dyDescent="0.25">
      <c r="T4875" s="98"/>
      <c r="U4875" s="99"/>
    </row>
    <row r="4876" spans="20:21" x14ac:dyDescent="0.25">
      <c r="T4876" s="98"/>
      <c r="U4876" s="99"/>
    </row>
    <row r="4877" spans="20:21" x14ac:dyDescent="0.25">
      <c r="T4877" s="98"/>
      <c r="U4877" s="99"/>
    </row>
    <row r="4878" spans="20:21" x14ac:dyDescent="0.25">
      <c r="T4878" s="98"/>
      <c r="U4878" s="99"/>
    </row>
    <row r="4879" spans="20:21" x14ac:dyDescent="0.25">
      <c r="T4879" s="98"/>
      <c r="U4879" s="99"/>
    </row>
    <row r="4880" spans="20:21" x14ac:dyDescent="0.25">
      <c r="T4880" s="98"/>
      <c r="U4880" s="99"/>
    </row>
    <row r="4881" spans="20:21" x14ac:dyDescent="0.25">
      <c r="T4881" s="98"/>
      <c r="U4881" s="99"/>
    </row>
    <row r="4882" spans="20:21" x14ac:dyDescent="0.25">
      <c r="T4882" s="98"/>
      <c r="U4882" s="99"/>
    </row>
    <row r="4883" spans="20:21" x14ac:dyDescent="0.25">
      <c r="T4883" s="98"/>
      <c r="U4883" s="99"/>
    </row>
    <row r="4884" spans="20:21" x14ac:dyDescent="0.25">
      <c r="T4884" s="98"/>
      <c r="U4884" s="99"/>
    </row>
    <row r="4885" spans="20:21" x14ac:dyDescent="0.25">
      <c r="T4885" s="98"/>
      <c r="U4885" s="99"/>
    </row>
    <row r="4886" spans="20:21" x14ac:dyDescent="0.25">
      <c r="T4886" s="98"/>
      <c r="U4886" s="99"/>
    </row>
    <row r="4887" spans="20:21" x14ac:dyDescent="0.25">
      <c r="T4887" s="98"/>
      <c r="U4887" s="99"/>
    </row>
    <row r="4888" spans="20:21" x14ac:dyDescent="0.25">
      <c r="T4888" s="98"/>
      <c r="U4888" s="99"/>
    </row>
    <row r="4889" spans="20:21" x14ac:dyDescent="0.25">
      <c r="T4889" s="98"/>
      <c r="U4889" s="99"/>
    </row>
    <row r="4890" spans="20:21" x14ac:dyDescent="0.25">
      <c r="T4890" s="98"/>
      <c r="U4890" s="99"/>
    </row>
    <row r="4891" spans="20:21" x14ac:dyDescent="0.25">
      <c r="T4891" s="98"/>
      <c r="U4891" s="99"/>
    </row>
    <row r="4892" spans="20:21" x14ac:dyDescent="0.25">
      <c r="T4892" s="98"/>
      <c r="U4892" s="99"/>
    </row>
    <row r="4893" spans="20:21" x14ac:dyDescent="0.25">
      <c r="T4893" s="98"/>
      <c r="U4893" s="99"/>
    </row>
    <row r="4894" spans="20:21" x14ac:dyDescent="0.25">
      <c r="T4894" s="98"/>
      <c r="U4894" s="99"/>
    </row>
    <row r="4895" spans="20:21" x14ac:dyDescent="0.25">
      <c r="T4895" s="98"/>
      <c r="U4895" s="99"/>
    </row>
    <row r="4896" spans="20:21" x14ac:dyDescent="0.25">
      <c r="T4896" s="98"/>
      <c r="U4896" s="99"/>
    </row>
    <row r="4897" spans="20:21" x14ac:dyDescent="0.25">
      <c r="T4897" s="98"/>
      <c r="U4897" s="99"/>
    </row>
    <row r="4898" spans="20:21" x14ac:dyDescent="0.25">
      <c r="T4898" s="98"/>
      <c r="U4898" s="99"/>
    </row>
    <row r="4899" spans="20:21" x14ac:dyDescent="0.25">
      <c r="T4899" s="98"/>
      <c r="U4899" s="99"/>
    </row>
    <row r="4900" spans="20:21" x14ac:dyDescent="0.25">
      <c r="T4900" s="98"/>
      <c r="U4900" s="99"/>
    </row>
    <row r="4901" spans="20:21" x14ac:dyDescent="0.25">
      <c r="T4901" s="98"/>
      <c r="U4901" s="99"/>
    </row>
    <row r="4902" spans="20:21" x14ac:dyDescent="0.25">
      <c r="T4902" s="98"/>
      <c r="U4902" s="99"/>
    </row>
    <row r="4903" spans="20:21" x14ac:dyDescent="0.25">
      <c r="T4903" s="98"/>
      <c r="U4903" s="99"/>
    </row>
    <row r="4904" spans="20:21" x14ac:dyDescent="0.25">
      <c r="T4904" s="98"/>
      <c r="U4904" s="99"/>
    </row>
    <row r="4905" spans="20:21" x14ac:dyDescent="0.25">
      <c r="T4905" s="98"/>
      <c r="U4905" s="99"/>
    </row>
    <row r="4906" spans="20:21" x14ac:dyDescent="0.25">
      <c r="T4906" s="98"/>
      <c r="U4906" s="99"/>
    </row>
    <row r="4907" spans="20:21" x14ac:dyDescent="0.25">
      <c r="T4907" s="98"/>
      <c r="U4907" s="99"/>
    </row>
    <row r="4908" spans="20:21" x14ac:dyDescent="0.25">
      <c r="T4908" s="98"/>
      <c r="U4908" s="99"/>
    </row>
    <row r="4909" spans="20:21" x14ac:dyDescent="0.25">
      <c r="T4909" s="98"/>
      <c r="U4909" s="99"/>
    </row>
    <row r="4910" spans="20:21" x14ac:dyDescent="0.25">
      <c r="T4910" s="98"/>
      <c r="U4910" s="99"/>
    </row>
    <row r="4911" spans="20:21" x14ac:dyDescent="0.25">
      <c r="T4911" s="98"/>
      <c r="U4911" s="99"/>
    </row>
    <row r="4912" spans="20:21" x14ac:dyDescent="0.25">
      <c r="T4912" s="98"/>
      <c r="U4912" s="99"/>
    </row>
    <row r="4913" spans="20:21" x14ac:dyDescent="0.25">
      <c r="T4913" s="98"/>
      <c r="U4913" s="99"/>
    </row>
    <row r="4914" spans="20:21" x14ac:dyDescent="0.25">
      <c r="T4914" s="98"/>
      <c r="U4914" s="99"/>
    </row>
    <row r="4915" spans="20:21" x14ac:dyDescent="0.25">
      <c r="T4915" s="98"/>
      <c r="U4915" s="99"/>
    </row>
    <row r="4916" spans="20:21" x14ac:dyDescent="0.25">
      <c r="T4916" s="98"/>
      <c r="U4916" s="99"/>
    </row>
    <row r="4917" spans="20:21" x14ac:dyDescent="0.25">
      <c r="T4917" s="98"/>
      <c r="U4917" s="99"/>
    </row>
    <row r="4918" spans="20:21" x14ac:dyDescent="0.25">
      <c r="T4918" s="98"/>
      <c r="U4918" s="99"/>
    </row>
    <row r="4919" spans="20:21" x14ac:dyDescent="0.25">
      <c r="T4919" s="98"/>
      <c r="U4919" s="99"/>
    </row>
    <row r="4920" spans="20:21" x14ac:dyDescent="0.25">
      <c r="T4920" s="98"/>
      <c r="U4920" s="99"/>
    </row>
    <row r="4921" spans="20:21" x14ac:dyDescent="0.25">
      <c r="T4921" s="98"/>
      <c r="U4921" s="99"/>
    </row>
    <row r="4922" spans="20:21" x14ac:dyDescent="0.25">
      <c r="T4922" s="98"/>
      <c r="U4922" s="99"/>
    </row>
    <row r="4923" spans="20:21" x14ac:dyDescent="0.25">
      <c r="T4923" s="98"/>
      <c r="U4923" s="99"/>
    </row>
    <row r="4924" spans="20:21" x14ac:dyDescent="0.25">
      <c r="T4924" s="98"/>
      <c r="U4924" s="99"/>
    </row>
    <row r="4925" spans="20:21" x14ac:dyDescent="0.25">
      <c r="T4925" s="98"/>
      <c r="U4925" s="99"/>
    </row>
    <row r="4926" spans="20:21" x14ac:dyDescent="0.25">
      <c r="T4926" s="98"/>
      <c r="U4926" s="99"/>
    </row>
    <row r="4927" spans="20:21" x14ac:dyDescent="0.25">
      <c r="T4927" s="98"/>
      <c r="U4927" s="99"/>
    </row>
    <row r="4928" spans="20:21" x14ac:dyDescent="0.25">
      <c r="T4928" s="98"/>
      <c r="U4928" s="99"/>
    </row>
    <row r="4929" spans="20:21" x14ac:dyDescent="0.25">
      <c r="T4929" s="98"/>
      <c r="U4929" s="99"/>
    </row>
    <row r="4930" spans="20:21" x14ac:dyDescent="0.25">
      <c r="T4930" s="98"/>
      <c r="U4930" s="99"/>
    </row>
    <row r="4931" spans="20:21" x14ac:dyDescent="0.25">
      <c r="T4931" s="98"/>
      <c r="U4931" s="99"/>
    </row>
    <row r="4932" spans="20:21" x14ac:dyDescent="0.25">
      <c r="T4932" s="98"/>
      <c r="U4932" s="99"/>
    </row>
    <row r="4933" spans="20:21" x14ac:dyDescent="0.25">
      <c r="T4933" s="98"/>
      <c r="U4933" s="99"/>
    </row>
    <row r="4934" spans="20:21" x14ac:dyDescent="0.25">
      <c r="T4934" s="98"/>
      <c r="U4934" s="99"/>
    </row>
    <row r="4935" spans="20:21" x14ac:dyDescent="0.25">
      <c r="T4935" s="98"/>
      <c r="U4935" s="99"/>
    </row>
    <row r="4936" spans="20:21" x14ac:dyDescent="0.25">
      <c r="T4936" s="98"/>
      <c r="U4936" s="99"/>
    </row>
    <row r="4937" spans="20:21" x14ac:dyDescent="0.25">
      <c r="T4937" s="98"/>
      <c r="U4937" s="99"/>
    </row>
    <row r="4938" spans="20:21" x14ac:dyDescent="0.25">
      <c r="T4938" s="98"/>
      <c r="U4938" s="99"/>
    </row>
    <row r="4939" spans="20:21" x14ac:dyDescent="0.25">
      <c r="T4939" s="98"/>
      <c r="U4939" s="99"/>
    </row>
    <row r="4940" spans="20:21" x14ac:dyDescent="0.25">
      <c r="T4940" s="98"/>
      <c r="U4940" s="99"/>
    </row>
    <row r="4941" spans="20:21" x14ac:dyDescent="0.25">
      <c r="T4941" s="98"/>
      <c r="U4941" s="99"/>
    </row>
    <row r="4942" spans="20:21" x14ac:dyDescent="0.25">
      <c r="T4942" s="98"/>
      <c r="U4942" s="99"/>
    </row>
    <row r="4943" spans="20:21" x14ac:dyDescent="0.25">
      <c r="T4943" s="98"/>
      <c r="U4943" s="99"/>
    </row>
    <row r="4944" spans="20:21" x14ac:dyDescent="0.25">
      <c r="T4944" s="98"/>
      <c r="U4944" s="99"/>
    </row>
    <row r="4945" spans="20:21" x14ac:dyDescent="0.25">
      <c r="T4945" s="98"/>
      <c r="U4945" s="99"/>
    </row>
    <row r="4946" spans="20:21" x14ac:dyDescent="0.25">
      <c r="T4946" s="98"/>
      <c r="U4946" s="99"/>
    </row>
    <row r="4947" spans="20:21" x14ac:dyDescent="0.25">
      <c r="T4947" s="98"/>
      <c r="U4947" s="99"/>
    </row>
    <row r="4948" spans="20:21" x14ac:dyDescent="0.25">
      <c r="T4948" s="98"/>
      <c r="U4948" s="99"/>
    </row>
    <row r="4949" spans="20:21" x14ac:dyDescent="0.25">
      <c r="T4949" s="98"/>
      <c r="U4949" s="99"/>
    </row>
    <row r="4950" spans="20:21" x14ac:dyDescent="0.25">
      <c r="T4950" s="98"/>
      <c r="U4950" s="99"/>
    </row>
    <row r="4951" spans="20:21" x14ac:dyDescent="0.25">
      <c r="T4951" s="98"/>
      <c r="U4951" s="99"/>
    </row>
    <row r="4952" spans="20:21" x14ac:dyDescent="0.25">
      <c r="T4952" s="98"/>
      <c r="U4952" s="99"/>
    </row>
    <row r="4953" spans="20:21" x14ac:dyDescent="0.25">
      <c r="T4953" s="98"/>
      <c r="U4953" s="99"/>
    </row>
    <row r="4954" spans="20:21" x14ac:dyDescent="0.25">
      <c r="T4954" s="98"/>
      <c r="U4954" s="99"/>
    </row>
    <row r="4955" spans="20:21" x14ac:dyDescent="0.25">
      <c r="T4955" s="98"/>
      <c r="U4955" s="99"/>
    </row>
    <row r="4956" spans="20:21" x14ac:dyDescent="0.25">
      <c r="T4956" s="98"/>
      <c r="U4956" s="99"/>
    </row>
    <row r="4957" spans="20:21" x14ac:dyDescent="0.25">
      <c r="T4957" s="98"/>
      <c r="U4957" s="99"/>
    </row>
    <row r="4958" spans="20:21" x14ac:dyDescent="0.25">
      <c r="T4958" s="98"/>
      <c r="U4958" s="99"/>
    </row>
    <row r="4959" spans="20:21" x14ac:dyDescent="0.25">
      <c r="T4959" s="98"/>
      <c r="U4959" s="99"/>
    </row>
    <row r="4960" spans="20:21" x14ac:dyDescent="0.25">
      <c r="T4960" s="98"/>
      <c r="U4960" s="99"/>
    </row>
    <row r="4961" spans="20:21" x14ac:dyDescent="0.25">
      <c r="T4961" s="98"/>
      <c r="U4961" s="99"/>
    </row>
    <row r="4962" spans="20:21" x14ac:dyDescent="0.25">
      <c r="T4962" s="98"/>
      <c r="U4962" s="99"/>
    </row>
    <row r="4963" spans="20:21" x14ac:dyDescent="0.25">
      <c r="T4963" s="98"/>
      <c r="U4963" s="99"/>
    </row>
    <row r="4964" spans="20:21" x14ac:dyDescent="0.25">
      <c r="T4964" s="98"/>
      <c r="U4964" s="99"/>
    </row>
    <row r="4965" spans="20:21" x14ac:dyDescent="0.25">
      <c r="T4965" s="98"/>
      <c r="U4965" s="99"/>
    </row>
    <row r="4966" spans="20:21" x14ac:dyDescent="0.25">
      <c r="T4966" s="98"/>
      <c r="U4966" s="99"/>
    </row>
    <row r="4967" spans="20:21" x14ac:dyDescent="0.25">
      <c r="T4967" s="98"/>
      <c r="U4967" s="99"/>
    </row>
    <row r="4968" spans="20:21" x14ac:dyDescent="0.25">
      <c r="T4968" s="98"/>
      <c r="U4968" s="99"/>
    </row>
    <row r="4969" spans="20:21" x14ac:dyDescent="0.25">
      <c r="T4969" s="98"/>
      <c r="U4969" s="99"/>
    </row>
    <row r="4970" spans="20:21" x14ac:dyDescent="0.25">
      <c r="T4970" s="98"/>
      <c r="U4970" s="99"/>
    </row>
    <row r="4971" spans="20:21" x14ac:dyDescent="0.25">
      <c r="T4971" s="98"/>
      <c r="U4971" s="99"/>
    </row>
    <row r="4972" spans="20:21" x14ac:dyDescent="0.25">
      <c r="T4972" s="98"/>
      <c r="U4972" s="99"/>
    </row>
    <row r="4973" spans="20:21" x14ac:dyDescent="0.25">
      <c r="T4973" s="98"/>
      <c r="U4973" s="99"/>
    </row>
    <row r="4974" spans="20:21" x14ac:dyDescent="0.25">
      <c r="T4974" s="98"/>
      <c r="U4974" s="99"/>
    </row>
    <row r="4975" spans="20:21" x14ac:dyDescent="0.25">
      <c r="T4975" s="98"/>
      <c r="U4975" s="99"/>
    </row>
    <row r="4976" spans="20:21" x14ac:dyDescent="0.25">
      <c r="T4976" s="98"/>
      <c r="U4976" s="99"/>
    </row>
    <row r="4977" spans="20:21" x14ac:dyDescent="0.25">
      <c r="T4977" s="98"/>
      <c r="U4977" s="99"/>
    </row>
    <row r="4978" spans="20:21" x14ac:dyDescent="0.25">
      <c r="T4978" s="98"/>
      <c r="U4978" s="99"/>
    </row>
    <row r="4979" spans="20:21" x14ac:dyDescent="0.25">
      <c r="T4979" s="98"/>
      <c r="U4979" s="99"/>
    </row>
    <row r="4980" spans="20:21" x14ac:dyDescent="0.25">
      <c r="T4980" s="98"/>
      <c r="U4980" s="99"/>
    </row>
    <row r="4981" spans="20:21" x14ac:dyDescent="0.25">
      <c r="T4981" s="98"/>
      <c r="U4981" s="99"/>
    </row>
    <row r="4982" spans="20:21" x14ac:dyDescent="0.25">
      <c r="T4982" s="98"/>
      <c r="U4982" s="99"/>
    </row>
    <row r="4983" spans="20:21" x14ac:dyDescent="0.25">
      <c r="T4983" s="98"/>
      <c r="U4983" s="99"/>
    </row>
    <row r="4984" spans="20:21" x14ac:dyDescent="0.25">
      <c r="T4984" s="98"/>
      <c r="U4984" s="99"/>
    </row>
    <row r="4985" spans="20:21" x14ac:dyDescent="0.25">
      <c r="T4985" s="98"/>
      <c r="U4985" s="99"/>
    </row>
    <row r="4986" spans="20:21" x14ac:dyDescent="0.25">
      <c r="T4986" s="98"/>
      <c r="U4986" s="99"/>
    </row>
    <row r="4987" spans="20:21" x14ac:dyDescent="0.25">
      <c r="T4987" s="98"/>
      <c r="U4987" s="99"/>
    </row>
    <row r="4988" spans="20:21" x14ac:dyDescent="0.25">
      <c r="T4988" s="98"/>
      <c r="U4988" s="99"/>
    </row>
    <row r="4989" spans="20:21" x14ac:dyDescent="0.25">
      <c r="T4989" s="98"/>
      <c r="U4989" s="99"/>
    </row>
    <row r="4990" spans="20:21" x14ac:dyDescent="0.25">
      <c r="T4990" s="98"/>
      <c r="U4990" s="99"/>
    </row>
    <row r="4991" spans="20:21" x14ac:dyDescent="0.25">
      <c r="T4991" s="98"/>
      <c r="U4991" s="99"/>
    </row>
    <row r="4992" spans="20:21" x14ac:dyDescent="0.25">
      <c r="T4992" s="98"/>
      <c r="U4992" s="99"/>
    </row>
    <row r="4993" spans="20:21" x14ac:dyDescent="0.25">
      <c r="T4993" s="98"/>
      <c r="U4993" s="99"/>
    </row>
    <row r="4994" spans="20:21" x14ac:dyDescent="0.25">
      <c r="T4994" s="98"/>
      <c r="U4994" s="99"/>
    </row>
    <row r="4995" spans="20:21" x14ac:dyDescent="0.25">
      <c r="T4995" s="98"/>
      <c r="U4995" s="99"/>
    </row>
    <row r="4996" spans="20:21" x14ac:dyDescent="0.25">
      <c r="T4996" s="98"/>
      <c r="U4996" s="99"/>
    </row>
    <row r="4997" spans="20:21" x14ac:dyDescent="0.25">
      <c r="T4997" s="98"/>
      <c r="U4997" s="99"/>
    </row>
    <row r="4998" spans="20:21" x14ac:dyDescent="0.25">
      <c r="T4998" s="98"/>
      <c r="U4998" s="99"/>
    </row>
    <row r="4999" spans="20:21" x14ac:dyDescent="0.25">
      <c r="T4999" s="98"/>
      <c r="U4999" s="99"/>
    </row>
    <row r="5000" spans="20:21" x14ac:dyDescent="0.25">
      <c r="T5000" s="98"/>
      <c r="U5000" s="99"/>
    </row>
    <row r="5001" spans="20:21" x14ac:dyDescent="0.25">
      <c r="T5001" s="98"/>
      <c r="U5001" s="99"/>
    </row>
    <row r="5002" spans="20:21" x14ac:dyDescent="0.25">
      <c r="T5002" s="98"/>
      <c r="U5002" s="99"/>
    </row>
    <row r="5003" spans="20:21" x14ac:dyDescent="0.25">
      <c r="T5003" s="98"/>
      <c r="U5003" s="99"/>
    </row>
    <row r="5004" spans="20:21" x14ac:dyDescent="0.25">
      <c r="T5004" s="98"/>
      <c r="U5004" s="99"/>
    </row>
    <row r="5005" spans="20:21" x14ac:dyDescent="0.25">
      <c r="T5005" s="98"/>
      <c r="U5005" s="99"/>
    </row>
    <row r="5006" spans="20:21" x14ac:dyDescent="0.25">
      <c r="T5006" s="98"/>
      <c r="U5006" s="99"/>
    </row>
    <row r="5007" spans="20:21" x14ac:dyDescent="0.25">
      <c r="T5007" s="98"/>
      <c r="U5007" s="99"/>
    </row>
    <row r="5008" spans="20:21" x14ac:dyDescent="0.25">
      <c r="T5008" s="98"/>
      <c r="U5008" s="99"/>
    </row>
    <row r="5009" spans="20:21" x14ac:dyDescent="0.25">
      <c r="T5009" s="98"/>
      <c r="U5009" s="99"/>
    </row>
    <row r="5010" spans="20:21" x14ac:dyDescent="0.25">
      <c r="T5010" s="98"/>
      <c r="U5010" s="99"/>
    </row>
    <row r="5011" spans="20:21" x14ac:dyDescent="0.25">
      <c r="T5011" s="98"/>
      <c r="U5011" s="99"/>
    </row>
    <row r="5012" spans="20:21" x14ac:dyDescent="0.25">
      <c r="T5012" s="98"/>
    </row>
    <row r="5013" spans="20:21" x14ac:dyDescent="0.25">
      <c r="T5013" s="98"/>
    </row>
    <row r="5014" spans="20:21" x14ac:dyDescent="0.25">
      <c r="T5014" s="98"/>
    </row>
    <row r="5015" spans="20:21" x14ac:dyDescent="0.25">
      <c r="T5015" s="98"/>
    </row>
    <row r="5016" spans="20:21" x14ac:dyDescent="0.25">
      <c r="T5016" s="98"/>
    </row>
    <row r="5017" spans="20:21" x14ac:dyDescent="0.25">
      <c r="T5017" s="98"/>
    </row>
    <row r="5018" spans="20:21" x14ac:dyDescent="0.25">
      <c r="T5018" s="98"/>
    </row>
    <row r="5019" spans="20:21" x14ac:dyDescent="0.25">
      <c r="T5019" s="98"/>
    </row>
    <row r="5020" spans="20:21" x14ac:dyDescent="0.25">
      <c r="T5020" s="98"/>
    </row>
    <row r="5021" spans="20:21" x14ac:dyDescent="0.25">
      <c r="T5021" s="98"/>
    </row>
    <row r="5022" spans="20:21" x14ac:dyDescent="0.25">
      <c r="T5022" s="98"/>
    </row>
    <row r="5023" spans="20:21" x14ac:dyDescent="0.25">
      <c r="T5023" s="98"/>
    </row>
    <row r="5024" spans="20:21" x14ac:dyDescent="0.25">
      <c r="T5024" s="98"/>
    </row>
    <row r="5025" spans="20:20" x14ac:dyDescent="0.25">
      <c r="T5025" s="98"/>
    </row>
    <row r="5026" spans="20:20" x14ac:dyDescent="0.25">
      <c r="T5026" s="98"/>
    </row>
    <row r="5027" spans="20:20" x14ac:dyDescent="0.25">
      <c r="T5027" s="98"/>
    </row>
    <row r="5028" spans="20:20" x14ac:dyDescent="0.25">
      <c r="T5028" s="98"/>
    </row>
    <row r="5029" spans="20:20" x14ac:dyDescent="0.25">
      <c r="T5029" s="98"/>
    </row>
    <row r="5030" spans="20:20" x14ac:dyDescent="0.25">
      <c r="T5030" s="98"/>
    </row>
    <row r="5031" spans="20:20" x14ac:dyDescent="0.25">
      <c r="T5031" s="98"/>
    </row>
    <row r="5032" spans="20:20" x14ac:dyDescent="0.25">
      <c r="T5032" s="98"/>
    </row>
    <row r="5033" spans="20:20" x14ac:dyDescent="0.25">
      <c r="T5033" s="98"/>
    </row>
    <row r="5034" spans="20:20" x14ac:dyDescent="0.25">
      <c r="T5034" s="98"/>
    </row>
    <row r="5035" spans="20:20" x14ac:dyDescent="0.25">
      <c r="T5035" s="98"/>
    </row>
    <row r="5036" spans="20:20" x14ac:dyDescent="0.25">
      <c r="T5036" s="98"/>
    </row>
    <row r="5037" spans="20:20" x14ac:dyDescent="0.25">
      <c r="T5037" s="98"/>
    </row>
    <row r="5038" spans="20:20" x14ac:dyDescent="0.25">
      <c r="T5038" s="98"/>
    </row>
    <row r="5039" spans="20:20" x14ac:dyDescent="0.25">
      <c r="T5039" s="98"/>
    </row>
    <row r="5040" spans="20:20" x14ac:dyDescent="0.25">
      <c r="T5040" s="98"/>
    </row>
    <row r="5041" spans="20:20" x14ac:dyDescent="0.25">
      <c r="T5041" s="98"/>
    </row>
    <row r="5042" spans="20:20" x14ac:dyDescent="0.25">
      <c r="T5042" s="98"/>
    </row>
    <row r="5043" spans="20:20" x14ac:dyDescent="0.25">
      <c r="T5043" s="98"/>
    </row>
    <row r="5044" spans="20:20" x14ac:dyDescent="0.25">
      <c r="T5044" s="98"/>
    </row>
    <row r="5045" spans="20:20" x14ac:dyDescent="0.25">
      <c r="T5045" s="98"/>
    </row>
    <row r="5046" spans="20:20" x14ac:dyDescent="0.25">
      <c r="T5046" s="98"/>
    </row>
    <row r="5047" spans="20:20" x14ac:dyDescent="0.25">
      <c r="T5047" s="98"/>
    </row>
    <row r="5048" spans="20:20" x14ac:dyDescent="0.25">
      <c r="T5048" s="98"/>
    </row>
    <row r="5049" spans="20:20" x14ac:dyDescent="0.25">
      <c r="T5049" s="98"/>
    </row>
    <row r="5050" spans="20:20" x14ac:dyDescent="0.25">
      <c r="T5050" s="98"/>
    </row>
    <row r="5051" spans="20:20" x14ac:dyDescent="0.25">
      <c r="T5051" s="98"/>
    </row>
    <row r="5052" spans="20:20" x14ac:dyDescent="0.25">
      <c r="T5052" s="98"/>
    </row>
    <row r="5053" spans="20:20" x14ac:dyDescent="0.25">
      <c r="T5053" s="98"/>
    </row>
    <row r="5054" spans="20:20" x14ac:dyDescent="0.25">
      <c r="T5054" s="98"/>
    </row>
    <row r="5055" spans="20:20" x14ac:dyDescent="0.25">
      <c r="T5055" s="98"/>
    </row>
    <row r="5056" spans="20:20" x14ac:dyDescent="0.25">
      <c r="T5056" s="98"/>
    </row>
    <row r="5057" spans="20:20" x14ac:dyDescent="0.25">
      <c r="T5057" s="98"/>
    </row>
    <row r="5058" spans="20:20" x14ac:dyDescent="0.25">
      <c r="T5058" s="98"/>
    </row>
    <row r="5059" spans="20:20" x14ac:dyDescent="0.25">
      <c r="T5059" s="98"/>
    </row>
    <row r="5060" spans="20:20" x14ac:dyDescent="0.25">
      <c r="T5060" s="98"/>
    </row>
    <row r="5061" spans="20:20" x14ac:dyDescent="0.25">
      <c r="T5061" s="98"/>
    </row>
    <row r="5062" spans="20:20" x14ac:dyDescent="0.25">
      <c r="T5062" s="98"/>
    </row>
    <row r="5063" spans="20:20" x14ac:dyDescent="0.25">
      <c r="T5063" s="98"/>
    </row>
    <row r="5064" spans="20:20" x14ac:dyDescent="0.25">
      <c r="T5064" s="98"/>
    </row>
    <row r="5065" spans="20:20" x14ac:dyDescent="0.25">
      <c r="T5065" s="98"/>
    </row>
    <row r="5066" spans="20:20" x14ac:dyDescent="0.25">
      <c r="T5066" s="98"/>
    </row>
    <row r="5067" spans="20:20" x14ac:dyDescent="0.25">
      <c r="T5067" s="98"/>
    </row>
    <row r="5068" spans="20:20" x14ac:dyDescent="0.25">
      <c r="T5068" s="98"/>
    </row>
    <row r="5069" spans="20:20" x14ac:dyDescent="0.25">
      <c r="T5069" s="98"/>
    </row>
    <row r="5070" spans="20:20" x14ac:dyDescent="0.25">
      <c r="T5070" s="98"/>
    </row>
    <row r="5071" spans="20:20" x14ac:dyDescent="0.25">
      <c r="T5071" s="98"/>
    </row>
    <row r="5072" spans="20:20" x14ac:dyDescent="0.25">
      <c r="T5072" s="98"/>
    </row>
    <row r="5073" spans="20:20" x14ac:dyDescent="0.25">
      <c r="T5073" s="98"/>
    </row>
    <row r="5074" spans="20:20" x14ac:dyDescent="0.25">
      <c r="T5074" s="98"/>
    </row>
    <row r="5075" spans="20:20" x14ac:dyDescent="0.25">
      <c r="T5075" s="98"/>
    </row>
    <row r="5076" spans="20:20" x14ac:dyDescent="0.25">
      <c r="T5076" s="98"/>
    </row>
    <row r="5077" spans="20:20" x14ac:dyDescent="0.25">
      <c r="T5077" s="98"/>
    </row>
    <row r="5078" spans="20:20" x14ac:dyDescent="0.25">
      <c r="T5078" s="98"/>
    </row>
    <row r="5079" spans="20:20" x14ac:dyDescent="0.25">
      <c r="T5079" s="98"/>
    </row>
    <row r="5080" spans="20:20" x14ac:dyDescent="0.25">
      <c r="T5080" s="98"/>
    </row>
    <row r="5081" spans="20:20" x14ac:dyDescent="0.25">
      <c r="T5081" s="98"/>
    </row>
    <row r="5082" spans="20:20" x14ac:dyDescent="0.25">
      <c r="T5082" s="98"/>
    </row>
    <row r="5083" spans="20:20" x14ac:dyDescent="0.25">
      <c r="T5083" s="98"/>
    </row>
    <row r="5084" spans="20:20" x14ac:dyDescent="0.25">
      <c r="T5084" s="98"/>
    </row>
    <row r="5085" spans="20:20" x14ac:dyDescent="0.25">
      <c r="T5085" s="98"/>
    </row>
    <row r="5086" spans="20:20" x14ac:dyDescent="0.25">
      <c r="T5086" s="98"/>
    </row>
    <row r="5087" spans="20:20" x14ac:dyDescent="0.25">
      <c r="T5087" s="98"/>
    </row>
    <row r="5088" spans="20:20" x14ac:dyDescent="0.25">
      <c r="T5088" s="98"/>
    </row>
    <row r="5089" spans="20:20" x14ac:dyDescent="0.25">
      <c r="T5089" s="98"/>
    </row>
    <row r="5090" spans="20:20" x14ac:dyDescent="0.25">
      <c r="T5090" s="98"/>
    </row>
    <row r="5091" spans="20:20" x14ac:dyDescent="0.25">
      <c r="T5091" s="98"/>
    </row>
    <row r="5092" spans="20:20" x14ac:dyDescent="0.25">
      <c r="T5092" s="98"/>
    </row>
    <row r="5093" spans="20:20" x14ac:dyDescent="0.25">
      <c r="T5093" s="98"/>
    </row>
    <row r="5094" spans="20:20" x14ac:dyDescent="0.25">
      <c r="T5094" s="98"/>
    </row>
    <row r="5095" spans="20:20" x14ac:dyDescent="0.25">
      <c r="T5095" s="98"/>
    </row>
    <row r="5096" spans="20:20" x14ac:dyDescent="0.25">
      <c r="T5096" s="98"/>
    </row>
    <row r="5097" spans="20:20" x14ac:dyDescent="0.25">
      <c r="T5097" s="98"/>
    </row>
    <row r="5098" spans="20:20" x14ac:dyDescent="0.25">
      <c r="T5098" s="98"/>
    </row>
    <row r="5099" spans="20:20" x14ac:dyDescent="0.25">
      <c r="T5099" s="98"/>
    </row>
    <row r="5100" spans="20:20" x14ac:dyDescent="0.25">
      <c r="T5100" s="98"/>
    </row>
    <row r="5101" spans="20:20" x14ac:dyDescent="0.25">
      <c r="T5101" s="98"/>
    </row>
    <row r="5102" spans="20:20" x14ac:dyDescent="0.25">
      <c r="T5102" s="98"/>
    </row>
    <row r="5103" spans="20:20" x14ac:dyDescent="0.25">
      <c r="T5103" s="98"/>
    </row>
    <row r="5104" spans="20:20" x14ac:dyDescent="0.25">
      <c r="T5104" s="98"/>
    </row>
    <row r="5105" spans="20:20" x14ac:dyDescent="0.25">
      <c r="T5105" s="98"/>
    </row>
    <row r="5106" spans="20:20" x14ac:dyDescent="0.25">
      <c r="T5106" s="98"/>
    </row>
    <row r="5107" spans="20:20" x14ac:dyDescent="0.25">
      <c r="T5107" s="98"/>
    </row>
    <row r="5108" spans="20:20" x14ac:dyDescent="0.25">
      <c r="T5108" s="98"/>
    </row>
    <row r="5109" spans="20:20" x14ac:dyDescent="0.25">
      <c r="T5109" s="98"/>
    </row>
    <row r="5110" spans="20:20" x14ac:dyDescent="0.25">
      <c r="T5110" s="98"/>
    </row>
    <row r="5111" spans="20:20" x14ac:dyDescent="0.25">
      <c r="T5111" s="98"/>
    </row>
    <row r="5112" spans="20:20" x14ac:dyDescent="0.25">
      <c r="T5112" s="98"/>
    </row>
    <row r="5113" spans="20:20" x14ac:dyDescent="0.25">
      <c r="T5113" s="98"/>
    </row>
    <row r="5114" spans="20:20" x14ac:dyDescent="0.25">
      <c r="T5114" s="98"/>
    </row>
    <row r="5115" spans="20:20" x14ac:dyDescent="0.25">
      <c r="T5115" s="98"/>
    </row>
    <row r="5116" spans="20:20" x14ac:dyDescent="0.25">
      <c r="T5116" s="98"/>
    </row>
    <row r="5117" spans="20:20" x14ac:dyDescent="0.25">
      <c r="T5117" s="98"/>
    </row>
    <row r="5118" spans="20:20" x14ac:dyDescent="0.25">
      <c r="T5118" s="98"/>
    </row>
    <row r="5119" spans="20:20" x14ac:dyDescent="0.25">
      <c r="T5119" s="98"/>
    </row>
    <row r="5120" spans="20:20" x14ac:dyDescent="0.25">
      <c r="T5120" s="98"/>
    </row>
    <row r="5121" spans="20:20" x14ac:dyDescent="0.25">
      <c r="T5121" s="98"/>
    </row>
    <row r="5122" spans="20:20" x14ac:dyDescent="0.25">
      <c r="T5122" s="98"/>
    </row>
    <row r="5123" spans="20:20" x14ac:dyDescent="0.25">
      <c r="T5123" s="98"/>
    </row>
    <row r="5124" spans="20:20" x14ac:dyDescent="0.25">
      <c r="T5124" s="98"/>
    </row>
    <row r="5125" spans="20:20" x14ac:dyDescent="0.25">
      <c r="T5125" s="98"/>
    </row>
    <row r="5126" spans="20:20" x14ac:dyDescent="0.25">
      <c r="T5126" s="98"/>
    </row>
    <row r="5127" spans="20:20" x14ac:dyDescent="0.25">
      <c r="T5127" s="98"/>
    </row>
    <row r="5128" spans="20:20" x14ac:dyDescent="0.25">
      <c r="T5128" s="98"/>
    </row>
    <row r="5129" spans="20:20" x14ac:dyDescent="0.25">
      <c r="T5129" s="98"/>
    </row>
    <row r="5130" spans="20:20" x14ac:dyDescent="0.25">
      <c r="T5130" s="98"/>
    </row>
    <row r="5131" spans="20:20" x14ac:dyDescent="0.25">
      <c r="T5131" s="98"/>
    </row>
    <row r="5132" spans="20:20" x14ac:dyDescent="0.25">
      <c r="T5132" s="98"/>
    </row>
    <row r="5133" spans="20:20" x14ac:dyDescent="0.25">
      <c r="T5133" s="98"/>
    </row>
    <row r="5134" spans="20:20" x14ac:dyDescent="0.25">
      <c r="T5134" s="98"/>
    </row>
    <row r="5135" spans="20:20" x14ac:dyDescent="0.25">
      <c r="T5135" s="98"/>
    </row>
    <row r="5136" spans="20:20" x14ac:dyDescent="0.25">
      <c r="T5136" s="98"/>
    </row>
    <row r="5137" spans="20:20" x14ac:dyDescent="0.25">
      <c r="T5137" s="98"/>
    </row>
    <row r="5138" spans="20:20" x14ac:dyDescent="0.25">
      <c r="T5138" s="98"/>
    </row>
    <row r="5139" spans="20:20" x14ac:dyDescent="0.25">
      <c r="T5139" s="98"/>
    </row>
    <row r="5140" spans="20:20" x14ac:dyDescent="0.25">
      <c r="T5140" s="98"/>
    </row>
    <row r="5141" spans="20:20" x14ac:dyDescent="0.25">
      <c r="T5141" s="98"/>
    </row>
    <row r="5142" spans="20:20" x14ac:dyDescent="0.25">
      <c r="T5142" s="98"/>
    </row>
    <row r="5143" spans="20:20" x14ac:dyDescent="0.25">
      <c r="T5143" s="98"/>
    </row>
    <row r="5144" spans="20:20" x14ac:dyDescent="0.25">
      <c r="T5144" s="98"/>
    </row>
    <row r="5145" spans="20:20" x14ac:dyDescent="0.25">
      <c r="T5145" s="98"/>
    </row>
    <row r="5146" spans="20:20" x14ac:dyDescent="0.25">
      <c r="T5146" s="98"/>
    </row>
    <row r="5147" spans="20:20" x14ac:dyDescent="0.25">
      <c r="T5147" s="98"/>
    </row>
    <row r="5148" spans="20:20" x14ac:dyDescent="0.25">
      <c r="T5148" s="98"/>
    </row>
    <row r="5149" spans="20:20" x14ac:dyDescent="0.25">
      <c r="T5149" s="98"/>
    </row>
    <row r="5150" spans="20:20" x14ac:dyDescent="0.25">
      <c r="T5150" s="98"/>
    </row>
    <row r="5151" spans="20:20" x14ac:dyDescent="0.25">
      <c r="T5151" s="98"/>
    </row>
    <row r="5152" spans="20:20" x14ac:dyDescent="0.25">
      <c r="T5152" s="98"/>
    </row>
    <row r="5153" spans="20:20" x14ac:dyDescent="0.25">
      <c r="T5153" s="98"/>
    </row>
    <row r="5154" spans="20:20" x14ac:dyDescent="0.25">
      <c r="T5154" s="98"/>
    </row>
    <row r="5155" spans="20:20" x14ac:dyDescent="0.25">
      <c r="T5155" s="98"/>
    </row>
    <row r="5156" spans="20:20" x14ac:dyDescent="0.25">
      <c r="T5156" s="98"/>
    </row>
    <row r="5157" spans="20:20" x14ac:dyDescent="0.25">
      <c r="T5157" s="98"/>
    </row>
    <row r="5158" spans="20:20" x14ac:dyDescent="0.25">
      <c r="T5158" s="98"/>
    </row>
    <row r="5159" spans="20:20" x14ac:dyDescent="0.25">
      <c r="T5159" s="98"/>
    </row>
    <row r="5160" spans="20:20" x14ac:dyDescent="0.25">
      <c r="T5160" s="98"/>
    </row>
    <row r="5161" spans="20:20" x14ac:dyDescent="0.25">
      <c r="T5161" s="98"/>
    </row>
    <row r="5162" spans="20:20" x14ac:dyDescent="0.25">
      <c r="T5162" s="98"/>
    </row>
    <row r="5163" spans="20:20" x14ac:dyDescent="0.25">
      <c r="T5163" s="98"/>
    </row>
    <row r="5164" spans="20:20" x14ac:dyDescent="0.25">
      <c r="T5164" s="98"/>
    </row>
    <row r="5165" spans="20:20" x14ac:dyDescent="0.25">
      <c r="T5165" s="98"/>
    </row>
    <row r="5166" spans="20:20" x14ac:dyDescent="0.25">
      <c r="T5166" s="98"/>
    </row>
    <row r="5167" spans="20:20" x14ac:dyDescent="0.25">
      <c r="T5167" s="98"/>
    </row>
    <row r="5168" spans="20:20" x14ac:dyDescent="0.25">
      <c r="T5168" s="98"/>
    </row>
    <row r="5169" spans="20:20" x14ac:dyDescent="0.25">
      <c r="T5169" s="98"/>
    </row>
    <row r="5170" spans="20:20" x14ac:dyDescent="0.25">
      <c r="T5170" s="98"/>
    </row>
    <row r="5171" spans="20:20" x14ac:dyDescent="0.25">
      <c r="T5171" s="98"/>
    </row>
    <row r="5172" spans="20:20" x14ac:dyDescent="0.25">
      <c r="T5172" s="98"/>
    </row>
    <row r="5173" spans="20:20" x14ac:dyDescent="0.25">
      <c r="T5173" s="98"/>
    </row>
    <row r="5174" spans="20:20" x14ac:dyDescent="0.25">
      <c r="T5174" s="98"/>
    </row>
    <row r="5175" spans="20:20" x14ac:dyDescent="0.25">
      <c r="T5175" s="98"/>
    </row>
    <row r="5176" spans="20:20" x14ac:dyDescent="0.25">
      <c r="T5176" s="98"/>
    </row>
    <row r="5177" spans="20:20" x14ac:dyDescent="0.25">
      <c r="T5177" s="98"/>
    </row>
    <row r="5178" spans="20:20" x14ac:dyDescent="0.25">
      <c r="T5178" s="98"/>
    </row>
    <row r="5179" spans="20:20" x14ac:dyDescent="0.25">
      <c r="T5179" s="98"/>
    </row>
    <row r="5180" spans="20:20" x14ac:dyDescent="0.25">
      <c r="T5180" s="98"/>
    </row>
    <row r="5181" spans="20:20" x14ac:dyDescent="0.25">
      <c r="T5181" s="98"/>
    </row>
    <row r="5182" spans="20:20" x14ac:dyDescent="0.25">
      <c r="T5182" s="98"/>
    </row>
    <row r="5183" spans="20:20" x14ac:dyDescent="0.25">
      <c r="T5183" s="98"/>
    </row>
    <row r="5184" spans="20:20" x14ac:dyDescent="0.25">
      <c r="T5184" s="98"/>
    </row>
    <row r="5185" spans="20:20" x14ac:dyDescent="0.25">
      <c r="T5185" s="98"/>
    </row>
    <row r="5186" spans="20:20" x14ac:dyDescent="0.25">
      <c r="T5186" s="98"/>
    </row>
    <row r="5187" spans="20:20" x14ac:dyDescent="0.25">
      <c r="T5187" s="98"/>
    </row>
    <row r="5188" spans="20:20" x14ac:dyDescent="0.25">
      <c r="T5188" s="98"/>
    </row>
    <row r="5189" spans="20:20" x14ac:dyDescent="0.25">
      <c r="T5189" s="98"/>
    </row>
    <row r="5190" spans="20:20" x14ac:dyDescent="0.25">
      <c r="T5190" s="98"/>
    </row>
    <row r="5191" spans="20:20" x14ac:dyDescent="0.25">
      <c r="T5191" s="98"/>
    </row>
    <row r="5192" spans="20:20" x14ac:dyDescent="0.25">
      <c r="T5192" s="98"/>
    </row>
    <row r="5193" spans="20:20" x14ac:dyDescent="0.25">
      <c r="T5193" s="98"/>
    </row>
    <row r="5194" spans="20:20" x14ac:dyDescent="0.25">
      <c r="T5194" s="98"/>
    </row>
    <row r="5195" spans="20:20" x14ac:dyDescent="0.25">
      <c r="T5195" s="98"/>
    </row>
    <row r="5196" spans="20:20" x14ac:dyDescent="0.25">
      <c r="T5196" s="98"/>
    </row>
    <row r="5197" spans="20:20" x14ac:dyDescent="0.25">
      <c r="T5197" s="98"/>
    </row>
    <row r="5198" spans="20:20" x14ac:dyDescent="0.25">
      <c r="T5198" s="98"/>
    </row>
    <row r="5199" spans="20:20" x14ac:dyDescent="0.25">
      <c r="T5199" s="98"/>
    </row>
    <row r="5200" spans="20:20" x14ac:dyDescent="0.25">
      <c r="T5200" s="98"/>
    </row>
    <row r="5201" spans="20:20" x14ac:dyDescent="0.25">
      <c r="T5201" s="98"/>
    </row>
    <row r="5202" spans="20:20" x14ac:dyDescent="0.25">
      <c r="T5202" s="98"/>
    </row>
    <row r="5203" spans="20:20" x14ac:dyDescent="0.25">
      <c r="T5203" s="98"/>
    </row>
    <row r="5204" spans="20:20" x14ac:dyDescent="0.25">
      <c r="T5204" s="98"/>
    </row>
    <row r="5205" spans="20:20" x14ac:dyDescent="0.25">
      <c r="T5205" s="98"/>
    </row>
    <row r="5206" spans="20:20" x14ac:dyDescent="0.25">
      <c r="T5206" s="98"/>
    </row>
    <row r="5207" spans="20:20" x14ac:dyDescent="0.25">
      <c r="T5207" s="98"/>
    </row>
    <row r="5208" spans="20:20" x14ac:dyDescent="0.25">
      <c r="T5208" s="98"/>
    </row>
    <row r="5209" spans="20:20" x14ac:dyDescent="0.25">
      <c r="T5209" s="98"/>
    </row>
    <row r="5210" spans="20:20" x14ac:dyDescent="0.25">
      <c r="T5210" s="98"/>
    </row>
    <row r="5211" spans="20:20" x14ac:dyDescent="0.25">
      <c r="T5211" s="98"/>
    </row>
    <row r="5212" spans="20:20" x14ac:dyDescent="0.25">
      <c r="T5212" s="98"/>
    </row>
    <row r="5213" spans="20:20" x14ac:dyDescent="0.25">
      <c r="T5213" s="98"/>
    </row>
    <row r="5214" spans="20:20" x14ac:dyDescent="0.25">
      <c r="T5214" s="98"/>
    </row>
    <row r="5215" spans="20:20" x14ac:dyDescent="0.25">
      <c r="T5215" s="98"/>
    </row>
    <row r="5216" spans="20:20" x14ac:dyDescent="0.25">
      <c r="T5216" s="98"/>
    </row>
    <row r="5217" spans="20:20" x14ac:dyDescent="0.25">
      <c r="T5217" s="98"/>
    </row>
    <row r="5218" spans="20:20" x14ac:dyDescent="0.25">
      <c r="T5218" s="98"/>
    </row>
    <row r="5219" spans="20:20" x14ac:dyDescent="0.25">
      <c r="T5219" s="98"/>
    </row>
    <row r="5220" spans="20:20" x14ac:dyDescent="0.25">
      <c r="T5220" s="98"/>
    </row>
    <row r="5221" spans="20:20" x14ac:dyDescent="0.25">
      <c r="T5221" s="98"/>
    </row>
    <row r="5222" spans="20:20" x14ac:dyDescent="0.25">
      <c r="T5222" s="98"/>
    </row>
    <row r="5223" spans="20:20" x14ac:dyDescent="0.25">
      <c r="T5223" s="98"/>
    </row>
    <row r="5224" spans="20:20" x14ac:dyDescent="0.25">
      <c r="T5224" s="98"/>
    </row>
    <row r="5225" spans="20:20" x14ac:dyDescent="0.25">
      <c r="T5225" s="98"/>
    </row>
    <row r="5226" spans="20:20" x14ac:dyDescent="0.25">
      <c r="T5226" s="98"/>
    </row>
    <row r="5227" spans="20:20" x14ac:dyDescent="0.25">
      <c r="T5227" s="98"/>
    </row>
    <row r="5228" spans="20:20" x14ac:dyDescent="0.25">
      <c r="T5228" s="98"/>
    </row>
    <row r="5229" spans="20:20" x14ac:dyDescent="0.25">
      <c r="T5229" s="98"/>
    </row>
    <row r="5230" spans="20:20" x14ac:dyDescent="0.25">
      <c r="T5230" s="98"/>
    </row>
    <row r="5231" spans="20:20" x14ac:dyDescent="0.25">
      <c r="T5231" s="98"/>
    </row>
    <row r="5232" spans="20:20" x14ac:dyDescent="0.25">
      <c r="T5232" s="98"/>
    </row>
    <row r="5233" spans="20:20" x14ac:dyDescent="0.25">
      <c r="T5233" s="98"/>
    </row>
    <row r="5234" spans="20:20" x14ac:dyDescent="0.25">
      <c r="T5234" s="98"/>
    </row>
    <row r="5235" spans="20:20" x14ac:dyDescent="0.25">
      <c r="T5235" s="98"/>
    </row>
    <row r="5236" spans="20:20" x14ac:dyDescent="0.25">
      <c r="T5236" s="98"/>
    </row>
    <row r="5237" spans="20:20" x14ac:dyDescent="0.25">
      <c r="T5237" s="98"/>
    </row>
    <row r="5238" spans="20:20" x14ac:dyDescent="0.25">
      <c r="T5238" s="98"/>
    </row>
    <row r="5239" spans="20:20" x14ac:dyDescent="0.25">
      <c r="T5239" s="98"/>
    </row>
    <row r="5240" spans="20:20" x14ac:dyDescent="0.25">
      <c r="T5240" s="98"/>
    </row>
    <row r="5241" spans="20:20" x14ac:dyDescent="0.25">
      <c r="T5241" s="98"/>
    </row>
    <row r="5242" spans="20:20" x14ac:dyDescent="0.25">
      <c r="T5242" s="98"/>
    </row>
    <row r="5243" spans="20:20" x14ac:dyDescent="0.25">
      <c r="T5243" s="98"/>
    </row>
    <row r="5244" spans="20:20" x14ac:dyDescent="0.25">
      <c r="T5244" s="98"/>
    </row>
    <row r="5245" spans="20:20" x14ac:dyDescent="0.25">
      <c r="T5245" s="98"/>
    </row>
    <row r="5246" spans="20:20" x14ac:dyDescent="0.25">
      <c r="T5246" s="98"/>
    </row>
    <row r="5247" spans="20:20" x14ac:dyDescent="0.25">
      <c r="T5247" s="98"/>
    </row>
    <row r="5248" spans="20:20" x14ac:dyDescent="0.25">
      <c r="T5248" s="98"/>
    </row>
    <row r="5249" spans="20:20" x14ac:dyDescent="0.25">
      <c r="T5249" s="98"/>
    </row>
    <row r="5250" spans="20:20" x14ac:dyDescent="0.25">
      <c r="T5250" s="98"/>
    </row>
    <row r="5251" spans="20:20" x14ac:dyDescent="0.25">
      <c r="T5251" s="98"/>
    </row>
    <row r="5252" spans="20:20" x14ac:dyDescent="0.25">
      <c r="T5252" s="98"/>
    </row>
    <row r="5253" spans="20:20" x14ac:dyDescent="0.25">
      <c r="T5253" s="98"/>
    </row>
    <row r="5254" spans="20:20" x14ac:dyDescent="0.25">
      <c r="T5254" s="98"/>
    </row>
    <row r="5255" spans="20:20" x14ac:dyDescent="0.25">
      <c r="T5255" s="98"/>
    </row>
    <row r="5256" spans="20:20" x14ac:dyDescent="0.25">
      <c r="T5256" s="98"/>
    </row>
    <row r="5257" spans="20:20" x14ac:dyDescent="0.25">
      <c r="T5257" s="98"/>
    </row>
    <row r="5258" spans="20:20" x14ac:dyDescent="0.25">
      <c r="T5258" s="98"/>
    </row>
    <row r="5259" spans="20:20" x14ac:dyDescent="0.25">
      <c r="T5259" s="98"/>
    </row>
    <row r="5260" spans="20:20" x14ac:dyDescent="0.25">
      <c r="T5260" s="98"/>
    </row>
    <row r="5261" spans="20:20" x14ac:dyDescent="0.25">
      <c r="T5261" s="98"/>
    </row>
    <row r="5262" spans="20:20" x14ac:dyDescent="0.25">
      <c r="T5262" s="98"/>
    </row>
    <row r="5263" spans="20:20" x14ac:dyDescent="0.25">
      <c r="T5263" s="98"/>
    </row>
    <row r="5264" spans="20:20" x14ac:dyDescent="0.25">
      <c r="T5264" s="98"/>
    </row>
    <row r="5265" spans="20:20" x14ac:dyDescent="0.25">
      <c r="T5265" s="98"/>
    </row>
    <row r="5266" spans="20:20" x14ac:dyDescent="0.25">
      <c r="T5266" s="98"/>
    </row>
    <row r="5267" spans="20:20" x14ac:dyDescent="0.25">
      <c r="T5267" s="98"/>
    </row>
    <row r="5268" spans="20:20" x14ac:dyDescent="0.25">
      <c r="T5268" s="98"/>
    </row>
    <row r="5269" spans="20:20" x14ac:dyDescent="0.25">
      <c r="T5269" s="98"/>
    </row>
    <row r="5270" spans="20:20" x14ac:dyDescent="0.25">
      <c r="T5270" s="98"/>
    </row>
    <row r="5271" spans="20:20" x14ac:dyDescent="0.25">
      <c r="T5271" s="98"/>
    </row>
    <row r="5272" spans="20:20" x14ac:dyDescent="0.25">
      <c r="T5272" s="98"/>
    </row>
    <row r="5273" spans="20:20" x14ac:dyDescent="0.25">
      <c r="T5273" s="98"/>
    </row>
    <row r="5274" spans="20:20" x14ac:dyDescent="0.25">
      <c r="T5274" s="98"/>
    </row>
    <row r="5275" spans="20:20" x14ac:dyDescent="0.25">
      <c r="T5275" s="98"/>
    </row>
    <row r="5276" spans="20:20" x14ac:dyDescent="0.25">
      <c r="T5276" s="98"/>
    </row>
    <row r="5277" spans="20:20" x14ac:dyDescent="0.25">
      <c r="T5277" s="98"/>
    </row>
    <row r="5278" spans="20:20" x14ac:dyDescent="0.25">
      <c r="T5278" s="98"/>
    </row>
    <row r="5279" spans="20:20" x14ac:dyDescent="0.25">
      <c r="T5279" s="98"/>
    </row>
    <row r="5280" spans="20:20" x14ac:dyDescent="0.25">
      <c r="T5280" s="98"/>
    </row>
    <row r="5281" spans="20:20" x14ac:dyDescent="0.25">
      <c r="T5281" s="98"/>
    </row>
    <row r="5282" spans="20:20" x14ac:dyDescent="0.25">
      <c r="T5282" s="98"/>
    </row>
    <row r="5283" spans="20:20" x14ac:dyDescent="0.25">
      <c r="T5283" s="98"/>
    </row>
    <row r="5284" spans="20:20" x14ac:dyDescent="0.25">
      <c r="T5284" s="98"/>
    </row>
    <row r="5285" spans="20:20" x14ac:dyDescent="0.25">
      <c r="T5285" s="98"/>
    </row>
    <row r="5286" spans="20:20" x14ac:dyDescent="0.25">
      <c r="T5286" s="98"/>
    </row>
    <row r="5287" spans="20:20" x14ac:dyDescent="0.25">
      <c r="T5287" s="98"/>
    </row>
    <row r="5288" spans="20:20" x14ac:dyDescent="0.25">
      <c r="T5288" s="98"/>
    </row>
    <row r="5289" spans="20:20" x14ac:dyDescent="0.25">
      <c r="T5289" s="98"/>
    </row>
    <row r="5290" spans="20:20" x14ac:dyDescent="0.25">
      <c r="T5290" s="98"/>
    </row>
    <row r="5291" spans="20:20" x14ac:dyDescent="0.25">
      <c r="T5291" s="98"/>
    </row>
    <row r="5292" spans="20:20" x14ac:dyDescent="0.25">
      <c r="T5292" s="98"/>
    </row>
    <row r="5293" spans="20:20" x14ac:dyDescent="0.25">
      <c r="T5293" s="98"/>
    </row>
    <row r="5294" spans="20:20" x14ac:dyDescent="0.25">
      <c r="T5294" s="98"/>
    </row>
    <row r="5295" spans="20:20" x14ac:dyDescent="0.25">
      <c r="T5295" s="98"/>
    </row>
    <row r="5296" spans="20:20" x14ac:dyDescent="0.25">
      <c r="T5296" s="98"/>
    </row>
    <row r="5297" spans="20:20" x14ac:dyDescent="0.25">
      <c r="T5297" s="98"/>
    </row>
    <row r="5298" spans="20:20" x14ac:dyDescent="0.25">
      <c r="T5298" s="98"/>
    </row>
    <row r="5299" spans="20:20" x14ac:dyDescent="0.25">
      <c r="T5299" s="98"/>
    </row>
    <row r="5300" spans="20:20" x14ac:dyDescent="0.25">
      <c r="T5300" s="98"/>
    </row>
    <row r="5301" spans="20:20" x14ac:dyDescent="0.25">
      <c r="T5301" s="98"/>
    </row>
    <row r="5302" spans="20:20" x14ac:dyDescent="0.25">
      <c r="T5302" s="98"/>
    </row>
    <row r="5303" spans="20:20" x14ac:dyDescent="0.25">
      <c r="T5303" s="98"/>
    </row>
    <row r="5304" spans="20:20" x14ac:dyDescent="0.25">
      <c r="T5304" s="98"/>
    </row>
    <row r="5305" spans="20:20" x14ac:dyDescent="0.25">
      <c r="T5305" s="98"/>
    </row>
    <row r="5306" spans="20:20" x14ac:dyDescent="0.25">
      <c r="T5306" s="98"/>
    </row>
    <row r="5307" spans="20:20" x14ac:dyDescent="0.25">
      <c r="T5307" s="98"/>
    </row>
    <row r="5308" spans="20:20" x14ac:dyDescent="0.25">
      <c r="T5308" s="98"/>
    </row>
    <row r="5309" spans="20:20" x14ac:dyDescent="0.25">
      <c r="T5309" s="98"/>
    </row>
    <row r="5310" spans="20:20" x14ac:dyDescent="0.25">
      <c r="T5310" s="98"/>
    </row>
    <row r="5311" spans="20:20" x14ac:dyDescent="0.25">
      <c r="T5311" s="98"/>
    </row>
    <row r="5312" spans="20:20" x14ac:dyDescent="0.25">
      <c r="T5312" s="98"/>
    </row>
    <row r="5313" spans="20:20" x14ac:dyDescent="0.25">
      <c r="T5313" s="98"/>
    </row>
    <row r="5314" spans="20:20" x14ac:dyDescent="0.25">
      <c r="T5314" s="98"/>
    </row>
    <row r="5315" spans="20:20" x14ac:dyDescent="0.25">
      <c r="T5315" s="98"/>
    </row>
    <row r="5316" spans="20:20" x14ac:dyDescent="0.25">
      <c r="T5316" s="98"/>
    </row>
    <row r="5317" spans="20:20" x14ac:dyDescent="0.25">
      <c r="T5317" s="98"/>
    </row>
    <row r="5318" spans="20:20" x14ac:dyDescent="0.25">
      <c r="T5318" s="98"/>
    </row>
    <row r="5319" spans="20:20" x14ac:dyDescent="0.25">
      <c r="T5319" s="98"/>
    </row>
    <row r="5320" spans="20:20" x14ac:dyDescent="0.25">
      <c r="T5320" s="98"/>
    </row>
    <row r="5321" spans="20:20" x14ac:dyDescent="0.25">
      <c r="T5321" s="98"/>
    </row>
    <row r="5322" spans="20:20" x14ac:dyDescent="0.25">
      <c r="T5322" s="98"/>
    </row>
    <row r="5323" spans="20:20" x14ac:dyDescent="0.25">
      <c r="T5323" s="98"/>
    </row>
    <row r="5324" spans="20:20" x14ac:dyDescent="0.25">
      <c r="T5324" s="98"/>
    </row>
    <row r="5325" spans="20:20" x14ac:dyDescent="0.25">
      <c r="T5325" s="98"/>
    </row>
    <row r="5326" spans="20:20" x14ac:dyDescent="0.25">
      <c r="T5326" s="98"/>
    </row>
    <row r="5327" spans="20:20" x14ac:dyDescent="0.25">
      <c r="T5327" s="98"/>
    </row>
    <row r="5328" spans="20:20" x14ac:dyDescent="0.25">
      <c r="T5328" s="98"/>
    </row>
    <row r="5329" spans="20:20" x14ac:dyDescent="0.25">
      <c r="T5329" s="98"/>
    </row>
    <row r="5330" spans="20:20" x14ac:dyDescent="0.25">
      <c r="T5330" s="98"/>
    </row>
    <row r="5331" spans="20:20" x14ac:dyDescent="0.25">
      <c r="T5331" s="98"/>
    </row>
    <row r="5332" spans="20:20" x14ac:dyDescent="0.25">
      <c r="T5332" s="98"/>
    </row>
    <row r="5333" spans="20:20" x14ac:dyDescent="0.25">
      <c r="T5333" s="98"/>
    </row>
    <row r="5334" spans="20:20" x14ac:dyDescent="0.25">
      <c r="T5334" s="98"/>
    </row>
    <row r="5335" spans="20:20" x14ac:dyDescent="0.25">
      <c r="T5335" s="98"/>
    </row>
    <row r="5336" spans="20:20" x14ac:dyDescent="0.25">
      <c r="T5336" s="98"/>
    </row>
    <row r="5337" spans="20:20" x14ac:dyDescent="0.25">
      <c r="T5337" s="98"/>
    </row>
    <row r="5338" spans="20:20" x14ac:dyDescent="0.25">
      <c r="T5338" s="98"/>
    </row>
    <row r="5339" spans="20:20" x14ac:dyDescent="0.25">
      <c r="T5339" s="98"/>
    </row>
    <row r="5340" spans="20:20" x14ac:dyDescent="0.25">
      <c r="T5340" s="98"/>
    </row>
    <row r="5341" spans="20:20" x14ac:dyDescent="0.25">
      <c r="T5341" s="98"/>
    </row>
    <row r="5342" spans="20:20" x14ac:dyDescent="0.25">
      <c r="T5342" s="98"/>
    </row>
    <row r="5343" spans="20:20" x14ac:dyDescent="0.25">
      <c r="T5343" s="98"/>
    </row>
    <row r="5344" spans="20:20" x14ac:dyDescent="0.25">
      <c r="T5344" s="98"/>
    </row>
    <row r="5345" spans="20:20" x14ac:dyDescent="0.25">
      <c r="T5345" s="98"/>
    </row>
    <row r="5346" spans="20:20" x14ac:dyDescent="0.25">
      <c r="T5346" s="98"/>
    </row>
    <row r="5347" spans="20:20" x14ac:dyDescent="0.25">
      <c r="T5347" s="98"/>
    </row>
    <row r="5348" spans="20:20" x14ac:dyDescent="0.25">
      <c r="T5348" s="98"/>
    </row>
    <row r="5349" spans="20:20" x14ac:dyDescent="0.25">
      <c r="T5349" s="98"/>
    </row>
    <row r="5350" spans="20:20" x14ac:dyDescent="0.25">
      <c r="T5350" s="98"/>
    </row>
    <row r="5351" spans="20:20" x14ac:dyDescent="0.25">
      <c r="T5351" s="98"/>
    </row>
    <row r="5352" spans="20:20" x14ac:dyDescent="0.25">
      <c r="T5352" s="98"/>
    </row>
    <row r="5353" spans="20:20" x14ac:dyDescent="0.25">
      <c r="T5353" s="98"/>
    </row>
    <row r="5354" spans="20:20" x14ac:dyDescent="0.25">
      <c r="T5354" s="98"/>
    </row>
    <row r="5355" spans="20:20" x14ac:dyDescent="0.25">
      <c r="T5355" s="98"/>
    </row>
    <row r="5356" spans="20:20" x14ac:dyDescent="0.25">
      <c r="T5356" s="98"/>
    </row>
    <row r="5357" spans="20:20" x14ac:dyDescent="0.25">
      <c r="T5357" s="98"/>
    </row>
    <row r="5358" spans="20:20" x14ac:dyDescent="0.25">
      <c r="T5358" s="98"/>
    </row>
    <row r="5359" spans="20:20" x14ac:dyDescent="0.25">
      <c r="T5359" s="98"/>
    </row>
    <row r="5360" spans="20:20" x14ac:dyDescent="0.25">
      <c r="T5360" s="98"/>
    </row>
    <row r="5361" spans="20:20" x14ac:dyDescent="0.25">
      <c r="T5361" s="98"/>
    </row>
    <row r="5362" spans="20:20" x14ac:dyDescent="0.25">
      <c r="T5362" s="98"/>
    </row>
    <row r="5363" spans="20:20" x14ac:dyDescent="0.25">
      <c r="T5363" s="98"/>
    </row>
    <row r="5364" spans="20:20" x14ac:dyDescent="0.25">
      <c r="T5364" s="98"/>
    </row>
    <row r="5365" spans="20:20" x14ac:dyDescent="0.25">
      <c r="T5365" s="98"/>
    </row>
    <row r="5366" spans="20:20" x14ac:dyDescent="0.25">
      <c r="T5366" s="98"/>
    </row>
    <row r="5367" spans="20:20" x14ac:dyDescent="0.25">
      <c r="T5367" s="98"/>
    </row>
    <row r="5368" spans="20:20" x14ac:dyDescent="0.25">
      <c r="T5368" s="98"/>
    </row>
    <row r="5369" spans="20:20" x14ac:dyDescent="0.25">
      <c r="T5369" s="98"/>
    </row>
    <row r="5370" spans="20:20" x14ac:dyDescent="0.25">
      <c r="T5370" s="98"/>
    </row>
    <row r="5371" spans="20:20" x14ac:dyDescent="0.25">
      <c r="T5371" s="98"/>
    </row>
    <row r="5372" spans="20:20" x14ac:dyDescent="0.25">
      <c r="T5372" s="98"/>
    </row>
    <row r="5373" spans="20:20" x14ac:dyDescent="0.25">
      <c r="T5373" s="98"/>
    </row>
    <row r="5374" spans="20:20" x14ac:dyDescent="0.25">
      <c r="T5374" s="98"/>
    </row>
    <row r="5375" spans="20:20" x14ac:dyDescent="0.25">
      <c r="T5375" s="98"/>
    </row>
    <row r="5376" spans="20:20" x14ac:dyDescent="0.25">
      <c r="T5376" s="98"/>
    </row>
    <row r="5377" spans="20:20" x14ac:dyDescent="0.25">
      <c r="T5377" s="98"/>
    </row>
    <row r="5378" spans="20:20" x14ac:dyDescent="0.25">
      <c r="T5378" s="98"/>
    </row>
    <row r="5379" spans="20:20" x14ac:dyDescent="0.25">
      <c r="T5379" s="98"/>
    </row>
    <row r="5380" spans="20:20" x14ac:dyDescent="0.25">
      <c r="T5380" s="98"/>
    </row>
    <row r="5381" spans="20:20" x14ac:dyDescent="0.25">
      <c r="T5381" s="98"/>
    </row>
    <row r="5382" spans="20:20" x14ac:dyDescent="0.25">
      <c r="T5382" s="98"/>
    </row>
    <row r="5383" spans="20:20" x14ac:dyDescent="0.25">
      <c r="T5383" s="98"/>
    </row>
    <row r="5384" spans="20:20" x14ac:dyDescent="0.25">
      <c r="T5384" s="98"/>
    </row>
    <row r="5385" spans="20:20" x14ac:dyDescent="0.25">
      <c r="T5385" s="98"/>
    </row>
    <row r="5386" spans="20:20" x14ac:dyDescent="0.25">
      <c r="T5386" s="98"/>
    </row>
    <row r="5387" spans="20:20" x14ac:dyDescent="0.25">
      <c r="T5387" s="98"/>
    </row>
    <row r="5388" spans="20:20" x14ac:dyDescent="0.25">
      <c r="T5388" s="98"/>
    </row>
    <row r="5389" spans="20:20" x14ac:dyDescent="0.25">
      <c r="T5389" s="98"/>
    </row>
    <row r="5390" spans="20:20" x14ac:dyDescent="0.25">
      <c r="T5390" s="98"/>
    </row>
    <row r="5391" spans="20:20" x14ac:dyDescent="0.25">
      <c r="T5391" s="98"/>
    </row>
    <row r="5392" spans="20:20" x14ac:dyDescent="0.25">
      <c r="T5392" s="98"/>
    </row>
    <row r="5393" spans="20:20" x14ac:dyDescent="0.25">
      <c r="T5393" s="98"/>
    </row>
    <row r="5394" spans="20:20" x14ac:dyDescent="0.25">
      <c r="T5394" s="98"/>
    </row>
    <row r="5395" spans="20:20" x14ac:dyDescent="0.25">
      <c r="T5395" s="98"/>
    </row>
    <row r="5396" spans="20:20" x14ac:dyDescent="0.25">
      <c r="T5396" s="98"/>
    </row>
    <row r="5397" spans="20:20" x14ac:dyDescent="0.25">
      <c r="T5397" s="98"/>
    </row>
    <row r="5398" spans="20:20" x14ac:dyDescent="0.25">
      <c r="T5398" s="98"/>
    </row>
    <row r="5399" spans="20:20" x14ac:dyDescent="0.25">
      <c r="T5399" s="98"/>
    </row>
    <row r="5400" spans="20:20" x14ac:dyDescent="0.25">
      <c r="T5400" s="98"/>
    </row>
    <row r="5401" spans="20:20" x14ac:dyDescent="0.25">
      <c r="T5401" s="98"/>
    </row>
    <row r="5402" spans="20:20" x14ac:dyDescent="0.25">
      <c r="T5402" s="98"/>
    </row>
    <row r="5403" spans="20:20" x14ac:dyDescent="0.25">
      <c r="T5403" s="98"/>
    </row>
    <row r="5404" spans="20:20" x14ac:dyDescent="0.25">
      <c r="T5404" s="98"/>
    </row>
    <row r="5405" spans="20:20" x14ac:dyDescent="0.25">
      <c r="T5405" s="98"/>
    </row>
    <row r="5406" spans="20:20" x14ac:dyDescent="0.25">
      <c r="T5406" s="98"/>
    </row>
    <row r="5407" spans="20:20" x14ac:dyDescent="0.25">
      <c r="T5407" s="98"/>
    </row>
    <row r="5408" spans="20:20" x14ac:dyDescent="0.25">
      <c r="T5408" s="98"/>
    </row>
    <row r="5409" spans="20:20" x14ac:dyDescent="0.25">
      <c r="T5409" s="98"/>
    </row>
    <row r="5410" spans="20:20" x14ac:dyDescent="0.25">
      <c r="T5410" s="98"/>
    </row>
    <row r="5411" spans="20:20" x14ac:dyDescent="0.25">
      <c r="T5411" s="98"/>
    </row>
    <row r="5412" spans="20:20" x14ac:dyDescent="0.25">
      <c r="T5412" s="98"/>
    </row>
    <row r="5413" spans="20:20" x14ac:dyDescent="0.25">
      <c r="T5413" s="98"/>
    </row>
    <row r="5414" spans="20:20" x14ac:dyDescent="0.25">
      <c r="T5414" s="98"/>
    </row>
    <row r="5415" spans="20:20" x14ac:dyDescent="0.25">
      <c r="T5415" s="98"/>
    </row>
    <row r="5416" spans="20:20" x14ac:dyDescent="0.25">
      <c r="T5416" s="98"/>
    </row>
    <row r="5417" spans="20:20" x14ac:dyDescent="0.25">
      <c r="T5417" s="98"/>
    </row>
    <row r="5418" spans="20:20" x14ac:dyDescent="0.25">
      <c r="T5418" s="98"/>
    </row>
    <row r="5419" spans="20:20" x14ac:dyDescent="0.25">
      <c r="T5419" s="98"/>
    </row>
    <row r="5420" spans="20:20" x14ac:dyDescent="0.25">
      <c r="T5420" s="98"/>
    </row>
    <row r="5421" spans="20:20" x14ac:dyDescent="0.25">
      <c r="T5421" s="98"/>
    </row>
    <row r="5422" spans="20:20" x14ac:dyDescent="0.25">
      <c r="T5422" s="98"/>
    </row>
    <row r="5423" spans="20:20" x14ac:dyDescent="0.25">
      <c r="T5423" s="98"/>
    </row>
    <row r="5424" spans="20:20" x14ac:dyDescent="0.25">
      <c r="T5424" s="98"/>
    </row>
    <row r="5425" spans="20:20" x14ac:dyDescent="0.25">
      <c r="T5425" s="98"/>
    </row>
    <row r="5426" spans="20:20" x14ac:dyDescent="0.25">
      <c r="T5426" s="98"/>
    </row>
    <row r="5427" spans="20:20" x14ac:dyDescent="0.25">
      <c r="T5427" s="98"/>
    </row>
    <row r="5428" spans="20:20" x14ac:dyDescent="0.25">
      <c r="T5428" s="98"/>
    </row>
    <row r="5429" spans="20:20" x14ac:dyDescent="0.25">
      <c r="T5429" s="98"/>
    </row>
    <row r="5430" spans="20:20" x14ac:dyDescent="0.25">
      <c r="T5430" s="98"/>
    </row>
    <row r="5431" spans="20:20" x14ac:dyDescent="0.25">
      <c r="T5431" s="98"/>
    </row>
    <row r="5432" spans="20:20" x14ac:dyDescent="0.25">
      <c r="T5432" s="98"/>
    </row>
    <row r="5433" spans="20:20" x14ac:dyDescent="0.25">
      <c r="T5433" s="98"/>
    </row>
    <row r="5434" spans="20:20" x14ac:dyDescent="0.25">
      <c r="T5434" s="98"/>
    </row>
    <row r="5435" spans="20:20" x14ac:dyDescent="0.25">
      <c r="T5435" s="98"/>
    </row>
    <row r="5436" spans="20:20" x14ac:dyDescent="0.25">
      <c r="T5436" s="98"/>
    </row>
    <row r="5437" spans="20:20" x14ac:dyDescent="0.25">
      <c r="T5437" s="98"/>
    </row>
    <row r="5438" spans="20:20" x14ac:dyDescent="0.25">
      <c r="T5438" s="98"/>
    </row>
    <row r="5439" spans="20:20" x14ac:dyDescent="0.25">
      <c r="T5439" s="98"/>
    </row>
    <row r="5440" spans="20:20" x14ac:dyDescent="0.25">
      <c r="T5440" s="98"/>
    </row>
    <row r="5441" spans="20:20" x14ac:dyDescent="0.25">
      <c r="T5441" s="98"/>
    </row>
    <row r="5442" spans="20:20" x14ac:dyDescent="0.25">
      <c r="T5442" s="98"/>
    </row>
    <row r="5443" spans="20:20" x14ac:dyDescent="0.25">
      <c r="T5443" s="98"/>
    </row>
    <row r="5444" spans="20:20" x14ac:dyDescent="0.25">
      <c r="T5444" s="98"/>
    </row>
    <row r="5445" spans="20:20" x14ac:dyDescent="0.25">
      <c r="T5445" s="98"/>
    </row>
    <row r="5446" spans="20:20" x14ac:dyDescent="0.25">
      <c r="T5446" s="98"/>
    </row>
    <row r="5447" spans="20:20" x14ac:dyDescent="0.25">
      <c r="T5447" s="98"/>
    </row>
    <row r="5448" spans="20:20" x14ac:dyDescent="0.25">
      <c r="T5448" s="98"/>
    </row>
    <row r="5449" spans="20:20" x14ac:dyDescent="0.25">
      <c r="T5449" s="98"/>
    </row>
    <row r="5450" spans="20:20" x14ac:dyDescent="0.25">
      <c r="T5450" s="98"/>
    </row>
    <row r="5451" spans="20:20" x14ac:dyDescent="0.25">
      <c r="T5451" s="98"/>
    </row>
    <row r="5452" spans="20:20" x14ac:dyDescent="0.25">
      <c r="T5452" s="98"/>
    </row>
    <row r="5453" spans="20:20" x14ac:dyDescent="0.25">
      <c r="T5453" s="98"/>
    </row>
    <row r="5454" spans="20:20" x14ac:dyDescent="0.25">
      <c r="T5454" s="98"/>
    </row>
    <row r="5455" spans="20:20" x14ac:dyDescent="0.25">
      <c r="T5455" s="98"/>
    </row>
    <row r="5456" spans="20:20" x14ac:dyDescent="0.25">
      <c r="T5456" s="98"/>
    </row>
    <row r="5457" spans="20:20" x14ac:dyDescent="0.25">
      <c r="T5457" s="98"/>
    </row>
    <row r="5458" spans="20:20" x14ac:dyDescent="0.25">
      <c r="T5458" s="98"/>
    </row>
    <row r="5459" spans="20:20" x14ac:dyDescent="0.25">
      <c r="T5459" s="98"/>
    </row>
    <row r="5460" spans="20:20" x14ac:dyDescent="0.25">
      <c r="T5460" s="98"/>
    </row>
    <row r="5461" spans="20:20" x14ac:dyDescent="0.25">
      <c r="T5461" s="98"/>
    </row>
    <row r="5462" spans="20:20" x14ac:dyDescent="0.25">
      <c r="T5462" s="98"/>
    </row>
    <row r="5463" spans="20:20" x14ac:dyDescent="0.25">
      <c r="T5463" s="98"/>
    </row>
    <row r="5464" spans="20:20" x14ac:dyDescent="0.25">
      <c r="T5464" s="98"/>
    </row>
    <row r="5465" spans="20:20" x14ac:dyDescent="0.25">
      <c r="T5465" s="98"/>
    </row>
    <row r="5466" spans="20:20" x14ac:dyDescent="0.25">
      <c r="T5466" s="98"/>
    </row>
    <row r="5467" spans="20:20" x14ac:dyDescent="0.25">
      <c r="T5467" s="98"/>
    </row>
    <row r="5468" spans="20:20" x14ac:dyDescent="0.25">
      <c r="T5468" s="98"/>
    </row>
    <row r="5469" spans="20:20" x14ac:dyDescent="0.25">
      <c r="T5469" s="98"/>
    </row>
    <row r="5470" spans="20:20" x14ac:dyDescent="0.25">
      <c r="T5470" s="98"/>
    </row>
    <row r="5471" spans="20:20" x14ac:dyDescent="0.25">
      <c r="T5471" s="98"/>
    </row>
    <row r="5472" spans="20:20" x14ac:dyDescent="0.25">
      <c r="T5472" s="98"/>
    </row>
    <row r="5473" spans="20:20" x14ac:dyDescent="0.25">
      <c r="T5473" s="98"/>
    </row>
    <row r="5474" spans="20:20" x14ac:dyDescent="0.25">
      <c r="T5474" s="98"/>
    </row>
    <row r="5475" spans="20:20" x14ac:dyDescent="0.25">
      <c r="T5475" s="98"/>
    </row>
    <row r="5476" spans="20:20" x14ac:dyDescent="0.25">
      <c r="T5476" s="98"/>
    </row>
    <row r="5477" spans="20:20" x14ac:dyDescent="0.25">
      <c r="T5477" s="98"/>
    </row>
    <row r="5478" spans="20:20" x14ac:dyDescent="0.25">
      <c r="T5478" s="98"/>
    </row>
    <row r="5479" spans="20:20" x14ac:dyDescent="0.25">
      <c r="T5479" s="98"/>
    </row>
    <row r="5480" spans="20:20" x14ac:dyDescent="0.25">
      <c r="T5480" s="98"/>
    </row>
    <row r="5481" spans="20:20" x14ac:dyDescent="0.25">
      <c r="T5481" s="98"/>
    </row>
    <row r="5482" spans="20:20" x14ac:dyDescent="0.25">
      <c r="T5482" s="98"/>
    </row>
    <row r="5483" spans="20:20" x14ac:dyDescent="0.25">
      <c r="T5483" s="98"/>
    </row>
    <row r="5484" spans="20:20" x14ac:dyDescent="0.25">
      <c r="T5484" s="98"/>
    </row>
    <row r="5485" spans="20:20" x14ac:dyDescent="0.25">
      <c r="T5485" s="98"/>
    </row>
    <row r="5486" spans="20:20" x14ac:dyDescent="0.25">
      <c r="T5486" s="98"/>
    </row>
    <row r="5487" spans="20:20" x14ac:dyDescent="0.25">
      <c r="T5487" s="98"/>
    </row>
    <row r="5488" spans="20:20" x14ac:dyDescent="0.25">
      <c r="T5488" s="98"/>
    </row>
    <row r="5489" spans="20:20" x14ac:dyDescent="0.25">
      <c r="T5489" s="98"/>
    </row>
    <row r="5490" spans="20:20" x14ac:dyDescent="0.25">
      <c r="T5490" s="98"/>
    </row>
    <row r="5491" spans="20:20" x14ac:dyDescent="0.25">
      <c r="T5491" s="98"/>
    </row>
    <row r="5492" spans="20:20" x14ac:dyDescent="0.25">
      <c r="T5492" s="98"/>
    </row>
    <row r="5493" spans="20:20" x14ac:dyDescent="0.25">
      <c r="T5493" s="98"/>
    </row>
    <row r="5494" spans="20:20" x14ac:dyDescent="0.25">
      <c r="T5494" s="98"/>
    </row>
    <row r="5495" spans="20:20" x14ac:dyDescent="0.25">
      <c r="T5495" s="98"/>
    </row>
    <row r="5496" spans="20:20" x14ac:dyDescent="0.25">
      <c r="T5496" s="98"/>
    </row>
    <row r="5497" spans="20:20" x14ac:dyDescent="0.25">
      <c r="T5497" s="98"/>
    </row>
    <row r="5498" spans="20:20" x14ac:dyDescent="0.25">
      <c r="T5498" s="98"/>
    </row>
    <row r="5499" spans="20:20" x14ac:dyDescent="0.25">
      <c r="T5499" s="98"/>
    </row>
    <row r="5500" spans="20:20" x14ac:dyDescent="0.25">
      <c r="T5500" s="98"/>
    </row>
    <row r="5501" spans="20:20" x14ac:dyDescent="0.25">
      <c r="T5501" s="98"/>
    </row>
    <row r="5502" spans="20:20" x14ac:dyDescent="0.25">
      <c r="T5502" s="98"/>
    </row>
    <row r="5503" spans="20:20" x14ac:dyDescent="0.25">
      <c r="T5503" s="98"/>
    </row>
    <row r="5504" spans="20:20" x14ac:dyDescent="0.25">
      <c r="T5504" s="98"/>
    </row>
    <row r="5505" spans="20:20" x14ac:dyDescent="0.25">
      <c r="T5505" s="98"/>
    </row>
    <row r="5506" spans="20:20" x14ac:dyDescent="0.25">
      <c r="T5506" s="98"/>
    </row>
    <row r="5507" spans="20:20" x14ac:dyDescent="0.25">
      <c r="T5507" s="98"/>
    </row>
    <row r="5508" spans="20:20" x14ac:dyDescent="0.25">
      <c r="T5508" s="98"/>
    </row>
    <row r="5509" spans="20:20" x14ac:dyDescent="0.25">
      <c r="T5509" s="98"/>
    </row>
    <row r="5510" spans="20:20" x14ac:dyDescent="0.25">
      <c r="T5510" s="98"/>
    </row>
    <row r="5511" spans="20:20" x14ac:dyDescent="0.25">
      <c r="T5511" s="98"/>
    </row>
    <row r="5512" spans="20:20" x14ac:dyDescent="0.25">
      <c r="T5512" s="98"/>
    </row>
    <row r="5513" spans="20:20" x14ac:dyDescent="0.25">
      <c r="T5513" s="98"/>
    </row>
    <row r="5514" spans="20:20" x14ac:dyDescent="0.25">
      <c r="T5514" s="98"/>
    </row>
    <row r="5515" spans="20:20" x14ac:dyDescent="0.25">
      <c r="T5515" s="98"/>
    </row>
    <row r="5516" spans="20:20" x14ac:dyDescent="0.25">
      <c r="T5516" s="98"/>
    </row>
    <row r="5517" spans="20:20" x14ac:dyDescent="0.25">
      <c r="T5517" s="98"/>
    </row>
    <row r="5518" spans="20:20" x14ac:dyDescent="0.25">
      <c r="T5518" s="98"/>
    </row>
    <row r="5519" spans="20:20" x14ac:dyDescent="0.25">
      <c r="T5519" s="98"/>
    </row>
    <row r="5520" spans="20:20" x14ac:dyDescent="0.25">
      <c r="T5520" s="98"/>
    </row>
    <row r="5521" spans="20:20" x14ac:dyDescent="0.25">
      <c r="T5521" s="98"/>
    </row>
    <row r="5522" spans="20:20" x14ac:dyDescent="0.25">
      <c r="T5522" s="98"/>
    </row>
    <row r="5523" spans="20:20" x14ac:dyDescent="0.25">
      <c r="T5523" s="98"/>
    </row>
    <row r="5524" spans="20:20" x14ac:dyDescent="0.25">
      <c r="T5524" s="98"/>
    </row>
    <row r="5525" spans="20:20" x14ac:dyDescent="0.25">
      <c r="T5525" s="98"/>
    </row>
    <row r="5526" spans="20:20" x14ac:dyDescent="0.25">
      <c r="T5526" s="98"/>
    </row>
    <row r="5527" spans="20:20" x14ac:dyDescent="0.25">
      <c r="T5527" s="98"/>
    </row>
    <row r="5528" spans="20:20" x14ac:dyDescent="0.25">
      <c r="T5528" s="98"/>
    </row>
    <row r="5529" spans="20:20" x14ac:dyDescent="0.25">
      <c r="T5529" s="98"/>
    </row>
    <row r="5530" spans="20:20" x14ac:dyDescent="0.25">
      <c r="T5530" s="98"/>
    </row>
    <row r="5531" spans="20:20" x14ac:dyDescent="0.25">
      <c r="T5531" s="98"/>
    </row>
    <row r="5532" spans="20:20" x14ac:dyDescent="0.25">
      <c r="T5532" s="98"/>
    </row>
    <row r="5533" spans="20:20" x14ac:dyDescent="0.25">
      <c r="T5533" s="98"/>
    </row>
    <row r="5534" spans="20:20" x14ac:dyDescent="0.25">
      <c r="T5534" s="98"/>
    </row>
    <row r="5535" spans="20:20" x14ac:dyDescent="0.25">
      <c r="T5535" s="98"/>
    </row>
    <row r="5536" spans="20:20" x14ac:dyDescent="0.25">
      <c r="T5536" s="98"/>
    </row>
    <row r="5537" spans="20:20" x14ac:dyDescent="0.25">
      <c r="T5537" s="98"/>
    </row>
    <row r="5538" spans="20:20" x14ac:dyDescent="0.25">
      <c r="T5538" s="98"/>
    </row>
    <row r="5539" spans="20:20" x14ac:dyDescent="0.25">
      <c r="T5539" s="98"/>
    </row>
    <row r="5540" spans="20:20" x14ac:dyDescent="0.25">
      <c r="T5540" s="98"/>
    </row>
    <row r="5541" spans="20:20" x14ac:dyDescent="0.25">
      <c r="T5541" s="98"/>
    </row>
    <row r="5542" spans="20:20" x14ac:dyDescent="0.25">
      <c r="T5542" s="98"/>
    </row>
    <row r="5543" spans="20:20" x14ac:dyDescent="0.25">
      <c r="T5543" s="98"/>
    </row>
    <row r="5544" spans="20:20" x14ac:dyDescent="0.25">
      <c r="T5544" s="98"/>
    </row>
    <row r="5545" spans="20:20" x14ac:dyDescent="0.25">
      <c r="T5545" s="98"/>
    </row>
    <row r="5546" spans="20:20" x14ac:dyDescent="0.25">
      <c r="T5546" s="98"/>
    </row>
    <row r="5547" spans="20:20" x14ac:dyDescent="0.25">
      <c r="T5547" s="98"/>
    </row>
    <row r="5548" spans="20:20" x14ac:dyDescent="0.25">
      <c r="T5548" s="98"/>
    </row>
    <row r="5549" spans="20:20" x14ac:dyDescent="0.25">
      <c r="T5549" s="98"/>
    </row>
    <row r="5550" spans="20:20" x14ac:dyDescent="0.25">
      <c r="T5550" s="98"/>
    </row>
    <row r="5551" spans="20:20" x14ac:dyDescent="0.25">
      <c r="T5551" s="98"/>
    </row>
    <row r="5552" spans="20:20" x14ac:dyDescent="0.25">
      <c r="T5552" s="98"/>
    </row>
    <row r="5553" spans="20:20" x14ac:dyDescent="0.25">
      <c r="T5553" s="98"/>
    </row>
    <row r="5554" spans="20:20" x14ac:dyDescent="0.25">
      <c r="T5554" s="98"/>
    </row>
    <row r="5555" spans="20:20" x14ac:dyDescent="0.25">
      <c r="T5555" s="98"/>
    </row>
    <row r="5556" spans="20:20" x14ac:dyDescent="0.25">
      <c r="T5556" s="98"/>
    </row>
    <row r="5557" spans="20:20" x14ac:dyDescent="0.25">
      <c r="T5557" s="98"/>
    </row>
    <row r="5558" spans="20:20" x14ac:dyDescent="0.25">
      <c r="T5558" s="98"/>
    </row>
    <row r="5559" spans="20:20" x14ac:dyDescent="0.25">
      <c r="T5559" s="98"/>
    </row>
    <row r="5560" spans="20:20" x14ac:dyDescent="0.25">
      <c r="T5560" s="98"/>
    </row>
    <row r="5561" spans="20:20" x14ac:dyDescent="0.25">
      <c r="T5561" s="98"/>
    </row>
    <row r="5562" spans="20:20" x14ac:dyDescent="0.25">
      <c r="T5562" s="98"/>
    </row>
    <row r="5563" spans="20:20" x14ac:dyDescent="0.25">
      <c r="T5563" s="98"/>
    </row>
    <row r="5564" spans="20:20" x14ac:dyDescent="0.25">
      <c r="T5564" s="98"/>
    </row>
    <row r="5565" spans="20:20" x14ac:dyDescent="0.25">
      <c r="T5565" s="98"/>
    </row>
    <row r="5566" spans="20:20" x14ac:dyDescent="0.25">
      <c r="T5566" s="98"/>
    </row>
    <row r="5567" spans="20:20" x14ac:dyDescent="0.25">
      <c r="T5567" s="98"/>
    </row>
    <row r="5568" spans="20:20" x14ac:dyDescent="0.25">
      <c r="T5568" s="98"/>
    </row>
    <row r="5569" spans="20:20" x14ac:dyDescent="0.25">
      <c r="T5569" s="98"/>
    </row>
    <row r="5570" spans="20:20" x14ac:dyDescent="0.25">
      <c r="T5570" s="98"/>
    </row>
    <row r="5571" spans="20:20" x14ac:dyDescent="0.25">
      <c r="T5571" s="98"/>
    </row>
    <row r="5572" spans="20:20" x14ac:dyDescent="0.25">
      <c r="T5572" s="98"/>
    </row>
    <row r="5573" spans="20:20" x14ac:dyDescent="0.25">
      <c r="T5573" s="98"/>
    </row>
    <row r="5574" spans="20:20" x14ac:dyDescent="0.25">
      <c r="T5574" s="98"/>
    </row>
    <row r="5575" spans="20:20" x14ac:dyDescent="0.25">
      <c r="T5575" s="98"/>
    </row>
    <row r="5576" spans="20:20" x14ac:dyDescent="0.25">
      <c r="T5576" s="98"/>
    </row>
    <row r="5577" spans="20:20" x14ac:dyDescent="0.25">
      <c r="T5577" s="98"/>
    </row>
    <row r="5578" spans="20:20" x14ac:dyDescent="0.25">
      <c r="T5578" s="98"/>
    </row>
    <row r="5579" spans="20:20" x14ac:dyDescent="0.25">
      <c r="T5579" s="98"/>
    </row>
    <row r="5580" spans="20:20" x14ac:dyDescent="0.25">
      <c r="T5580" s="98"/>
    </row>
    <row r="5581" spans="20:20" x14ac:dyDescent="0.25">
      <c r="T5581" s="98"/>
    </row>
    <row r="5582" spans="20:20" x14ac:dyDescent="0.25">
      <c r="T5582" s="98"/>
    </row>
    <row r="5583" spans="20:20" x14ac:dyDescent="0.25">
      <c r="T5583" s="98"/>
    </row>
    <row r="5584" spans="20:20" x14ac:dyDescent="0.25">
      <c r="T5584" s="98"/>
    </row>
    <row r="5585" spans="20:20" x14ac:dyDescent="0.25">
      <c r="T5585" s="98"/>
    </row>
    <row r="5586" spans="20:20" x14ac:dyDescent="0.25">
      <c r="T5586" s="98"/>
    </row>
    <row r="5587" spans="20:20" x14ac:dyDescent="0.25">
      <c r="T5587" s="98"/>
    </row>
    <row r="5588" spans="20:20" x14ac:dyDescent="0.25">
      <c r="T5588" s="98"/>
    </row>
    <row r="5589" spans="20:20" x14ac:dyDescent="0.25">
      <c r="T5589" s="98"/>
    </row>
    <row r="5590" spans="20:20" x14ac:dyDescent="0.25">
      <c r="T5590" s="98"/>
    </row>
    <row r="5591" spans="20:20" x14ac:dyDescent="0.25">
      <c r="T5591" s="98"/>
    </row>
    <row r="5592" spans="20:20" x14ac:dyDescent="0.25">
      <c r="T5592" s="98"/>
    </row>
    <row r="5593" spans="20:20" x14ac:dyDescent="0.25">
      <c r="T5593" s="98"/>
    </row>
    <row r="5594" spans="20:20" x14ac:dyDescent="0.25">
      <c r="T5594" s="98"/>
    </row>
    <row r="5595" spans="20:20" x14ac:dyDescent="0.25">
      <c r="T5595" s="98"/>
    </row>
    <row r="5596" spans="20:20" x14ac:dyDescent="0.25">
      <c r="T5596" s="98"/>
    </row>
    <row r="5597" spans="20:20" x14ac:dyDescent="0.25">
      <c r="T5597" s="98"/>
    </row>
    <row r="5598" spans="20:20" x14ac:dyDescent="0.25">
      <c r="T5598" s="98"/>
    </row>
    <row r="5599" spans="20:20" x14ac:dyDescent="0.25">
      <c r="T5599" s="98"/>
    </row>
    <row r="5600" spans="20:20" x14ac:dyDescent="0.25">
      <c r="T5600" s="98"/>
    </row>
    <row r="5601" spans="20:20" x14ac:dyDescent="0.25">
      <c r="T5601" s="98"/>
    </row>
    <row r="5602" spans="20:20" x14ac:dyDescent="0.25">
      <c r="T5602" s="98"/>
    </row>
    <row r="5603" spans="20:20" x14ac:dyDescent="0.25">
      <c r="T5603" s="98"/>
    </row>
    <row r="5604" spans="20:20" x14ac:dyDescent="0.25">
      <c r="T5604" s="98"/>
    </row>
    <row r="5605" spans="20:20" x14ac:dyDescent="0.25">
      <c r="T5605" s="98"/>
    </row>
    <row r="5606" spans="20:20" x14ac:dyDescent="0.25">
      <c r="T5606" s="98"/>
    </row>
    <row r="5607" spans="20:20" x14ac:dyDescent="0.25">
      <c r="T5607" s="98"/>
    </row>
    <row r="5608" spans="20:20" x14ac:dyDescent="0.25">
      <c r="T5608" s="98"/>
    </row>
    <row r="5609" spans="20:20" x14ac:dyDescent="0.25">
      <c r="T5609" s="98"/>
    </row>
    <row r="5610" spans="20:20" x14ac:dyDescent="0.25">
      <c r="T5610" s="98"/>
    </row>
    <row r="5611" spans="20:20" x14ac:dyDescent="0.25">
      <c r="T5611" s="98"/>
    </row>
    <row r="5612" spans="20:20" x14ac:dyDescent="0.25">
      <c r="T5612" s="98"/>
    </row>
    <row r="5613" spans="20:20" x14ac:dyDescent="0.25">
      <c r="T5613" s="98"/>
    </row>
    <row r="5614" spans="20:20" x14ac:dyDescent="0.25">
      <c r="T5614" s="98"/>
    </row>
    <row r="5615" spans="20:20" x14ac:dyDescent="0.25">
      <c r="T5615" s="98"/>
    </row>
    <row r="5616" spans="20:20" x14ac:dyDescent="0.25">
      <c r="T5616" s="98"/>
    </row>
    <row r="5617" spans="20:20" x14ac:dyDescent="0.25">
      <c r="T5617" s="98"/>
    </row>
    <row r="5618" spans="20:20" x14ac:dyDescent="0.25">
      <c r="T5618" s="98"/>
    </row>
    <row r="5619" spans="20:20" x14ac:dyDescent="0.25">
      <c r="T5619" s="98"/>
    </row>
    <row r="5620" spans="20:20" x14ac:dyDescent="0.25">
      <c r="T5620" s="98"/>
    </row>
    <row r="5621" spans="20:20" x14ac:dyDescent="0.25">
      <c r="T5621" s="98"/>
    </row>
    <row r="5622" spans="20:20" x14ac:dyDescent="0.25">
      <c r="T5622" s="98"/>
    </row>
    <row r="5623" spans="20:20" x14ac:dyDescent="0.25">
      <c r="T5623" s="98"/>
    </row>
    <row r="5624" spans="20:20" x14ac:dyDescent="0.25">
      <c r="T5624" s="98"/>
    </row>
    <row r="5625" spans="20:20" x14ac:dyDescent="0.25">
      <c r="T5625" s="98"/>
    </row>
    <row r="5626" spans="20:20" x14ac:dyDescent="0.25">
      <c r="T5626" s="98"/>
    </row>
    <row r="5627" spans="20:20" x14ac:dyDescent="0.25">
      <c r="T5627" s="98"/>
    </row>
    <row r="5628" spans="20:20" x14ac:dyDescent="0.25">
      <c r="T5628" s="98"/>
    </row>
    <row r="5629" spans="20:20" x14ac:dyDescent="0.25">
      <c r="T5629" s="98"/>
    </row>
    <row r="5630" spans="20:20" x14ac:dyDescent="0.25">
      <c r="T5630" s="98"/>
    </row>
    <row r="5631" spans="20:20" x14ac:dyDescent="0.25">
      <c r="T5631" s="98"/>
    </row>
    <row r="5632" spans="20:20" x14ac:dyDescent="0.25">
      <c r="T5632" s="98"/>
    </row>
    <row r="5633" spans="20:20" x14ac:dyDescent="0.25">
      <c r="T5633" s="98"/>
    </row>
    <row r="5634" spans="20:20" x14ac:dyDescent="0.25">
      <c r="T5634" s="98"/>
    </row>
    <row r="5635" spans="20:20" x14ac:dyDescent="0.25">
      <c r="T5635" s="98"/>
    </row>
    <row r="5636" spans="20:20" x14ac:dyDescent="0.25">
      <c r="T5636" s="98"/>
    </row>
    <row r="5637" spans="20:20" x14ac:dyDescent="0.25">
      <c r="T5637" s="98"/>
    </row>
    <row r="5638" spans="20:20" x14ac:dyDescent="0.25">
      <c r="T5638" s="98"/>
    </row>
    <row r="5639" spans="20:20" x14ac:dyDescent="0.25">
      <c r="T5639" s="98"/>
    </row>
    <row r="5640" spans="20:20" x14ac:dyDescent="0.25">
      <c r="T5640" s="98"/>
    </row>
    <row r="5641" spans="20:20" x14ac:dyDescent="0.25">
      <c r="T5641" s="98"/>
    </row>
    <row r="5642" spans="20:20" x14ac:dyDescent="0.25">
      <c r="T5642" s="98"/>
    </row>
    <row r="5643" spans="20:20" x14ac:dyDescent="0.25">
      <c r="T5643" s="98"/>
    </row>
    <row r="5644" spans="20:20" x14ac:dyDescent="0.25">
      <c r="T5644" s="98"/>
    </row>
    <row r="5645" spans="20:20" x14ac:dyDescent="0.25">
      <c r="T5645" s="98"/>
    </row>
    <row r="5646" spans="20:20" x14ac:dyDescent="0.25">
      <c r="T5646" s="98"/>
    </row>
    <row r="5647" spans="20:20" x14ac:dyDescent="0.25">
      <c r="T5647" s="98"/>
    </row>
    <row r="5648" spans="20:20" x14ac:dyDescent="0.25">
      <c r="T5648" s="98"/>
    </row>
    <row r="5649" spans="20:20" x14ac:dyDescent="0.25">
      <c r="T5649" s="98"/>
    </row>
    <row r="5650" spans="20:20" x14ac:dyDescent="0.25">
      <c r="T5650" s="98"/>
    </row>
    <row r="5651" spans="20:20" x14ac:dyDescent="0.25">
      <c r="T5651" s="98"/>
    </row>
    <row r="5652" spans="20:20" x14ac:dyDescent="0.25">
      <c r="T5652" s="98"/>
    </row>
    <row r="5653" spans="20:20" x14ac:dyDescent="0.25">
      <c r="T5653" s="98"/>
    </row>
    <row r="5654" spans="20:20" x14ac:dyDescent="0.25">
      <c r="T5654" s="98"/>
    </row>
    <row r="5655" spans="20:20" x14ac:dyDescent="0.25">
      <c r="T5655" s="98"/>
    </row>
    <row r="5656" spans="20:20" x14ac:dyDescent="0.25">
      <c r="T5656" s="98"/>
    </row>
    <row r="5657" spans="20:20" x14ac:dyDescent="0.25">
      <c r="T5657" s="98"/>
    </row>
    <row r="5658" spans="20:20" x14ac:dyDescent="0.25">
      <c r="T5658" s="98"/>
    </row>
    <row r="5659" spans="20:20" x14ac:dyDescent="0.25">
      <c r="T5659" s="98"/>
    </row>
    <row r="5660" spans="20:20" x14ac:dyDescent="0.25">
      <c r="T5660" s="98"/>
    </row>
    <row r="5661" spans="20:20" x14ac:dyDescent="0.25">
      <c r="T5661" s="98"/>
    </row>
    <row r="5662" spans="20:20" x14ac:dyDescent="0.25">
      <c r="T5662" s="98"/>
    </row>
    <row r="5663" spans="20:20" x14ac:dyDescent="0.25">
      <c r="T5663" s="98"/>
    </row>
    <row r="5664" spans="20:20" x14ac:dyDescent="0.25">
      <c r="T5664" s="98"/>
    </row>
    <row r="5665" spans="20:20" x14ac:dyDescent="0.25">
      <c r="T5665" s="98"/>
    </row>
    <row r="5666" spans="20:20" x14ac:dyDescent="0.25">
      <c r="T5666" s="98"/>
    </row>
    <row r="5667" spans="20:20" x14ac:dyDescent="0.25">
      <c r="T5667" s="98"/>
    </row>
    <row r="5668" spans="20:20" x14ac:dyDescent="0.25">
      <c r="T5668" s="98"/>
    </row>
    <row r="5669" spans="20:20" x14ac:dyDescent="0.25">
      <c r="T5669" s="98"/>
    </row>
    <row r="5670" spans="20:20" x14ac:dyDescent="0.25">
      <c r="T5670" s="98"/>
    </row>
    <row r="5671" spans="20:20" x14ac:dyDescent="0.25">
      <c r="T5671" s="98"/>
    </row>
    <row r="5672" spans="20:20" x14ac:dyDescent="0.25">
      <c r="T5672" s="98"/>
    </row>
    <row r="5673" spans="20:20" x14ac:dyDescent="0.25">
      <c r="T5673" s="98"/>
    </row>
    <row r="5674" spans="20:20" x14ac:dyDescent="0.25">
      <c r="T5674" s="98"/>
    </row>
    <row r="5675" spans="20:20" x14ac:dyDescent="0.25">
      <c r="T5675" s="98"/>
    </row>
    <row r="5676" spans="20:20" x14ac:dyDescent="0.25">
      <c r="T5676" s="98"/>
    </row>
    <row r="5677" spans="20:20" x14ac:dyDescent="0.25">
      <c r="T5677" s="98"/>
    </row>
    <row r="5678" spans="20:20" x14ac:dyDescent="0.25">
      <c r="T5678" s="98"/>
    </row>
    <row r="5679" spans="20:20" x14ac:dyDescent="0.25">
      <c r="T5679" s="98"/>
    </row>
    <row r="5680" spans="20:20" x14ac:dyDescent="0.25">
      <c r="T5680" s="98"/>
    </row>
    <row r="5681" spans="20:20" x14ac:dyDescent="0.25">
      <c r="T5681" s="98"/>
    </row>
    <row r="5682" spans="20:20" x14ac:dyDescent="0.25">
      <c r="T5682" s="98"/>
    </row>
    <row r="5683" spans="20:20" x14ac:dyDescent="0.25">
      <c r="T5683" s="98"/>
    </row>
    <row r="5684" spans="20:20" x14ac:dyDescent="0.25">
      <c r="T5684" s="98"/>
    </row>
    <row r="5685" spans="20:20" x14ac:dyDescent="0.25">
      <c r="T5685" s="98"/>
    </row>
    <row r="5686" spans="20:20" x14ac:dyDescent="0.25">
      <c r="T5686" s="98"/>
    </row>
    <row r="5687" spans="20:20" x14ac:dyDescent="0.25">
      <c r="T5687" s="98"/>
    </row>
    <row r="5688" spans="20:20" x14ac:dyDescent="0.25">
      <c r="T5688" s="98"/>
    </row>
    <row r="5689" spans="20:20" x14ac:dyDescent="0.25">
      <c r="T5689" s="98"/>
    </row>
    <row r="5690" spans="20:20" x14ac:dyDescent="0.25">
      <c r="T5690" s="98"/>
    </row>
    <row r="5691" spans="20:20" x14ac:dyDescent="0.25">
      <c r="T5691" s="98"/>
    </row>
    <row r="5692" spans="20:20" x14ac:dyDescent="0.25">
      <c r="T5692" s="98"/>
    </row>
    <row r="5693" spans="20:20" x14ac:dyDescent="0.25">
      <c r="T5693" s="98"/>
    </row>
    <row r="5694" spans="20:20" x14ac:dyDescent="0.25">
      <c r="T5694" s="98"/>
    </row>
    <row r="5695" spans="20:20" x14ac:dyDescent="0.25">
      <c r="T5695" s="98"/>
    </row>
    <row r="5696" spans="20:20" x14ac:dyDescent="0.25">
      <c r="T5696" s="98"/>
    </row>
    <row r="5697" spans="20:20" x14ac:dyDescent="0.25">
      <c r="T5697" s="98"/>
    </row>
    <row r="5698" spans="20:20" x14ac:dyDescent="0.25">
      <c r="T5698" s="98"/>
    </row>
    <row r="5699" spans="20:20" x14ac:dyDescent="0.25">
      <c r="T5699" s="98"/>
    </row>
    <row r="5700" spans="20:20" x14ac:dyDescent="0.25">
      <c r="T5700" s="98"/>
    </row>
    <row r="5701" spans="20:20" x14ac:dyDescent="0.25">
      <c r="T5701" s="98"/>
    </row>
    <row r="5702" spans="20:20" x14ac:dyDescent="0.25">
      <c r="T5702" s="98"/>
    </row>
    <row r="5703" spans="20:20" x14ac:dyDescent="0.25">
      <c r="T5703" s="98"/>
    </row>
    <row r="5704" spans="20:20" x14ac:dyDescent="0.25">
      <c r="T5704" s="98"/>
    </row>
    <row r="5705" spans="20:20" x14ac:dyDescent="0.25">
      <c r="T5705" s="98"/>
    </row>
    <row r="5706" spans="20:20" x14ac:dyDescent="0.25">
      <c r="T5706" s="98"/>
    </row>
    <row r="5707" spans="20:20" x14ac:dyDescent="0.25">
      <c r="T5707" s="98"/>
    </row>
    <row r="5708" spans="20:20" x14ac:dyDescent="0.25">
      <c r="T5708" s="98"/>
    </row>
    <row r="5709" spans="20:20" x14ac:dyDescent="0.25">
      <c r="T5709" s="98"/>
    </row>
    <row r="5710" spans="20:20" x14ac:dyDescent="0.25">
      <c r="T5710" s="98"/>
    </row>
    <row r="5711" spans="20:20" x14ac:dyDescent="0.25">
      <c r="T5711" s="98"/>
    </row>
    <row r="5712" spans="20:20" x14ac:dyDescent="0.25">
      <c r="T5712" s="98"/>
    </row>
    <row r="5713" spans="20:20" x14ac:dyDescent="0.25">
      <c r="T5713" s="98"/>
    </row>
    <row r="5714" spans="20:20" x14ac:dyDescent="0.25">
      <c r="T5714" s="98"/>
    </row>
    <row r="5715" spans="20:20" x14ac:dyDescent="0.25">
      <c r="T5715" s="98"/>
    </row>
    <row r="5716" spans="20:20" x14ac:dyDescent="0.25">
      <c r="T5716" s="98"/>
    </row>
    <row r="5717" spans="20:20" x14ac:dyDescent="0.25">
      <c r="T5717" s="98"/>
    </row>
    <row r="5718" spans="20:20" x14ac:dyDescent="0.25">
      <c r="T5718" s="98"/>
    </row>
    <row r="5719" spans="20:20" x14ac:dyDescent="0.25">
      <c r="T5719" s="98"/>
    </row>
    <row r="5720" spans="20:20" x14ac:dyDescent="0.25">
      <c r="T5720" s="98"/>
    </row>
    <row r="5721" spans="20:20" x14ac:dyDescent="0.25">
      <c r="T5721" s="98"/>
    </row>
    <row r="5722" spans="20:20" x14ac:dyDescent="0.25">
      <c r="T5722" s="98"/>
    </row>
    <row r="5723" spans="20:20" x14ac:dyDescent="0.25">
      <c r="T5723" s="98"/>
    </row>
    <row r="5724" spans="20:20" x14ac:dyDescent="0.25">
      <c r="T5724" s="98"/>
    </row>
    <row r="5725" spans="20:20" x14ac:dyDescent="0.25">
      <c r="T5725" s="98"/>
    </row>
    <row r="5726" spans="20:20" x14ac:dyDescent="0.25">
      <c r="T5726" s="98"/>
    </row>
    <row r="5727" spans="20:20" x14ac:dyDescent="0.25">
      <c r="T5727" s="98"/>
    </row>
    <row r="5728" spans="20:20" x14ac:dyDescent="0.25">
      <c r="T5728" s="98"/>
    </row>
    <row r="5729" spans="20:20" x14ac:dyDescent="0.25">
      <c r="T5729" s="98"/>
    </row>
    <row r="5730" spans="20:20" x14ac:dyDescent="0.25">
      <c r="T5730" s="98"/>
    </row>
    <row r="5731" spans="20:20" x14ac:dyDescent="0.25">
      <c r="T5731" s="98"/>
    </row>
    <row r="5732" spans="20:20" x14ac:dyDescent="0.25">
      <c r="T5732" s="98"/>
    </row>
    <row r="5733" spans="20:20" x14ac:dyDescent="0.25">
      <c r="T5733" s="98"/>
    </row>
    <row r="5734" spans="20:20" x14ac:dyDescent="0.25">
      <c r="T5734" s="98"/>
    </row>
    <row r="5735" spans="20:20" x14ac:dyDescent="0.25">
      <c r="T5735" s="98"/>
    </row>
    <row r="5736" spans="20:20" x14ac:dyDescent="0.25">
      <c r="T5736" s="98"/>
    </row>
    <row r="5737" spans="20:20" x14ac:dyDescent="0.25">
      <c r="T5737" s="98"/>
    </row>
    <row r="5738" spans="20:20" x14ac:dyDescent="0.25">
      <c r="T5738" s="98"/>
    </row>
    <row r="5739" spans="20:20" x14ac:dyDescent="0.25">
      <c r="T5739" s="98"/>
    </row>
    <row r="5740" spans="20:20" x14ac:dyDescent="0.25">
      <c r="T5740" s="98"/>
    </row>
    <row r="5741" spans="20:20" x14ac:dyDescent="0.25">
      <c r="T5741" s="98"/>
    </row>
    <row r="5742" spans="20:20" x14ac:dyDescent="0.25">
      <c r="T5742" s="98"/>
    </row>
    <row r="5743" spans="20:20" x14ac:dyDescent="0.25">
      <c r="T5743" s="98"/>
    </row>
    <row r="5744" spans="20:20" x14ac:dyDescent="0.25">
      <c r="T5744" s="98"/>
    </row>
    <row r="5745" spans="20:20" x14ac:dyDescent="0.25">
      <c r="T5745" s="98"/>
    </row>
    <row r="5746" spans="20:20" x14ac:dyDescent="0.25">
      <c r="T5746" s="98"/>
    </row>
    <row r="5747" spans="20:20" x14ac:dyDescent="0.25">
      <c r="T5747" s="98"/>
    </row>
    <row r="5748" spans="20:20" x14ac:dyDescent="0.25">
      <c r="T5748" s="98"/>
    </row>
    <row r="5749" spans="20:20" x14ac:dyDescent="0.25">
      <c r="T5749" s="98"/>
    </row>
    <row r="5750" spans="20:20" x14ac:dyDescent="0.25">
      <c r="T5750" s="98"/>
    </row>
    <row r="5751" spans="20:20" x14ac:dyDescent="0.25">
      <c r="T5751" s="98"/>
    </row>
    <row r="5752" spans="20:20" x14ac:dyDescent="0.25">
      <c r="T5752" s="98"/>
    </row>
    <row r="5753" spans="20:20" x14ac:dyDescent="0.25">
      <c r="T5753" s="98"/>
    </row>
    <row r="5754" spans="20:20" x14ac:dyDescent="0.25">
      <c r="T5754" s="98"/>
    </row>
    <row r="5755" spans="20:20" x14ac:dyDescent="0.25">
      <c r="T5755" s="98"/>
    </row>
    <row r="5756" spans="20:20" x14ac:dyDescent="0.25">
      <c r="T5756" s="98"/>
    </row>
    <row r="5757" spans="20:20" x14ac:dyDescent="0.25">
      <c r="T5757" s="98"/>
    </row>
    <row r="5758" spans="20:20" x14ac:dyDescent="0.25">
      <c r="T5758" s="98"/>
    </row>
    <row r="5759" spans="20:20" x14ac:dyDescent="0.25">
      <c r="T5759" s="98"/>
    </row>
    <row r="5760" spans="20:20" x14ac:dyDescent="0.25">
      <c r="T5760" s="98"/>
    </row>
    <row r="5761" spans="20:20" x14ac:dyDescent="0.25">
      <c r="T5761" s="98"/>
    </row>
    <row r="5762" spans="20:20" x14ac:dyDescent="0.25">
      <c r="T5762" s="98"/>
    </row>
    <row r="5763" spans="20:20" x14ac:dyDescent="0.25">
      <c r="T5763" s="98"/>
    </row>
    <row r="5764" spans="20:20" x14ac:dyDescent="0.25">
      <c r="T5764" s="98"/>
    </row>
    <row r="5765" spans="20:20" x14ac:dyDescent="0.25">
      <c r="T5765" s="98"/>
    </row>
    <row r="5766" spans="20:20" x14ac:dyDescent="0.25">
      <c r="T5766" s="98"/>
    </row>
    <row r="5767" spans="20:20" x14ac:dyDescent="0.25">
      <c r="T5767" s="98"/>
    </row>
    <row r="5768" spans="20:20" x14ac:dyDescent="0.25">
      <c r="T5768" s="98"/>
    </row>
    <row r="5769" spans="20:20" x14ac:dyDescent="0.25">
      <c r="T5769" s="98"/>
    </row>
    <row r="5770" spans="20:20" x14ac:dyDescent="0.25">
      <c r="T5770" s="98"/>
    </row>
    <row r="5771" spans="20:20" x14ac:dyDescent="0.25">
      <c r="T5771" s="98"/>
    </row>
    <row r="5772" spans="20:20" x14ac:dyDescent="0.25">
      <c r="T5772" s="98"/>
    </row>
    <row r="5773" spans="20:20" x14ac:dyDescent="0.25">
      <c r="T5773" s="98"/>
    </row>
    <row r="5774" spans="20:20" x14ac:dyDescent="0.25">
      <c r="T5774" s="98"/>
    </row>
    <row r="5775" spans="20:20" x14ac:dyDescent="0.25">
      <c r="T5775" s="98"/>
    </row>
    <row r="5776" spans="20:20" x14ac:dyDescent="0.25">
      <c r="T5776" s="98"/>
    </row>
    <row r="5777" spans="20:20" x14ac:dyDescent="0.25">
      <c r="T5777" s="98"/>
    </row>
    <row r="5778" spans="20:20" x14ac:dyDescent="0.25">
      <c r="T5778" s="98"/>
    </row>
    <row r="5779" spans="20:20" x14ac:dyDescent="0.25">
      <c r="T5779" s="98"/>
    </row>
    <row r="5780" spans="20:20" x14ac:dyDescent="0.25">
      <c r="T5780" s="98"/>
    </row>
    <row r="5781" spans="20:20" x14ac:dyDescent="0.25">
      <c r="T5781" s="98"/>
    </row>
    <row r="5782" spans="20:20" x14ac:dyDescent="0.25">
      <c r="T5782" s="98"/>
    </row>
    <row r="5783" spans="20:20" x14ac:dyDescent="0.25">
      <c r="T5783" s="98"/>
    </row>
    <row r="5784" spans="20:20" x14ac:dyDescent="0.25">
      <c r="T5784" s="98"/>
    </row>
    <row r="5785" spans="20:20" x14ac:dyDescent="0.25">
      <c r="T5785" s="98"/>
    </row>
    <row r="5786" spans="20:20" x14ac:dyDescent="0.25">
      <c r="T5786" s="98"/>
    </row>
    <row r="5787" spans="20:20" x14ac:dyDescent="0.25">
      <c r="T5787" s="98"/>
    </row>
    <row r="5788" spans="20:20" x14ac:dyDescent="0.25">
      <c r="T5788" s="98"/>
    </row>
    <row r="5789" spans="20:20" x14ac:dyDescent="0.25">
      <c r="T5789" s="98"/>
    </row>
    <row r="5790" spans="20:20" x14ac:dyDescent="0.25">
      <c r="T5790" s="98"/>
    </row>
    <row r="5791" spans="20:20" x14ac:dyDescent="0.25">
      <c r="T5791" s="98"/>
    </row>
    <row r="5792" spans="20:20" x14ac:dyDescent="0.25">
      <c r="T5792" s="98"/>
    </row>
    <row r="5793" spans="20:20" x14ac:dyDescent="0.25">
      <c r="T5793" s="98"/>
    </row>
    <row r="5794" spans="20:20" x14ac:dyDescent="0.25">
      <c r="T5794" s="98"/>
    </row>
    <row r="5795" spans="20:20" x14ac:dyDescent="0.25">
      <c r="T5795" s="98"/>
    </row>
    <row r="5796" spans="20:20" x14ac:dyDescent="0.25">
      <c r="T5796" s="98"/>
    </row>
    <row r="5797" spans="20:20" x14ac:dyDescent="0.25">
      <c r="T5797" s="98"/>
    </row>
    <row r="5798" spans="20:20" x14ac:dyDescent="0.25">
      <c r="T5798" s="98"/>
    </row>
    <row r="5799" spans="20:20" x14ac:dyDescent="0.25">
      <c r="T5799" s="98"/>
    </row>
    <row r="5800" spans="20:20" x14ac:dyDescent="0.25">
      <c r="T5800" s="98"/>
    </row>
    <row r="5801" spans="20:20" x14ac:dyDescent="0.25">
      <c r="T5801" s="98"/>
    </row>
    <row r="5802" spans="20:20" x14ac:dyDescent="0.25">
      <c r="T5802" s="98"/>
    </row>
    <row r="5803" spans="20:20" x14ac:dyDescent="0.25">
      <c r="T5803" s="98"/>
    </row>
    <row r="5804" spans="20:20" x14ac:dyDescent="0.25">
      <c r="T5804" s="98"/>
    </row>
    <row r="5805" spans="20:20" x14ac:dyDescent="0.25">
      <c r="T5805" s="98"/>
    </row>
    <row r="5806" spans="20:20" x14ac:dyDescent="0.25">
      <c r="T5806" s="98"/>
    </row>
    <row r="5807" spans="20:20" x14ac:dyDescent="0.25">
      <c r="T5807" s="98"/>
    </row>
    <row r="5808" spans="20:20" x14ac:dyDescent="0.25">
      <c r="T5808" s="98"/>
    </row>
    <row r="5809" spans="20:20" x14ac:dyDescent="0.25">
      <c r="T5809" s="98"/>
    </row>
    <row r="5810" spans="20:20" x14ac:dyDescent="0.25">
      <c r="T5810" s="98"/>
    </row>
    <row r="5811" spans="20:20" x14ac:dyDescent="0.25">
      <c r="T5811" s="98"/>
    </row>
    <row r="5812" spans="20:20" x14ac:dyDescent="0.25">
      <c r="T5812" s="98"/>
    </row>
    <row r="5813" spans="20:20" x14ac:dyDescent="0.25">
      <c r="T5813" s="98"/>
    </row>
    <row r="5814" spans="20:20" x14ac:dyDescent="0.25">
      <c r="T5814" s="98"/>
    </row>
    <row r="5815" spans="20:20" x14ac:dyDescent="0.25">
      <c r="T5815" s="98"/>
    </row>
    <row r="5816" spans="20:20" x14ac:dyDescent="0.25">
      <c r="T5816" s="98"/>
    </row>
    <row r="5817" spans="20:20" x14ac:dyDescent="0.25">
      <c r="T5817" s="98"/>
    </row>
    <row r="5818" spans="20:20" x14ac:dyDescent="0.25">
      <c r="T5818" s="98"/>
    </row>
    <row r="5819" spans="20:20" x14ac:dyDescent="0.25">
      <c r="T5819" s="98"/>
    </row>
    <row r="5820" spans="20:20" x14ac:dyDescent="0.25">
      <c r="T5820" s="98"/>
    </row>
    <row r="5821" spans="20:20" x14ac:dyDescent="0.25">
      <c r="T5821" s="98"/>
    </row>
    <row r="5822" spans="20:20" x14ac:dyDescent="0.25">
      <c r="T5822" s="98"/>
    </row>
    <row r="5823" spans="20:20" x14ac:dyDescent="0.25">
      <c r="T5823" s="98"/>
    </row>
    <row r="5824" spans="20:20" x14ac:dyDescent="0.25">
      <c r="T5824" s="98"/>
    </row>
    <row r="5825" spans="20:20" x14ac:dyDescent="0.25">
      <c r="T5825" s="98"/>
    </row>
    <row r="5826" spans="20:20" x14ac:dyDescent="0.25">
      <c r="T5826" s="98"/>
    </row>
    <row r="5827" spans="20:20" x14ac:dyDescent="0.25">
      <c r="T5827" s="98"/>
    </row>
    <row r="5828" spans="20:20" x14ac:dyDescent="0.25">
      <c r="T5828" s="98"/>
    </row>
    <row r="5829" spans="20:20" x14ac:dyDescent="0.25">
      <c r="T5829" s="98"/>
    </row>
    <row r="5830" spans="20:20" x14ac:dyDescent="0.25">
      <c r="T5830" s="98"/>
    </row>
    <row r="5831" spans="20:20" x14ac:dyDescent="0.25">
      <c r="T5831" s="98"/>
    </row>
    <row r="5832" spans="20:20" x14ac:dyDescent="0.25">
      <c r="T5832" s="98"/>
    </row>
    <row r="5833" spans="20:20" x14ac:dyDescent="0.25">
      <c r="T5833" s="98"/>
    </row>
    <row r="5834" spans="20:20" x14ac:dyDescent="0.25">
      <c r="T5834" s="98"/>
    </row>
    <row r="5835" spans="20:20" x14ac:dyDescent="0.25">
      <c r="T5835" s="98"/>
    </row>
    <row r="5836" spans="20:20" x14ac:dyDescent="0.25">
      <c r="T5836" s="98"/>
    </row>
    <row r="5837" spans="20:20" x14ac:dyDescent="0.25">
      <c r="T5837" s="98"/>
    </row>
    <row r="5838" spans="20:20" x14ac:dyDescent="0.25">
      <c r="T5838" s="98"/>
    </row>
    <row r="5839" spans="20:20" x14ac:dyDescent="0.25">
      <c r="T5839" s="98"/>
    </row>
    <row r="5840" spans="20:20" x14ac:dyDescent="0.25">
      <c r="T5840" s="98"/>
    </row>
    <row r="5841" spans="20:20" x14ac:dyDescent="0.25">
      <c r="T5841" s="98"/>
    </row>
    <row r="5842" spans="20:20" x14ac:dyDescent="0.25">
      <c r="T5842" s="98"/>
    </row>
    <row r="5843" spans="20:20" x14ac:dyDescent="0.25">
      <c r="T5843" s="98"/>
    </row>
    <row r="5844" spans="20:20" x14ac:dyDescent="0.25">
      <c r="T5844" s="98"/>
    </row>
    <row r="5845" spans="20:20" x14ac:dyDescent="0.25">
      <c r="T5845" s="98"/>
    </row>
    <row r="5846" spans="20:20" x14ac:dyDescent="0.25">
      <c r="T5846" s="98"/>
    </row>
    <row r="5847" spans="20:20" x14ac:dyDescent="0.25">
      <c r="T5847" s="98"/>
    </row>
    <row r="5848" spans="20:20" x14ac:dyDescent="0.25">
      <c r="T5848" s="98"/>
    </row>
    <row r="5849" spans="20:20" x14ac:dyDescent="0.25">
      <c r="T5849" s="98"/>
    </row>
    <row r="5850" spans="20:20" x14ac:dyDescent="0.25">
      <c r="T5850" s="98"/>
    </row>
    <row r="5851" spans="20:20" x14ac:dyDescent="0.25">
      <c r="T5851" s="98"/>
    </row>
    <row r="5852" spans="20:20" x14ac:dyDescent="0.25">
      <c r="T5852" s="98"/>
    </row>
    <row r="5853" spans="20:20" x14ac:dyDescent="0.25">
      <c r="T5853" s="98"/>
    </row>
    <row r="5854" spans="20:20" x14ac:dyDescent="0.25">
      <c r="T5854" s="98"/>
    </row>
    <row r="5855" spans="20:20" x14ac:dyDescent="0.25">
      <c r="T5855" s="98"/>
    </row>
    <row r="5856" spans="20:20" x14ac:dyDescent="0.25">
      <c r="T5856" s="98"/>
    </row>
    <row r="5857" spans="20:20" x14ac:dyDescent="0.25">
      <c r="T5857" s="98"/>
    </row>
    <row r="5858" spans="20:20" x14ac:dyDescent="0.25">
      <c r="T5858" s="98"/>
    </row>
    <row r="5859" spans="20:20" x14ac:dyDescent="0.25">
      <c r="T5859" s="98"/>
    </row>
    <row r="5860" spans="20:20" x14ac:dyDescent="0.25">
      <c r="T5860" s="98"/>
    </row>
    <row r="5861" spans="20:20" x14ac:dyDescent="0.25">
      <c r="T5861" s="98"/>
    </row>
    <row r="5862" spans="20:20" x14ac:dyDescent="0.25">
      <c r="T5862" s="98"/>
    </row>
    <row r="5863" spans="20:20" x14ac:dyDescent="0.25">
      <c r="T5863" s="98"/>
    </row>
    <row r="5864" spans="20:20" x14ac:dyDescent="0.25">
      <c r="T5864" s="98"/>
    </row>
    <row r="5865" spans="20:20" x14ac:dyDescent="0.25">
      <c r="T5865" s="98"/>
    </row>
    <row r="5866" spans="20:20" x14ac:dyDescent="0.25">
      <c r="T5866" s="98"/>
    </row>
    <row r="5867" spans="20:20" x14ac:dyDescent="0.25">
      <c r="T5867" s="98"/>
    </row>
    <row r="5868" spans="20:20" x14ac:dyDescent="0.25">
      <c r="T5868" s="98"/>
    </row>
    <row r="5869" spans="20:20" x14ac:dyDescent="0.25">
      <c r="T5869" s="98"/>
    </row>
    <row r="5870" spans="20:20" x14ac:dyDescent="0.25">
      <c r="T5870" s="98"/>
    </row>
    <row r="5871" spans="20:20" x14ac:dyDescent="0.25">
      <c r="T5871" s="98"/>
    </row>
    <row r="5872" spans="20:20" x14ac:dyDescent="0.25">
      <c r="T5872" s="98"/>
    </row>
    <row r="5873" spans="20:20" x14ac:dyDescent="0.25">
      <c r="T5873" s="98"/>
    </row>
    <row r="5874" spans="20:20" x14ac:dyDescent="0.25">
      <c r="T5874" s="98"/>
    </row>
    <row r="5875" spans="20:20" x14ac:dyDescent="0.25">
      <c r="T5875" s="98"/>
    </row>
    <row r="5876" spans="20:20" x14ac:dyDescent="0.25">
      <c r="T5876" s="98"/>
    </row>
    <row r="5877" spans="20:20" x14ac:dyDescent="0.25">
      <c r="T5877" s="98"/>
    </row>
    <row r="5878" spans="20:20" x14ac:dyDescent="0.25">
      <c r="T5878" s="98"/>
    </row>
    <row r="5879" spans="20:20" x14ac:dyDescent="0.25">
      <c r="T5879" s="98"/>
    </row>
    <row r="5880" spans="20:20" x14ac:dyDescent="0.25">
      <c r="T5880" s="98"/>
    </row>
    <row r="5881" spans="20:20" x14ac:dyDescent="0.25">
      <c r="T5881" s="98"/>
    </row>
    <row r="5882" spans="20:20" x14ac:dyDescent="0.25">
      <c r="T5882" s="98"/>
    </row>
    <row r="5883" spans="20:20" x14ac:dyDescent="0.25">
      <c r="T5883" s="98"/>
    </row>
    <row r="5884" spans="20:20" x14ac:dyDescent="0.25">
      <c r="T5884" s="98"/>
    </row>
    <row r="5885" spans="20:20" x14ac:dyDescent="0.25">
      <c r="T5885" s="98"/>
    </row>
    <row r="5886" spans="20:20" x14ac:dyDescent="0.25">
      <c r="T5886" s="98"/>
    </row>
    <row r="5887" spans="20:20" x14ac:dyDescent="0.25">
      <c r="T5887" s="98"/>
    </row>
    <row r="5888" spans="20:20" x14ac:dyDescent="0.25">
      <c r="T5888" s="98"/>
    </row>
    <row r="5889" spans="20:20" x14ac:dyDescent="0.25">
      <c r="T5889" s="98"/>
    </row>
    <row r="5890" spans="20:20" x14ac:dyDescent="0.25">
      <c r="T5890" s="98"/>
    </row>
    <row r="5891" spans="20:20" x14ac:dyDescent="0.25">
      <c r="T5891" s="98"/>
    </row>
    <row r="5892" spans="20:20" x14ac:dyDescent="0.25">
      <c r="T5892" s="98"/>
    </row>
    <row r="5893" spans="20:20" x14ac:dyDescent="0.25">
      <c r="T5893" s="98"/>
    </row>
    <row r="5894" spans="20:20" x14ac:dyDescent="0.25">
      <c r="T5894" s="98"/>
    </row>
    <row r="5895" spans="20:20" x14ac:dyDescent="0.25">
      <c r="T5895" s="98"/>
    </row>
    <row r="5896" spans="20:20" x14ac:dyDescent="0.25">
      <c r="T5896" s="98"/>
    </row>
    <row r="5897" spans="20:20" x14ac:dyDescent="0.25">
      <c r="T5897" s="98"/>
    </row>
    <row r="5898" spans="20:20" x14ac:dyDescent="0.25">
      <c r="T5898" s="98"/>
    </row>
    <row r="5899" spans="20:20" x14ac:dyDescent="0.25">
      <c r="T5899" s="98"/>
    </row>
    <row r="5900" spans="20:20" x14ac:dyDescent="0.25">
      <c r="T5900" s="98"/>
    </row>
    <row r="5901" spans="20:20" x14ac:dyDescent="0.25">
      <c r="T5901" s="98"/>
    </row>
    <row r="5902" spans="20:20" x14ac:dyDescent="0.25">
      <c r="T5902" s="98"/>
    </row>
    <row r="5903" spans="20:20" x14ac:dyDescent="0.25">
      <c r="T5903" s="98"/>
    </row>
    <row r="5904" spans="20:20" x14ac:dyDescent="0.25">
      <c r="T5904" s="98"/>
    </row>
    <row r="5905" spans="20:20" x14ac:dyDescent="0.25">
      <c r="T5905" s="98"/>
    </row>
    <row r="5906" spans="20:20" x14ac:dyDescent="0.25">
      <c r="T5906" s="98"/>
    </row>
    <row r="5907" spans="20:20" x14ac:dyDescent="0.25">
      <c r="T5907" s="98"/>
    </row>
    <row r="5908" spans="20:20" x14ac:dyDescent="0.25">
      <c r="T5908" s="98"/>
    </row>
    <row r="5909" spans="20:20" x14ac:dyDescent="0.25">
      <c r="T5909" s="98"/>
    </row>
    <row r="5910" spans="20:20" x14ac:dyDescent="0.25">
      <c r="T5910" s="98"/>
    </row>
    <row r="5911" spans="20:20" x14ac:dyDescent="0.25">
      <c r="T5911" s="98"/>
    </row>
    <row r="5912" spans="20:20" x14ac:dyDescent="0.25">
      <c r="T5912" s="98"/>
    </row>
    <row r="5913" spans="20:20" x14ac:dyDescent="0.25">
      <c r="T5913" s="98"/>
    </row>
    <row r="5914" spans="20:20" x14ac:dyDescent="0.25">
      <c r="T5914" s="98"/>
    </row>
    <row r="5915" spans="20:20" x14ac:dyDescent="0.25">
      <c r="T5915" s="98"/>
    </row>
    <row r="5916" spans="20:20" x14ac:dyDescent="0.25">
      <c r="T5916" s="98"/>
    </row>
    <row r="5917" spans="20:20" x14ac:dyDescent="0.25">
      <c r="T5917" s="98"/>
    </row>
    <row r="5918" spans="20:20" x14ac:dyDescent="0.25">
      <c r="T5918" s="98"/>
    </row>
    <row r="5919" spans="20:20" x14ac:dyDescent="0.25">
      <c r="T5919" s="98"/>
    </row>
    <row r="5920" spans="20:20" x14ac:dyDescent="0.25">
      <c r="T5920" s="98"/>
    </row>
    <row r="5921" spans="20:20" x14ac:dyDescent="0.25">
      <c r="T5921" s="98"/>
    </row>
    <row r="5922" spans="20:20" x14ac:dyDescent="0.25">
      <c r="T5922" s="98"/>
    </row>
    <row r="5923" spans="20:20" x14ac:dyDescent="0.25">
      <c r="T5923" s="98"/>
    </row>
    <row r="5924" spans="20:20" x14ac:dyDescent="0.25">
      <c r="T5924" s="98"/>
    </row>
    <row r="5925" spans="20:20" x14ac:dyDescent="0.25">
      <c r="T5925" s="98"/>
    </row>
    <row r="5926" spans="20:20" x14ac:dyDescent="0.25">
      <c r="T5926" s="98"/>
    </row>
    <row r="5927" spans="20:20" x14ac:dyDescent="0.25">
      <c r="T5927" s="98"/>
    </row>
    <row r="5928" spans="20:20" x14ac:dyDescent="0.25">
      <c r="T5928" s="98"/>
    </row>
    <row r="5929" spans="20:20" x14ac:dyDescent="0.25">
      <c r="T5929" s="98"/>
    </row>
    <row r="5930" spans="20:20" x14ac:dyDescent="0.25">
      <c r="T5930" s="98"/>
    </row>
    <row r="5931" spans="20:20" x14ac:dyDescent="0.25">
      <c r="T5931" s="98"/>
    </row>
    <row r="5932" spans="20:20" x14ac:dyDescent="0.25">
      <c r="T5932" s="98"/>
    </row>
    <row r="5933" spans="20:20" x14ac:dyDescent="0.25">
      <c r="T5933" s="98"/>
    </row>
    <row r="5934" spans="20:20" x14ac:dyDescent="0.25">
      <c r="T5934" s="98"/>
    </row>
    <row r="5935" spans="20:20" x14ac:dyDescent="0.25">
      <c r="T5935" s="98"/>
    </row>
    <row r="5936" spans="20:20" x14ac:dyDescent="0.25">
      <c r="T5936" s="98"/>
    </row>
    <row r="5937" spans="20:20" x14ac:dyDescent="0.25">
      <c r="T5937" s="98"/>
    </row>
    <row r="5938" spans="20:20" x14ac:dyDescent="0.25">
      <c r="T5938" s="98"/>
    </row>
    <row r="5939" spans="20:20" x14ac:dyDescent="0.25">
      <c r="T5939" s="98"/>
    </row>
    <row r="5940" spans="20:20" x14ac:dyDescent="0.25">
      <c r="T5940" s="98"/>
    </row>
    <row r="5941" spans="20:20" x14ac:dyDescent="0.25">
      <c r="T5941" s="98"/>
    </row>
    <row r="5942" spans="20:20" x14ac:dyDescent="0.25">
      <c r="T5942" s="98"/>
    </row>
    <row r="5943" spans="20:20" x14ac:dyDescent="0.25">
      <c r="T5943" s="98"/>
    </row>
    <row r="5944" spans="20:20" x14ac:dyDescent="0.25">
      <c r="T5944" s="98"/>
    </row>
    <row r="5945" spans="20:20" x14ac:dyDescent="0.25">
      <c r="T5945" s="98"/>
    </row>
    <row r="5946" spans="20:20" x14ac:dyDescent="0.25">
      <c r="T5946" s="98"/>
    </row>
    <row r="5947" spans="20:20" x14ac:dyDescent="0.25">
      <c r="T5947" s="98"/>
    </row>
    <row r="5948" spans="20:20" x14ac:dyDescent="0.25">
      <c r="T5948" s="98"/>
    </row>
    <row r="5949" spans="20:20" x14ac:dyDescent="0.25">
      <c r="T5949" s="98"/>
    </row>
    <row r="5950" spans="20:20" x14ac:dyDescent="0.25">
      <c r="T5950" s="98"/>
    </row>
    <row r="5951" spans="20:20" x14ac:dyDescent="0.25">
      <c r="T5951" s="98"/>
    </row>
    <row r="5952" spans="20:20" x14ac:dyDescent="0.25">
      <c r="T5952" s="98"/>
    </row>
    <row r="5953" spans="20:20" x14ac:dyDescent="0.25">
      <c r="T5953" s="98"/>
    </row>
    <row r="5954" spans="20:20" x14ac:dyDescent="0.25">
      <c r="T5954" s="98"/>
    </row>
    <row r="5955" spans="20:20" x14ac:dyDescent="0.25">
      <c r="T5955" s="98"/>
    </row>
    <row r="5956" spans="20:20" x14ac:dyDescent="0.25">
      <c r="T5956" s="98"/>
    </row>
    <row r="5957" spans="20:20" x14ac:dyDescent="0.25">
      <c r="T5957" s="98"/>
    </row>
    <row r="5958" spans="20:20" x14ac:dyDescent="0.25">
      <c r="T5958" s="98"/>
    </row>
    <row r="5959" spans="20:20" x14ac:dyDescent="0.25">
      <c r="T5959" s="98"/>
    </row>
    <row r="5960" spans="20:20" x14ac:dyDescent="0.25">
      <c r="T5960" s="98"/>
    </row>
    <row r="5961" spans="20:20" x14ac:dyDescent="0.25">
      <c r="T5961" s="98"/>
    </row>
    <row r="5962" spans="20:20" x14ac:dyDescent="0.25">
      <c r="T5962" s="98"/>
    </row>
    <row r="5963" spans="20:20" x14ac:dyDescent="0.25">
      <c r="T5963" s="98"/>
    </row>
    <row r="5964" spans="20:20" x14ac:dyDescent="0.25">
      <c r="T5964" s="98"/>
    </row>
    <row r="5965" spans="20:20" x14ac:dyDescent="0.25">
      <c r="T5965" s="98"/>
    </row>
    <row r="5966" spans="20:20" x14ac:dyDescent="0.25">
      <c r="T5966" s="98"/>
    </row>
    <row r="5967" spans="20:20" x14ac:dyDescent="0.25">
      <c r="T5967" s="98"/>
    </row>
    <row r="5968" spans="20:20" x14ac:dyDescent="0.25">
      <c r="T5968" s="98"/>
    </row>
    <row r="5969" spans="20:20" x14ac:dyDescent="0.25">
      <c r="T5969" s="98"/>
    </row>
    <row r="5970" spans="20:20" x14ac:dyDescent="0.25">
      <c r="T5970" s="98"/>
    </row>
    <row r="5971" spans="20:20" x14ac:dyDescent="0.25">
      <c r="T5971" s="98"/>
    </row>
    <row r="5972" spans="20:20" x14ac:dyDescent="0.25">
      <c r="T5972" s="98"/>
    </row>
    <row r="5973" spans="20:20" x14ac:dyDescent="0.25">
      <c r="T5973" s="98"/>
    </row>
    <row r="5974" spans="20:20" x14ac:dyDescent="0.25">
      <c r="T5974" s="98"/>
    </row>
    <row r="5975" spans="20:20" x14ac:dyDescent="0.25">
      <c r="T5975" s="98"/>
    </row>
    <row r="5976" spans="20:20" x14ac:dyDescent="0.25">
      <c r="T5976" s="98"/>
    </row>
    <row r="5977" spans="20:20" x14ac:dyDescent="0.25">
      <c r="T5977" s="98"/>
    </row>
    <row r="5978" spans="20:20" x14ac:dyDescent="0.25">
      <c r="T5978" s="98"/>
    </row>
    <row r="5979" spans="20:20" x14ac:dyDescent="0.25">
      <c r="T5979" s="98"/>
    </row>
    <row r="5980" spans="20:20" x14ac:dyDescent="0.25">
      <c r="T5980" s="98"/>
    </row>
    <row r="5981" spans="20:20" x14ac:dyDescent="0.25">
      <c r="T5981" s="98"/>
    </row>
    <row r="5982" spans="20:20" x14ac:dyDescent="0.25">
      <c r="T5982" s="98"/>
    </row>
    <row r="5983" spans="20:20" x14ac:dyDescent="0.25">
      <c r="T5983" s="98"/>
    </row>
    <row r="5984" spans="20:20" x14ac:dyDescent="0.25">
      <c r="T5984" s="98"/>
    </row>
    <row r="5985" spans="20:20" x14ac:dyDescent="0.25">
      <c r="T5985" s="98"/>
    </row>
    <row r="5986" spans="20:20" x14ac:dyDescent="0.25">
      <c r="T5986" s="98"/>
    </row>
    <row r="5987" spans="20:20" x14ac:dyDescent="0.25">
      <c r="T5987" s="98"/>
    </row>
    <row r="5988" spans="20:20" x14ac:dyDescent="0.25">
      <c r="T5988" s="98"/>
    </row>
    <row r="5989" spans="20:20" x14ac:dyDescent="0.25">
      <c r="T5989" s="98"/>
    </row>
    <row r="5990" spans="20:20" x14ac:dyDescent="0.25">
      <c r="T5990" s="98"/>
    </row>
    <row r="5991" spans="20:20" x14ac:dyDescent="0.25">
      <c r="T5991" s="98"/>
    </row>
    <row r="5992" spans="20:20" x14ac:dyDescent="0.25">
      <c r="T5992" s="98"/>
    </row>
    <row r="5993" spans="20:20" x14ac:dyDescent="0.25">
      <c r="T5993" s="98"/>
    </row>
    <row r="5994" spans="20:20" x14ac:dyDescent="0.25">
      <c r="T5994" s="98"/>
    </row>
    <row r="5995" spans="20:20" x14ac:dyDescent="0.25">
      <c r="T5995" s="98"/>
    </row>
    <row r="5996" spans="20:20" x14ac:dyDescent="0.25">
      <c r="T5996" s="98"/>
    </row>
    <row r="5997" spans="20:20" x14ac:dyDescent="0.25">
      <c r="T5997" s="98"/>
    </row>
    <row r="5998" spans="20:20" x14ac:dyDescent="0.25">
      <c r="T5998" s="98"/>
    </row>
    <row r="5999" spans="20:20" x14ac:dyDescent="0.25">
      <c r="T5999" s="98"/>
    </row>
    <row r="6000" spans="20:20" x14ac:dyDescent="0.25">
      <c r="T6000" s="98"/>
    </row>
    <row r="6001" spans="20:20" x14ac:dyDescent="0.25">
      <c r="T6001" s="98"/>
    </row>
    <row r="6002" spans="20:20" x14ac:dyDescent="0.25">
      <c r="T6002" s="98"/>
    </row>
    <row r="6003" spans="20:20" x14ac:dyDescent="0.25">
      <c r="T6003" s="98"/>
    </row>
    <row r="6004" spans="20:20" x14ac:dyDescent="0.25">
      <c r="T6004" s="98"/>
    </row>
    <row r="6005" spans="20:20" x14ac:dyDescent="0.25">
      <c r="T6005" s="98"/>
    </row>
    <row r="6006" spans="20:20" x14ac:dyDescent="0.25">
      <c r="T6006" s="98"/>
    </row>
    <row r="6007" spans="20:20" x14ac:dyDescent="0.25">
      <c r="T6007" s="98"/>
    </row>
    <row r="6008" spans="20:20" x14ac:dyDescent="0.25">
      <c r="T6008" s="98"/>
    </row>
    <row r="6009" spans="20:20" x14ac:dyDescent="0.25">
      <c r="T6009" s="98"/>
    </row>
    <row r="6010" spans="20:20" x14ac:dyDescent="0.25">
      <c r="T6010" s="98"/>
    </row>
    <row r="6011" spans="20:20" x14ac:dyDescent="0.25">
      <c r="T6011" s="98"/>
    </row>
    <row r="6012" spans="20:20" x14ac:dyDescent="0.25">
      <c r="T6012" s="98"/>
    </row>
    <row r="6013" spans="20:20" x14ac:dyDescent="0.25">
      <c r="T6013" s="98"/>
    </row>
    <row r="6014" spans="20:20" x14ac:dyDescent="0.25">
      <c r="T6014" s="98"/>
    </row>
    <row r="6015" spans="20:20" x14ac:dyDescent="0.25">
      <c r="T6015" s="98"/>
    </row>
    <row r="6016" spans="20:20" x14ac:dyDescent="0.25">
      <c r="T6016" s="98"/>
    </row>
    <row r="6017" spans="20:20" x14ac:dyDescent="0.25">
      <c r="T6017" s="98"/>
    </row>
    <row r="6018" spans="20:20" x14ac:dyDescent="0.25">
      <c r="T6018" s="98"/>
    </row>
    <row r="6019" spans="20:20" x14ac:dyDescent="0.25">
      <c r="T6019" s="98"/>
    </row>
    <row r="6020" spans="20:20" x14ac:dyDescent="0.25">
      <c r="T6020" s="98"/>
    </row>
    <row r="6021" spans="20:20" x14ac:dyDescent="0.25">
      <c r="T6021" s="98"/>
    </row>
    <row r="6022" spans="20:20" x14ac:dyDescent="0.25">
      <c r="T6022" s="98"/>
    </row>
    <row r="6023" spans="20:20" x14ac:dyDescent="0.25">
      <c r="T6023" s="98"/>
    </row>
    <row r="6024" spans="20:20" x14ac:dyDescent="0.25">
      <c r="T6024" s="98"/>
    </row>
    <row r="6025" spans="20:20" x14ac:dyDescent="0.25">
      <c r="T6025" s="98"/>
    </row>
    <row r="6026" spans="20:20" x14ac:dyDescent="0.25">
      <c r="T6026" s="98"/>
    </row>
    <row r="6027" spans="20:20" x14ac:dyDescent="0.25">
      <c r="T6027" s="98"/>
    </row>
    <row r="6028" spans="20:20" x14ac:dyDescent="0.25">
      <c r="T6028" s="98"/>
    </row>
    <row r="6029" spans="20:20" x14ac:dyDescent="0.25">
      <c r="T6029" s="98"/>
    </row>
    <row r="6030" spans="20:20" x14ac:dyDescent="0.25">
      <c r="T6030" s="98"/>
    </row>
    <row r="6031" spans="20:20" x14ac:dyDescent="0.25">
      <c r="T6031" s="98"/>
    </row>
    <row r="6032" spans="20:20" x14ac:dyDescent="0.25">
      <c r="T6032" s="98"/>
    </row>
    <row r="6033" spans="20:20" x14ac:dyDescent="0.25">
      <c r="T6033" s="98"/>
    </row>
    <row r="6034" spans="20:20" x14ac:dyDescent="0.25">
      <c r="T6034" s="98"/>
    </row>
    <row r="6035" spans="20:20" x14ac:dyDescent="0.25">
      <c r="T6035" s="98"/>
    </row>
    <row r="6036" spans="20:20" x14ac:dyDescent="0.25">
      <c r="T6036" s="98"/>
    </row>
    <row r="6037" spans="20:20" x14ac:dyDescent="0.25">
      <c r="T6037" s="98"/>
    </row>
    <row r="6038" spans="20:20" x14ac:dyDescent="0.25">
      <c r="T6038" s="98"/>
    </row>
    <row r="6039" spans="20:20" x14ac:dyDescent="0.25">
      <c r="T6039" s="98"/>
    </row>
    <row r="6040" spans="20:20" x14ac:dyDescent="0.25">
      <c r="T6040" s="98"/>
    </row>
    <row r="6041" spans="20:20" x14ac:dyDescent="0.25">
      <c r="T6041" s="98"/>
    </row>
    <row r="6042" spans="20:20" x14ac:dyDescent="0.25">
      <c r="T6042" s="98"/>
    </row>
    <row r="6043" spans="20:20" x14ac:dyDescent="0.25">
      <c r="T6043" s="98"/>
    </row>
    <row r="6044" spans="20:20" x14ac:dyDescent="0.25">
      <c r="T6044" s="98"/>
    </row>
    <row r="6045" spans="20:20" x14ac:dyDescent="0.25">
      <c r="T6045" s="98"/>
    </row>
    <row r="6046" spans="20:20" x14ac:dyDescent="0.25">
      <c r="T6046" s="98"/>
    </row>
    <row r="6047" spans="20:20" x14ac:dyDescent="0.25">
      <c r="T6047" s="98"/>
    </row>
    <row r="6048" spans="20:20" x14ac:dyDescent="0.25">
      <c r="T6048" s="98"/>
    </row>
    <row r="6049" spans="20:20" x14ac:dyDescent="0.25">
      <c r="T6049" s="98"/>
    </row>
    <row r="6050" spans="20:20" x14ac:dyDescent="0.25">
      <c r="T6050" s="98"/>
    </row>
    <row r="6051" spans="20:20" x14ac:dyDescent="0.25">
      <c r="T6051" s="98"/>
    </row>
    <row r="6052" spans="20:20" x14ac:dyDescent="0.25">
      <c r="T6052" s="98"/>
    </row>
    <row r="6053" spans="20:20" x14ac:dyDescent="0.25">
      <c r="T6053" s="98"/>
    </row>
    <row r="6054" spans="20:20" x14ac:dyDescent="0.25">
      <c r="T6054" s="98"/>
    </row>
    <row r="6055" spans="20:20" x14ac:dyDescent="0.25">
      <c r="T6055" s="98"/>
    </row>
    <row r="6056" spans="20:20" x14ac:dyDescent="0.25">
      <c r="T6056" s="98"/>
    </row>
    <row r="6057" spans="20:20" x14ac:dyDescent="0.25">
      <c r="T6057" s="98"/>
    </row>
    <row r="6058" spans="20:20" x14ac:dyDescent="0.25">
      <c r="T6058" s="98"/>
    </row>
    <row r="6059" spans="20:20" x14ac:dyDescent="0.25">
      <c r="T6059" s="98"/>
    </row>
    <row r="6060" spans="20:20" x14ac:dyDescent="0.25">
      <c r="T6060" s="98"/>
    </row>
    <row r="6061" spans="20:20" x14ac:dyDescent="0.25">
      <c r="T6061" s="98"/>
    </row>
    <row r="6062" spans="20:20" x14ac:dyDescent="0.25">
      <c r="T6062" s="98"/>
    </row>
    <row r="6063" spans="20:20" x14ac:dyDescent="0.25">
      <c r="T6063" s="98"/>
    </row>
    <row r="6064" spans="20:20" x14ac:dyDescent="0.25">
      <c r="T6064" s="98"/>
    </row>
    <row r="6065" spans="20:20" x14ac:dyDescent="0.25">
      <c r="T6065" s="98"/>
    </row>
    <row r="6066" spans="20:20" x14ac:dyDescent="0.25">
      <c r="T6066" s="98"/>
    </row>
    <row r="6067" spans="20:20" x14ac:dyDescent="0.25">
      <c r="T6067" s="98"/>
    </row>
    <row r="6068" spans="20:20" x14ac:dyDescent="0.25">
      <c r="T6068" s="98"/>
    </row>
    <row r="6069" spans="20:20" x14ac:dyDescent="0.25">
      <c r="T6069" s="98"/>
    </row>
    <row r="6070" spans="20:20" x14ac:dyDescent="0.25">
      <c r="T6070" s="98"/>
    </row>
    <row r="6071" spans="20:20" x14ac:dyDescent="0.25">
      <c r="T6071" s="98"/>
    </row>
    <row r="6072" spans="20:20" x14ac:dyDescent="0.25">
      <c r="T6072" s="98"/>
    </row>
    <row r="6073" spans="20:20" x14ac:dyDescent="0.25">
      <c r="T6073" s="98"/>
    </row>
    <row r="6074" spans="20:20" x14ac:dyDescent="0.25">
      <c r="T6074" s="98"/>
    </row>
    <row r="6075" spans="20:20" x14ac:dyDescent="0.25">
      <c r="T6075" s="98"/>
    </row>
    <row r="6076" spans="20:20" x14ac:dyDescent="0.25">
      <c r="T6076" s="98"/>
    </row>
    <row r="6077" spans="20:20" x14ac:dyDescent="0.25">
      <c r="T6077" s="98"/>
    </row>
    <row r="6078" spans="20:20" x14ac:dyDescent="0.25">
      <c r="T6078" s="98"/>
    </row>
    <row r="6079" spans="20:20" x14ac:dyDescent="0.25">
      <c r="T6079" s="98"/>
    </row>
    <row r="6080" spans="20:20" x14ac:dyDescent="0.25">
      <c r="T6080" s="98"/>
    </row>
    <row r="6081" spans="20:20" x14ac:dyDescent="0.25">
      <c r="T6081" s="98"/>
    </row>
    <row r="6082" spans="20:20" x14ac:dyDescent="0.25">
      <c r="T6082" s="98"/>
    </row>
    <row r="6083" spans="20:20" x14ac:dyDescent="0.25">
      <c r="T6083" s="98"/>
    </row>
    <row r="6084" spans="20:20" x14ac:dyDescent="0.25">
      <c r="T6084" s="98"/>
    </row>
    <row r="6085" spans="20:20" x14ac:dyDescent="0.25">
      <c r="T6085" s="98"/>
    </row>
    <row r="6086" spans="20:20" x14ac:dyDescent="0.25">
      <c r="T6086" s="98"/>
    </row>
    <row r="6087" spans="20:20" x14ac:dyDescent="0.25">
      <c r="T6087" s="98"/>
    </row>
    <row r="6088" spans="20:20" x14ac:dyDescent="0.25">
      <c r="T6088" s="98"/>
    </row>
    <row r="6089" spans="20:20" x14ac:dyDescent="0.25">
      <c r="T6089" s="98"/>
    </row>
    <row r="6090" spans="20:20" x14ac:dyDescent="0.25">
      <c r="T6090" s="98"/>
    </row>
    <row r="6091" spans="20:20" x14ac:dyDescent="0.25">
      <c r="T6091" s="98"/>
    </row>
    <row r="6092" spans="20:20" x14ac:dyDescent="0.25">
      <c r="T6092" s="98"/>
    </row>
    <row r="6093" spans="20:20" x14ac:dyDescent="0.25">
      <c r="T6093" s="98"/>
    </row>
    <row r="6094" spans="20:20" x14ac:dyDescent="0.25">
      <c r="T6094" s="98"/>
    </row>
    <row r="6095" spans="20:20" x14ac:dyDescent="0.25">
      <c r="T6095" s="98"/>
    </row>
    <row r="6096" spans="20:20" x14ac:dyDescent="0.25">
      <c r="T6096" s="98"/>
    </row>
    <row r="6097" spans="20:20" x14ac:dyDescent="0.25">
      <c r="T6097" s="98"/>
    </row>
    <row r="6098" spans="20:20" x14ac:dyDescent="0.25">
      <c r="T6098" s="98"/>
    </row>
    <row r="6099" spans="20:20" x14ac:dyDescent="0.25">
      <c r="T6099" s="98"/>
    </row>
    <row r="6100" spans="20:20" x14ac:dyDescent="0.25">
      <c r="T6100" s="98"/>
    </row>
    <row r="6101" spans="20:20" x14ac:dyDescent="0.25">
      <c r="T6101" s="98"/>
    </row>
    <row r="6102" spans="20:20" x14ac:dyDescent="0.25">
      <c r="T6102" s="98"/>
    </row>
    <row r="6103" spans="20:20" x14ac:dyDescent="0.25">
      <c r="T6103" s="98"/>
    </row>
    <row r="6104" spans="20:20" x14ac:dyDescent="0.25">
      <c r="T6104" s="98"/>
    </row>
    <row r="6105" spans="20:20" x14ac:dyDescent="0.25">
      <c r="T6105" s="98"/>
    </row>
    <row r="6106" spans="20:20" x14ac:dyDescent="0.25">
      <c r="T6106" s="98"/>
    </row>
    <row r="6107" spans="20:20" x14ac:dyDescent="0.25">
      <c r="T6107" s="98"/>
    </row>
    <row r="6108" spans="20:20" x14ac:dyDescent="0.25">
      <c r="T6108" s="98"/>
    </row>
    <row r="6109" spans="20:20" x14ac:dyDescent="0.25">
      <c r="T6109" s="98"/>
    </row>
    <row r="6110" spans="20:20" x14ac:dyDescent="0.25">
      <c r="T6110" s="98"/>
    </row>
    <row r="6111" spans="20:20" x14ac:dyDescent="0.25">
      <c r="T6111" s="98"/>
    </row>
    <row r="6112" spans="20:20" x14ac:dyDescent="0.25">
      <c r="T6112" s="98"/>
    </row>
    <row r="6113" spans="20:20" x14ac:dyDescent="0.25">
      <c r="T6113" s="98"/>
    </row>
    <row r="6114" spans="20:20" x14ac:dyDescent="0.25">
      <c r="T6114" s="98"/>
    </row>
    <row r="6115" spans="20:20" x14ac:dyDescent="0.25">
      <c r="T6115" s="98"/>
    </row>
    <row r="6116" spans="20:20" x14ac:dyDescent="0.25">
      <c r="T6116" s="98"/>
    </row>
    <row r="6117" spans="20:20" x14ac:dyDescent="0.25">
      <c r="T6117" s="98"/>
    </row>
    <row r="6118" spans="20:20" x14ac:dyDescent="0.25">
      <c r="T6118" s="98"/>
    </row>
    <row r="6119" spans="20:20" x14ac:dyDescent="0.25">
      <c r="T6119" s="98"/>
    </row>
    <row r="6120" spans="20:20" x14ac:dyDescent="0.25">
      <c r="T6120" s="98"/>
    </row>
    <row r="6121" spans="20:20" x14ac:dyDescent="0.25">
      <c r="T6121" s="98"/>
    </row>
    <row r="6122" spans="20:20" x14ac:dyDescent="0.25">
      <c r="T6122" s="98"/>
    </row>
    <row r="6123" spans="20:20" x14ac:dyDescent="0.25">
      <c r="T6123" s="98"/>
    </row>
    <row r="6124" spans="20:20" x14ac:dyDescent="0.25">
      <c r="T6124" s="98"/>
    </row>
    <row r="6125" spans="20:20" x14ac:dyDescent="0.25">
      <c r="T6125" s="98"/>
    </row>
    <row r="6126" spans="20:20" x14ac:dyDescent="0.25">
      <c r="T6126" s="98"/>
    </row>
    <row r="6127" spans="20:20" x14ac:dyDescent="0.25">
      <c r="T6127" s="98"/>
    </row>
    <row r="6128" spans="20:20" x14ac:dyDescent="0.25">
      <c r="T6128" s="98"/>
    </row>
    <row r="6129" spans="20:20" x14ac:dyDescent="0.25">
      <c r="T6129" s="98"/>
    </row>
    <row r="6130" spans="20:20" x14ac:dyDescent="0.25">
      <c r="T6130" s="98"/>
    </row>
    <row r="6131" spans="20:20" x14ac:dyDescent="0.25">
      <c r="T6131" s="98"/>
    </row>
    <row r="6132" spans="20:20" x14ac:dyDescent="0.25">
      <c r="T6132" s="98"/>
    </row>
    <row r="6133" spans="20:20" x14ac:dyDescent="0.25">
      <c r="T6133" s="98"/>
    </row>
    <row r="6134" spans="20:20" x14ac:dyDescent="0.25">
      <c r="T6134" s="98"/>
    </row>
    <row r="6135" spans="20:20" x14ac:dyDescent="0.25">
      <c r="T6135" s="98"/>
    </row>
    <row r="6136" spans="20:20" x14ac:dyDescent="0.25">
      <c r="T6136" s="98"/>
    </row>
    <row r="6137" spans="20:20" x14ac:dyDescent="0.25">
      <c r="T6137" s="98"/>
    </row>
    <row r="6138" spans="20:20" x14ac:dyDescent="0.25">
      <c r="T6138" s="98"/>
    </row>
    <row r="6139" spans="20:20" x14ac:dyDescent="0.25">
      <c r="T6139" s="98"/>
    </row>
    <row r="6140" spans="20:20" x14ac:dyDescent="0.25">
      <c r="T6140" s="98"/>
    </row>
    <row r="6141" spans="20:20" x14ac:dyDescent="0.25">
      <c r="T6141" s="98"/>
    </row>
    <row r="6142" spans="20:20" x14ac:dyDescent="0.25">
      <c r="T6142" s="98"/>
    </row>
    <row r="6143" spans="20:20" x14ac:dyDescent="0.25">
      <c r="T6143" s="98"/>
    </row>
    <row r="6144" spans="20:20" x14ac:dyDescent="0.25">
      <c r="T6144" s="98"/>
    </row>
    <row r="6145" spans="20:20" x14ac:dyDescent="0.25">
      <c r="T6145" s="98"/>
    </row>
    <row r="6146" spans="20:20" x14ac:dyDescent="0.25">
      <c r="T6146" s="98"/>
    </row>
    <row r="6147" spans="20:20" x14ac:dyDescent="0.25">
      <c r="T6147" s="98"/>
    </row>
    <row r="6148" spans="20:20" x14ac:dyDescent="0.25">
      <c r="T6148" s="98"/>
    </row>
    <row r="6149" spans="20:20" x14ac:dyDescent="0.25">
      <c r="T6149" s="98"/>
    </row>
    <row r="6150" spans="20:20" x14ac:dyDescent="0.25">
      <c r="T6150" s="98"/>
    </row>
    <row r="6151" spans="20:20" x14ac:dyDescent="0.25">
      <c r="T6151" s="98"/>
    </row>
    <row r="6152" spans="20:20" x14ac:dyDescent="0.25">
      <c r="T6152" s="98"/>
    </row>
    <row r="6153" spans="20:20" x14ac:dyDescent="0.25">
      <c r="T6153" s="98"/>
    </row>
    <row r="6154" spans="20:20" x14ac:dyDescent="0.25">
      <c r="T6154" s="98"/>
    </row>
    <row r="6155" spans="20:20" x14ac:dyDescent="0.25">
      <c r="T6155" s="98"/>
    </row>
    <row r="6156" spans="20:20" x14ac:dyDescent="0.25">
      <c r="T6156" s="98"/>
    </row>
    <row r="6157" spans="20:20" x14ac:dyDescent="0.25">
      <c r="T6157" s="98"/>
    </row>
    <row r="6158" spans="20:20" x14ac:dyDescent="0.25">
      <c r="T6158" s="98"/>
    </row>
    <row r="6159" spans="20:20" x14ac:dyDescent="0.25">
      <c r="T6159" s="98"/>
    </row>
    <row r="6160" spans="20:20" x14ac:dyDescent="0.25">
      <c r="T6160" s="98"/>
    </row>
    <row r="6161" spans="20:20" x14ac:dyDescent="0.25">
      <c r="T6161" s="98"/>
    </row>
    <row r="6162" spans="20:20" x14ac:dyDescent="0.25">
      <c r="T6162" s="98"/>
    </row>
    <row r="6163" spans="20:20" x14ac:dyDescent="0.25">
      <c r="T6163" s="98"/>
    </row>
    <row r="6164" spans="20:20" x14ac:dyDescent="0.25">
      <c r="T6164" s="98"/>
    </row>
    <row r="6165" spans="20:20" x14ac:dyDescent="0.25">
      <c r="T6165" s="98"/>
    </row>
    <row r="6166" spans="20:20" x14ac:dyDescent="0.25">
      <c r="T6166" s="98"/>
    </row>
    <row r="6167" spans="20:20" x14ac:dyDescent="0.25">
      <c r="T6167" s="98"/>
    </row>
    <row r="6168" spans="20:20" x14ac:dyDescent="0.25">
      <c r="T6168" s="98"/>
    </row>
    <row r="6169" spans="20:20" x14ac:dyDescent="0.25">
      <c r="T6169" s="98"/>
    </row>
    <row r="6170" spans="20:20" x14ac:dyDescent="0.25">
      <c r="T6170" s="98"/>
    </row>
    <row r="6171" spans="20:20" x14ac:dyDescent="0.25">
      <c r="T6171" s="98"/>
    </row>
    <row r="6172" spans="20:20" x14ac:dyDescent="0.25">
      <c r="T6172" s="98"/>
    </row>
    <row r="6173" spans="20:20" x14ac:dyDescent="0.25">
      <c r="T6173" s="98"/>
    </row>
    <row r="6174" spans="20:20" x14ac:dyDescent="0.25">
      <c r="T6174" s="98"/>
    </row>
    <row r="6175" spans="20:20" x14ac:dyDescent="0.25">
      <c r="T6175" s="98"/>
    </row>
    <row r="6176" spans="20:20" x14ac:dyDescent="0.25">
      <c r="T6176" s="98"/>
    </row>
    <row r="6177" spans="20:20" x14ac:dyDescent="0.25">
      <c r="T6177" s="98"/>
    </row>
    <row r="6178" spans="20:20" x14ac:dyDescent="0.25">
      <c r="T6178" s="98"/>
    </row>
    <row r="6179" spans="20:20" x14ac:dyDescent="0.25">
      <c r="T6179" s="98"/>
    </row>
    <row r="6180" spans="20:20" x14ac:dyDescent="0.25">
      <c r="T6180" s="98"/>
    </row>
    <row r="6181" spans="20:20" x14ac:dyDescent="0.25">
      <c r="T6181" s="98"/>
    </row>
    <row r="6182" spans="20:20" x14ac:dyDescent="0.25">
      <c r="T6182" s="98"/>
    </row>
    <row r="6183" spans="20:20" x14ac:dyDescent="0.25">
      <c r="T6183" s="98"/>
    </row>
    <row r="6184" spans="20:20" x14ac:dyDescent="0.25">
      <c r="T6184" s="98"/>
    </row>
    <row r="6185" spans="20:20" x14ac:dyDescent="0.25">
      <c r="T6185" s="98"/>
    </row>
    <row r="6186" spans="20:20" x14ac:dyDescent="0.25">
      <c r="T6186" s="98"/>
    </row>
    <row r="6187" spans="20:20" x14ac:dyDescent="0.25">
      <c r="T6187" s="98"/>
    </row>
    <row r="6188" spans="20:20" x14ac:dyDescent="0.25">
      <c r="T6188" s="98"/>
    </row>
    <row r="6189" spans="20:20" x14ac:dyDescent="0.25">
      <c r="T6189" s="98"/>
    </row>
    <row r="6190" spans="20:20" x14ac:dyDescent="0.25">
      <c r="T6190" s="98"/>
    </row>
    <row r="6191" spans="20:20" x14ac:dyDescent="0.25">
      <c r="T6191" s="98"/>
    </row>
    <row r="6192" spans="20:20" x14ac:dyDescent="0.25">
      <c r="T6192" s="98"/>
    </row>
    <row r="6193" spans="20:20" x14ac:dyDescent="0.25">
      <c r="T6193" s="98"/>
    </row>
    <row r="6194" spans="20:20" x14ac:dyDescent="0.25">
      <c r="T6194" s="98"/>
    </row>
    <row r="6195" spans="20:20" x14ac:dyDescent="0.25">
      <c r="T6195" s="98"/>
    </row>
    <row r="6196" spans="20:20" x14ac:dyDescent="0.25">
      <c r="T6196" s="98"/>
    </row>
    <row r="6197" spans="20:20" x14ac:dyDescent="0.25">
      <c r="T6197" s="98"/>
    </row>
    <row r="6198" spans="20:20" x14ac:dyDescent="0.25">
      <c r="T6198" s="98"/>
    </row>
    <row r="6199" spans="20:20" x14ac:dyDescent="0.25">
      <c r="T6199" s="98"/>
    </row>
    <row r="6200" spans="20:20" x14ac:dyDescent="0.25">
      <c r="T6200" s="98"/>
    </row>
    <row r="6201" spans="20:20" x14ac:dyDescent="0.25">
      <c r="T6201" s="98"/>
    </row>
    <row r="6202" spans="20:20" x14ac:dyDescent="0.25">
      <c r="T6202" s="98"/>
    </row>
    <row r="6203" spans="20:20" x14ac:dyDescent="0.25">
      <c r="T6203" s="98"/>
    </row>
    <row r="6204" spans="20:20" x14ac:dyDescent="0.25">
      <c r="T6204" s="98"/>
    </row>
    <row r="6205" spans="20:20" x14ac:dyDescent="0.25">
      <c r="T6205" s="98"/>
    </row>
    <row r="6206" spans="20:20" x14ac:dyDescent="0.25">
      <c r="T6206" s="98"/>
    </row>
    <row r="6207" spans="20:20" x14ac:dyDescent="0.25">
      <c r="T6207" s="98"/>
    </row>
    <row r="6208" spans="20:20" x14ac:dyDescent="0.25">
      <c r="T6208" s="98"/>
    </row>
    <row r="6209" spans="20:20" x14ac:dyDescent="0.25">
      <c r="T6209" s="98"/>
    </row>
    <row r="6210" spans="20:20" x14ac:dyDescent="0.25">
      <c r="T6210" s="98"/>
    </row>
    <row r="6211" spans="20:20" x14ac:dyDescent="0.25">
      <c r="T6211" s="98"/>
    </row>
    <row r="6212" spans="20:20" x14ac:dyDescent="0.25">
      <c r="T6212" s="98"/>
    </row>
    <row r="6213" spans="20:20" x14ac:dyDescent="0.25">
      <c r="T6213" s="98"/>
    </row>
    <row r="6214" spans="20:20" x14ac:dyDescent="0.25">
      <c r="T6214" s="98"/>
    </row>
    <row r="6215" spans="20:20" x14ac:dyDescent="0.25">
      <c r="T6215" s="98"/>
    </row>
    <row r="6216" spans="20:20" x14ac:dyDescent="0.25">
      <c r="T6216" s="98"/>
    </row>
    <row r="6217" spans="20:20" x14ac:dyDescent="0.25">
      <c r="T6217" s="98"/>
    </row>
    <row r="6218" spans="20:20" x14ac:dyDescent="0.25">
      <c r="T6218" s="98"/>
    </row>
    <row r="6219" spans="20:20" x14ac:dyDescent="0.25">
      <c r="T6219" s="98"/>
    </row>
    <row r="6220" spans="20:20" x14ac:dyDescent="0.25">
      <c r="T6220" s="98"/>
    </row>
    <row r="6221" spans="20:20" x14ac:dyDescent="0.25">
      <c r="T6221" s="98"/>
    </row>
    <row r="6222" spans="20:20" x14ac:dyDescent="0.25">
      <c r="T6222" s="98"/>
    </row>
    <row r="6223" spans="20:20" x14ac:dyDescent="0.25">
      <c r="T6223" s="98"/>
    </row>
    <row r="6224" spans="20:20" x14ac:dyDescent="0.25">
      <c r="T6224" s="98"/>
    </row>
    <row r="6225" spans="20:20" x14ac:dyDescent="0.25">
      <c r="T6225" s="98"/>
    </row>
    <row r="6226" spans="20:20" x14ac:dyDescent="0.25">
      <c r="T6226" s="98"/>
    </row>
    <row r="6227" spans="20:20" x14ac:dyDescent="0.25">
      <c r="T6227" s="98"/>
    </row>
    <row r="6228" spans="20:20" x14ac:dyDescent="0.25">
      <c r="T6228" s="98"/>
    </row>
    <row r="6229" spans="20:20" x14ac:dyDescent="0.25">
      <c r="T6229" s="98"/>
    </row>
    <row r="6230" spans="20:20" x14ac:dyDescent="0.25">
      <c r="T6230" s="98"/>
    </row>
    <row r="6231" spans="20:20" x14ac:dyDescent="0.25">
      <c r="T6231" s="98"/>
    </row>
    <row r="6232" spans="20:20" x14ac:dyDescent="0.25">
      <c r="T6232" s="98"/>
    </row>
    <row r="6233" spans="20:20" x14ac:dyDescent="0.25">
      <c r="T6233" s="98"/>
    </row>
    <row r="6234" spans="20:20" x14ac:dyDescent="0.25">
      <c r="T6234" s="98"/>
    </row>
    <row r="6235" spans="20:20" x14ac:dyDescent="0.25">
      <c r="T6235" s="98"/>
    </row>
    <row r="6236" spans="20:20" x14ac:dyDescent="0.25">
      <c r="T6236" s="98"/>
    </row>
    <row r="6237" spans="20:20" x14ac:dyDescent="0.25">
      <c r="T6237" s="98"/>
    </row>
    <row r="6238" spans="20:20" x14ac:dyDescent="0.25">
      <c r="T6238" s="98"/>
    </row>
    <row r="6239" spans="20:20" x14ac:dyDescent="0.25">
      <c r="T6239" s="98"/>
    </row>
    <row r="6240" spans="20:20" x14ac:dyDescent="0.25">
      <c r="T6240" s="98"/>
    </row>
    <row r="6241" spans="20:20" x14ac:dyDescent="0.25">
      <c r="T6241" s="98"/>
    </row>
    <row r="6242" spans="20:20" x14ac:dyDescent="0.25">
      <c r="T6242" s="98"/>
    </row>
    <row r="6243" spans="20:20" x14ac:dyDescent="0.25">
      <c r="T6243" s="98"/>
    </row>
    <row r="6244" spans="20:20" x14ac:dyDescent="0.25">
      <c r="T6244" s="98"/>
    </row>
    <row r="6245" spans="20:20" x14ac:dyDescent="0.25">
      <c r="T6245" s="98"/>
    </row>
    <row r="6246" spans="20:20" x14ac:dyDescent="0.25">
      <c r="T6246" s="98"/>
    </row>
    <row r="6247" spans="20:20" x14ac:dyDescent="0.25">
      <c r="T6247" s="98"/>
    </row>
    <row r="6248" spans="20:20" x14ac:dyDescent="0.25">
      <c r="T6248" s="98"/>
    </row>
    <row r="6249" spans="20:20" x14ac:dyDescent="0.25">
      <c r="T6249" s="98"/>
    </row>
    <row r="6250" spans="20:20" x14ac:dyDescent="0.25">
      <c r="T6250" s="98"/>
    </row>
    <row r="6251" spans="20:20" x14ac:dyDescent="0.25">
      <c r="T6251" s="98"/>
    </row>
    <row r="6252" spans="20:20" x14ac:dyDescent="0.25">
      <c r="T6252" s="98"/>
    </row>
    <row r="6253" spans="20:20" x14ac:dyDescent="0.25">
      <c r="T6253" s="98"/>
    </row>
    <row r="6254" spans="20:20" x14ac:dyDescent="0.25">
      <c r="T6254" s="98"/>
    </row>
    <row r="6255" spans="20:20" x14ac:dyDescent="0.25">
      <c r="T6255" s="98"/>
    </row>
    <row r="6256" spans="20:20" x14ac:dyDescent="0.25">
      <c r="T6256" s="98"/>
    </row>
    <row r="6257" spans="20:20" x14ac:dyDescent="0.25">
      <c r="T6257" s="98"/>
    </row>
    <row r="6258" spans="20:20" x14ac:dyDescent="0.25">
      <c r="T6258" s="98"/>
    </row>
    <row r="6259" spans="20:20" x14ac:dyDescent="0.25">
      <c r="T6259" s="98"/>
    </row>
    <row r="6260" spans="20:20" x14ac:dyDescent="0.25">
      <c r="T6260" s="98"/>
    </row>
    <row r="6261" spans="20:20" x14ac:dyDescent="0.25">
      <c r="T6261" s="98"/>
    </row>
    <row r="6262" spans="20:20" x14ac:dyDescent="0.25">
      <c r="T6262" s="98"/>
    </row>
    <row r="6263" spans="20:20" x14ac:dyDescent="0.25">
      <c r="T6263" s="98"/>
    </row>
    <row r="6264" spans="20:20" x14ac:dyDescent="0.25">
      <c r="T6264" s="98"/>
    </row>
    <row r="6265" spans="20:20" x14ac:dyDescent="0.25">
      <c r="T6265" s="98"/>
    </row>
    <row r="6266" spans="20:20" x14ac:dyDescent="0.25">
      <c r="T6266" s="98"/>
    </row>
    <row r="6267" spans="20:20" x14ac:dyDescent="0.25">
      <c r="T6267" s="98"/>
    </row>
    <row r="6268" spans="20:20" x14ac:dyDescent="0.25">
      <c r="T6268" s="98"/>
    </row>
    <row r="6269" spans="20:20" x14ac:dyDescent="0.25">
      <c r="T6269" s="98"/>
    </row>
    <row r="6270" spans="20:20" x14ac:dyDescent="0.25">
      <c r="T6270" s="98"/>
    </row>
    <row r="6271" spans="20:20" x14ac:dyDescent="0.25">
      <c r="T6271" s="98"/>
    </row>
    <row r="6272" spans="20:20" x14ac:dyDescent="0.25">
      <c r="T6272" s="98"/>
    </row>
    <row r="6273" spans="20:20" x14ac:dyDescent="0.25">
      <c r="T6273" s="98"/>
    </row>
    <row r="6274" spans="20:20" x14ac:dyDescent="0.25">
      <c r="T6274" s="98"/>
    </row>
    <row r="6275" spans="20:20" x14ac:dyDescent="0.25">
      <c r="T6275" s="98"/>
    </row>
    <row r="6276" spans="20:20" x14ac:dyDescent="0.25">
      <c r="T6276" s="98"/>
    </row>
    <row r="6277" spans="20:20" x14ac:dyDescent="0.25">
      <c r="T6277" s="98"/>
    </row>
    <row r="6278" spans="20:20" x14ac:dyDescent="0.25">
      <c r="T6278" s="98"/>
    </row>
    <row r="6279" spans="20:20" x14ac:dyDescent="0.25">
      <c r="T6279" s="98"/>
    </row>
    <row r="6280" spans="20:20" x14ac:dyDescent="0.25">
      <c r="T6280" s="98"/>
    </row>
    <row r="6281" spans="20:20" x14ac:dyDescent="0.25">
      <c r="T6281" s="98"/>
    </row>
    <row r="6282" spans="20:20" x14ac:dyDescent="0.25">
      <c r="T6282" s="98"/>
    </row>
    <row r="6283" spans="20:20" x14ac:dyDescent="0.25">
      <c r="T6283" s="98"/>
    </row>
    <row r="6284" spans="20:20" x14ac:dyDescent="0.25">
      <c r="T6284" s="98"/>
    </row>
    <row r="6285" spans="20:20" x14ac:dyDescent="0.25">
      <c r="T6285" s="98"/>
    </row>
    <row r="6286" spans="20:20" x14ac:dyDescent="0.25">
      <c r="T6286" s="98"/>
    </row>
    <row r="6287" spans="20:20" x14ac:dyDescent="0.25">
      <c r="T6287" s="98"/>
    </row>
    <row r="6288" spans="20:20" x14ac:dyDescent="0.25">
      <c r="T6288" s="98"/>
    </row>
    <row r="6289" spans="20:20" x14ac:dyDescent="0.25">
      <c r="T6289" s="98"/>
    </row>
    <row r="6290" spans="20:20" x14ac:dyDescent="0.25">
      <c r="T6290" s="98"/>
    </row>
    <row r="6291" spans="20:20" x14ac:dyDescent="0.25">
      <c r="T6291" s="98"/>
    </row>
    <row r="6292" spans="20:20" x14ac:dyDescent="0.25">
      <c r="T6292" s="98"/>
    </row>
    <row r="6293" spans="20:20" x14ac:dyDescent="0.25">
      <c r="T6293" s="98"/>
    </row>
    <row r="6294" spans="20:20" x14ac:dyDescent="0.25">
      <c r="T6294" s="98"/>
    </row>
    <row r="6295" spans="20:20" x14ac:dyDescent="0.25">
      <c r="T6295" s="98"/>
    </row>
    <row r="6296" spans="20:20" x14ac:dyDescent="0.25">
      <c r="T6296" s="98"/>
    </row>
    <row r="6297" spans="20:20" x14ac:dyDescent="0.25">
      <c r="T6297" s="98"/>
    </row>
    <row r="6298" spans="20:20" x14ac:dyDescent="0.25">
      <c r="T6298" s="98"/>
    </row>
    <row r="6299" spans="20:20" x14ac:dyDescent="0.25">
      <c r="T6299" s="98"/>
    </row>
    <row r="6300" spans="20:20" x14ac:dyDescent="0.25">
      <c r="T6300" s="98"/>
    </row>
    <row r="6301" spans="20:20" x14ac:dyDescent="0.25">
      <c r="T6301" s="98"/>
    </row>
    <row r="6302" spans="20:20" x14ac:dyDescent="0.25">
      <c r="T6302" s="98"/>
    </row>
    <row r="6303" spans="20:20" x14ac:dyDescent="0.25">
      <c r="T6303" s="98"/>
    </row>
    <row r="6304" spans="20:20" x14ac:dyDescent="0.25">
      <c r="T6304" s="98"/>
    </row>
    <row r="6305" spans="20:20" x14ac:dyDescent="0.25">
      <c r="T6305" s="98"/>
    </row>
    <row r="6306" spans="20:20" x14ac:dyDescent="0.25">
      <c r="T6306" s="98"/>
    </row>
    <row r="6307" spans="20:20" x14ac:dyDescent="0.25">
      <c r="T6307" s="98"/>
    </row>
    <row r="6308" spans="20:20" x14ac:dyDescent="0.25">
      <c r="T6308" s="98"/>
    </row>
    <row r="6309" spans="20:20" x14ac:dyDescent="0.25">
      <c r="T6309" s="98"/>
    </row>
    <row r="6310" spans="20:20" x14ac:dyDescent="0.25">
      <c r="T6310" s="98"/>
    </row>
    <row r="6311" spans="20:20" x14ac:dyDescent="0.25">
      <c r="T6311" s="98"/>
    </row>
    <row r="6312" spans="20:20" x14ac:dyDescent="0.25">
      <c r="T6312" s="98"/>
    </row>
    <row r="6313" spans="20:20" x14ac:dyDescent="0.25">
      <c r="T6313" s="98"/>
    </row>
    <row r="6314" spans="20:20" x14ac:dyDescent="0.25">
      <c r="T6314" s="98"/>
    </row>
    <row r="6315" spans="20:20" x14ac:dyDescent="0.25">
      <c r="T6315" s="98"/>
    </row>
    <row r="6316" spans="20:20" x14ac:dyDescent="0.25">
      <c r="T6316" s="98"/>
    </row>
    <row r="6317" spans="20:20" x14ac:dyDescent="0.25">
      <c r="T6317" s="98"/>
    </row>
    <row r="6318" spans="20:20" x14ac:dyDescent="0.25">
      <c r="T6318" s="98"/>
    </row>
    <row r="6319" spans="20:20" x14ac:dyDescent="0.25">
      <c r="T6319" s="98"/>
    </row>
    <row r="6320" spans="20:20" x14ac:dyDescent="0.25">
      <c r="T6320" s="98"/>
    </row>
    <row r="6321" spans="20:20" x14ac:dyDescent="0.25">
      <c r="T6321" s="98"/>
    </row>
    <row r="6322" spans="20:20" x14ac:dyDescent="0.25">
      <c r="T6322" s="98"/>
    </row>
    <row r="6323" spans="20:20" x14ac:dyDescent="0.25">
      <c r="T6323" s="98"/>
    </row>
    <row r="6324" spans="20:20" x14ac:dyDescent="0.25">
      <c r="T6324" s="98"/>
    </row>
    <row r="6325" spans="20:20" x14ac:dyDescent="0.25">
      <c r="T6325" s="98"/>
    </row>
    <row r="6326" spans="20:20" x14ac:dyDescent="0.25">
      <c r="T6326" s="98"/>
    </row>
    <row r="6327" spans="20:20" x14ac:dyDescent="0.25">
      <c r="T6327" s="98"/>
    </row>
    <row r="6328" spans="20:20" x14ac:dyDescent="0.25">
      <c r="T6328" s="98"/>
    </row>
    <row r="6329" spans="20:20" x14ac:dyDescent="0.25">
      <c r="T6329" s="98"/>
    </row>
    <row r="6330" spans="20:20" x14ac:dyDescent="0.25">
      <c r="T6330" s="98"/>
    </row>
    <row r="6331" spans="20:20" x14ac:dyDescent="0.25">
      <c r="T6331" s="98"/>
    </row>
    <row r="6332" spans="20:20" x14ac:dyDescent="0.25">
      <c r="T6332" s="98"/>
    </row>
    <row r="6333" spans="20:20" x14ac:dyDescent="0.25">
      <c r="T6333" s="98"/>
    </row>
    <row r="6334" spans="20:20" x14ac:dyDescent="0.25">
      <c r="T6334" s="98"/>
    </row>
    <row r="6335" spans="20:20" x14ac:dyDescent="0.25">
      <c r="T6335" s="98"/>
    </row>
    <row r="6336" spans="20:20" x14ac:dyDescent="0.25">
      <c r="T6336" s="98"/>
    </row>
    <row r="6337" spans="20:20" x14ac:dyDescent="0.25">
      <c r="T6337" s="98"/>
    </row>
    <row r="6338" spans="20:20" x14ac:dyDescent="0.25">
      <c r="T6338" s="98"/>
    </row>
    <row r="6339" spans="20:20" x14ac:dyDescent="0.25">
      <c r="T6339" s="98"/>
    </row>
    <row r="6340" spans="20:20" x14ac:dyDescent="0.25">
      <c r="T6340" s="98"/>
    </row>
    <row r="6341" spans="20:20" x14ac:dyDescent="0.25">
      <c r="T6341" s="98"/>
    </row>
    <row r="6342" spans="20:20" x14ac:dyDescent="0.25">
      <c r="T6342" s="98"/>
    </row>
    <row r="6343" spans="20:20" x14ac:dyDescent="0.25">
      <c r="T6343" s="98"/>
    </row>
    <row r="6344" spans="20:20" x14ac:dyDescent="0.25">
      <c r="T6344" s="98"/>
    </row>
    <row r="6345" spans="20:20" x14ac:dyDescent="0.25">
      <c r="T6345" s="98"/>
    </row>
    <row r="6346" spans="20:20" x14ac:dyDescent="0.25">
      <c r="T6346" s="98"/>
    </row>
    <row r="6347" spans="20:20" x14ac:dyDescent="0.25">
      <c r="T6347" s="98"/>
    </row>
    <row r="6348" spans="20:20" x14ac:dyDescent="0.25">
      <c r="T6348" s="98"/>
    </row>
    <row r="6349" spans="20:20" x14ac:dyDescent="0.25">
      <c r="T6349" s="98"/>
    </row>
    <row r="6350" spans="20:20" x14ac:dyDescent="0.25">
      <c r="T6350" s="98"/>
    </row>
    <row r="6351" spans="20:20" x14ac:dyDescent="0.25">
      <c r="T6351" s="98"/>
    </row>
    <row r="6352" spans="20:20" x14ac:dyDescent="0.25">
      <c r="T6352" s="98"/>
    </row>
    <row r="6353" spans="20:20" x14ac:dyDescent="0.25">
      <c r="T6353" s="98"/>
    </row>
    <row r="6354" spans="20:20" x14ac:dyDescent="0.25">
      <c r="T6354" s="98"/>
    </row>
    <row r="6355" spans="20:20" x14ac:dyDescent="0.25">
      <c r="T6355" s="98"/>
    </row>
    <row r="6356" spans="20:20" x14ac:dyDescent="0.25">
      <c r="T6356" s="98"/>
    </row>
    <row r="6357" spans="20:20" x14ac:dyDescent="0.25">
      <c r="T6357" s="98"/>
    </row>
    <row r="6358" spans="20:20" x14ac:dyDescent="0.25">
      <c r="T6358" s="98"/>
    </row>
    <row r="6359" spans="20:20" x14ac:dyDescent="0.25">
      <c r="T6359" s="98"/>
    </row>
    <row r="6360" spans="20:20" x14ac:dyDescent="0.25">
      <c r="T6360" s="98"/>
    </row>
    <row r="6361" spans="20:20" x14ac:dyDescent="0.25">
      <c r="T6361" s="98"/>
    </row>
    <row r="6362" spans="20:20" x14ac:dyDescent="0.25">
      <c r="T6362" s="98"/>
    </row>
    <row r="6363" spans="20:20" x14ac:dyDescent="0.25">
      <c r="T6363" s="98"/>
    </row>
    <row r="6364" spans="20:20" x14ac:dyDescent="0.25">
      <c r="T6364" s="98"/>
    </row>
    <row r="6365" spans="20:20" x14ac:dyDescent="0.25">
      <c r="T6365" s="98"/>
    </row>
    <row r="6366" spans="20:20" x14ac:dyDescent="0.25">
      <c r="T6366" s="98"/>
    </row>
    <row r="6367" spans="20:20" x14ac:dyDescent="0.25">
      <c r="T6367" s="98"/>
    </row>
    <row r="6368" spans="20:20" x14ac:dyDescent="0.25">
      <c r="T6368" s="98"/>
    </row>
    <row r="6369" spans="20:20" x14ac:dyDescent="0.25">
      <c r="T6369" s="98"/>
    </row>
    <row r="6370" spans="20:20" x14ac:dyDescent="0.25">
      <c r="T6370" s="98"/>
    </row>
    <row r="6371" spans="20:20" x14ac:dyDescent="0.25">
      <c r="T6371" s="98"/>
    </row>
    <row r="6372" spans="20:20" x14ac:dyDescent="0.25">
      <c r="T6372" s="98"/>
    </row>
    <row r="6373" spans="20:20" x14ac:dyDescent="0.25">
      <c r="T6373" s="98"/>
    </row>
    <row r="6374" spans="20:20" x14ac:dyDescent="0.25">
      <c r="T6374" s="98"/>
    </row>
    <row r="6375" spans="20:20" x14ac:dyDescent="0.25">
      <c r="T6375" s="98"/>
    </row>
    <row r="6376" spans="20:20" x14ac:dyDescent="0.25">
      <c r="T6376" s="98"/>
    </row>
    <row r="6377" spans="20:20" x14ac:dyDescent="0.25">
      <c r="T6377" s="98"/>
    </row>
    <row r="6378" spans="20:20" x14ac:dyDescent="0.25">
      <c r="T6378" s="98"/>
    </row>
    <row r="6379" spans="20:20" x14ac:dyDescent="0.25">
      <c r="T6379" s="98"/>
    </row>
    <row r="6380" spans="20:20" x14ac:dyDescent="0.25">
      <c r="T6380" s="98"/>
    </row>
    <row r="6381" spans="20:20" x14ac:dyDescent="0.25">
      <c r="T6381" s="98"/>
    </row>
    <row r="6382" spans="20:20" x14ac:dyDescent="0.25">
      <c r="T6382" s="98"/>
    </row>
    <row r="6383" spans="20:20" x14ac:dyDescent="0.25">
      <c r="T6383" s="98"/>
    </row>
    <row r="6384" spans="20:20" x14ac:dyDescent="0.25">
      <c r="T6384" s="98"/>
    </row>
    <row r="6385" spans="20:20" x14ac:dyDescent="0.25">
      <c r="T6385" s="98"/>
    </row>
    <row r="6386" spans="20:20" x14ac:dyDescent="0.25">
      <c r="T6386" s="98"/>
    </row>
    <row r="6387" spans="20:20" x14ac:dyDescent="0.25">
      <c r="T6387" s="98"/>
    </row>
    <row r="6388" spans="20:20" x14ac:dyDescent="0.25">
      <c r="T6388" s="98"/>
    </row>
    <row r="6389" spans="20:20" x14ac:dyDescent="0.25">
      <c r="T6389" s="98"/>
    </row>
    <row r="6390" spans="20:20" x14ac:dyDescent="0.25">
      <c r="T6390" s="98"/>
    </row>
    <row r="6391" spans="20:20" x14ac:dyDescent="0.25">
      <c r="T6391" s="98"/>
    </row>
    <row r="6392" spans="20:20" x14ac:dyDescent="0.25">
      <c r="T6392" s="98"/>
    </row>
    <row r="6393" spans="20:20" x14ac:dyDescent="0.25">
      <c r="T6393" s="98"/>
    </row>
    <row r="6394" spans="20:20" x14ac:dyDescent="0.25">
      <c r="T6394" s="98"/>
    </row>
    <row r="6395" spans="20:20" x14ac:dyDescent="0.25">
      <c r="T6395" s="98"/>
    </row>
    <row r="6396" spans="20:20" x14ac:dyDescent="0.25">
      <c r="T6396" s="98"/>
    </row>
    <row r="6397" spans="20:20" x14ac:dyDescent="0.25">
      <c r="T6397" s="98"/>
    </row>
    <row r="6398" spans="20:20" x14ac:dyDescent="0.25">
      <c r="T6398" s="98"/>
    </row>
    <row r="6399" spans="20:20" x14ac:dyDescent="0.25">
      <c r="T6399" s="98"/>
    </row>
    <row r="6400" spans="20:20" x14ac:dyDescent="0.25">
      <c r="T6400" s="98"/>
    </row>
    <row r="6401" spans="20:20" x14ac:dyDescent="0.25">
      <c r="T6401" s="98"/>
    </row>
    <row r="6402" spans="20:20" x14ac:dyDescent="0.25">
      <c r="T6402" s="98"/>
    </row>
    <row r="6403" spans="20:20" x14ac:dyDescent="0.25">
      <c r="T6403" s="98"/>
    </row>
    <row r="6404" spans="20:20" x14ac:dyDescent="0.25">
      <c r="T6404" s="98"/>
    </row>
    <row r="6405" spans="20:20" x14ac:dyDescent="0.25">
      <c r="T6405" s="98"/>
    </row>
    <row r="6406" spans="20:20" x14ac:dyDescent="0.25">
      <c r="T6406" s="98"/>
    </row>
    <row r="6407" spans="20:20" x14ac:dyDescent="0.25">
      <c r="T6407" s="98"/>
    </row>
    <row r="6408" spans="20:20" x14ac:dyDescent="0.25">
      <c r="T6408" s="98"/>
    </row>
    <row r="6409" spans="20:20" x14ac:dyDescent="0.25">
      <c r="T6409" s="98"/>
    </row>
    <row r="6410" spans="20:20" x14ac:dyDescent="0.25">
      <c r="T6410" s="98"/>
    </row>
    <row r="6411" spans="20:20" x14ac:dyDescent="0.25">
      <c r="T6411" s="98"/>
    </row>
    <row r="6412" spans="20:20" x14ac:dyDescent="0.25">
      <c r="T6412" s="98"/>
    </row>
    <row r="6413" spans="20:20" x14ac:dyDescent="0.25">
      <c r="T6413" s="98"/>
    </row>
    <row r="6414" spans="20:20" x14ac:dyDescent="0.25">
      <c r="T6414" s="98"/>
    </row>
    <row r="6415" spans="20:20" x14ac:dyDescent="0.25">
      <c r="T6415" s="98"/>
    </row>
    <row r="6416" spans="20:20" x14ac:dyDescent="0.25">
      <c r="T6416" s="98"/>
    </row>
    <row r="6417" spans="20:20" x14ac:dyDescent="0.25">
      <c r="T6417" s="98"/>
    </row>
    <row r="6418" spans="20:20" x14ac:dyDescent="0.25">
      <c r="T6418" s="98"/>
    </row>
    <row r="6419" spans="20:20" x14ac:dyDescent="0.25">
      <c r="T6419" s="98"/>
    </row>
    <row r="6420" spans="20:20" x14ac:dyDescent="0.25">
      <c r="T6420" s="98"/>
    </row>
    <row r="6421" spans="20:20" x14ac:dyDescent="0.25">
      <c r="T6421" s="98"/>
    </row>
    <row r="6422" spans="20:20" x14ac:dyDescent="0.25">
      <c r="T6422" s="98"/>
    </row>
    <row r="6423" spans="20:20" x14ac:dyDescent="0.25">
      <c r="T6423" s="98"/>
    </row>
    <row r="6424" spans="20:20" x14ac:dyDescent="0.25">
      <c r="T6424" s="98"/>
    </row>
    <row r="6425" spans="20:20" x14ac:dyDescent="0.25">
      <c r="T6425" s="98"/>
    </row>
    <row r="6426" spans="20:20" x14ac:dyDescent="0.25">
      <c r="T6426" s="98"/>
    </row>
    <row r="6427" spans="20:20" x14ac:dyDescent="0.25">
      <c r="T6427" s="98"/>
    </row>
    <row r="6428" spans="20:20" x14ac:dyDescent="0.25">
      <c r="T6428" s="98"/>
    </row>
    <row r="6429" spans="20:20" x14ac:dyDescent="0.25">
      <c r="T6429" s="98"/>
    </row>
    <row r="6430" spans="20:20" x14ac:dyDescent="0.25">
      <c r="T6430" s="98"/>
    </row>
    <row r="6431" spans="20:20" x14ac:dyDescent="0.25">
      <c r="T6431" s="98"/>
    </row>
    <row r="6432" spans="20:20" x14ac:dyDescent="0.25">
      <c r="T6432" s="98"/>
    </row>
    <row r="6433" spans="20:20" x14ac:dyDescent="0.25">
      <c r="T6433" s="98"/>
    </row>
    <row r="6434" spans="20:20" x14ac:dyDescent="0.25">
      <c r="T6434" s="98"/>
    </row>
    <row r="6435" spans="20:20" x14ac:dyDescent="0.25">
      <c r="T6435" s="98"/>
    </row>
    <row r="6436" spans="20:20" x14ac:dyDescent="0.25">
      <c r="T6436" s="98"/>
    </row>
    <row r="6437" spans="20:20" x14ac:dyDescent="0.25">
      <c r="T6437" s="98"/>
    </row>
    <row r="6438" spans="20:20" x14ac:dyDescent="0.25">
      <c r="T6438" s="98"/>
    </row>
    <row r="6439" spans="20:20" x14ac:dyDescent="0.25">
      <c r="T6439" s="98"/>
    </row>
    <row r="6440" spans="20:20" x14ac:dyDescent="0.25">
      <c r="T6440" s="98"/>
    </row>
    <row r="6441" spans="20:20" x14ac:dyDescent="0.25">
      <c r="T6441" s="98"/>
    </row>
    <row r="6442" spans="20:20" x14ac:dyDescent="0.25">
      <c r="T6442" s="98"/>
    </row>
    <row r="6443" spans="20:20" x14ac:dyDescent="0.25">
      <c r="T6443" s="98"/>
    </row>
    <row r="6444" spans="20:20" x14ac:dyDescent="0.25">
      <c r="T6444" s="98"/>
    </row>
    <row r="6445" spans="20:20" x14ac:dyDescent="0.25">
      <c r="T6445" s="98"/>
    </row>
    <row r="6446" spans="20:20" x14ac:dyDescent="0.25">
      <c r="T6446" s="98"/>
    </row>
    <row r="6447" spans="20:20" x14ac:dyDescent="0.25">
      <c r="T6447" s="98"/>
    </row>
    <row r="6448" spans="20:20" x14ac:dyDescent="0.25">
      <c r="T6448" s="98"/>
    </row>
    <row r="6449" spans="20:20" x14ac:dyDescent="0.25">
      <c r="T6449" s="98"/>
    </row>
    <row r="6450" spans="20:20" x14ac:dyDescent="0.25">
      <c r="T6450" s="98"/>
    </row>
    <row r="6451" spans="20:20" x14ac:dyDescent="0.25">
      <c r="T6451" s="98"/>
    </row>
    <row r="6452" spans="20:20" x14ac:dyDescent="0.25">
      <c r="T6452" s="98"/>
    </row>
    <row r="6453" spans="20:20" x14ac:dyDescent="0.25">
      <c r="T6453" s="98"/>
    </row>
    <row r="6454" spans="20:20" x14ac:dyDescent="0.25">
      <c r="T6454" s="98"/>
    </row>
    <row r="6455" spans="20:20" x14ac:dyDescent="0.25">
      <c r="T6455" s="98"/>
    </row>
    <row r="6456" spans="20:20" x14ac:dyDescent="0.25">
      <c r="T6456" s="98"/>
    </row>
    <row r="6457" spans="20:20" x14ac:dyDescent="0.25">
      <c r="T6457" s="98"/>
    </row>
    <row r="6458" spans="20:20" x14ac:dyDescent="0.25">
      <c r="T6458" s="98"/>
    </row>
    <row r="6459" spans="20:20" x14ac:dyDescent="0.25">
      <c r="T6459" s="98"/>
    </row>
    <row r="6460" spans="20:20" x14ac:dyDescent="0.25">
      <c r="T6460" s="98"/>
    </row>
    <row r="6461" spans="20:20" x14ac:dyDescent="0.25">
      <c r="T6461" s="98"/>
    </row>
    <row r="6462" spans="20:20" x14ac:dyDescent="0.25">
      <c r="T6462" s="98"/>
    </row>
    <row r="6463" spans="20:20" x14ac:dyDescent="0.25">
      <c r="T6463" s="98"/>
    </row>
    <row r="6464" spans="20:20" x14ac:dyDescent="0.25">
      <c r="T6464" s="98"/>
    </row>
    <row r="6465" spans="20:20" x14ac:dyDescent="0.25">
      <c r="T6465" s="98"/>
    </row>
    <row r="6466" spans="20:20" x14ac:dyDescent="0.25">
      <c r="T6466" s="98"/>
    </row>
    <row r="6467" spans="20:20" x14ac:dyDescent="0.25">
      <c r="T6467" s="98"/>
    </row>
    <row r="6468" spans="20:20" x14ac:dyDescent="0.25">
      <c r="T6468" s="98"/>
    </row>
    <row r="6469" spans="20:20" x14ac:dyDescent="0.25">
      <c r="T6469" s="98"/>
    </row>
    <row r="6470" spans="20:20" x14ac:dyDescent="0.25">
      <c r="T6470" s="98"/>
    </row>
    <row r="6471" spans="20:20" x14ac:dyDescent="0.25">
      <c r="T6471" s="98"/>
    </row>
    <row r="6472" spans="20:20" x14ac:dyDescent="0.25">
      <c r="T6472" s="98"/>
    </row>
    <row r="6473" spans="20:20" x14ac:dyDescent="0.25">
      <c r="T6473" s="98"/>
    </row>
    <row r="6474" spans="20:20" x14ac:dyDescent="0.25">
      <c r="T6474" s="98"/>
    </row>
    <row r="6475" spans="20:20" x14ac:dyDescent="0.25">
      <c r="T6475" s="98"/>
    </row>
    <row r="6476" spans="20:20" x14ac:dyDescent="0.25">
      <c r="T6476" s="98"/>
    </row>
    <row r="6477" spans="20:20" x14ac:dyDescent="0.25">
      <c r="T6477" s="98"/>
    </row>
    <row r="6478" spans="20:20" x14ac:dyDescent="0.25">
      <c r="T6478" s="98"/>
    </row>
    <row r="6479" spans="20:20" x14ac:dyDescent="0.25">
      <c r="T6479" s="98"/>
    </row>
    <row r="6480" spans="20:20" x14ac:dyDescent="0.25">
      <c r="T6480" s="98"/>
    </row>
    <row r="6481" spans="20:20" x14ac:dyDescent="0.25">
      <c r="T6481" s="98"/>
    </row>
    <row r="6482" spans="20:20" x14ac:dyDescent="0.25">
      <c r="T6482" s="98"/>
    </row>
    <row r="6483" spans="20:20" x14ac:dyDescent="0.25">
      <c r="T6483" s="98"/>
    </row>
    <row r="6484" spans="20:20" x14ac:dyDescent="0.25">
      <c r="T6484" s="98"/>
    </row>
    <row r="6485" spans="20:20" x14ac:dyDescent="0.25">
      <c r="T6485" s="98"/>
    </row>
    <row r="6486" spans="20:20" x14ac:dyDescent="0.25">
      <c r="T6486" s="98"/>
    </row>
    <row r="6487" spans="20:20" x14ac:dyDescent="0.25">
      <c r="T6487" s="98"/>
    </row>
    <row r="6488" spans="20:20" x14ac:dyDescent="0.25">
      <c r="T6488" s="98"/>
    </row>
    <row r="6489" spans="20:20" x14ac:dyDescent="0.25">
      <c r="T6489" s="98"/>
    </row>
    <row r="6490" spans="20:20" x14ac:dyDescent="0.25">
      <c r="T6490" s="98"/>
    </row>
    <row r="6491" spans="20:20" x14ac:dyDescent="0.25">
      <c r="T6491" s="98"/>
    </row>
    <row r="6492" spans="20:20" x14ac:dyDescent="0.25">
      <c r="T6492" s="98"/>
    </row>
    <row r="6493" spans="20:20" x14ac:dyDescent="0.25">
      <c r="T6493" s="98"/>
    </row>
    <row r="6494" spans="20:20" x14ac:dyDescent="0.25">
      <c r="T6494" s="98"/>
    </row>
    <row r="6495" spans="20:20" x14ac:dyDescent="0.25">
      <c r="T6495" s="98"/>
    </row>
    <row r="6496" spans="20:20" x14ac:dyDescent="0.25">
      <c r="T6496" s="98"/>
    </row>
    <row r="6497" spans="20:20" x14ac:dyDescent="0.25">
      <c r="T6497" s="98"/>
    </row>
    <row r="6498" spans="20:20" x14ac:dyDescent="0.25">
      <c r="T6498" s="98"/>
    </row>
    <row r="6499" spans="20:20" x14ac:dyDescent="0.25">
      <c r="T6499" s="98"/>
    </row>
    <row r="6500" spans="20:20" x14ac:dyDescent="0.25">
      <c r="T6500" s="98"/>
    </row>
    <row r="6501" spans="20:20" x14ac:dyDescent="0.25">
      <c r="T6501" s="98"/>
    </row>
    <row r="6502" spans="20:20" x14ac:dyDescent="0.25">
      <c r="T6502" s="98"/>
    </row>
    <row r="6503" spans="20:20" x14ac:dyDescent="0.25">
      <c r="T6503" s="98"/>
    </row>
    <row r="6504" spans="20:20" x14ac:dyDescent="0.25">
      <c r="T6504" s="98"/>
    </row>
    <row r="6505" spans="20:20" x14ac:dyDescent="0.25">
      <c r="T6505" s="98"/>
    </row>
    <row r="6506" spans="20:20" x14ac:dyDescent="0.25">
      <c r="T6506" s="98"/>
    </row>
    <row r="6507" spans="20:20" x14ac:dyDescent="0.25">
      <c r="T6507" s="98"/>
    </row>
    <row r="6508" spans="20:20" x14ac:dyDescent="0.25">
      <c r="T6508" s="98"/>
    </row>
    <row r="6509" spans="20:20" x14ac:dyDescent="0.25">
      <c r="T6509" s="98"/>
    </row>
    <row r="6510" spans="20:20" x14ac:dyDescent="0.25">
      <c r="T6510" s="98"/>
    </row>
    <row r="6511" spans="20:20" x14ac:dyDescent="0.25">
      <c r="T6511" s="98"/>
    </row>
    <row r="6512" spans="20:20" x14ac:dyDescent="0.25">
      <c r="T6512" s="98"/>
    </row>
    <row r="6513" spans="20:20" x14ac:dyDescent="0.25">
      <c r="T6513" s="98"/>
    </row>
    <row r="6514" spans="20:20" x14ac:dyDescent="0.25">
      <c r="T6514" s="98"/>
    </row>
    <row r="6515" spans="20:20" x14ac:dyDescent="0.25">
      <c r="T6515" s="98"/>
    </row>
    <row r="6516" spans="20:20" x14ac:dyDescent="0.25">
      <c r="T6516" s="98"/>
    </row>
    <row r="6517" spans="20:20" x14ac:dyDescent="0.25">
      <c r="T6517" s="98"/>
    </row>
    <row r="6518" spans="20:20" x14ac:dyDescent="0.25">
      <c r="T6518" s="98"/>
    </row>
    <row r="6519" spans="20:20" x14ac:dyDescent="0.25">
      <c r="T6519" s="98"/>
    </row>
    <row r="6520" spans="20:20" x14ac:dyDescent="0.25">
      <c r="T6520" s="98"/>
    </row>
    <row r="6521" spans="20:20" x14ac:dyDescent="0.25">
      <c r="T6521" s="98"/>
    </row>
    <row r="6522" spans="20:20" x14ac:dyDescent="0.25">
      <c r="T6522" s="98"/>
    </row>
    <row r="6523" spans="20:20" x14ac:dyDescent="0.25">
      <c r="T6523" s="98"/>
    </row>
    <row r="6524" spans="20:20" x14ac:dyDescent="0.25">
      <c r="T6524" s="98"/>
    </row>
    <row r="6525" spans="20:20" x14ac:dyDescent="0.25">
      <c r="T6525" s="98"/>
    </row>
    <row r="6526" spans="20:20" x14ac:dyDescent="0.25">
      <c r="T6526" s="98"/>
    </row>
    <row r="6527" spans="20:20" x14ac:dyDescent="0.25">
      <c r="T6527" s="98"/>
    </row>
    <row r="6528" spans="20:20" x14ac:dyDescent="0.25">
      <c r="T6528" s="98"/>
    </row>
    <row r="6529" spans="20:20" x14ac:dyDescent="0.25">
      <c r="T6529" s="98"/>
    </row>
    <row r="6530" spans="20:20" x14ac:dyDescent="0.25">
      <c r="T6530" s="98"/>
    </row>
    <row r="6531" spans="20:20" x14ac:dyDescent="0.25">
      <c r="T6531" s="98"/>
    </row>
    <row r="6532" spans="20:20" x14ac:dyDescent="0.25">
      <c r="T6532" s="98"/>
    </row>
    <row r="6533" spans="20:20" x14ac:dyDescent="0.25">
      <c r="T6533" s="98"/>
    </row>
    <row r="6534" spans="20:20" x14ac:dyDescent="0.25">
      <c r="T6534" s="98"/>
    </row>
    <row r="6535" spans="20:20" x14ac:dyDescent="0.25">
      <c r="T6535" s="98"/>
    </row>
    <row r="6536" spans="20:20" x14ac:dyDescent="0.25">
      <c r="T6536" s="98"/>
    </row>
    <row r="6537" spans="20:20" x14ac:dyDescent="0.25">
      <c r="T6537" s="98"/>
    </row>
    <row r="6538" spans="20:20" x14ac:dyDescent="0.25">
      <c r="T6538" s="98"/>
    </row>
    <row r="6539" spans="20:20" x14ac:dyDescent="0.25">
      <c r="T6539" s="98"/>
    </row>
    <row r="6540" spans="20:20" x14ac:dyDescent="0.25">
      <c r="T6540" s="98"/>
    </row>
    <row r="6541" spans="20:20" x14ac:dyDescent="0.25">
      <c r="T6541" s="98"/>
    </row>
    <row r="6542" spans="20:20" x14ac:dyDescent="0.25">
      <c r="T6542" s="98"/>
    </row>
    <row r="6543" spans="20:20" x14ac:dyDescent="0.25">
      <c r="T6543" s="98"/>
    </row>
    <row r="6544" spans="20:20" x14ac:dyDescent="0.25">
      <c r="T6544" s="98"/>
    </row>
    <row r="6545" spans="20:20" x14ac:dyDescent="0.25">
      <c r="T6545" s="98"/>
    </row>
    <row r="6546" spans="20:20" x14ac:dyDescent="0.25">
      <c r="T6546" s="98"/>
    </row>
    <row r="6547" spans="20:20" x14ac:dyDescent="0.25">
      <c r="T6547" s="98"/>
    </row>
    <row r="6548" spans="20:20" x14ac:dyDescent="0.25">
      <c r="T6548" s="98"/>
    </row>
    <row r="6549" spans="20:20" x14ac:dyDescent="0.25">
      <c r="T6549" s="98"/>
    </row>
    <row r="6550" spans="20:20" x14ac:dyDescent="0.25">
      <c r="T6550" s="98"/>
    </row>
    <row r="6551" spans="20:20" x14ac:dyDescent="0.25">
      <c r="T6551" s="98"/>
    </row>
    <row r="6552" spans="20:20" x14ac:dyDescent="0.25">
      <c r="T6552" s="98"/>
    </row>
    <row r="6553" spans="20:20" x14ac:dyDescent="0.25">
      <c r="T6553" s="98"/>
    </row>
    <row r="6554" spans="20:20" x14ac:dyDescent="0.25">
      <c r="T6554" s="98"/>
    </row>
    <row r="6555" spans="20:20" x14ac:dyDescent="0.25">
      <c r="T6555" s="98"/>
    </row>
    <row r="6556" spans="20:20" x14ac:dyDescent="0.25">
      <c r="T6556" s="98"/>
    </row>
    <row r="6557" spans="20:20" x14ac:dyDescent="0.25">
      <c r="T6557" s="98"/>
    </row>
    <row r="6558" spans="20:20" x14ac:dyDescent="0.25">
      <c r="T6558" s="98"/>
    </row>
    <row r="6559" spans="20:20" x14ac:dyDescent="0.25">
      <c r="T6559" s="98"/>
    </row>
    <row r="6560" spans="20:20" x14ac:dyDescent="0.25">
      <c r="T6560" s="98"/>
    </row>
    <row r="6561" spans="20:20" x14ac:dyDescent="0.25">
      <c r="T6561" s="98"/>
    </row>
    <row r="6562" spans="20:20" x14ac:dyDescent="0.25">
      <c r="T6562" s="98"/>
    </row>
    <row r="6563" spans="20:20" x14ac:dyDescent="0.25">
      <c r="T6563" s="98"/>
    </row>
    <row r="6564" spans="20:20" x14ac:dyDescent="0.25">
      <c r="T6564" s="98"/>
    </row>
    <row r="6565" spans="20:20" x14ac:dyDescent="0.25">
      <c r="T6565" s="98"/>
    </row>
    <row r="6566" spans="20:20" x14ac:dyDescent="0.25">
      <c r="T6566" s="98"/>
    </row>
    <row r="6567" spans="20:20" x14ac:dyDescent="0.25">
      <c r="T6567" s="98"/>
    </row>
    <row r="6568" spans="20:20" x14ac:dyDescent="0.25">
      <c r="T6568" s="98"/>
    </row>
    <row r="6569" spans="20:20" x14ac:dyDescent="0.25">
      <c r="T6569" s="98"/>
    </row>
    <row r="6570" spans="20:20" x14ac:dyDescent="0.25">
      <c r="T6570" s="98"/>
    </row>
    <row r="6571" spans="20:20" x14ac:dyDescent="0.25">
      <c r="T6571" s="98"/>
    </row>
    <row r="6572" spans="20:20" x14ac:dyDescent="0.25">
      <c r="T6572" s="98"/>
    </row>
    <row r="6573" spans="20:20" x14ac:dyDescent="0.25">
      <c r="T6573" s="98"/>
    </row>
    <row r="6574" spans="20:20" x14ac:dyDescent="0.25">
      <c r="T6574" s="98"/>
    </row>
    <row r="6575" spans="20:20" x14ac:dyDescent="0.25">
      <c r="T6575" s="98"/>
    </row>
    <row r="6576" spans="20:20" x14ac:dyDescent="0.25">
      <c r="T6576" s="98"/>
    </row>
    <row r="6577" spans="20:20" x14ac:dyDescent="0.25">
      <c r="T6577" s="98"/>
    </row>
    <row r="6578" spans="20:20" x14ac:dyDescent="0.25">
      <c r="T6578" s="98"/>
    </row>
    <row r="6579" spans="20:20" x14ac:dyDescent="0.25">
      <c r="T6579" s="98"/>
    </row>
    <row r="6580" spans="20:20" x14ac:dyDescent="0.25">
      <c r="T6580" s="98"/>
    </row>
    <row r="6581" spans="20:20" x14ac:dyDescent="0.25">
      <c r="T6581" s="98"/>
    </row>
    <row r="6582" spans="20:20" x14ac:dyDescent="0.25">
      <c r="T6582" s="98"/>
    </row>
    <row r="6583" spans="20:20" x14ac:dyDescent="0.25">
      <c r="T6583" s="98"/>
    </row>
    <row r="6584" spans="20:20" x14ac:dyDescent="0.25">
      <c r="T6584" s="98"/>
    </row>
    <row r="6585" spans="20:20" x14ac:dyDescent="0.25">
      <c r="T6585" s="98"/>
    </row>
    <row r="6586" spans="20:20" x14ac:dyDescent="0.25">
      <c r="T6586" s="98"/>
    </row>
    <row r="6587" spans="20:20" x14ac:dyDescent="0.25">
      <c r="T6587" s="98"/>
    </row>
    <row r="6588" spans="20:20" x14ac:dyDescent="0.25">
      <c r="T6588" s="98"/>
    </row>
    <row r="6589" spans="20:20" x14ac:dyDescent="0.25">
      <c r="T6589" s="98"/>
    </row>
    <row r="6590" spans="20:20" x14ac:dyDescent="0.25">
      <c r="T6590" s="98"/>
    </row>
    <row r="6591" spans="20:20" x14ac:dyDescent="0.25">
      <c r="T6591" s="98"/>
    </row>
    <row r="6592" spans="20:20" x14ac:dyDescent="0.25">
      <c r="T6592" s="98"/>
    </row>
    <row r="6593" spans="20:20" x14ac:dyDescent="0.25">
      <c r="T6593" s="98"/>
    </row>
    <row r="6594" spans="20:20" x14ac:dyDescent="0.25">
      <c r="T6594" s="98"/>
    </row>
    <row r="6595" spans="20:20" x14ac:dyDescent="0.25">
      <c r="T6595" s="98"/>
    </row>
    <row r="6596" spans="20:20" x14ac:dyDescent="0.25">
      <c r="T6596" s="98"/>
    </row>
    <row r="6597" spans="20:20" x14ac:dyDescent="0.25">
      <c r="T6597" s="98"/>
    </row>
    <row r="6598" spans="20:20" x14ac:dyDescent="0.25">
      <c r="T6598" s="98"/>
    </row>
    <row r="6599" spans="20:20" x14ac:dyDescent="0.25">
      <c r="T6599" s="98"/>
    </row>
    <row r="6600" spans="20:20" x14ac:dyDescent="0.25">
      <c r="T6600" s="98"/>
    </row>
    <row r="6601" spans="20:20" x14ac:dyDescent="0.25">
      <c r="T6601" s="98"/>
    </row>
    <row r="6602" spans="20:20" x14ac:dyDescent="0.25">
      <c r="T6602" s="98"/>
    </row>
    <row r="6603" spans="20:20" x14ac:dyDescent="0.25">
      <c r="T6603" s="98"/>
    </row>
    <row r="6604" spans="20:20" x14ac:dyDescent="0.25">
      <c r="T6604" s="98"/>
    </row>
    <row r="6605" spans="20:20" x14ac:dyDescent="0.25">
      <c r="T6605" s="98"/>
    </row>
    <row r="6606" spans="20:20" x14ac:dyDescent="0.25">
      <c r="T6606" s="98"/>
    </row>
    <row r="6607" spans="20:20" x14ac:dyDescent="0.25">
      <c r="T6607" s="98"/>
    </row>
    <row r="6608" spans="20:20" x14ac:dyDescent="0.25">
      <c r="T6608" s="98"/>
    </row>
    <row r="6609" spans="20:20" x14ac:dyDescent="0.25">
      <c r="T6609" s="98"/>
    </row>
    <row r="6610" spans="20:20" x14ac:dyDescent="0.25">
      <c r="T6610" s="98"/>
    </row>
    <row r="6611" spans="20:20" x14ac:dyDescent="0.25">
      <c r="T6611" s="98"/>
    </row>
    <row r="6612" spans="20:20" x14ac:dyDescent="0.25">
      <c r="T6612" s="98"/>
    </row>
    <row r="6613" spans="20:20" x14ac:dyDescent="0.25">
      <c r="T6613" s="98"/>
    </row>
    <row r="6614" spans="20:20" x14ac:dyDescent="0.25">
      <c r="T6614" s="98"/>
    </row>
    <row r="6615" spans="20:20" x14ac:dyDescent="0.25">
      <c r="T6615" s="98"/>
    </row>
    <row r="6616" spans="20:20" x14ac:dyDescent="0.25">
      <c r="T6616" s="98"/>
    </row>
    <row r="6617" spans="20:20" x14ac:dyDescent="0.25">
      <c r="T6617" s="98"/>
    </row>
    <row r="6618" spans="20:20" x14ac:dyDescent="0.25">
      <c r="T6618" s="98"/>
    </row>
    <row r="6619" spans="20:20" x14ac:dyDescent="0.25">
      <c r="T6619" s="98"/>
    </row>
    <row r="6620" spans="20:20" x14ac:dyDescent="0.25">
      <c r="T6620" s="98"/>
    </row>
    <row r="6621" spans="20:20" x14ac:dyDescent="0.25">
      <c r="T6621" s="98"/>
    </row>
    <row r="6622" spans="20:20" x14ac:dyDescent="0.25">
      <c r="T6622" s="98"/>
    </row>
    <row r="6623" spans="20:20" x14ac:dyDescent="0.25">
      <c r="T6623" s="98"/>
    </row>
    <row r="6624" spans="20:20" x14ac:dyDescent="0.25">
      <c r="T6624" s="98"/>
    </row>
    <row r="6625" spans="20:20" x14ac:dyDescent="0.25">
      <c r="T6625" s="98"/>
    </row>
    <row r="6626" spans="20:20" x14ac:dyDescent="0.25">
      <c r="T6626" s="98"/>
    </row>
    <row r="6627" spans="20:20" x14ac:dyDescent="0.25">
      <c r="T6627" s="98"/>
    </row>
    <row r="6628" spans="20:20" x14ac:dyDescent="0.25">
      <c r="T6628" s="98"/>
    </row>
    <row r="6629" spans="20:20" x14ac:dyDescent="0.25">
      <c r="T6629" s="98"/>
    </row>
    <row r="6630" spans="20:20" x14ac:dyDescent="0.25">
      <c r="T6630" s="98"/>
    </row>
    <row r="6631" spans="20:20" x14ac:dyDescent="0.25">
      <c r="T6631" s="98"/>
    </row>
    <row r="6632" spans="20:20" x14ac:dyDescent="0.25">
      <c r="T6632" s="98"/>
    </row>
    <row r="6633" spans="20:20" x14ac:dyDescent="0.25">
      <c r="T6633" s="98"/>
    </row>
    <row r="6634" spans="20:20" x14ac:dyDescent="0.25">
      <c r="T6634" s="98"/>
    </row>
    <row r="6635" spans="20:20" x14ac:dyDescent="0.25">
      <c r="T6635" s="98"/>
    </row>
    <row r="6636" spans="20:20" x14ac:dyDescent="0.25">
      <c r="T6636" s="98"/>
    </row>
    <row r="6637" spans="20:20" x14ac:dyDescent="0.25">
      <c r="T6637" s="98"/>
    </row>
    <row r="6638" spans="20:20" x14ac:dyDescent="0.25">
      <c r="T6638" s="98"/>
    </row>
    <row r="6639" spans="20:20" x14ac:dyDescent="0.25">
      <c r="T6639" s="98"/>
    </row>
    <row r="6640" spans="20:20" x14ac:dyDescent="0.25">
      <c r="T6640" s="98"/>
    </row>
    <row r="6641" spans="20:20" x14ac:dyDescent="0.25">
      <c r="T6641" s="98"/>
    </row>
    <row r="6642" spans="20:20" x14ac:dyDescent="0.25">
      <c r="T6642" s="98"/>
    </row>
    <row r="6643" spans="20:20" x14ac:dyDescent="0.25">
      <c r="T6643" s="98"/>
    </row>
    <row r="6644" spans="20:20" x14ac:dyDescent="0.25">
      <c r="T6644" s="98"/>
    </row>
    <row r="6645" spans="20:20" x14ac:dyDescent="0.25">
      <c r="T6645" s="98"/>
    </row>
    <row r="6646" spans="20:20" x14ac:dyDescent="0.25">
      <c r="T6646" s="98"/>
    </row>
    <row r="6647" spans="20:20" x14ac:dyDescent="0.25">
      <c r="T6647" s="98"/>
    </row>
    <row r="6648" spans="20:20" x14ac:dyDescent="0.25">
      <c r="T6648" s="98"/>
    </row>
    <row r="6649" spans="20:20" x14ac:dyDescent="0.25">
      <c r="T6649" s="98"/>
    </row>
    <row r="6650" spans="20:20" x14ac:dyDescent="0.25">
      <c r="T6650" s="98"/>
    </row>
    <row r="6651" spans="20:20" x14ac:dyDescent="0.25">
      <c r="T6651" s="98"/>
    </row>
    <row r="6652" spans="20:20" x14ac:dyDescent="0.25">
      <c r="T6652" s="98"/>
    </row>
    <row r="6653" spans="20:20" x14ac:dyDescent="0.25">
      <c r="T6653" s="98"/>
    </row>
    <row r="6654" spans="20:20" x14ac:dyDescent="0.25">
      <c r="T6654" s="98"/>
    </row>
    <row r="6655" spans="20:20" x14ac:dyDescent="0.25">
      <c r="T6655" s="98"/>
    </row>
    <row r="6656" spans="20:20" x14ac:dyDescent="0.25">
      <c r="T6656" s="98"/>
    </row>
    <row r="6657" spans="20:20" x14ac:dyDescent="0.25">
      <c r="T6657" s="98"/>
    </row>
    <row r="6658" spans="20:20" x14ac:dyDescent="0.25">
      <c r="T6658" s="98"/>
    </row>
    <row r="6659" spans="20:20" x14ac:dyDescent="0.25">
      <c r="T6659" s="98"/>
    </row>
    <row r="6660" spans="20:20" x14ac:dyDescent="0.25">
      <c r="T6660" s="98"/>
    </row>
    <row r="6661" spans="20:20" x14ac:dyDescent="0.25">
      <c r="T6661" s="98"/>
    </row>
    <row r="6662" spans="20:20" x14ac:dyDescent="0.25">
      <c r="T6662" s="98"/>
    </row>
    <row r="6663" spans="20:20" x14ac:dyDescent="0.25">
      <c r="T6663" s="98"/>
    </row>
    <row r="6664" spans="20:20" x14ac:dyDescent="0.25">
      <c r="T6664" s="98"/>
    </row>
    <row r="6665" spans="20:20" x14ac:dyDescent="0.25">
      <c r="T6665" s="98"/>
    </row>
    <row r="6666" spans="20:20" x14ac:dyDescent="0.25">
      <c r="T6666" s="98"/>
    </row>
    <row r="6667" spans="20:20" x14ac:dyDescent="0.25">
      <c r="T6667" s="98"/>
    </row>
    <row r="6668" spans="20:20" x14ac:dyDescent="0.25">
      <c r="T6668" s="98"/>
    </row>
    <row r="6669" spans="20:20" x14ac:dyDescent="0.25">
      <c r="T6669" s="98"/>
    </row>
    <row r="6670" spans="20:20" x14ac:dyDescent="0.25">
      <c r="T6670" s="98"/>
    </row>
    <row r="6671" spans="20:20" x14ac:dyDescent="0.25">
      <c r="T6671" s="98"/>
    </row>
    <row r="6672" spans="20:20" x14ac:dyDescent="0.25">
      <c r="T6672" s="98"/>
    </row>
    <row r="6673" spans="20:20" x14ac:dyDescent="0.25">
      <c r="T6673" s="98"/>
    </row>
    <row r="6674" spans="20:20" x14ac:dyDescent="0.25">
      <c r="T6674" s="98"/>
    </row>
    <row r="6675" spans="20:20" x14ac:dyDescent="0.25">
      <c r="T6675" s="98"/>
    </row>
    <row r="6676" spans="20:20" x14ac:dyDescent="0.25">
      <c r="T6676" s="98"/>
    </row>
    <row r="6677" spans="20:20" x14ac:dyDescent="0.25">
      <c r="T6677" s="98"/>
    </row>
    <row r="6678" spans="20:20" x14ac:dyDescent="0.25">
      <c r="T6678" s="98"/>
    </row>
    <row r="6679" spans="20:20" x14ac:dyDescent="0.25">
      <c r="T6679" s="98"/>
    </row>
    <row r="6680" spans="20:20" x14ac:dyDescent="0.25">
      <c r="T6680" s="98"/>
    </row>
    <row r="6681" spans="20:20" x14ac:dyDescent="0.25">
      <c r="T6681" s="98"/>
    </row>
    <row r="6682" spans="20:20" x14ac:dyDescent="0.25">
      <c r="T6682" s="98"/>
    </row>
    <row r="6683" spans="20:20" x14ac:dyDescent="0.25">
      <c r="T6683" s="98"/>
    </row>
    <row r="6684" spans="20:20" x14ac:dyDescent="0.25">
      <c r="T6684" s="98"/>
    </row>
    <row r="6685" spans="20:20" x14ac:dyDescent="0.25">
      <c r="T6685" s="98"/>
    </row>
    <row r="6686" spans="20:20" x14ac:dyDescent="0.25">
      <c r="T6686" s="98"/>
    </row>
    <row r="6687" spans="20:20" x14ac:dyDescent="0.25">
      <c r="T6687" s="98"/>
    </row>
    <row r="6688" spans="20:20" x14ac:dyDescent="0.25">
      <c r="T6688" s="98"/>
    </row>
    <row r="6689" spans="20:20" x14ac:dyDescent="0.25">
      <c r="T6689" s="98"/>
    </row>
    <row r="6690" spans="20:20" x14ac:dyDescent="0.25">
      <c r="T6690" s="98"/>
    </row>
    <row r="6691" spans="20:20" x14ac:dyDescent="0.25">
      <c r="T6691" s="98"/>
    </row>
    <row r="6692" spans="20:20" x14ac:dyDescent="0.25">
      <c r="T6692" s="98"/>
    </row>
    <row r="6693" spans="20:20" x14ac:dyDescent="0.25">
      <c r="T6693" s="98"/>
    </row>
    <row r="6694" spans="20:20" x14ac:dyDescent="0.25">
      <c r="T6694" s="98"/>
    </row>
    <row r="6695" spans="20:20" x14ac:dyDescent="0.25">
      <c r="T6695" s="98"/>
    </row>
    <row r="6696" spans="20:20" x14ac:dyDescent="0.25">
      <c r="T6696" s="98"/>
    </row>
    <row r="6697" spans="20:20" x14ac:dyDescent="0.25">
      <c r="T6697" s="98"/>
    </row>
    <row r="6698" spans="20:20" x14ac:dyDescent="0.25">
      <c r="T6698" s="98"/>
    </row>
    <row r="6699" spans="20:20" x14ac:dyDescent="0.25">
      <c r="T6699" s="98"/>
    </row>
    <row r="6700" spans="20:20" x14ac:dyDescent="0.25">
      <c r="T6700" s="98"/>
    </row>
    <row r="6701" spans="20:20" x14ac:dyDescent="0.25">
      <c r="T6701" s="98"/>
    </row>
    <row r="6702" spans="20:20" x14ac:dyDescent="0.25">
      <c r="T6702" s="98"/>
    </row>
    <row r="6703" spans="20:20" x14ac:dyDescent="0.25">
      <c r="T6703" s="98"/>
    </row>
    <row r="6704" spans="20:20" x14ac:dyDescent="0.25">
      <c r="T6704" s="98"/>
    </row>
    <row r="6705" spans="20:20" x14ac:dyDescent="0.25">
      <c r="T6705" s="98"/>
    </row>
    <row r="6706" spans="20:20" x14ac:dyDescent="0.25">
      <c r="T6706" s="98"/>
    </row>
    <row r="6707" spans="20:20" x14ac:dyDescent="0.25">
      <c r="T6707" s="98"/>
    </row>
    <row r="6708" spans="20:20" x14ac:dyDescent="0.25">
      <c r="T6708" s="98"/>
    </row>
    <row r="6709" spans="20:20" x14ac:dyDescent="0.25">
      <c r="T6709" s="98"/>
    </row>
    <row r="6710" spans="20:20" x14ac:dyDescent="0.25">
      <c r="T6710" s="98"/>
    </row>
    <row r="6711" spans="20:20" x14ac:dyDescent="0.25">
      <c r="T6711" s="98"/>
    </row>
    <row r="6712" spans="20:20" x14ac:dyDescent="0.25">
      <c r="T6712" s="98"/>
    </row>
    <row r="6713" spans="20:20" x14ac:dyDescent="0.25">
      <c r="T6713" s="98"/>
    </row>
    <row r="6714" spans="20:20" x14ac:dyDescent="0.25">
      <c r="T6714" s="98"/>
    </row>
    <row r="6715" spans="20:20" x14ac:dyDescent="0.25">
      <c r="T6715" s="98"/>
    </row>
    <row r="6716" spans="20:20" x14ac:dyDescent="0.25">
      <c r="T6716" s="98"/>
    </row>
    <row r="6717" spans="20:20" x14ac:dyDescent="0.25">
      <c r="T6717" s="98"/>
    </row>
    <row r="6718" spans="20:20" x14ac:dyDescent="0.25">
      <c r="T6718" s="98"/>
    </row>
    <row r="6719" spans="20:20" x14ac:dyDescent="0.25">
      <c r="T6719" s="98"/>
    </row>
    <row r="6720" spans="20:20" x14ac:dyDescent="0.25">
      <c r="T6720" s="98"/>
    </row>
    <row r="6721" spans="20:20" x14ac:dyDescent="0.25">
      <c r="T6721" s="98"/>
    </row>
    <row r="6722" spans="20:20" x14ac:dyDescent="0.25">
      <c r="T6722" s="98"/>
    </row>
    <row r="6723" spans="20:20" x14ac:dyDescent="0.25">
      <c r="T6723" s="98"/>
    </row>
    <row r="6724" spans="20:20" x14ac:dyDescent="0.25">
      <c r="T6724" s="98"/>
    </row>
    <row r="6725" spans="20:20" x14ac:dyDescent="0.25">
      <c r="T6725" s="98"/>
    </row>
    <row r="6726" spans="20:20" x14ac:dyDescent="0.25">
      <c r="T6726" s="98"/>
    </row>
    <row r="6727" spans="20:20" x14ac:dyDescent="0.25">
      <c r="T6727" s="98"/>
    </row>
    <row r="6728" spans="20:20" x14ac:dyDescent="0.25">
      <c r="T6728" s="98"/>
    </row>
    <row r="6729" spans="20:20" x14ac:dyDescent="0.25">
      <c r="T6729" s="98"/>
    </row>
    <row r="6730" spans="20:20" x14ac:dyDescent="0.25">
      <c r="T6730" s="98"/>
    </row>
    <row r="6731" spans="20:20" x14ac:dyDescent="0.25">
      <c r="T6731" s="98"/>
    </row>
    <row r="6732" spans="20:20" x14ac:dyDescent="0.25">
      <c r="T6732" s="98"/>
    </row>
    <row r="6733" spans="20:20" x14ac:dyDescent="0.25">
      <c r="T6733" s="98"/>
    </row>
    <row r="6734" spans="20:20" x14ac:dyDescent="0.25">
      <c r="T6734" s="98"/>
    </row>
    <row r="6735" spans="20:20" x14ac:dyDescent="0.25">
      <c r="T6735" s="98"/>
    </row>
    <row r="6736" spans="20:20" x14ac:dyDescent="0.25">
      <c r="T6736" s="98"/>
    </row>
    <row r="6737" spans="20:20" x14ac:dyDescent="0.25">
      <c r="T6737" s="98"/>
    </row>
    <row r="6738" spans="20:20" x14ac:dyDescent="0.25">
      <c r="T6738" s="98"/>
    </row>
    <row r="6739" spans="20:20" x14ac:dyDescent="0.25">
      <c r="T6739" s="98"/>
    </row>
    <row r="6740" spans="20:20" x14ac:dyDescent="0.25">
      <c r="T6740" s="98"/>
    </row>
    <row r="6741" spans="20:20" x14ac:dyDescent="0.25">
      <c r="T6741" s="98"/>
    </row>
    <row r="6742" spans="20:20" x14ac:dyDescent="0.25">
      <c r="T6742" s="98"/>
    </row>
    <row r="6743" spans="20:20" x14ac:dyDescent="0.25">
      <c r="T6743" s="98"/>
    </row>
    <row r="6744" spans="20:20" x14ac:dyDescent="0.25">
      <c r="T6744" s="98"/>
    </row>
    <row r="6745" spans="20:20" x14ac:dyDescent="0.25">
      <c r="T6745" s="98"/>
    </row>
    <row r="6746" spans="20:20" x14ac:dyDescent="0.25">
      <c r="T6746" s="98"/>
    </row>
    <row r="6747" spans="20:20" x14ac:dyDescent="0.25">
      <c r="T6747" s="98"/>
    </row>
    <row r="6748" spans="20:20" x14ac:dyDescent="0.25">
      <c r="T6748" s="98"/>
    </row>
    <row r="6749" spans="20:20" x14ac:dyDescent="0.25">
      <c r="T6749" s="98"/>
    </row>
    <row r="6750" spans="20:20" x14ac:dyDescent="0.25">
      <c r="T6750" s="98"/>
    </row>
    <row r="6751" spans="20:20" x14ac:dyDescent="0.25">
      <c r="T6751" s="98"/>
    </row>
    <row r="6752" spans="20:20" x14ac:dyDescent="0.25">
      <c r="T6752" s="98"/>
    </row>
    <row r="6753" spans="20:20" x14ac:dyDescent="0.25">
      <c r="T6753" s="98"/>
    </row>
    <row r="6754" spans="20:20" x14ac:dyDescent="0.25">
      <c r="T6754" s="98"/>
    </row>
    <row r="6755" spans="20:20" x14ac:dyDescent="0.25">
      <c r="T6755" s="98"/>
    </row>
    <row r="6756" spans="20:20" x14ac:dyDescent="0.25">
      <c r="T6756" s="98"/>
    </row>
    <row r="6757" spans="20:20" x14ac:dyDescent="0.25">
      <c r="T6757" s="98"/>
    </row>
    <row r="6758" spans="20:20" x14ac:dyDescent="0.25">
      <c r="T6758" s="98"/>
    </row>
    <row r="6759" spans="20:20" x14ac:dyDescent="0.25">
      <c r="T6759" s="98"/>
    </row>
    <row r="6760" spans="20:20" x14ac:dyDescent="0.25">
      <c r="T6760" s="98"/>
    </row>
    <row r="6761" spans="20:20" x14ac:dyDescent="0.25">
      <c r="T6761" s="98"/>
    </row>
    <row r="6762" spans="20:20" x14ac:dyDescent="0.25">
      <c r="T6762" s="98"/>
    </row>
    <row r="6763" spans="20:20" x14ac:dyDescent="0.25">
      <c r="T6763" s="98"/>
    </row>
    <row r="6764" spans="20:20" x14ac:dyDescent="0.25">
      <c r="T6764" s="98"/>
    </row>
    <row r="6765" spans="20:20" x14ac:dyDescent="0.25">
      <c r="T6765" s="98"/>
    </row>
    <row r="6766" spans="20:20" x14ac:dyDescent="0.25">
      <c r="T6766" s="98"/>
    </row>
    <row r="6767" spans="20:20" x14ac:dyDescent="0.25">
      <c r="T6767" s="98"/>
    </row>
    <row r="6768" spans="20:20" x14ac:dyDescent="0.25">
      <c r="T6768" s="98"/>
    </row>
    <row r="6769" spans="20:20" x14ac:dyDescent="0.25">
      <c r="T6769" s="98"/>
    </row>
    <row r="6770" spans="20:20" x14ac:dyDescent="0.25">
      <c r="T6770" s="98"/>
    </row>
    <row r="6771" spans="20:20" x14ac:dyDescent="0.25">
      <c r="T6771" s="98"/>
    </row>
    <row r="6772" spans="20:20" x14ac:dyDescent="0.25">
      <c r="T6772" s="98"/>
    </row>
    <row r="6773" spans="20:20" x14ac:dyDescent="0.25">
      <c r="T6773" s="98"/>
    </row>
    <row r="6774" spans="20:20" x14ac:dyDescent="0.25">
      <c r="T6774" s="98"/>
    </row>
    <row r="6775" spans="20:20" x14ac:dyDescent="0.25">
      <c r="T6775" s="98"/>
    </row>
    <row r="6776" spans="20:20" x14ac:dyDescent="0.25">
      <c r="T6776" s="98"/>
    </row>
    <row r="6777" spans="20:20" x14ac:dyDescent="0.25">
      <c r="T6777" s="98"/>
    </row>
    <row r="6778" spans="20:20" x14ac:dyDescent="0.25">
      <c r="T6778" s="98"/>
    </row>
    <row r="6779" spans="20:20" x14ac:dyDescent="0.25">
      <c r="T6779" s="98"/>
    </row>
    <row r="6780" spans="20:20" x14ac:dyDescent="0.25">
      <c r="T6780" s="98"/>
    </row>
    <row r="6781" spans="20:20" x14ac:dyDescent="0.25">
      <c r="T6781" s="98"/>
    </row>
    <row r="6782" spans="20:20" x14ac:dyDescent="0.25">
      <c r="T6782" s="98"/>
    </row>
    <row r="6783" spans="20:20" x14ac:dyDescent="0.25">
      <c r="T6783" s="98"/>
    </row>
    <row r="6784" spans="20:20" x14ac:dyDescent="0.25">
      <c r="T6784" s="98"/>
    </row>
    <row r="6785" spans="20:20" x14ac:dyDescent="0.25">
      <c r="T6785" s="98"/>
    </row>
    <row r="6786" spans="20:20" x14ac:dyDescent="0.25">
      <c r="T6786" s="98"/>
    </row>
    <row r="6787" spans="20:20" x14ac:dyDescent="0.25">
      <c r="T6787" s="98"/>
    </row>
    <row r="6788" spans="20:20" x14ac:dyDescent="0.25">
      <c r="T6788" s="98"/>
    </row>
    <row r="6789" spans="20:20" x14ac:dyDescent="0.25">
      <c r="T6789" s="98"/>
    </row>
    <row r="6790" spans="20:20" x14ac:dyDescent="0.25">
      <c r="T6790" s="98"/>
    </row>
    <row r="6791" spans="20:20" x14ac:dyDescent="0.25">
      <c r="T6791" s="98"/>
    </row>
    <row r="6792" spans="20:20" x14ac:dyDescent="0.25">
      <c r="T6792" s="98"/>
    </row>
    <row r="6793" spans="20:20" x14ac:dyDescent="0.25">
      <c r="T6793" s="98"/>
    </row>
    <row r="6794" spans="20:20" x14ac:dyDescent="0.25">
      <c r="T6794" s="98"/>
    </row>
    <row r="6795" spans="20:20" x14ac:dyDescent="0.25">
      <c r="T6795" s="98"/>
    </row>
    <row r="6796" spans="20:20" x14ac:dyDescent="0.25">
      <c r="T6796" s="98"/>
    </row>
    <row r="6797" spans="20:20" x14ac:dyDescent="0.25">
      <c r="T6797" s="98"/>
    </row>
    <row r="6798" spans="20:20" x14ac:dyDescent="0.25">
      <c r="T6798" s="98"/>
    </row>
    <row r="6799" spans="20:20" x14ac:dyDescent="0.25">
      <c r="T6799" s="98"/>
    </row>
    <row r="6800" spans="20:20" x14ac:dyDescent="0.25">
      <c r="T6800" s="98"/>
    </row>
    <row r="6801" spans="20:20" x14ac:dyDescent="0.25">
      <c r="T6801" s="98"/>
    </row>
    <row r="6802" spans="20:20" x14ac:dyDescent="0.25">
      <c r="T6802" s="98"/>
    </row>
    <row r="6803" spans="20:20" x14ac:dyDescent="0.25">
      <c r="T6803" s="98"/>
    </row>
    <row r="6804" spans="20:20" x14ac:dyDescent="0.25">
      <c r="T6804" s="98"/>
    </row>
    <row r="6805" spans="20:20" x14ac:dyDescent="0.25">
      <c r="T6805" s="98"/>
    </row>
    <row r="6806" spans="20:20" x14ac:dyDescent="0.25">
      <c r="T6806" s="98"/>
    </row>
    <row r="6807" spans="20:20" x14ac:dyDescent="0.25">
      <c r="T6807" s="98"/>
    </row>
    <row r="6808" spans="20:20" x14ac:dyDescent="0.25">
      <c r="T6808" s="98"/>
    </row>
    <row r="6809" spans="20:20" x14ac:dyDescent="0.25">
      <c r="T6809" s="98"/>
    </row>
    <row r="6810" spans="20:20" x14ac:dyDescent="0.25">
      <c r="T6810" s="98"/>
    </row>
    <row r="6811" spans="20:20" x14ac:dyDescent="0.25">
      <c r="T6811" s="98"/>
    </row>
    <row r="6812" spans="20:20" x14ac:dyDescent="0.25">
      <c r="T6812" s="98"/>
    </row>
    <row r="6813" spans="20:20" x14ac:dyDescent="0.25">
      <c r="T6813" s="98"/>
    </row>
    <row r="6814" spans="20:20" x14ac:dyDescent="0.25">
      <c r="T6814" s="98"/>
    </row>
    <row r="6815" spans="20:20" x14ac:dyDescent="0.25">
      <c r="T6815" s="98"/>
    </row>
    <row r="6816" spans="20:20" x14ac:dyDescent="0.25">
      <c r="T6816" s="98"/>
    </row>
    <row r="6817" spans="20:20" x14ac:dyDescent="0.25">
      <c r="T6817" s="98"/>
    </row>
    <row r="6818" spans="20:20" x14ac:dyDescent="0.25">
      <c r="T6818" s="98"/>
    </row>
    <row r="6819" spans="20:20" x14ac:dyDescent="0.25">
      <c r="T6819" s="98"/>
    </row>
    <row r="6820" spans="20:20" x14ac:dyDescent="0.25">
      <c r="T6820" s="98"/>
    </row>
    <row r="6821" spans="20:20" x14ac:dyDescent="0.25">
      <c r="T6821" s="98"/>
    </row>
    <row r="6822" spans="20:20" x14ac:dyDescent="0.25">
      <c r="T6822" s="98"/>
    </row>
    <row r="6823" spans="20:20" x14ac:dyDescent="0.25">
      <c r="T6823" s="98"/>
    </row>
    <row r="6824" spans="20:20" x14ac:dyDescent="0.25">
      <c r="T6824" s="98"/>
    </row>
    <row r="6825" spans="20:20" x14ac:dyDescent="0.25">
      <c r="T6825" s="98"/>
    </row>
    <row r="6826" spans="20:20" x14ac:dyDescent="0.25">
      <c r="T6826" s="98"/>
    </row>
    <row r="6827" spans="20:20" x14ac:dyDescent="0.25">
      <c r="T6827" s="98"/>
    </row>
    <row r="6828" spans="20:20" x14ac:dyDescent="0.25">
      <c r="T6828" s="98"/>
    </row>
    <row r="6829" spans="20:20" x14ac:dyDescent="0.25">
      <c r="T6829" s="98"/>
    </row>
    <row r="6830" spans="20:20" x14ac:dyDescent="0.25">
      <c r="T6830" s="98"/>
    </row>
    <row r="6831" spans="20:20" x14ac:dyDescent="0.25">
      <c r="T6831" s="98"/>
    </row>
    <row r="6832" spans="20:20" x14ac:dyDescent="0.25">
      <c r="T6832" s="98"/>
    </row>
    <row r="6833" spans="20:20" x14ac:dyDescent="0.25">
      <c r="T6833" s="98"/>
    </row>
    <row r="6834" spans="20:20" x14ac:dyDescent="0.25">
      <c r="T6834" s="98"/>
    </row>
    <row r="6835" spans="20:20" x14ac:dyDescent="0.25">
      <c r="T6835" s="98"/>
    </row>
    <row r="6836" spans="20:20" x14ac:dyDescent="0.25">
      <c r="T6836" s="98"/>
    </row>
    <row r="6837" spans="20:20" x14ac:dyDescent="0.25">
      <c r="T6837" s="98"/>
    </row>
    <row r="6838" spans="20:20" x14ac:dyDescent="0.25">
      <c r="T6838" s="98"/>
    </row>
    <row r="6839" spans="20:20" x14ac:dyDescent="0.25">
      <c r="T6839" s="98"/>
    </row>
    <row r="6840" spans="20:20" x14ac:dyDescent="0.25">
      <c r="T6840" s="98"/>
    </row>
    <row r="6841" spans="20:20" x14ac:dyDescent="0.25">
      <c r="T6841" s="98"/>
    </row>
    <row r="6842" spans="20:20" x14ac:dyDescent="0.25">
      <c r="T6842" s="98"/>
    </row>
    <row r="6843" spans="20:20" x14ac:dyDescent="0.25">
      <c r="T6843" s="98"/>
    </row>
    <row r="6844" spans="20:20" x14ac:dyDescent="0.25">
      <c r="T6844" s="98"/>
    </row>
    <row r="6845" spans="20:20" x14ac:dyDescent="0.25">
      <c r="T6845" s="98"/>
    </row>
    <row r="6846" spans="20:20" x14ac:dyDescent="0.25">
      <c r="T6846" s="98"/>
    </row>
    <row r="6847" spans="20:20" x14ac:dyDescent="0.25">
      <c r="T6847" s="98"/>
    </row>
    <row r="6848" spans="20:20" x14ac:dyDescent="0.25">
      <c r="T6848" s="98"/>
    </row>
    <row r="6849" spans="20:20" x14ac:dyDescent="0.25">
      <c r="T6849" s="98"/>
    </row>
    <row r="6850" spans="20:20" x14ac:dyDescent="0.25">
      <c r="T6850" s="98"/>
    </row>
    <row r="6851" spans="20:20" x14ac:dyDescent="0.25">
      <c r="T6851" s="98"/>
    </row>
    <row r="6852" spans="20:20" x14ac:dyDescent="0.25">
      <c r="T6852" s="98"/>
    </row>
    <row r="6853" spans="20:20" x14ac:dyDescent="0.25">
      <c r="T6853" s="98"/>
    </row>
    <row r="6854" spans="20:20" x14ac:dyDescent="0.25">
      <c r="T6854" s="98"/>
    </row>
    <row r="6855" spans="20:20" x14ac:dyDescent="0.25">
      <c r="T6855" s="98"/>
    </row>
    <row r="6856" spans="20:20" x14ac:dyDescent="0.25">
      <c r="T6856" s="98"/>
    </row>
    <row r="6857" spans="20:20" x14ac:dyDescent="0.25">
      <c r="T6857" s="98"/>
    </row>
    <row r="6858" spans="20:20" x14ac:dyDescent="0.25">
      <c r="T6858" s="98"/>
    </row>
    <row r="6859" spans="20:20" x14ac:dyDescent="0.25">
      <c r="T6859" s="98"/>
    </row>
    <row r="6860" spans="20:20" x14ac:dyDescent="0.25">
      <c r="T6860" s="98"/>
    </row>
    <row r="6861" spans="20:20" x14ac:dyDescent="0.25">
      <c r="T6861" s="98"/>
    </row>
    <row r="6862" spans="20:20" x14ac:dyDescent="0.25">
      <c r="T6862" s="98"/>
    </row>
    <row r="6863" spans="20:20" x14ac:dyDescent="0.25">
      <c r="T6863" s="98"/>
    </row>
    <row r="6864" spans="20:20" x14ac:dyDescent="0.25">
      <c r="T6864" s="98"/>
    </row>
    <row r="6865" spans="20:20" x14ac:dyDescent="0.25">
      <c r="T6865" s="98"/>
    </row>
    <row r="6866" spans="20:20" x14ac:dyDescent="0.25">
      <c r="T6866" s="98"/>
    </row>
    <row r="6867" spans="20:20" x14ac:dyDescent="0.25">
      <c r="T6867" s="98"/>
    </row>
    <row r="6868" spans="20:20" x14ac:dyDescent="0.25">
      <c r="T6868" s="98"/>
    </row>
    <row r="6869" spans="20:20" x14ac:dyDescent="0.25">
      <c r="T6869" s="98"/>
    </row>
    <row r="6870" spans="20:20" x14ac:dyDescent="0.25">
      <c r="T6870" s="98"/>
    </row>
    <row r="6871" spans="20:20" x14ac:dyDescent="0.25">
      <c r="T6871" s="98"/>
    </row>
    <row r="6872" spans="20:20" x14ac:dyDescent="0.25">
      <c r="T6872" s="98"/>
    </row>
    <row r="6873" spans="20:20" x14ac:dyDescent="0.25">
      <c r="T6873" s="98"/>
    </row>
    <row r="6874" spans="20:20" x14ac:dyDescent="0.25">
      <c r="T6874" s="98"/>
    </row>
    <row r="6875" spans="20:20" x14ac:dyDescent="0.25">
      <c r="T6875" s="98"/>
    </row>
    <row r="6876" spans="20:20" x14ac:dyDescent="0.25">
      <c r="T6876" s="98"/>
    </row>
    <row r="6877" spans="20:20" x14ac:dyDescent="0.25">
      <c r="T6877" s="98"/>
    </row>
    <row r="6878" spans="20:20" x14ac:dyDescent="0.25">
      <c r="T6878" s="98"/>
    </row>
    <row r="6879" spans="20:20" x14ac:dyDescent="0.25">
      <c r="T6879" s="98"/>
    </row>
    <row r="6880" spans="20:20" x14ac:dyDescent="0.25">
      <c r="T6880" s="98"/>
    </row>
    <row r="6881" spans="20:20" x14ac:dyDescent="0.25">
      <c r="T6881" s="98"/>
    </row>
    <row r="6882" spans="20:20" x14ac:dyDescent="0.25">
      <c r="T6882" s="98"/>
    </row>
    <row r="6883" spans="20:20" x14ac:dyDescent="0.25">
      <c r="T6883" s="98"/>
    </row>
    <row r="6884" spans="20:20" x14ac:dyDescent="0.25">
      <c r="T6884" s="98"/>
    </row>
    <row r="6885" spans="20:20" x14ac:dyDescent="0.25">
      <c r="T6885" s="98"/>
    </row>
    <row r="6886" spans="20:20" x14ac:dyDescent="0.25">
      <c r="T6886" s="98"/>
    </row>
    <row r="6887" spans="20:20" x14ac:dyDescent="0.25">
      <c r="T6887" s="98"/>
    </row>
    <row r="6888" spans="20:20" x14ac:dyDescent="0.25">
      <c r="T6888" s="98"/>
    </row>
    <row r="6889" spans="20:20" x14ac:dyDescent="0.25">
      <c r="T6889" s="98"/>
    </row>
    <row r="6890" spans="20:20" x14ac:dyDescent="0.25">
      <c r="T6890" s="98"/>
    </row>
    <row r="6891" spans="20:20" x14ac:dyDescent="0.25">
      <c r="T6891" s="98"/>
    </row>
    <row r="6892" spans="20:20" x14ac:dyDescent="0.25">
      <c r="T6892" s="98"/>
    </row>
    <row r="6893" spans="20:20" x14ac:dyDescent="0.25">
      <c r="T6893" s="98"/>
    </row>
    <row r="6894" spans="20:20" x14ac:dyDescent="0.25">
      <c r="T6894" s="98"/>
    </row>
    <row r="6895" spans="20:20" x14ac:dyDescent="0.25">
      <c r="T6895" s="98"/>
    </row>
    <row r="6896" spans="20:20" x14ac:dyDescent="0.25">
      <c r="T6896" s="98"/>
    </row>
    <row r="6897" spans="20:20" x14ac:dyDescent="0.25">
      <c r="T6897" s="98"/>
    </row>
    <row r="6898" spans="20:20" x14ac:dyDescent="0.25">
      <c r="T6898" s="98"/>
    </row>
    <row r="6899" spans="20:20" x14ac:dyDescent="0.25">
      <c r="T6899" s="98"/>
    </row>
    <row r="6900" spans="20:20" x14ac:dyDescent="0.25">
      <c r="T6900" s="98"/>
    </row>
    <row r="6901" spans="20:20" x14ac:dyDescent="0.25">
      <c r="T6901" s="98"/>
    </row>
    <row r="6902" spans="20:20" x14ac:dyDescent="0.25">
      <c r="T6902" s="98"/>
    </row>
    <row r="6903" spans="20:20" x14ac:dyDescent="0.25">
      <c r="T6903" s="98"/>
    </row>
    <row r="6904" spans="20:20" x14ac:dyDescent="0.25">
      <c r="T6904" s="98"/>
    </row>
    <row r="6905" spans="20:20" x14ac:dyDescent="0.25">
      <c r="T6905" s="98"/>
    </row>
    <row r="6906" spans="20:20" x14ac:dyDescent="0.25">
      <c r="T6906" s="98"/>
    </row>
    <row r="6907" spans="20:20" x14ac:dyDescent="0.25">
      <c r="T6907" s="98"/>
    </row>
    <row r="6908" spans="20:20" x14ac:dyDescent="0.25">
      <c r="T6908" s="98"/>
    </row>
    <row r="6909" spans="20:20" x14ac:dyDescent="0.25">
      <c r="T6909" s="98"/>
    </row>
    <row r="6910" spans="20:20" x14ac:dyDescent="0.25">
      <c r="T6910" s="98"/>
    </row>
    <row r="6911" spans="20:20" x14ac:dyDescent="0.25">
      <c r="T6911" s="98"/>
    </row>
    <row r="6912" spans="20:20" x14ac:dyDescent="0.25">
      <c r="T6912" s="98"/>
    </row>
    <row r="6913" spans="20:20" x14ac:dyDescent="0.25">
      <c r="T6913" s="98"/>
    </row>
    <row r="6914" spans="20:20" x14ac:dyDescent="0.25">
      <c r="T6914" s="98"/>
    </row>
    <row r="6915" spans="20:20" x14ac:dyDescent="0.25">
      <c r="T6915" s="98"/>
    </row>
    <row r="6916" spans="20:20" x14ac:dyDescent="0.25">
      <c r="T6916" s="98"/>
    </row>
    <row r="6917" spans="20:20" x14ac:dyDescent="0.25">
      <c r="T6917" s="98"/>
    </row>
    <row r="6918" spans="20:20" x14ac:dyDescent="0.25">
      <c r="T6918" s="98"/>
    </row>
    <row r="6919" spans="20:20" x14ac:dyDescent="0.25">
      <c r="T6919" s="98"/>
    </row>
    <row r="6920" spans="20:20" x14ac:dyDescent="0.25">
      <c r="T6920" s="98"/>
    </row>
    <row r="6921" spans="20:20" x14ac:dyDescent="0.25">
      <c r="T6921" s="98"/>
    </row>
    <row r="6922" spans="20:20" x14ac:dyDescent="0.25">
      <c r="T6922" s="98"/>
    </row>
    <row r="6923" spans="20:20" x14ac:dyDescent="0.25">
      <c r="T6923" s="98"/>
    </row>
    <row r="6924" spans="20:20" x14ac:dyDescent="0.25">
      <c r="T6924" s="98"/>
    </row>
    <row r="6925" spans="20:20" x14ac:dyDescent="0.25">
      <c r="T6925" s="98"/>
    </row>
    <row r="6926" spans="20:20" x14ac:dyDescent="0.25">
      <c r="T6926" s="98"/>
    </row>
    <row r="6927" spans="20:20" x14ac:dyDescent="0.25">
      <c r="T6927" s="98"/>
    </row>
    <row r="6928" spans="20:20" x14ac:dyDescent="0.25">
      <c r="T6928" s="98"/>
    </row>
    <row r="6929" spans="20:20" x14ac:dyDescent="0.25">
      <c r="T6929" s="98"/>
    </row>
    <row r="6930" spans="20:20" x14ac:dyDescent="0.25">
      <c r="T6930" s="98"/>
    </row>
    <row r="6931" spans="20:20" x14ac:dyDescent="0.25">
      <c r="T6931" s="98"/>
    </row>
    <row r="6932" spans="20:20" x14ac:dyDescent="0.25">
      <c r="T6932" s="98"/>
    </row>
    <row r="6933" spans="20:20" x14ac:dyDescent="0.25">
      <c r="T6933" s="98"/>
    </row>
    <row r="6934" spans="20:20" x14ac:dyDescent="0.25">
      <c r="T6934" s="98"/>
    </row>
    <row r="6935" spans="20:20" x14ac:dyDescent="0.25">
      <c r="T6935" s="98"/>
    </row>
    <row r="6936" spans="20:20" x14ac:dyDescent="0.25">
      <c r="T6936" s="98"/>
    </row>
    <row r="6937" spans="20:20" x14ac:dyDescent="0.25">
      <c r="T6937" s="98"/>
    </row>
    <row r="6938" spans="20:20" x14ac:dyDescent="0.25">
      <c r="T6938" s="98"/>
    </row>
    <row r="6939" spans="20:20" x14ac:dyDescent="0.25">
      <c r="T6939" s="98"/>
    </row>
    <row r="6940" spans="20:20" x14ac:dyDescent="0.25">
      <c r="T6940" s="98"/>
    </row>
    <row r="6941" spans="20:20" x14ac:dyDescent="0.25">
      <c r="T6941" s="98"/>
    </row>
    <row r="6942" spans="20:20" x14ac:dyDescent="0.25">
      <c r="T6942" s="98"/>
    </row>
    <row r="6943" spans="20:20" x14ac:dyDescent="0.25">
      <c r="T6943" s="98"/>
    </row>
    <row r="6944" spans="20:20" x14ac:dyDescent="0.25">
      <c r="T6944" s="98"/>
    </row>
    <row r="6945" spans="20:20" x14ac:dyDescent="0.25">
      <c r="T6945" s="98"/>
    </row>
    <row r="6946" spans="20:20" x14ac:dyDescent="0.25">
      <c r="T6946" s="98"/>
    </row>
    <row r="6947" spans="20:20" x14ac:dyDescent="0.25">
      <c r="T6947" s="98"/>
    </row>
    <row r="6948" spans="20:20" x14ac:dyDescent="0.25">
      <c r="T6948" s="98"/>
    </row>
    <row r="6949" spans="20:20" x14ac:dyDescent="0.25">
      <c r="T6949" s="98"/>
    </row>
    <row r="6950" spans="20:20" x14ac:dyDescent="0.25">
      <c r="T6950" s="98"/>
    </row>
    <row r="6951" spans="20:20" x14ac:dyDescent="0.25">
      <c r="T6951" s="98"/>
    </row>
    <row r="6952" spans="20:20" x14ac:dyDescent="0.25">
      <c r="T6952" s="98"/>
    </row>
    <row r="6953" spans="20:20" x14ac:dyDescent="0.25">
      <c r="T6953" s="98"/>
    </row>
    <row r="6954" spans="20:20" x14ac:dyDescent="0.25">
      <c r="T6954" s="98"/>
    </row>
    <row r="6955" spans="20:20" x14ac:dyDescent="0.25">
      <c r="T6955" s="98"/>
    </row>
    <row r="6956" spans="20:20" x14ac:dyDescent="0.25">
      <c r="T6956" s="98"/>
    </row>
    <row r="6957" spans="20:20" x14ac:dyDescent="0.25">
      <c r="T6957" s="98"/>
    </row>
    <row r="6958" spans="20:20" x14ac:dyDescent="0.25">
      <c r="T6958" s="98"/>
    </row>
    <row r="6959" spans="20:20" x14ac:dyDescent="0.25">
      <c r="T6959" s="98"/>
    </row>
    <row r="6960" spans="20:20" x14ac:dyDescent="0.25">
      <c r="T6960" s="98"/>
    </row>
    <row r="6961" spans="20:20" x14ac:dyDescent="0.25">
      <c r="T6961" s="98"/>
    </row>
    <row r="6962" spans="20:20" x14ac:dyDescent="0.25">
      <c r="T6962" s="98"/>
    </row>
    <row r="6963" spans="20:20" x14ac:dyDescent="0.25">
      <c r="T6963" s="98"/>
    </row>
    <row r="6964" spans="20:20" x14ac:dyDescent="0.25">
      <c r="T6964" s="98"/>
    </row>
    <row r="6965" spans="20:20" x14ac:dyDescent="0.25">
      <c r="T6965" s="98"/>
    </row>
    <row r="6966" spans="20:20" x14ac:dyDescent="0.25">
      <c r="T6966" s="98"/>
    </row>
    <row r="6967" spans="20:20" x14ac:dyDescent="0.25">
      <c r="T6967" s="98"/>
    </row>
    <row r="6968" spans="20:20" x14ac:dyDescent="0.25">
      <c r="T6968" s="98"/>
    </row>
    <row r="6969" spans="20:20" x14ac:dyDescent="0.25">
      <c r="T6969" s="98"/>
    </row>
    <row r="6970" spans="20:20" x14ac:dyDescent="0.25">
      <c r="T6970" s="98"/>
    </row>
    <row r="6971" spans="20:20" x14ac:dyDescent="0.25">
      <c r="T6971" s="98"/>
    </row>
    <row r="6972" spans="20:20" x14ac:dyDescent="0.25">
      <c r="T6972" s="98"/>
    </row>
    <row r="6973" spans="20:20" x14ac:dyDescent="0.25">
      <c r="T6973" s="98"/>
    </row>
    <row r="6974" spans="20:20" x14ac:dyDescent="0.25">
      <c r="T6974" s="98"/>
    </row>
    <row r="6975" spans="20:20" x14ac:dyDescent="0.25">
      <c r="T6975" s="98"/>
    </row>
    <row r="6976" spans="20:20" x14ac:dyDescent="0.25">
      <c r="T6976" s="98"/>
    </row>
    <row r="6977" spans="20:20" x14ac:dyDescent="0.25">
      <c r="T6977" s="98"/>
    </row>
    <row r="6978" spans="20:20" x14ac:dyDescent="0.25">
      <c r="T6978" s="98"/>
    </row>
    <row r="6979" spans="20:20" x14ac:dyDescent="0.25">
      <c r="T6979" s="98"/>
    </row>
    <row r="6980" spans="20:20" x14ac:dyDescent="0.25">
      <c r="T6980" s="98"/>
    </row>
    <row r="6981" spans="20:20" x14ac:dyDescent="0.25">
      <c r="T6981" s="98"/>
    </row>
    <row r="6982" spans="20:20" x14ac:dyDescent="0.25">
      <c r="T6982" s="98"/>
    </row>
    <row r="6983" spans="20:20" x14ac:dyDescent="0.25">
      <c r="T6983" s="98"/>
    </row>
    <row r="6984" spans="20:20" x14ac:dyDescent="0.25">
      <c r="T6984" s="98"/>
    </row>
    <row r="6985" spans="20:20" x14ac:dyDescent="0.25">
      <c r="T6985" s="98"/>
    </row>
    <row r="6986" spans="20:20" x14ac:dyDescent="0.25">
      <c r="T6986" s="98"/>
    </row>
    <row r="6987" spans="20:20" x14ac:dyDescent="0.25">
      <c r="T6987" s="98"/>
    </row>
    <row r="6988" spans="20:20" x14ac:dyDescent="0.25">
      <c r="T6988" s="98"/>
    </row>
    <row r="6989" spans="20:20" x14ac:dyDescent="0.25">
      <c r="T6989" s="98"/>
    </row>
    <row r="6990" spans="20:20" x14ac:dyDescent="0.25">
      <c r="T6990" s="98"/>
    </row>
    <row r="6991" spans="20:20" x14ac:dyDescent="0.25">
      <c r="T6991" s="98"/>
    </row>
    <row r="6992" spans="20:20" x14ac:dyDescent="0.25">
      <c r="T6992" s="98"/>
    </row>
    <row r="6993" spans="20:20" x14ac:dyDescent="0.25">
      <c r="T6993" s="98"/>
    </row>
    <row r="6994" spans="20:20" x14ac:dyDescent="0.25">
      <c r="T6994" s="98"/>
    </row>
    <row r="6995" spans="20:20" x14ac:dyDescent="0.25">
      <c r="T6995" s="98"/>
    </row>
    <row r="6996" spans="20:20" x14ac:dyDescent="0.25">
      <c r="T6996" s="98"/>
    </row>
    <row r="6997" spans="20:20" x14ac:dyDescent="0.25">
      <c r="T6997" s="98"/>
    </row>
    <row r="6998" spans="20:20" x14ac:dyDescent="0.25">
      <c r="T6998" s="98"/>
    </row>
    <row r="6999" spans="20:20" x14ac:dyDescent="0.25">
      <c r="T6999" s="98"/>
    </row>
    <row r="7000" spans="20:20" x14ac:dyDescent="0.25">
      <c r="T7000" s="98"/>
    </row>
    <row r="7001" spans="20:20" x14ac:dyDescent="0.25">
      <c r="T7001" s="98"/>
    </row>
    <row r="7002" spans="20:20" x14ac:dyDescent="0.25">
      <c r="T7002" s="98"/>
    </row>
    <row r="7003" spans="20:20" x14ac:dyDescent="0.25">
      <c r="T7003" s="98"/>
    </row>
    <row r="7004" spans="20:20" x14ac:dyDescent="0.25">
      <c r="T7004" s="98"/>
    </row>
    <row r="7005" spans="20:20" x14ac:dyDescent="0.25">
      <c r="T7005" s="98"/>
    </row>
    <row r="7006" spans="20:20" x14ac:dyDescent="0.25">
      <c r="T7006" s="98"/>
    </row>
    <row r="7007" spans="20:20" x14ac:dyDescent="0.25">
      <c r="T7007" s="98"/>
    </row>
    <row r="7008" spans="20:20" x14ac:dyDescent="0.25">
      <c r="T7008" s="98"/>
    </row>
    <row r="7009" spans="20:20" x14ac:dyDescent="0.25">
      <c r="T7009" s="98"/>
    </row>
    <row r="7010" spans="20:20" x14ac:dyDescent="0.25">
      <c r="T7010" s="98"/>
    </row>
    <row r="7011" spans="20:20" x14ac:dyDescent="0.25">
      <c r="T7011" s="98"/>
    </row>
    <row r="7012" spans="20:20" x14ac:dyDescent="0.25">
      <c r="T7012" s="98"/>
    </row>
    <row r="7013" spans="20:20" x14ac:dyDescent="0.25">
      <c r="T7013" s="98"/>
    </row>
    <row r="7014" spans="20:20" x14ac:dyDescent="0.25">
      <c r="T7014" s="98"/>
    </row>
    <row r="7015" spans="20:20" x14ac:dyDescent="0.25">
      <c r="T7015" s="98"/>
    </row>
    <row r="7016" spans="20:20" x14ac:dyDescent="0.25">
      <c r="T7016" s="98"/>
    </row>
    <row r="7017" spans="20:20" x14ac:dyDescent="0.25">
      <c r="T7017" s="98"/>
    </row>
    <row r="7018" spans="20:20" x14ac:dyDescent="0.25">
      <c r="T7018" s="98"/>
    </row>
    <row r="7019" spans="20:20" x14ac:dyDescent="0.25">
      <c r="T7019" s="98"/>
    </row>
    <row r="7020" spans="20:20" x14ac:dyDescent="0.25">
      <c r="T7020" s="98"/>
    </row>
    <row r="7021" spans="20:20" x14ac:dyDescent="0.25">
      <c r="T7021" s="98"/>
    </row>
    <row r="7022" spans="20:20" x14ac:dyDescent="0.25">
      <c r="T7022" s="98"/>
    </row>
    <row r="7023" spans="20:20" x14ac:dyDescent="0.25">
      <c r="T7023" s="98"/>
    </row>
    <row r="7024" spans="20:20" x14ac:dyDescent="0.25">
      <c r="T7024" s="98"/>
    </row>
    <row r="7025" spans="20:20" x14ac:dyDescent="0.25">
      <c r="T7025" s="98"/>
    </row>
    <row r="7026" spans="20:20" x14ac:dyDescent="0.25">
      <c r="T7026" s="98"/>
    </row>
    <row r="7027" spans="20:20" x14ac:dyDescent="0.25">
      <c r="T7027" s="98"/>
    </row>
    <row r="7028" spans="20:20" x14ac:dyDescent="0.25">
      <c r="T7028" s="98"/>
    </row>
    <row r="7029" spans="20:20" x14ac:dyDescent="0.25">
      <c r="T7029" s="98"/>
    </row>
    <row r="7030" spans="20:20" x14ac:dyDescent="0.25">
      <c r="T7030" s="98"/>
    </row>
    <row r="7031" spans="20:20" x14ac:dyDescent="0.25">
      <c r="T7031" s="98"/>
    </row>
    <row r="7032" spans="20:20" x14ac:dyDescent="0.25">
      <c r="T7032" s="98"/>
    </row>
    <row r="7033" spans="20:20" x14ac:dyDescent="0.25">
      <c r="T7033" s="98"/>
    </row>
    <row r="7034" spans="20:20" x14ac:dyDescent="0.25">
      <c r="T7034" s="98"/>
    </row>
    <row r="7035" spans="20:20" x14ac:dyDescent="0.25">
      <c r="T7035" s="98"/>
    </row>
    <row r="7036" spans="20:20" x14ac:dyDescent="0.25">
      <c r="T7036" s="98"/>
    </row>
    <row r="7037" spans="20:20" x14ac:dyDescent="0.25">
      <c r="T7037" s="98"/>
    </row>
    <row r="7038" spans="20:20" x14ac:dyDescent="0.25">
      <c r="T7038" s="98"/>
    </row>
    <row r="7039" spans="20:20" x14ac:dyDescent="0.25">
      <c r="T7039" s="98"/>
    </row>
    <row r="7040" spans="20:20" x14ac:dyDescent="0.25">
      <c r="T7040" s="98"/>
    </row>
    <row r="7041" spans="20:20" x14ac:dyDescent="0.25">
      <c r="T7041" s="98"/>
    </row>
    <row r="7042" spans="20:20" x14ac:dyDescent="0.25">
      <c r="T7042" s="98"/>
    </row>
    <row r="7043" spans="20:20" x14ac:dyDescent="0.25">
      <c r="T7043" s="98"/>
    </row>
    <row r="7044" spans="20:20" x14ac:dyDescent="0.25">
      <c r="T7044" s="98"/>
    </row>
    <row r="7045" spans="20:20" x14ac:dyDescent="0.25">
      <c r="T7045" s="98"/>
    </row>
    <row r="7046" spans="20:20" x14ac:dyDescent="0.25">
      <c r="T7046" s="98"/>
    </row>
    <row r="7047" spans="20:20" x14ac:dyDescent="0.25">
      <c r="T7047" s="98"/>
    </row>
    <row r="7048" spans="20:20" x14ac:dyDescent="0.25">
      <c r="T7048" s="98"/>
    </row>
    <row r="7049" spans="20:20" x14ac:dyDescent="0.25">
      <c r="T7049" s="98"/>
    </row>
    <row r="7050" spans="20:20" x14ac:dyDescent="0.25">
      <c r="T7050" s="98"/>
    </row>
    <row r="7051" spans="20:20" x14ac:dyDescent="0.25">
      <c r="T7051" s="98"/>
    </row>
    <row r="7052" spans="20:20" x14ac:dyDescent="0.25">
      <c r="T7052" s="98"/>
    </row>
    <row r="7053" spans="20:20" x14ac:dyDescent="0.25">
      <c r="T7053" s="98"/>
    </row>
    <row r="7054" spans="20:20" x14ac:dyDescent="0.25">
      <c r="T7054" s="98"/>
    </row>
    <row r="7055" spans="20:20" x14ac:dyDescent="0.25">
      <c r="T7055" s="98"/>
    </row>
    <row r="7056" spans="20:20" x14ac:dyDescent="0.25">
      <c r="T7056" s="98"/>
    </row>
    <row r="7057" spans="20:20" x14ac:dyDescent="0.25">
      <c r="T7057" s="98"/>
    </row>
    <row r="7058" spans="20:20" x14ac:dyDescent="0.25">
      <c r="T7058" s="98"/>
    </row>
    <row r="7059" spans="20:20" x14ac:dyDescent="0.25">
      <c r="T7059" s="98"/>
    </row>
    <row r="7060" spans="20:20" x14ac:dyDescent="0.25">
      <c r="T7060" s="98"/>
    </row>
    <row r="7061" spans="20:20" x14ac:dyDescent="0.25">
      <c r="T7061" s="98"/>
    </row>
    <row r="7062" spans="20:20" x14ac:dyDescent="0.25">
      <c r="T7062" s="98"/>
    </row>
    <row r="7063" spans="20:20" x14ac:dyDescent="0.25">
      <c r="T7063" s="98"/>
    </row>
    <row r="7064" spans="20:20" x14ac:dyDescent="0.25">
      <c r="T7064" s="98"/>
    </row>
    <row r="7065" spans="20:20" x14ac:dyDescent="0.25">
      <c r="T7065" s="98"/>
    </row>
    <row r="7066" spans="20:20" x14ac:dyDescent="0.25">
      <c r="T7066" s="98"/>
    </row>
    <row r="7067" spans="20:20" x14ac:dyDescent="0.25">
      <c r="T7067" s="98"/>
    </row>
    <row r="7068" spans="20:20" x14ac:dyDescent="0.25">
      <c r="T7068" s="98"/>
    </row>
    <row r="7069" spans="20:20" x14ac:dyDescent="0.25">
      <c r="T7069" s="98"/>
    </row>
    <row r="7070" spans="20:20" x14ac:dyDescent="0.25">
      <c r="T7070" s="98"/>
    </row>
    <row r="7071" spans="20:20" x14ac:dyDescent="0.25">
      <c r="T7071" s="98"/>
    </row>
    <row r="7072" spans="20:20" x14ac:dyDescent="0.25">
      <c r="T7072" s="98"/>
    </row>
    <row r="7073" spans="20:20" x14ac:dyDescent="0.25">
      <c r="T7073" s="98"/>
    </row>
    <row r="7074" spans="20:20" x14ac:dyDescent="0.25">
      <c r="T7074" s="98"/>
    </row>
    <row r="7075" spans="20:20" x14ac:dyDescent="0.25">
      <c r="T7075" s="98"/>
    </row>
    <row r="7076" spans="20:20" x14ac:dyDescent="0.25">
      <c r="T7076" s="98"/>
    </row>
    <row r="7077" spans="20:20" x14ac:dyDescent="0.25">
      <c r="T7077" s="98"/>
    </row>
    <row r="7078" spans="20:20" x14ac:dyDescent="0.25">
      <c r="T7078" s="98"/>
    </row>
    <row r="7079" spans="20:20" x14ac:dyDescent="0.25">
      <c r="T7079" s="98"/>
    </row>
    <row r="7080" spans="20:20" x14ac:dyDescent="0.25">
      <c r="T7080" s="98"/>
    </row>
    <row r="7081" spans="20:20" x14ac:dyDescent="0.25">
      <c r="T7081" s="98"/>
    </row>
    <row r="7082" spans="20:20" x14ac:dyDescent="0.25">
      <c r="T7082" s="98"/>
    </row>
    <row r="7083" spans="20:20" x14ac:dyDescent="0.25">
      <c r="T7083" s="98"/>
    </row>
    <row r="7084" spans="20:20" x14ac:dyDescent="0.25">
      <c r="T7084" s="98"/>
    </row>
    <row r="7085" spans="20:20" x14ac:dyDescent="0.25">
      <c r="T7085" s="98"/>
    </row>
    <row r="7086" spans="20:20" x14ac:dyDescent="0.25">
      <c r="T7086" s="98"/>
    </row>
    <row r="7087" spans="20:20" x14ac:dyDescent="0.25">
      <c r="T7087" s="98"/>
    </row>
    <row r="7088" spans="20:20" x14ac:dyDescent="0.25">
      <c r="T7088" s="98"/>
    </row>
    <row r="7089" spans="20:20" x14ac:dyDescent="0.25">
      <c r="T7089" s="98"/>
    </row>
    <row r="7090" spans="20:20" x14ac:dyDescent="0.25">
      <c r="T7090" s="98"/>
    </row>
    <row r="7091" spans="20:20" x14ac:dyDescent="0.25">
      <c r="T7091" s="98"/>
    </row>
    <row r="7092" spans="20:20" x14ac:dyDescent="0.25">
      <c r="T7092" s="98"/>
    </row>
    <row r="7093" spans="20:20" x14ac:dyDescent="0.25">
      <c r="T7093" s="98"/>
    </row>
    <row r="7094" spans="20:20" x14ac:dyDescent="0.25">
      <c r="T7094" s="98"/>
    </row>
    <row r="7095" spans="20:20" x14ac:dyDescent="0.25">
      <c r="T7095" s="98"/>
    </row>
    <row r="7096" spans="20:20" x14ac:dyDescent="0.25">
      <c r="T7096" s="98"/>
    </row>
    <row r="7097" spans="20:20" x14ac:dyDescent="0.25">
      <c r="T7097" s="98"/>
    </row>
    <row r="7098" spans="20:20" x14ac:dyDescent="0.25">
      <c r="T7098" s="98"/>
    </row>
    <row r="7099" spans="20:20" x14ac:dyDescent="0.25">
      <c r="T7099" s="98"/>
    </row>
    <row r="7100" spans="20:20" x14ac:dyDescent="0.25">
      <c r="T7100" s="98"/>
    </row>
    <row r="7101" spans="20:20" x14ac:dyDescent="0.25">
      <c r="T7101" s="98"/>
    </row>
    <row r="7102" spans="20:20" x14ac:dyDescent="0.25">
      <c r="T7102" s="98"/>
    </row>
    <row r="7103" spans="20:20" x14ac:dyDescent="0.25">
      <c r="T7103" s="98"/>
    </row>
    <row r="7104" spans="20:20" x14ac:dyDescent="0.25">
      <c r="T7104" s="98"/>
    </row>
    <row r="7105" spans="20:20" x14ac:dyDescent="0.25">
      <c r="T7105" s="98"/>
    </row>
    <row r="7106" spans="20:20" x14ac:dyDescent="0.25">
      <c r="T7106" s="98"/>
    </row>
    <row r="7107" spans="20:20" x14ac:dyDescent="0.25">
      <c r="T7107" s="98"/>
    </row>
    <row r="7108" spans="20:20" x14ac:dyDescent="0.25">
      <c r="T7108" s="98"/>
    </row>
    <row r="7109" spans="20:20" x14ac:dyDescent="0.25">
      <c r="T7109" s="98"/>
    </row>
    <row r="7110" spans="20:20" x14ac:dyDescent="0.25">
      <c r="T7110" s="98"/>
    </row>
    <row r="7111" spans="20:20" x14ac:dyDescent="0.25">
      <c r="T7111" s="98"/>
    </row>
    <row r="7112" spans="20:20" x14ac:dyDescent="0.25">
      <c r="T7112" s="98"/>
    </row>
    <row r="7113" spans="20:20" x14ac:dyDescent="0.25">
      <c r="T7113" s="98"/>
    </row>
    <row r="7114" spans="20:20" x14ac:dyDescent="0.25">
      <c r="T7114" s="98"/>
    </row>
    <row r="7115" spans="20:20" x14ac:dyDescent="0.25">
      <c r="T7115" s="98"/>
    </row>
    <row r="7116" spans="20:20" x14ac:dyDescent="0.25">
      <c r="T7116" s="98"/>
    </row>
    <row r="7117" spans="20:20" x14ac:dyDescent="0.25">
      <c r="T7117" s="98"/>
    </row>
    <row r="7118" spans="20:20" x14ac:dyDescent="0.25">
      <c r="T7118" s="98"/>
    </row>
    <row r="7119" spans="20:20" x14ac:dyDescent="0.25">
      <c r="T7119" s="98"/>
    </row>
    <row r="7120" spans="20:20" x14ac:dyDescent="0.25">
      <c r="T7120" s="98"/>
    </row>
    <row r="7121" spans="20:20" x14ac:dyDescent="0.25">
      <c r="T7121" s="98"/>
    </row>
    <row r="7122" spans="20:20" x14ac:dyDescent="0.25">
      <c r="T7122" s="98"/>
    </row>
    <row r="7123" spans="20:20" x14ac:dyDescent="0.25">
      <c r="T7123" s="98"/>
    </row>
    <row r="7124" spans="20:20" x14ac:dyDescent="0.25">
      <c r="T7124" s="98"/>
    </row>
    <row r="7125" spans="20:20" x14ac:dyDescent="0.25">
      <c r="T7125" s="98"/>
    </row>
    <row r="7126" spans="20:20" x14ac:dyDescent="0.25">
      <c r="T7126" s="98"/>
    </row>
    <row r="7127" spans="20:20" x14ac:dyDescent="0.25">
      <c r="T7127" s="98"/>
    </row>
    <row r="7128" spans="20:20" x14ac:dyDescent="0.25">
      <c r="T7128" s="98"/>
    </row>
    <row r="7129" spans="20:20" x14ac:dyDescent="0.25">
      <c r="T7129" s="98"/>
    </row>
    <row r="7130" spans="20:20" x14ac:dyDescent="0.25">
      <c r="T7130" s="98"/>
    </row>
    <row r="7131" spans="20:20" x14ac:dyDescent="0.25">
      <c r="T7131" s="98"/>
    </row>
    <row r="7132" spans="20:20" x14ac:dyDescent="0.25">
      <c r="T7132" s="98"/>
    </row>
    <row r="7133" spans="20:20" x14ac:dyDescent="0.25">
      <c r="T7133" s="98"/>
    </row>
    <row r="7134" spans="20:20" x14ac:dyDescent="0.25">
      <c r="T7134" s="98"/>
    </row>
    <row r="7135" spans="20:20" x14ac:dyDescent="0.25">
      <c r="T7135" s="98"/>
    </row>
    <row r="7136" spans="20:20" x14ac:dyDescent="0.25">
      <c r="T7136" s="98"/>
    </row>
    <row r="7137" spans="20:20" x14ac:dyDescent="0.25">
      <c r="T7137" s="98"/>
    </row>
    <row r="7138" spans="20:20" x14ac:dyDescent="0.25">
      <c r="T7138" s="98"/>
    </row>
    <row r="7139" spans="20:20" x14ac:dyDescent="0.25">
      <c r="T7139" s="98"/>
    </row>
    <row r="7140" spans="20:20" x14ac:dyDescent="0.25">
      <c r="T7140" s="98"/>
    </row>
    <row r="7141" spans="20:20" x14ac:dyDescent="0.25">
      <c r="T7141" s="98"/>
    </row>
    <row r="7142" spans="20:20" x14ac:dyDescent="0.25">
      <c r="T7142" s="98"/>
    </row>
    <row r="7143" spans="20:20" x14ac:dyDescent="0.25">
      <c r="T7143" s="98"/>
    </row>
    <row r="7144" spans="20:20" x14ac:dyDescent="0.25">
      <c r="T7144" s="98"/>
    </row>
    <row r="7145" spans="20:20" x14ac:dyDescent="0.25">
      <c r="T7145" s="98"/>
    </row>
    <row r="7146" spans="20:20" x14ac:dyDescent="0.25">
      <c r="T7146" s="98"/>
    </row>
    <row r="7147" spans="20:20" x14ac:dyDescent="0.25">
      <c r="T7147" s="98"/>
    </row>
    <row r="7148" spans="20:20" x14ac:dyDescent="0.25">
      <c r="T7148" s="98"/>
    </row>
    <row r="7149" spans="20:20" x14ac:dyDescent="0.25">
      <c r="T7149" s="98"/>
    </row>
    <row r="7150" spans="20:20" x14ac:dyDescent="0.25">
      <c r="T7150" s="98"/>
    </row>
    <row r="7151" spans="20:20" x14ac:dyDescent="0.25">
      <c r="T7151" s="98"/>
    </row>
    <row r="7152" spans="20:20" x14ac:dyDescent="0.25">
      <c r="T7152" s="98"/>
    </row>
    <row r="7153" spans="20:20" x14ac:dyDescent="0.25">
      <c r="T7153" s="98"/>
    </row>
    <row r="7154" spans="20:20" x14ac:dyDescent="0.25">
      <c r="T7154" s="98"/>
    </row>
    <row r="7155" spans="20:20" x14ac:dyDescent="0.25">
      <c r="T7155" s="98"/>
    </row>
    <row r="7156" spans="20:20" x14ac:dyDescent="0.25">
      <c r="T7156" s="98"/>
    </row>
    <row r="7157" spans="20:20" x14ac:dyDescent="0.25">
      <c r="T7157" s="98"/>
    </row>
    <row r="7158" spans="20:20" x14ac:dyDescent="0.25">
      <c r="T7158" s="98"/>
    </row>
    <row r="7159" spans="20:20" x14ac:dyDescent="0.25">
      <c r="T7159" s="98"/>
    </row>
    <row r="7160" spans="20:20" x14ac:dyDescent="0.25">
      <c r="T7160" s="98"/>
    </row>
    <row r="7161" spans="20:20" x14ac:dyDescent="0.25">
      <c r="T7161" s="98"/>
    </row>
    <row r="7162" spans="20:20" x14ac:dyDescent="0.25">
      <c r="T7162" s="98"/>
    </row>
    <row r="7163" spans="20:20" x14ac:dyDescent="0.25">
      <c r="T7163" s="98"/>
    </row>
    <row r="7164" spans="20:20" x14ac:dyDescent="0.25">
      <c r="T7164" s="98"/>
    </row>
    <row r="7165" spans="20:20" x14ac:dyDescent="0.25">
      <c r="T7165" s="98"/>
    </row>
    <row r="7166" spans="20:20" x14ac:dyDescent="0.25">
      <c r="T7166" s="98"/>
    </row>
    <row r="7167" spans="20:20" x14ac:dyDescent="0.25">
      <c r="T7167" s="98"/>
    </row>
    <row r="7168" spans="20:20" x14ac:dyDescent="0.25">
      <c r="T7168" s="98"/>
    </row>
    <row r="7169" spans="20:20" x14ac:dyDescent="0.25">
      <c r="T7169" s="98"/>
    </row>
    <row r="7170" spans="20:20" x14ac:dyDescent="0.25">
      <c r="T7170" s="98"/>
    </row>
    <row r="7171" spans="20:20" x14ac:dyDescent="0.25">
      <c r="T7171" s="98"/>
    </row>
    <row r="7172" spans="20:20" x14ac:dyDescent="0.25">
      <c r="T7172" s="98"/>
    </row>
    <row r="7173" spans="20:20" x14ac:dyDescent="0.25">
      <c r="T7173" s="98"/>
    </row>
    <row r="7174" spans="20:20" x14ac:dyDescent="0.25">
      <c r="T7174" s="98"/>
    </row>
    <row r="7175" spans="20:20" x14ac:dyDescent="0.25">
      <c r="T7175" s="98"/>
    </row>
    <row r="7176" spans="20:20" x14ac:dyDescent="0.25">
      <c r="T7176" s="98"/>
    </row>
    <row r="7177" spans="20:20" x14ac:dyDescent="0.25">
      <c r="T7177" s="98"/>
    </row>
    <row r="7178" spans="20:20" x14ac:dyDescent="0.25">
      <c r="T7178" s="98"/>
    </row>
    <row r="7179" spans="20:20" x14ac:dyDescent="0.25">
      <c r="T7179" s="98"/>
    </row>
    <row r="7180" spans="20:20" x14ac:dyDescent="0.25">
      <c r="T7180" s="98"/>
    </row>
    <row r="7181" spans="20:20" x14ac:dyDescent="0.25">
      <c r="T7181" s="98"/>
    </row>
    <row r="7182" spans="20:20" x14ac:dyDescent="0.25">
      <c r="T7182" s="98"/>
    </row>
    <row r="7183" spans="20:20" x14ac:dyDescent="0.25">
      <c r="T7183" s="98"/>
    </row>
    <row r="7184" spans="20:20" x14ac:dyDescent="0.25">
      <c r="T7184" s="98"/>
    </row>
    <row r="7185" spans="20:20" x14ac:dyDescent="0.25">
      <c r="T7185" s="98"/>
    </row>
    <row r="7186" spans="20:20" x14ac:dyDescent="0.25">
      <c r="T7186" s="98"/>
    </row>
    <row r="7187" spans="20:20" x14ac:dyDescent="0.25">
      <c r="T7187" s="98"/>
    </row>
    <row r="7188" spans="20:20" x14ac:dyDescent="0.25">
      <c r="T7188" s="98"/>
    </row>
    <row r="7189" spans="20:20" x14ac:dyDescent="0.25">
      <c r="T7189" s="98"/>
    </row>
    <row r="7190" spans="20:20" x14ac:dyDescent="0.25">
      <c r="T7190" s="98"/>
    </row>
    <row r="7191" spans="20:20" x14ac:dyDescent="0.25">
      <c r="T7191" s="98"/>
    </row>
    <row r="7192" spans="20:20" x14ac:dyDescent="0.25">
      <c r="T7192" s="98"/>
    </row>
    <row r="7193" spans="20:20" x14ac:dyDescent="0.25">
      <c r="T7193" s="98"/>
    </row>
    <row r="7194" spans="20:20" x14ac:dyDescent="0.25">
      <c r="T7194" s="98"/>
    </row>
    <row r="7195" spans="20:20" x14ac:dyDescent="0.25">
      <c r="T7195" s="98"/>
    </row>
    <row r="7196" spans="20:20" x14ac:dyDescent="0.25">
      <c r="T7196" s="98"/>
    </row>
    <row r="7197" spans="20:20" x14ac:dyDescent="0.25">
      <c r="T7197" s="98"/>
    </row>
    <row r="7198" spans="20:20" x14ac:dyDescent="0.25">
      <c r="T7198" s="98"/>
    </row>
    <row r="7199" spans="20:20" x14ac:dyDescent="0.25">
      <c r="T7199" s="98"/>
    </row>
    <row r="7200" spans="20:20" x14ac:dyDescent="0.25">
      <c r="T7200" s="98"/>
    </row>
    <row r="7201" spans="20:20" x14ac:dyDescent="0.25">
      <c r="T7201" s="98"/>
    </row>
    <row r="7202" spans="20:20" x14ac:dyDescent="0.25">
      <c r="T7202" s="98"/>
    </row>
    <row r="7203" spans="20:20" x14ac:dyDescent="0.25">
      <c r="T7203" s="98"/>
    </row>
    <row r="7204" spans="20:20" x14ac:dyDescent="0.25">
      <c r="T7204" s="98"/>
    </row>
    <row r="7205" spans="20:20" x14ac:dyDescent="0.25">
      <c r="T7205" s="98"/>
    </row>
    <row r="7206" spans="20:20" x14ac:dyDescent="0.25">
      <c r="T7206" s="98"/>
    </row>
    <row r="7207" spans="20:20" x14ac:dyDescent="0.25">
      <c r="T7207" s="98"/>
    </row>
    <row r="7208" spans="20:20" x14ac:dyDescent="0.25">
      <c r="T7208" s="98"/>
    </row>
    <row r="7209" spans="20:20" x14ac:dyDescent="0.25">
      <c r="T7209" s="98"/>
    </row>
    <row r="7210" spans="20:20" x14ac:dyDescent="0.25">
      <c r="T7210" s="98"/>
    </row>
    <row r="7211" spans="20:20" x14ac:dyDescent="0.25">
      <c r="T7211" s="98"/>
    </row>
    <row r="7212" spans="20:20" x14ac:dyDescent="0.25">
      <c r="T7212" s="98"/>
    </row>
    <row r="7213" spans="20:20" x14ac:dyDescent="0.25">
      <c r="T7213" s="98"/>
    </row>
    <row r="7214" spans="20:20" x14ac:dyDescent="0.25">
      <c r="T7214" s="98"/>
    </row>
    <row r="7215" spans="20:20" x14ac:dyDescent="0.25">
      <c r="T7215" s="98"/>
    </row>
    <row r="7216" spans="20:20" x14ac:dyDescent="0.25">
      <c r="T7216" s="98"/>
    </row>
    <row r="7217" spans="20:20" x14ac:dyDescent="0.25">
      <c r="T7217" s="98"/>
    </row>
    <row r="7218" spans="20:20" x14ac:dyDescent="0.25">
      <c r="T7218" s="98"/>
    </row>
    <row r="7219" spans="20:20" x14ac:dyDescent="0.25">
      <c r="T7219" s="98"/>
    </row>
    <row r="7220" spans="20:20" x14ac:dyDescent="0.25">
      <c r="T7220" s="98"/>
    </row>
    <row r="7221" spans="20:20" x14ac:dyDescent="0.25">
      <c r="T7221" s="98"/>
    </row>
    <row r="7222" spans="20:20" x14ac:dyDescent="0.25">
      <c r="T7222" s="98"/>
    </row>
    <row r="7223" spans="20:20" x14ac:dyDescent="0.25">
      <c r="T7223" s="98"/>
    </row>
    <row r="7224" spans="20:20" x14ac:dyDescent="0.25">
      <c r="T7224" s="98"/>
    </row>
    <row r="7225" spans="20:20" x14ac:dyDescent="0.25">
      <c r="T7225" s="98"/>
    </row>
    <row r="7226" spans="20:20" x14ac:dyDescent="0.25">
      <c r="T7226" s="98"/>
    </row>
    <row r="7227" spans="20:20" x14ac:dyDescent="0.25">
      <c r="T7227" s="98"/>
    </row>
    <row r="7228" spans="20:20" x14ac:dyDescent="0.25">
      <c r="T7228" s="98"/>
    </row>
    <row r="7229" spans="20:20" x14ac:dyDescent="0.25">
      <c r="T7229" s="98"/>
    </row>
    <row r="7230" spans="20:20" x14ac:dyDescent="0.25">
      <c r="T7230" s="98"/>
    </row>
    <row r="7231" spans="20:20" x14ac:dyDescent="0.25">
      <c r="T7231" s="98"/>
    </row>
    <row r="7232" spans="20:20" x14ac:dyDescent="0.25">
      <c r="T7232" s="98"/>
    </row>
    <row r="7233" spans="20:20" x14ac:dyDescent="0.25">
      <c r="T7233" s="98"/>
    </row>
    <row r="7234" spans="20:20" x14ac:dyDescent="0.25">
      <c r="T7234" s="98"/>
    </row>
    <row r="7235" spans="20:20" x14ac:dyDescent="0.25">
      <c r="T7235" s="98"/>
    </row>
    <row r="7236" spans="20:20" x14ac:dyDescent="0.25">
      <c r="T7236" s="98"/>
    </row>
    <row r="7237" spans="20:20" x14ac:dyDescent="0.25">
      <c r="T7237" s="98"/>
    </row>
    <row r="7238" spans="20:20" x14ac:dyDescent="0.25">
      <c r="T7238" s="98"/>
    </row>
    <row r="7239" spans="20:20" x14ac:dyDescent="0.25">
      <c r="T7239" s="98"/>
    </row>
    <row r="7240" spans="20:20" x14ac:dyDescent="0.25">
      <c r="T7240" s="98"/>
    </row>
    <row r="7241" spans="20:20" x14ac:dyDescent="0.25">
      <c r="T7241" s="98"/>
    </row>
    <row r="7242" spans="20:20" x14ac:dyDescent="0.25">
      <c r="T7242" s="98"/>
    </row>
    <row r="7243" spans="20:20" x14ac:dyDescent="0.25">
      <c r="T7243" s="98"/>
    </row>
    <row r="7244" spans="20:20" x14ac:dyDescent="0.25">
      <c r="T7244" s="98"/>
    </row>
    <row r="7245" spans="20:20" x14ac:dyDescent="0.25">
      <c r="T7245" s="98"/>
    </row>
    <row r="7246" spans="20:20" x14ac:dyDescent="0.25">
      <c r="T7246" s="98"/>
    </row>
    <row r="7247" spans="20:20" x14ac:dyDescent="0.25">
      <c r="T7247" s="98"/>
    </row>
    <row r="7248" spans="20:20" x14ac:dyDescent="0.25">
      <c r="T7248" s="98"/>
    </row>
    <row r="7249" spans="20:20" x14ac:dyDescent="0.25">
      <c r="T7249" s="98"/>
    </row>
    <row r="7250" spans="20:20" x14ac:dyDescent="0.25">
      <c r="T7250" s="98"/>
    </row>
    <row r="7251" spans="20:20" x14ac:dyDescent="0.25">
      <c r="T7251" s="98"/>
    </row>
    <row r="7252" spans="20:20" x14ac:dyDescent="0.25">
      <c r="T7252" s="98"/>
    </row>
    <row r="7253" spans="20:20" x14ac:dyDescent="0.25">
      <c r="T7253" s="98"/>
    </row>
    <row r="7254" spans="20:20" x14ac:dyDescent="0.25">
      <c r="T7254" s="98"/>
    </row>
    <row r="7255" spans="20:20" x14ac:dyDescent="0.25">
      <c r="T7255" s="98"/>
    </row>
    <row r="7256" spans="20:20" x14ac:dyDescent="0.25">
      <c r="T7256" s="98"/>
    </row>
    <row r="7257" spans="20:20" x14ac:dyDescent="0.25">
      <c r="T7257" s="98"/>
    </row>
    <row r="7258" spans="20:20" x14ac:dyDescent="0.25">
      <c r="T7258" s="98"/>
    </row>
    <row r="7259" spans="20:20" x14ac:dyDescent="0.25">
      <c r="T7259" s="98"/>
    </row>
    <row r="7260" spans="20:20" x14ac:dyDescent="0.25">
      <c r="T7260" s="98"/>
    </row>
    <row r="7261" spans="20:20" x14ac:dyDescent="0.25">
      <c r="T7261" s="98"/>
    </row>
    <row r="7262" spans="20:20" x14ac:dyDescent="0.25">
      <c r="T7262" s="98"/>
    </row>
    <row r="7263" spans="20:20" x14ac:dyDescent="0.25">
      <c r="T7263" s="98"/>
    </row>
    <row r="7264" spans="20:20" x14ac:dyDescent="0.25">
      <c r="T7264" s="98"/>
    </row>
    <row r="7265" spans="20:20" x14ac:dyDescent="0.25">
      <c r="T7265" s="98"/>
    </row>
    <row r="7266" spans="20:20" x14ac:dyDescent="0.25">
      <c r="T7266" s="98"/>
    </row>
    <row r="7267" spans="20:20" x14ac:dyDescent="0.25">
      <c r="T7267" s="98"/>
    </row>
    <row r="7268" spans="20:20" x14ac:dyDescent="0.25">
      <c r="T7268" s="98"/>
    </row>
    <row r="7269" spans="20:20" x14ac:dyDescent="0.25">
      <c r="T7269" s="98"/>
    </row>
    <row r="7270" spans="20:20" x14ac:dyDescent="0.25">
      <c r="T7270" s="98"/>
    </row>
    <row r="7271" spans="20:20" x14ac:dyDescent="0.25">
      <c r="T7271" s="98"/>
    </row>
    <row r="7272" spans="20:20" x14ac:dyDescent="0.25">
      <c r="T7272" s="98"/>
    </row>
    <row r="7273" spans="20:20" x14ac:dyDescent="0.25">
      <c r="T7273" s="98"/>
    </row>
    <row r="7274" spans="20:20" x14ac:dyDescent="0.25">
      <c r="T7274" s="98"/>
    </row>
    <row r="7275" spans="20:20" x14ac:dyDescent="0.25">
      <c r="T7275" s="98"/>
    </row>
    <row r="7276" spans="20:20" x14ac:dyDescent="0.25">
      <c r="T7276" s="98"/>
    </row>
    <row r="7277" spans="20:20" x14ac:dyDescent="0.25">
      <c r="T7277" s="98"/>
    </row>
    <row r="7278" spans="20:20" x14ac:dyDescent="0.25">
      <c r="T7278" s="98"/>
    </row>
    <row r="7279" spans="20:20" x14ac:dyDescent="0.25">
      <c r="T7279" s="98"/>
    </row>
    <row r="7280" spans="20:20" x14ac:dyDescent="0.25">
      <c r="T7280" s="98"/>
    </row>
    <row r="7281" spans="20:20" x14ac:dyDescent="0.25">
      <c r="T7281" s="98"/>
    </row>
    <row r="7282" spans="20:20" x14ac:dyDescent="0.25">
      <c r="T7282" s="98"/>
    </row>
    <row r="7283" spans="20:20" x14ac:dyDescent="0.25">
      <c r="T7283" s="98"/>
    </row>
    <row r="7284" spans="20:20" x14ac:dyDescent="0.25">
      <c r="T7284" s="98"/>
    </row>
    <row r="7285" spans="20:20" x14ac:dyDescent="0.25">
      <c r="T7285" s="98"/>
    </row>
    <row r="7286" spans="20:20" x14ac:dyDescent="0.25">
      <c r="T7286" s="98"/>
    </row>
    <row r="7287" spans="20:20" x14ac:dyDescent="0.25">
      <c r="T7287" s="98"/>
    </row>
    <row r="7288" spans="20:20" x14ac:dyDescent="0.25">
      <c r="T7288" s="98"/>
    </row>
    <row r="7289" spans="20:20" x14ac:dyDescent="0.25">
      <c r="T7289" s="98"/>
    </row>
    <row r="7290" spans="20:20" x14ac:dyDescent="0.25">
      <c r="T7290" s="98"/>
    </row>
    <row r="7291" spans="20:20" x14ac:dyDescent="0.25">
      <c r="T7291" s="98"/>
    </row>
    <row r="7292" spans="20:20" x14ac:dyDescent="0.25">
      <c r="T7292" s="98"/>
    </row>
    <row r="7293" spans="20:20" x14ac:dyDescent="0.25">
      <c r="T7293" s="98"/>
    </row>
    <row r="7294" spans="20:20" x14ac:dyDescent="0.25">
      <c r="T7294" s="98"/>
    </row>
    <row r="7295" spans="20:20" x14ac:dyDescent="0.25">
      <c r="T7295" s="98"/>
    </row>
    <row r="7296" spans="20:20" x14ac:dyDescent="0.25">
      <c r="T7296" s="98"/>
    </row>
    <row r="7297" spans="20:20" x14ac:dyDescent="0.25">
      <c r="T7297" s="98"/>
    </row>
    <row r="7298" spans="20:20" x14ac:dyDescent="0.25">
      <c r="T7298" s="98"/>
    </row>
    <row r="7299" spans="20:20" x14ac:dyDescent="0.25">
      <c r="T7299" s="98"/>
    </row>
    <row r="7300" spans="20:20" x14ac:dyDescent="0.25">
      <c r="T7300" s="98"/>
    </row>
    <row r="7301" spans="20:20" x14ac:dyDescent="0.25">
      <c r="T7301" s="98"/>
    </row>
    <row r="7302" spans="20:20" x14ac:dyDescent="0.25">
      <c r="T7302" s="98"/>
    </row>
    <row r="7303" spans="20:20" x14ac:dyDescent="0.25">
      <c r="T7303" s="98"/>
    </row>
    <row r="7304" spans="20:20" x14ac:dyDescent="0.25">
      <c r="T7304" s="98"/>
    </row>
    <row r="7305" spans="20:20" x14ac:dyDescent="0.25">
      <c r="T7305" s="98"/>
    </row>
    <row r="7306" spans="20:20" x14ac:dyDescent="0.25">
      <c r="T7306" s="98"/>
    </row>
    <row r="7307" spans="20:20" x14ac:dyDescent="0.25">
      <c r="T7307" s="98"/>
    </row>
    <row r="7308" spans="20:20" x14ac:dyDescent="0.25">
      <c r="T7308" s="98"/>
    </row>
    <row r="7309" spans="20:20" x14ac:dyDescent="0.25">
      <c r="T7309" s="98"/>
    </row>
    <row r="7310" spans="20:20" x14ac:dyDescent="0.25">
      <c r="T7310" s="98"/>
    </row>
    <row r="7311" spans="20:20" x14ac:dyDescent="0.25">
      <c r="T7311" s="98"/>
    </row>
    <row r="7312" spans="20:20" x14ac:dyDescent="0.25">
      <c r="T7312" s="98"/>
    </row>
    <row r="7313" spans="20:20" x14ac:dyDescent="0.25">
      <c r="T7313" s="98"/>
    </row>
    <row r="7314" spans="20:20" x14ac:dyDescent="0.25">
      <c r="T7314" s="98"/>
    </row>
    <row r="7315" spans="20:20" x14ac:dyDescent="0.25">
      <c r="T7315" s="98"/>
    </row>
    <row r="7316" spans="20:20" x14ac:dyDescent="0.25">
      <c r="T7316" s="98"/>
    </row>
    <row r="7317" spans="20:20" x14ac:dyDescent="0.25">
      <c r="T7317" s="98"/>
    </row>
    <row r="7318" spans="20:20" x14ac:dyDescent="0.25">
      <c r="T7318" s="98"/>
    </row>
    <row r="7319" spans="20:20" x14ac:dyDescent="0.25">
      <c r="T7319" s="98"/>
    </row>
    <row r="7320" spans="20:20" x14ac:dyDescent="0.25">
      <c r="T7320" s="98"/>
    </row>
    <row r="7321" spans="20:20" x14ac:dyDescent="0.25">
      <c r="T7321" s="98"/>
    </row>
    <row r="7322" spans="20:20" x14ac:dyDescent="0.25">
      <c r="T7322" s="98"/>
    </row>
    <row r="7323" spans="20:20" x14ac:dyDescent="0.25">
      <c r="T7323" s="98"/>
    </row>
    <row r="7324" spans="20:20" x14ac:dyDescent="0.25">
      <c r="T7324" s="98"/>
    </row>
    <row r="7325" spans="20:20" x14ac:dyDescent="0.25">
      <c r="T7325" s="98"/>
    </row>
    <row r="7326" spans="20:20" x14ac:dyDescent="0.25">
      <c r="T7326" s="98"/>
    </row>
    <row r="7327" spans="20:20" x14ac:dyDescent="0.25">
      <c r="T7327" s="98"/>
    </row>
    <row r="7328" spans="20:20" x14ac:dyDescent="0.25">
      <c r="T7328" s="98"/>
    </row>
    <row r="7329" spans="20:20" x14ac:dyDescent="0.25">
      <c r="T7329" s="98"/>
    </row>
    <row r="7330" spans="20:20" x14ac:dyDescent="0.25">
      <c r="T7330" s="98"/>
    </row>
    <row r="7331" spans="20:20" x14ac:dyDescent="0.25">
      <c r="T7331" s="98"/>
    </row>
    <row r="7332" spans="20:20" x14ac:dyDescent="0.25">
      <c r="T7332" s="98"/>
    </row>
    <row r="7333" spans="20:20" x14ac:dyDescent="0.25">
      <c r="T7333" s="98"/>
    </row>
    <row r="7334" spans="20:20" x14ac:dyDescent="0.25">
      <c r="T7334" s="98"/>
    </row>
    <row r="7335" spans="20:20" x14ac:dyDescent="0.25">
      <c r="T7335" s="98"/>
    </row>
    <row r="7336" spans="20:20" x14ac:dyDescent="0.25">
      <c r="T7336" s="98"/>
    </row>
    <row r="7337" spans="20:20" x14ac:dyDescent="0.25">
      <c r="T7337" s="98"/>
    </row>
    <row r="7338" spans="20:20" x14ac:dyDescent="0.25">
      <c r="T7338" s="98"/>
    </row>
    <row r="7339" spans="20:20" x14ac:dyDescent="0.25">
      <c r="T7339" s="98"/>
    </row>
    <row r="7340" spans="20:20" x14ac:dyDescent="0.25">
      <c r="T7340" s="98"/>
    </row>
    <row r="7341" spans="20:20" x14ac:dyDescent="0.25">
      <c r="T7341" s="98"/>
    </row>
    <row r="7342" spans="20:20" x14ac:dyDescent="0.25">
      <c r="T7342" s="98"/>
    </row>
    <row r="7343" spans="20:20" x14ac:dyDescent="0.25">
      <c r="T7343" s="98"/>
    </row>
    <row r="7344" spans="20:20" x14ac:dyDescent="0.25">
      <c r="T7344" s="98"/>
    </row>
    <row r="7345" spans="20:20" x14ac:dyDescent="0.25">
      <c r="T7345" s="98"/>
    </row>
    <row r="7346" spans="20:20" x14ac:dyDescent="0.25">
      <c r="T7346" s="98"/>
    </row>
    <row r="7347" spans="20:20" x14ac:dyDescent="0.25">
      <c r="T7347" s="98"/>
    </row>
    <row r="7348" spans="20:20" x14ac:dyDescent="0.25">
      <c r="T7348" s="98"/>
    </row>
    <row r="7349" spans="20:20" x14ac:dyDescent="0.25">
      <c r="T7349" s="98"/>
    </row>
    <row r="7350" spans="20:20" x14ac:dyDescent="0.25">
      <c r="T7350" s="98"/>
    </row>
    <row r="7351" spans="20:20" x14ac:dyDescent="0.25">
      <c r="T7351" s="98"/>
    </row>
    <row r="7352" spans="20:20" x14ac:dyDescent="0.25">
      <c r="T7352" s="98"/>
    </row>
    <row r="7353" spans="20:20" x14ac:dyDescent="0.25">
      <c r="T7353" s="98"/>
    </row>
    <row r="7354" spans="20:20" x14ac:dyDescent="0.25">
      <c r="T7354" s="98"/>
    </row>
    <row r="7355" spans="20:20" x14ac:dyDescent="0.25">
      <c r="T7355" s="98"/>
    </row>
    <row r="7356" spans="20:20" x14ac:dyDescent="0.25">
      <c r="T7356" s="98"/>
    </row>
    <row r="7357" spans="20:20" x14ac:dyDescent="0.25">
      <c r="T7357" s="98"/>
    </row>
    <row r="7358" spans="20:20" x14ac:dyDescent="0.25">
      <c r="T7358" s="98"/>
    </row>
    <row r="7359" spans="20:20" x14ac:dyDescent="0.25">
      <c r="T7359" s="98"/>
    </row>
    <row r="7360" spans="20:20" x14ac:dyDescent="0.25">
      <c r="T7360" s="98"/>
    </row>
    <row r="7361" spans="20:20" x14ac:dyDescent="0.25">
      <c r="T7361" s="98"/>
    </row>
    <row r="7362" spans="20:20" x14ac:dyDescent="0.25">
      <c r="T7362" s="98"/>
    </row>
    <row r="7363" spans="20:20" x14ac:dyDescent="0.25">
      <c r="T7363" s="98"/>
    </row>
    <row r="7364" spans="20:20" x14ac:dyDescent="0.25">
      <c r="T7364" s="98"/>
    </row>
    <row r="7365" spans="20:20" x14ac:dyDescent="0.25">
      <c r="T7365" s="98"/>
    </row>
    <row r="7366" spans="20:20" x14ac:dyDescent="0.25">
      <c r="T7366" s="98"/>
    </row>
    <row r="7367" spans="20:20" x14ac:dyDescent="0.25">
      <c r="T7367" s="98"/>
    </row>
    <row r="7368" spans="20:20" x14ac:dyDescent="0.25">
      <c r="T7368" s="98"/>
    </row>
    <row r="7369" spans="20:20" x14ac:dyDescent="0.25">
      <c r="T7369" s="98"/>
    </row>
    <row r="7370" spans="20:20" x14ac:dyDescent="0.25">
      <c r="T7370" s="98"/>
    </row>
    <row r="7371" spans="20:20" x14ac:dyDescent="0.25">
      <c r="T7371" s="98"/>
    </row>
    <row r="7372" spans="20:20" x14ac:dyDescent="0.25">
      <c r="T7372" s="98"/>
    </row>
    <row r="7373" spans="20:20" x14ac:dyDescent="0.25">
      <c r="T7373" s="98"/>
    </row>
    <row r="7374" spans="20:20" x14ac:dyDescent="0.25">
      <c r="T7374" s="98"/>
    </row>
    <row r="7375" spans="20:20" x14ac:dyDescent="0.25">
      <c r="T7375" s="98"/>
    </row>
    <row r="7376" spans="20:20" x14ac:dyDescent="0.25">
      <c r="T7376" s="98"/>
    </row>
    <row r="7377" spans="20:20" x14ac:dyDescent="0.25">
      <c r="T7377" s="98"/>
    </row>
    <row r="7378" spans="20:20" x14ac:dyDescent="0.25">
      <c r="T7378" s="98"/>
    </row>
    <row r="7379" spans="20:20" x14ac:dyDescent="0.25">
      <c r="T7379" s="98"/>
    </row>
    <row r="7380" spans="20:20" x14ac:dyDescent="0.25">
      <c r="T7380" s="98"/>
    </row>
    <row r="7381" spans="20:20" x14ac:dyDescent="0.25">
      <c r="T7381" s="98"/>
    </row>
    <row r="7382" spans="20:20" x14ac:dyDescent="0.25">
      <c r="T7382" s="98"/>
    </row>
    <row r="7383" spans="20:20" x14ac:dyDescent="0.25">
      <c r="T7383" s="98"/>
    </row>
    <row r="7384" spans="20:20" x14ac:dyDescent="0.25">
      <c r="T7384" s="98"/>
    </row>
    <row r="7385" spans="20:20" x14ac:dyDescent="0.25">
      <c r="T7385" s="98"/>
    </row>
    <row r="7386" spans="20:20" x14ac:dyDescent="0.25">
      <c r="T7386" s="98"/>
    </row>
    <row r="7387" spans="20:20" x14ac:dyDescent="0.25">
      <c r="T7387" s="98"/>
    </row>
    <row r="7388" spans="20:20" x14ac:dyDescent="0.25">
      <c r="T7388" s="98"/>
    </row>
    <row r="7389" spans="20:20" x14ac:dyDescent="0.25">
      <c r="T7389" s="98"/>
    </row>
    <row r="7390" spans="20:20" x14ac:dyDescent="0.25">
      <c r="T7390" s="98"/>
    </row>
    <row r="7391" spans="20:20" x14ac:dyDescent="0.25">
      <c r="T7391" s="98"/>
    </row>
    <row r="7392" spans="20:20" x14ac:dyDescent="0.25">
      <c r="T7392" s="98"/>
    </row>
    <row r="7393" spans="20:20" x14ac:dyDescent="0.25">
      <c r="T7393" s="98"/>
    </row>
    <row r="7394" spans="20:20" x14ac:dyDescent="0.25">
      <c r="T7394" s="98"/>
    </row>
    <row r="7395" spans="20:20" x14ac:dyDescent="0.25">
      <c r="T7395" s="98"/>
    </row>
    <row r="7396" spans="20:20" x14ac:dyDescent="0.25">
      <c r="T7396" s="98"/>
    </row>
    <row r="7397" spans="20:20" x14ac:dyDescent="0.25">
      <c r="T7397" s="98"/>
    </row>
    <row r="7398" spans="20:20" x14ac:dyDescent="0.25">
      <c r="T7398" s="98"/>
    </row>
    <row r="7399" spans="20:20" x14ac:dyDescent="0.25">
      <c r="T7399" s="98"/>
    </row>
    <row r="7400" spans="20:20" x14ac:dyDescent="0.25">
      <c r="T7400" s="98"/>
    </row>
    <row r="7401" spans="20:20" x14ac:dyDescent="0.25">
      <c r="T7401" s="98"/>
    </row>
    <row r="7402" spans="20:20" x14ac:dyDescent="0.25">
      <c r="T7402" s="98"/>
    </row>
    <row r="7403" spans="20:20" x14ac:dyDescent="0.25">
      <c r="T7403" s="98"/>
    </row>
    <row r="7404" spans="20:20" x14ac:dyDescent="0.25">
      <c r="T7404" s="98"/>
    </row>
    <row r="7405" spans="20:20" x14ac:dyDescent="0.25">
      <c r="T7405" s="98"/>
    </row>
    <row r="7406" spans="20:20" x14ac:dyDescent="0.25">
      <c r="T7406" s="98"/>
    </row>
    <row r="7407" spans="20:20" x14ac:dyDescent="0.25">
      <c r="T7407" s="98"/>
    </row>
    <row r="7408" spans="20:20" x14ac:dyDescent="0.25">
      <c r="T7408" s="98"/>
    </row>
    <row r="7409" spans="20:20" x14ac:dyDescent="0.25">
      <c r="T7409" s="98"/>
    </row>
    <row r="7410" spans="20:20" x14ac:dyDescent="0.25">
      <c r="T7410" s="98"/>
    </row>
    <row r="7411" spans="20:20" x14ac:dyDescent="0.25">
      <c r="T7411" s="98"/>
    </row>
    <row r="7412" spans="20:20" x14ac:dyDescent="0.25">
      <c r="T7412" s="98"/>
    </row>
    <row r="7413" spans="20:20" x14ac:dyDescent="0.25">
      <c r="T7413" s="98"/>
    </row>
    <row r="7414" spans="20:20" x14ac:dyDescent="0.25">
      <c r="T7414" s="98"/>
    </row>
    <row r="7415" spans="20:20" x14ac:dyDescent="0.25">
      <c r="T7415" s="98"/>
    </row>
    <row r="7416" spans="20:20" x14ac:dyDescent="0.25">
      <c r="T7416" s="98"/>
    </row>
    <row r="7417" spans="20:20" x14ac:dyDescent="0.25">
      <c r="T7417" s="98"/>
    </row>
    <row r="7418" spans="20:20" x14ac:dyDescent="0.25">
      <c r="T7418" s="98"/>
    </row>
    <row r="7419" spans="20:20" x14ac:dyDescent="0.25">
      <c r="T7419" s="98"/>
    </row>
    <row r="7420" spans="20:20" x14ac:dyDescent="0.25">
      <c r="T7420" s="98"/>
    </row>
    <row r="7421" spans="20:20" x14ac:dyDescent="0.25">
      <c r="T7421" s="98"/>
    </row>
    <row r="7422" spans="20:20" x14ac:dyDescent="0.25">
      <c r="T7422" s="98"/>
    </row>
    <row r="7423" spans="20:20" x14ac:dyDescent="0.25">
      <c r="T7423" s="98"/>
    </row>
    <row r="7424" spans="20:20" x14ac:dyDescent="0.25">
      <c r="T7424" s="98"/>
    </row>
    <row r="7425" spans="20:20" x14ac:dyDescent="0.25">
      <c r="T7425" s="98"/>
    </row>
    <row r="7426" spans="20:20" x14ac:dyDescent="0.25">
      <c r="T7426" s="98"/>
    </row>
    <row r="7427" spans="20:20" x14ac:dyDescent="0.25">
      <c r="T7427" s="98"/>
    </row>
    <row r="7428" spans="20:20" x14ac:dyDescent="0.25">
      <c r="T7428" s="98"/>
    </row>
    <row r="7429" spans="20:20" x14ac:dyDescent="0.25">
      <c r="T7429" s="98"/>
    </row>
    <row r="7430" spans="20:20" x14ac:dyDescent="0.25">
      <c r="T7430" s="98"/>
    </row>
    <row r="7431" spans="20:20" x14ac:dyDescent="0.25">
      <c r="T7431" s="98"/>
    </row>
    <row r="7432" spans="20:20" x14ac:dyDescent="0.25">
      <c r="T7432" s="98"/>
    </row>
    <row r="7433" spans="20:20" x14ac:dyDescent="0.25">
      <c r="T7433" s="98"/>
    </row>
    <row r="7434" spans="20:20" x14ac:dyDescent="0.25">
      <c r="T7434" s="98"/>
    </row>
    <row r="7435" spans="20:20" x14ac:dyDescent="0.25">
      <c r="T7435" s="98"/>
    </row>
    <row r="7436" spans="20:20" x14ac:dyDescent="0.25">
      <c r="T7436" s="98"/>
    </row>
    <row r="7437" spans="20:20" x14ac:dyDescent="0.25">
      <c r="T7437" s="98"/>
    </row>
    <row r="7438" spans="20:20" x14ac:dyDescent="0.25">
      <c r="T7438" s="98"/>
    </row>
    <row r="7439" spans="20:20" x14ac:dyDescent="0.25">
      <c r="T7439" s="98"/>
    </row>
    <row r="7440" spans="20:20" x14ac:dyDescent="0.25">
      <c r="T7440" s="98"/>
    </row>
    <row r="7441" spans="20:20" x14ac:dyDescent="0.25">
      <c r="T7441" s="98"/>
    </row>
    <row r="7442" spans="20:20" x14ac:dyDescent="0.25">
      <c r="T7442" s="98"/>
    </row>
    <row r="7443" spans="20:20" x14ac:dyDescent="0.25">
      <c r="T7443" s="98"/>
    </row>
    <row r="7444" spans="20:20" x14ac:dyDescent="0.25">
      <c r="T7444" s="98"/>
    </row>
    <row r="7445" spans="20:20" x14ac:dyDescent="0.25">
      <c r="T7445" s="98"/>
    </row>
    <row r="7446" spans="20:20" x14ac:dyDescent="0.25">
      <c r="T7446" s="98"/>
    </row>
    <row r="7447" spans="20:20" x14ac:dyDescent="0.25">
      <c r="T7447" s="98"/>
    </row>
    <row r="7448" spans="20:20" x14ac:dyDescent="0.25">
      <c r="T7448" s="98"/>
    </row>
    <row r="7449" spans="20:20" x14ac:dyDescent="0.25">
      <c r="T7449" s="98"/>
    </row>
    <row r="7450" spans="20:20" x14ac:dyDescent="0.25">
      <c r="T7450" s="98"/>
    </row>
    <row r="7451" spans="20:20" x14ac:dyDescent="0.25">
      <c r="T7451" s="98"/>
    </row>
    <row r="7452" spans="20:20" x14ac:dyDescent="0.25">
      <c r="T7452" s="98"/>
    </row>
    <row r="7453" spans="20:20" x14ac:dyDescent="0.25">
      <c r="T7453" s="98"/>
    </row>
    <row r="7454" spans="20:20" x14ac:dyDescent="0.25">
      <c r="T7454" s="98"/>
    </row>
    <row r="7455" spans="20:20" x14ac:dyDescent="0.25">
      <c r="T7455" s="98"/>
    </row>
    <row r="7456" spans="20:20" x14ac:dyDescent="0.25">
      <c r="T7456" s="98"/>
    </row>
    <row r="7457" spans="20:20" x14ac:dyDescent="0.25">
      <c r="T7457" s="98"/>
    </row>
    <row r="7458" spans="20:20" x14ac:dyDescent="0.25">
      <c r="T7458" s="98"/>
    </row>
    <row r="7459" spans="20:20" x14ac:dyDescent="0.25">
      <c r="T7459" s="98"/>
    </row>
    <row r="7460" spans="20:20" x14ac:dyDescent="0.25">
      <c r="T7460" s="98"/>
    </row>
    <row r="7461" spans="20:20" x14ac:dyDescent="0.25">
      <c r="T7461" s="98"/>
    </row>
    <row r="7462" spans="20:20" x14ac:dyDescent="0.25">
      <c r="T7462" s="98"/>
    </row>
    <row r="7463" spans="20:20" x14ac:dyDescent="0.25">
      <c r="T7463" s="98"/>
    </row>
    <row r="7464" spans="20:20" x14ac:dyDescent="0.25">
      <c r="T7464" s="98"/>
    </row>
    <row r="7465" spans="20:20" x14ac:dyDescent="0.25">
      <c r="T7465" s="98"/>
    </row>
    <row r="7466" spans="20:20" x14ac:dyDescent="0.25">
      <c r="T7466" s="98"/>
    </row>
    <row r="7467" spans="20:20" x14ac:dyDescent="0.25">
      <c r="T7467" s="98"/>
    </row>
    <row r="7468" spans="20:20" x14ac:dyDescent="0.25">
      <c r="T7468" s="98"/>
    </row>
    <row r="7469" spans="20:20" x14ac:dyDescent="0.25">
      <c r="T7469" s="98"/>
    </row>
    <row r="7470" spans="20:20" x14ac:dyDescent="0.25">
      <c r="T7470" s="98"/>
    </row>
    <row r="7471" spans="20:20" x14ac:dyDescent="0.25">
      <c r="T7471" s="98"/>
    </row>
    <row r="7472" spans="20:20" x14ac:dyDescent="0.25">
      <c r="T7472" s="98"/>
    </row>
    <row r="7473" spans="20:20" x14ac:dyDescent="0.25">
      <c r="T7473" s="98"/>
    </row>
    <row r="7474" spans="20:20" x14ac:dyDescent="0.25">
      <c r="T7474" s="98"/>
    </row>
    <row r="7475" spans="20:20" x14ac:dyDescent="0.25">
      <c r="T7475" s="98"/>
    </row>
    <row r="7476" spans="20:20" x14ac:dyDescent="0.25">
      <c r="T7476" s="98"/>
    </row>
    <row r="7477" spans="20:20" x14ac:dyDescent="0.25">
      <c r="T7477" s="98"/>
    </row>
    <row r="7478" spans="20:20" x14ac:dyDescent="0.25">
      <c r="T7478" s="98"/>
    </row>
    <row r="7479" spans="20:20" x14ac:dyDescent="0.25">
      <c r="T7479" s="98"/>
    </row>
    <row r="7480" spans="20:20" x14ac:dyDescent="0.25">
      <c r="T7480" s="98"/>
    </row>
    <row r="7481" spans="20:20" x14ac:dyDescent="0.25">
      <c r="T7481" s="98"/>
    </row>
    <row r="7482" spans="20:20" x14ac:dyDescent="0.25">
      <c r="T7482" s="98"/>
    </row>
    <row r="7483" spans="20:20" x14ac:dyDescent="0.25">
      <c r="T7483" s="98"/>
    </row>
    <row r="7484" spans="20:20" x14ac:dyDescent="0.25">
      <c r="T7484" s="98"/>
    </row>
    <row r="7485" spans="20:20" x14ac:dyDescent="0.25">
      <c r="T7485" s="98"/>
    </row>
    <row r="7486" spans="20:20" x14ac:dyDescent="0.25">
      <c r="T7486" s="98"/>
    </row>
    <row r="7487" spans="20:20" x14ac:dyDescent="0.25">
      <c r="T7487" s="98"/>
    </row>
    <row r="7488" spans="20:20" x14ac:dyDescent="0.25">
      <c r="T7488" s="98"/>
    </row>
    <row r="7489" spans="20:20" x14ac:dyDescent="0.25">
      <c r="T7489" s="98"/>
    </row>
    <row r="7490" spans="20:20" x14ac:dyDescent="0.25">
      <c r="T7490" s="98"/>
    </row>
    <row r="7491" spans="20:20" x14ac:dyDescent="0.25">
      <c r="T7491" s="98"/>
    </row>
    <row r="7492" spans="20:20" x14ac:dyDescent="0.25">
      <c r="T7492" s="98"/>
    </row>
    <row r="7493" spans="20:20" x14ac:dyDescent="0.25">
      <c r="T7493" s="98"/>
    </row>
    <row r="7494" spans="20:20" x14ac:dyDescent="0.25">
      <c r="T7494" s="98"/>
    </row>
    <row r="7495" spans="20:20" x14ac:dyDescent="0.25">
      <c r="T7495" s="98"/>
    </row>
    <row r="7496" spans="20:20" x14ac:dyDescent="0.25">
      <c r="T7496" s="98"/>
    </row>
    <row r="7497" spans="20:20" x14ac:dyDescent="0.25">
      <c r="T7497" s="98"/>
    </row>
    <row r="7498" spans="20:20" x14ac:dyDescent="0.25">
      <c r="T7498" s="98"/>
    </row>
    <row r="7499" spans="20:20" x14ac:dyDescent="0.25">
      <c r="T7499" s="98"/>
    </row>
    <row r="7500" spans="20:20" x14ac:dyDescent="0.25">
      <c r="T7500" s="98"/>
    </row>
    <row r="7501" spans="20:20" x14ac:dyDescent="0.25">
      <c r="T7501" s="98"/>
    </row>
    <row r="7502" spans="20:20" x14ac:dyDescent="0.25">
      <c r="T7502" s="98"/>
    </row>
    <row r="7503" spans="20:20" x14ac:dyDescent="0.25">
      <c r="T7503" s="98"/>
    </row>
    <row r="7504" spans="20:20" x14ac:dyDescent="0.25">
      <c r="T7504" s="98"/>
    </row>
    <row r="7505" spans="20:20" x14ac:dyDescent="0.25">
      <c r="T7505" s="98"/>
    </row>
    <row r="7506" spans="20:20" x14ac:dyDescent="0.25">
      <c r="T7506" s="98"/>
    </row>
    <row r="7507" spans="20:20" x14ac:dyDescent="0.25">
      <c r="T7507" s="98"/>
    </row>
    <row r="7508" spans="20:20" x14ac:dyDescent="0.25">
      <c r="T7508" s="98"/>
    </row>
    <row r="7509" spans="20:20" x14ac:dyDescent="0.25">
      <c r="T7509" s="98"/>
    </row>
    <row r="7510" spans="20:20" x14ac:dyDescent="0.25">
      <c r="T7510" s="98"/>
    </row>
    <row r="7511" spans="20:20" x14ac:dyDescent="0.25">
      <c r="T7511" s="98"/>
    </row>
    <row r="7512" spans="20:20" x14ac:dyDescent="0.25">
      <c r="T7512" s="98"/>
    </row>
    <row r="7513" spans="20:20" x14ac:dyDescent="0.25">
      <c r="T7513" s="98"/>
    </row>
    <row r="7514" spans="20:20" x14ac:dyDescent="0.25">
      <c r="T7514" s="98"/>
    </row>
    <row r="7515" spans="20:20" x14ac:dyDescent="0.25">
      <c r="T7515" s="98"/>
    </row>
    <row r="7516" spans="20:20" x14ac:dyDescent="0.25">
      <c r="T7516" s="98"/>
    </row>
    <row r="7517" spans="20:20" x14ac:dyDescent="0.25">
      <c r="T7517" s="98"/>
    </row>
    <row r="7518" spans="20:20" x14ac:dyDescent="0.25">
      <c r="T7518" s="98"/>
    </row>
    <row r="7519" spans="20:20" x14ac:dyDescent="0.25">
      <c r="T7519" s="98"/>
    </row>
    <row r="7520" spans="20:20" x14ac:dyDescent="0.25">
      <c r="T7520" s="98"/>
    </row>
    <row r="7521" spans="20:20" x14ac:dyDescent="0.25">
      <c r="T7521" s="98"/>
    </row>
    <row r="7522" spans="20:20" x14ac:dyDescent="0.25">
      <c r="T7522" s="98"/>
    </row>
    <row r="7523" spans="20:20" x14ac:dyDescent="0.25">
      <c r="T7523" s="98"/>
    </row>
    <row r="7524" spans="20:20" x14ac:dyDescent="0.25">
      <c r="T7524" s="98"/>
    </row>
    <row r="7525" spans="20:20" x14ac:dyDescent="0.25">
      <c r="T7525" s="98"/>
    </row>
    <row r="7526" spans="20:20" x14ac:dyDescent="0.25">
      <c r="T7526" s="98"/>
    </row>
    <row r="7527" spans="20:20" x14ac:dyDescent="0.25">
      <c r="T7527" s="98"/>
    </row>
    <row r="7528" spans="20:20" x14ac:dyDescent="0.25">
      <c r="T7528" s="98"/>
    </row>
    <row r="7529" spans="20:20" x14ac:dyDescent="0.25">
      <c r="T7529" s="98"/>
    </row>
    <row r="7530" spans="20:20" x14ac:dyDescent="0.25">
      <c r="T7530" s="98"/>
    </row>
    <row r="7531" spans="20:20" x14ac:dyDescent="0.25">
      <c r="T7531" s="98"/>
    </row>
    <row r="7532" spans="20:20" x14ac:dyDescent="0.25">
      <c r="T7532" s="98"/>
    </row>
    <row r="7533" spans="20:20" x14ac:dyDescent="0.25">
      <c r="T7533" s="98"/>
    </row>
    <row r="7534" spans="20:20" x14ac:dyDescent="0.25">
      <c r="T7534" s="98"/>
    </row>
    <row r="7535" spans="20:20" x14ac:dyDescent="0.25">
      <c r="T7535" s="98"/>
    </row>
    <row r="7536" spans="20:20" x14ac:dyDescent="0.25">
      <c r="T7536" s="98"/>
    </row>
    <row r="7537" spans="20:20" x14ac:dyDescent="0.25">
      <c r="T7537" s="98"/>
    </row>
    <row r="7538" spans="20:20" x14ac:dyDescent="0.25">
      <c r="T7538" s="98"/>
    </row>
    <row r="7539" spans="20:20" x14ac:dyDescent="0.25">
      <c r="T7539" s="98"/>
    </row>
    <row r="7540" spans="20:20" x14ac:dyDescent="0.25">
      <c r="T7540" s="98"/>
    </row>
    <row r="7541" spans="20:20" x14ac:dyDescent="0.25">
      <c r="T7541" s="98"/>
    </row>
    <row r="7542" spans="20:20" x14ac:dyDescent="0.25">
      <c r="T7542" s="98"/>
    </row>
    <row r="7543" spans="20:20" x14ac:dyDescent="0.25">
      <c r="T7543" s="98"/>
    </row>
    <row r="7544" spans="20:20" x14ac:dyDescent="0.25">
      <c r="T7544" s="98"/>
    </row>
    <row r="7545" spans="20:20" x14ac:dyDescent="0.25">
      <c r="T7545" s="98"/>
    </row>
    <row r="7546" spans="20:20" x14ac:dyDescent="0.25">
      <c r="T7546" s="98"/>
    </row>
    <row r="7547" spans="20:20" x14ac:dyDescent="0.25">
      <c r="T7547" s="98"/>
    </row>
    <row r="7548" spans="20:20" x14ac:dyDescent="0.25">
      <c r="T7548" s="98"/>
    </row>
    <row r="7549" spans="20:20" x14ac:dyDescent="0.25">
      <c r="T7549" s="98"/>
    </row>
    <row r="7550" spans="20:20" x14ac:dyDescent="0.25">
      <c r="T7550" s="98"/>
    </row>
    <row r="7551" spans="20:20" x14ac:dyDescent="0.25">
      <c r="T7551" s="98"/>
    </row>
    <row r="7552" spans="20:20" x14ac:dyDescent="0.25">
      <c r="T7552" s="98"/>
    </row>
    <row r="7553" spans="20:20" x14ac:dyDescent="0.25">
      <c r="T7553" s="98"/>
    </row>
    <row r="7554" spans="20:20" x14ac:dyDescent="0.25">
      <c r="T7554" s="98"/>
    </row>
    <row r="7555" spans="20:20" x14ac:dyDescent="0.25">
      <c r="T7555" s="98"/>
    </row>
    <row r="7556" spans="20:20" x14ac:dyDescent="0.25">
      <c r="T7556" s="98"/>
    </row>
    <row r="7557" spans="20:20" x14ac:dyDescent="0.25">
      <c r="T7557" s="98"/>
    </row>
    <row r="7558" spans="20:20" x14ac:dyDescent="0.25">
      <c r="T7558" s="98"/>
    </row>
    <row r="7559" spans="20:20" x14ac:dyDescent="0.25">
      <c r="T7559" s="98"/>
    </row>
    <row r="7560" spans="20:20" x14ac:dyDescent="0.25">
      <c r="T7560" s="98"/>
    </row>
    <row r="7561" spans="20:20" x14ac:dyDescent="0.25">
      <c r="T7561" s="98"/>
    </row>
    <row r="7562" spans="20:20" x14ac:dyDescent="0.25">
      <c r="T7562" s="98"/>
    </row>
    <row r="7563" spans="20:20" x14ac:dyDescent="0.25">
      <c r="T7563" s="98"/>
    </row>
    <row r="7564" spans="20:20" x14ac:dyDescent="0.25">
      <c r="T7564" s="98"/>
    </row>
    <row r="7565" spans="20:20" x14ac:dyDescent="0.25">
      <c r="T7565" s="98"/>
    </row>
    <row r="7566" spans="20:20" x14ac:dyDescent="0.25">
      <c r="T7566" s="98"/>
    </row>
    <row r="7567" spans="20:20" x14ac:dyDescent="0.25">
      <c r="T7567" s="98"/>
    </row>
    <row r="7568" spans="20:20" x14ac:dyDescent="0.25">
      <c r="T7568" s="98"/>
    </row>
    <row r="7569" spans="20:20" x14ac:dyDescent="0.25">
      <c r="T7569" s="98"/>
    </row>
    <row r="7570" spans="20:20" x14ac:dyDescent="0.25">
      <c r="T7570" s="98"/>
    </row>
    <row r="7571" spans="20:20" x14ac:dyDescent="0.25">
      <c r="T7571" s="98"/>
    </row>
    <row r="7572" spans="20:20" x14ac:dyDescent="0.25">
      <c r="T7572" s="98"/>
    </row>
    <row r="7573" spans="20:20" x14ac:dyDescent="0.25">
      <c r="T7573" s="98"/>
    </row>
    <row r="7574" spans="20:20" x14ac:dyDescent="0.25">
      <c r="T7574" s="98"/>
    </row>
    <row r="7575" spans="20:20" x14ac:dyDescent="0.25">
      <c r="T7575" s="98"/>
    </row>
    <row r="7576" spans="20:20" x14ac:dyDescent="0.25">
      <c r="T7576" s="98"/>
    </row>
    <row r="7577" spans="20:20" x14ac:dyDescent="0.25">
      <c r="T7577" s="98"/>
    </row>
    <row r="7578" spans="20:20" x14ac:dyDescent="0.25">
      <c r="T7578" s="98"/>
    </row>
    <row r="7579" spans="20:20" x14ac:dyDescent="0.25">
      <c r="T7579" s="98"/>
    </row>
    <row r="7580" spans="20:20" x14ac:dyDescent="0.25">
      <c r="T7580" s="98"/>
    </row>
    <row r="7581" spans="20:20" x14ac:dyDescent="0.25">
      <c r="T7581" s="98"/>
    </row>
    <row r="7582" spans="20:20" x14ac:dyDescent="0.25">
      <c r="T7582" s="98"/>
    </row>
    <row r="7583" spans="20:20" x14ac:dyDescent="0.25">
      <c r="T7583" s="98"/>
    </row>
    <row r="7584" spans="20:20" x14ac:dyDescent="0.25">
      <c r="T7584" s="98"/>
    </row>
    <row r="7585" spans="20:20" x14ac:dyDescent="0.25">
      <c r="T7585" s="98"/>
    </row>
    <row r="7586" spans="20:20" x14ac:dyDescent="0.25">
      <c r="T7586" s="98"/>
    </row>
    <row r="7587" spans="20:20" x14ac:dyDescent="0.25">
      <c r="T7587" s="98"/>
    </row>
    <row r="7588" spans="20:20" x14ac:dyDescent="0.25">
      <c r="T7588" s="98"/>
    </row>
    <row r="7589" spans="20:20" x14ac:dyDescent="0.25">
      <c r="T7589" s="98"/>
    </row>
    <row r="7590" spans="20:20" x14ac:dyDescent="0.25">
      <c r="T7590" s="98"/>
    </row>
    <row r="7591" spans="20:20" x14ac:dyDescent="0.25">
      <c r="T7591" s="98"/>
    </row>
    <row r="7592" spans="20:20" x14ac:dyDescent="0.25">
      <c r="T7592" s="98"/>
    </row>
    <row r="7593" spans="20:20" x14ac:dyDescent="0.25">
      <c r="T7593" s="98"/>
    </row>
    <row r="7594" spans="20:20" x14ac:dyDescent="0.25">
      <c r="T7594" s="98"/>
    </row>
    <row r="7595" spans="20:20" x14ac:dyDescent="0.25">
      <c r="T7595" s="98"/>
    </row>
    <row r="7596" spans="20:20" x14ac:dyDescent="0.25">
      <c r="T7596" s="98"/>
    </row>
    <row r="7597" spans="20:20" x14ac:dyDescent="0.25">
      <c r="T7597" s="98"/>
    </row>
    <row r="7598" spans="20:20" x14ac:dyDescent="0.25">
      <c r="T7598" s="98"/>
    </row>
    <row r="7599" spans="20:20" x14ac:dyDescent="0.25">
      <c r="T7599" s="98"/>
    </row>
    <row r="7600" spans="20:20" x14ac:dyDescent="0.25">
      <c r="T7600" s="98"/>
    </row>
    <row r="7601" spans="20:20" x14ac:dyDescent="0.25">
      <c r="T7601" s="98"/>
    </row>
    <row r="7602" spans="20:20" x14ac:dyDescent="0.25">
      <c r="T7602" s="98"/>
    </row>
    <row r="7603" spans="20:20" x14ac:dyDescent="0.25">
      <c r="T7603" s="98"/>
    </row>
    <row r="7604" spans="20:20" x14ac:dyDescent="0.25">
      <c r="T7604" s="98"/>
    </row>
    <row r="7605" spans="20:20" x14ac:dyDescent="0.25">
      <c r="T7605" s="98"/>
    </row>
    <row r="7606" spans="20:20" x14ac:dyDescent="0.25">
      <c r="T7606" s="98"/>
    </row>
    <row r="7607" spans="20:20" x14ac:dyDescent="0.25">
      <c r="T7607" s="98"/>
    </row>
    <row r="7608" spans="20:20" x14ac:dyDescent="0.25">
      <c r="T7608" s="98"/>
    </row>
    <row r="7609" spans="20:20" x14ac:dyDescent="0.25">
      <c r="T7609" s="98"/>
    </row>
    <row r="7610" spans="20:20" x14ac:dyDescent="0.25">
      <c r="T7610" s="98"/>
    </row>
    <row r="7611" spans="20:20" x14ac:dyDescent="0.25">
      <c r="T7611" s="98"/>
    </row>
    <row r="7612" spans="20:20" x14ac:dyDescent="0.25">
      <c r="T7612" s="98"/>
    </row>
    <row r="7613" spans="20:20" x14ac:dyDescent="0.25">
      <c r="T7613" s="98"/>
    </row>
    <row r="7614" spans="20:20" x14ac:dyDescent="0.25">
      <c r="T7614" s="98"/>
    </row>
    <row r="7615" spans="20:20" x14ac:dyDescent="0.25">
      <c r="T7615" s="98"/>
    </row>
    <row r="7616" spans="20:20" x14ac:dyDescent="0.25">
      <c r="T7616" s="98"/>
    </row>
    <row r="7617" spans="20:20" x14ac:dyDescent="0.25">
      <c r="T7617" s="98"/>
    </row>
    <row r="7618" spans="20:20" x14ac:dyDescent="0.25">
      <c r="T7618" s="98"/>
    </row>
    <row r="7619" spans="20:20" x14ac:dyDescent="0.25">
      <c r="T7619" s="98"/>
    </row>
    <row r="7620" spans="20:20" x14ac:dyDescent="0.25">
      <c r="T7620" s="98"/>
    </row>
    <row r="7621" spans="20:20" x14ac:dyDescent="0.25">
      <c r="T7621" s="98"/>
    </row>
    <row r="7622" spans="20:20" x14ac:dyDescent="0.25">
      <c r="T7622" s="98"/>
    </row>
    <row r="7623" spans="20:20" x14ac:dyDescent="0.25">
      <c r="T7623" s="98"/>
    </row>
    <row r="7624" spans="20:20" x14ac:dyDescent="0.25">
      <c r="T7624" s="98"/>
    </row>
    <row r="7625" spans="20:20" x14ac:dyDescent="0.25">
      <c r="T7625" s="98"/>
    </row>
    <row r="7626" spans="20:20" x14ac:dyDescent="0.25">
      <c r="T7626" s="98"/>
    </row>
    <row r="7627" spans="20:20" x14ac:dyDescent="0.25">
      <c r="T7627" s="98"/>
    </row>
    <row r="7628" spans="20:20" x14ac:dyDescent="0.25">
      <c r="T7628" s="98"/>
    </row>
    <row r="7629" spans="20:20" x14ac:dyDescent="0.25">
      <c r="T7629" s="98"/>
    </row>
    <row r="7630" spans="20:20" x14ac:dyDescent="0.25">
      <c r="T7630" s="98"/>
    </row>
    <row r="7631" spans="20:20" x14ac:dyDescent="0.25">
      <c r="T7631" s="98"/>
    </row>
    <row r="7632" spans="20:20" x14ac:dyDescent="0.25">
      <c r="T7632" s="98"/>
    </row>
    <row r="7633" spans="20:20" x14ac:dyDescent="0.25">
      <c r="T7633" s="98"/>
    </row>
    <row r="7634" spans="20:20" x14ac:dyDescent="0.25">
      <c r="T7634" s="98"/>
    </row>
    <row r="7635" spans="20:20" x14ac:dyDescent="0.25">
      <c r="T7635" s="98"/>
    </row>
    <row r="7636" spans="20:20" x14ac:dyDescent="0.25">
      <c r="T7636" s="98"/>
    </row>
    <row r="7637" spans="20:20" x14ac:dyDescent="0.25">
      <c r="T7637" s="98"/>
    </row>
    <row r="7638" spans="20:20" x14ac:dyDescent="0.25">
      <c r="T7638" s="98"/>
    </row>
    <row r="7639" spans="20:20" x14ac:dyDescent="0.25">
      <c r="T7639" s="98"/>
    </row>
    <row r="7640" spans="20:20" x14ac:dyDescent="0.25">
      <c r="T7640" s="98"/>
    </row>
    <row r="7641" spans="20:20" x14ac:dyDescent="0.25">
      <c r="T7641" s="98"/>
    </row>
    <row r="7642" spans="20:20" x14ac:dyDescent="0.25">
      <c r="T7642" s="98"/>
    </row>
    <row r="7643" spans="20:20" x14ac:dyDescent="0.25">
      <c r="T7643" s="98"/>
    </row>
    <row r="7644" spans="20:20" x14ac:dyDescent="0.25">
      <c r="T7644" s="98"/>
    </row>
    <row r="7645" spans="20:20" x14ac:dyDescent="0.25">
      <c r="T7645" s="98"/>
    </row>
    <row r="7646" spans="20:20" x14ac:dyDescent="0.25">
      <c r="T7646" s="98"/>
    </row>
    <row r="7647" spans="20:20" x14ac:dyDescent="0.25">
      <c r="T7647" s="98"/>
    </row>
    <row r="7648" spans="20:20" x14ac:dyDescent="0.25">
      <c r="T7648" s="98"/>
    </row>
    <row r="7649" spans="20:20" x14ac:dyDescent="0.25">
      <c r="T7649" s="98"/>
    </row>
    <row r="7650" spans="20:20" x14ac:dyDescent="0.25">
      <c r="T7650" s="98"/>
    </row>
    <row r="7651" spans="20:20" x14ac:dyDescent="0.25">
      <c r="T7651" s="98"/>
    </row>
    <row r="7652" spans="20:20" x14ac:dyDescent="0.25">
      <c r="T7652" s="98"/>
    </row>
    <row r="7653" spans="20:20" x14ac:dyDescent="0.25">
      <c r="T7653" s="98"/>
    </row>
    <row r="7654" spans="20:20" x14ac:dyDescent="0.25">
      <c r="T7654" s="98"/>
    </row>
    <row r="7655" spans="20:20" x14ac:dyDescent="0.25">
      <c r="T7655" s="98"/>
    </row>
    <row r="7656" spans="20:20" x14ac:dyDescent="0.25">
      <c r="T7656" s="98"/>
    </row>
    <row r="7657" spans="20:20" x14ac:dyDescent="0.25">
      <c r="T7657" s="98"/>
    </row>
    <row r="7658" spans="20:20" x14ac:dyDescent="0.25">
      <c r="T7658" s="98"/>
    </row>
    <row r="7659" spans="20:20" x14ac:dyDescent="0.25">
      <c r="T7659" s="98"/>
    </row>
    <row r="7660" spans="20:20" x14ac:dyDescent="0.25">
      <c r="T7660" s="98"/>
    </row>
    <row r="7661" spans="20:20" x14ac:dyDescent="0.25">
      <c r="T7661" s="98"/>
    </row>
    <row r="7662" spans="20:20" x14ac:dyDescent="0.25">
      <c r="T7662" s="98"/>
    </row>
    <row r="7663" spans="20:20" x14ac:dyDescent="0.25">
      <c r="T7663" s="98"/>
    </row>
    <row r="7664" spans="20:20" x14ac:dyDescent="0.25">
      <c r="T7664" s="98"/>
    </row>
    <row r="7665" spans="20:20" x14ac:dyDescent="0.25">
      <c r="T7665" s="98"/>
    </row>
    <row r="7666" spans="20:20" x14ac:dyDescent="0.25">
      <c r="T7666" s="98"/>
    </row>
    <row r="7667" spans="20:20" x14ac:dyDescent="0.25">
      <c r="T7667" s="98"/>
    </row>
    <row r="7668" spans="20:20" x14ac:dyDescent="0.25">
      <c r="T7668" s="98"/>
    </row>
    <row r="7669" spans="20:20" x14ac:dyDescent="0.25">
      <c r="T7669" s="98"/>
    </row>
    <row r="7670" spans="20:20" x14ac:dyDescent="0.25">
      <c r="T7670" s="98"/>
    </row>
    <row r="7671" spans="20:20" x14ac:dyDescent="0.25">
      <c r="T7671" s="98"/>
    </row>
    <row r="7672" spans="20:20" x14ac:dyDescent="0.25">
      <c r="T7672" s="98"/>
    </row>
    <row r="7673" spans="20:20" x14ac:dyDescent="0.25">
      <c r="T7673" s="98"/>
    </row>
    <row r="7674" spans="20:20" x14ac:dyDescent="0.25">
      <c r="T7674" s="98"/>
    </row>
    <row r="7675" spans="20:20" x14ac:dyDescent="0.25">
      <c r="T7675" s="98"/>
    </row>
    <row r="7676" spans="20:20" x14ac:dyDescent="0.25">
      <c r="T7676" s="98"/>
    </row>
    <row r="7677" spans="20:20" x14ac:dyDescent="0.25">
      <c r="T7677" s="98"/>
    </row>
    <row r="7678" spans="20:20" x14ac:dyDescent="0.25">
      <c r="T7678" s="98"/>
    </row>
    <row r="7679" spans="20:20" x14ac:dyDescent="0.25">
      <c r="T7679" s="98"/>
    </row>
    <row r="7680" spans="20:20" x14ac:dyDescent="0.25">
      <c r="T7680" s="98"/>
    </row>
    <row r="7681" spans="20:20" x14ac:dyDescent="0.25">
      <c r="T7681" s="98"/>
    </row>
    <row r="7682" spans="20:20" x14ac:dyDescent="0.25">
      <c r="T7682" s="98"/>
    </row>
    <row r="7683" spans="20:20" x14ac:dyDescent="0.25">
      <c r="T7683" s="98"/>
    </row>
    <row r="7684" spans="20:20" x14ac:dyDescent="0.25">
      <c r="T7684" s="98"/>
    </row>
    <row r="7685" spans="20:20" x14ac:dyDescent="0.25">
      <c r="T7685" s="98"/>
    </row>
    <row r="7686" spans="20:20" x14ac:dyDescent="0.25">
      <c r="T7686" s="98"/>
    </row>
    <row r="7687" spans="20:20" x14ac:dyDescent="0.25">
      <c r="T7687" s="98"/>
    </row>
    <row r="7688" spans="20:20" x14ac:dyDescent="0.25">
      <c r="T7688" s="98"/>
    </row>
    <row r="7689" spans="20:20" x14ac:dyDescent="0.25">
      <c r="T7689" s="98"/>
    </row>
    <row r="7690" spans="20:20" x14ac:dyDescent="0.25">
      <c r="T7690" s="98"/>
    </row>
    <row r="7691" spans="20:20" x14ac:dyDescent="0.25">
      <c r="T7691" s="98"/>
    </row>
    <row r="7692" spans="20:20" x14ac:dyDescent="0.25">
      <c r="T7692" s="98"/>
    </row>
    <row r="7693" spans="20:20" x14ac:dyDescent="0.25">
      <c r="T7693" s="98"/>
    </row>
    <row r="7694" spans="20:20" x14ac:dyDescent="0.25">
      <c r="T7694" s="98"/>
    </row>
    <row r="7695" spans="20:20" x14ac:dyDescent="0.25">
      <c r="T7695" s="98"/>
    </row>
    <row r="7696" spans="20:20" x14ac:dyDescent="0.25">
      <c r="T7696" s="98"/>
    </row>
    <row r="7697" spans="20:20" x14ac:dyDescent="0.25">
      <c r="T7697" s="98"/>
    </row>
    <row r="7698" spans="20:20" x14ac:dyDescent="0.25">
      <c r="T7698" s="98"/>
    </row>
    <row r="7699" spans="20:20" x14ac:dyDescent="0.25">
      <c r="T7699" s="98"/>
    </row>
    <row r="7700" spans="20:20" x14ac:dyDescent="0.25">
      <c r="T7700" s="98"/>
    </row>
    <row r="7701" spans="20:20" x14ac:dyDescent="0.25">
      <c r="T7701" s="98"/>
    </row>
    <row r="7702" spans="20:20" x14ac:dyDescent="0.25">
      <c r="T7702" s="98"/>
    </row>
    <row r="7703" spans="20:20" x14ac:dyDescent="0.25">
      <c r="T7703" s="98"/>
    </row>
    <row r="7704" spans="20:20" x14ac:dyDescent="0.25">
      <c r="T7704" s="98"/>
    </row>
    <row r="7705" spans="20:20" x14ac:dyDescent="0.25">
      <c r="T7705" s="98"/>
    </row>
    <row r="7706" spans="20:20" x14ac:dyDescent="0.25">
      <c r="T7706" s="98"/>
    </row>
    <row r="7707" spans="20:20" x14ac:dyDescent="0.25">
      <c r="T7707" s="98"/>
    </row>
    <row r="7708" spans="20:20" x14ac:dyDescent="0.25">
      <c r="T7708" s="98"/>
    </row>
    <row r="7709" spans="20:20" x14ac:dyDescent="0.25">
      <c r="T7709" s="98"/>
    </row>
    <row r="7710" spans="20:20" x14ac:dyDescent="0.25">
      <c r="T7710" s="98"/>
    </row>
    <row r="7711" spans="20:20" x14ac:dyDescent="0.25">
      <c r="T7711" s="98"/>
    </row>
    <row r="7712" spans="20:20" x14ac:dyDescent="0.25">
      <c r="T7712" s="98"/>
    </row>
    <row r="7713" spans="20:20" x14ac:dyDescent="0.25">
      <c r="T7713" s="98"/>
    </row>
    <row r="7714" spans="20:20" x14ac:dyDescent="0.25">
      <c r="T7714" s="98"/>
    </row>
    <row r="7715" spans="20:20" x14ac:dyDescent="0.25">
      <c r="T7715" s="98"/>
    </row>
    <row r="7716" spans="20:20" x14ac:dyDescent="0.25">
      <c r="T7716" s="98"/>
    </row>
    <row r="7717" spans="20:20" x14ac:dyDescent="0.25">
      <c r="T7717" s="98"/>
    </row>
    <row r="7718" spans="20:20" x14ac:dyDescent="0.25">
      <c r="T7718" s="98"/>
    </row>
    <row r="7719" spans="20:20" x14ac:dyDescent="0.25">
      <c r="T7719" s="98"/>
    </row>
    <row r="7720" spans="20:20" x14ac:dyDescent="0.25">
      <c r="T7720" s="98"/>
    </row>
    <row r="7721" spans="20:20" x14ac:dyDescent="0.25">
      <c r="T7721" s="98"/>
    </row>
    <row r="7722" spans="20:20" x14ac:dyDescent="0.25">
      <c r="T7722" s="98"/>
    </row>
    <row r="7723" spans="20:20" x14ac:dyDescent="0.25">
      <c r="T7723" s="98"/>
    </row>
    <row r="7724" spans="20:20" x14ac:dyDescent="0.25">
      <c r="T7724" s="98"/>
    </row>
    <row r="7725" spans="20:20" x14ac:dyDescent="0.25">
      <c r="T7725" s="98"/>
    </row>
    <row r="7726" spans="20:20" x14ac:dyDescent="0.25">
      <c r="T7726" s="98"/>
    </row>
    <row r="7727" spans="20:20" x14ac:dyDescent="0.25">
      <c r="T7727" s="98"/>
    </row>
    <row r="7728" spans="20:20" x14ac:dyDescent="0.25">
      <c r="T7728" s="98"/>
    </row>
    <row r="7729" spans="20:20" x14ac:dyDescent="0.25">
      <c r="T7729" s="98"/>
    </row>
    <row r="7730" spans="20:20" x14ac:dyDescent="0.25">
      <c r="T7730" s="98"/>
    </row>
    <row r="7731" spans="20:20" x14ac:dyDescent="0.25">
      <c r="T7731" s="98"/>
    </row>
    <row r="7732" spans="20:20" x14ac:dyDescent="0.25">
      <c r="T7732" s="98"/>
    </row>
    <row r="7733" spans="20:20" x14ac:dyDescent="0.25">
      <c r="T7733" s="98"/>
    </row>
    <row r="7734" spans="20:20" x14ac:dyDescent="0.25">
      <c r="T7734" s="98"/>
    </row>
    <row r="7735" spans="20:20" x14ac:dyDescent="0.25">
      <c r="T7735" s="98"/>
    </row>
    <row r="7736" spans="20:20" x14ac:dyDescent="0.25">
      <c r="T7736" s="98"/>
    </row>
    <row r="7737" spans="20:20" x14ac:dyDescent="0.25">
      <c r="T7737" s="98"/>
    </row>
    <row r="7738" spans="20:20" x14ac:dyDescent="0.25">
      <c r="T7738" s="98"/>
    </row>
    <row r="7739" spans="20:20" x14ac:dyDescent="0.25">
      <c r="T7739" s="98"/>
    </row>
    <row r="7740" spans="20:20" x14ac:dyDescent="0.25">
      <c r="T7740" s="98"/>
    </row>
    <row r="7741" spans="20:20" x14ac:dyDescent="0.25">
      <c r="T7741" s="98"/>
    </row>
    <row r="7742" spans="20:20" x14ac:dyDescent="0.25">
      <c r="T7742" s="98"/>
    </row>
    <row r="7743" spans="20:20" x14ac:dyDescent="0.25">
      <c r="T7743" s="98"/>
    </row>
    <row r="7744" spans="20:20" x14ac:dyDescent="0.25">
      <c r="T7744" s="98"/>
    </row>
    <row r="7745" spans="20:20" x14ac:dyDescent="0.25">
      <c r="T7745" s="98"/>
    </row>
    <row r="7746" spans="20:20" x14ac:dyDescent="0.25">
      <c r="T7746" s="98"/>
    </row>
    <row r="7747" spans="20:20" x14ac:dyDescent="0.25">
      <c r="T7747" s="98"/>
    </row>
    <row r="7748" spans="20:20" x14ac:dyDescent="0.25">
      <c r="T7748" s="98"/>
    </row>
    <row r="7749" spans="20:20" x14ac:dyDescent="0.25">
      <c r="T7749" s="98"/>
    </row>
    <row r="7750" spans="20:20" x14ac:dyDescent="0.25">
      <c r="T7750" s="98"/>
    </row>
    <row r="7751" spans="20:20" x14ac:dyDescent="0.25">
      <c r="T7751" s="98"/>
    </row>
    <row r="7752" spans="20:20" x14ac:dyDescent="0.25">
      <c r="T7752" s="98"/>
    </row>
    <row r="7753" spans="20:20" x14ac:dyDescent="0.25">
      <c r="T7753" s="98"/>
    </row>
    <row r="7754" spans="20:20" x14ac:dyDescent="0.25">
      <c r="T7754" s="98"/>
    </row>
    <row r="7755" spans="20:20" x14ac:dyDescent="0.25">
      <c r="T7755" s="98"/>
    </row>
    <row r="7756" spans="20:20" x14ac:dyDescent="0.25">
      <c r="T7756" s="98"/>
    </row>
    <row r="7757" spans="20:20" x14ac:dyDescent="0.25">
      <c r="T7757" s="98"/>
    </row>
    <row r="7758" spans="20:20" x14ac:dyDescent="0.25">
      <c r="T7758" s="98"/>
    </row>
    <row r="7759" spans="20:20" x14ac:dyDescent="0.25">
      <c r="T7759" s="98"/>
    </row>
    <row r="7760" spans="20:20" x14ac:dyDescent="0.25">
      <c r="T7760" s="98"/>
    </row>
    <row r="7761" spans="20:20" x14ac:dyDescent="0.25">
      <c r="T7761" s="98"/>
    </row>
    <row r="7762" spans="20:20" x14ac:dyDescent="0.25">
      <c r="T7762" s="98"/>
    </row>
    <row r="7763" spans="20:20" x14ac:dyDescent="0.25">
      <c r="T7763" s="98"/>
    </row>
    <row r="7764" spans="20:20" x14ac:dyDescent="0.25">
      <c r="T7764" s="98"/>
    </row>
    <row r="7765" spans="20:20" x14ac:dyDescent="0.25">
      <c r="T7765" s="98"/>
    </row>
    <row r="7766" spans="20:20" x14ac:dyDescent="0.25">
      <c r="T7766" s="98"/>
    </row>
    <row r="7767" spans="20:20" x14ac:dyDescent="0.25">
      <c r="T7767" s="98"/>
    </row>
    <row r="7768" spans="20:20" x14ac:dyDescent="0.25">
      <c r="T7768" s="98"/>
    </row>
    <row r="7769" spans="20:20" x14ac:dyDescent="0.25">
      <c r="T7769" s="98"/>
    </row>
    <row r="7770" spans="20:20" x14ac:dyDescent="0.25">
      <c r="T7770" s="98"/>
    </row>
    <row r="7771" spans="20:20" x14ac:dyDescent="0.25">
      <c r="T7771" s="98"/>
    </row>
    <row r="7772" spans="20:20" x14ac:dyDescent="0.25">
      <c r="T7772" s="98"/>
    </row>
    <row r="7773" spans="20:20" x14ac:dyDescent="0.25">
      <c r="T7773" s="98"/>
    </row>
    <row r="7774" spans="20:20" x14ac:dyDescent="0.25">
      <c r="T7774" s="98"/>
    </row>
    <row r="7775" spans="20:20" x14ac:dyDescent="0.25">
      <c r="T7775" s="98"/>
    </row>
    <row r="7776" spans="20:20" x14ac:dyDescent="0.25">
      <c r="T7776" s="98"/>
    </row>
    <row r="7777" spans="20:20" x14ac:dyDescent="0.25">
      <c r="T7777" s="98"/>
    </row>
    <row r="7778" spans="20:20" x14ac:dyDescent="0.25">
      <c r="T7778" s="98"/>
    </row>
    <row r="7779" spans="20:20" x14ac:dyDescent="0.25">
      <c r="T7779" s="98"/>
    </row>
    <row r="7780" spans="20:20" x14ac:dyDescent="0.25">
      <c r="T7780" s="98"/>
    </row>
    <row r="7781" spans="20:20" x14ac:dyDescent="0.25">
      <c r="T7781" s="98"/>
    </row>
    <row r="7782" spans="20:20" x14ac:dyDescent="0.25">
      <c r="T7782" s="98"/>
    </row>
    <row r="7783" spans="20:20" x14ac:dyDescent="0.25">
      <c r="T7783" s="98"/>
    </row>
    <row r="7784" spans="20:20" x14ac:dyDescent="0.25">
      <c r="T7784" s="98"/>
    </row>
    <row r="7785" spans="20:20" x14ac:dyDescent="0.25">
      <c r="T7785" s="98"/>
    </row>
    <row r="7786" spans="20:20" x14ac:dyDescent="0.25">
      <c r="T7786" s="98"/>
    </row>
    <row r="7787" spans="20:20" x14ac:dyDescent="0.25">
      <c r="T7787" s="98"/>
    </row>
    <row r="7788" spans="20:20" x14ac:dyDescent="0.25">
      <c r="T7788" s="98"/>
    </row>
    <row r="7789" spans="20:20" x14ac:dyDescent="0.25">
      <c r="T7789" s="98"/>
    </row>
    <row r="7790" spans="20:20" x14ac:dyDescent="0.25">
      <c r="T7790" s="98"/>
    </row>
    <row r="7791" spans="20:20" x14ac:dyDescent="0.25">
      <c r="T7791" s="98"/>
    </row>
    <row r="7792" spans="20:20" x14ac:dyDescent="0.25">
      <c r="T7792" s="98"/>
    </row>
    <row r="7793" spans="20:20" x14ac:dyDescent="0.25">
      <c r="T7793" s="98"/>
    </row>
    <row r="7794" spans="20:20" x14ac:dyDescent="0.25">
      <c r="T7794" s="98"/>
    </row>
    <row r="7795" spans="20:20" x14ac:dyDescent="0.25">
      <c r="T7795" s="98"/>
    </row>
    <row r="7796" spans="20:20" x14ac:dyDescent="0.25">
      <c r="T7796" s="98"/>
    </row>
    <row r="7797" spans="20:20" x14ac:dyDescent="0.25">
      <c r="T7797" s="98"/>
    </row>
    <row r="7798" spans="20:20" x14ac:dyDescent="0.25">
      <c r="T7798" s="98"/>
    </row>
    <row r="7799" spans="20:20" x14ac:dyDescent="0.25">
      <c r="T7799" s="98"/>
    </row>
    <row r="7800" spans="20:20" x14ac:dyDescent="0.25">
      <c r="T7800" s="98"/>
    </row>
    <row r="7801" spans="20:20" x14ac:dyDescent="0.25">
      <c r="T7801" s="98"/>
    </row>
    <row r="7802" spans="20:20" x14ac:dyDescent="0.25">
      <c r="T7802" s="98"/>
    </row>
    <row r="7803" spans="20:20" x14ac:dyDescent="0.25">
      <c r="T7803" s="98"/>
    </row>
    <row r="7804" spans="20:20" x14ac:dyDescent="0.25">
      <c r="T7804" s="98"/>
    </row>
    <row r="7805" spans="20:20" x14ac:dyDescent="0.25">
      <c r="T7805" s="98"/>
    </row>
    <row r="7806" spans="20:20" x14ac:dyDescent="0.25">
      <c r="T7806" s="98"/>
    </row>
    <row r="7807" spans="20:20" x14ac:dyDescent="0.25">
      <c r="T7807" s="98"/>
    </row>
    <row r="7808" spans="20:20" x14ac:dyDescent="0.25">
      <c r="T7808" s="98"/>
    </row>
    <row r="7809" spans="20:20" x14ac:dyDescent="0.25">
      <c r="T7809" s="98"/>
    </row>
    <row r="7810" spans="20:20" x14ac:dyDescent="0.25">
      <c r="T7810" s="98"/>
    </row>
    <row r="7811" spans="20:20" x14ac:dyDescent="0.25">
      <c r="T7811" s="98"/>
    </row>
    <row r="7812" spans="20:20" x14ac:dyDescent="0.25">
      <c r="T7812" s="98"/>
    </row>
    <row r="7813" spans="20:20" x14ac:dyDescent="0.25">
      <c r="T7813" s="98"/>
    </row>
    <row r="7814" spans="20:20" x14ac:dyDescent="0.25">
      <c r="T7814" s="98"/>
    </row>
    <row r="7815" spans="20:20" x14ac:dyDescent="0.25">
      <c r="T7815" s="98"/>
    </row>
    <row r="7816" spans="20:20" x14ac:dyDescent="0.25">
      <c r="T7816" s="98"/>
    </row>
    <row r="7817" spans="20:20" x14ac:dyDescent="0.25">
      <c r="T7817" s="98"/>
    </row>
    <row r="7818" spans="20:20" x14ac:dyDescent="0.25">
      <c r="T7818" s="98"/>
    </row>
    <row r="7819" spans="20:20" x14ac:dyDescent="0.25">
      <c r="T7819" s="98"/>
    </row>
    <row r="7820" spans="20:20" x14ac:dyDescent="0.25">
      <c r="T7820" s="98"/>
    </row>
    <row r="7821" spans="20:20" x14ac:dyDescent="0.25">
      <c r="T7821" s="98"/>
    </row>
    <row r="7822" spans="20:20" x14ac:dyDescent="0.25">
      <c r="T7822" s="98"/>
    </row>
    <row r="7823" spans="20:20" x14ac:dyDescent="0.25">
      <c r="T7823" s="98"/>
    </row>
    <row r="7824" spans="20:20" x14ac:dyDescent="0.25">
      <c r="T7824" s="98"/>
    </row>
    <row r="7825" spans="20:20" x14ac:dyDescent="0.25">
      <c r="T7825" s="98"/>
    </row>
    <row r="7826" spans="20:20" x14ac:dyDescent="0.25">
      <c r="T7826" s="98"/>
    </row>
    <row r="7827" spans="20:20" x14ac:dyDescent="0.25">
      <c r="T7827" s="98"/>
    </row>
    <row r="7828" spans="20:20" x14ac:dyDescent="0.25">
      <c r="T7828" s="98"/>
    </row>
    <row r="7829" spans="20:20" x14ac:dyDescent="0.25">
      <c r="T7829" s="98"/>
    </row>
    <row r="7830" spans="20:20" x14ac:dyDescent="0.25">
      <c r="T7830" s="98"/>
    </row>
    <row r="7831" spans="20:20" x14ac:dyDescent="0.25">
      <c r="T7831" s="98"/>
    </row>
    <row r="7832" spans="20:20" x14ac:dyDescent="0.25">
      <c r="T7832" s="98"/>
    </row>
    <row r="7833" spans="20:20" x14ac:dyDescent="0.25">
      <c r="T7833" s="98"/>
    </row>
    <row r="7834" spans="20:20" x14ac:dyDescent="0.25">
      <c r="T7834" s="98"/>
    </row>
    <row r="7835" spans="20:20" x14ac:dyDescent="0.25">
      <c r="T7835" s="98"/>
    </row>
    <row r="7836" spans="20:20" x14ac:dyDescent="0.25">
      <c r="T7836" s="98"/>
    </row>
    <row r="7837" spans="20:20" x14ac:dyDescent="0.25">
      <c r="T7837" s="98"/>
    </row>
    <row r="7838" spans="20:20" x14ac:dyDescent="0.25">
      <c r="T7838" s="98"/>
    </row>
    <row r="7839" spans="20:20" x14ac:dyDescent="0.25">
      <c r="T7839" s="98"/>
    </row>
    <row r="7840" spans="20:20" x14ac:dyDescent="0.25">
      <c r="T7840" s="98"/>
    </row>
    <row r="7841" spans="20:20" x14ac:dyDescent="0.25">
      <c r="T7841" s="98"/>
    </row>
    <row r="7842" spans="20:20" x14ac:dyDescent="0.25">
      <c r="T7842" s="98"/>
    </row>
    <row r="7843" spans="20:20" x14ac:dyDescent="0.25">
      <c r="T7843" s="98"/>
    </row>
    <row r="7844" spans="20:20" x14ac:dyDescent="0.25">
      <c r="T7844" s="98"/>
    </row>
    <row r="7845" spans="20:20" x14ac:dyDescent="0.25">
      <c r="T7845" s="98"/>
    </row>
    <row r="7846" spans="20:20" x14ac:dyDescent="0.25">
      <c r="T7846" s="98"/>
    </row>
    <row r="7847" spans="20:20" x14ac:dyDescent="0.25">
      <c r="T7847" s="98"/>
    </row>
    <row r="7848" spans="20:20" x14ac:dyDescent="0.25">
      <c r="T7848" s="98"/>
    </row>
    <row r="7849" spans="20:20" x14ac:dyDescent="0.25">
      <c r="T7849" s="98"/>
    </row>
    <row r="7850" spans="20:20" x14ac:dyDescent="0.25">
      <c r="T7850" s="98"/>
    </row>
    <row r="7851" spans="20:20" x14ac:dyDescent="0.25">
      <c r="T7851" s="98"/>
    </row>
    <row r="7852" spans="20:20" x14ac:dyDescent="0.25">
      <c r="T7852" s="98"/>
    </row>
    <row r="7853" spans="20:20" x14ac:dyDescent="0.25">
      <c r="T7853" s="98"/>
    </row>
    <row r="7854" spans="20:20" x14ac:dyDescent="0.25">
      <c r="T7854" s="98"/>
    </row>
    <row r="7855" spans="20:20" x14ac:dyDescent="0.25">
      <c r="T7855" s="98"/>
    </row>
    <row r="7856" spans="20:20" x14ac:dyDescent="0.25">
      <c r="T7856" s="98"/>
    </row>
    <row r="7857" spans="20:20" x14ac:dyDescent="0.25">
      <c r="T7857" s="98"/>
    </row>
    <row r="7858" spans="20:20" x14ac:dyDescent="0.25">
      <c r="T7858" s="98"/>
    </row>
    <row r="7859" spans="20:20" x14ac:dyDescent="0.25">
      <c r="T7859" s="98"/>
    </row>
    <row r="7860" spans="20:20" x14ac:dyDescent="0.25">
      <c r="T7860" s="98"/>
    </row>
    <row r="7861" spans="20:20" x14ac:dyDescent="0.25">
      <c r="T7861" s="98"/>
    </row>
    <row r="7862" spans="20:20" x14ac:dyDescent="0.25">
      <c r="T7862" s="98"/>
    </row>
    <row r="7863" spans="20:20" x14ac:dyDescent="0.25">
      <c r="T7863" s="98"/>
    </row>
    <row r="7864" spans="20:20" x14ac:dyDescent="0.25">
      <c r="T7864" s="98"/>
    </row>
    <row r="7865" spans="20:20" x14ac:dyDescent="0.25">
      <c r="T7865" s="98"/>
    </row>
    <row r="7866" spans="20:20" x14ac:dyDescent="0.25">
      <c r="T7866" s="98"/>
    </row>
    <row r="7867" spans="20:20" x14ac:dyDescent="0.25">
      <c r="T7867" s="98"/>
    </row>
    <row r="7868" spans="20:20" x14ac:dyDescent="0.25">
      <c r="T7868" s="98"/>
    </row>
    <row r="7869" spans="20:20" x14ac:dyDescent="0.25">
      <c r="T7869" s="98"/>
    </row>
    <row r="7870" spans="20:20" x14ac:dyDescent="0.25">
      <c r="T7870" s="98"/>
    </row>
    <row r="7871" spans="20:20" x14ac:dyDescent="0.25">
      <c r="T7871" s="98"/>
    </row>
    <row r="7872" spans="20:20" x14ac:dyDescent="0.25">
      <c r="T7872" s="98"/>
    </row>
    <row r="7873" spans="20:20" x14ac:dyDescent="0.25">
      <c r="T7873" s="98"/>
    </row>
    <row r="7874" spans="20:20" x14ac:dyDescent="0.25">
      <c r="T7874" s="98"/>
    </row>
    <row r="7875" spans="20:20" x14ac:dyDescent="0.25">
      <c r="T7875" s="98"/>
    </row>
    <row r="7876" spans="20:20" x14ac:dyDescent="0.25">
      <c r="T7876" s="98"/>
    </row>
    <row r="7877" spans="20:20" x14ac:dyDescent="0.25">
      <c r="T7877" s="98"/>
    </row>
    <row r="7878" spans="20:20" x14ac:dyDescent="0.25">
      <c r="T7878" s="98"/>
    </row>
    <row r="7879" spans="20:20" x14ac:dyDescent="0.25">
      <c r="T7879" s="98"/>
    </row>
    <row r="7880" spans="20:20" x14ac:dyDescent="0.25">
      <c r="T7880" s="98"/>
    </row>
    <row r="7881" spans="20:20" x14ac:dyDescent="0.25">
      <c r="T7881" s="98"/>
    </row>
    <row r="7882" spans="20:20" x14ac:dyDescent="0.25">
      <c r="T7882" s="98"/>
    </row>
    <row r="7883" spans="20:20" x14ac:dyDescent="0.25">
      <c r="T7883" s="98"/>
    </row>
    <row r="7884" spans="20:20" x14ac:dyDescent="0.25">
      <c r="T7884" s="98"/>
    </row>
    <row r="7885" spans="20:20" x14ac:dyDescent="0.25">
      <c r="T7885" s="98"/>
    </row>
    <row r="7886" spans="20:20" x14ac:dyDescent="0.25">
      <c r="T7886" s="98"/>
    </row>
    <row r="7887" spans="20:20" x14ac:dyDescent="0.25">
      <c r="T7887" s="98"/>
    </row>
    <row r="7888" spans="20:20" x14ac:dyDescent="0.25">
      <c r="T7888" s="98"/>
    </row>
    <row r="7889" spans="20:20" x14ac:dyDescent="0.25">
      <c r="T7889" s="98"/>
    </row>
    <row r="7890" spans="20:20" x14ac:dyDescent="0.25">
      <c r="T7890" s="98"/>
    </row>
    <row r="7891" spans="20:20" x14ac:dyDescent="0.25">
      <c r="T7891" s="98"/>
    </row>
    <row r="7892" spans="20:20" x14ac:dyDescent="0.25">
      <c r="T7892" s="98"/>
    </row>
    <row r="7893" spans="20:20" x14ac:dyDescent="0.25">
      <c r="T7893" s="98"/>
    </row>
    <row r="7894" spans="20:20" x14ac:dyDescent="0.25">
      <c r="T7894" s="98"/>
    </row>
    <row r="7895" spans="20:20" x14ac:dyDescent="0.25">
      <c r="T7895" s="98"/>
    </row>
    <row r="7896" spans="20:20" x14ac:dyDescent="0.25">
      <c r="T7896" s="98"/>
    </row>
    <row r="7897" spans="20:20" x14ac:dyDescent="0.25">
      <c r="T7897" s="98"/>
    </row>
    <row r="7898" spans="20:20" x14ac:dyDescent="0.25">
      <c r="T7898" s="98"/>
    </row>
    <row r="7899" spans="20:20" x14ac:dyDescent="0.25">
      <c r="T7899" s="98"/>
    </row>
    <row r="7900" spans="20:20" x14ac:dyDescent="0.25">
      <c r="T7900" s="98"/>
    </row>
    <row r="7901" spans="20:20" x14ac:dyDescent="0.25">
      <c r="T7901" s="98"/>
    </row>
    <row r="7902" spans="20:20" x14ac:dyDescent="0.25">
      <c r="T7902" s="98"/>
    </row>
    <row r="7903" spans="20:20" x14ac:dyDescent="0.25">
      <c r="T7903" s="98"/>
    </row>
    <row r="7904" spans="20:20" x14ac:dyDescent="0.25">
      <c r="T7904" s="98"/>
    </row>
    <row r="7905" spans="20:20" x14ac:dyDescent="0.25">
      <c r="T7905" s="98"/>
    </row>
    <row r="7906" spans="20:20" x14ac:dyDescent="0.25">
      <c r="T7906" s="98"/>
    </row>
    <row r="7907" spans="20:20" x14ac:dyDescent="0.25">
      <c r="T7907" s="98"/>
    </row>
    <row r="7908" spans="20:20" x14ac:dyDescent="0.25">
      <c r="T7908" s="98"/>
    </row>
    <row r="7909" spans="20:20" x14ac:dyDescent="0.25">
      <c r="T7909" s="98"/>
    </row>
    <row r="7910" spans="20:20" x14ac:dyDescent="0.25">
      <c r="T7910" s="98"/>
    </row>
    <row r="7911" spans="20:20" x14ac:dyDescent="0.25">
      <c r="T7911" s="98"/>
    </row>
    <row r="7912" spans="20:20" x14ac:dyDescent="0.25">
      <c r="T7912" s="98"/>
    </row>
    <row r="7913" spans="20:20" x14ac:dyDescent="0.25">
      <c r="T7913" s="98"/>
    </row>
    <row r="7914" spans="20:20" x14ac:dyDescent="0.25">
      <c r="T7914" s="98"/>
    </row>
    <row r="7915" spans="20:20" x14ac:dyDescent="0.25">
      <c r="T7915" s="98"/>
    </row>
    <row r="7916" spans="20:20" x14ac:dyDescent="0.25">
      <c r="T7916" s="98"/>
    </row>
    <row r="7917" spans="20:20" x14ac:dyDescent="0.25">
      <c r="T7917" s="98"/>
    </row>
    <row r="7918" spans="20:20" x14ac:dyDescent="0.25">
      <c r="T7918" s="98"/>
    </row>
    <row r="7919" spans="20:20" x14ac:dyDescent="0.25">
      <c r="T7919" s="98"/>
    </row>
    <row r="7920" spans="20:20" x14ac:dyDescent="0.25">
      <c r="T7920" s="98"/>
    </row>
    <row r="7921" spans="20:20" x14ac:dyDescent="0.25">
      <c r="T7921" s="98"/>
    </row>
    <row r="7922" spans="20:20" x14ac:dyDescent="0.25">
      <c r="T7922" s="98"/>
    </row>
    <row r="7923" spans="20:20" x14ac:dyDescent="0.25">
      <c r="T7923" s="98"/>
    </row>
    <row r="7924" spans="20:20" x14ac:dyDescent="0.25">
      <c r="T7924" s="98"/>
    </row>
    <row r="7925" spans="20:20" x14ac:dyDescent="0.25">
      <c r="T7925" s="98"/>
    </row>
    <row r="7926" spans="20:20" x14ac:dyDescent="0.25">
      <c r="T7926" s="98"/>
    </row>
    <row r="7927" spans="20:20" x14ac:dyDescent="0.25">
      <c r="T7927" s="98"/>
    </row>
    <row r="7928" spans="20:20" x14ac:dyDescent="0.25">
      <c r="T7928" s="98"/>
    </row>
    <row r="7929" spans="20:20" x14ac:dyDescent="0.25">
      <c r="T7929" s="98"/>
    </row>
    <row r="7930" spans="20:20" x14ac:dyDescent="0.25">
      <c r="T7930" s="98"/>
    </row>
    <row r="7931" spans="20:20" x14ac:dyDescent="0.25">
      <c r="T7931" s="98"/>
    </row>
    <row r="7932" spans="20:20" x14ac:dyDescent="0.25">
      <c r="T7932" s="98"/>
    </row>
    <row r="7933" spans="20:20" x14ac:dyDescent="0.25">
      <c r="T7933" s="98"/>
    </row>
    <row r="7934" spans="20:20" x14ac:dyDescent="0.25">
      <c r="T7934" s="98"/>
    </row>
    <row r="7935" spans="20:20" x14ac:dyDescent="0.25">
      <c r="T7935" s="98"/>
    </row>
    <row r="7936" spans="20:20" x14ac:dyDescent="0.25">
      <c r="T7936" s="98"/>
    </row>
    <row r="7937" spans="20:20" x14ac:dyDescent="0.25">
      <c r="T7937" s="98"/>
    </row>
    <row r="7938" spans="20:20" x14ac:dyDescent="0.25">
      <c r="T7938" s="98"/>
    </row>
    <row r="7939" spans="20:20" x14ac:dyDescent="0.25">
      <c r="T7939" s="98"/>
    </row>
    <row r="7940" spans="20:20" x14ac:dyDescent="0.25">
      <c r="T7940" s="98"/>
    </row>
    <row r="7941" spans="20:20" x14ac:dyDescent="0.25">
      <c r="T7941" s="98"/>
    </row>
    <row r="7942" spans="20:20" x14ac:dyDescent="0.25">
      <c r="T7942" s="98"/>
    </row>
    <row r="7943" spans="20:20" x14ac:dyDescent="0.25">
      <c r="T7943" s="98"/>
    </row>
    <row r="7944" spans="20:20" x14ac:dyDescent="0.25">
      <c r="T7944" s="98"/>
    </row>
    <row r="7945" spans="20:20" x14ac:dyDescent="0.25">
      <c r="T7945" s="98"/>
    </row>
    <row r="7946" spans="20:20" x14ac:dyDescent="0.25">
      <c r="T7946" s="98"/>
    </row>
    <row r="7947" spans="20:20" x14ac:dyDescent="0.25">
      <c r="T7947" s="98"/>
    </row>
    <row r="7948" spans="20:20" x14ac:dyDescent="0.25">
      <c r="T7948" s="98"/>
    </row>
    <row r="7949" spans="20:20" x14ac:dyDescent="0.25">
      <c r="T7949" s="98"/>
    </row>
    <row r="7950" spans="20:20" x14ac:dyDescent="0.25">
      <c r="T7950" s="98"/>
    </row>
    <row r="7951" spans="20:20" x14ac:dyDescent="0.25">
      <c r="T7951" s="98"/>
    </row>
    <row r="7952" spans="20:20" x14ac:dyDescent="0.25">
      <c r="T7952" s="98"/>
    </row>
    <row r="7953" spans="20:20" x14ac:dyDescent="0.25">
      <c r="T7953" s="98"/>
    </row>
    <row r="7954" spans="20:20" x14ac:dyDescent="0.25">
      <c r="T7954" s="98"/>
    </row>
    <row r="7955" spans="20:20" x14ac:dyDescent="0.25">
      <c r="T7955" s="98"/>
    </row>
    <row r="7956" spans="20:20" x14ac:dyDescent="0.25">
      <c r="T7956" s="98"/>
    </row>
    <row r="7957" spans="20:20" x14ac:dyDescent="0.25">
      <c r="T7957" s="98"/>
    </row>
    <row r="7958" spans="20:20" x14ac:dyDescent="0.25">
      <c r="T7958" s="98"/>
    </row>
    <row r="7959" spans="20:20" x14ac:dyDescent="0.25">
      <c r="T7959" s="98"/>
    </row>
    <row r="7960" spans="20:20" x14ac:dyDescent="0.25">
      <c r="T7960" s="98"/>
    </row>
    <row r="7961" spans="20:20" x14ac:dyDescent="0.25">
      <c r="T7961" s="98"/>
    </row>
    <row r="7962" spans="20:20" x14ac:dyDescent="0.25">
      <c r="T7962" s="98"/>
    </row>
    <row r="7963" spans="20:20" x14ac:dyDescent="0.25">
      <c r="T7963" s="98"/>
    </row>
    <row r="7964" spans="20:20" x14ac:dyDescent="0.25">
      <c r="T7964" s="98"/>
    </row>
    <row r="7965" spans="20:20" x14ac:dyDescent="0.25">
      <c r="T7965" s="98"/>
    </row>
    <row r="7966" spans="20:20" x14ac:dyDescent="0.25">
      <c r="T7966" s="98"/>
    </row>
    <row r="7967" spans="20:20" x14ac:dyDescent="0.25">
      <c r="T7967" s="98"/>
    </row>
    <row r="7968" spans="20:20" x14ac:dyDescent="0.25">
      <c r="T7968" s="98"/>
    </row>
    <row r="7969" spans="20:20" x14ac:dyDescent="0.25">
      <c r="T7969" s="98"/>
    </row>
    <row r="7970" spans="20:20" x14ac:dyDescent="0.25">
      <c r="T7970" s="98"/>
    </row>
    <row r="7971" spans="20:20" x14ac:dyDescent="0.25">
      <c r="T7971" s="98"/>
    </row>
    <row r="7972" spans="20:20" x14ac:dyDescent="0.25">
      <c r="T7972" s="98"/>
    </row>
    <row r="7973" spans="20:20" x14ac:dyDescent="0.25">
      <c r="T7973" s="98"/>
    </row>
    <row r="7974" spans="20:20" x14ac:dyDescent="0.25">
      <c r="T7974" s="98"/>
    </row>
    <row r="7975" spans="20:20" x14ac:dyDescent="0.25">
      <c r="T7975" s="98"/>
    </row>
    <row r="7976" spans="20:20" x14ac:dyDescent="0.25">
      <c r="T7976" s="98"/>
    </row>
    <row r="7977" spans="20:20" x14ac:dyDescent="0.25">
      <c r="T7977" s="98"/>
    </row>
    <row r="7978" spans="20:20" x14ac:dyDescent="0.25">
      <c r="T7978" s="98"/>
    </row>
    <row r="7979" spans="20:20" x14ac:dyDescent="0.25">
      <c r="T7979" s="98"/>
    </row>
    <row r="7980" spans="20:20" x14ac:dyDescent="0.25">
      <c r="T7980" s="98"/>
    </row>
    <row r="7981" spans="20:20" x14ac:dyDescent="0.25">
      <c r="T7981" s="98"/>
    </row>
    <row r="7982" spans="20:20" x14ac:dyDescent="0.25">
      <c r="T7982" s="98"/>
    </row>
    <row r="7983" spans="20:20" x14ac:dyDescent="0.25">
      <c r="T7983" s="98"/>
    </row>
    <row r="7984" spans="20:20" x14ac:dyDescent="0.25">
      <c r="T7984" s="98"/>
    </row>
    <row r="7985" spans="20:20" x14ac:dyDescent="0.25">
      <c r="T7985" s="98"/>
    </row>
    <row r="7986" spans="20:20" x14ac:dyDescent="0.25">
      <c r="T7986" s="98"/>
    </row>
    <row r="7987" spans="20:20" x14ac:dyDescent="0.25">
      <c r="T7987" s="98"/>
    </row>
    <row r="7988" spans="20:20" x14ac:dyDescent="0.25">
      <c r="T7988" s="98"/>
    </row>
    <row r="7989" spans="20:20" x14ac:dyDescent="0.25">
      <c r="T7989" s="98"/>
    </row>
    <row r="7990" spans="20:20" x14ac:dyDescent="0.25">
      <c r="T7990" s="98"/>
    </row>
    <row r="7991" spans="20:20" x14ac:dyDescent="0.25">
      <c r="T7991" s="98"/>
    </row>
    <row r="7992" spans="20:20" x14ac:dyDescent="0.25">
      <c r="T7992" s="98"/>
    </row>
    <row r="7993" spans="20:20" x14ac:dyDescent="0.25">
      <c r="T7993" s="98"/>
    </row>
    <row r="7994" spans="20:20" x14ac:dyDescent="0.25">
      <c r="T7994" s="98"/>
    </row>
    <row r="7995" spans="20:20" x14ac:dyDescent="0.25">
      <c r="T7995" s="98"/>
    </row>
    <row r="7996" spans="20:20" x14ac:dyDescent="0.25">
      <c r="T7996" s="98"/>
    </row>
    <row r="7997" spans="20:20" x14ac:dyDescent="0.25">
      <c r="T7997" s="98"/>
    </row>
    <row r="7998" spans="20:20" x14ac:dyDescent="0.25">
      <c r="T7998" s="98"/>
    </row>
    <row r="7999" spans="20:20" x14ac:dyDescent="0.25">
      <c r="T7999" s="98"/>
    </row>
    <row r="8000" spans="20:20" x14ac:dyDescent="0.25">
      <c r="T8000" s="98"/>
    </row>
    <row r="8001" spans="20:20" x14ac:dyDescent="0.25">
      <c r="T8001" s="98"/>
    </row>
    <row r="8002" spans="20:20" x14ac:dyDescent="0.25">
      <c r="T8002" s="98"/>
    </row>
    <row r="8003" spans="20:20" x14ac:dyDescent="0.25">
      <c r="T8003" s="98"/>
    </row>
    <row r="8004" spans="20:20" x14ac:dyDescent="0.25">
      <c r="T8004" s="98"/>
    </row>
    <row r="8005" spans="20:20" x14ac:dyDescent="0.25">
      <c r="T8005" s="98"/>
    </row>
    <row r="8006" spans="20:20" x14ac:dyDescent="0.25">
      <c r="T8006" s="98"/>
    </row>
    <row r="8007" spans="20:20" x14ac:dyDescent="0.25">
      <c r="T8007" s="98"/>
    </row>
    <row r="8008" spans="20:20" x14ac:dyDescent="0.25">
      <c r="T8008" s="98"/>
    </row>
    <row r="8009" spans="20:20" x14ac:dyDescent="0.25">
      <c r="T8009" s="98"/>
    </row>
    <row r="8010" spans="20:20" x14ac:dyDescent="0.25">
      <c r="T8010" s="98"/>
    </row>
    <row r="8011" spans="20:20" x14ac:dyDescent="0.25">
      <c r="T8011" s="98"/>
    </row>
    <row r="8012" spans="20:20" x14ac:dyDescent="0.25">
      <c r="T8012" s="98"/>
    </row>
    <row r="8013" spans="20:20" x14ac:dyDescent="0.25">
      <c r="T8013" s="98"/>
    </row>
    <row r="8014" spans="20:20" x14ac:dyDescent="0.25">
      <c r="T8014" s="98"/>
    </row>
    <row r="8015" spans="20:20" x14ac:dyDescent="0.25">
      <c r="T8015" s="98"/>
    </row>
    <row r="8016" spans="20:20" x14ac:dyDescent="0.25">
      <c r="T8016" s="98"/>
    </row>
    <row r="8017" spans="20:20" x14ac:dyDescent="0.25">
      <c r="T8017" s="98"/>
    </row>
    <row r="8018" spans="20:20" x14ac:dyDescent="0.25">
      <c r="T8018" s="98"/>
    </row>
    <row r="8019" spans="20:20" x14ac:dyDescent="0.25">
      <c r="T8019" s="98"/>
    </row>
    <row r="8020" spans="20:20" x14ac:dyDescent="0.25">
      <c r="T8020" s="98"/>
    </row>
    <row r="8021" spans="20:20" x14ac:dyDescent="0.25">
      <c r="T8021" s="98"/>
    </row>
    <row r="8022" spans="20:20" x14ac:dyDescent="0.25">
      <c r="T8022" s="98"/>
    </row>
    <row r="8023" spans="20:20" x14ac:dyDescent="0.25">
      <c r="T8023" s="98"/>
    </row>
    <row r="8024" spans="20:20" x14ac:dyDescent="0.25">
      <c r="T8024" s="98"/>
    </row>
    <row r="8025" spans="20:20" x14ac:dyDescent="0.25">
      <c r="T8025" s="98"/>
    </row>
    <row r="8026" spans="20:20" x14ac:dyDescent="0.25">
      <c r="T8026" s="98"/>
    </row>
    <row r="8027" spans="20:20" x14ac:dyDescent="0.25">
      <c r="T8027" s="98"/>
    </row>
    <row r="8028" spans="20:20" x14ac:dyDescent="0.25">
      <c r="T8028" s="98"/>
    </row>
    <row r="8029" spans="20:20" x14ac:dyDescent="0.25">
      <c r="T8029" s="98"/>
    </row>
    <row r="8030" spans="20:20" x14ac:dyDescent="0.25">
      <c r="T8030" s="98"/>
    </row>
    <row r="8031" spans="20:20" x14ac:dyDescent="0.25">
      <c r="T8031" s="98"/>
    </row>
    <row r="8032" spans="20:20" x14ac:dyDescent="0.25">
      <c r="T8032" s="98"/>
    </row>
    <row r="8033" spans="20:20" x14ac:dyDescent="0.25">
      <c r="T8033" s="98"/>
    </row>
    <row r="8034" spans="20:20" x14ac:dyDescent="0.25">
      <c r="T8034" s="98"/>
    </row>
    <row r="8035" spans="20:20" x14ac:dyDescent="0.25">
      <c r="T8035" s="98"/>
    </row>
    <row r="8036" spans="20:20" x14ac:dyDescent="0.25">
      <c r="T8036" s="98"/>
    </row>
    <row r="8037" spans="20:20" x14ac:dyDescent="0.25">
      <c r="T8037" s="98"/>
    </row>
    <row r="8038" spans="20:20" x14ac:dyDescent="0.25">
      <c r="T8038" s="98"/>
    </row>
    <row r="8039" spans="20:20" x14ac:dyDescent="0.25">
      <c r="T8039" s="98"/>
    </row>
    <row r="8040" spans="20:20" x14ac:dyDescent="0.25">
      <c r="T8040" s="98"/>
    </row>
    <row r="8041" spans="20:20" x14ac:dyDescent="0.25">
      <c r="T8041" s="98"/>
    </row>
    <row r="8042" spans="20:20" x14ac:dyDescent="0.25">
      <c r="T8042" s="98"/>
    </row>
    <row r="8043" spans="20:20" x14ac:dyDescent="0.25">
      <c r="T8043" s="98"/>
    </row>
    <row r="8044" spans="20:20" x14ac:dyDescent="0.25">
      <c r="T8044" s="98"/>
    </row>
    <row r="8045" spans="20:20" x14ac:dyDescent="0.25">
      <c r="T8045" s="98"/>
    </row>
    <row r="8046" spans="20:20" x14ac:dyDescent="0.25">
      <c r="T8046" s="98"/>
    </row>
    <row r="8047" spans="20:20" x14ac:dyDescent="0.25">
      <c r="T8047" s="98"/>
    </row>
    <row r="8048" spans="20:20" x14ac:dyDescent="0.25">
      <c r="T8048" s="98"/>
    </row>
    <row r="8049" spans="20:20" x14ac:dyDescent="0.25">
      <c r="T8049" s="98"/>
    </row>
    <row r="8050" spans="20:20" x14ac:dyDescent="0.25">
      <c r="T8050" s="98"/>
    </row>
    <row r="8051" spans="20:20" x14ac:dyDescent="0.25">
      <c r="T8051" s="98"/>
    </row>
    <row r="8052" spans="20:20" x14ac:dyDescent="0.25">
      <c r="T8052" s="98"/>
    </row>
    <row r="8053" spans="20:20" x14ac:dyDescent="0.25">
      <c r="T8053" s="98"/>
    </row>
    <row r="8054" spans="20:20" x14ac:dyDescent="0.25">
      <c r="T8054" s="98"/>
    </row>
    <row r="8055" spans="20:20" x14ac:dyDescent="0.25">
      <c r="T8055" s="98"/>
    </row>
    <row r="8056" spans="20:20" x14ac:dyDescent="0.25">
      <c r="T8056" s="98"/>
    </row>
    <row r="8057" spans="20:20" x14ac:dyDescent="0.25">
      <c r="T8057" s="98"/>
    </row>
    <row r="8058" spans="20:20" x14ac:dyDescent="0.25">
      <c r="T8058" s="98"/>
    </row>
    <row r="8059" spans="20:20" x14ac:dyDescent="0.25">
      <c r="T8059" s="98"/>
    </row>
    <row r="8060" spans="20:20" x14ac:dyDescent="0.25">
      <c r="T8060" s="98"/>
    </row>
    <row r="8061" spans="20:20" x14ac:dyDescent="0.25">
      <c r="T8061" s="98"/>
    </row>
    <row r="8062" spans="20:20" x14ac:dyDescent="0.25">
      <c r="T8062" s="98"/>
    </row>
    <row r="8063" spans="20:20" x14ac:dyDescent="0.25">
      <c r="T8063" s="98"/>
    </row>
    <row r="8064" spans="20:20" x14ac:dyDescent="0.25">
      <c r="T8064" s="98"/>
    </row>
    <row r="8065" spans="20:20" x14ac:dyDescent="0.25">
      <c r="T8065" s="98"/>
    </row>
    <row r="8066" spans="20:20" x14ac:dyDescent="0.25">
      <c r="T8066" s="98"/>
    </row>
    <row r="8067" spans="20:20" x14ac:dyDescent="0.25">
      <c r="T8067" s="98"/>
    </row>
    <row r="8068" spans="20:20" x14ac:dyDescent="0.25">
      <c r="T8068" s="98"/>
    </row>
    <row r="8069" spans="20:20" x14ac:dyDescent="0.25">
      <c r="T8069" s="98"/>
    </row>
    <row r="8070" spans="20:20" x14ac:dyDescent="0.25">
      <c r="T8070" s="98"/>
    </row>
    <row r="8071" spans="20:20" x14ac:dyDescent="0.25">
      <c r="T8071" s="98"/>
    </row>
    <row r="8072" spans="20:20" x14ac:dyDescent="0.25">
      <c r="T8072" s="98"/>
    </row>
    <row r="8073" spans="20:20" x14ac:dyDescent="0.25">
      <c r="T8073" s="98"/>
    </row>
    <row r="8074" spans="20:20" x14ac:dyDescent="0.25">
      <c r="T8074" s="98"/>
    </row>
    <row r="8075" spans="20:20" x14ac:dyDescent="0.25">
      <c r="T8075" s="98"/>
    </row>
    <row r="8076" spans="20:20" x14ac:dyDescent="0.25">
      <c r="T8076" s="98"/>
    </row>
    <row r="8077" spans="20:20" x14ac:dyDescent="0.25">
      <c r="T8077" s="98"/>
    </row>
    <row r="8078" spans="20:20" x14ac:dyDescent="0.25">
      <c r="T8078" s="98"/>
    </row>
    <row r="8079" spans="20:20" x14ac:dyDescent="0.25">
      <c r="T8079" s="98"/>
    </row>
    <row r="8080" spans="20:20" x14ac:dyDescent="0.25">
      <c r="T8080" s="98"/>
    </row>
    <row r="8081" spans="20:20" x14ac:dyDescent="0.25">
      <c r="T8081" s="98"/>
    </row>
    <row r="8082" spans="20:20" x14ac:dyDescent="0.25">
      <c r="T8082" s="98"/>
    </row>
    <row r="8083" spans="20:20" x14ac:dyDescent="0.25">
      <c r="T8083" s="98"/>
    </row>
    <row r="8084" spans="20:20" x14ac:dyDescent="0.25">
      <c r="T8084" s="98"/>
    </row>
    <row r="8085" spans="20:20" x14ac:dyDescent="0.25">
      <c r="T8085" s="98"/>
    </row>
    <row r="8086" spans="20:20" x14ac:dyDescent="0.25">
      <c r="T8086" s="98"/>
    </row>
    <row r="8087" spans="20:20" x14ac:dyDescent="0.25">
      <c r="T8087" s="98"/>
    </row>
    <row r="8088" spans="20:20" x14ac:dyDescent="0.25">
      <c r="T8088" s="98"/>
    </row>
    <row r="8089" spans="20:20" x14ac:dyDescent="0.25">
      <c r="T8089" s="98"/>
    </row>
    <row r="8090" spans="20:20" x14ac:dyDescent="0.25">
      <c r="T8090" s="98"/>
    </row>
    <row r="8091" spans="20:20" x14ac:dyDescent="0.25">
      <c r="T8091" s="98"/>
    </row>
    <row r="8092" spans="20:20" x14ac:dyDescent="0.25">
      <c r="T8092" s="98"/>
    </row>
    <row r="8093" spans="20:20" x14ac:dyDescent="0.25">
      <c r="T8093" s="98"/>
    </row>
    <row r="8094" spans="20:20" x14ac:dyDescent="0.25">
      <c r="T8094" s="98"/>
    </row>
    <row r="8095" spans="20:20" x14ac:dyDescent="0.25">
      <c r="T8095" s="98"/>
    </row>
    <row r="8096" spans="20:20" x14ac:dyDescent="0.25">
      <c r="T8096" s="98"/>
    </row>
    <row r="8097" spans="20:20" x14ac:dyDescent="0.25">
      <c r="T8097" s="98"/>
    </row>
    <row r="8098" spans="20:20" x14ac:dyDescent="0.25">
      <c r="T8098" s="98"/>
    </row>
    <row r="8099" spans="20:20" x14ac:dyDescent="0.25">
      <c r="T8099" s="98"/>
    </row>
    <row r="8100" spans="20:20" x14ac:dyDescent="0.25">
      <c r="T8100" s="98"/>
    </row>
    <row r="8101" spans="20:20" x14ac:dyDescent="0.25">
      <c r="T8101" s="98"/>
    </row>
    <row r="8102" spans="20:20" x14ac:dyDescent="0.25">
      <c r="T8102" s="98"/>
    </row>
    <row r="8103" spans="20:20" x14ac:dyDescent="0.25">
      <c r="T8103" s="98"/>
    </row>
    <row r="8104" spans="20:20" x14ac:dyDescent="0.25">
      <c r="T8104" s="98"/>
    </row>
    <row r="8105" spans="20:20" x14ac:dyDescent="0.25">
      <c r="T8105" s="98"/>
    </row>
    <row r="8106" spans="20:20" x14ac:dyDescent="0.25">
      <c r="T8106" s="98"/>
    </row>
    <row r="8107" spans="20:20" x14ac:dyDescent="0.25">
      <c r="T8107" s="98"/>
    </row>
    <row r="8108" spans="20:20" x14ac:dyDescent="0.25">
      <c r="T8108" s="98"/>
    </row>
    <row r="8109" spans="20:20" x14ac:dyDescent="0.25">
      <c r="T8109" s="98"/>
    </row>
    <row r="8110" spans="20:20" x14ac:dyDescent="0.25">
      <c r="T8110" s="98"/>
    </row>
    <row r="8111" spans="20:20" x14ac:dyDescent="0.25">
      <c r="T8111" s="98"/>
    </row>
    <row r="8112" spans="20:20" x14ac:dyDescent="0.25">
      <c r="T8112" s="98"/>
    </row>
    <row r="8113" spans="20:20" x14ac:dyDescent="0.25">
      <c r="T8113" s="98"/>
    </row>
    <row r="8114" spans="20:20" x14ac:dyDescent="0.25">
      <c r="T8114" s="98"/>
    </row>
    <row r="8115" spans="20:20" x14ac:dyDescent="0.25">
      <c r="T8115" s="98"/>
    </row>
    <row r="8116" spans="20:20" x14ac:dyDescent="0.25">
      <c r="T8116" s="98"/>
    </row>
    <row r="8117" spans="20:20" x14ac:dyDescent="0.25">
      <c r="T8117" s="98"/>
    </row>
    <row r="8118" spans="20:20" x14ac:dyDescent="0.25">
      <c r="T8118" s="98"/>
    </row>
    <row r="8119" spans="20:20" x14ac:dyDescent="0.25">
      <c r="T8119" s="98"/>
    </row>
    <row r="8120" spans="20:20" x14ac:dyDescent="0.25">
      <c r="T8120" s="98"/>
    </row>
    <row r="8121" spans="20:20" x14ac:dyDescent="0.25">
      <c r="T8121" s="98"/>
    </row>
    <row r="8122" spans="20:20" x14ac:dyDescent="0.25">
      <c r="T8122" s="98"/>
    </row>
    <row r="8123" spans="20:20" x14ac:dyDescent="0.25">
      <c r="T8123" s="98"/>
    </row>
    <row r="8124" spans="20:20" x14ac:dyDescent="0.25">
      <c r="T8124" s="98"/>
    </row>
    <row r="8125" spans="20:20" x14ac:dyDescent="0.25">
      <c r="T8125" s="98"/>
    </row>
    <row r="8126" spans="20:20" x14ac:dyDescent="0.25">
      <c r="T8126" s="98"/>
    </row>
    <row r="8127" spans="20:20" x14ac:dyDescent="0.25">
      <c r="T8127" s="98"/>
    </row>
    <row r="8128" spans="20:20" x14ac:dyDescent="0.25">
      <c r="T8128" s="98"/>
    </row>
    <row r="8129" spans="20:20" x14ac:dyDescent="0.25">
      <c r="T8129" s="98"/>
    </row>
    <row r="8130" spans="20:20" x14ac:dyDescent="0.25">
      <c r="T8130" s="98"/>
    </row>
    <row r="8131" spans="20:20" x14ac:dyDescent="0.25">
      <c r="T8131" s="98"/>
    </row>
    <row r="8132" spans="20:20" x14ac:dyDescent="0.25">
      <c r="T8132" s="98"/>
    </row>
    <row r="8133" spans="20:20" x14ac:dyDescent="0.25">
      <c r="T8133" s="98"/>
    </row>
    <row r="8134" spans="20:20" x14ac:dyDescent="0.25">
      <c r="T8134" s="98"/>
    </row>
    <row r="8135" spans="20:20" x14ac:dyDescent="0.25">
      <c r="T8135" s="98"/>
    </row>
    <row r="8136" spans="20:20" x14ac:dyDescent="0.25">
      <c r="T8136" s="98"/>
    </row>
    <row r="8137" spans="20:20" x14ac:dyDescent="0.25">
      <c r="T8137" s="98"/>
    </row>
    <row r="8138" spans="20:20" x14ac:dyDescent="0.25">
      <c r="T8138" s="98"/>
    </row>
    <row r="8139" spans="20:20" x14ac:dyDescent="0.25">
      <c r="T8139" s="98"/>
    </row>
    <row r="8140" spans="20:20" x14ac:dyDescent="0.25">
      <c r="T8140" s="98"/>
    </row>
    <row r="8141" spans="20:20" x14ac:dyDescent="0.25">
      <c r="T8141" s="98"/>
    </row>
    <row r="8142" spans="20:20" x14ac:dyDescent="0.25">
      <c r="T8142" s="98"/>
    </row>
    <row r="8143" spans="20:20" x14ac:dyDescent="0.25">
      <c r="T8143" s="98"/>
    </row>
    <row r="8144" spans="20:20" x14ac:dyDescent="0.25">
      <c r="T8144" s="98"/>
    </row>
    <row r="8145" spans="20:20" x14ac:dyDescent="0.25">
      <c r="T8145" s="98"/>
    </row>
    <row r="8146" spans="20:20" x14ac:dyDescent="0.25">
      <c r="T8146" s="98"/>
    </row>
    <row r="8147" spans="20:20" x14ac:dyDescent="0.25">
      <c r="T8147" s="98"/>
    </row>
    <row r="8148" spans="20:20" x14ac:dyDescent="0.25">
      <c r="T8148" s="98"/>
    </row>
    <row r="8149" spans="20:20" x14ac:dyDescent="0.25">
      <c r="T8149" s="98"/>
    </row>
    <row r="8150" spans="20:20" x14ac:dyDescent="0.25">
      <c r="T8150" s="98"/>
    </row>
    <row r="8151" spans="20:20" x14ac:dyDescent="0.25">
      <c r="T8151" s="98"/>
    </row>
    <row r="8152" spans="20:20" x14ac:dyDescent="0.25">
      <c r="T8152" s="98"/>
    </row>
    <row r="8153" spans="20:20" x14ac:dyDescent="0.25">
      <c r="T8153" s="98"/>
    </row>
    <row r="8154" spans="20:20" x14ac:dyDescent="0.25">
      <c r="T8154" s="98"/>
    </row>
    <row r="8155" spans="20:20" x14ac:dyDescent="0.25">
      <c r="T8155" s="98"/>
    </row>
    <row r="8156" spans="20:20" x14ac:dyDescent="0.25">
      <c r="T8156" s="98"/>
    </row>
    <row r="8157" spans="20:20" x14ac:dyDescent="0.25">
      <c r="T8157" s="98"/>
    </row>
    <row r="8158" spans="20:20" x14ac:dyDescent="0.25">
      <c r="T8158" s="98"/>
    </row>
    <row r="8159" spans="20:20" x14ac:dyDescent="0.25">
      <c r="T8159" s="98"/>
    </row>
    <row r="8160" spans="20:20" x14ac:dyDescent="0.25">
      <c r="T8160" s="98"/>
    </row>
    <row r="8161" spans="20:20" x14ac:dyDescent="0.25">
      <c r="T8161" s="98"/>
    </row>
    <row r="8162" spans="20:20" x14ac:dyDescent="0.25">
      <c r="T8162" s="98"/>
    </row>
    <row r="8163" spans="20:20" x14ac:dyDescent="0.25">
      <c r="T8163" s="98"/>
    </row>
    <row r="8164" spans="20:20" x14ac:dyDescent="0.25">
      <c r="T8164" s="98"/>
    </row>
    <row r="8165" spans="20:20" x14ac:dyDescent="0.25">
      <c r="T8165" s="98"/>
    </row>
    <row r="8166" spans="20:20" x14ac:dyDescent="0.25">
      <c r="T8166" s="98"/>
    </row>
    <row r="8167" spans="20:20" x14ac:dyDescent="0.25">
      <c r="T8167" s="98"/>
    </row>
    <row r="8168" spans="20:20" x14ac:dyDescent="0.25">
      <c r="T8168" s="98"/>
    </row>
    <row r="8169" spans="20:20" x14ac:dyDescent="0.25">
      <c r="T8169" s="98"/>
    </row>
    <row r="8170" spans="20:20" x14ac:dyDescent="0.25">
      <c r="T8170" s="98"/>
    </row>
    <row r="8171" spans="20:20" x14ac:dyDescent="0.25">
      <c r="T8171" s="98"/>
    </row>
    <row r="8172" spans="20:20" x14ac:dyDescent="0.25">
      <c r="T8172" s="98"/>
    </row>
    <row r="8173" spans="20:20" x14ac:dyDescent="0.25">
      <c r="T8173" s="98"/>
    </row>
    <row r="8174" spans="20:20" x14ac:dyDescent="0.25">
      <c r="T8174" s="98"/>
    </row>
    <row r="8175" spans="20:20" x14ac:dyDescent="0.25">
      <c r="T8175" s="98"/>
    </row>
    <row r="8176" spans="20:20" x14ac:dyDescent="0.25">
      <c r="T8176" s="98"/>
    </row>
    <row r="8177" spans="20:20" x14ac:dyDescent="0.25">
      <c r="T8177" s="98"/>
    </row>
    <row r="8178" spans="20:20" x14ac:dyDescent="0.25">
      <c r="T8178" s="98"/>
    </row>
    <row r="8179" spans="20:20" x14ac:dyDescent="0.25">
      <c r="T8179" s="98"/>
    </row>
    <row r="8180" spans="20:20" x14ac:dyDescent="0.25">
      <c r="T8180" s="98"/>
    </row>
    <row r="8181" spans="20:20" x14ac:dyDescent="0.25">
      <c r="T8181" s="98"/>
    </row>
    <row r="8182" spans="20:20" x14ac:dyDescent="0.25">
      <c r="T8182" s="98"/>
    </row>
    <row r="8183" spans="20:20" x14ac:dyDescent="0.25">
      <c r="T8183" s="98"/>
    </row>
    <row r="8184" spans="20:20" x14ac:dyDescent="0.25">
      <c r="T8184" s="98"/>
    </row>
    <row r="8185" spans="20:20" x14ac:dyDescent="0.25">
      <c r="T8185" s="98"/>
    </row>
    <row r="8186" spans="20:20" x14ac:dyDescent="0.25">
      <c r="T8186" s="98"/>
    </row>
    <row r="8187" spans="20:20" x14ac:dyDescent="0.25">
      <c r="T8187" s="98"/>
    </row>
    <row r="8188" spans="20:20" x14ac:dyDescent="0.25">
      <c r="T8188" s="98"/>
    </row>
    <row r="8189" spans="20:20" x14ac:dyDescent="0.25">
      <c r="T8189" s="98"/>
    </row>
    <row r="8190" spans="20:20" x14ac:dyDescent="0.25">
      <c r="T8190" s="98"/>
    </row>
    <row r="8191" spans="20:20" x14ac:dyDescent="0.25">
      <c r="T8191" s="98"/>
    </row>
    <row r="8192" spans="20:20" x14ac:dyDescent="0.25">
      <c r="T8192" s="98"/>
    </row>
    <row r="8193" spans="20:20" x14ac:dyDescent="0.25">
      <c r="T8193" s="98"/>
    </row>
    <row r="8194" spans="20:20" x14ac:dyDescent="0.25">
      <c r="T8194" s="98"/>
    </row>
    <row r="8195" spans="20:20" x14ac:dyDescent="0.25">
      <c r="T8195" s="98"/>
    </row>
    <row r="8196" spans="20:20" x14ac:dyDescent="0.25">
      <c r="T8196" s="98"/>
    </row>
    <row r="8197" spans="20:20" x14ac:dyDescent="0.25">
      <c r="T8197" s="98"/>
    </row>
    <row r="8198" spans="20:20" x14ac:dyDescent="0.25">
      <c r="T8198" s="98"/>
    </row>
    <row r="8199" spans="20:20" x14ac:dyDescent="0.25">
      <c r="T8199" s="98"/>
    </row>
    <row r="8200" spans="20:20" x14ac:dyDescent="0.25">
      <c r="T8200" s="98"/>
    </row>
    <row r="8201" spans="20:20" x14ac:dyDescent="0.25">
      <c r="T8201" s="98"/>
    </row>
    <row r="8202" spans="20:20" x14ac:dyDescent="0.25">
      <c r="T8202" s="98"/>
    </row>
    <row r="8203" spans="20:20" x14ac:dyDescent="0.25">
      <c r="T8203" s="98"/>
    </row>
    <row r="8204" spans="20:20" x14ac:dyDescent="0.25">
      <c r="T8204" s="98"/>
    </row>
    <row r="8205" spans="20:20" x14ac:dyDescent="0.25">
      <c r="T8205" s="98"/>
    </row>
    <row r="8206" spans="20:20" x14ac:dyDescent="0.25">
      <c r="T8206" s="98"/>
    </row>
    <row r="8207" spans="20:20" x14ac:dyDescent="0.25">
      <c r="T8207" s="98"/>
    </row>
    <row r="8208" spans="20:20" x14ac:dyDescent="0.25">
      <c r="T8208" s="98"/>
    </row>
    <row r="8209" spans="20:20" x14ac:dyDescent="0.25">
      <c r="T8209" s="98"/>
    </row>
    <row r="8210" spans="20:20" x14ac:dyDescent="0.25">
      <c r="T8210" s="98"/>
    </row>
    <row r="8211" spans="20:20" x14ac:dyDescent="0.25">
      <c r="T8211" s="98"/>
    </row>
    <row r="8212" spans="20:20" x14ac:dyDescent="0.25">
      <c r="T8212" s="98"/>
    </row>
    <row r="8213" spans="20:20" x14ac:dyDescent="0.25">
      <c r="T8213" s="98"/>
    </row>
    <row r="8214" spans="20:20" x14ac:dyDescent="0.25">
      <c r="T8214" s="98"/>
    </row>
    <row r="8215" spans="20:20" x14ac:dyDescent="0.25">
      <c r="T8215" s="98"/>
    </row>
    <row r="8216" spans="20:20" x14ac:dyDescent="0.25">
      <c r="T8216" s="98"/>
    </row>
    <row r="8217" spans="20:20" x14ac:dyDescent="0.25">
      <c r="T8217" s="98"/>
    </row>
    <row r="8218" spans="20:20" x14ac:dyDescent="0.25">
      <c r="T8218" s="98"/>
    </row>
    <row r="8219" spans="20:20" x14ac:dyDescent="0.25">
      <c r="T8219" s="98"/>
    </row>
    <row r="8220" spans="20:20" x14ac:dyDescent="0.25">
      <c r="T8220" s="98"/>
    </row>
    <row r="8221" spans="20:20" x14ac:dyDescent="0.25">
      <c r="T8221" s="98"/>
    </row>
    <row r="8222" spans="20:20" x14ac:dyDescent="0.25">
      <c r="T8222" s="98"/>
    </row>
    <row r="8223" spans="20:20" x14ac:dyDescent="0.25">
      <c r="T8223" s="98"/>
    </row>
    <row r="8224" spans="20:20" x14ac:dyDescent="0.25">
      <c r="T8224" s="98"/>
    </row>
    <row r="8225" spans="20:20" x14ac:dyDescent="0.25">
      <c r="T8225" s="98"/>
    </row>
    <row r="8226" spans="20:20" x14ac:dyDescent="0.25">
      <c r="T8226" s="98"/>
    </row>
    <row r="8227" spans="20:20" x14ac:dyDescent="0.25">
      <c r="T8227" s="98"/>
    </row>
    <row r="8228" spans="20:20" x14ac:dyDescent="0.25">
      <c r="T8228" s="98"/>
    </row>
    <row r="8229" spans="20:20" x14ac:dyDescent="0.25">
      <c r="T8229" s="98"/>
    </row>
    <row r="8230" spans="20:20" x14ac:dyDescent="0.25">
      <c r="T8230" s="98"/>
    </row>
    <row r="8231" spans="20:20" x14ac:dyDescent="0.25">
      <c r="T8231" s="98"/>
    </row>
    <row r="8232" spans="20:20" x14ac:dyDescent="0.25">
      <c r="T8232" s="98"/>
    </row>
    <row r="8233" spans="20:20" x14ac:dyDescent="0.25">
      <c r="T8233" s="98"/>
    </row>
    <row r="8234" spans="20:20" x14ac:dyDescent="0.25">
      <c r="T8234" s="98"/>
    </row>
    <row r="8235" spans="20:20" x14ac:dyDescent="0.25">
      <c r="T8235" s="98"/>
    </row>
    <row r="8236" spans="20:20" x14ac:dyDescent="0.25">
      <c r="T8236" s="98"/>
    </row>
    <row r="8237" spans="20:20" x14ac:dyDescent="0.25">
      <c r="T8237" s="98"/>
    </row>
    <row r="8238" spans="20:20" x14ac:dyDescent="0.25">
      <c r="T8238" s="98"/>
    </row>
    <row r="8239" spans="20:20" x14ac:dyDescent="0.25">
      <c r="T8239" s="98"/>
    </row>
    <row r="8240" spans="20:20" x14ac:dyDescent="0.25">
      <c r="T8240" s="98"/>
    </row>
    <row r="8241" spans="20:20" x14ac:dyDescent="0.25">
      <c r="T8241" s="98"/>
    </row>
    <row r="8242" spans="20:20" x14ac:dyDescent="0.25">
      <c r="T8242" s="98"/>
    </row>
    <row r="8243" spans="20:20" x14ac:dyDescent="0.25">
      <c r="T8243" s="98"/>
    </row>
    <row r="8244" spans="20:20" x14ac:dyDescent="0.25">
      <c r="T8244" s="98"/>
    </row>
    <row r="8245" spans="20:20" x14ac:dyDescent="0.25">
      <c r="T8245" s="98"/>
    </row>
    <row r="8246" spans="20:20" x14ac:dyDescent="0.25">
      <c r="T8246" s="98"/>
    </row>
    <row r="8247" spans="20:20" x14ac:dyDescent="0.25">
      <c r="T8247" s="98"/>
    </row>
    <row r="8248" spans="20:20" x14ac:dyDescent="0.25">
      <c r="T8248" s="98"/>
    </row>
    <row r="8249" spans="20:20" x14ac:dyDescent="0.25">
      <c r="T8249" s="98"/>
    </row>
    <row r="8250" spans="20:20" x14ac:dyDescent="0.25">
      <c r="T8250" s="98"/>
    </row>
    <row r="8251" spans="20:20" x14ac:dyDescent="0.25">
      <c r="T8251" s="98"/>
    </row>
    <row r="8252" spans="20:20" x14ac:dyDescent="0.25">
      <c r="T8252" s="98"/>
    </row>
    <row r="8253" spans="20:20" x14ac:dyDescent="0.25">
      <c r="T8253" s="98"/>
    </row>
    <row r="8254" spans="20:20" x14ac:dyDescent="0.25">
      <c r="T8254" s="98"/>
    </row>
    <row r="8255" spans="20:20" x14ac:dyDescent="0.25">
      <c r="T8255" s="98"/>
    </row>
    <row r="8256" spans="20:20" x14ac:dyDescent="0.25">
      <c r="T8256" s="98"/>
    </row>
    <row r="8257" spans="20:20" x14ac:dyDescent="0.25">
      <c r="T8257" s="98"/>
    </row>
    <row r="8258" spans="20:20" x14ac:dyDescent="0.25">
      <c r="T8258" s="98"/>
    </row>
    <row r="8259" spans="20:20" x14ac:dyDescent="0.25">
      <c r="T8259" s="98"/>
    </row>
    <row r="8260" spans="20:20" x14ac:dyDescent="0.25">
      <c r="T8260" s="98"/>
    </row>
    <row r="8261" spans="20:20" x14ac:dyDescent="0.25">
      <c r="T8261" s="98"/>
    </row>
    <row r="8262" spans="20:20" x14ac:dyDescent="0.25">
      <c r="T8262" s="98"/>
    </row>
    <row r="8263" spans="20:20" x14ac:dyDescent="0.25">
      <c r="T8263" s="98"/>
    </row>
    <row r="8264" spans="20:20" x14ac:dyDescent="0.25">
      <c r="T8264" s="98"/>
    </row>
    <row r="8265" spans="20:20" x14ac:dyDescent="0.25">
      <c r="T8265" s="98"/>
    </row>
    <row r="8266" spans="20:20" x14ac:dyDescent="0.25">
      <c r="T8266" s="98"/>
    </row>
    <row r="8267" spans="20:20" x14ac:dyDescent="0.25">
      <c r="T8267" s="98"/>
    </row>
    <row r="8268" spans="20:20" x14ac:dyDescent="0.25">
      <c r="T8268" s="98"/>
    </row>
    <row r="8269" spans="20:20" x14ac:dyDescent="0.25">
      <c r="T8269" s="98"/>
    </row>
    <row r="8270" spans="20:20" x14ac:dyDescent="0.25">
      <c r="T8270" s="98"/>
    </row>
    <row r="8271" spans="20:20" x14ac:dyDescent="0.25">
      <c r="T8271" s="98"/>
    </row>
    <row r="8272" spans="20:20" x14ac:dyDescent="0.25">
      <c r="T8272" s="98"/>
    </row>
    <row r="8273" spans="20:20" x14ac:dyDescent="0.25">
      <c r="T8273" s="98"/>
    </row>
    <row r="8274" spans="20:20" x14ac:dyDescent="0.25">
      <c r="T8274" s="98"/>
    </row>
    <row r="8275" spans="20:20" x14ac:dyDescent="0.25">
      <c r="T8275" s="98"/>
    </row>
    <row r="8276" spans="20:20" x14ac:dyDescent="0.25">
      <c r="T8276" s="98"/>
    </row>
    <row r="8277" spans="20:20" x14ac:dyDescent="0.25">
      <c r="T8277" s="98"/>
    </row>
    <row r="8278" spans="20:20" x14ac:dyDescent="0.25">
      <c r="T8278" s="98"/>
    </row>
    <row r="8279" spans="20:20" x14ac:dyDescent="0.25">
      <c r="T8279" s="98"/>
    </row>
    <row r="8280" spans="20:20" x14ac:dyDescent="0.25">
      <c r="T8280" s="98"/>
    </row>
    <row r="8281" spans="20:20" x14ac:dyDescent="0.25">
      <c r="T8281" s="98"/>
    </row>
    <row r="8282" spans="20:20" x14ac:dyDescent="0.25">
      <c r="T8282" s="98"/>
    </row>
    <row r="8283" spans="20:20" x14ac:dyDescent="0.25">
      <c r="T8283" s="98"/>
    </row>
    <row r="8284" spans="20:20" x14ac:dyDescent="0.25">
      <c r="T8284" s="98"/>
    </row>
    <row r="8285" spans="20:20" x14ac:dyDescent="0.25">
      <c r="T8285" s="98"/>
    </row>
    <row r="8286" spans="20:20" x14ac:dyDescent="0.25">
      <c r="T8286" s="98"/>
    </row>
    <row r="8287" spans="20:20" x14ac:dyDescent="0.25">
      <c r="T8287" s="98"/>
    </row>
    <row r="8288" spans="20:20" x14ac:dyDescent="0.25">
      <c r="T8288" s="98"/>
    </row>
    <row r="8289" spans="20:20" x14ac:dyDescent="0.25">
      <c r="T8289" s="98"/>
    </row>
    <row r="8290" spans="20:20" x14ac:dyDescent="0.25">
      <c r="T8290" s="98"/>
    </row>
    <row r="8291" spans="20:20" x14ac:dyDescent="0.25">
      <c r="T8291" s="98"/>
    </row>
    <row r="8292" spans="20:20" x14ac:dyDescent="0.25">
      <c r="T8292" s="98"/>
    </row>
    <row r="8293" spans="20:20" x14ac:dyDescent="0.25">
      <c r="T8293" s="98"/>
    </row>
    <row r="8294" spans="20:20" x14ac:dyDescent="0.25">
      <c r="T8294" s="98"/>
    </row>
    <row r="8295" spans="20:20" x14ac:dyDescent="0.25">
      <c r="T8295" s="98"/>
    </row>
    <row r="8296" spans="20:20" x14ac:dyDescent="0.25">
      <c r="T8296" s="98"/>
    </row>
    <row r="8297" spans="20:20" x14ac:dyDescent="0.25">
      <c r="T8297" s="98"/>
    </row>
    <row r="8298" spans="20:20" x14ac:dyDescent="0.25">
      <c r="T8298" s="98"/>
    </row>
    <row r="8299" spans="20:20" x14ac:dyDescent="0.25">
      <c r="T8299" s="98"/>
    </row>
    <row r="8300" spans="20:20" x14ac:dyDescent="0.25">
      <c r="T8300" s="98"/>
    </row>
    <row r="8301" spans="20:20" x14ac:dyDescent="0.25">
      <c r="T8301" s="98"/>
    </row>
    <row r="8302" spans="20:20" x14ac:dyDescent="0.25">
      <c r="T8302" s="98"/>
    </row>
    <row r="8303" spans="20:20" x14ac:dyDescent="0.25">
      <c r="T8303" s="98"/>
    </row>
    <row r="8304" spans="20:20" x14ac:dyDescent="0.25">
      <c r="T8304" s="98"/>
    </row>
    <row r="8305" spans="20:20" x14ac:dyDescent="0.25">
      <c r="T8305" s="98"/>
    </row>
    <row r="8306" spans="20:20" x14ac:dyDescent="0.25">
      <c r="T8306" s="98"/>
    </row>
    <row r="8307" spans="20:20" x14ac:dyDescent="0.25">
      <c r="T8307" s="98"/>
    </row>
    <row r="8308" spans="20:20" x14ac:dyDescent="0.25">
      <c r="T8308" s="98"/>
    </row>
    <row r="8309" spans="20:20" x14ac:dyDescent="0.25">
      <c r="T8309" s="98"/>
    </row>
    <row r="8310" spans="20:20" x14ac:dyDescent="0.25">
      <c r="T8310" s="98"/>
    </row>
    <row r="8311" spans="20:20" x14ac:dyDescent="0.25">
      <c r="T8311" s="98"/>
    </row>
    <row r="8312" spans="20:20" x14ac:dyDescent="0.25">
      <c r="T8312" s="98"/>
    </row>
    <row r="8313" spans="20:20" x14ac:dyDescent="0.25">
      <c r="T8313" s="98"/>
    </row>
    <row r="8314" spans="20:20" x14ac:dyDescent="0.25">
      <c r="T8314" s="98"/>
    </row>
    <row r="8315" spans="20:20" x14ac:dyDescent="0.25">
      <c r="T8315" s="98"/>
    </row>
    <row r="8316" spans="20:20" x14ac:dyDescent="0.25">
      <c r="T8316" s="98"/>
    </row>
    <row r="8317" spans="20:20" x14ac:dyDescent="0.25">
      <c r="T8317" s="98"/>
    </row>
    <row r="8318" spans="20:20" x14ac:dyDescent="0.25">
      <c r="T8318" s="98"/>
    </row>
    <row r="8319" spans="20:20" x14ac:dyDescent="0.25">
      <c r="T8319" s="98"/>
    </row>
    <row r="8320" spans="20:20" x14ac:dyDescent="0.25">
      <c r="T8320" s="98"/>
    </row>
    <row r="8321" spans="20:20" x14ac:dyDescent="0.25">
      <c r="T8321" s="98"/>
    </row>
    <row r="8322" spans="20:20" x14ac:dyDescent="0.25">
      <c r="T8322" s="98"/>
    </row>
    <row r="8323" spans="20:20" x14ac:dyDescent="0.25">
      <c r="T8323" s="98"/>
    </row>
    <row r="8324" spans="20:20" x14ac:dyDescent="0.25">
      <c r="T8324" s="98"/>
    </row>
    <row r="8325" spans="20:20" x14ac:dyDescent="0.25">
      <c r="T8325" s="98"/>
    </row>
    <row r="8326" spans="20:20" x14ac:dyDescent="0.25">
      <c r="T8326" s="98"/>
    </row>
    <row r="8327" spans="20:20" x14ac:dyDescent="0.25">
      <c r="T8327" s="98"/>
    </row>
    <row r="8328" spans="20:20" x14ac:dyDescent="0.25">
      <c r="T8328" s="98"/>
    </row>
    <row r="8329" spans="20:20" x14ac:dyDescent="0.25">
      <c r="T8329" s="98"/>
    </row>
    <row r="8330" spans="20:20" x14ac:dyDescent="0.25">
      <c r="T8330" s="98"/>
    </row>
    <row r="8331" spans="20:20" x14ac:dyDescent="0.25">
      <c r="T8331" s="98"/>
    </row>
    <row r="8332" spans="20:20" x14ac:dyDescent="0.25">
      <c r="T8332" s="98"/>
    </row>
    <row r="8333" spans="20:20" x14ac:dyDescent="0.25">
      <c r="T8333" s="98"/>
    </row>
    <row r="8334" spans="20:20" x14ac:dyDescent="0.25">
      <c r="T8334" s="98"/>
    </row>
    <row r="8335" spans="20:20" x14ac:dyDescent="0.25">
      <c r="T8335" s="98"/>
    </row>
    <row r="8336" spans="20:20" x14ac:dyDescent="0.25">
      <c r="T8336" s="98"/>
    </row>
    <row r="8337" spans="20:20" x14ac:dyDescent="0.25">
      <c r="T8337" s="98"/>
    </row>
    <row r="8338" spans="20:20" x14ac:dyDescent="0.25">
      <c r="T8338" s="98"/>
    </row>
    <row r="8339" spans="20:20" x14ac:dyDescent="0.25">
      <c r="T8339" s="98"/>
    </row>
    <row r="8340" spans="20:20" x14ac:dyDescent="0.25">
      <c r="T8340" s="98"/>
    </row>
    <row r="8341" spans="20:20" x14ac:dyDescent="0.25">
      <c r="T8341" s="98"/>
    </row>
    <row r="8342" spans="20:20" x14ac:dyDescent="0.25">
      <c r="T8342" s="98"/>
    </row>
    <row r="8343" spans="20:20" x14ac:dyDescent="0.25">
      <c r="T8343" s="98"/>
    </row>
    <row r="8344" spans="20:20" x14ac:dyDescent="0.25">
      <c r="T8344" s="98"/>
    </row>
    <row r="8345" spans="20:20" x14ac:dyDescent="0.25">
      <c r="T8345" s="98"/>
    </row>
    <row r="8346" spans="20:20" x14ac:dyDescent="0.25">
      <c r="T8346" s="98"/>
    </row>
    <row r="8347" spans="20:20" x14ac:dyDescent="0.25">
      <c r="T8347" s="98"/>
    </row>
    <row r="8348" spans="20:20" x14ac:dyDescent="0.25">
      <c r="T8348" s="98"/>
    </row>
    <row r="8349" spans="20:20" x14ac:dyDescent="0.25">
      <c r="T8349" s="98"/>
    </row>
    <row r="8350" spans="20:20" x14ac:dyDescent="0.25">
      <c r="T8350" s="98"/>
    </row>
    <row r="8351" spans="20:20" x14ac:dyDescent="0.25">
      <c r="T8351" s="98"/>
    </row>
    <row r="8352" spans="20:20" x14ac:dyDescent="0.25">
      <c r="T8352" s="98"/>
    </row>
    <row r="8353" spans="20:20" x14ac:dyDescent="0.25">
      <c r="T8353" s="98"/>
    </row>
    <row r="8354" spans="20:20" x14ac:dyDescent="0.25">
      <c r="T8354" s="98"/>
    </row>
    <row r="8355" spans="20:20" x14ac:dyDescent="0.25">
      <c r="T8355" s="98"/>
    </row>
    <row r="8356" spans="20:20" x14ac:dyDescent="0.25">
      <c r="T8356" s="98"/>
    </row>
    <row r="8357" spans="20:20" x14ac:dyDescent="0.25">
      <c r="T8357" s="98"/>
    </row>
    <row r="8358" spans="20:20" x14ac:dyDescent="0.25">
      <c r="T8358" s="98"/>
    </row>
    <row r="8359" spans="20:20" x14ac:dyDescent="0.25">
      <c r="T8359" s="98"/>
    </row>
    <row r="8360" spans="20:20" x14ac:dyDescent="0.25">
      <c r="T8360" s="98"/>
    </row>
    <row r="8361" spans="20:20" x14ac:dyDescent="0.25">
      <c r="T8361" s="98"/>
    </row>
    <row r="8362" spans="20:20" x14ac:dyDescent="0.25">
      <c r="T8362" s="98"/>
    </row>
    <row r="8363" spans="20:20" x14ac:dyDescent="0.25">
      <c r="T8363" s="98"/>
    </row>
    <row r="8364" spans="20:20" x14ac:dyDescent="0.25">
      <c r="T8364" s="98"/>
    </row>
    <row r="8365" spans="20:20" x14ac:dyDescent="0.25">
      <c r="T8365" s="98"/>
    </row>
    <row r="8366" spans="20:20" x14ac:dyDescent="0.25">
      <c r="T8366" s="98"/>
    </row>
    <row r="8367" spans="20:20" x14ac:dyDescent="0.25">
      <c r="T8367" s="98"/>
    </row>
    <row r="8368" spans="20:20" x14ac:dyDescent="0.25">
      <c r="T8368" s="98"/>
    </row>
    <row r="8369" spans="20:20" x14ac:dyDescent="0.25">
      <c r="T8369" s="98"/>
    </row>
    <row r="8370" spans="20:20" x14ac:dyDescent="0.25">
      <c r="T8370" s="98"/>
    </row>
    <row r="8371" spans="20:20" x14ac:dyDescent="0.25">
      <c r="T8371" s="98"/>
    </row>
    <row r="8372" spans="20:20" x14ac:dyDescent="0.25">
      <c r="T8372" s="98"/>
    </row>
    <row r="8373" spans="20:20" x14ac:dyDescent="0.25">
      <c r="T8373" s="98"/>
    </row>
    <row r="8374" spans="20:20" x14ac:dyDescent="0.25">
      <c r="T8374" s="98"/>
    </row>
    <row r="8375" spans="20:20" x14ac:dyDescent="0.25">
      <c r="T8375" s="98"/>
    </row>
    <row r="8376" spans="20:20" x14ac:dyDescent="0.25">
      <c r="T8376" s="98"/>
    </row>
    <row r="8377" spans="20:20" x14ac:dyDescent="0.25">
      <c r="T8377" s="98"/>
    </row>
    <row r="8378" spans="20:20" x14ac:dyDescent="0.25">
      <c r="T8378" s="98"/>
    </row>
    <row r="8379" spans="20:20" x14ac:dyDescent="0.25">
      <c r="T8379" s="98"/>
    </row>
    <row r="8380" spans="20:20" x14ac:dyDescent="0.25">
      <c r="T8380" s="98"/>
    </row>
    <row r="8381" spans="20:20" x14ac:dyDescent="0.25">
      <c r="T8381" s="98"/>
    </row>
    <row r="8382" spans="20:20" x14ac:dyDescent="0.25">
      <c r="T8382" s="98"/>
    </row>
    <row r="8383" spans="20:20" x14ac:dyDescent="0.25">
      <c r="T8383" s="98"/>
    </row>
    <row r="8384" spans="20:20" x14ac:dyDescent="0.25">
      <c r="T8384" s="98"/>
    </row>
    <row r="8385" spans="20:20" x14ac:dyDescent="0.25">
      <c r="T8385" s="98"/>
    </row>
    <row r="8386" spans="20:20" x14ac:dyDescent="0.25">
      <c r="T8386" s="98"/>
    </row>
    <row r="8387" spans="20:20" x14ac:dyDescent="0.25">
      <c r="T8387" s="98"/>
    </row>
    <row r="8388" spans="20:20" x14ac:dyDescent="0.25">
      <c r="T8388" s="98"/>
    </row>
    <row r="8389" spans="20:20" x14ac:dyDescent="0.25">
      <c r="T8389" s="98"/>
    </row>
    <row r="8390" spans="20:20" x14ac:dyDescent="0.25">
      <c r="T8390" s="98"/>
    </row>
    <row r="8391" spans="20:20" x14ac:dyDescent="0.25">
      <c r="T8391" s="98"/>
    </row>
    <row r="8392" spans="20:20" x14ac:dyDescent="0.25">
      <c r="T8392" s="98"/>
    </row>
    <row r="8393" spans="20:20" x14ac:dyDescent="0.25">
      <c r="T8393" s="98"/>
    </row>
    <row r="8394" spans="20:20" x14ac:dyDescent="0.25">
      <c r="T8394" s="98"/>
    </row>
    <row r="8395" spans="20:20" x14ac:dyDescent="0.25">
      <c r="T8395" s="98"/>
    </row>
    <row r="8396" spans="20:20" x14ac:dyDescent="0.25">
      <c r="T8396" s="98"/>
    </row>
    <row r="8397" spans="20:20" x14ac:dyDescent="0.25">
      <c r="T8397" s="98"/>
    </row>
    <row r="8398" spans="20:20" x14ac:dyDescent="0.25">
      <c r="T8398" s="98"/>
    </row>
    <row r="8399" spans="20:20" x14ac:dyDescent="0.25">
      <c r="T8399" s="98"/>
    </row>
    <row r="8400" spans="20:20" x14ac:dyDescent="0.25">
      <c r="T8400" s="98"/>
    </row>
    <row r="8401" spans="20:20" x14ac:dyDescent="0.25">
      <c r="T8401" s="98"/>
    </row>
    <row r="8402" spans="20:20" x14ac:dyDescent="0.25">
      <c r="T8402" s="98"/>
    </row>
    <row r="8403" spans="20:20" x14ac:dyDescent="0.25">
      <c r="T8403" s="98"/>
    </row>
    <row r="8404" spans="20:20" x14ac:dyDescent="0.25">
      <c r="T8404" s="98"/>
    </row>
    <row r="8405" spans="20:20" x14ac:dyDescent="0.25">
      <c r="T8405" s="98"/>
    </row>
    <row r="8406" spans="20:20" x14ac:dyDescent="0.25">
      <c r="T8406" s="98"/>
    </row>
    <row r="8407" spans="20:20" x14ac:dyDescent="0.25">
      <c r="T8407" s="98"/>
    </row>
    <row r="8408" spans="20:20" x14ac:dyDescent="0.25">
      <c r="T8408" s="98"/>
    </row>
    <row r="8409" spans="20:20" x14ac:dyDescent="0.25">
      <c r="T8409" s="98"/>
    </row>
    <row r="8410" spans="20:20" x14ac:dyDescent="0.25">
      <c r="T8410" s="98"/>
    </row>
    <row r="8411" spans="20:20" x14ac:dyDescent="0.25">
      <c r="T8411" s="98"/>
    </row>
    <row r="8412" spans="20:20" x14ac:dyDescent="0.25">
      <c r="T8412" s="98"/>
    </row>
    <row r="8413" spans="20:20" x14ac:dyDescent="0.25">
      <c r="T8413" s="98"/>
    </row>
    <row r="8414" spans="20:20" x14ac:dyDescent="0.25">
      <c r="T8414" s="98"/>
    </row>
    <row r="8415" spans="20:20" x14ac:dyDescent="0.25">
      <c r="T8415" s="98"/>
    </row>
    <row r="8416" spans="20:20" x14ac:dyDescent="0.25">
      <c r="T8416" s="98"/>
    </row>
    <row r="8417" spans="20:20" x14ac:dyDescent="0.25">
      <c r="T8417" s="98"/>
    </row>
    <row r="8418" spans="20:20" x14ac:dyDescent="0.25">
      <c r="T8418" s="98"/>
    </row>
    <row r="8419" spans="20:20" x14ac:dyDescent="0.25">
      <c r="T8419" s="98"/>
    </row>
    <row r="8420" spans="20:20" x14ac:dyDescent="0.25">
      <c r="T8420" s="98"/>
    </row>
    <row r="8421" spans="20:20" x14ac:dyDescent="0.25">
      <c r="T8421" s="98"/>
    </row>
    <row r="8422" spans="20:20" x14ac:dyDescent="0.25">
      <c r="T8422" s="98"/>
    </row>
    <row r="8423" spans="20:20" x14ac:dyDescent="0.25">
      <c r="T8423" s="98"/>
    </row>
    <row r="8424" spans="20:20" x14ac:dyDescent="0.25">
      <c r="T8424" s="98"/>
    </row>
    <row r="8425" spans="20:20" x14ac:dyDescent="0.25">
      <c r="T8425" s="98"/>
    </row>
    <row r="8426" spans="20:20" x14ac:dyDescent="0.25">
      <c r="T8426" s="98"/>
    </row>
    <row r="8427" spans="20:20" x14ac:dyDescent="0.25">
      <c r="T8427" s="98"/>
    </row>
    <row r="8428" spans="20:20" x14ac:dyDescent="0.25">
      <c r="T8428" s="98"/>
    </row>
    <row r="8429" spans="20:20" x14ac:dyDescent="0.25">
      <c r="T8429" s="98"/>
    </row>
    <row r="8430" spans="20:20" x14ac:dyDescent="0.25">
      <c r="T8430" s="98"/>
    </row>
    <row r="8431" spans="20:20" x14ac:dyDescent="0.25">
      <c r="T8431" s="98"/>
    </row>
    <row r="8432" spans="20:20" x14ac:dyDescent="0.25">
      <c r="T8432" s="98"/>
    </row>
    <row r="8433" spans="20:20" x14ac:dyDescent="0.25">
      <c r="T8433" s="98"/>
    </row>
    <row r="8434" spans="20:20" x14ac:dyDescent="0.25">
      <c r="T8434" s="98"/>
    </row>
    <row r="8435" spans="20:20" x14ac:dyDescent="0.25">
      <c r="T8435" s="98"/>
    </row>
    <row r="8436" spans="20:20" x14ac:dyDescent="0.25">
      <c r="T8436" s="98"/>
    </row>
    <row r="8437" spans="20:20" x14ac:dyDescent="0.25">
      <c r="T8437" s="98"/>
    </row>
    <row r="8438" spans="20:20" x14ac:dyDescent="0.25">
      <c r="T8438" s="98"/>
    </row>
    <row r="8439" spans="20:20" x14ac:dyDescent="0.25">
      <c r="T8439" s="98"/>
    </row>
    <row r="8440" spans="20:20" x14ac:dyDescent="0.25">
      <c r="T8440" s="98"/>
    </row>
    <row r="8441" spans="20:20" x14ac:dyDescent="0.25">
      <c r="T8441" s="98"/>
    </row>
    <row r="8442" spans="20:20" x14ac:dyDescent="0.25">
      <c r="T8442" s="98"/>
    </row>
    <row r="8443" spans="20:20" x14ac:dyDescent="0.25">
      <c r="T8443" s="98"/>
    </row>
    <row r="8444" spans="20:20" x14ac:dyDescent="0.25">
      <c r="T8444" s="98"/>
    </row>
    <row r="8445" spans="20:20" x14ac:dyDescent="0.25">
      <c r="T8445" s="98"/>
    </row>
    <row r="8446" spans="20:20" x14ac:dyDescent="0.25">
      <c r="T8446" s="98"/>
    </row>
    <row r="8447" spans="20:20" x14ac:dyDescent="0.25">
      <c r="T8447" s="98"/>
    </row>
    <row r="8448" spans="20:20" x14ac:dyDescent="0.25">
      <c r="T8448" s="98"/>
    </row>
    <row r="8449" spans="20:20" x14ac:dyDescent="0.25">
      <c r="T8449" s="98"/>
    </row>
    <row r="8450" spans="20:20" x14ac:dyDescent="0.25">
      <c r="T8450" s="98"/>
    </row>
    <row r="8451" spans="20:20" x14ac:dyDescent="0.25">
      <c r="T8451" s="98"/>
    </row>
    <row r="8452" spans="20:20" x14ac:dyDescent="0.25">
      <c r="T8452" s="98"/>
    </row>
    <row r="8453" spans="20:20" x14ac:dyDescent="0.25">
      <c r="T8453" s="98"/>
    </row>
    <row r="8454" spans="20:20" x14ac:dyDescent="0.25">
      <c r="T8454" s="98"/>
    </row>
    <row r="8455" spans="20:20" x14ac:dyDescent="0.25">
      <c r="T8455" s="98"/>
    </row>
    <row r="8456" spans="20:20" x14ac:dyDescent="0.25">
      <c r="T8456" s="98"/>
    </row>
    <row r="8457" spans="20:20" x14ac:dyDescent="0.25">
      <c r="T8457" s="98"/>
    </row>
    <row r="8458" spans="20:20" x14ac:dyDescent="0.25">
      <c r="T8458" s="98"/>
    </row>
    <row r="8459" spans="20:20" x14ac:dyDescent="0.25">
      <c r="T8459" s="98"/>
    </row>
    <row r="8460" spans="20:20" x14ac:dyDescent="0.25">
      <c r="T8460" s="98"/>
    </row>
    <row r="8461" spans="20:20" x14ac:dyDescent="0.25">
      <c r="T8461" s="98"/>
    </row>
    <row r="8462" spans="20:20" x14ac:dyDescent="0.25">
      <c r="T8462" s="98"/>
    </row>
    <row r="8463" spans="20:20" x14ac:dyDescent="0.25">
      <c r="T8463" s="98"/>
    </row>
    <row r="8464" spans="20:20" x14ac:dyDescent="0.25">
      <c r="T8464" s="98"/>
    </row>
    <row r="8465" spans="20:20" x14ac:dyDescent="0.25">
      <c r="T8465" s="98"/>
    </row>
    <row r="8466" spans="20:20" x14ac:dyDescent="0.25">
      <c r="T8466" s="98"/>
    </row>
    <row r="8467" spans="20:20" x14ac:dyDescent="0.25">
      <c r="T8467" s="98"/>
    </row>
    <row r="8468" spans="20:20" x14ac:dyDescent="0.25">
      <c r="T8468" s="98"/>
    </row>
    <row r="8469" spans="20:20" x14ac:dyDescent="0.25">
      <c r="T8469" s="98"/>
    </row>
    <row r="8470" spans="20:20" x14ac:dyDescent="0.25">
      <c r="T8470" s="98"/>
    </row>
    <row r="8471" spans="20:20" x14ac:dyDescent="0.25">
      <c r="T8471" s="98"/>
    </row>
    <row r="8472" spans="20:20" x14ac:dyDescent="0.25">
      <c r="T8472" s="98"/>
    </row>
    <row r="8473" spans="20:20" x14ac:dyDescent="0.25">
      <c r="T8473" s="98"/>
    </row>
    <row r="8474" spans="20:20" x14ac:dyDescent="0.25">
      <c r="T8474" s="98"/>
    </row>
    <row r="8475" spans="20:20" x14ac:dyDescent="0.25">
      <c r="T8475" s="98"/>
    </row>
    <row r="8476" spans="20:20" x14ac:dyDescent="0.25">
      <c r="T8476" s="98"/>
    </row>
    <row r="8477" spans="20:20" x14ac:dyDescent="0.25">
      <c r="T8477" s="98"/>
    </row>
    <row r="8478" spans="20:20" x14ac:dyDescent="0.25">
      <c r="T8478" s="98"/>
    </row>
    <row r="8479" spans="20:20" x14ac:dyDescent="0.25">
      <c r="T8479" s="98"/>
    </row>
    <row r="8480" spans="20:20" x14ac:dyDescent="0.25">
      <c r="T8480" s="98"/>
    </row>
    <row r="8481" spans="20:20" x14ac:dyDescent="0.25">
      <c r="T8481" s="98"/>
    </row>
    <row r="8482" spans="20:20" x14ac:dyDescent="0.25">
      <c r="T8482" s="98"/>
    </row>
    <row r="8483" spans="20:20" x14ac:dyDescent="0.25">
      <c r="T8483" s="98"/>
    </row>
    <row r="8484" spans="20:20" x14ac:dyDescent="0.25">
      <c r="T8484" s="98"/>
    </row>
    <row r="8485" spans="20:20" x14ac:dyDescent="0.25">
      <c r="T8485" s="98"/>
    </row>
    <row r="8486" spans="20:20" x14ac:dyDescent="0.25">
      <c r="T8486" s="98"/>
    </row>
    <row r="8487" spans="20:20" x14ac:dyDescent="0.25">
      <c r="T8487" s="98"/>
    </row>
    <row r="8488" spans="20:20" x14ac:dyDescent="0.25">
      <c r="T8488" s="98"/>
    </row>
    <row r="8489" spans="20:20" x14ac:dyDescent="0.25">
      <c r="T8489" s="98"/>
    </row>
    <row r="8490" spans="20:20" x14ac:dyDescent="0.25">
      <c r="T8490" s="98"/>
    </row>
    <row r="8491" spans="20:20" x14ac:dyDescent="0.25">
      <c r="T8491" s="98"/>
    </row>
    <row r="8492" spans="20:20" x14ac:dyDescent="0.25">
      <c r="T8492" s="98"/>
    </row>
    <row r="8493" spans="20:20" x14ac:dyDescent="0.25">
      <c r="T8493" s="98"/>
    </row>
    <row r="8494" spans="20:20" x14ac:dyDescent="0.25">
      <c r="T8494" s="98"/>
    </row>
    <row r="8495" spans="20:20" x14ac:dyDescent="0.25">
      <c r="T8495" s="98"/>
    </row>
    <row r="8496" spans="20:20" x14ac:dyDescent="0.25">
      <c r="T8496" s="98"/>
    </row>
    <row r="8497" spans="20:20" x14ac:dyDescent="0.25">
      <c r="T8497" s="98"/>
    </row>
    <row r="8498" spans="20:20" x14ac:dyDescent="0.25">
      <c r="T8498" s="98"/>
    </row>
    <row r="8499" spans="20:20" x14ac:dyDescent="0.25">
      <c r="T8499" s="98"/>
    </row>
    <row r="8500" spans="20:20" x14ac:dyDescent="0.25">
      <c r="T8500" s="98"/>
    </row>
    <row r="8501" spans="20:20" x14ac:dyDescent="0.25">
      <c r="T8501" s="98"/>
    </row>
    <row r="8502" spans="20:20" x14ac:dyDescent="0.25">
      <c r="T8502" s="98"/>
    </row>
    <row r="8503" spans="20:20" x14ac:dyDescent="0.25">
      <c r="T8503" s="98"/>
    </row>
    <row r="8504" spans="20:20" x14ac:dyDescent="0.25">
      <c r="T8504" s="98"/>
    </row>
    <row r="8505" spans="20:20" x14ac:dyDescent="0.25">
      <c r="T8505" s="98"/>
    </row>
    <row r="8506" spans="20:20" x14ac:dyDescent="0.25">
      <c r="T8506" s="98"/>
    </row>
    <row r="8507" spans="20:20" x14ac:dyDescent="0.25">
      <c r="T8507" s="98"/>
    </row>
    <row r="8508" spans="20:20" x14ac:dyDescent="0.25">
      <c r="T8508" s="98"/>
    </row>
    <row r="8509" spans="20:20" x14ac:dyDescent="0.25">
      <c r="T8509" s="98"/>
    </row>
    <row r="8510" spans="20:20" x14ac:dyDescent="0.25">
      <c r="T8510" s="98"/>
    </row>
    <row r="8511" spans="20:20" x14ac:dyDescent="0.25">
      <c r="T8511" s="98"/>
    </row>
    <row r="8512" spans="20:20" x14ac:dyDescent="0.25">
      <c r="T8512" s="98"/>
    </row>
    <row r="8513" spans="20:20" x14ac:dyDescent="0.25">
      <c r="T8513" s="98"/>
    </row>
    <row r="8514" spans="20:20" x14ac:dyDescent="0.25">
      <c r="T8514" s="98"/>
    </row>
    <row r="8515" spans="20:20" x14ac:dyDescent="0.25">
      <c r="T8515" s="98"/>
    </row>
    <row r="8516" spans="20:20" x14ac:dyDescent="0.25">
      <c r="T8516" s="98"/>
    </row>
    <row r="8517" spans="20:20" x14ac:dyDescent="0.25">
      <c r="T8517" s="98"/>
    </row>
    <row r="8518" spans="20:20" x14ac:dyDescent="0.25">
      <c r="T8518" s="98"/>
    </row>
    <row r="8519" spans="20:20" x14ac:dyDescent="0.25">
      <c r="T8519" s="98"/>
    </row>
    <row r="8520" spans="20:20" x14ac:dyDescent="0.25">
      <c r="T8520" s="98"/>
    </row>
    <row r="8521" spans="20:20" x14ac:dyDescent="0.25">
      <c r="T8521" s="98"/>
    </row>
    <row r="8522" spans="20:20" x14ac:dyDescent="0.25">
      <c r="T8522" s="98"/>
    </row>
    <row r="8523" spans="20:20" x14ac:dyDescent="0.25">
      <c r="T8523" s="98"/>
    </row>
    <row r="8524" spans="20:20" x14ac:dyDescent="0.25">
      <c r="T8524" s="98"/>
    </row>
    <row r="8525" spans="20:20" x14ac:dyDescent="0.25">
      <c r="T8525" s="98"/>
    </row>
    <row r="8526" spans="20:20" x14ac:dyDescent="0.25">
      <c r="T8526" s="98"/>
    </row>
    <row r="8527" spans="20:20" x14ac:dyDescent="0.25">
      <c r="T8527" s="98"/>
    </row>
    <row r="8528" spans="20:20" x14ac:dyDescent="0.25">
      <c r="T8528" s="98"/>
    </row>
    <row r="8529" spans="20:20" x14ac:dyDescent="0.25">
      <c r="T8529" s="98"/>
    </row>
    <row r="8530" spans="20:20" x14ac:dyDescent="0.25">
      <c r="T8530" s="98"/>
    </row>
    <row r="8531" spans="20:20" x14ac:dyDescent="0.25">
      <c r="T8531" s="98"/>
    </row>
    <row r="8532" spans="20:20" x14ac:dyDescent="0.25">
      <c r="T8532" s="98"/>
    </row>
    <row r="8533" spans="20:20" x14ac:dyDescent="0.25">
      <c r="T8533" s="98"/>
    </row>
    <row r="8534" spans="20:20" x14ac:dyDescent="0.25">
      <c r="T8534" s="98"/>
    </row>
    <row r="8535" spans="20:20" x14ac:dyDescent="0.25">
      <c r="T8535" s="98"/>
    </row>
    <row r="8536" spans="20:20" x14ac:dyDescent="0.25">
      <c r="T8536" s="98"/>
    </row>
    <row r="8537" spans="20:20" x14ac:dyDescent="0.25">
      <c r="T8537" s="98"/>
    </row>
    <row r="8538" spans="20:20" x14ac:dyDescent="0.25">
      <c r="T8538" s="98"/>
    </row>
    <row r="8539" spans="20:20" x14ac:dyDescent="0.25">
      <c r="T8539" s="98"/>
    </row>
    <row r="8540" spans="20:20" x14ac:dyDescent="0.25">
      <c r="T8540" s="98"/>
    </row>
    <row r="8541" spans="20:20" x14ac:dyDescent="0.25">
      <c r="T8541" s="98"/>
    </row>
    <row r="8542" spans="20:20" x14ac:dyDescent="0.25">
      <c r="T8542" s="98"/>
    </row>
    <row r="8543" spans="20:20" x14ac:dyDescent="0.25">
      <c r="T8543" s="98"/>
    </row>
    <row r="8544" spans="20:20" x14ac:dyDescent="0.25">
      <c r="T8544" s="98"/>
    </row>
    <row r="8545" spans="20:20" x14ac:dyDescent="0.25">
      <c r="T8545" s="98"/>
    </row>
    <row r="8546" spans="20:20" x14ac:dyDescent="0.25">
      <c r="T8546" s="98"/>
    </row>
    <row r="8547" spans="20:20" x14ac:dyDescent="0.25">
      <c r="T8547" s="98"/>
    </row>
    <row r="8548" spans="20:20" x14ac:dyDescent="0.25">
      <c r="T8548" s="98"/>
    </row>
    <row r="8549" spans="20:20" x14ac:dyDescent="0.25">
      <c r="T8549" s="98"/>
    </row>
    <row r="8550" spans="20:20" x14ac:dyDescent="0.25">
      <c r="T8550" s="98"/>
    </row>
    <row r="8551" spans="20:20" x14ac:dyDescent="0.25">
      <c r="T8551" s="98"/>
    </row>
    <row r="8552" spans="20:20" x14ac:dyDescent="0.25">
      <c r="T8552" s="98"/>
    </row>
    <row r="8553" spans="20:20" x14ac:dyDescent="0.25">
      <c r="T8553" s="98"/>
    </row>
    <row r="8554" spans="20:20" x14ac:dyDescent="0.25">
      <c r="T8554" s="98"/>
    </row>
    <row r="8555" spans="20:20" x14ac:dyDescent="0.25">
      <c r="T8555" s="98"/>
    </row>
    <row r="8556" spans="20:20" x14ac:dyDescent="0.25">
      <c r="T8556" s="98"/>
    </row>
    <row r="8557" spans="20:20" x14ac:dyDescent="0.25">
      <c r="T8557" s="98"/>
    </row>
    <row r="8558" spans="20:20" x14ac:dyDescent="0.25">
      <c r="T8558" s="98"/>
    </row>
    <row r="8559" spans="20:20" x14ac:dyDescent="0.25">
      <c r="T8559" s="98"/>
    </row>
    <row r="8560" spans="20:20" x14ac:dyDescent="0.25">
      <c r="T8560" s="98"/>
    </row>
    <row r="8561" spans="20:20" x14ac:dyDescent="0.25">
      <c r="T8561" s="98"/>
    </row>
    <row r="8562" spans="20:20" x14ac:dyDescent="0.25">
      <c r="T8562" s="98"/>
    </row>
    <row r="8563" spans="20:20" x14ac:dyDescent="0.25">
      <c r="T8563" s="98"/>
    </row>
    <row r="8564" spans="20:20" x14ac:dyDescent="0.25">
      <c r="T8564" s="98"/>
    </row>
    <row r="8565" spans="20:20" x14ac:dyDescent="0.25">
      <c r="T8565" s="98"/>
    </row>
    <row r="8566" spans="20:20" x14ac:dyDescent="0.25">
      <c r="T8566" s="98"/>
    </row>
    <row r="8567" spans="20:20" x14ac:dyDescent="0.25">
      <c r="T8567" s="98"/>
    </row>
    <row r="8568" spans="20:20" x14ac:dyDescent="0.25">
      <c r="T8568" s="98"/>
    </row>
    <row r="8569" spans="20:20" x14ac:dyDescent="0.25">
      <c r="T8569" s="98"/>
    </row>
    <row r="8570" spans="20:20" x14ac:dyDescent="0.25">
      <c r="T8570" s="98"/>
    </row>
    <row r="8571" spans="20:20" x14ac:dyDescent="0.25">
      <c r="T8571" s="98"/>
    </row>
    <row r="8572" spans="20:20" x14ac:dyDescent="0.25">
      <c r="T8572" s="98"/>
    </row>
    <row r="8573" spans="20:20" x14ac:dyDescent="0.25">
      <c r="T8573" s="98"/>
    </row>
    <row r="8574" spans="20:20" x14ac:dyDescent="0.25">
      <c r="T8574" s="98"/>
    </row>
    <row r="8575" spans="20:20" x14ac:dyDescent="0.25">
      <c r="T8575" s="98"/>
    </row>
    <row r="8576" spans="20:20" x14ac:dyDescent="0.25">
      <c r="T8576" s="98"/>
    </row>
    <row r="8577" spans="20:20" x14ac:dyDescent="0.25">
      <c r="T8577" s="98"/>
    </row>
    <row r="8578" spans="20:20" x14ac:dyDescent="0.25">
      <c r="T8578" s="98"/>
    </row>
    <row r="8579" spans="20:20" x14ac:dyDescent="0.25">
      <c r="T8579" s="98"/>
    </row>
    <row r="8580" spans="20:20" x14ac:dyDescent="0.25">
      <c r="T8580" s="98"/>
    </row>
    <row r="8581" spans="20:20" x14ac:dyDescent="0.25">
      <c r="T8581" s="98"/>
    </row>
    <row r="8582" spans="20:20" x14ac:dyDescent="0.25">
      <c r="T8582" s="98"/>
    </row>
    <row r="8583" spans="20:20" x14ac:dyDescent="0.25">
      <c r="T8583" s="98"/>
    </row>
    <row r="8584" spans="20:20" x14ac:dyDescent="0.25">
      <c r="T8584" s="98"/>
    </row>
    <row r="8585" spans="20:20" x14ac:dyDescent="0.25">
      <c r="T8585" s="98"/>
    </row>
    <row r="8586" spans="20:20" x14ac:dyDescent="0.25">
      <c r="T8586" s="98"/>
    </row>
    <row r="8587" spans="20:20" x14ac:dyDescent="0.25">
      <c r="T8587" s="98"/>
    </row>
    <row r="8588" spans="20:20" x14ac:dyDescent="0.25">
      <c r="T8588" s="98"/>
    </row>
    <row r="8589" spans="20:20" x14ac:dyDescent="0.25">
      <c r="T8589" s="98"/>
    </row>
    <row r="8590" spans="20:20" x14ac:dyDescent="0.25">
      <c r="T8590" s="98"/>
    </row>
    <row r="8591" spans="20:20" x14ac:dyDescent="0.25">
      <c r="T8591" s="98"/>
    </row>
    <row r="8592" spans="20:20" x14ac:dyDescent="0.25">
      <c r="T8592" s="98"/>
    </row>
    <row r="8593" spans="20:20" x14ac:dyDescent="0.25">
      <c r="T8593" s="98"/>
    </row>
    <row r="8594" spans="20:20" x14ac:dyDescent="0.25">
      <c r="T8594" s="98"/>
    </row>
    <row r="8595" spans="20:20" x14ac:dyDescent="0.25">
      <c r="T8595" s="98"/>
    </row>
    <row r="8596" spans="20:20" x14ac:dyDescent="0.25">
      <c r="T8596" s="98"/>
    </row>
    <row r="8597" spans="20:20" x14ac:dyDescent="0.25">
      <c r="T8597" s="98"/>
    </row>
    <row r="8598" spans="20:20" x14ac:dyDescent="0.25">
      <c r="T8598" s="98"/>
    </row>
    <row r="8599" spans="20:20" x14ac:dyDescent="0.25">
      <c r="T8599" s="98"/>
    </row>
    <row r="8600" spans="20:20" x14ac:dyDescent="0.25">
      <c r="T8600" s="98"/>
    </row>
    <row r="8601" spans="20:20" x14ac:dyDescent="0.25">
      <c r="T8601" s="98"/>
    </row>
    <row r="8602" spans="20:20" x14ac:dyDescent="0.25">
      <c r="T8602" s="98"/>
    </row>
    <row r="8603" spans="20:20" x14ac:dyDescent="0.25">
      <c r="T8603" s="98"/>
    </row>
    <row r="8604" spans="20:20" x14ac:dyDescent="0.25">
      <c r="T8604" s="98"/>
    </row>
    <row r="8605" spans="20:20" x14ac:dyDescent="0.25">
      <c r="T8605" s="98"/>
    </row>
    <row r="8606" spans="20:20" x14ac:dyDescent="0.25">
      <c r="T8606" s="98"/>
    </row>
    <row r="8607" spans="20:20" x14ac:dyDescent="0.25">
      <c r="T8607" s="98"/>
    </row>
    <row r="8608" spans="20:20" x14ac:dyDescent="0.25">
      <c r="T8608" s="98"/>
    </row>
    <row r="8609" spans="20:20" x14ac:dyDescent="0.25">
      <c r="T8609" s="98"/>
    </row>
    <row r="8610" spans="20:20" x14ac:dyDescent="0.25">
      <c r="T8610" s="98"/>
    </row>
    <row r="8611" spans="20:20" x14ac:dyDescent="0.25">
      <c r="T8611" s="98"/>
    </row>
    <row r="8612" spans="20:20" x14ac:dyDescent="0.25">
      <c r="T8612" s="98"/>
    </row>
    <row r="8613" spans="20:20" x14ac:dyDescent="0.25">
      <c r="T8613" s="98"/>
    </row>
    <row r="8614" spans="20:20" x14ac:dyDescent="0.25">
      <c r="T8614" s="98"/>
    </row>
    <row r="8615" spans="20:20" x14ac:dyDescent="0.25">
      <c r="T8615" s="98"/>
    </row>
    <row r="8616" spans="20:20" x14ac:dyDescent="0.25">
      <c r="T8616" s="98"/>
    </row>
    <row r="8617" spans="20:20" x14ac:dyDescent="0.25">
      <c r="T8617" s="98"/>
    </row>
    <row r="8618" spans="20:20" x14ac:dyDescent="0.25">
      <c r="T8618" s="98"/>
    </row>
    <row r="8619" spans="20:20" x14ac:dyDescent="0.25">
      <c r="T8619" s="98"/>
    </row>
    <row r="8620" spans="20:20" x14ac:dyDescent="0.25">
      <c r="T8620" s="98"/>
    </row>
    <row r="8621" spans="20:20" x14ac:dyDescent="0.25">
      <c r="T8621" s="98"/>
    </row>
    <row r="8622" spans="20:20" x14ac:dyDescent="0.25">
      <c r="T8622" s="98"/>
    </row>
    <row r="8623" spans="20:20" x14ac:dyDescent="0.25">
      <c r="T8623" s="98"/>
    </row>
    <row r="8624" spans="20:20" x14ac:dyDescent="0.25">
      <c r="T8624" s="98"/>
    </row>
    <row r="8625" spans="20:20" x14ac:dyDescent="0.25">
      <c r="T8625" s="98"/>
    </row>
    <row r="8626" spans="20:20" x14ac:dyDescent="0.25">
      <c r="T8626" s="98"/>
    </row>
    <row r="8627" spans="20:20" x14ac:dyDescent="0.25">
      <c r="T8627" s="98"/>
    </row>
    <row r="8628" spans="20:20" x14ac:dyDescent="0.25">
      <c r="T8628" s="98"/>
    </row>
    <row r="8629" spans="20:20" x14ac:dyDescent="0.25">
      <c r="T8629" s="98"/>
    </row>
    <row r="8630" spans="20:20" x14ac:dyDescent="0.25">
      <c r="T8630" s="98"/>
    </row>
    <row r="8631" spans="20:20" x14ac:dyDescent="0.25">
      <c r="T8631" s="98"/>
    </row>
    <row r="8632" spans="20:20" x14ac:dyDescent="0.25">
      <c r="T8632" s="98"/>
    </row>
    <row r="8633" spans="20:20" x14ac:dyDescent="0.25">
      <c r="T8633" s="98"/>
    </row>
    <row r="8634" spans="20:20" x14ac:dyDescent="0.25">
      <c r="T8634" s="98"/>
    </row>
    <row r="8635" spans="20:20" x14ac:dyDescent="0.25">
      <c r="T8635" s="98"/>
    </row>
    <row r="8636" spans="20:20" x14ac:dyDescent="0.25">
      <c r="T8636" s="98"/>
    </row>
    <row r="8637" spans="20:20" x14ac:dyDescent="0.25">
      <c r="T8637" s="98"/>
    </row>
    <row r="8638" spans="20:20" x14ac:dyDescent="0.25">
      <c r="T8638" s="98"/>
    </row>
    <row r="8639" spans="20:20" x14ac:dyDescent="0.25">
      <c r="T8639" s="98"/>
    </row>
    <row r="8640" spans="20:20" x14ac:dyDescent="0.25">
      <c r="T8640" s="98"/>
    </row>
    <row r="8641" spans="20:20" x14ac:dyDescent="0.25">
      <c r="T8641" s="98"/>
    </row>
    <row r="8642" spans="20:20" x14ac:dyDescent="0.25">
      <c r="T8642" s="98"/>
    </row>
    <row r="8643" spans="20:20" x14ac:dyDescent="0.25">
      <c r="T8643" s="98"/>
    </row>
    <row r="8644" spans="20:20" x14ac:dyDescent="0.25">
      <c r="T8644" s="98"/>
    </row>
    <row r="8645" spans="20:20" x14ac:dyDescent="0.25">
      <c r="T8645" s="98"/>
    </row>
    <row r="8646" spans="20:20" x14ac:dyDescent="0.25">
      <c r="T8646" s="98"/>
    </row>
    <row r="8647" spans="20:20" x14ac:dyDescent="0.25">
      <c r="T8647" s="98"/>
    </row>
    <row r="8648" spans="20:20" x14ac:dyDescent="0.25">
      <c r="T8648" s="98"/>
    </row>
    <row r="8649" spans="20:20" x14ac:dyDescent="0.25">
      <c r="T8649" s="98"/>
    </row>
    <row r="8650" spans="20:20" x14ac:dyDescent="0.25">
      <c r="T8650" s="98"/>
    </row>
    <row r="8651" spans="20:20" x14ac:dyDescent="0.25">
      <c r="T8651" s="98"/>
    </row>
    <row r="8652" spans="20:20" x14ac:dyDescent="0.25">
      <c r="T8652" s="98"/>
    </row>
    <row r="8653" spans="20:20" x14ac:dyDescent="0.25">
      <c r="T8653" s="98"/>
    </row>
    <row r="8654" spans="20:20" x14ac:dyDescent="0.25">
      <c r="T8654" s="98"/>
    </row>
    <row r="8655" spans="20:20" x14ac:dyDescent="0.25">
      <c r="T8655" s="98"/>
    </row>
    <row r="8656" spans="20:20" x14ac:dyDescent="0.25">
      <c r="T8656" s="98"/>
    </row>
    <row r="8657" spans="20:20" x14ac:dyDescent="0.25">
      <c r="T8657" s="98"/>
    </row>
    <row r="8658" spans="20:20" x14ac:dyDescent="0.25">
      <c r="T8658" s="98"/>
    </row>
    <row r="8659" spans="20:20" x14ac:dyDescent="0.25">
      <c r="T8659" s="98"/>
    </row>
    <row r="8660" spans="20:20" x14ac:dyDescent="0.25">
      <c r="T8660" s="98"/>
    </row>
    <row r="8661" spans="20:20" x14ac:dyDescent="0.25">
      <c r="T8661" s="98"/>
    </row>
    <row r="8662" spans="20:20" x14ac:dyDescent="0.25">
      <c r="T8662" s="98"/>
    </row>
    <row r="8663" spans="20:20" x14ac:dyDescent="0.25">
      <c r="T8663" s="98"/>
    </row>
    <row r="8664" spans="20:20" x14ac:dyDescent="0.25">
      <c r="T8664" s="98"/>
    </row>
    <row r="8665" spans="20:20" x14ac:dyDescent="0.25">
      <c r="T8665" s="98"/>
    </row>
    <row r="8666" spans="20:20" x14ac:dyDescent="0.25">
      <c r="T8666" s="98"/>
    </row>
    <row r="8667" spans="20:20" x14ac:dyDescent="0.25">
      <c r="T8667" s="98"/>
    </row>
    <row r="8668" spans="20:20" x14ac:dyDescent="0.25">
      <c r="T8668" s="98"/>
    </row>
    <row r="8669" spans="20:20" x14ac:dyDescent="0.25">
      <c r="T8669" s="98"/>
    </row>
    <row r="8670" spans="20:20" x14ac:dyDescent="0.25">
      <c r="T8670" s="98"/>
    </row>
    <row r="8671" spans="20:20" x14ac:dyDescent="0.25">
      <c r="T8671" s="98"/>
    </row>
    <row r="8672" spans="20:20" x14ac:dyDescent="0.25">
      <c r="T8672" s="98"/>
    </row>
    <row r="8673" spans="20:20" x14ac:dyDescent="0.25">
      <c r="T8673" s="98"/>
    </row>
    <row r="8674" spans="20:20" x14ac:dyDescent="0.25">
      <c r="T8674" s="98"/>
    </row>
    <row r="8675" spans="20:20" x14ac:dyDescent="0.25">
      <c r="T8675" s="98"/>
    </row>
    <row r="8676" spans="20:20" x14ac:dyDescent="0.25">
      <c r="T8676" s="98"/>
    </row>
    <row r="8677" spans="20:20" x14ac:dyDescent="0.25">
      <c r="T8677" s="98"/>
    </row>
    <row r="8678" spans="20:20" x14ac:dyDescent="0.25">
      <c r="T8678" s="98"/>
    </row>
    <row r="8679" spans="20:20" x14ac:dyDescent="0.25">
      <c r="T8679" s="98"/>
    </row>
    <row r="8680" spans="20:20" x14ac:dyDescent="0.25">
      <c r="T8680" s="98"/>
    </row>
    <row r="8681" spans="20:20" x14ac:dyDescent="0.25">
      <c r="T8681" s="98"/>
    </row>
    <row r="8682" spans="20:20" x14ac:dyDescent="0.25">
      <c r="T8682" s="98"/>
    </row>
    <row r="8683" spans="20:20" x14ac:dyDescent="0.25">
      <c r="T8683" s="98"/>
    </row>
    <row r="8684" spans="20:20" x14ac:dyDescent="0.25">
      <c r="T8684" s="98"/>
    </row>
    <row r="8685" spans="20:20" x14ac:dyDescent="0.25">
      <c r="T8685" s="98"/>
    </row>
    <row r="8686" spans="20:20" x14ac:dyDescent="0.25">
      <c r="T8686" s="98"/>
    </row>
    <row r="8687" spans="20:20" x14ac:dyDescent="0.25">
      <c r="T8687" s="98"/>
    </row>
    <row r="8688" spans="20:20" x14ac:dyDescent="0.25">
      <c r="T8688" s="98"/>
    </row>
    <row r="8689" spans="20:20" x14ac:dyDescent="0.25">
      <c r="T8689" s="98"/>
    </row>
    <row r="8690" spans="20:20" x14ac:dyDescent="0.25">
      <c r="T8690" s="98"/>
    </row>
    <row r="8691" spans="20:20" x14ac:dyDescent="0.25">
      <c r="T8691" s="98"/>
    </row>
    <row r="8692" spans="20:20" x14ac:dyDescent="0.25">
      <c r="T8692" s="98"/>
    </row>
    <row r="8693" spans="20:20" x14ac:dyDescent="0.25">
      <c r="T8693" s="98"/>
    </row>
    <row r="8694" spans="20:20" x14ac:dyDescent="0.25">
      <c r="T8694" s="98"/>
    </row>
    <row r="8695" spans="20:20" x14ac:dyDescent="0.25">
      <c r="T8695" s="98"/>
    </row>
    <row r="8696" spans="20:20" x14ac:dyDescent="0.25">
      <c r="T8696" s="98"/>
    </row>
    <row r="8697" spans="20:20" x14ac:dyDescent="0.25">
      <c r="T8697" s="98"/>
    </row>
    <row r="8698" spans="20:20" x14ac:dyDescent="0.25">
      <c r="T8698" s="98"/>
    </row>
    <row r="8699" spans="20:20" x14ac:dyDescent="0.25">
      <c r="T8699" s="98"/>
    </row>
    <row r="8700" spans="20:20" x14ac:dyDescent="0.25">
      <c r="T8700" s="98"/>
    </row>
    <row r="8701" spans="20:20" x14ac:dyDescent="0.25">
      <c r="T8701" s="98"/>
    </row>
    <row r="8702" spans="20:20" x14ac:dyDescent="0.25">
      <c r="T8702" s="98"/>
    </row>
    <row r="8703" spans="20:20" x14ac:dyDescent="0.25">
      <c r="T8703" s="98"/>
    </row>
    <row r="8704" spans="20:20" x14ac:dyDescent="0.25">
      <c r="T8704" s="98"/>
    </row>
    <row r="8705" spans="20:20" x14ac:dyDescent="0.25">
      <c r="T8705" s="98"/>
    </row>
    <row r="8706" spans="20:20" x14ac:dyDescent="0.25">
      <c r="T8706" s="98"/>
    </row>
    <row r="8707" spans="20:20" x14ac:dyDescent="0.25">
      <c r="T8707" s="98"/>
    </row>
    <row r="8708" spans="20:20" x14ac:dyDescent="0.25">
      <c r="T8708" s="98"/>
    </row>
    <row r="8709" spans="20:20" x14ac:dyDescent="0.25">
      <c r="T8709" s="98"/>
    </row>
    <row r="8710" spans="20:20" x14ac:dyDescent="0.25">
      <c r="T8710" s="98"/>
    </row>
    <row r="8711" spans="20:20" x14ac:dyDescent="0.25">
      <c r="T8711" s="98"/>
    </row>
    <row r="8712" spans="20:20" x14ac:dyDescent="0.25">
      <c r="T8712" s="98"/>
    </row>
    <row r="8713" spans="20:20" x14ac:dyDescent="0.25">
      <c r="T8713" s="98"/>
    </row>
    <row r="8714" spans="20:20" x14ac:dyDescent="0.25">
      <c r="T8714" s="98"/>
    </row>
    <row r="8715" spans="20:20" x14ac:dyDescent="0.25">
      <c r="T8715" s="98"/>
    </row>
    <row r="8716" spans="20:20" x14ac:dyDescent="0.25">
      <c r="T8716" s="98"/>
    </row>
    <row r="8717" spans="20:20" x14ac:dyDescent="0.25">
      <c r="T8717" s="98"/>
    </row>
    <row r="8718" spans="20:20" x14ac:dyDescent="0.25">
      <c r="T8718" s="98"/>
    </row>
    <row r="8719" spans="20:20" x14ac:dyDescent="0.25">
      <c r="T8719" s="98"/>
    </row>
    <row r="8720" spans="20:20" x14ac:dyDescent="0.25">
      <c r="T8720" s="98"/>
    </row>
    <row r="8721" spans="20:20" x14ac:dyDescent="0.25">
      <c r="T8721" s="98"/>
    </row>
    <row r="8722" spans="20:20" x14ac:dyDescent="0.25">
      <c r="T8722" s="98"/>
    </row>
    <row r="8723" spans="20:20" x14ac:dyDescent="0.25">
      <c r="T8723" s="98"/>
    </row>
    <row r="8724" spans="20:20" x14ac:dyDescent="0.25">
      <c r="T8724" s="98"/>
    </row>
    <row r="8725" spans="20:20" x14ac:dyDescent="0.25">
      <c r="T8725" s="98"/>
    </row>
    <row r="8726" spans="20:20" x14ac:dyDescent="0.25">
      <c r="T8726" s="98"/>
    </row>
    <row r="8727" spans="20:20" x14ac:dyDescent="0.25">
      <c r="T8727" s="98"/>
    </row>
    <row r="8728" spans="20:20" x14ac:dyDescent="0.25">
      <c r="T8728" s="98"/>
    </row>
    <row r="8729" spans="20:20" x14ac:dyDescent="0.25">
      <c r="T8729" s="98"/>
    </row>
    <row r="8730" spans="20:20" x14ac:dyDescent="0.25">
      <c r="T8730" s="98"/>
    </row>
    <row r="8731" spans="20:20" x14ac:dyDescent="0.25">
      <c r="T8731" s="98"/>
    </row>
    <row r="8732" spans="20:20" x14ac:dyDescent="0.25">
      <c r="T8732" s="98"/>
    </row>
    <row r="8733" spans="20:20" x14ac:dyDescent="0.25">
      <c r="T8733" s="98"/>
    </row>
    <row r="8734" spans="20:20" x14ac:dyDescent="0.25">
      <c r="T8734" s="98"/>
    </row>
    <row r="8735" spans="20:20" x14ac:dyDescent="0.25">
      <c r="T8735" s="98"/>
    </row>
    <row r="8736" spans="20:20" x14ac:dyDescent="0.25">
      <c r="T8736" s="98"/>
    </row>
    <row r="8737" spans="20:20" x14ac:dyDescent="0.25">
      <c r="T8737" s="98"/>
    </row>
    <row r="8738" spans="20:20" x14ac:dyDescent="0.25">
      <c r="T8738" s="98"/>
    </row>
    <row r="8739" spans="20:20" x14ac:dyDescent="0.25">
      <c r="T8739" s="98"/>
    </row>
    <row r="8740" spans="20:20" x14ac:dyDescent="0.25">
      <c r="T8740" s="98"/>
    </row>
    <row r="8741" spans="20:20" x14ac:dyDescent="0.25">
      <c r="T8741" s="98"/>
    </row>
    <row r="8742" spans="20:20" x14ac:dyDescent="0.25">
      <c r="T8742" s="98"/>
    </row>
    <row r="8743" spans="20:20" x14ac:dyDescent="0.25">
      <c r="T8743" s="98"/>
    </row>
    <row r="8744" spans="20:20" x14ac:dyDescent="0.25">
      <c r="T8744" s="98"/>
    </row>
    <row r="8745" spans="20:20" x14ac:dyDescent="0.25">
      <c r="T8745" s="98"/>
    </row>
    <row r="8746" spans="20:20" x14ac:dyDescent="0.25">
      <c r="T8746" s="98"/>
    </row>
    <row r="8747" spans="20:20" x14ac:dyDescent="0.25">
      <c r="T8747" s="98"/>
    </row>
    <row r="8748" spans="20:20" x14ac:dyDescent="0.25">
      <c r="T8748" s="98"/>
    </row>
    <row r="8749" spans="20:20" x14ac:dyDescent="0.25">
      <c r="T8749" s="98"/>
    </row>
    <row r="8750" spans="20:20" x14ac:dyDescent="0.25">
      <c r="T8750" s="98"/>
    </row>
    <row r="8751" spans="20:20" x14ac:dyDescent="0.25">
      <c r="T8751" s="98"/>
    </row>
    <row r="8752" spans="20:20" x14ac:dyDescent="0.25">
      <c r="T8752" s="98"/>
    </row>
    <row r="8753" spans="20:20" x14ac:dyDescent="0.25">
      <c r="T8753" s="98"/>
    </row>
    <row r="8754" spans="20:20" x14ac:dyDescent="0.25">
      <c r="T8754" s="98"/>
    </row>
    <row r="8755" spans="20:20" x14ac:dyDescent="0.25">
      <c r="T8755" s="98"/>
    </row>
    <row r="8756" spans="20:20" x14ac:dyDescent="0.25">
      <c r="T8756" s="98"/>
    </row>
    <row r="8757" spans="20:20" x14ac:dyDescent="0.25">
      <c r="T8757" s="98"/>
    </row>
    <row r="8758" spans="20:20" x14ac:dyDescent="0.25">
      <c r="T8758" s="98"/>
    </row>
    <row r="8759" spans="20:20" x14ac:dyDescent="0.25">
      <c r="T8759" s="98"/>
    </row>
    <row r="8760" spans="20:20" x14ac:dyDescent="0.25">
      <c r="T8760" s="98"/>
    </row>
    <row r="8761" spans="20:20" x14ac:dyDescent="0.25">
      <c r="T8761" s="98"/>
    </row>
    <row r="8762" spans="20:20" x14ac:dyDescent="0.25">
      <c r="T8762" s="98"/>
    </row>
    <row r="8763" spans="20:20" x14ac:dyDescent="0.25">
      <c r="T8763" s="98"/>
    </row>
    <row r="8764" spans="20:20" x14ac:dyDescent="0.25">
      <c r="T8764" s="98"/>
    </row>
    <row r="8765" spans="20:20" x14ac:dyDescent="0.25">
      <c r="T8765" s="98"/>
    </row>
    <row r="8766" spans="20:20" x14ac:dyDescent="0.25">
      <c r="T8766" s="98"/>
    </row>
    <row r="8767" spans="20:20" x14ac:dyDescent="0.25">
      <c r="T8767" s="98"/>
    </row>
    <row r="8768" spans="20:20" x14ac:dyDescent="0.25">
      <c r="T8768" s="98"/>
    </row>
    <row r="8769" spans="20:20" x14ac:dyDescent="0.25">
      <c r="T8769" s="98"/>
    </row>
    <row r="8770" spans="20:20" x14ac:dyDescent="0.25">
      <c r="T8770" s="98"/>
    </row>
    <row r="8771" spans="20:20" x14ac:dyDescent="0.25">
      <c r="T8771" s="98"/>
    </row>
    <row r="8772" spans="20:20" x14ac:dyDescent="0.25">
      <c r="T8772" s="98"/>
    </row>
    <row r="8773" spans="20:20" x14ac:dyDescent="0.25">
      <c r="T8773" s="98"/>
    </row>
    <row r="8774" spans="20:20" x14ac:dyDescent="0.25">
      <c r="T8774" s="98"/>
    </row>
    <row r="8775" spans="20:20" x14ac:dyDescent="0.25">
      <c r="T8775" s="98"/>
    </row>
    <row r="8776" spans="20:20" x14ac:dyDescent="0.25">
      <c r="T8776" s="98"/>
    </row>
    <row r="8777" spans="20:20" x14ac:dyDescent="0.25">
      <c r="T8777" s="98"/>
    </row>
    <row r="8778" spans="20:20" x14ac:dyDescent="0.25">
      <c r="T8778" s="98"/>
    </row>
    <row r="8779" spans="20:20" x14ac:dyDescent="0.25">
      <c r="T8779" s="98"/>
    </row>
    <row r="8780" spans="20:20" x14ac:dyDescent="0.25">
      <c r="T8780" s="98"/>
    </row>
    <row r="8781" spans="20:20" x14ac:dyDescent="0.25">
      <c r="T8781" s="98"/>
    </row>
    <row r="8782" spans="20:20" x14ac:dyDescent="0.25">
      <c r="T8782" s="98"/>
    </row>
    <row r="8783" spans="20:20" x14ac:dyDescent="0.25">
      <c r="T8783" s="98"/>
    </row>
    <row r="8784" spans="20:20" x14ac:dyDescent="0.25">
      <c r="T8784" s="98"/>
    </row>
    <row r="8785" spans="20:20" x14ac:dyDescent="0.25">
      <c r="T8785" s="98"/>
    </row>
    <row r="8786" spans="20:20" x14ac:dyDescent="0.25">
      <c r="T8786" s="98"/>
    </row>
    <row r="8787" spans="20:20" x14ac:dyDescent="0.25">
      <c r="T8787" s="98"/>
    </row>
    <row r="8788" spans="20:20" x14ac:dyDescent="0.25">
      <c r="T8788" s="98"/>
    </row>
    <row r="8789" spans="20:20" x14ac:dyDescent="0.25">
      <c r="T8789" s="98"/>
    </row>
    <row r="8790" spans="20:20" x14ac:dyDescent="0.25">
      <c r="T8790" s="98"/>
    </row>
    <row r="8791" spans="20:20" x14ac:dyDescent="0.25">
      <c r="T8791" s="98"/>
    </row>
    <row r="8792" spans="20:20" x14ac:dyDescent="0.25">
      <c r="T8792" s="98"/>
    </row>
    <row r="8793" spans="20:20" x14ac:dyDescent="0.25">
      <c r="T8793" s="98"/>
    </row>
    <row r="8794" spans="20:20" x14ac:dyDescent="0.25">
      <c r="T8794" s="98"/>
    </row>
    <row r="8795" spans="20:20" x14ac:dyDescent="0.25">
      <c r="T8795" s="98"/>
    </row>
    <row r="8796" spans="20:20" x14ac:dyDescent="0.25">
      <c r="T8796" s="98"/>
    </row>
    <row r="8797" spans="20:20" x14ac:dyDescent="0.25">
      <c r="T8797" s="98"/>
    </row>
    <row r="8798" spans="20:20" x14ac:dyDescent="0.25">
      <c r="T8798" s="98"/>
    </row>
    <row r="8799" spans="20:20" x14ac:dyDescent="0.25">
      <c r="T8799" s="98"/>
    </row>
    <row r="8800" spans="20:20" x14ac:dyDescent="0.25">
      <c r="T8800" s="98"/>
    </row>
    <row r="8801" spans="20:20" x14ac:dyDescent="0.25">
      <c r="T8801" s="98"/>
    </row>
    <row r="8802" spans="20:20" x14ac:dyDescent="0.25">
      <c r="T8802" s="98"/>
    </row>
    <row r="8803" spans="20:20" x14ac:dyDescent="0.25">
      <c r="T8803" s="98"/>
    </row>
    <row r="8804" spans="20:20" x14ac:dyDescent="0.25">
      <c r="T8804" s="98"/>
    </row>
    <row r="8805" spans="20:20" x14ac:dyDescent="0.25">
      <c r="T8805" s="98"/>
    </row>
    <row r="8806" spans="20:20" x14ac:dyDescent="0.25">
      <c r="T8806" s="98"/>
    </row>
    <row r="8807" spans="20:20" x14ac:dyDescent="0.25">
      <c r="T8807" s="98"/>
    </row>
    <row r="8808" spans="20:20" x14ac:dyDescent="0.25">
      <c r="T8808" s="98"/>
    </row>
    <row r="8809" spans="20:20" x14ac:dyDescent="0.25">
      <c r="T8809" s="98"/>
    </row>
    <row r="8810" spans="20:20" x14ac:dyDescent="0.25">
      <c r="T8810" s="98"/>
    </row>
    <row r="8811" spans="20:20" x14ac:dyDescent="0.25">
      <c r="T8811" s="98"/>
    </row>
    <row r="8812" spans="20:20" x14ac:dyDescent="0.25">
      <c r="T8812" s="98"/>
    </row>
    <row r="8813" spans="20:20" x14ac:dyDescent="0.25">
      <c r="T8813" s="98"/>
    </row>
    <row r="8814" spans="20:20" x14ac:dyDescent="0.25">
      <c r="T8814" s="98"/>
    </row>
    <row r="8815" spans="20:20" x14ac:dyDescent="0.25">
      <c r="T8815" s="98"/>
    </row>
    <row r="8816" spans="20:20" x14ac:dyDescent="0.25">
      <c r="T8816" s="98"/>
    </row>
    <row r="8817" spans="20:20" x14ac:dyDescent="0.25">
      <c r="T8817" s="98"/>
    </row>
    <row r="8818" spans="20:20" x14ac:dyDescent="0.25">
      <c r="T8818" s="98"/>
    </row>
    <row r="8819" spans="20:20" x14ac:dyDescent="0.25">
      <c r="T8819" s="98"/>
    </row>
    <row r="8820" spans="20:20" x14ac:dyDescent="0.25">
      <c r="T8820" s="98"/>
    </row>
    <row r="8821" spans="20:20" x14ac:dyDescent="0.25">
      <c r="T8821" s="98"/>
    </row>
    <row r="8822" spans="20:20" x14ac:dyDescent="0.25">
      <c r="T8822" s="98"/>
    </row>
    <row r="8823" spans="20:20" x14ac:dyDescent="0.25">
      <c r="T8823" s="98"/>
    </row>
    <row r="8824" spans="20:20" x14ac:dyDescent="0.25">
      <c r="T8824" s="98"/>
    </row>
    <row r="8825" spans="20:20" x14ac:dyDescent="0.25">
      <c r="T8825" s="98"/>
    </row>
    <row r="8826" spans="20:20" x14ac:dyDescent="0.25">
      <c r="T8826" s="98"/>
    </row>
    <row r="8827" spans="20:20" x14ac:dyDescent="0.25">
      <c r="T8827" s="98"/>
    </row>
    <row r="8828" spans="20:20" x14ac:dyDescent="0.25">
      <c r="T8828" s="98"/>
    </row>
    <row r="8829" spans="20:20" x14ac:dyDescent="0.25">
      <c r="T8829" s="98"/>
    </row>
    <row r="8830" spans="20:20" x14ac:dyDescent="0.25">
      <c r="T8830" s="98"/>
    </row>
    <row r="8831" spans="20:20" x14ac:dyDescent="0.25">
      <c r="T8831" s="98"/>
    </row>
    <row r="8832" spans="20:20" x14ac:dyDescent="0.25">
      <c r="T8832" s="98"/>
    </row>
    <row r="8833" spans="20:20" x14ac:dyDescent="0.25">
      <c r="T8833" s="98"/>
    </row>
    <row r="8834" spans="20:20" x14ac:dyDescent="0.25">
      <c r="T8834" s="98"/>
    </row>
    <row r="8835" spans="20:20" x14ac:dyDescent="0.25">
      <c r="T8835" s="98"/>
    </row>
    <row r="8836" spans="20:20" x14ac:dyDescent="0.25">
      <c r="T8836" s="98"/>
    </row>
    <row r="8837" spans="20:20" x14ac:dyDescent="0.25">
      <c r="T8837" s="98"/>
    </row>
    <row r="8838" spans="20:20" x14ac:dyDescent="0.25">
      <c r="T8838" s="98"/>
    </row>
    <row r="8839" spans="20:20" x14ac:dyDescent="0.25">
      <c r="T8839" s="98"/>
    </row>
    <row r="8840" spans="20:20" x14ac:dyDescent="0.25">
      <c r="T8840" s="98"/>
    </row>
    <row r="8841" spans="20:20" x14ac:dyDescent="0.25">
      <c r="T8841" s="98"/>
    </row>
    <row r="8842" spans="20:20" x14ac:dyDescent="0.25">
      <c r="T8842" s="98"/>
    </row>
    <row r="8843" spans="20:20" x14ac:dyDescent="0.25">
      <c r="T8843" s="98"/>
    </row>
    <row r="8844" spans="20:20" x14ac:dyDescent="0.25">
      <c r="T8844" s="98"/>
    </row>
    <row r="8845" spans="20:20" x14ac:dyDescent="0.25">
      <c r="T8845" s="98"/>
    </row>
    <row r="8846" spans="20:20" x14ac:dyDescent="0.25">
      <c r="T8846" s="98"/>
    </row>
    <row r="8847" spans="20:20" x14ac:dyDescent="0.25">
      <c r="T8847" s="98"/>
    </row>
    <row r="8848" spans="20:20" x14ac:dyDescent="0.25">
      <c r="T8848" s="98"/>
    </row>
    <row r="8849" spans="20:20" x14ac:dyDescent="0.25">
      <c r="T8849" s="98"/>
    </row>
    <row r="8850" spans="20:20" x14ac:dyDescent="0.25">
      <c r="T8850" s="98"/>
    </row>
    <row r="8851" spans="20:20" x14ac:dyDescent="0.25">
      <c r="T8851" s="98"/>
    </row>
    <row r="8852" spans="20:20" x14ac:dyDescent="0.25">
      <c r="T8852" s="98"/>
    </row>
    <row r="8853" spans="20:20" x14ac:dyDescent="0.25">
      <c r="T8853" s="98"/>
    </row>
    <row r="8854" spans="20:20" x14ac:dyDescent="0.25">
      <c r="T8854" s="98"/>
    </row>
    <row r="8855" spans="20:20" x14ac:dyDescent="0.25">
      <c r="T8855" s="98"/>
    </row>
    <row r="8856" spans="20:20" x14ac:dyDescent="0.25">
      <c r="T8856" s="98"/>
    </row>
    <row r="8857" spans="20:20" x14ac:dyDescent="0.25">
      <c r="T8857" s="98"/>
    </row>
    <row r="8858" spans="20:20" x14ac:dyDescent="0.25">
      <c r="T8858" s="98"/>
    </row>
    <row r="8859" spans="20:20" x14ac:dyDescent="0.25">
      <c r="T8859" s="98"/>
    </row>
    <row r="8860" spans="20:20" x14ac:dyDescent="0.25">
      <c r="T8860" s="98"/>
    </row>
    <row r="8861" spans="20:20" x14ac:dyDescent="0.25">
      <c r="T8861" s="98"/>
    </row>
    <row r="8862" spans="20:20" x14ac:dyDescent="0.25">
      <c r="T8862" s="98"/>
    </row>
    <row r="8863" spans="20:20" x14ac:dyDescent="0.25">
      <c r="T8863" s="98"/>
    </row>
    <row r="8864" spans="20:20" x14ac:dyDescent="0.25">
      <c r="T8864" s="98"/>
    </row>
    <row r="8865" spans="20:20" x14ac:dyDescent="0.25">
      <c r="T8865" s="98"/>
    </row>
    <row r="8866" spans="20:20" x14ac:dyDescent="0.25">
      <c r="T8866" s="98"/>
    </row>
    <row r="8867" spans="20:20" x14ac:dyDescent="0.25">
      <c r="T8867" s="98"/>
    </row>
    <row r="8868" spans="20:20" x14ac:dyDescent="0.25">
      <c r="T8868" s="98"/>
    </row>
    <row r="8869" spans="20:20" x14ac:dyDescent="0.25">
      <c r="T8869" s="98"/>
    </row>
    <row r="8870" spans="20:20" x14ac:dyDescent="0.25">
      <c r="T8870" s="98"/>
    </row>
    <row r="8871" spans="20:20" x14ac:dyDescent="0.25">
      <c r="T8871" s="98"/>
    </row>
    <row r="8872" spans="20:20" x14ac:dyDescent="0.25">
      <c r="T8872" s="98"/>
    </row>
    <row r="8873" spans="20:20" x14ac:dyDescent="0.25">
      <c r="T8873" s="98"/>
    </row>
    <row r="8874" spans="20:20" x14ac:dyDescent="0.25">
      <c r="T8874" s="98"/>
    </row>
    <row r="8875" spans="20:20" x14ac:dyDescent="0.25">
      <c r="T8875" s="98"/>
    </row>
    <row r="8876" spans="20:20" x14ac:dyDescent="0.25">
      <c r="T8876" s="98"/>
    </row>
    <row r="8877" spans="20:20" x14ac:dyDescent="0.25">
      <c r="T8877" s="98"/>
    </row>
    <row r="8878" spans="20:20" x14ac:dyDescent="0.25">
      <c r="T8878" s="98"/>
    </row>
    <row r="8879" spans="20:20" x14ac:dyDescent="0.25">
      <c r="T8879" s="98"/>
    </row>
    <row r="8880" spans="20:20" x14ac:dyDescent="0.25">
      <c r="T8880" s="98"/>
    </row>
    <row r="8881" spans="20:20" x14ac:dyDescent="0.25">
      <c r="T8881" s="98"/>
    </row>
    <row r="8882" spans="20:20" x14ac:dyDescent="0.25">
      <c r="T8882" s="98"/>
    </row>
    <row r="8883" spans="20:20" x14ac:dyDescent="0.25">
      <c r="T8883" s="98"/>
    </row>
    <row r="8884" spans="20:20" x14ac:dyDescent="0.25">
      <c r="T8884" s="98"/>
    </row>
    <row r="8885" spans="20:20" x14ac:dyDescent="0.25">
      <c r="T8885" s="98"/>
    </row>
    <row r="8886" spans="20:20" x14ac:dyDescent="0.25">
      <c r="T8886" s="98"/>
    </row>
    <row r="8887" spans="20:20" x14ac:dyDescent="0.25">
      <c r="T8887" s="98"/>
    </row>
    <row r="8888" spans="20:20" x14ac:dyDescent="0.25">
      <c r="T8888" s="98"/>
    </row>
    <row r="8889" spans="20:20" x14ac:dyDescent="0.25">
      <c r="T8889" s="98"/>
    </row>
    <row r="8890" spans="20:20" x14ac:dyDescent="0.25">
      <c r="T8890" s="98"/>
    </row>
    <row r="8891" spans="20:20" x14ac:dyDescent="0.25">
      <c r="T8891" s="98"/>
    </row>
    <row r="8892" spans="20:20" x14ac:dyDescent="0.25">
      <c r="T8892" s="98"/>
    </row>
    <row r="8893" spans="20:20" x14ac:dyDescent="0.25">
      <c r="T8893" s="98"/>
    </row>
    <row r="8894" spans="20:20" x14ac:dyDescent="0.25">
      <c r="T8894" s="98"/>
    </row>
    <row r="8895" spans="20:20" x14ac:dyDescent="0.25">
      <c r="T8895" s="98"/>
    </row>
    <row r="8896" spans="20:20" x14ac:dyDescent="0.25">
      <c r="T8896" s="98"/>
    </row>
    <row r="8897" spans="20:20" x14ac:dyDescent="0.25">
      <c r="T8897" s="98"/>
    </row>
    <row r="8898" spans="20:20" x14ac:dyDescent="0.25">
      <c r="T8898" s="98"/>
    </row>
    <row r="8899" spans="20:20" x14ac:dyDescent="0.25">
      <c r="T8899" s="98"/>
    </row>
    <row r="8900" spans="20:20" x14ac:dyDescent="0.25">
      <c r="T8900" s="98"/>
    </row>
    <row r="8901" spans="20:20" x14ac:dyDescent="0.25">
      <c r="T8901" s="98"/>
    </row>
    <row r="8902" spans="20:20" x14ac:dyDescent="0.25">
      <c r="T8902" s="98"/>
    </row>
    <row r="8903" spans="20:20" x14ac:dyDescent="0.25">
      <c r="T8903" s="98"/>
    </row>
    <row r="8904" spans="20:20" x14ac:dyDescent="0.25">
      <c r="T8904" s="98"/>
    </row>
    <row r="8905" spans="20:20" x14ac:dyDescent="0.25">
      <c r="T8905" s="98"/>
    </row>
    <row r="8906" spans="20:20" x14ac:dyDescent="0.25">
      <c r="T8906" s="98"/>
    </row>
    <row r="8907" spans="20:20" x14ac:dyDescent="0.25">
      <c r="T8907" s="98"/>
    </row>
    <row r="8908" spans="20:20" x14ac:dyDescent="0.25">
      <c r="T8908" s="98"/>
    </row>
    <row r="8909" spans="20:20" x14ac:dyDescent="0.25">
      <c r="T8909" s="98"/>
    </row>
    <row r="8910" spans="20:20" x14ac:dyDescent="0.25">
      <c r="T8910" s="98"/>
    </row>
    <row r="8911" spans="20:20" x14ac:dyDescent="0.25">
      <c r="T8911" s="98"/>
    </row>
    <row r="8912" spans="20:20" x14ac:dyDescent="0.25">
      <c r="T8912" s="98"/>
    </row>
    <row r="8913" spans="20:20" x14ac:dyDescent="0.25">
      <c r="T8913" s="98"/>
    </row>
    <row r="8914" spans="20:20" x14ac:dyDescent="0.25">
      <c r="T8914" s="98"/>
    </row>
    <row r="8915" spans="20:20" x14ac:dyDescent="0.25">
      <c r="T8915" s="98"/>
    </row>
    <row r="8916" spans="20:20" x14ac:dyDescent="0.25">
      <c r="T8916" s="98"/>
    </row>
    <row r="8917" spans="20:20" x14ac:dyDescent="0.25">
      <c r="T8917" s="98"/>
    </row>
    <row r="8918" spans="20:20" x14ac:dyDescent="0.25">
      <c r="T8918" s="98"/>
    </row>
    <row r="8919" spans="20:20" x14ac:dyDescent="0.25">
      <c r="T8919" s="98"/>
    </row>
    <row r="8920" spans="20:20" x14ac:dyDescent="0.25">
      <c r="T8920" s="98"/>
    </row>
    <row r="8921" spans="20:20" x14ac:dyDescent="0.25">
      <c r="T8921" s="98"/>
    </row>
    <row r="8922" spans="20:20" x14ac:dyDescent="0.25">
      <c r="T8922" s="98"/>
    </row>
    <row r="8923" spans="20:20" x14ac:dyDescent="0.25">
      <c r="T8923" s="98"/>
    </row>
    <row r="8924" spans="20:20" x14ac:dyDescent="0.25">
      <c r="T8924" s="98"/>
    </row>
    <row r="8925" spans="20:20" x14ac:dyDescent="0.25">
      <c r="T8925" s="98"/>
    </row>
    <row r="8926" spans="20:20" x14ac:dyDescent="0.25">
      <c r="T8926" s="98"/>
    </row>
    <row r="8927" spans="20:20" x14ac:dyDescent="0.25">
      <c r="T8927" s="98"/>
    </row>
    <row r="8928" spans="20:20" x14ac:dyDescent="0.25">
      <c r="T8928" s="98"/>
    </row>
    <row r="8929" spans="20:20" x14ac:dyDescent="0.25">
      <c r="T8929" s="98"/>
    </row>
    <row r="8930" spans="20:20" x14ac:dyDescent="0.25">
      <c r="T8930" s="98"/>
    </row>
    <row r="8931" spans="20:20" x14ac:dyDescent="0.25">
      <c r="T8931" s="98"/>
    </row>
    <row r="8932" spans="20:20" x14ac:dyDescent="0.25">
      <c r="T8932" s="98"/>
    </row>
    <row r="8933" spans="20:20" x14ac:dyDescent="0.25">
      <c r="T8933" s="98"/>
    </row>
    <row r="8934" spans="20:20" x14ac:dyDescent="0.25">
      <c r="T8934" s="98"/>
    </row>
    <row r="8935" spans="20:20" x14ac:dyDescent="0.25">
      <c r="T8935" s="98"/>
    </row>
    <row r="8936" spans="20:20" x14ac:dyDescent="0.25">
      <c r="T8936" s="98"/>
    </row>
    <row r="8937" spans="20:20" x14ac:dyDescent="0.25">
      <c r="T8937" s="98"/>
    </row>
    <row r="8938" spans="20:20" x14ac:dyDescent="0.25">
      <c r="T8938" s="98"/>
    </row>
    <row r="8939" spans="20:20" x14ac:dyDescent="0.25">
      <c r="T8939" s="98"/>
    </row>
    <row r="8940" spans="20:20" x14ac:dyDescent="0.25">
      <c r="T8940" s="98"/>
    </row>
    <row r="8941" spans="20:20" x14ac:dyDescent="0.25">
      <c r="T8941" s="98"/>
    </row>
    <row r="8942" spans="20:20" x14ac:dyDescent="0.25">
      <c r="T8942" s="98"/>
    </row>
    <row r="8943" spans="20:20" x14ac:dyDescent="0.25">
      <c r="T8943" s="98"/>
    </row>
    <row r="8944" spans="20:20" x14ac:dyDescent="0.25">
      <c r="T8944" s="98"/>
    </row>
    <row r="8945" spans="20:20" x14ac:dyDescent="0.25">
      <c r="T8945" s="98"/>
    </row>
    <row r="8946" spans="20:20" x14ac:dyDescent="0.25">
      <c r="T8946" s="98"/>
    </row>
    <row r="8947" spans="20:20" x14ac:dyDescent="0.25">
      <c r="T8947" s="98"/>
    </row>
    <row r="8948" spans="20:20" x14ac:dyDescent="0.25">
      <c r="T8948" s="98"/>
    </row>
    <row r="8949" spans="20:20" x14ac:dyDescent="0.25">
      <c r="T8949" s="98"/>
    </row>
    <row r="8950" spans="20:20" x14ac:dyDescent="0.25">
      <c r="T8950" s="98"/>
    </row>
    <row r="8951" spans="20:20" x14ac:dyDescent="0.25">
      <c r="T8951" s="98"/>
    </row>
    <row r="8952" spans="20:20" x14ac:dyDescent="0.25">
      <c r="T8952" s="98"/>
    </row>
    <row r="8953" spans="20:20" x14ac:dyDescent="0.25">
      <c r="T8953" s="98"/>
    </row>
    <row r="8954" spans="20:20" x14ac:dyDescent="0.25">
      <c r="T8954" s="98"/>
    </row>
    <row r="8955" spans="20:20" x14ac:dyDescent="0.25">
      <c r="T8955" s="98"/>
    </row>
    <row r="8956" spans="20:20" x14ac:dyDescent="0.25">
      <c r="T8956" s="98"/>
    </row>
    <row r="8957" spans="20:20" x14ac:dyDescent="0.25">
      <c r="T8957" s="98"/>
    </row>
    <row r="8958" spans="20:20" x14ac:dyDescent="0.25">
      <c r="T8958" s="98"/>
    </row>
    <row r="8959" spans="20:20" x14ac:dyDescent="0.25">
      <c r="T8959" s="98"/>
    </row>
    <row r="8960" spans="20:20" x14ac:dyDescent="0.25">
      <c r="T8960" s="98"/>
    </row>
    <row r="8961" spans="20:20" x14ac:dyDescent="0.25">
      <c r="T8961" s="98"/>
    </row>
    <row r="8962" spans="20:20" x14ac:dyDescent="0.25">
      <c r="T8962" s="98"/>
    </row>
    <row r="8963" spans="20:20" x14ac:dyDescent="0.25">
      <c r="T8963" s="98"/>
    </row>
    <row r="8964" spans="20:20" x14ac:dyDescent="0.25">
      <c r="T8964" s="98"/>
    </row>
    <row r="8965" spans="20:20" x14ac:dyDescent="0.25">
      <c r="T8965" s="98"/>
    </row>
    <row r="8966" spans="20:20" x14ac:dyDescent="0.25">
      <c r="T8966" s="98"/>
    </row>
    <row r="8967" spans="20:20" x14ac:dyDescent="0.25">
      <c r="T8967" s="98"/>
    </row>
    <row r="8968" spans="20:20" x14ac:dyDescent="0.25">
      <c r="T8968" s="98"/>
    </row>
    <row r="8969" spans="20:20" x14ac:dyDescent="0.25">
      <c r="T8969" s="98"/>
    </row>
    <row r="8970" spans="20:20" x14ac:dyDescent="0.25">
      <c r="T8970" s="98"/>
    </row>
    <row r="8971" spans="20:20" x14ac:dyDescent="0.25">
      <c r="T8971" s="98"/>
    </row>
    <row r="8972" spans="20:20" x14ac:dyDescent="0.25">
      <c r="T8972" s="98"/>
    </row>
    <row r="8973" spans="20:20" x14ac:dyDescent="0.25">
      <c r="T8973" s="98"/>
    </row>
    <row r="8974" spans="20:20" x14ac:dyDescent="0.25">
      <c r="T8974" s="98"/>
    </row>
    <row r="8975" spans="20:20" x14ac:dyDescent="0.25">
      <c r="T8975" s="98"/>
    </row>
    <row r="8976" spans="20:20" x14ac:dyDescent="0.25">
      <c r="T8976" s="98"/>
    </row>
    <row r="8977" spans="20:20" x14ac:dyDescent="0.25">
      <c r="T8977" s="98"/>
    </row>
    <row r="8978" spans="20:20" x14ac:dyDescent="0.25">
      <c r="T8978" s="98"/>
    </row>
    <row r="8979" spans="20:20" x14ac:dyDescent="0.25">
      <c r="T8979" s="98"/>
    </row>
    <row r="8980" spans="20:20" x14ac:dyDescent="0.25">
      <c r="T8980" s="98"/>
    </row>
    <row r="8981" spans="20:20" x14ac:dyDescent="0.25">
      <c r="T8981" s="98"/>
    </row>
    <row r="8982" spans="20:20" x14ac:dyDescent="0.25">
      <c r="T8982" s="98"/>
    </row>
    <row r="8983" spans="20:20" x14ac:dyDescent="0.25">
      <c r="T8983" s="98"/>
    </row>
    <row r="8984" spans="20:20" x14ac:dyDescent="0.25">
      <c r="T8984" s="98"/>
    </row>
    <row r="8985" spans="20:20" x14ac:dyDescent="0.25">
      <c r="T8985" s="98"/>
    </row>
    <row r="8986" spans="20:20" x14ac:dyDescent="0.25">
      <c r="T8986" s="98"/>
    </row>
    <row r="8987" spans="20:20" x14ac:dyDescent="0.25">
      <c r="T8987" s="98"/>
    </row>
    <row r="8988" spans="20:20" x14ac:dyDescent="0.25">
      <c r="T8988" s="98"/>
    </row>
    <row r="8989" spans="20:20" x14ac:dyDescent="0.25">
      <c r="T8989" s="98"/>
    </row>
    <row r="8990" spans="20:20" x14ac:dyDescent="0.25">
      <c r="T8990" s="98"/>
    </row>
    <row r="8991" spans="20:20" x14ac:dyDescent="0.25">
      <c r="T8991" s="98"/>
    </row>
    <row r="8992" spans="20:20" x14ac:dyDescent="0.25">
      <c r="T8992" s="98"/>
    </row>
    <row r="8993" spans="20:20" x14ac:dyDescent="0.25">
      <c r="T8993" s="98"/>
    </row>
    <row r="8994" spans="20:20" x14ac:dyDescent="0.25">
      <c r="T8994" s="98"/>
    </row>
    <row r="8995" spans="20:20" x14ac:dyDescent="0.25">
      <c r="T8995" s="98"/>
    </row>
    <row r="8996" spans="20:20" x14ac:dyDescent="0.25">
      <c r="T8996" s="98"/>
    </row>
    <row r="8997" spans="20:20" x14ac:dyDescent="0.25">
      <c r="T8997" s="98"/>
    </row>
    <row r="8998" spans="20:20" x14ac:dyDescent="0.25">
      <c r="T8998" s="98"/>
    </row>
    <row r="8999" spans="20:20" x14ac:dyDescent="0.25">
      <c r="T8999" s="98"/>
    </row>
    <row r="9000" spans="20:20" x14ac:dyDescent="0.25">
      <c r="T9000" s="98"/>
    </row>
    <row r="9001" spans="20:20" x14ac:dyDescent="0.25">
      <c r="T9001" s="98"/>
    </row>
    <row r="9002" spans="20:20" x14ac:dyDescent="0.25">
      <c r="T9002" s="98"/>
    </row>
    <row r="9003" spans="20:20" x14ac:dyDescent="0.25">
      <c r="T9003" s="98"/>
    </row>
    <row r="9004" spans="20:20" x14ac:dyDescent="0.25">
      <c r="T9004" s="98"/>
    </row>
    <row r="9005" spans="20:20" x14ac:dyDescent="0.25">
      <c r="T9005" s="98"/>
    </row>
    <row r="9006" spans="20:20" x14ac:dyDescent="0.25">
      <c r="T9006" s="98"/>
    </row>
    <row r="9007" spans="20:20" x14ac:dyDescent="0.25">
      <c r="T9007" s="98"/>
    </row>
    <row r="9008" spans="20:20" x14ac:dyDescent="0.25">
      <c r="T9008" s="98"/>
    </row>
    <row r="9009" spans="20:20" x14ac:dyDescent="0.25">
      <c r="T9009" s="98"/>
    </row>
    <row r="9010" spans="20:20" x14ac:dyDescent="0.25">
      <c r="T9010" s="98"/>
    </row>
    <row r="9011" spans="20:20" x14ac:dyDescent="0.25">
      <c r="T9011" s="98"/>
    </row>
    <row r="9012" spans="20:20" x14ac:dyDescent="0.25">
      <c r="T9012" s="98"/>
    </row>
    <row r="9013" spans="20:20" x14ac:dyDescent="0.25">
      <c r="T9013" s="98"/>
    </row>
    <row r="9014" spans="20:20" x14ac:dyDescent="0.25">
      <c r="T9014" s="98"/>
    </row>
    <row r="9015" spans="20:20" x14ac:dyDescent="0.25">
      <c r="T9015" s="98"/>
    </row>
    <row r="9016" spans="20:20" x14ac:dyDescent="0.25">
      <c r="T9016" s="98"/>
    </row>
    <row r="9017" spans="20:20" x14ac:dyDescent="0.25">
      <c r="T9017" s="98"/>
    </row>
    <row r="9018" spans="20:20" x14ac:dyDescent="0.25">
      <c r="T9018" s="98"/>
    </row>
    <row r="9019" spans="20:20" x14ac:dyDescent="0.25">
      <c r="T9019" s="98"/>
    </row>
    <row r="9020" spans="20:20" x14ac:dyDescent="0.25">
      <c r="T9020" s="98"/>
    </row>
    <row r="9021" spans="20:20" x14ac:dyDescent="0.25">
      <c r="T9021" s="98"/>
    </row>
    <row r="9022" spans="20:20" x14ac:dyDescent="0.25">
      <c r="T9022" s="98"/>
    </row>
    <row r="9023" spans="20:20" x14ac:dyDescent="0.25">
      <c r="T9023" s="98"/>
    </row>
    <row r="9024" spans="20:20" x14ac:dyDescent="0.25">
      <c r="T9024" s="98"/>
    </row>
    <row r="9025" spans="20:20" x14ac:dyDescent="0.25">
      <c r="T9025" s="98"/>
    </row>
    <row r="9026" spans="20:20" x14ac:dyDescent="0.25">
      <c r="T9026" s="98"/>
    </row>
    <row r="9027" spans="20:20" x14ac:dyDescent="0.25">
      <c r="T9027" s="98"/>
    </row>
    <row r="9028" spans="20:20" x14ac:dyDescent="0.25">
      <c r="T9028" s="98"/>
    </row>
    <row r="9029" spans="20:20" x14ac:dyDescent="0.25">
      <c r="T9029" s="98"/>
    </row>
    <row r="9030" spans="20:20" x14ac:dyDescent="0.25">
      <c r="T9030" s="98"/>
    </row>
    <row r="9031" spans="20:20" x14ac:dyDescent="0.25">
      <c r="T9031" s="98"/>
    </row>
    <row r="9032" spans="20:20" x14ac:dyDescent="0.25">
      <c r="T9032" s="98"/>
    </row>
    <row r="9033" spans="20:20" x14ac:dyDescent="0.25">
      <c r="T9033" s="98"/>
    </row>
    <row r="9034" spans="20:20" x14ac:dyDescent="0.25">
      <c r="T9034" s="98"/>
    </row>
    <row r="9035" spans="20:20" x14ac:dyDescent="0.25">
      <c r="T9035" s="98"/>
    </row>
    <row r="9036" spans="20:20" x14ac:dyDescent="0.25">
      <c r="T9036" s="98"/>
    </row>
    <row r="9037" spans="20:20" x14ac:dyDescent="0.25">
      <c r="T9037" s="98"/>
    </row>
    <row r="9038" spans="20:20" x14ac:dyDescent="0.25">
      <c r="T9038" s="98"/>
    </row>
    <row r="9039" spans="20:20" x14ac:dyDescent="0.25">
      <c r="T9039" s="98"/>
    </row>
    <row r="9040" spans="20:20" x14ac:dyDescent="0.25">
      <c r="T9040" s="98"/>
    </row>
    <row r="9041" spans="20:20" x14ac:dyDescent="0.25">
      <c r="T9041" s="98"/>
    </row>
    <row r="9042" spans="20:20" x14ac:dyDescent="0.25">
      <c r="T9042" s="98"/>
    </row>
    <row r="9043" spans="20:20" x14ac:dyDescent="0.25">
      <c r="T9043" s="98"/>
    </row>
    <row r="9044" spans="20:20" x14ac:dyDescent="0.25">
      <c r="T9044" s="98"/>
    </row>
    <row r="9045" spans="20:20" x14ac:dyDescent="0.25">
      <c r="T9045" s="98"/>
    </row>
    <row r="9046" spans="20:20" x14ac:dyDescent="0.25">
      <c r="T9046" s="98"/>
    </row>
    <row r="9047" spans="20:20" x14ac:dyDescent="0.25">
      <c r="T9047" s="98"/>
    </row>
    <row r="9048" spans="20:20" x14ac:dyDescent="0.25">
      <c r="T9048" s="98"/>
    </row>
    <row r="9049" spans="20:20" x14ac:dyDescent="0.25">
      <c r="T9049" s="98"/>
    </row>
    <row r="9050" spans="20:20" x14ac:dyDescent="0.25">
      <c r="T9050" s="98"/>
    </row>
    <row r="9051" spans="20:20" x14ac:dyDescent="0.25">
      <c r="T9051" s="98"/>
    </row>
    <row r="9052" spans="20:20" x14ac:dyDescent="0.25">
      <c r="T9052" s="98"/>
    </row>
    <row r="9053" spans="20:20" x14ac:dyDescent="0.25">
      <c r="T9053" s="98"/>
    </row>
    <row r="9054" spans="20:20" x14ac:dyDescent="0.25">
      <c r="T9054" s="98"/>
    </row>
    <row r="9055" spans="20:20" x14ac:dyDescent="0.25">
      <c r="T9055" s="98"/>
    </row>
    <row r="9056" spans="20:20" x14ac:dyDescent="0.25">
      <c r="T9056" s="98"/>
    </row>
    <row r="9057" spans="20:20" x14ac:dyDescent="0.25">
      <c r="T9057" s="98"/>
    </row>
    <row r="9058" spans="20:20" x14ac:dyDescent="0.25">
      <c r="T9058" s="98"/>
    </row>
    <row r="9059" spans="20:20" x14ac:dyDescent="0.25">
      <c r="T9059" s="98"/>
    </row>
    <row r="9060" spans="20:20" x14ac:dyDescent="0.25">
      <c r="T9060" s="98"/>
    </row>
    <row r="9061" spans="20:20" x14ac:dyDescent="0.25">
      <c r="T9061" s="98"/>
    </row>
    <row r="9062" spans="20:20" x14ac:dyDescent="0.25">
      <c r="T9062" s="98"/>
    </row>
    <row r="9063" spans="20:20" x14ac:dyDescent="0.25">
      <c r="T9063" s="98"/>
    </row>
    <row r="9064" spans="20:20" x14ac:dyDescent="0.25">
      <c r="T9064" s="98"/>
    </row>
    <row r="9065" spans="20:20" x14ac:dyDescent="0.25">
      <c r="T9065" s="98"/>
    </row>
    <row r="9066" spans="20:20" x14ac:dyDescent="0.25">
      <c r="T9066" s="98"/>
    </row>
    <row r="9067" spans="20:20" x14ac:dyDescent="0.25">
      <c r="T9067" s="98"/>
    </row>
    <row r="9068" spans="20:20" x14ac:dyDescent="0.25">
      <c r="T9068" s="98"/>
    </row>
    <row r="9069" spans="20:20" x14ac:dyDescent="0.25">
      <c r="T9069" s="98"/>
    </row>
    <row r="9070" spans="20:20" x14ac:dyDescent="0.25">
      <c r="T9070" s="98"/>
    </row>
    <row r="9071" spans="20:20" x14ac:dyDescent="0.25">
      <c r="T9071" s="98"/>
    </row>
    <row r="9072" spans="20:20" x14ac:dyDescent="0.25">
      <c r="T9072" s="98"/>
    </row>
    <row r="9073" spans="20:20" x14ac:dyDescent="0.25">
      <c r="T9073" s="98"/>
    </row>
    <row r="9074" spans="20:20" x14ac:dyDescent="0.25">
      <c r="T9074" s="98"/>
    </row>
    <row r="9075" spans="20:20" x14ac:dyDescent="0.25">
      <c r="T9075" s="98"/>
    </row>
    <row r="9076" spans="20:20" x14ac:dyDescent="0.25">
      <c r="T9076" s="98"/>
    </row>
    <row r="9077" spans="20:20" x14ac:dyDescent="0.25">
      <c r="T9077" s="98"/>
    </row>
    <row r="9078" spans="20:20" x14ac:dyDescent="0.25">
      <c r="T9078" s="98"/>
    </row>
    <row r="9079" spans="20:20" x14ac:dyDescent="0.25">
      <c r="T9079" s="98"/>
    </row>
    <row r="9080" spans="20:20" x14ac:dyDescent="0.25">
      <c r="T9080" s="98"/>
    </row>
    <row r="9081" spans="20:20" x14ac:dyDescent="0.25">
      <c r="T9081" s="98"/>
    </row>
    <row r="9082" spans="20:20" x14ac:dyDescent="0.25">
      <c r="T9082" s="98"/>
    </row>
    <row r="9083" spans="20:20" x14ac:dyDescent="0.25">
      <c r="T9083" s="98"/>
    </row>
    <row r="9084" spans="20:20" x14ac:dyDescent="0.25">
      <c r="T9084" s="98"/>
    </row>
    <row r="9085" spans="20:20" x14ac:dyDescent="0.25">
      <c r="T9085" s="98"/>
    </row>
    <row r="9086" spans="20:20" x14ac:dyDescent="0.25">
      <c r="T9086" s="98"/>
    </row>
    <row r="9087" spans="20:20" x14ac:dyDescent="0.25">
      <c r="T9087" s="98"/>
    </row>
    <row r="9088" spans="20:20" x14ac:dyDescent="0.25">
      <c r="T9088" s="98"/>
    </row>
    <row r="9089" spans="20:20" x14ac:dyDescent="0.25">
      <c r="T9089" s="98"/>
    </row>
    <row r="9090" spans="20:20" x14ac:dyDescent="0.25">
      <c r="T9090" s="98"/>
    </row>
    <row r="9091" spans="20:20" x14ac:dyDescent="0.25">
      <c r="T9091" s="98"/>
    </row>
    <row r="9092" spans="20:20" x14ac:dyDescent="0.25">
      <c r="T9092" s="98"/>
    </row>
    <row r="9093" spans="20:20" x14ac:dyDescent="0.25">
      <c r="T9093" s="98"/>
    </row>
    <row r="9094" spans="20:20" x14ac:dyDescent="0.25">
      <c r="T9094" s="98"/>
    </row>
    <row r="9095" spans="20:20" x14ac:dyDescent="0.25">
      <c r="T9095" s="98"/>
    </row>
    <row r="9096" spans="20:20" x14ac:dyDescent="0.25">
      <c r="T9096" s="98"/>
    </row>
    <row r="9097" spans="20:20" x14ac:dyDescent="0.25">
      <c r="T9097" s="98"/>
    </row>
    <row r="9098" spans="20:20" x14ac:dyDescent="0.25">
      <c r="T9098" s="98"/>
    </row>
    <row r="9099" spans="20:20" x14ac:dyDescent="0.25">
      <c r="T9099" s="98"/>
    </row>
    <row r="9100" spans="20:20" x14ac:dyDescent="0.25">
      <c r="T9100" s="98"/>
    </row>
    <row r="9101" spans="20:20" x14ac:dyDescent="0.25">
      <c r="T9101" s="98"/>
    </row>
    <row r="9102" spans="20:20" x14ac:dyDescent="0.25">
      <c r="T9102" s="98"/>
    </row>
    <row r="9103" spans="20:20" x14ac:dyDescent="0.25">
      <c r="T9103" s="98"/>
    </row>
    <row r="9104" spans="20:20" x14ac:dyDescent="0.25">
      <c r="T9104" s="98"/>
    </row>
    <row r="9105" spans="20:20" x14ac:dyDescent="0.25">
      <c r="T9105" s="98"/>
    </row>
    <row r="9106" spans="20:20" x14ac:dyDescent="0.25">
      <c r="T9106" s="98"/>
    </row>
    <row r="9107" spans="20:20" x14ac:dyDescent="0.25">
      <c r="T9107" s="98"/>
    </row>
    <row r="9108" spans="20:20" x14ac:dyDescent="0.25">
      <c r="T9108" s="98"/>
    </row>
    <row r="9109" spans="20:20" x14ac:dyDescent="0.25">
      <c r="T9109" s="98"/>
    </row>
    <row r="9110" spans="20:20" x14ac:dyDescent="0.25">
      <c r="T9110" s="98"/>
    </row>
    <row r="9111" spans="20:20" x14ac:dyDescent="0.25">
      <c r="T9111" s="98"/>
    </row>
    <row r="9112" spans="20:20" x14ac:dyDescent="0.25">
      <c r="T9112" s="98"/>
    </row>
    <row r="9113" spans="20:20" x14ac:dyDescent="0.25">
      <c r="T9113" s="98"/>
    </row>
    <row r="9114" spans="20:20" x14ac:dyDescent="0.25">
      <c r="T9114" s="98"/>
    </row>
    <row r="9115" spans="20:20" x14ac:dyDescent="0.25">
      <c r="T9115" s="98"/>
    </row>
    <row r="9116" spans="20:20" x14ac:dyDescent="0.25">
      <c r="T9116" s="98"/>
    </row>
    <row r="9117" spans="20:20" x14ac:dyDescent="0.25">
      <c r="T9117" s="98"/>
    </row>
    <row r="9118" spans="20:20" x14ac:dyDescent="0.25">
      <c r="T9118" s="98"/>
    </row>
    <row r="9119" spans="20:20" x14ac:dyDescent="0.25">
      <c r="T9119" s="98"/>
    </row>
    <row r="9120" spans="20:20" x14ac:dyDescent="0.25">
      <c r="T9120" s="98"/>
    </row>
    <row r="9121" spans="20:20" x14ac:dyDescent="0.25">
      <c r="T9121" s="98"/>
    </row>
    <row r="9122" spans="20:20" x14ac:dyDescent="0.25">
      <c r="T9122" s="98"/>
    </row>
    <row r="9123" spans="20:20" x14ac:dyDescent="0.25">
      <c r="T9123" s="98"/>
    </row>
    <row r="9124" spans="20:20" x14ac:dyDescent="0.25">
      <c r="T9124" s="98"/>
    </row>
    <row r="9125" spans="20:20" x14ac:dyDescent="0.25">
      <c r="T9125" s="98"/>
    </row>
    <row r="9126" spans="20:20" x14ac:dyDescent="0.25">
      <c r="T9126" s="98"/>
    </row>
    <row r="9127" spans="20:20" x14ac:dyDescent="0.25">
      <c r="T9127" s="98"/>
    </row>
    <row r="9128" spans="20:20" x14ac:dyDescent="0.25">
      <c r="T9128" s="98"/>
    </row>
    <row r="9129" spans="20:20" x14ac:dyDescent="0.25">
      <c r="T9129" s="98"/>
    </row>
    <row r="9130" spans="20:20" x14ac:dyDescent="0.25">
      <c r="T9130" s="98"/>
    </row>
    <row r="9131" spans="20:20" x14ac:dyDescent="0.25">
      <c r="T9131" s="98"/>
    </row>
    <row r="9132" spans="20:20" x14ac:dyDescent="0.25">
      <c r="T9132" s="98"/>
    </row>
    <row r="9133" spans="20:20" x14ac:dyDescent="0.25">
      <c r="T9133" s="98"/>
    </row>
    <row r="9134" spans="20:20" x14ac:dyDescent="0.25">
      <c r="T9134" s="98"/>
    </row>
    <row r="9135" spans="20:20" x14ac:dyDescent="0.25">
      <c r="T9135" s="98"/>
    </row>
    <row r="9136" spans="20:20" x14ac:dyDescent="0.25">
      <c r="T9136" s="98"/>
    </row>
    <row r="9137" spans="20:20" x14ac:dyDescent="0.25">
      <c r="T9137" s="98"/>
    </row>
    <row r="9138" spans="20:20" x14ac:dyDescent="0.25">
      <c r="T9138" s="98"/>
    </row>
    <row r="9139" spans="20:20" x14ac:dyDescent="0.25">
      <c r="T9139" s="98"/>
    </row>
    <row r="9140" spans="20:20" x14ac:dyDescent="0.25">
      <c r="T9140" s="98"/>
    </row>
    <row r="9141" spans="20:20" x14ac:dyDescent="0.25">
      <c r="T9141" s="98"/>
    </row>
    <row r="9142" spans="20:20" x14ac:dyDescent="0.25">
      <c r="T9142" s="98"/>
    </row>
    <row r="9143" spans="20:20" x14ac:dyDescent="0.25">
      <c r="T9143" s="98"/>
    </row>
    <row r="9144" spans="20:20" x14ac:dyDescent="0.25">
      <c r="T9144" s="98"/>
    </row>
    <row r="9145" spans="20:20" x14ac:dyDescent="0.25">
      <c r="T9145" s="98"/>
    </row>
    <row r="9146" spans="20:20" x14ac:dyDescent="0.25">
      <c r="T9146" s="98"/>
    </row>
    <row r="9147" spans="20:20" x14ac:dyDescent="0.25">
      <c r="T9147" s="98"/>
    </row>
    <row r="9148" spans="20:20" x14ac:dyDescent="0.25">
      <c r="T9148" s="98"/>
    </row>
    <row r="9149" spans="20:20" x14ac:dyDescent="0.25">
      <c r="T9149" s="98"/>
    </row>
    <row r="9150" spans="20:20" x14ac:dyDescent="0.25">
      <c r="T9150" s="98"/>
    </row>
    <row r="9151" spans="20:20" x14ac:dyDescent="0.25">
      <c r="T9151" s="98"/>
    </row>
    <row r="9152" spans="20:20" x14ac:dyDescent="0.25">
      <c r="T9152" s="98"/>
    </row>
    <row r="9153" spans="20:20" x14ac:dyDescent="0.25">
      <c r="T9153" s="98"/>
    </row>
    <row r="9154" spans="20:20" x14ac:dyDescent="0.25">
      <c r="T9154" s="98"/>
    </row>
    <row r="9155" spans="20:20" x14ac:dyDescent="0.25">
      <c r="T9155" s="98"/>
    </row>
    <row r="9156" spans="20:20" x14ac:dyDescent="0.25">
      <c r="T9156" s="98"/>
    </row>
    <row r="9157" spans="20:20" x14ac:dyDescent="0.25">
      <c r="T9157" s="98"/>
    </row>
    <row r="9158" spans="20:20" x14ac:dyDescent="0.25">
      <c r="T9158" s="98"/>
    </row>
    <row r="9159" spans="20:20" x14ac:dyDescent="0.25">
      <c r="T9159" s="98"/>
    </row>
    <row r="9160" spans="20:20" x14ac:dyDescent="0.25">
      <c r="T9160" s="98"/>
    </row>
    <row r="9161" spans="20:20" x14ac:dyDescent="0.25">
      <c r="T9161" s="98"/>
    </row>
    <row r="9162" spans="20:20" x14ac:dyDescent="0.25">
      <c r="T9162" s="98"/>
    </row>
    <row r="9163" spans="20:20" x14ac:dyDescent="0.25">
      <c r="T9163" s="98"/>
    </row>
    <row r="9164" spans="20:20" x14ac:dyDescent="0.25">
      <c r="T9164" s="98"/>
    </row>
    <row r="9165" spans="20:20" x14ac:dyDescent="0.25">
      <c r="T9165" s="98"/>
    </row>
    <row r="9166" spans="20:20" x14ac:dyDescent="0.25">
      <c r="T9166" s="98"/>
    </row>
    <row r="9167" spans="20:20" x14ac:dyDescent="0.25">
      <c r="T9167" s="98"/>
    </row>
    <row r="9168" spans="20:20" x14ac:dyDescent="0.25">
      <c r="T9168" s="98"/>
    </row>
    <row r="9169" spans="20:20" x14ac:dyDescent="0.25">
      <c r="T9169" s="98"/>
    </row>
    <row r="9170" spans="20:20" x14ac:dyDescent="0.25">
      <c r="T9170" s="98"/>
    </row>
    <row r="9171" spans="20:20" x14ac:dyDescent="0.25">
      <c r="T9171" s="98"/>
    </row>
    <row r="9172" spans="20:20" x14ac:dyDescent="0.25">
      <c r="T9172" s="98"/>
    </row>
    <row r="9173" spans="20:20" x14ac:dyDescent="0.25">
      <c r="T9173" s="98"/>
    </row>
    <row r="9174" spans="20:20" x14ac:dyDescent="0.25">
      <c r="T9174" s="98"/>
    </row>
    <row r="9175" spans="20:20" x14ac:dyDescent="0.25">
      <c r="T9175" s="98"/>
    </row>
    <row r="9176" spans="20:20" x14ac:dyDescent="0.25">
      <c r="T9176" s="98"/>
    </row>
    <row r="9177" spans="20:20" x14ac:dyDescent="0.25">
      <c r="T9177" s="98"/>
    </row>
    <row r="9178" spans="20:20" x14ac:dyDescent="0.25">
      <c r="T9178" s="98"/>
    </row>
    <row r="9179" spans="20:20" x14ac:dyDescent="0.25">
      <c r="T9179" s="98"/>
    </row>
    <row r="9180" spans="20:20" x14ac:dyDescent="0.25">
      <c r="T9180" s="98"/>
    </row>
    <row r="9181" spans="20:20" x14ac:dyDescent="0.25">
      <c r="T9181" s="98"/>
    </row>
    <row r="9182" spans="20:20" x14ac:dyDescent="0.25">
      <c r="T9182" s="98"/>
    </row>
    <row r="9183" spans="20:20" x14ac:dyDescent="0.25">
      <c r="T9183" s="98"/>
    </row>
    <row r="9184" spans="20:20" x14ac:dyDescent="0.25">
      <c r="T9184" s="98"/>
    </row>
    <row r="9185" spans="20:20" x14ac:dyDescent="0.25">
      <c r="T9185" s="98"/>
    </row>
    <row r="9186" spans="20:20" x14ac:dyDescent="0.25">
      <c r="T9186" s="98"/>
    </row>
    <row r="9187" spans="20:20" x14ac:dyDescent="0.25">
      <c r="T9187" s="98"/>
    </row>
    <row r="9188" spans="20:20" x14ac:dyDescent="0.25">
      <c r="T9188" s="98"/>
    </row>
    <row r="9189" spans="20:20" x14ac:dyDescent="0.25">
      <c r="T9189" s="98"/>
    </row>
    <row r="9190" spans="20:20" x14ac:dyDescent="0.25">
      <c r="T9190" s="98"/>
    </row>
    <row r="9191" spans="20:20" x14ac:dyDescent="0.25">
      <c r="T9191" s="98"/>
    </row>
    <row r="9192" spans="20:20" x14ac:dyDescent="0.25">
      <c r="T9192" s="98"/>
    </row>
    <row r="9193" spans="20:20" x14ac:dyDescent="0.25">
      <c r="T9193" s="98"/>
    </row>
    <row r="9194" spans="20:20" x14ac:dyDescent="0.25">
      <c r="T9194" s="98"/>
    </row>
    <row r="9195" spans="20:20" x14ac:dyDescent="0.25">
      <c r="T9195" s="98"/>
    </row>
    <row r="9196" spans="20:20" x14ac:dyDescent="0.25">
      <c r="T9196" s="98"/>
    </row>
    <row r="9197" spans="20:20" x14ac:dyDescent="0.25">
      <c r="T9197" s="98"/>
    </row>
    <row r="9198" spans="20:20" x14ac:dyDescent="0.25">
      <c r="T9198" s="98"/>
    </row>
    <row r="9199" spans="20:20" x14ac:dyDescent="0.25">
      <c r="T9199" s="98"/>
    </row>
    <row r="9200" spans="20:20" x14ac:dyDescent="0.25">
      <c r="T9200" s="98"/>
    </row>
    <row r="9201" spans="20:20" x14ac:dyDescent="0.25">
      <c r="T9201" s="98"/>
    </row>
    <row r="9202" spans="20:20" x14ac:dyDescent="0.25">
      <c r="T9202" s="98"/>
    </row>
    <row r="9203" spans="20:20" x14ac:dyDescent="0.25">
      <c r="T9203" s="98"/>
    </row>
    <row r="9204" spans="20:20" x14ac:dyDescent="0.25">
      <c r="T9204" s="98"/>
    </row>
    <row r="9205" spans="20:20" x14ac:dyDescent="0.25">
      <c r="T9205" s="98"/>
    </row>
    <row r="9206" spans="20:20" x14ac:dyDescent="0.25">
      <c r="T9206" s="98"/>
    </row>
    <row r="9207" spans="20:20" x14ac:dyDescent="0.25">
      <c r="T9207" s="98"/>
    </row>
    <row r="9208" spans="20:20" x14ac:dyDescent="0.25">
      <c r="T9208" s="98"/>
    </row>
    <row r="9209" spans="20:20" x14ac:dyDescent="0.25">
      <c r="T9209" s="98"/>
    </row>
    <row r="9210" spans="20:20" x14ac:dyDescent="0.25">
      <c r="T9210" s="98"/>
    </row>
    <row r="9211" spans="20:20" x14ac:dyDescent="0.25">
      <c r="T9211" s="98"/>
    </row>
    <row r="9212" spans="20:20" x14ac:dyDescent="0.25">
      <c r="T9212" s="98"/>
    </row>
    <row r="9213" spans="20:20" x14ac:dyDescent="0.25">
      <c r="T9213" s="98"/>
    </row>
    <row r="9214" spans="20:20" x14ac:dyDescent="0.25">
      <c r="T9214" s="98"/>
    </row>
    <row r="9215" spans="20:20" x14ac:dyDescent="0.25">
      <c r="T9215" s="98"/>
    </row>
    <row r="9216" spans="20:20" x14ac:dyDescent="0.25">
      <c r="T9216" s="98"/>
    </row>
    <row r="9217" spans="20:20" x14ac:dyDescent="0.25">
      <c r="T9217" s="98"/>
    </row>
    <row r="9218" spans="20:20" x14ac:dyDescent="0.25">
      <c r="T9218" s="98"/>
    </row>
    <row r="9219" spans="20:20" x14ac:dyDescent="0.25">
      <c r="T9219" s="98"/>
    </row>
    <row r="9220" spans="20:20" x14ac:dyDescent="0.25">
      <c r="T9220" s="98"/>
    </row>
    <row r="9221" spans="20:20" x14ac:dyDescent="0.25">
      <c r="T9221" s="98"/>
    </row>
    <row r="9222" spans="20:20" x14ac:dyDescent="0.25">
      <c r="T9222" s="98"/>
    </row>
    <row r="9223" spans="20:20" x14ac:dyDescent="0.25">
      <c r="T9223" s="98"/>
    </row>
    <row r="9224" spans="20:20" x14ac:dyDescent="0.25">
      <c r="T9224" s="98"/>
    </row>
    <row r="9225" spans="20:20" x14ac:dyDescent="0.25">
      <c r="T9225" s="98"/>
    </row>
    <row r="9226" spans="20:20" x14ac:dyDescent="0.25">
      <c r="T9226" s="98"/>
    </row>
    <row r="9227" spans="20:20" x14ac:dyDescent="0.25">
      <c r="T9227" s="98"/>
    </row>
    <row r="9228" spans="20:20" x14ac:dyDescent="0.25">
      <c r="T9228" s="98"/>
    </row>
    <row r="9229" spans="20:20" x14ac:dyDescent="0.25">
      <c r="T9229" s="98"/>
    </row>
    <row r="9230" spans="20:20" x14ac:dyDescent="0.25">
      <c r="T9230" s="98"/>
    </row>
    <row r="9231" spans="20:20" x14ac:dyDescent="0.25">
      <c r="T9231" s="98"/>
    </row>
    <row r="9232" spans="20:20" x14ac:dyDescent="0.25">
      <c r="T9232" s="98"/>
    </row>
    <row r="9233" spans="20:20" x14ac:dyDescent="0.25">
      <c r="T9233" s="98"/>
    </row>
    <row r="9234" spans="20:20" x14ac:dyDescent="0.25">
      <c r="T9234" s="98"/>
    </row>
    <row r="9235" spans="20:20" x14ac:dyDescent="0.25">
      <c r="T9235" s="98"/>
    </row>
    <row r="9236" spans="20:20" x14ac:dyDescent="0.25">
      <c r="T9236" s="98"/>
    </row>
    <row r="9237" spans="20:20" x14ac:dyDescent="0.25">
      <c r="T9237" s="98"/>
    </row>
    <row r="9238" spans="20:20" x14ac:dyDescent="0.25">
      <c r="T9238" s="98"/>
    </row>
    <row r="9239" spans="20:20" x14ac:dyDescent="0.25">
      <c r="T9239" s="98"/>
    </row>
    <row r="9240" spans="20:20" x14ac:dyDescent="0.25">
      <c r="T9240" s="98"/>
    </row>
    <row r="9241" spans="20:20" x14ac:dyDescent="0.25">
      <c r="T9241" s="98"/>
    </row>
    <row r="9242" spans="20:20" x14ac:dyDescent="0.25">
      <c r="T9242" s="98"/>
    </row>
    <row r="9243" spans="20:20" x14ac:dyDescent="0.25">
      <c r="T9243" s="98"/>
    </row>
    <row r="9244" spans="20:20" x14ac:dyDescent="0.25">
      <c r="T9244" s="98"/>
    </row>
    <row r="9245" spans="20:20" x14ac:dyDescent="0.25">
      <c r="T9245" s="98"/>
    </row>
    <row r="9246" spans="20:20" x14ac:dyDescent="0.25">
      <c r="T9246" s="98"/>
    </row>
    <row r="9247" spans="20:20" x14ac:dyDescent="0.25">
      <c r="T9247" s="98"/>
    </row>
    <row r="9248" spans="20:20" x14ac:dyDescent="0.25">
      <c r="T9248" s="98"/>
    </row>
    <row r="9249" spans="20:20" x14ac:dyDescent="0.25">
      <c r="T9249" s="98"/>
    </row>
    <row r="9250" spans="20:20" x14ac:dyDescent="0.25">
      <c r="T9250" s="98"/>
    </row>
    <row r="9251" spans="20:20" x14ac:dyDescent="0.25">
      <c r="T9251" s="98"/>
    </row>
    <row r="9252" spans="20:20" x14ac:dyDescent="0.25">
      <c r="T9252" s="98"/>
    </row>
    <row r="9253" spans="20:20" x14ac:dyDescent="0.25">
      <c r="T9253" s="98"/>
    </row>
    <row r="9254" spans="20:20" x14ac:dyDescent="0.25">
      <c r="T9254" s="98"/>
    </row>
    <row r="9255" spans="20:20" x14ac:dyDescent="0.25">
      <c r="T9255" s="98"/>
    </row>
    <row r="9256" spans="20:20" x14ac:dyDescent="0.25">
      <c r="T9256" s="98"/>
    </row>
    <row r="9257" spans="20:20" x14ac:dyDescent="0.25">
      <c r="T9257" s="98"/>
    </row>
    <row r="9258" spans="20:20" x14ac:dyDescent="0.25">
      <c r="T9258" s="98"/>
    </row>
    <row r="9259" spans="20:20" x14ac:dyDescent="0.25">
      <c r="T9259" s="98"/>
    </row>
    <row r="9260" spans="20:20" x14ac:dyDescent="0.25">
      <c r="T9260" s="98"/>
    </row>
    <row r="9261" spans="20:20" x14ac:dyDescent="0.25">
      <c r="T9261" s="98"/>
    </row>
    <row r="9262" spans="20:20" x14ac:dyDescent="0.25">
      <c r="T9262" s="98"/>
    </row>
    <row r="9263" spans="20:20" x14ac:dyDescent="0.25">
      <c r="T9263" s="98"/>
    </row>
    <row r="9264" spans="20:20" x14ac:dyDescent="0.25">
      <c r="T9264" s="98"/>
    </row>
    <row r="9265" spans="20:20" x14ac:dyDescent="0.25">
      <c r="T9265" s="98"/>
    </row>
    <row r="9266" spans="20:20" x14ac:dyDescent="0.25">
      <c r="T9266" s="98"/>
    </row>
    <row r="9267" spans="20:20" x14ac:dyDescent="0.25">
      <c r="T9267" s="98"/>
    </row>
    <row r="9268" spans="20:20" x14ac:dyDescent="0.25">
      <c r="T9268" s="98"/>
    </row>
    <row r="9269" spans="20:20" x14ac:dyDescent="0.25">
      <c r="T9269" s="98"/>
    </row>
    <row r="9270" spans="20:20" x14ac:dyDescent="0.25">
      <c r="T9270" s="98"/>
    </row>
    <row r="9271" spans="20:20" x14ac:dyDescent="0.25">
      <c r="T9271" s="98"/>
    </row>
    <row r="9272" spans="20:20" x14ac:dyDescent="0.25">
      <c r="T9272" s="98"/>
    </row>
    <row r="9273" spans="20:20" x14ac:dyDescent="0.25">
      <c r="T9273" s="98"/>
    </row>
    <row r="9274" spans="20:20" x14ac:dyDescent="0.25">
      <c r="T9274" s="98"/>
    </row>
    <row r="9275" spans="20:20" x14ac:dyDescent="0.25">
      <c r="T9275" s="98"/>
    </row>
    <row r="9276" spans="20:20" x14ac:dyDescent="0.25">
      <c r="T9276" s="98"/>
    </row>
    <row r="9277" spans="20:20" x14ac:dyDescent="0.25">
      <c r="T9277" s="98"/>
    </row>
    <row r="9278" spans="20:20" x14ac:dyDescent="0.25">
      <c r="T9278" s="98"/>
    </row>
    <row r="9279" spans="20:20" x14ac:dyDescent="0.25">
      <c r="T9279" s="98"/>
    </row>
    <row r="9280" spans="20:20" x14ac:dyDescent="0.25">
      <c r="T9280" s="98"/>
    </row>
    <row r="9281" spans="20:20" x14ac:dyDescent="0.25">
      <c r="T9281" s="98"/>
    </row>
    <row r="9282" spans="20:20" x14ac:dyDescent="0.25">
      <c r="T9282" s="98"/>
    </row>
    <row r="9283" spans="20:20" x14ac:dyDescent="0.25">
      <c r="T9283" s="98"/>
    </row>
    <row r="9284" spans="20:20" x14ac:dyDescent="0.25">
      <c r="T9284" s="98"/>
    </row>
    <row r="9285" spans="20:20" x14ac:dyDescent="0.25">
      <c r="T9285" s="98"/>
    </row>
    <row r="9286" spans="20:20" x14ac:dyDescent="0.25">
      <c r="T9286" s="98"/>
    </row>
    <row r="9287" spans="20:20" x14ac:dyDescent="0.25">
      <c r="T9287" s="98"/>
    </row>
    <row r="9288" spans="20:20" x14ac:dyDescent="0.25">
      <c r="T9288" s="98"/>
    </row>
    <row r="9289" spans="20:20" x14ac:dyDescent="0.25">
      <c r="T9289" s="98"/>
    </row>
    <row r="9290" spans="20:20" x14ac:dyDescent="0.25">
      <c r="T9290" s="98"/>
    </row>
    <row r="9291" spans="20:20" x14ac:dyDescent="0.25">
      <c r="T9291" s="98"/>
    </row>
    <row r="9292" spans="20:20" x14ac:dyDescent="0.25">
      <c r="T9292" s="98"/>
    </row>
    <row r="9293" spans="20:20" x14ac:dyDescent="0.25">
      <c r="T9293" s="98"/>
    </row>
    <row r="9294" spans="20:20" x14ac:dyDescent="0.25">
      <c r="T9294" s="98"/>
    </row>
    <row r="9295" spans="20:20" x14ac:dyDescent="0.25">
      <c r="T9295" s="98"/>
    </row>
    <row r="9296" spans="20:20" x14ac:dyDescent="0.25">
      <c r="T9296" s="98"/>
    </row>
    <row r="9297" spans="20:20" x14ac:dyDescent="0.25">
      <c r="T9297" s="98"/>
    </row>
    <row r="9298" spans="20:20" x14ac:dyDescent="0.25">
      <c r="T9298" s="98"/>
    </row>
    <row r="9299" spans="20:20" x14ac:dyDescent="0.25">
      <c r="T9299" s="98"/>
    </row>
    <row r="9300" spans="20:20" x14ac:dyDescent="0.25">
      <c r="T9300" s="98"/>
    </row>
    <row r="9301" spans="20:20" x14ac:dyDescent="0.25">
      <c r="T9301" s="98"/>
    </row>
    <row r="9302" spans="20:20" x14ac:dyDescent="0.25">
      <c r="T9302" s="98"/>
    </row>
    <row r="9303" spans="20:20" x14ac:dyDescent="0.25">
      <c r="T9303" s="98"/>
    </row>
    <row r="9304" spans="20:20" x14ac:dyDescent="0.25">
      <c r="T9304" s="98"/>
    </row>
    <row r="9305" spans="20:20" x14ac:dyDescent="0.25">
      <c r="T9305" s="98"/>
    </row>
    <row r="9306" spans="20:20" x14ac:dyDescent="0.25">
      <c r="T9306" s="98"/>
    </row>
    <row r="9307" spans="20:20" x14ac:dyDescent="0.25">
      <c r="T9307" s="98"/>
    </row>
    <row r="9308" spans="20:20" x14ac:dyDescent="0.25">
      <c r="T9308" s="98"/>
    </row>
    <row r="9309" spans="20:20" x14ac:dyDescent="0.25">
      <c r="T9309" s="98"/>
    </row>
    <row r="9310" spans="20:20" x14ac:dyDescent="0.25">
      <c r="T9310" s="98"/>
    </row>
    <row r="9311" spans="20:20" x14ac:dyDescent="0.25">
      <c r="T9311" s="98"/>
    </row>
    <row r="9312" spans="20:20" x14ac:dyDescent="0.25">
      <c r="T9312" s="98"/>
    </row>
    <row r="9313" spans="20:20" x14ac:dyDescent="0.25">
      <c r="T9313" s="98"/>
    </row>
    <row r="9314" spans="20:20" x14ac:dyDescent="0.25">
      <c r="T9314" s="98"/>
    </row>
    <row r="9315" spans="20:20" x14ac:dyDescent="0.25">
      <c r="T9315" s="98"/>
    </row>
    <row r="9316" spans="20:20" x14ac:dyDescent="0.25">
      <c r="T9316" s="98"/>
    </row>
    <row r="9317" spans="20:20" x14ac:dyDescent="0.25">
      <c r="T9317" s="98"/>
    </row>
    <row r="9318" spans="20:20" x14ac:dyDescent="0.25">
      <c r="T9318" s="98"/>
    </row>
    <row r="9319" spans="20:20" x14ac:dyDescent="0.25">
      <c r="T9319" s="98"/>
    </row>
    <row r="9320" spans="20:20" x14ac:dyDescent="0.25">
      <c r="T9320" s="98"/>
    </row>
    <row r="9321" spans="20:20" x14ac:dyDescent="0.25">
      <c r="T9321" s="98"/>
    </row>
    <row r="9322" spans="20:20" x14ac:dyDescent="0.25">
      <c r="T9322" s="98"/>
    </row>
    <row r="9323" spans="20:20" x14ac:dyDescent="0.25">
      <c r="T9323" s="98"/>
    </row>
    <row r="9324" spans="20:20" x14ac:dyDescent="0.25">
      <c r="T9324" s="98"/>
    </row>
    <row r="9325" spans="20:20" x14ac:dyDescent="0.25">
      <c r="T9325" s="98"/>
    </row>
    <row r="9326" spans="20:20" x14ac:dyDescent="0.25">
      <c r="T9326" s="98"/>
    </row>
    <row r="9327" spans="20:20" x14ac:dyDescent="0.25">
      <c r="T9327" s="98"/>
    </row>
    <row r="9328" spans="20:20" x14ac:dyDescent="0.25">
      <c r="T9328" s="98"/>
    </row>
    <row r="9329" spans="20:20" x14ac:dyDescent="0.25">
      <c r="T9329" s="98"/>
    </row>
    <row r="9330" spans="20:20" x14ac:dyDescent="0.25">
      <c r="T9330" s="98"/>
    </row>
    <row r="9331" spans="20:20" x14ac:dyDescent="0.25">
      <c r="T9331" s="98"/>
    </row>
    <row r="9332" spans="20:20" x14ac:dyDescent="0.25">
      <c r="T9332" s="98"/>
    </row>
    <row r="9333" spans="20:20" x14ac:dyDescent="0.25">
      <c r="T9333" s="98"/>
    </row>
    <row r="9334" spans="20:20" x14ac:dyDescent="0.25">
      <c r="T9334" s="98"/>
    </row>
    <row r="9335" spans="20:20" x14ac:dyDescent="0.25">
      <c r="T9335" s="98"/>
    </row>
    <row r="9336" spans="20:20" x14ac:dyDescent="0.25">
      <c r="T9336" s="98"/>
    </row>
    <row r="9337" spans="20:20" x14ac:dyDescent="0.25">
      <c r="T9337" s="98"/>
    </row>
    <row r="9338" spans="20:20" x14ac:dyDescent="0.25">
      <c r="T9338" s="98"/>
    </row>
    <row r="9339" spans="20:20" x14ac:dyDescent="0.25">
      <c r="T9339" s="98"/>
    </row>
    <row r="9340" spans="20:20" x14ac:dyDescent="0.25">
      <c r="T9340" s="98"/>
    </row>
    <row r="9341" spans="20:20" x14ac:dyDescent="0.25">
      <c r="T9341" s="98"/>
    </row>
    <row r="9342" spans="20:20" x14ac:dyDescent="0.25">
      <c r="T9342" s="98"/>
    </row>
    <row r="9343" spans="20:20" x14ac:dyDescent="0.25">
      <c r="T9343" s="98"/>
    </row>
    <row r="9344" spans="20:20" x14ac:dyDescent="0.25">
      <c r="T9344" s="98"/>
    </row>
    <row r="9345" spans="20:20" x14ac:dyDescent="0.25">
      <c r="T9345" s="98"/>
    </row>
    <row r="9346" spans="20:20" x14ac:dyDescent="0.25">
      <c r="T9346" s="98"/>
    </row>
    <row r="9347" spans="20:20" x14ac:dyDescent="0.25">
      <c r="T9347" s="98"/>
    </row>
    <row r="9348" spans="20:20" x14ac:dyDescent="0.25">
      <c r="T9348" s="98"/>
    </row>
    <row r="9349" spans="20:20" x14ac:dyDescent="0.25">
      <c r="T9349" s="98"/>
    </row>
    <row r="9350" spans="20:20" x14ac:dyDescent="0.25">
      <c r="T9350" s="98"/>
    </row>
    <row r="9351" spans="20:20" x14ac:dyDescent="0.25">
      <c r="T9351" s="98"/>
    </row>
    <row r="9352" spans="20:20" x14ac:dyDescent="0.25">
      <c r="T9352" s="98"/>
    </row>
    <row r="9353" spans="20:20" x14ac:dyDescent="0.25">
      <c r="T9353" s="98"/>
    </row>
    <row r="9354" spans="20:20" x14ac:dyDescent="0.25">
      <c r="T9354" s="98"/>
    </row>
    <row r="9355" spans="20:20" x14ac:dyDescent="0.25">
      <c r="T9355" s="98"/>
    </row>
    <row r="9356" spans="20:20" x14ac:dyDescent="0.25">
      <c r="T9356" s="98"/>
    </row>
    <row r="9357" spans="20:20" x14ac:dyDescent="0.25">
      <c r="T9357" s="98"/>
    </row>
    <row r="9358" spans="20:20" x14ac:dyDescent="0.25">
      <c r="T9358" s="98"/>
    </row>
    <row r="9359" spans="20:20" x14ac:dyDescent="0.25">
      <c r="T9359" s="98"/>
    </row>
    <row r="9360" spans="20:20" x14ac:dyDescent="0.25">
      <c r="T9360" s="98"/>
    </row>
    <row r="9361" spans="20:20" x14ac:dyDescent="0.25">
      <c r="T9361" s="98"/>
    </row>
    <row r="9362" spans="20:20" x14ac:dyDescent="0.25">
      <c r="T9362" s="98"/>
    </row>
    <row r="9363" spans="20:20" x14ac:dyDescent="0.25">
      <c r="T9363" s="98"/>
    </row>
    <row r="9364" spans="20:20" x14ac:dyDescent="0.25">
      <c r="T9364" s="98"/>
    </row>
    <row r="9365" spans="20:20" x14ac:dyDescent="0.25">
      <c r="T9365" s="98"/>
    </row>
    <row r="9366" spans="20:20" x14ac:dyDescent="0.25">
      <c r="T9366" s="98"/>
    </row>
    <row r="9367" spans="20:20" x14ac:dyDescent="0.25">
      <c r="T9367" s="98"/>
    </row>
    <row r="9368" spans="20:20" x14ac:dyDescent="0.25">
      <c r="T9368" s="98"/>
    </row>
    <row r="9369" spans="20:20" x14ac:dyDescent="0.25">
      <c r="T9369" s="98"/>
    </row>
    <row r="9370" spans="20:20" x14ac:dyDescent="0.25">
      <c r="T9370" s="98"/>
    </row>
    <row r="9371" spans="20:20" x14ac:dyDescent="0.25">
      <c r="T9371" s="98"/>
    </row>
    <row r="9372" spans="20:20" x14ac:dyDescent="0.25">
      <c r="T9372" s="98"/>
    </row>
    <row r="9373" spans="20:20" x14ac:dyDescent="0.25">
      <c r="T9373" s="98"/>
    </row>
    <row r="9374" spans="20:20" x14ac:dyDescent="0.25">
      <c r="T9374" s="98"/>
    </row>
    <row r="9375" spans="20:20" x14ac:dyDescent="0.25">
      <c r="T9375" s="98"/>
    </row>
    <row r="9376" spans="20:20" x14ac:dyDescent="0.25">
      <c r="T9376" s="98"/>
    </row>
    <row r="9377" spans="20:20" x14ac:dyDescent="0.25">
      <c r="T9377" s="98"/>
    </row>
    <row r="9378" spans="20:20" x14ac:dyDescent="0.25">
      <c r="T9378" s="98"/>
    </row>
    <row r="9379" spans="20:20" x14ac:dyDescent="0.25">
      <c r="T9379" s="98"/>
    </row>
    <row r="9380" spans="20:20" x14ac:dyDescent="0.25">
      <c r="T9380" s="98"/>
    </row>
    <row r="9381" spans="20:20" x14ac:dyDescent="0.25">
      <c r="T9381" s="98"/>
    </row>
    <row r="9382" spans="20:20" x14ac:dyDescent="0.25">
      <c r="T9382" s="98"/>
    </row>
    <row r="9383" spans="20:20" x14ac:dyDescent="0.25">
      <c r="T9383" s="98"/>
    </row>
    <row r="9384" spans="20:20" x14ac:dyDescent="0.25">
      <c r="T9384" s="98"/>
    </row>
    <row r="9385" spans="20:20" x14ac:dyDescent="0.25">
      <c r="T9385" s="98"/>
    </row>
    <row r="9386" spans="20:20" x14ac:dyDescent="0.25">
      <c r="T9386" s="98"/>
    </row>
    <row r="9387" spans="20:20" x14ac:dyDescent="0.25">
      <c r="T9387" s="98"/>
    </row>
    <row r="9388" spans="20:20" x14ac:dyDescent="0.25">
      <c r="T9388" s="98"/>
    </row>
    <row r="9389" spans="20:20" x14ac:dyDescent="0.25">
      <c r="T9389" s="98"/>
    </row>
    <row r="9390" spans="20:20" x14ac:dyDescent="0.25">
      <c r="T9390" s="98"/>
    </row>
    <row r="9391" spans="20:20" x14ac:dyDescent="0.25">
      <c r="T9391" s="98"/>
    </row>
    <row r="9392" spans="20:20" x14ac:dyDescent="0.25">
      <c r="T9392" s="98"/>
    </row>
    <row r="9393" spans="20:20" x14ac:dyDescent="0.25">
      <c r="T9393" s="98"/>
    </row>
    <row r="9394" spans="20:20" x14ac:dyDescent="0.25">
      <c r="T9394" s="98"/>
    </row>
    <row r="9395" spans="20:20" x14ac:dyDescent="0.25">
      <c r="T9395" s="98"/>
    </row>
    <row r="9396" spans="20:20" x14ac:dyDescent="0.25">
      <c r="T9396" s="98"/>
    </row>
    <row r="9397" spans="20:20" x14ac:dyDescent="0.25">
      <c r="T9397" s="98"/>
    </row>
    <row r="9398" spans="20:20" x14ac:dyDescent="0.25">
      <c r="T9398" s="98"/>
    </row>
    <row r="9399" spans="20:20" x14ac:dyDescent="0.25">
      <c r="T9399" s="98"/>
    </row>
    <row r="9400" spans="20:20" x14ac:dyDescent="0.25">
      <c r="T9400" s="98"/>
    </row>
    <row r="9401" spans="20:20" x14ac:dyDescent="0.25">
      <c r="T9401" s="98"/>
    </row>
    <row r="9402" spans="20:20" x14ac:dyDescent="0.25">
      <c r="T9402" s="98"/>
    </row>
    <row r="9403" spans="20:20" x14ac:dyDescent="0.25">
      <c r="T9403" s="98"/>
    </row>
    <row r="9404" spans="20:20" x14ac:dyDescent="0.25">
      <c r="T9404" s="98"/>
    </row>
    <row r="9405" spans="20:20" x14ac:dyDescent="0.25">
      <c r="T9405" s="98"/>
    </row>
    <row r="9406" spans="20:20" x14ac:dyDescent="0.25">
      <c r="T9406" s="98"/>
    </row>
    <row r="9407" spans="20:20" x14ac:dyDescent="0.25">
      <c r="T9407" s="98"/>
    </row>
    <row r="9408" spans="20:20" x14ac:dyDescent="0.25">
      <c r="T9408" s="98"/>
    </row>
    <row r="9409" spans="20:20" x14ac:dyDescent="0.25">
      <c r="T9409" s="98"/>
    </row>
    <row r="9410" spans="20:20" x14ac:dyDescent="0.25">
      <c r="T9410" s="98"/>
    </row>
    <row r="9411" spans="20:20" x14ac:dyDescent="0.25">
      <c r="T9411" s="98"/>
    </row>
    <row r="9412" spans="20:20" x14ac:dyDescent="0.25">
      <c r="T9412" s="98"/>
    </row>
    <row r="9413" spans="20:20" x14ac:dyDescent="0.25">
      <c r="T9413" s="98"/>
    </row>
    <row r="9414" spans="20:20" x14ac:dyDescent="0.25">
      <c r="T9414" s="98"/>
    </row>
    <row r="9415" spans="20:20" x14ac:dyDescent="0.25">
      <c r="T9415" s="98"/>
    </row>
    <row r="9416" spans="20:20" x14ac:dyDescent="0.25">
      <c r="T9416" s="98"/>
    </row>
    <row r="9417" spans="20:20" x14ac:dyDescent="0.25">
      <c r="T9417" s="98"/>
    </row>
    <row r="9418" spans="20:20" x14ac:dyDescent="0.25">
      <c r="T9418" s="98"/>
    </row>
    <row r="9419" spans="20:20" x14ac:dyDescent="0.25">
      <c r="T9419" s="98"/>
    </row>
    <row r="9420" spans="20:20" x14ac:dyDescent="0.25">
      <c r="T9420" s="98"/>
    </row>
    <row r="9421" spans="20:20" x14ac:dyDescent="0.25">
      <c r="T9421" s="98"/>
    </row>
    <row r="9422" spans="20:20" x14ac:dyDescent="0.25">
      <c r="T9422" s="98"/>
    </row>
    <row r="9423" spans="20:20" x14ac:dyDescent="0.25">
      <c r="T9423" s="98"/>
    </row>
    <row r="9424" spans="20:20" x14ac:dyDescent="0.25">
      <c r="T9424" s="98"/>
    </row>
    <row r="9425" spans="20:20" x14ac:dyDescent="0.25">
      <c r="T9425" s="98"/>
    </row>
    <row r="9426" spans="20:20" x14ac:dyDescent="0.25">
      <c r="T9426" s="98"/>
    </row>
    <row r="9427" spans="20:20" x14ac:dyDescent="0.25">
      <c r="T9427" s="98"/>
    </row>
    <row r="9428" spans="20:20" x14ac:dyDescent="0.25">
      <c r="T9428" s="98"/>
    </row>
    <row r="9429" spans="20:20" x14ac:dyDescent="0.25">
      <c r="T9429" s="98"/>
    </row>
    <row r="9430" spans="20:20" x14ac:dyDescent="0.25">
      <c r="T9430" s="98"/>
    </row>
    <row r="9431" spans="20:20" x14ac:dyDescent="0.25">
      <c r="T9431" s="98"/>
    </row>
    <row r="9432" spans="20:20" x14ac:dyDescent="0.25">
      <c r="T9432" s="98"/>
    </row>
    <row r="9433" spans="20:20" x14ac:dyDescent="0.25">
      <c r="T9433" s="98"/>
    </row>
    <row r="9434" spans="20:20" x14ac:dyDescent="0.25">
      <c r="T9434" s="98"/>
    </row>
    <row r="9435" spans="20:20" x14ac:dyDescent="0.25">
      <c r="T9435" s="98"/>
    </row>
    <row r="9436" spans="20:20" x14ac:dyDescent="0.25">
      <c r="T9436" s="98"/>
    </row>
    <row r="9437" spans="20:20" x14ac:dyDescent="0.25">
      <c r="T9437" s="98"/>
    </row>
    <row r="9438" spans="20:20" x14ac:dyDescent="0.25">
      <c r="T9438" s="98"/>
    </row>
    <row r="9439" spans="20:20" x14ac:dyDescent="0.25">
      <c r="T9439" s="98"/>
    </row>
    <row r="9440" spans="20:20" x14ac:dyDescent="0.25">
      <c r="T9440" s="98"/>
    </row>
    <row r="9441" spans="20:20" x14ac:dyDescent="0.25">
      <c r="T9441" s="98"/>
    </row>
    <row r="9442" spans="20:20" x14ac:dyDescent="0.25">
      <c r="T9442" s="98"/>
    </row>
    <row r="9443" spans="20:20" x14ac:dyDescent="0.25">
      <c r="T9443" s="98"/>
    </row>
    <row r="9444" spans="20:20" x14ac:dyDescent="0.25">
      <c r="T9444" s="98"/>
    </row>
    <row r="9445" spans="20:20" x14ac:dyDescent="0.25">
      <c r="T9445" s="98"/>
    </row>
    <row r="9446" spans="20:20" x14ac:dyDescent="0.25">
      <c r="T9446" s="98"/>
    </row>
    <row r="9447" spans="20:20" x14ac:dyDescent="0.25">
      <c r="T9447" s="98"/>
    </row>
    <row r="9448" spans="20:20" x14ac:dyDescent="0.25">
      <c r="T9448" s="98"/>
    </row>
    <row r="9449" spans="20:20" x14ac:dyDescent="0.25">
      <c r="T9449" s="98"/>
    </row>
    <row r="9450" spans="20:20" x14ac:dyDescent="0.25">
      <c r="T9450" s="98"/>
    </row>
    <row r="9451" spans="20:20" x14ac:dyDescent="0.25">
      <c r="T9451" s="98"/>
    </row>
    <row r="9452" spans="20:20" x14ac:dyDescent="0.25">
      <c r="T9452" s="98"/>
    </row>
    <row r="9453" spans="20:20" x14ac:dyDescent="0.25">
      <c r="T9453" s="98"/>
    </row>
    <row r="9454" spans="20:20" x14ac:dyDescent="0.25">
      <c r="T9454" s="98"/>
    </row>
    <row r="9455" spans="20:20" x14ac:dyDescent="0.25">
      <c r="T9455" s="98"/>
    </row>
    <row r="9456" spans="20:20" x14ac:dyDescent="0.25">
      <c r="T9456" s="98"/>
    </row>
    <row r="9457" spans="20:20" x14ac:dyDescent="0.25">
      <c r="T9457" s="98"/>
    </row>
    <row r="9458" spans="20:20" x14ac:dyDescent="0.25">
      <c r="T9458" s="98"/>
    </row>
    <row r="9459" spans="20:20" x14ac:dyDescent="0.25">
      <c r="T9459" s="98"/>
    </row>
    <row r="9460" spans="20:20" x14ac:dyDescent="0.25">
      <c r="T9460" s="98"/>
    </row>
    <row r="9461" spans="20:20" x14ac:dyDescent="0.25">
      <c r="T9461" s="98"/>
    </row>
    <row r="9462" spans="20:20" x14ac:dyDescent="0.25">
      <c r="T9462" s="98"/>
    </row>
    <row r="9463" spans="20:20" x14ac:dyDescent="0.25">
      <c r="T9463" s="98"/>
    </row>
    <row r="9464" spans="20:20" x14ac:dyDescent="0.25">
      <c r="T9464" s="98"/>
    </row>
    <row r="9465" spans="20:20" x14ac:dyDescent="0.25">
      <c r="T9465" s="98"/>
    </row>
    <row r="9466" spans="20:20" x14ac:dyDescent="0.25">
      <c r="T9466" s="98"/>
    </row>
    <row r="9467" spans="20:20" x14ac:dyDescent="0.25">
      <c r="T9467" s="98"/>
    </row>
    <row r="9468" spans="20:20" x14ac:dyDescent="0.25">
      <c r="T9468" s="98"/>
    </row>
    <row r="9469" spans="20:20" x14ac:dyDescent="0.25">
      <c r="T9469" s="98"/>
    </row>
    <row r="9470" spans="20:20" x14ac:dyDescent="0.25">
      <c r="T9470" s="98"/>
    </row>
    <row r="9471" spans="20:20" x14ac:dyDescent="0.25">
      <c r="T9471" s="98"/>
    </row>
    <row r="9472" spans="20:20" x14ac:dyDescent="0.25">
      <c r="T9472" s="98"/>
    </row>
    <row r="9473" spans="20:20" x14ac:dyDescent="0.25">
      <c r="T9473" s="98"/>
    </row>
    <row r="9474" spans="20:20" x14ac:dyDescent="0.25">
      <c r="T9474" s="98"/>
    </row>
    <row r="9475" spans="20:20" x14ac:dyDescent="0.25">
      <c r="T9475" s="98"/>
    </row>
    <row r="9476" spans="20:20" x14ac:dyDescent="0.25">
      <c r="T9476" s="98"/>
    </row>
    <row r="9477" spans="20:20" x14ac:dyDescent="0.25">
      <c r="T9477" s="98"/>
    </row>
    <row r="9478" spans="20:20" x14ac:dyDescent="0.25">
      <c r="T9478" s="98"/>
    </row>
    <row r="9479" spans="20:20" x14ac:dyDescent="0.25">
      <c r="T9479" s="98"/>
    </row>
    <row r="9480" spans="20:20" x14ac:dyDescent="0.25">
      <c r="T9480" s="98"/>
    </row>
    <row r="9481" spans="20:20" x14ac:dyDescent="0.25">
      <c r="T9481" s="98"/>
    </row>
    <row r="9482" spans="20:20" x14ac:dyDescent="0.25">
      <c r="T9482" s="98"/>
    </row>
    <row r="9483" spans="20:20" x14ac:dyDescent="0.25">
      <c r="T9483" s="98"/>
    </row>
    <row r="9484" spans="20:20" x14ac:dyDescent="0.25">
      <c r="T9484" s="98"/>
    </row>
    <row r="9485" spans="20:20" x14ac:dyDescent="0.25">
      <c r="T9485" s="98"/>
    </row>
    <row r="9486" spans="20:20" x14ac:dyDescent="0.25">
      <c r="T9486" s="98"/>
    </row>
    <row r="9487" spans="20:20" x14ac:dyDescent="0.25">
      <c r="T9487" s="98"/>
    </row>
    <row r="9488" spans="20:20" x14ac:dyDescent="0.25">
      <c r="T9488" s="98"/>
    </row>
    <row r="9489" spans="20:20" x14ac:dyDescent="0.25">
      <c r="T9489" s="98"/>
    </row>
    <row r="9490" spans="20:20" x14ac:dyDescent="0.25">
      <c r="T9490" s="98"/>
    </row>
    <row r="9491" spans="20:20" x14ac:dyDescent="0.25">
      <c r="T9491" s="98"/>
    </row>
    <row r="9492" spans="20:20" x14ac:dyDescent="0.25">
      <c r="T9492" s="98"/>
    </row>
    <row r="9493" spans="20:20" x14ac:dyDescent="0.25">
      <c r="T9493" s="98"/>
    </row>
    <row r="9494" spans="20:20" x14ac:dyDescent="0.25">
      <c r="T9494" s="98"/>
    </row>
    <row r="9495" spans="20:20" x14ac:dyDescent="0.25">
      <c r="T9495" s="98"/>
    </row>
    <row r="9496" spans="20:20" x14ac:dyDescent="0.25">
      <c r="T9496" s="98"/>
    </row>
    <row r="9497" spans="20:20" x14ac:dyDescent="0.25">
      <c r="T9497" s="98"/>
    </row>
    <row r="9498" spans="20:20" x14ac:dyDescent="0.25">
      <c r="T9498" s="98"/>
    </row>
    <row r="9499" spans="20:20" x14ac:dyDescent="0.25">
      <c r="T9499" s="98"/>
    </row>
    <row r="9500" spans="20:20" x14ac:dyDescent="0.25">
      <c r="T9500" s="98"/>
    </row>
    <row r="9501" spans="20:20" x14ac:dyDescent="0.25">
      <c r="T9501" s="98"/>
    </row>
    <row r="9502" spans="20:20" x14ac:dyDescent="0.25">
      <c r="T9502" s="98"/>
    </row>
    <row r="9503" spans="20:20" x14ac:dyDescent="0.25">
      <c r="T9503" s="98"/>
    </row>
    <row r="9504" spans="20:20" x14ac:dyDescent="0.25">
      <c r="T9504" s="98"/>
    </row>
    <row r="9505" spans="20:20" x14ac:dyDescent="0.25">
      <c r="T9505" s="98"/>
    </row>
    <row r="9506" spans="20:20" x14ac:dyDescent="0.25">
      <c r="T9506" s="98"/>
    </row>
    <row r="9507" spans="20:20" x14ac:dyDescent="0.25">
      <c r="T9507" s="98"/>
    </row>
    <row r="9508" spans="20:20" x14ac:dyDescent="0.25">
      <c r="T9508" s="98"/>
    </row>
    <row r="9509" spans="20:20" x14ac:dyDescent="0.25">
      <c r="T9509" s="98"/>
    </row>
    <row r="9510" spans="20:20" x14ac:dyDescent="0.25">
      <c r="T9510" s="98"/>
    </row>
    <row r="9511" spans="20:20" x14ac:dyDescent="0.25">
      <c r="T9511" s="98"/>
    </row>
    <row r="9512" spans="20:20" x14ac:dyDescent="0.25">
      <c r="T9512" s="98"/>
    </row>
    <row r="9513" spans="20:20" x14ac:dyDescent="0.25">
      <c r="T9513" s="98"/>
    </row>
    <row r="9514" spans="20:20" x14ac:dyDescent="0.25">
      <c r="T9514" s="98"/>
    </row>
    <row r="9515" spans="20:20" x14ac:dyDescent="0.25">
      <c r="T9515" s="98"/>
    </row>
    <row r="9516" spans="20:20" x14ac:dyDescent="0.25">
      <c r="T9516" s="98"/>
    </row>
    <row r="9517" spans="20:20" x14ac:dyDescent="0.25">
      <c r="T9517" s="98"/>
    </row>
    <row r="9518" spans="20:20" x14ac:dyDescent="0.25">
      <c r="T9518" s="98"/>
    </row>
    <row r="9519" spans="20:20" x14ac:dyDescent="0.25">
      <c r="T9519" s="98"/>
    </row>
    <row r="9520" spans="20:20" x14ac:dyDescent="0.25">
      <c r="T9520" s="98"/>
    </row>
    <row r="9521" spans="20:20" x14ac:dyDescent="0.25">
      <c r="T9521" s="98"/>
    </row>
    <row r="9522" spans="20:20" x14ac:dyDescent="0.25">
      <c r="T9522" s="98"/>
    </row>
    <row r="9523" spans="20:20" x14ac:dyDescent="0.25">
      <c r="T9523" s="98"/>
    </row>
    <row r="9524" spans="20:20" x14ac:dyDescent="0.25">
      <c r="T9524" s="98"/>
    </row>
    <row r="9525" spans="20:20" x14ac:dyDescent="0.25">
      <c r="T9525" s="98"/>
    </row>
    <row r="9526" spans="20:20" x14ac:dyDescent="0.25">
      <c r="T9526" s="98"/>
    </row>
    <row r="9527" spans="20:20" x14ac:dyDescent="0.25">
      <c r="T9527" s="98"/>
    </row>
    <row r="9528" spans="20:20" x14ac:dyDescent="0.25">
      <c r="T9528" s="98"/>
    </row>
    <row r="9529" spans="20:20" x14ac:dyDescent="0.25">
      <c r="T9529" s="98"/>
    </row>
    <row r="9530" spans="20:20" x14ac:dyDescent="0.25">
      <c r="T9530" s="98"/>
    </row>
    <row r="9531" spans="20:20" x14ac:dyDescent="0.25">
      <c r="T9531" s="98"/>
    </row>
    <row r="9532" spans="20:20" x14ac:dyDescent="0.25">
      <c r="T9532" s="98"/>
    </row>
    <row r="9533" spans="20:20" x14ac:dyDescent="0.25">
      <c r="T9533" s="98"/>
    </row>
    <row r="9534" spans="20:20" x14ac:dyDescent="0.25">
      <c r="T9534" s="98"/>
    </row>
    <row r="9535" spans="20:20" x14ac:dyDescent="0.25">
      <c r="T9535" s="98"/>
    </row>
    <row r="9536" spans="20:20" x14ac:dyDescent="0.25">
      <c r="T9536" s="98"/>
    </row>
    <row r="9537" spans="20:20" x14ac:dyDescent="0.25">
      <c r="T9537" s="98"/>
    </row>
    <row r="9538" spans="20:20" x14ac:dyDescent="0.25">
      <c r="T9538" s="98"/>
    </row>
    <row r="9539" spans="20:20" x14ac:dyDescent="0.25">
      <c r="T9539" s="98"/>
    </row>
    <row r="9540" spans="20:20" x14ac:dyDescent="0.25">
      <c r="T9540" s="98"/>
    </row>
    <row r="9541" spans="20:20" x14ac:dyDescent="0.25">
      <c r="T9541" s="98"/>
    </row>
    <row r="9542" spans="20:20" x14ac:dyDescent="0.25">
      <c r="T9542" s="98"/>
    </row>
    <row r="9543" spans="20:20" x14ac:dyDescent="0.25">
      <c r="T9543" s="98"/>
    </row>
    <row r="9544" spans="20:20" x14ac:dyDescent="0.25">
      <c r="T9544" s="98"/>
    </row>
    <row r="9545" spans="20:20" x14ac:dyDescent="0.25">
      <c r="T9545" s="98"/>
    </row>
    <row r="9546" spans="20:20" x14ac:dyDescent="0.25">
      <c r="T9546" s="98"/>
    </row>
    <row r="9547" spans="20:20" x14ac:dyDescent="0.25">
      <c r="T9547" s="98"/>
    </row>
    <row r="9548" spans="20:20" x14ac:dyDescent="0.25">
      <c r="T9548" s="98"/>
    </row>
    <row r="9549" spans="20:20" x14ac:dyDescent="0.25">
      <c r="T9549" s="98"/>
    </row>
    <row r="9550" spans="20:20" x14ac:dyDescent="0.25">
      <c r="T9550" s="98"/>
    </row>
    <row r="9551" spans="20:20" x14ac:dyDescent="0.25">
      <c r="T9551" s="98"/>
    </row>
    <row r="9552" spans="20:20" x14ac:dyDescent="0.25">
      <c r="T9552" s="98"/>
    </row>
    <row r="9553" spans="20:20" x14ac:dyDescent="0.25">
      <c r="T9553" s="98"/>
    </row>
    <row r="9554" spans="20:20" x14ac:dyDescent="0.25">
      <c r="T9554" s="98"/>
    </row>
    <row r="9555" spans="20:20" x14ac:dyDescent="0.25">
      <c r="T9555" s="98"/>
    </row>
    <row r="9556" spans="20:20" x14ac:dyDescent="0.25">
      <c r="T9556" s="98"/>
    </row>
    <row r="9557" spans="20:20" x14ac:dyDescent="0.25">
      <c r="T9557" s="98"/>
    </row>
    <row r="9558" spans="20:20" x14ac:dyDescent="0.25">
      <c r="T9558" s="98"/>
    </row>
    <row r="9559" spans="20:20" x14ac:dyDescent="0.25">
      <c r="T9559" s="98"/>
    </row>
    <row r="9560" spans="20:20" x14ac:dyDescent="0.25">
      <c r="T9560" s="98"/>
    </row>
    <row r="9561" spans="20:20" x14ac:dyDescent="0.25">
      <c r="T9561" s="98"/>
    </row>
    <row r="9562" spans="20:20" x14ac:dyDescent="0.25">
      <c r="T9562" s="98"/>
    </row>
    <row r="9563" spans="20:20" x14ac:dyDescent="0.25">
      <c r="T9563" s="98"/>
    </row>
    <row r="9564" spans="20:20" x14ac:dyDescent="0.25">
      <c r="T9564" s="98"/>
    </row>
    <row r="9565" spans="20:20" x14ac:dyDescent="0.25">
      <c r="T9565" s="98"/>
    </row>
    <row r="9566" spans="20:20" x14ac:dyDescent="0.25">
      <c r="T9566" s="98"/>
    </row>
    <row r="9567" spans="20:20" x14ac:dyDescent="0.25">
      <c r="T9567" s="98"/>
    </row>
    <row r="9568" spans="20:20" x14ac:dyDescent="0.25">
      <c r="T9568" s="98"/>
    </row>
    <row r="9569" spans="20:20" x14ac:dyDescent="0.25">
      <c r="T9569" s="98"/>
    </row>
    <row r="9570" spans="20:20" x14ac:dyDescent="0.25">
      <c r="T9570" s="98"/>
    </row>
    <row r="9571" spans="20:20" x14ac:dyDescent="0.25">
      <c r="T9571" s="98"/>
    </row>
    <row r="9572" spans="20:20" x14ac:dyDescent="0.25">
      <c r="T9572" s="98"/>
    </row>
    <row r="9573" spans="20:20" x14ac:dyDescent="0.25">
      <c r="T9573" s="98"/>
    </row>
    <row r="9574" spans="20:20" x14ac:dyDescent="0.25">
      <c r="T9574" s="98"/>
    </row>
    <row r="9575" spans="20:20" x14ac:dyDescent="0.25">
      <c r="T9575" s="98"/>
    </row>
    <row r="9576" spans="20:20" x14ac:dyDescent="0.25">
      <c r="T9576" s="98"/>
    </row>
    <row r="9577" spans="20:20" x14ac:dyDescent="0.25">
      <c r="T9577" s="98"/>
    </row>
    <row r="9578" spans="20:20" x14ac:dyDescent="0.25">
      <c r="T9578" s="98"/>
    </row>
    <row r="9579" spans="20:20" x14ac:dyDescent="0.25">
      <c r="T9579" s="98"/>
    </row>
    <row r="9580" spans="20:20" x14ac:dyDescent="0.25">
      <c r="T9580" s="98"/>
    </row>
    <row r="9581" spans="20:20" x14ac:dyDescent="0.25">
      <c r="T9581" s="98"/>
    </row>
    <row r="9582" spans="20:20" x14ac:dyDescent="0.25">
      <c r="T9582" s="98"/>
    </row>
    <row r="9583" spans="20:20" x14ac:dyDescent="0.25">
      <c r="T9583" s="98"/>
    </row>
    <row r="9584" spans="20:20" x14ac:dyDescent="0.25">
      <c r="T9584" s="98"/>
    </row>
    <row r="9585" spans="20:20" x14ac:dyDescent="0.25">
      <c r="T9585" s="98"/>
    </row>
    <row r="9586" spans="20:20" x14ac:dyDescent="0.25">
      <c r="T9586" s="98"/>
    </row>
    <row r="9587" spans="20:20" x14ac:dyDescent="0.25">
      <c r="T9587" s="98"/>
    </row>
    <row r="9588" spans="20:20" x14ac:dyDescent="0.25">
      <c r="T9588" s="98"/>
    </row>
    <row r="9589" spans="20:20" x14ac:dyDescent="0.25">
      <c r="T9589" s="98"/>
    </row>
    <row r="9590" spans="20:20" x14ac:dyDescent="0.25">
      <c r="T9590" s="98"/>
    </row>
    <row r="9591" spans="20:20" x14ac:dyDescent="0.25">
      <c r="T9591" s="98"/>
    </row>
    <row r="9592" spans="20:20" x14ac:dyDescent="0.25">
      <c r="T9592" s="98"/>
    </row>
    <row r="9593" spans="20:20" x14ac:dyDescent="0.25">
      <c r="T9593" s="98"/>
    </row>
    <row r="9594" spans="20:20" x14ac:dyDescent="0.25">
      <c r="T9594" s="98"/>
    </row>
    <row r="9595" spans="20:20" x14ac:dyDescent="0.25">
      <c r="T9595" s="98"/>
    </row>
    <row r="9596" spans="20:20" x14ac:dyDescent="0.25">
      <c r="T9596" s="98"/>
    </row>
    <row r="9597" spans="20:20" x14ac:dyDescent="0.25">
      <c r="T9597" s="98"/>
    </row>
    <row r="9598" spans="20:20" x14ac:dyDescent="0.25">
      <c r="T9598" s="98"/>
    </row>
    <row r="9599" spans="20:20" x14ac:dyDescent="0.25">
      <c r="T9599" s="98"/>
    </row>
    <row r="9600" spans="20:20" x14ac:dyDescent="0.25">
      <c r="T9600" s="98"/>
    </row>
    <row r="9601" spans="20:20" x14ac:dyDescent="0.25">
      <c r="T9601" s="98"/>
    </row>
    <row r="9602" spans="20:20" x14ac:dyDescent="0.25">
      <c r="T9602" s="98"/>
    </row>
    <row r="9603" spans="20:20" x14ac:dyDescent="0.25">
      <c r="T9603" s="98"/>
    </row>
    <row r="9604" spans="20:20" x14ac:dyDescent="0.25">
      <c r="T9604" s="98"/>
    </row>
    <row r="9605" spans="20:20" x14ac:dyDescent="0.25">
      <c r="T9605" s="98"/>
    </row>
    <row r="9606" spans="20:20" x14ac:dyDescent="0.25">
      <c r="T9606" s="98"/>
    </row>
    <row r="9607" spans="20:20" x14ac:dyDescent="0.25">
      <c r="T9607" s="98"/>
    </row>
    <row r="9608" spans="20:20" x14ac:dyDescent="0.25">
      <c r="T9608" s="98"/>
    </row>
    <row r="9609" spans="20:20" x14ac:dyDescent="0.25">
      <c r="T9609" s="98"/>
    </row>
    <row r="9610" spans="20:20" x14ac:dyDescent="0.25">
      <c r="T9610" s="98"/>
    </row>
    <row r="9611" spans="20:20" x14ac:dyDescent="0.25">
      <c r="T9611" s="98"/>
    </row>
    <row r="9612" spans="20:20" x14ac:dyDescent="0.25">
      <c r="T9612" s="98"/>
    </row>
    <row r="9613" spans="20:20" x14ac:dyDescent="0.25">
      <c r="T9613" s="98"/>
    </row>
    <row r="9614" spans="20:20" x14ac:dyDescent="0.25">
      <c r="T9614" s="98"/>
    </row>
    <row r="9615" spans="20:20" x14ac:dyDescent="0.25">
      <c r="T9615" s="98"/>
    </row>
    <row r="9616" spans="20:20" x14ac:dyDescent="0.25">
      <c r="T9616" s="98"/>
    </row>
    <row r="9617" spans="20:20" x14ac:dyDescent="0.25">
      <c r="T9617" s="98"/>
    </row>
    <row r="9618" spans="20:20" x14ac:dyDescent="0.25">
      <c r="T9618" s="98"/>
    </row>
    <row r="9619" spans="20:20" x14ac:dyDescent="0.25">
      <c r="T9619" s="98"/>
    </row>
    <row r="9620" spans="20:20" x14ac:dyDescent="0.25">
      <c r="T9620" s="98"/>
    </row>
    <row r="9621" spans="20:20" x14ac:dyDescent="0.25">
      <c r="T9621" s="98"/>
    </row>
    <row r="9622" spans="20:20" x14ac:dyDescent="0.25">
      <c r="T9622" s="98"/>
    </row>
    <row r="9623" spans="20:20" x14ac:dyDescent="0.25">
      <c r="T9623" s="98"/>
    </row>
    <row r="9624" spans="20:20" x14ac:dyDescent="0.25">
      <c r="T9624" s="98"/>
    </row>
    <row r="9625" spans="20:20" x14ac:dyDescent="0.25">
      <c r="T9625" s="98"/>
    </row>
    <row r="9626" spans="20:20" x14ac:dyDescent="0.25">
      <c r="T9626" s="98"/>
    </row>
    <row r="9627" spans="20:20" x14ac:dyDescent="0.25">
      <c r="T9627" s="98"/>
    </row>
    <row r="9628" spans="20:20" x14ac:dyDescent="0.25">
      <c r="T9628" s="98"/>
    </row>
    <row r="9629" spans="20:20" x14ac:dyDescent="0.25">
      <c r="T9629" s="98"/>
    </row>
    <row r="9630" spans="20:20" x14ac:dyDescent="0.25">
      <c r="T9630" s="98"/>
    </row>
    <row r="9631" spans="20:20" x14ac:dyDescent="0.25">
      <c r="T9631" s="98"/>
    </row>
    <row r="9632" spans="20:20" x14ac:dyDescent="0.25">
      <c r="T9632" s="98"/>
    </row>
    <row r="9633" spans="20:20" x14ac:dyDescent="0.25">
      <c r="T9633" s="98"/>
    </row>
    <row r="9634" spans="20:20" x14ac:dyDescent="0.25">
      <c r="T9634" s="98"/>
    </row>
    <row r="9635" spans="20:20" x14ac:dyDescent="0.25">
      <c r="T9635" s="98"/>
    </row>
    <row r="9636" spans="20:20" x14ac:dyDescent="0.25">
      <c r="T9636" s="98"/>
    </row>
    <row r="9637" spans="20:20" x14ac:dyDescent="0.25">
      <c r="T9637" s="98"/>
    </row>
    <row r="9638" spans="20:20" x14ac:dyDescent="0.25">
      <c r="T9638" s="98"/>
    </row>
    <row r="9639" spans="20:20" x14ac:dyDescent="0.25">
      <c r="T9639" s="98"/>
    </row>
    <row r="9640" spans="20:20" x14ac:dyDescent="0.25">
      <c r="T9640" s="98"/>
    </row>
    <row r="9641" spans="20:20" x14ac:dyDescent="0.25">
      <c r="T9641" s="98"/>
    </row>
    <row r="9642" spans="20:20" x14ac:dyDescent="0.25">
      <c r="T9642" s="98"/>
    </row>
    <row r="9643" spans="20:20" x14ac:dyDescent="0.25">
      <c r="T9643" s="98"/>
    </row>
    <row r="9644" spans="20:20" x14ac:dyDescent="0.25">
      <c r="T9644" s="98"/>
    </row>
    <row r="9645" spans="20:20" x14ac:dyDescent="0.25">
      <c r="T9645" s="98"/>
    </row>
    <row r="9646" spans="20:20" x14ac:dyDescent="0.25">
      <c r="T9646" s="98"/>
    </row>
    <row r="9647" spans="20:20" x14ac:dyDescent="0.25">
      <c r="T9647" s="98"/>
    </row>
    <row r="9648" spans="20:20" x14ac:dyDescent="0.25">
      <c r="T9648" s="98"/>
    </row>
    <row r="9649" spans="20:20" x14ac:dyDescent="0.25">
      <c r="T9649" s="98"/>
    </row>
    <row r="9650" spans="20:20" x14ac:dyDescent="0.25">
      <c r="T9650" s="98"/>
    </row>
    <row r="9651" spans="20:20" x14ac:dyDescent="0.25">
      <c r="T9651" s="98"/>
    </row>
    <row r="9652" spans="20:20" x14ac:dyDescent="0.25">
      <c r="T9652" s="98"/>
    </row>
    <row r="9653" spans="20:20" x14ac:dyDescent="0.25">
      <c r="T9653" s="98"/>
    </row>
    <row r="9654" spans="20:20" x14ac:dyDescent="0.25">
      <c r="T9654" s="98"/>
    </row>
    <row r="9655" spans="20:20" x14ac:dyDescent="0.25">
      <c r="T9655" s="98"/>
    </row>
    <row r="9656" spans="20:20" x14ac:dyDescent="0.25">
      <c r="T9656" s="98"/>
    </row>
    <row r="9657" spans="20:20" x14ac:dyDescent="0.25">
      <c r="T9657" s="98"/>
    </row>
    <row r="9658" spans="20:20" x14ac:dyDescent="0.25">
      <c r="T9658" s="98"/>
    </row>
    <row r="9659" spans="20:20" x14ac:dyDescent="0.25">
      <c r="T9659" s="98"/>
    </row>
    <row r="9660" spans="20:20" x14ac:dyDescent="0.25">
      <c r="T9660" s="98"/>
    </row>
    <row r="9661" spans="20:20" x14ac:dyDescent="0.25">
      <c r="T9661" s="98"/>
    </row>
    <row r="9662" spans="20:20" x14ac:dyDescent="0.25">
      <c r="T9662" s="98"/>
    </row>
    <row r="9663" spans="20:20" x14ac:dyDescent="0.25">
      <c r="T9663" s="98"/>
    </row>
    <row r="9664" spans="20:20" x14ac:dyDescent="0.25">
      <c r="T9664" s="98"/>
    </row>
    <row r="9665" spans="20:20" x14ac:dyDescent="0.25">
      <c r="T9665" s="98"/>
    </row>
    <row r="9666" spans="20:20" x14ac:dyDescent="0.25">
      <c r="T9666" s="98"/>
    </row>
    <row r="9667" spans="20:20" x14ac:dyDescent="0.25">
      <c r="T9667" s="98"/>
    </row>
    <row r="9668" spans="20:20" x14ac:dyDescent="0.25">
      <c r="T9668" s="98"/>
    </row>
    <row r="9669" spans="20:20" x14ac:dyDescent="0.25">
      <c r="T9669" s="98"/>
    </row>
    <row r="9670" spans="20:20" x14ac:dyDescent="0.25">
      <c r="T9670" s="98"/>
    </row>
    <row r="9671" spans="20:20" x14ac:dyDescent="0.25">
      <c r="T9671" s="98"/>
    </row>
    <row r="9672" spans="20:20" x14ac:dyDescent="0.25">
      <c r="T9672" s="98"/>
    </row>
    <row r="9673" spans="20:20" x14ac:dyDescent="0.25">
      <c r="T9673" s="98"/>
    </row>
    <row r="9674" spans="20:20" x14ac:dyDescent="0.25">
      <c r="T9674" s="98"/>
    </row>
    <row r="9675" spans="20:20" x14ac:dyDescent="0.25">
      <c r="T9675" s="98"/>
    </row>
    <row r="9676" spans="20:20" x14ac:dyDescent="0.25">
      <c r="T9676" s="98"/>
    </row>
    <row r="9677" spans="20:20" x14ac:dyDescent="0.25">
      <c r="T9677" s="98"/>
    </row>
    <row r="9678" spans="20:20" x14ac:dyDescent="0.25">
      <c r="T9678" s="98"/>
    </row>
    <row r="9679" spans="20:20" x14ac:dyDescent="0.25">
      <c r="T9679" s="98"/>
    </row>
    <row r="9680" spans="20:20" x14ac:dyDescent="0.25">
      <c r="T9680" s="98"/>
    </row>
    <row r="9681" spans="20:20" x14ac:dyDescent="0.25">
      <c r="T9681" s="98"/>
    </row>
    <row r="9682" spans="20:20" x14ac:dyDescent="0.25">
      <c r="T9682" s="98"/>
    </row>
    <row r="9683" spans="20:20" x14ac:dyDescent="0.25">
      <c r="T9683" s="98"/>
    </row>
    <row r="9684" spans="20:20" x14ac:dyDescent="0.25">
      <c r="T9684" s="98"/>
    </row>
    <row r="9685" spans="20:20" x14ac:dyDescent="0.25">
      <c r="T9685" s="98"/>
    </row>
    <row r="9686" spans="20:20" x14ac:dyDescent="0.25">
      <c r="T9686" s="98"/>
    </row>
    <row r="9687" spans="20:20" x14ac:dyDescent="0.25">
      <c r="T9687" s="98"/>
    </row>
    <row r="9688" spans="20:20" x14ac:dyDescent="0.25">
      <c r="T9688" s="98"/>
    </row>
    <row r="9689" spans="20:20" x14ac:dyDescent="0.25">
      <c r="T9689" s="98"/>
    </row>
    <row r="9690" spans="20:20" x14ac:dyDescent="0.25">
      <c r="T9690" s="98"/>
    </row>
    <row r="9691" spans="20:20" x14ac:dyDescent="0.25">
      <c r="T9691" s="98"/>
    </row>
    <row r="9692" spans="20:20" x14ac:dyDescent="0.25">
      <c r="T9692" s="98"/>
    </row>
    <row r="9693" spans="20:20" x14ac:dyDescent="0.25">
      <c r="T9693" s="98"/>
    </row>
    <row r="9694" spans="20:20" x14ac:dyDescent="0.25">
      <c r="T9694" s="98"/>
    </row>
    <row r="9695" spans="20:20" x14ac:dyDescent="0.25">
      <c r="T9695" s="98"/>
    </row>
    <row r="9696" spans="20:20" x14ac:dyDescent="0.25">
      <c r="T9696" s="98"/>
    </row>
    <row r="9697" spans="20:20" x14ac:dyDescent="0.25">
      <c r="T9697" s="98"/>
    </row>
    <row r="9698" spans="20:20" x14ac:dyDescent="0.25">
      <c r="T9698" s="98"/>
    </row>
    <row r="9699" spans="20:20" x14ac:dyDescent="0.25">
      <c r="T9699" s="98"/>
    </row>
    <row r="9700" spans="20:20" x14ac:dyDescent="0.25">
      <c r="T9700" s="98"/>
    </row>
    <row r="9701" spans="20:20" x14ac:dyDescent="0.25">
      <c r="T9701" s="98"/>
    </row>
    <row r="9702" spans="20:20" x14ac:dyDescent="0.25">
      <c r="T9702" s="98"/>
    </row>
    <row r="9703" spans="20:20" x14ac:dyDescent="0.25">
      <c r="T9703" s="98"/>
    </row>
    <row r="9704" spans="20:20" x14ac:dyDescent="0.25">
      <c r="T9704" s="98"/>
    </row>
    <row r="9705" spans="20:20" x14ac:dyDescent="0.25">
      <c r="T9705" s="98"/>
    </row>
    <row r="9706" spans="20:20" x14ac:dyDescent="0.25">
      <c r="T9706" s="98"/>
    </row>
    <row r="9707" spans="20:20" x14ac:dyDescent="0.25">
      <c r="T9707" s="98"/>
    </row>
    <row r="9708" spans="20:20" x14ac:dyDescent="0.25">
      <c r="T9708" s="98"/>
    </row>
    <row r="9709" spans="20:20" x14ac:dyDescent="0.25">
      <c r="T9709" s="98"/>
    </row>
    <row r="9710" spans="20:20" x14ac:dyDescent="0.25">
      <c r="T9710" s="98"/>
    </row>
    <row r="9711" spans="20:20" x14ac:dyDescent="0.25">
      <c r="T9711" s="98"/>
    </row>
    <row r="9712" spans="20:20" x14ac:dyDescent="0.25">
      <c r="T9712" s="98"/>
    </row>
    <row r="9713" spans="20:20" x14ac:dyDescent="0.25">
      <c r="T9713" s="98"/>
    </row>
    <row r="9714" spans="20:20" x14ac:dyDescent="0.25">
      <c r="T9714" s="98"/>
    </row>
    <row r="9715" spans="20:20" x14ac:dyDescent="0.25">
      <c r="T9715" s="98"/>
    </row>
    <row r="9716" spans="20:20" x14ac:dyDescent="0.25">
      <c r="T9716" s="98"/>
    </row>
    <row r="9717" spans="20:20" x14ac:dyDescent="0.25">
      <c r="T9717" s="98"/>
    </row>
    <row r="9718" spans="20:20" x14ac:dyDescent="0.25">
      <c r="T9718" s="98"/>
    </row>
    <row r="9719" spans="20:20" x14ac:dyDescent="0.25">
      <c r="T9719" s="98"/>
    </row>
    <row r="9720" spans="20:20" x14ac:dyDescent="0.25">
      <c r="T9720" s="98"/>
    </row>
    <row r="9721" spans="20:20" x14ac:dyDescent="0.25">
      <c r="T9721" s="98"/>
    </row>
    <row r="9722" spans="20:20" x14ac:dyDescent="0.25">
      <c r="T9722" s="98"/>
    </row>
    <row r="9723" spans="20:20" x14ac:dyDescent="0.25">
      <c r="T9723" s="98"/>
    </row>
    <row r="9724" spans="20:20" x14ac:dyDescent="0.25">
      <c r="T9724" s="98"/>
    </row>
    <row r="9725" spans="20:20" x14ac:dyDescent="0.25">
      <c r="T9725" s="98"/>
    </row>
    <row r="9726" spans="20:20" x14ac:dyDescent="0.25">
      <c r="T9726" s="98"/>
    </row>
    <row r="9727" spans="20:20" x14ac:dyDescent="0.25">
      <c r="T9727" s="98"/>
    </row>
    <row r="9728" spans="20:20" x14ac:dyDescent="0.25">
      <c r="T9728" s="98"/>
    </row>
    <row r="9729" spans="20:20" x14ac:dyDescent="0.25">
      <c r="T9729" s="98"/>
    </row>
    <row r="9730" spans="20:20" x14ac:dyDescent="0.25">
      <c r="T9730" s="98"/>
    </row>
    <row r="9731" spans="20:20" x14ac:dyDescent="0.25">
      <c r="T9731" s="98"/>
    </row>
    <row r="9732" spans="20:20" x14ac:dyDescent="0.25">
      <c r="T9732" s="98"/>
    </row>
    <row r="9733" spans="20:20" x14ac:dyDescent="0.25">
      <c r="T9733" s="98"/>
    </row>
    <row r="9734" spans="20:20" x14ac:dyDescent="0.25">
      <c r="T9734" s="98"/>
    </row>
    <row r="9735" spans="20:20" x14ac:dyDescent="0.25">
      <c r="T9735" s="98"/>
    </row>
    <row r="9736" spans="20:20" x14ac:dyDescent="0.25">
      <c r="T9736" s="98"/>
    </row>
    <row r="9737" spans="20:20" x14ac:dyDescent="0.25">
      <c r="T9737" s="98"/>
    </row>
    <row r="9738" spans="20:20" x14ac:dyDescent="0.25">
      <c r="T9738" s="98"/>
    </row>
    <row r="9739" spans="20:20" x14ac:dyDescent="0.25">
      <c r="T9739" s="98"/>
    </row>
    <row r="9740" spans="20:20" x14ac:dyDescent="0.25">
      <c r="T9740" s="98"/>
    </row>
    <row r="9741" spans="20:20" x14ac:dyDescent="0.25">
      <c r="T9741" s="98"/>
    </row>
    <row r="9742" spans="20:20" x14ac:dyDescent="0.25">
      <c r="T9742" s="98"/>
    </row>
    <row r="9743" spans="20:20" x14ac:dyDescent="0.25">
      <c r="T9743" s="98"/>
    </row>
    <row r="9744" spans="20:20" x14ac:dyDescent="0.25">
      <c r="T9744" s="98"/>
    </row>
    <row r="9745" spans="20:20" x14ac:dyDescent="0.25">
      <c r="T9745" s="98"/>
    </row>
    <row r="9746" spans="20:20" x14ac:dyDescent="0.25">
      <c r="T9746" s="98"/>
    </row>
    <row r="9747" spans="20:20" x14ac:dyDescent="0.25">
      <c r="T9747" s="98"/>
    </row>
    <row r="9748" spans="20:20" x14ac:dyDescent="0.25">
      <c r="T9748" s="98"/>
    </row>
    <row r="9749" spans="20:20" x14ac:dyDescent="0.25">
      <c r="T9749" s="98"/>
    </row>
    <row r="9750" spans="20:20" x14ac:dyDescent="0.25">
      <c r="T9750" s="98"/>
    </row>
    <row r="9751" spans="20:20" x14ac:dyDescent="0.25">
      <c r="T9751" s="98"/>
    </row>
    <row r="9752" spans="20:20" x14ac:dyDescent="0.25">
      <c r="T9752" s="98"/>
    </row>
    <row r="9753" spans="20:20" x14ac:dyDescent="0.25">
      <c r="T9753" s="98"/>
    </row>
    <row r="9754" spans="20:20" x14ac:dyDescent="0.25">
      <c r="T9754" s="98"/>
    </row>
    <row r="9755" spans="20:20" x14ac:dyDescent="0.25">
      <c r="T9755" s="98"/>
    </row>
    <row r="9756" spans="20:20" x14ac:dyDescent="0.25">
      <c r="T9756" s="98"/>
    </row>
    <row r="9757" spans="20:20" x14ac:dyDescent="0.25">
      <c r="T9757" s="98"/>
    </row>
    <row r="9758" spans="20:20" x14ac:dyDescent="0.25">
      <c r="T9758" s="98"/>
    </row>
    <row r="9759" spans="20:20" x14ac:dyDescent="0.25">
      <c r="T9759" s="98"/>
    </row>
    <row r="9760" spans="20:20" x14ac:dyDescent="0.25">
      <c r="T9760" s="98"/>
    </row>
    <row r="9761" spans="20:20" x14ac:dyDescent="0.25">
      <c r="T9761" s="98"/>
    </row>
    <row r="9762" spans="20:20" x14ac:dyDescent="0.25">
      <c r="T9762" s="98"/>
    </row>
    <row r="9763" spans="20:20" x14ac:dyDescent="0.25">
      <c r="T9763" s="98"/>
    </row>
    <row r="9764" spans="20:20" x14ac:dyDescent="0.25">
      <c r="T9764" s="98"/>
    </row>
    <row r="9765" spans="20:20" x14ac:dyDescent="0.25">
      <c r="T9765" s="98"/>
    </row>
    <row r="9766" spans="20:20" x14ac:dyDescent="0.25">
      <c r="T9766" s="98"/>
    </row>
    <row r="9767" spans="20:20" x14ac:dyDescent="0.25">
      <c r="T9767" s="98"/>
    </row>
    <row r="9768" spans="20:20" x14ac:dyDescent="0.25">
      <c r="T9768" s="98"/>
    </row>
    <row r="9769" spans="20:20" x14ac:dyDescent="0.25">
      <c r="T9769" s="98"/>
    </row>
    <row r="9770" spans="20:20" x14ac:dyDescent="0.25">
      <c r="T9770" s="98"/>
    </row>
    <row r="9771" spans="20:20" x14ac:dyDescent="0.25">
      <c r="T9771" s="98"/>
    </row>
    <row r="9772" spans="20:20" x14ac:dyDescent="0.25">
      <c r="T9772" s="98"/>
    </row>
    <row r="9773" spans="20:20" x14ac:dyDescent="0.25">
      <c r="T9773" s="98"/>
    </row>
    <row r="9774" spans="20:20" x14ac:dyDescent="0.25">
      <c r="T9774" s="98"/>
    </row>
    <row r="9775" spans="20:20" x14ac:dyDescent="0.25">
      <c r="T9775" s="98"/>
    </row>
    <row r="9776" spans="20:20" x14ac:dyDescent="0.25">
      <c r="T9776" s="98"/>
    </row>
    <row r="9777" spans="20:20" x14ac:dyDescent="0.25">
      <c r="T9777" s="98"/>
    </row>
    <row r="9778" spans="20:20" x14ac:dyDescent="0.25">
      <c r="T9778" s="98"/>
    </row>
    <row r="9779" spans="20:20" x14ac:dyDescent="0.25">
      <c r="T9779" s="98"/>
    </row>
    <row r="9780" spans="20:20" x14ac:dyDescent="0.25">
      <c r="T9780" s="98"/>
    </row>
    <row r="9781" spans="20:20" x14ac:dyDescent="0.25">
      <c r="T9781" s="98"/>
    </row>
    <row r="9782" spans="20:20" x14ac:dyDescent="0.25">
      <c r="T9782" s="98"/>
    </row>
    <row r="9783" spans="20:20" x14ac:dyDescent="0.25">
      <c r="T9783" s="98"/>
    </row>
    <row r="9784" spans="20:20" x14ac:dyDescent="0.25">
      <c r="T9784" s="98"/>
    </row>
    <row r="9785" spans="20:20" x14ac:dyDescent="0.25">
      <c r="T9785" s="98"/>
    </row>
    <row r="9786" spans="20:20" x14ac:dyDescent="0.25">
      <c r="T9786" s="98"/>
    </row>
    <row r="9787" spans="20:20" x14ac:dyDescent="0.25">
      <c r="T9787" s="98"/>
    </row>
    <row r="9788" spans="20:20" x14ac:dyDescent="0.25">
      <c r="T9788" s="98"/>
    </row>
    <row r="9789" spans="20:20" x14ac:dyDescent="0.25">
      <c r="T9789" s="98"/>
    </row>
    <row r="9790" spans="20:20" x14ac:dyDescent="0.25">
      <c r="T9790" s="98"/>
    </row>
    <row r="9791" spans="20:20" x14ac:dyDescent="0.25">
      <c r="T9791" s="98"/>
    </row>
    <row r="9792" spans="20:20" x14ac:dyDescent="0.25">
      <c r="T9792" s="98"/>
    </row>
    <row r="9793" spans="20:20" x14ac:dyDescent="0.25">
      <c r="T9793" s="98"/>
    </row>
    <row r="9794" spans="20:20" x14ac:dyDescent="0.25">
      <c r="T9794" s="98"/>
    </row>
    <row r="9795" spans="20:20" x14ac:dyDescent="0.25">
      <c r="T9795" s="98"/>
    </row>
    <row r="9796" spans="20:20" x14ac:dyDescent="0.25">
      <c r="T9796" s="98"/>
    </row>
    <row r="9797" spans="20:20" x14ac:dyDescent="0.25">
      <c r="T9797" s="98"/>
    </row>
    <row r="9798" spans="20:20" x14ac:dyDescent="0.25">
      <c r="T9798" s="98"/>
    </row>
    <row r="9799" spans="20:20" x14ac:dyDescent="0.25">
      <c r="T9799" s="98"/>
    </row>
    <row r="9800" spans="20:20" x14ac:dyDescent="0.25">
      <c r="T9800" s="98"/>
    </row>
    <row r="9801" spans="20:20" x14ac:dyDescent="0.25">
      <c r="T9801" s="98"/>
    </row>
    <row r="9802" spans="20:20" x14ac:dyDescent="0.25">
      <c r="T9802" s="98"/>
    </row>
    <row r="9803" spans="20:20" x14ac:dyDescent="0.25">
      <c r="T9803" s="98"/>
    </row>
    <row r="9804" spans="20:20" x14ac:dyDescent="0.25">
      <c r="T9804" s="98"/>
    </row>
    <row r="9805" spans="20:20" x14ac:dyDescent="0.25">
      <c r="T9805" s="98"/>
    </row>
    <row r="9806" spans="20:20" x14ac:dyDescent="0.25">
      <c r="T9806" s="98"/>
    </row>
    <row r="9807" spans="20:20" x14ac:dyDescent="0.25">
      <c r="T9807" s="98"/>
    </row>
    <row r="9808" spans="20:20" x14ac:dyDescent="0.25">
      <c r="T9808" s="98"/>
    </row>
    <row r="9809" spans="20:20" x14ac:dyDescent="0.25">
      <c r="T9809" s="98"/>
    </row>
    <row r="9810" spans="20:20" x14ac:dyDescent="0.25">
      <c r="T9810" s="98"/>
    </row>
    <row r="9811" spans="20:20" x14ac:dyDescent="0.25">
      <c r="T9811" s="98"/>
    </row>
    <row r="9812" spans="20:20" x14ac:dyDescent="0.25">
      <c r="T9812" s="98"/>
    </row>
    <row r="9813" spans="20:20" x14ac:dyDescent="0.25">
      <c r="T9813" s="98"/>
    </row>
    <row r="9814" spans="20:20" x14ac:dyDescent="0.25">
      <c r="T9814" s="98"/>
    </row>
    <row r="9815" spans="20:20" x14ac:dyDescent="0.25">
      <c r="T9815" s="98"/>
    </row>
    <row r="9816" spans="20:20" x14ac:dyDescent="0.25">
      <c r="T9816" s="98"/>
    </row>
    <row r="9817" spans="20:20" x14ac:dyDescent="0.25">
      <c r="T9817" s="98"/>
    </row>
    <row r="9818" spans="20:20" x14ac:dyDescent="0.25">
      <c r="T9818" s="98"/>
    </row>
    <row r="9819" spans="20:20" x14ac:dyDescent="0.25">
      <c r="T9819" s="98"/>
    </row>
    <row r="9820" spans="20:20" x14ac:dyDescent="0.25">
      <c r="T9820" s="98"/>
    </row>
    <row r="9821" spans="20:20" x14ac:dyDescent="0.25">
      <c r="T9821" s="98"/>
    </row>
    <row r="9822" spans="20:20" x14ac:dyDescent="0.25">
      <c r="T9822" s="98"/>
    </row>
    <row r="9823" spans="20:20" x14ac:dyDescent="0.25">
      <c r="T9823" s="98"/>
    </row>
    <row r="9824" spans="20:20" x14ac:dyDescent="0.25">
      <c r="T9824" s="98"/>
    </row>
    <row r="9825" spans="20:20" x14ac:dyDescent="0.25">
      <c r="T9825" s="98"/>
    </row>
    <row r="9826" spans="20:20" x14ac:dyDescent="0.25">
      <c r="T9826" s="98"/>
    </row>
    <row r="9827" spans="20:20" x14ac:dyDescent="0.25">
      <c r="T9827" s="98"/>
    </row>
    <row r="9828" spans="20:20" x14ac:dyDescent="0.25">
      <c r="T9828" s="98"/>
    </row>
    <row r="9829" spans="20:20" x14ac:dyDescent="0.25">
      <c r="T9829" s="98"/>
    </row>
    <row r="9830" spans="20:20" x14ac:dyDescent="0.25">
      <c r="T9830" s="98"/>
    </row>
    <row r="9831" spans="20:20" x14ac:dyDescent="0.25">
      <c r="T9831" s="98"/>
    </row>
    <row r="9832" spans="20:20" x14ac:dyDescent="0.25">
      <c r="T9832" s="98"/>
    </row>
    <row r="9833" spans="20:20" x14ac:dyDescent="0.25">
      <c r="T9833" s="98"/>
    </row>
    <row r="9834" spans="20:20" x14ac:dyDescent="0.25">
      <c r="T9834" s="98"/>
    </row>
    <row r="9835" spans="20:20" x14ac:dyDescent="0.25">
      <c r="T9835" s="98"/>
    </row>
    <row r="9836" spans="20:20" x14ac:dyDescent="0.25">
      <c r="T9836" s="98"/>
    </row>
    <row r="9837" spans="20:20" x14ac:dyDescent="0.25">
      <c r="T9837" s="98"/>
    </row>
    <row r="9838" spans="20:20" x14ac:dyDescent="0.25">
      <c r="T9838" s="98"/>
    </row>
    <row r="9839" spans="20:20" x14ac:dyDescent="0.25">
      <c r="T9839" s="98"/>
    </row>
    <row r="9840" spans="20:20" x14ac:dyDescent="0.25">
      <c r="T9840" s="98"/>
    </row>
    <row r="9841" spans="20:20" x14ac:dyDescent="0.25">
      <c r="T9841" s="98"/>
    </row>
    <row r="9842" spans="20:20" x14ac:dyDescent="0.25">
      <c r="T9842" s="98"/>
    </row>
    <row r="9843" spans="20:20" x14ac:dyDescent="0.25">
      <c r="T9843" s="98"/>
    </row>
    <row r="9844" spans="20:20" x14ac:dyDescent="0.25">
      <c r="T9844" s="98"/>
    </row>
    <row r="9845" spans="20:20" x14ac:dyDescent="0.25">
      <c r="T9845" s="98"/>
    </row>
    <row r="9846" spans="20:20" x14ac:dyDescent="0.25">
      <c r="T9846" s="98"/>
    </row>
    <row r="9847" spans="20:20" x14ac:dyDescent="0.25">
      <c r="T9847" s="98"/>
    </row>
    <row r="9848" spans="20:20" x14ac:dyDescent="0.25">
      <c r="T9848" s="98"/>
    </row>
    <row r="9849" spans="20:20" x14ac:dyDescent="0.25">
      <c r="T9849" s="98"/>
    </row>
    <row r="9850" spans="20:20" x14ac:dyDescent="0.25">
      <c r="T9850" s="98"/>
    </row>
    <row r="9851" spans="20:20" x14ac:dyDescent="0.25">
      <c r="T9851" s="98"/>
    </row>
    <row r="9852" spans="20:20" x14ac:dyDescent="0.25">
      <c r="T9852" s="98"/>
    </row>
    <row r="9853" spans="20:20" x14ac:dyDescent="0.25">
      <c r="T9853" s="98"/>
    </row>
    <row r="9854" spans="20:20" x14ac:dyDescent="0.25">
      <c r="T9854" s="98"/>
    </row>
    <row r="9855" spans="20:20" x14ac:dyDescent="0.25">
      <c r="T9855" s="98"/>
    </row>
    <row r="9856" spans="20:20" x14ac:dyDescent="0.25">
      <c r="T9856" s="98"/>
    </row>
    <row r="9857" spans="20:20" x14ac:dyDescent="0.25">
      <c r="T9857" s="98"/>
    </row>
    <row r="9858" spans="20:20" x14ac:dyDescent="0.25">
      <c r="T9858" s="98"/>
    </row>
    <row r="9859" spans="20:20" x14ac:dyDescent="0.25">
      <c r="T9859" s="98"/>
    </row>
    <row r="9860" spans="20:20" x14ac:dyDescent="0.25">
      <c r="T9860" s="98"/>
    </row>
    <row r="9861" spans="20:20" x14ac:dyDescent="0.25">
      <c r="T9861" s="98"/>
    </row>
    <row r="9862" spans="20:20" x14ac:dyDescent="0.25">
      <c r="T9862" s="98"/>
    </row>
    <row r="9863" spans="20:20" x14ac:dyDescent="0.25">
      <c r="T9863" s="98"/>
    </row>
    <row r="9864" spans="20:20" x14ac:dyDescent="0.25">
      <c r="T9864" s="98"/>
    </row>
    <row r="9865" spans="20:20" x14ac:dyDescent="0.25">
      <c r="T9865" s="98"/>
    </row>
    <row r="9866" spans="20:20" x14ac:dyDescent="0.25">
      <c r="T9866" s="98"/>
    </row>
    <row r="9867" spans="20:20" x14ac:dyDescent="0.25">
      <c r="T9867" s="98"/>
    </row>
    <row r="9868" spans="20:20" x14ac:dyDescent="0.25">
      <c r="T9868" s="98"/>
    </row>
    <row r="9869" spans="20:20" x14ac:dyDescent="0.25">
      <c r="T9869" s="98"/>
    </row>
    <row r="9870" spans="20:20" x14ac:dyDescent="0.25">
      <c r="T9870" s="98"/>
    </row>
    <row r="9871" spans="20:20" x14ac:dyDescent="0.25">
      <c r="T9871" s="98"/>
    </row>
    <row r="9872" spans="20:20" x14ac:dyDescent="0.25">
      <c r="T9872" s="98"/>
    </row>
    <row r="9873" spans="20:20" x14ac:dyDescent="0.25">
      <c r="T9873" s="98"/>
    </row>
    <row r="9874" spans="20:20" x14ac:dyDescent="0.25">
      <c r="T9874" s="98"/>
    </row>
    <row r="9875" spans="20:20" x14ac:dyDescent="0.25">
      <c r="T9875" s="98"/>
    </row>
    <row r="9876" spans="20:20" x14ac:dyDescent="0.25">
      <c r="T9876" s="98"/>
    </row>
    <row r="9877" spans="20:20" x14ac:dyDescent="0.25">
      <c r="T9877" s="98"/>
    </row>
    <row r="9878" spans="20:20" x14ac:dyDescent="0.25">
      <c r="T9878" s="98"/>
    </row>
    <row r="9879" spans="20:20" x14ac:dyDescent="0.25">
      <c r="T9879" s="98"/>
    </row>
    <row r="9880" spans="20:20" x14ac:dyDescent="0.25">
      <c r="T9880" s="98"/>
    </row>
    <row r="9881" spans="20:20" x14ac:dyDescent="0.25">
      <c r="T9881" s="98"/>
    </row>
    <row r="9882" spans="20:20" x14ac:dyDescent="0.25">
      <c r="T9882" s="98"/>
    </row>
    <row r="9883" spans="20:20" x14ac:dyDescent="0.25">
      <c r="T9883" s="98"/>
    </row>
    <row r="9884" spans="20:20" x14ac:dyDescent="0.25">
      <c r="T9884" s="98"/>
    </row>
    <row r="9885" spans="20:20" x14ac:dyDescent="0.25">
      <c r="T9885" s="98"/>
    </row>
    <row r="9886" spans="20:20" x14ac:dyDescent="0.25">
      <c r="T9886" s="98"/>
    </row>
    <row r="9887" spans="20:20" x14ac:dyDescent="0.25">
      <c r="T9887" s="98"/>
    </row>
    <row r="9888" spans="20:20" x14ac:dyDescent="0.25">
      <c r="T9888" s="98"/>
    </row>
    <row r="9889" spans="20:20" x14ac:dyDescent="0.25">
      <c r="T9889" s="98"/>
    </row>
    <row r="9890" spans="20:20" x14ac:dyDescent="0.25">
      <c r="T9890" s="98"/>
    </row>
    <row r="9891" spans="20:20" x14ac:dyDescent="0.25">
      <c r="T9891" s="98"/>
    </row>
    <row r="9892" spans="20:20" x14ac:dyDescent="0.25">
      <c r="T9892" s="98"/>
    </row>
    <row r="9893" spans="20:20" x14ac:dyDescent="0.25">
      <c r="T9893" s="98"/>
    </row>
    <row r="9894" spans="20:20" x14ac:dyDescent="0.25">
      <c r="T9894" s="98"/>
    </row>
    <row r="9895" spans="20:20" x14ac:dyDescent="0.25">
      <c r="T9895" s="98"/>
    </row>
    <row r="9896" spans="20:20" x14ac:dyDescent="0.25">
      <c r="T9896" s="98"/>
    </row>
    <row r="9897" spans="20:20" x14ac:dyDescent="0.25">
      <c r="T9897" s="98"/>
    </row>
    <row r="9898" spans="20:20" x14ac:dyDescent="0.25">
      <c r="T9898" s="98"/>
    </row>
    <row r="9899" spans="20:20" x14ac:dyDescent="0.25">
      <c r="T9899" s="98"/>
    </row>
    <row r="9900" spans="20:20" x14ac:dyDescent="0.25">
      <c r="T9900" s="98"/>
    </row>
    <row r="9901" spans="20:20" x14ac:dyDescent="0.25">
      <c r="T9901" s="98"/>
    </row>
    <row r="9902" spans="20:20" x14ac:dyDescent="0.25">
      <c r="T9902" s="98"/>
    </row>
    <row r="9903" spans="20:20" x14ac:dyDescent="0.25">
      <c r="T9903" s="98"/>
    </row>
    <row r="9904" spans="20:20" x14ac:dyDescent="0.25">
      <c r="T9904" s="98"/>
    </row>
    <row r="9905" spans="20:20" x14ac:dyDescent="0.25">
      <c r="T9905" s="98"/>
    </row>
    <row r="9906" spans="20:20" x14ac:dyDescent="0.25">
      <c r="T9906" s="98"/>
    </row>
    <row r="9907" spans="20:20" x14ac:dyDescent="0.25">
      <c r="T9907" s="98"/>
    </row>
    <row r="9908" spans="20:20" x14ac:dyDescent="0.25">
      <c r="T9908" s="98"/>
    </row>
    <row r="9909" spans="20:20" x14ac:dyDescent="0.25">
      <c r="T9909" s="98"/>
    </row>
    <row r="9910" spans="20:20" x14ac:dyDescent="0.25">
      <c r="T9910" s="98"/>
    </row>
    <row r="9911" spans="20:20" x14ac:dyDescent="0.25">
      <c r="T9911" s="98"/>
    </row>
    <row r="9912" spans="20:20" x14ac:dyDescent="0.25">
      <c r="T9912" s="98"/>
    </row>
    <row r="9913" spans="20:20" x14ac:dyDescent="0.25">
      <c r="T9913" s="98"/>
    </row>
    <row r="9914" spans="20:20" x14ac:dyDescent="0.25">
      <c r="T9914" s="98"/>
    </row>
    <row r="9915" spans="20:20" x14ac:dyDescent="0.25">
      <c r="T9915" s="98"/>
    </row>
    <row r="9916" spans="20:20" x14ac:dyDescent="0.25">
      <c r="T9916" s="98"/>
    </row>
    <row r="9917" spans="20:20" x14ac:dyDescent="0.25">
      <c r="T9917" s="98"/>
    </row>
    <row r="9918" spans="20:20" x14ac:dyDescent="0.25">
      <c r="T9918" s="98"/>
    </row>
    <row r="9919" spans="20:20" x14ac:dyDescent="0.25">
      <c r="T9919" s="98"/>
    </row>
    <row r="9920" spans="20:20" x14ac:dyDescent="0.25">
      <c r="T9920" s="98"/>
    </row>
    <row r="9921" spans="20:20" x14ac:dyDescent="0.25">
      <c r="T9921" s="98"/>
    </row>
    <row r="9922" spans="20:20" x14ac:dyDescent="0.25">
      <c r="T9922" s="98"/>
    </row>
    <row r="9923" spans="20:20" x14ac:dyDescent="0.25">
      <c r="T9923" s="98"/>
    </row>
    <row r="9924" spans="20:20" x14ac:dyDescent="0.25">
      <c r="T9924" s="98"/>
    </row>
    <row r="9925" spans="20:20" x14ac:dyDescent="0.25">
      <c r="T9925" s="98"/>
    </row>
    <row r="9926" spans="20:20" x14ac:dyDescent="0.25">
      <c r="T9926" s="98"/>
    </row>
    <row r="9927" spans="20:20" x14ac:dyDescent="0.25">
      <c r="T9927" s="98"/>
    </row>
    <row r="9928" spans="20:20" x14ac:dyDescent="0.25">
      <c r="T9928" s="98"/>
    </row>
    <row r="9929" spans="20:20" x14ac:dyDescent="0.25">
      <c r="T9929" s="98"/>
    </row>
    <row r="9930" spans="20:20" x14ac:dyDescent="0.25">
      <c r="T9930" s="98"/>
    </row>
    <row r="9931" spans="20:20" x14ac:dyDescent="0.25">
      <c r="T9931" s="98"/>
    </row>
    <row r="9932" spans="20:20" x14ac:dyDescent="0.25">
      <c r="T9932" s="98"/>
    </row>
    <row r="9933" spans="20:20" x14ac:dyDescent="0.25">
      <c r="T9933" s="98"/>
    </row>
    <row r="9934" spans="20:20" x14ac:dyDescent="0.25">
      <c r="T9934" s="98"/>
    </row>
    <row r="9935" spans="20:20" x14ac:dyDescent="0.25">
      <c r="T9935" s="98"/>
    </row>
    <row r="9936" spans="20:20" x14ac:dyDescent="0.25">
      <c r="T9936" s="98"/>
    </row>
    <row r="9937" spans="20:20" x14ac:dyDescent="0.25">
      <c r="T9937" s="98"/>
    </row>
    <row r="9938" spans="20:20" x14ac:dyDescent="0.25">
      <c r="T9938" s="98"/>
    </row>
    <row r="9939" spans="20:20" x14ac:dyDescent="0.25">
      <c r="T9939" s="98"/>
    </row>
    <row r="9940" spans="20:20" x14ac:dyDescent="0.25">
      <c r="T9940" s="98"/>
    </row>
    <row r="9941" spans="20:20" x14ac:dyDescent="0.25">
      <c r="T9941" s="98"/>
    </row>
    <row r="9942" spans="20:20" x14ac:dyDescent="0.25">
      <c r="T9942" s="98"/>
    </row>
    <row r="9943" spans="20:20" x14ac:dyDescent="0.25">
      <c r="T9943" s="98"/>
    </row>
    <row r="9944" spans="20:20" x14ac:dyDescent="0.25">
      <c r="T9944" s="98"/>
    </row>
    <row r="9945" spans="20:20" x14ac:dyDescent="0.25">
      <c r="T9945" s="98"/>
    </row>
    <row r="9946" spans="20:20" x14ac:dyDescent="0.25">
      <c r="T9946" s="98"/>
    </row>
    <row r="9947" spans="20:20" x14ac:dyDescent="0.25">
      <c r="T9947" s="98"/>
    </row>
    <row r="9948" spans="20:20" x14ac:dyDescent="0.25">
      <c r="T9948" s="98"/>
    </row>
    <row r="9949" spans="20:20" x14ac:dyDescent="0.25">
      <c r="T9949" s="98"/>
    </row>
    <row r="9950" spans="20:20" x14ac:dyDescent="0.25">
      <c r="T9950" s="98"/>
    </row>
    <row r="9951" spans="20:20" x14ac:dyDescent="0.25">
      <c r="T9951" s="98"/>
    </row>
    <row r="9952" spans="20:20" x14ac:dyDescent="0.25">
      <c r="T9952" s="98"/>
    </row>
    <row r="9953" spans="20:20" x14ac:dyDescent="0.25">
      <c r="T9953" s="98"/>
    </row>
    <row r="9954" spans="20:20" x14ac:dyDescent="0.25">
      <c r="T9954" s="98"/>
    </row>
    <row r="9955" spans="20:20" x14ac:dyDescent="0.25">
      <c r="T9955" s="98"/>
    </row>
    <row r="9956" spans="20:20" x14ac:dyDescent="0.25">
      <c r="T9956" s="98"/>
    </row>
    <row r="9957" spans="20:20" x14ac:dyDescent="0.25">
      <c r="T9957" s="98"/>
    </row>
    <row r="9958" spans="20:20" x14ac:dyDescent="0.25">
      <c r="T9958" s="98"/>
    </row>
    <row r="9959" spans="20:20" x14ac:dyDescent="0.25">
      <c r="T9959" s="98"/>
    </row>
    <row r="9960" spans="20:20" x14ac:dyDescent="0.25">
      <c r="T9960" s="98"/>
    </row>
    <row r="9961" spans="20:20" x14ac:dyDescent="0.25">
      <c r="T9961" s="98"/>
    </row>
    <row r="9962" spans="20:20" x14ac:dyDescent="0.25">
      <c r="T9962" s="98"/>
    </row>
    <row r="9963" spans="20:20" x14ac:dyDescent="0.25">
      <c r="T9963" s="98"/>
    </row>
    <row r="9964" spans="20:20" x14ac:dyDescent="0.25">
      <c r="T9964" s="98"/>
    </row>
    <row r="9965" spans="20:20" x14ac:dyDescent="0.25">
      <c r="T9965" s="98"/>
    </row>
    <row r="9966" spans="20:20" x14ac:dyDescent="0.25">
      <c r="T9966" s="98"/>
    </row>
    <row r="9967" spans="20:20" x14ac:dyDescent="0.25">
      <c r="T9967" s="98"/>
    </row>
    <row r="9968" spans="20:20" x14ac:dyDescent="0.25">
      <c r="T9968" s="98"/>
    </row>
    <row r="9969" spans="20:20" x14ac:dyDescent="0.25">
      <c r="T9969" s="98"/>
    </row>
    <row r="9970" spans="20:20" x14ac:dyDescent="0.25">
      <c r="T9970" s="98"/>
    </row>
    <row r="9971" spans="20:20" x14ac:dyDescent="0.25">
      <c r="T9971" s="98"/>
    </row>
    <row r="9972" spans="20:20" x14ac:dyDescent="0.25">
      <c r="T9972" s="98"/>
    </row>
    <row r="9973" spans="20:20" x14ac:dyDescent="0.25">
      <c r="T9973" s="98"/>
    </row>
    <row r="9974" spans="20:20" x14ac:dyDescent="0.25">
      <c r="T9974" s="98"/>
    </row>
    <row r="9975" spans="20:20" x14ac:dyDescent="0.25">
      <c r="T9975" s="98"/>
    </row>
    <row r="9976" spans="20:20" x14ac:dyDescent="0.25">
      <c r="T9976" s="98"/>
    </row>
    <row r="9977" spans="20:20" x14ac:dyDescent="0.25">
      <c r="T9977" s="98"/>
    </row>
    <row r="9978" spans="20:20" x14ac:dyDescent="0.25">
      <c r="T9978" s="98"/>
    </row>
    <row r="9979" spans="20:20" x14ac:dyDescent="0.25">
      <c r="T9979" s="98"/>
    </row>
    <row r="9980" spans="20:20" x14ac:dyDescent="0.25">
      <c r="T9980" s="98"/>
    </row>
    <row r="9981" spans="20:20" x14ac:dyDescent="0.25">
      <c r="T9981" s="98"/>
    </row>
    <row r="9982" spans="20:20" x14ac:dyDescent="0.25">
      <c r="T9982" s="98"/>
    </row>
    <row r="9983" spans="20:20" x14ac:dyDescent="0.25">
      <c r="T9983" s="98"/>
    </row>
    <row r="9984" spans="20:20" x14ac:dyDescent="0.25">
      <c r="T9984" s="98"/>
    </row>
    <row r="9985" spans="20:20" x14ac:dyDescent="0.25">
      <c r="T9985" s="98"/>
    </row>
    <row r="9986" spans="20:20" x14ac:dyDescent="0.25">
      <c r="T9986" s="98"/>
    </row>
    <row r="9987" spans="20:20" x14ac:dyDescent="0.25">
      <c r="T9987" s="98"/>
    </row>
    <row r="9988" spans="20:20" x14ac:dyDescent="0.25">
      <c r="T9988" s="98"/>
    </row>
    <row r="9989" spans="20:20" x14ac:dyDescent="0.25">
      <c r="T9989" s="98"/>
    </row>
    <row r="9990" spans="20:20" x14ac:dyDescent="0.25">
      <c r="T9990" s="98"/>
    </row>
    <row r="9991" spans="20:20" x14ac:dyDescent="0.25">
      <c r="T9991" s="98"/>
    </row>
    <row r="9992" spans="20:20" x14ac:dyDescent="0.25">
      <c r="T9992" s="98"/>
    </row>
    <row r="9993" spans="20:20" x14ac:dyDescent="0.25">
      <c r="T9993" s="98"/>
    </row>
    <row r="9994" spans="20:20" x14ac:dyDescent="0.25">
      <c r="T9994" s="98"/>
    </row>
    <row r="9995" spans="20:20" x14ac:dyDescent="0.25">
      <c r="T9995" s="98"/>
    </row>
    <row r="9996" spans="20:20" x14ac:dyDescent="0.25">
      <c r="T9996" s="98"/>
    </row>
    <row r="9997" spans="20:20" x14ac:dyDescent="0.25">
      <c r="T9997" s="98"/>
    </row>
    <row r="9998" spans="20:20" x14ac:dyDescent="0.25">
      <c r="T9998" s="98"/>
    </row>
    <row r="9999" spans="20:20" x14ac:dyDescent="0.25">
      <c r="T9999" s="98"/>
    </row>
    <row r="10000" spans="20:20" x14ac:dyDescent="0.25">
      <c r="T10000" s="98"/>
    </row>
    <row r="10001" spans="20:20" x14ac:dyDescent="0.25">
      <c r="T10001" s="98"/>
    </row>
    <row r="10002" spans="20:20" x14ac:dyDescent="0.25">
      <c r="T10002" s="98"/>
    </row>
    <row r="10003" spans="20:20" x14ac:dyDescent="0.25">
      <c r="T10003" s="98"/>
    </row>
    <row r="10004" spans="20:20" x14ac:dyDescent="0.25">
      <c r="T10004" s="98"/>
    </row>
    <row r="10005" spans="20:20" x14ac:dyDescent="0.25">
      <c r="T10005" s="98"/>
    </row>
    <row r="10006" spans="20:20" x14ac:dyDescent="0.25">
      <c r="T10006" s="98"/>
    </row>
    <row r="10007" spans="20:20" x14ac:dyDescent="0.25">
      <c r="T10007" s="98"/>
    </row>
    <row r="10008" spans="20:20" x14ac:dyDescent="0.25">
      <c r="T10008" s="98"/>
    </row>
    <row r="10009" spans="20:20" x14ac:dyDescent="0.25">
      <c r="T10009" s="98"/>
    </row>
    <row r="10010" spans="20:20" x14ac:dyDescent="0.25">
      <c r="T10010" s="98"/>
    </row>
    <row r="10011" spans="20:20" x14ac:dyDescent="0.25">
      <c r="T10011" s="98"/>
    </row>
    <row r="10012" spans="20:20" x14ac:dyDescent="0.25">
      <c r="T10012" s="98"/>
    </row>
    <row r="10013" spans="20:20" x14ac:dyDescent="0.25">
      <c r="T10013" s="98"/>
    </row>
    <row r="10014" spans="20:20" x14ac:dyDescent="0.25">
      <c r="T10014" s="98"/>
    </row>
    <row r="10015" spans="20:20" x14ac:dyDescent="0.25">
      <c r="T10015" s="98"/>
    </row>
    <row r="10016" spans="20:20" x14ac:dyDescent="0.25">
      <c r="T10016" s="98"/>
    </row>
    <row r="10017" spans="20:20" x14ac:dyDescent="0.25">
      <c r="T10017" s="98"/>
    </row>
    <row r="10018" spans="20:20" x14ac:dyDescent="0.25">
      <c r="T10018" s="98"/>
    </row>
    <row r="10019" spans="20:20" x14ac:dyDescent="0.25">
      <c r="T10019" s="98"/>
    </row>
    <row r="10020" spans="20:20" x14ac:dyDescent="0.25">
      <c r="T10020" s="98"/>
    </row>
    <row r="10021" spans="20:20" x14ac:dyDescent="0.25">
      <c r="T10021" s="98"/>
    </row>
    <row r="10022" spans="20:20" x14ac:dyDescent="0.25">
      <c r="T10022" s="98"/>
    </row>
    <row r="10023" spans="20:20" x14ac:dyDescent="0.25">
      <c r="T10023" s="98"/>
    </row>
    <row r="10024" spans="20:20" x14ac:dyDescent="0.25">
      <c r="T10024" s="98"/>
    </row>
    <row r="10025" spans="20:20" x14ac:dyDescent="0.25">
      <c r="T10025" s="98"/>
    </row>
    <row r="10026" spans="20:20" x14ac:dyDescent="0.25">
      <c r="T10026" s="98"/>
    </row>
    <row r="10027" spans="20:20" x14ac:dyDescent="0.25">
      <c r="T10027" s="98"/>
    </row>
    <row r="10028" spans="20:20" x14ac:dyDescent="0.25">
      <c r="T10028" s="98"/>
    </row>
    <row r="10029" spans="20:20" x14ac:dyDescent="0.25">
      <c r="T10029" s="98"/>
    </row>
    <row r="10030" spans="20:20" x14ac:dyDescent="0.25">
      <c r="T10030" s="98"/>
    </row>
    <row r="10031" spans="20:20" x14ac:dyDescent="0.25">
      <c r="T10031" s="98"/>
    </row>
    <row r="10032" spans="20:20" x14ac:dyDescent="0.25">
      <c r="T10032" s="98"/>
    </row>
    <row r="10033" spans="20:20" x14ac:dyDescent="0.25">
      <c r="T10033" s="98"/>
    </row>
    <row r="10034" spans="20:20" x14ac:dyDescent="0.25">
      <c r="T10034" s="98"/>
    </row>
    <row r="10035" spans="20:20" x14ac:dyDescent="0.25">
      <c r="T10035" s="98"/>
    </row>
    <row r="10036" spans="20:20" x14ac:dyDescent="0.25">
      <c r="T10036" s="98"/>
    </row>
    <row r="10037" spans="20:20" x14ac:dyDescent="0.25">
      <c r="T10037" s="98"/>
    </row>
    <row r="10038" spans="20:20" x14ac:dyDescent="0.25">
      <c r="T10038" s="98"/>
    </row>
    <row r="10039" spans="20:20" x14ac:dyDescent="0.25">
      <c r="T10039" s="98"/>
    </row>
    <row r="10040" spans="20:20" x14ac:dyDescent="0.25">
      <c r="T10040" s="98"/>
    </row>
    <row r="10041" spans="20:20" x14ac:dyDescent="0.25">
      <c r="T10041" s="98"/>
    </row>
    <row r="10042" spans="20:20" x14ac:dyDescent="0.25">
      <c r="T10042" s="98"/>
    </row>
    <row r="10043" spans="20:20" x14ac:dyDescent="0.25">
      <c r="T10043" s="98"/>
    </row>
    <row r="10044" spans="20:20" x14ac:dyDescent="0.25">
      <c r="T10044" s="98"/>
    </row>
    <row r="10045" spans="20:20" x14ac:dyDescent="0.25">
      <c r="T10045" s="98"/>
    </row>
    <row r="10046" spans="20:20" x14ac:dyDescent="0.25">
      <c r="T10046" s="98"/>
    </row>
    <row r="10047" spans="20:20" x14ac:dyDescent="0.25">
      <c r="T10047" s="98"/>
    </row>
    <row r="10048" spans="20:20" x14ac:dyDescent="0.25">
      <c r="T10048" s="98"/>
    </row>
    <row r="10049" spans="20:20" x14ac:dyDescent="0.25">
      <c r="T10049" s="98"/>
    </row>
    <row r="10050" spans="20:20" x14ac:dyDescent="0.25">
      <c r="T10050" s="98"/>
    </row>
    <row r="10051" spans="20:20" x14ac:dyDescent="0.25">
      <c r="T10051" s="98"/>
    </row>
    <row r="10052" spans="20:20" x14ac:dyDescent="0.25">
      <c r="T10052" s="98"/>
    </row>
    <row r="10053" spans="20:20" x14ac:dyDescent="0.25">
      <c r="T10053" s="98"/>
    </row>
    <row r="10054" spans="20:20" x14ac:dyDescent="0.25">
      <c r="T10054" s="98"/>
    </row>
    <row r="10055" spans="20:20" x14ac:dyDescent="0.25">
      <c r="T10055" s="98"/>
    </row>
    <row r="10056" spans="20:20" x14ac:dyDescent="0.25">
      <c r="T10056" s="98"/>
    </row>
    <row r="10057" spans="20:20" x14ac:dyDescent="0.25">
      <c r="T10057" s="98"/>
    </row>
    <row r="10058" spans="20:20" x14ac:dyDescent="0.25">
      <c r="T10058" s="98"/>
    </row>
    <row r="10059" spans="20:20" x14ac:dyDescent="0.25">
      <c r="T10059" s="98"/>
    </row>
    <row r="10060" spans="20:20" x14ac:dyDescent="0.25">
      <c r="T10060" s="98"/>
    </row>
    <row r="10061" spans="20:20" x14ac:dyDescent="0.25">
      <c r="T10061" s="98"/>
    </row>
    <row r="10062" spans="20:20" x14ac:dyDescent="0.25">
      <c r="T10062" s="98"/>
    </row>
    <row r="10063" spans="20:20" x14ac:dyDescent="0.25">
      <c r="T10063" s="98"/>
    </row>
    <row r="10064" spans="20:20" x14ac:dyDescent="0.25">
      <c r="T10064" s="98"/>
    </row>
    <row r="10065" spans="20:20" x14ac:dyDescent="0.25">
      <c r="T10065" s="98"/>
    </row>
    <row r="10066" spans="20:20" x14ac:dyDescent="0.25">
      <c r="T10066" s="98"/>
    </row>
    <row r="10067" spans="20:20" x14ac:dyDescent="0.25">
      <c r="T10067" s="98"/>
    </row>
    <row r="10068" spans="20:20" x14ac:dyDescent="0.25">
      <c r="T10068" s="98"/>
    </row>
    <row r="10069" spans="20:20" x14ac:dyDescent="0.25">
      <c r="T10069" s="98"/>
    </row>
    <row r="10070" spans="20:20" x14ac:dyDescent="0.25">
      <c r="T10070" s="98"/>
    </row>
    <row r="10071" spans="20:20" x14ac:dyDescent="0.25">
      <c r="T10071" s="98"/>
    </row>
    <row r="10072" spans="20:20" x14ac:dyDescent="0.25">
      <c r="T10072" s="98"/>
    </row>
    <row r="10073" spans="20:20" x14ac:dyDescent="0.25">
      <c r="T10073" s="98"/>
    </row>
    <row r="10074" spans="20:20" x14ac:dyDescent="0.25">
      <c r="T10074" s="98"/>
    </row>
    <row r="10075" spans="20:20" x14ac:dyDescent="0.25">
      <c r="T10075" s="98"/>
    </row>
    <row r="10076" spans="20:20" x14ac:dyDescent="0.25">
      <c r="T10076" s="98"/>
    </row>
    <row r="10077" spans="20:20" x14ac:dyDescent="0.25">
      <c r="T10077" s="98"/>
    </row>
    <row r="10078" spans="20:20" x14ac:dyDescent="0.25">
      <c r="T10078" s="98"/>
    </row>
    <row r="10079" spans="20:20" x14ac:dyDescent="0.25">
      <c r="T10079" s="98"/>
    </row>
    <row r="10080" spans="20:20" x14ac:dyDescent="0.25">
      <c r="T10080" s="98"/>
    </row>
    <row r="10081" spans="20:20" x14ac:dyDescent="0.25">
      <c r="T10081" s="98"/>
    </row>
    <row r="10082" spans="20:20" x14ac:dyDescent="0.25">
      <c r="T10082" s="98"/>
    </row>
    <row r="10083" spans="20:20" x14ac:dyDescent="0.25">
      <c r="T10083" s="98"/>
    </row>
    <row r="10084" spans="20:20" x14ac:dyDescent="0.25">
      <c r="T10084" s="98"/>
    </row>
    <row r="10085" spans="20:20" x14ac:dyDescent="0.25">
      <c r="T10085" s="98"/>
    </row>
    <row r="10086" spans="20:20" x14ac:dyDescent="0.25">
      <c r="T10086" s="98"/>
    </row>
    <row r="10087" spans="20:20" x14ac:dyDescent="0.25">
      <c r="T10087" s="98"/>
    </row>
    <row r="10088" spans="20:20" x14ac:dyDescent="0.25">
      <c r="T10088" s="98"/>
    </row>
    <row r="10089" spans="20:20" x14ac:dyDescent="0.25">
      <c r="T10089" s="98"/>
    </row>
    <row r="10090" spans="20:20" x14ac:dyDescent="0.25">
      <c r="T10090" s="98"/>
    </row>
    <row r="10091" spans="20:20" x14ac:dyDescent="0.25">
      <c r="T10091" s="98"/>
    </row>
    <row r="10092" spans="20:20" x14ac:dyDescent="0.25">
      <c r="T10092" s="98"/>
    </row>
    <row r="10093" spans="20:20" x14ac:dyDescent="0.25">
      <c r="T10093" s="98"/>
    </row>
    <row r="10094" spans="20:20" x14ac:dyDescent="0.25">
      <c r="T10094" s="98"/>
    </row>
    <row r="10095" spans="20:20" x14ac:dyDescent="0.25">
      <c r="T10095" s="98"/>
    </row>
    <row r="10096" spans="20:20" x14ac:dyDescent="0.25">
      <c r="T10096" s="98"/>
    </row>
    <row r="10097" spans="20:20" x14ac:dyDescent="0.25">
      <c r="T10097" s="98"/>
    </row>
    <row r="10098" spans="20:20" x14ac:dyDescent="0.25">
      <c r="T10098" s="98"/>
    </row>
    <row r="10099" spans="20:20" x14ac:dyDescent="0.25">
      <c r="T10099" s="98"/>
    </row>
    <row r="10100" spans="20:20" x14ac:dyDescent="0.25">
      <c r="T10100" s="98"/>
    </row>
    <row r="10101" spans="20:20" x14ac:dyDescent="0.25">
      <c r="T10101" s="98"/>
    </row>
    <row r="10102" spans="20:20" x14ac:dyDescent="0.25">
      <c r="T10102" s="98"/>
    </row>
    <row r="10103" spans="20:20" x14ac:dyDescent="0.25">
      <c r="T10103" s="98"/>
    </row>
    <row r="10104" spans="20:20" x14ac:dyDescent="0.25">
      <c r="T10104" s="98"/>
    </row>
    <row r="10105" spans="20:20" x14ac:dyDescent="0.25">
      <c r="T10105" s="98"/>
    </row>
    <row r="10106" spans="20:20" x14ac:dyDescent="0.25">
      <c r="T10106" s="98"/>
    </row>
    <row r="10107" spans="20:20" x14ac:dyDescent="0.25">
      <c r="T10107" s="98"/>
    </row>
    <row r="10108" spans="20:20" x14ac:dyDescent="0.25">
      <c r="T10108" s="98"/>
    </row>
    <row r="10109" spans="20:20" x14ac:dyDescent="0.25">
      <c r="T10109" s="98"/>
    </row>
    <row r="10110" spans="20:20" x14ac:dyDescent="0.25">
      <c r="T10110" s="98"/>
    </row>
    <row r="10111" spans="20:20" x14ac:dyDescent="0.25">
      <c r="T10111" s="98"/>
    </row>
    <row r="10112" spans="20:20" x14ac:dyDescent="0.25">
      <c r="T10112" s="98"/>
    </row>
    <row r="10113" spans="20:20" x14ac:dyDescent="0.25">
      <c r="T10113" s="98"/>
    </row>
    <row r="10114" spans="20:20" x14ac:dyDescent="0.25">
      <c r="T10114" s="98"/>
    </row>
    <row r="10115" spans="20:20" x14ac:dyDescent="0.25">
      <c r="T10115" s="98"/>
    </row>
    <row r="10116" spans="20:20" x14ac:dyDescent="0.25">
      <c r="T10116" s="98"/>
    </row>
    <row r="10117" spans="20:20" x14ac:dyDescent="0.25">
      <c r="T10117" s="98"/>
    </row>
    <row r="10118" spans="20:20" x14ac:dyDescent="0.25">
      <c r="T10118" s="98"/>
    </row>
    <row r="10119" spans="20:20" x14ac:dyDescent="0.25">
      <c r="T10119" s="98"/>
    </row>
    <row r="10120" spans="20:20" x14ac:dyDescent="0.25">
      <c r="T10120" s="98"/>
    </row>
    <row r="10121" spans="20:20" x14ac:dyDescent="0.25">
      <c r="T10121" s="98"/>
    </row>
    <row r="10122" spans="20:20" x14ac:dyDescent="0.25">
      <c r="T10122" s="98"/>
    </row>
    <row r="10123" spans="20:20" x14ac:dyDescent="0.25">
      <c r="T10123" s="98"/>
    </row>
    <row r="10124" spans="20:20" x14ac:dyDescent="0.25">
      <c r="T10124" s="98"/>
    </row>
    <row r="10125" spans="20:20" x14ac:dyDescent="0.25">
      <c r="T10125" s="98"/>
    </row>
    <row r="10126" spans="20:20" x14ac:dyDescent="0.25">
      <c r="T10126" s="98"/>
    </row>
    <row r="10127" spans="20:20" x14ac:dyDescent="0.25">
      <c r="T10127" s="98"/>
    </row>
    <row r="10128" spans="20:20" x14ac:dyDescent="0.25">
      <c r="T10128" s="98"/>
    </row>
    <row r="10129" spans="20:20" x14ac:dyDescent="0.25">
      <c r="T10129" s="98"/>
    </row>
    <row r="10130" spans="20:20" x14ac:dyDescent="0.25">
      <c r="T10130" s="98"/>
    </row>
    <row r="10131" spans="20:20" x14ac:dyDescent="0.25">
      <c r="T10131" s="98"/>
    </row>
    <row r="10132" spans="20:20" x14ac:dyDescent="0.25">
      <c r="T10132" s="98"/>
    </row>
    <row r="10133" spans="20:20" x14ac:dyDescent="0.25">
      <c r="T10133" s="98"/>
    </row>
    <row r="10134" spans="20:20" x14ac:dyDescent="0.25">
      <c r="T10134" s="98"/>
    </row>
    <row r="10135" spans="20:20" x14ac:dyDescent="0.25">
      <c r="T10135" s="98"/>
    </row>
    <row r="10136" spans="20:20" x14ac:dyDescent="0.25">
      <c r="T10136" s="98"/>
    </row>
    <row r="10137" spans="20:20" x14ac:dyDescent="0.25">
      <c r="T10137" s="98"/>
    </row>
    <row r="10138" spans="20:20" x14ac:dyDescent="0.25">
      <c r="T10138" s="98"/>
    </row>
    <row r="10139" spans="20:20" x14ac:dyDescent="0.25">
      <c r="T10139" s="98"/>
    </row>
    <row r="10140" spans="20:20" x14ac:dyDescent="0.25">
      <c r="T10140" s="98"/>
    </row>
    <row r="10141" spans="20:20" x14ac:dyDescent="0.25">
      <c r="T10141" s="98"/>
    </row>
    <row r="10142" spans="20:20" x14ac:dyDescent="0.25">
      <c r="T10142" s="98"/>
    </row>
    <row r="10143" spans="20:20" x14ac:dyDescent="0.25">
      <c r="T10143" s="98"/>
    </row>
    <row r="10144" spans="20:20" x14ac:dyDescent="0.25">
      <c r="T10144" s="98"/>
    </row>
    <row r="10145" spans="20:20" x14ac:dyDescent="0.25">
      <c r="T10145" s="98"/>
    </row>
    <row r="10146" spans="20:20" x14ac:dyDescent="0.25">
      <c r="T10146" s="98"/>
    </row>
    <row r="10147" spans="20:20" x14ac:dyDescent="0.25">
      <c r="T10147" s="98"/>
    </row>
    <row r="10148" spans="20:20" x14ac:dyDescent="0.25">
      <c r="T10148" s="98"/>
    </row>
    <row r="10149" spans="20:20" x14ac:dyDescent="0.25">
      <c r="T10149" s="98"/>
    </row>
    <row r="10150" spans="20:20" x14ac:dyDescent="0.25">
      <c r="T10150" s="98"/>
    </row>
    <row r="10151" spans="20:20" x14ac:dyDescent="0.25">
      <c r="T10151" s="98"/>
    </row>
    <row r="10152" spans="20:20" x14ac:dyDescent="0.25">
      <c r="T10152" s="98"/>
    </row>
    <row r="10153" spans="20:20" x14ac:dyDescent="0.25">
      <c r="T10153" s="98"/>
    </row>
    <row r="10154" spans="20:20" x14ac:dyDescent="0.25">
      <c r="T10154" s="98"/>
    </row>
    <row r="10155" spans="20:20" x14ac:dyDescent="0.25">
      <c r="T10155" s="98"/>
    </row>
    <row r="10156" spans="20:20" x14ac:dyDescent="0.25">
      <c r="T10156" s="98"/>
    </row>
    <row r="10157" spans="20:20" x14ac:dyDescent="0.25">
      <c r="T10157" s="98"/>
    </row>
    <row r="10158" spans="20:20" x14ac:dyDescent="0.25">
      <c r="T10158" s="98"/>
    </row>
    <row r="10159" spans="20:20" x14ac:dyDescent="0.25">
      <c r="T10159" s="98"/>
    </row>
    <row r="10160" spans="20:20" x14ac:dyDescent="0.25">
      <c r="T10160" s="98"/>
    </row>
    <row r="10161" spans="20:20" x14ac:dyDescent="0.25">
      <c r="T10161" s="98"/>
    </row>
    <row r="10162" spans="20:20" x14ac:dyDescent="0.25">
      <c r="T10162" s="98"/>
    </row>
    <row r="10163" spans="20:20" x14ac:dyDescent="0.25">
      <c r="T10163" s="98"/>
    </row>
    <row r="10164" spans="20:20" x14ac:dyDescent="0.25">
      <c r="T10164" s="98"/>
    </row>
    <row r="10165" spans="20:20" x14ac:dyDescent="0.25">
      <c r="T10165" s="98"/>
    </row>
    <row r="10166" spans="20:20" x14ac:dyDescent="0.25">
      <c r="T10166" s="98"/>
    </row>
    <row r="10167" spans="20:20" x14ac:dyDescent="0.25">
      <c r="T10167" s="98"/>
    </row>
    <row r="10168" spans="20:20" x14ac:dyDescent="0.25">
      <c r="T10168" s="98"/>
    </row>
    <row r="10169" spans="20:20" x14ac:dyDescent="0.25">
      <c r="T10169" s="98"/>
    </row>
    <row r="10170" spans="20:20" x14ac:dyDescent="0.25">
      <c r="T10170" s="98"/>
    </row>
    <row r="10171" spans="20:20" x14ac:dyDescent="0.25">
      <c r="T10171" s="98"/>
    </row>
    <row r="10172" spans="20:20" x14ac:dyDescent="0.25">
      <c r="T10172" s="98"/>
    </row>
    <row r="10173" spans="20:20" x14ac:dyDescent="0.25">
      <c r="T10173" s="98"/>
    </row>
    <row r="10174" spans="20:20" x14ac:dyDescent="0.25">
      <c r="T10174" s="98"/>
    </row>
    <row r="10175" spans="20:20" x14ac:dyDescent="0.25">
      <c r="T10175" s="98"/>
    </row>
    <row r="10176" spans="20:20" x14ac:dyDescent="0.25">
      <c r="T10176" s="98"/>
    </row>
    <row r="10177" spans="20:20" x14ac:dyDescent="0.25">
      <c r="T10177" s="98"/>
    </row>
    <row r="10178" spans="20:20" x14ac:dyDescent="0.25">
      <c r="T10178" s="98"/>
    </row>
    <row r="10179" spans="20:20" x14ac:dyDescent="0.25">
      <c r="T10179" s="98"/>
    </row>
    <row r="10180" spans="20:20" x14ac:dyDescent="0.25">
      <c r="T10180" s="98"/>
    </row>
    <row r="10181" spans="20:20" x14ac:dyDescent="0.25">
      <c r="T10181" s="98"/>
    </row>
    <row r="10182" spans="20:20" x14ac:dyDescent="0.25">
      <c r="T10182" s="98"/>
    </row>
    <row r="10183" spans="20:20" x14ac:dyDescent="0.25">
      <c r="T10183" s="98"/>
    </row>
    <row r="10184" spans="20:20" x14ac:dyDescent="0.25">
      <c r="T10184" s="98"/>
    </row>
    <row r="10185" spans="20:20" x14ac:dyDescent="0.25">
      <c r="T10185" s="98"/>
    </row>
    <row r="10186" spans="20:20" x14ac:dyDescent="0.25">
      <c r="T10186" s="98"/>
    </row>
    <row r="10187" spans="20:20" x14ac:dyDescent="0.25">
      <c r="T10187" s="98"/>
    </row>
    <row r="10188" spans="20:20" x14ac:dyDescent="0.25">
      <c r="T10188" s="98"/>
    </row>
    <row r="10189" spans="20:20" x14ac:dyDescent="0.25">
      <c r="T10189" s="98"/>
    </row>
    <row r="10190" spans="20:20" x14ac:dyDescent="0.25">
      <c r="T10190" s="98"/>
    </row>
    <row r="10191" spans="20:20" x14ac:dyDescent="0.25">
      <c r="T10191" s="98"/>
    </row>
    <row r="10192" spans="20:20" x14ac:dyDescent="0.25">
      <c r="T10192" s="98"/>
    </row>
    <row r="10193" spans="20:20" x14ac:dyDescent="0.25">
      <c r="T10193" s="98"/>
    </row>
    <row r="10194" spans="20:20" x14ac:dyDescent="0.25">
      <c r="T10194" s="98"/>
    </row>
    <row r="10195" spans="20:20" x14ac:dyDescent="0.25">
      <c r="T10195" s="98"/>
    </row>
    <row r="10196" spans="20:20" x14ac:dyDescent="0.25">
      <c r="T10196" s="98"/>
    </row>
    <row r="10197" spans="20:20" x14ac:dyDescent="0.25">
      <c r="T10197" s="98"/>
    </row>
    <row r="10198" spans="20:20" x14ac:dyDescent="0.25">
      <c r="T10198" s="98"/>
    </row>
    <row r="10199" spans="20:20" x14ac:dyDescent="0.25">
      <c r="T10199" s="98"/>
    </row>
    <row r="10200" spans="20:20" x14ac:dyDescent="0.25">
      <c r="T10200" s="98"/>
    </row>
    <row r="10201" spans="20:20" x14ac:dyDescent="0.25">
      <c r="T10201" s="98"/>
    </row>
    <row r="10202" spans="20:20" x14ac:dyDescent="0.25">
      <c r="T10202" s="98"/>
    </row>
    <row r="10203" spans="20:20" x14ac:dyDescent="0.25">
      <c r="T10203" s="98"/>
    </row>
    <row r="10204" spans="20:20" x14ac:dyDescent="0.25">
      <c r="T10204" s="98"/>
    </row>
    <row r="10205" spans="20:20" x14ac:dyDescent="0.25">
      <c r="T10205" s="98"/>
    </row>
    <row r="10206" spans="20:20" x14ac:dyDescent="0.25">
      <c r="T10206" s="98"/>
    </row>
    <row r="10207" spans="20:20" x14ac:dyDescent="0.25">
      <c r="T10207" s="98"/>
    </row>
    <row r="10208" spans="20:20" x14ac:dyDescent="0.25">
      <c r="T10208" s="98"/>
    </row>
    <row r="10209" spans="20:20" x14ac:dyDescent="0.25">
      <c r="T10209" s="98"/>
    </row>
    <row r="10210" spans="20:20" x14ac:dyDescent="0.25">
      <c r="T10210" s="98"/>
    </row>
    <row r="10211" spans="20:20" x14ac:dyDescent="0.25">
      <c r="T10211" s="98"/>
    </row>
    <row r="10212" spans="20:20" x14ac:dyDescent="0.25">
      <c r="T10212" s="98"/>
    </row>
    <row r="10213" spans="20:20" x14ac:dyDescent="0.25">
      <c r="T10213" s="98"/>
    </row>
    <row r="10214" spans="20:20" x14ac:dyDescent="0.25">
      <c r="T10214" s="98"/>
    </row>
    <row r="10215" spans="20:20" x14ac:dyDescent="0.25">
      <c r="T10215" s="98"/>
    </row>
    <row r="10216" spans="20:20" x14ac:dyDescent="0.25">
      <c r="T10216" s="98"/>
    </row>
    <row r="10217" spans="20:20" x14ac:dyDescent="0.25">
      <c r="T10217" s="98"/>
    </row>
    <row r="10218" spans="20:20" x14ac:dyDescent="0.25">
      <c r="T10218" s="98"/>
    </row>
    <row r="10219" spans="20:20" x14ac:dyDescent="0.25">
      <c r="T10219" s="98"/>
    </row>
    <row r="10220" spans="20:20" x14ac:dyDescent="0.25">
      <c r="T10220" s="98"/>
    </row>
    <row r="10221" spans="20:20" x14ac:dyDescent="0.25">
      <c r="T10221" s="98"/>
    </row>
    <row r="10222" spans="20:20" x14ac:dyDescent="0.25">
      <c r="T10222" s="98"/>
    </row>
    <row r="10223" spans="20:20" x14ac:dyDescent="0.25">
      <c r="T10223" s="98"/>
    </row>
    <row r="10224" spans="20:20" x14ac:dyDescent="0.25">
      <c r="T10224" s="98"/>
    </row>
    <row r="10225" spans="20:20" x14ac:dyDescent="0.25">
      <c r="T10225" s="98"/>
    </row>
    <row r="10226" spans="20:20" x14ac:dyDescent="0.25">
      <c r="T10226" s="98"/>
    </row>
    <row r="10227" spans="20:20" x14ac:dyDescent="0.25">
      <c r="T10227" s="98"/>
    </row>
    <row r="10228" spans="20:20" x14ac:dyDescent="0.25">
      <c r="T10228" s="98"/>
    </row>
    <row r="10229" spans="20:20" x14ac:dyDescent="0.25">
      <c r="T10229" s="98"/>
    </row>
    <row r="10230" spans="20:20" x14ac:dyDescent="0.25">
      <c r="T10230" s="98"/>
    </row>
    <row r="10231" spans="20:20" x14ac:dyDescent="0.25">
      <c r="T10231" s="98"/>
    </row>
    <row r="10232" spans="20:20" x14ac:dyDescent="0.25">
      <c r="T10232" s="98"/>
    </row>
    <row r="10233" spans="20:20" x14ac:dyDescent="0.25">
      <c r="T10233" s="98"/>
    </row>
    <row r="10234" spans="20:20" x14ac:dyDescent="0.25">
      <c r="T10234" s="98"/>
    </row>
    <row r="10235" spans="20:20" x14ac:dyDescent="0.25">
      <c r="T10235" s="98"/>
    </row>
    <row r="10236" spans="20:20" x14ac:dyDescent="0.25">
      <c r="T10236" s="98"/>
    </row>
    <row r="10237" spans="20:20" x14ac:dyDescent="0.25">
      <c r="T10237" s="98"/>
    </row>
    <row r="10238" spans="20:20" x14ac:dyDescent="0.25">
      <c r="T10238" s="98"/>
    </row>
    <row r="10239" spans="20:20" x14ac:dyDescent="0.25">
      <c r="T10239" s="98"/>
    </row>
    <row r="10240" spans="20:20" x14ac:dyDescent="0.25">
      <c r="T10240" s="98"/>
    </row>
    <row r="10241" spans="20:20" x14ac:dyDescent="0.25">
      <c r="T10241" s="98"/>
    </row>
    <row r="10242" spans="20:20" x14ac:dyDescent="0.25">
      <c r="T10242" s="98"/>
    </row>
    <row r="10243" spans="20:20" x14ac:dyDescent="0.25">
      <c r="T10243" s="98"/>
    </row>
    <row r="10244" spans="20:20" x14ac:dyDescent="0.25">
      <c r="T10244" s="98"/>
    </row>
    <row r="10245" spans="20:20" x14ac:dyDescent="0.25">
      <c r="T10245" s="98"/>
    </row>
    <row r="10246" spans="20:20" x14ac:dyDescent="0.25">
      <c r="T10246" s="98"/>
    </row>
    <row r="10247" spans="20:20" x14ac:dyDescent="0.25">
      <c r="T10247" s="98"/>
    </row>
    <row r="10248" spans="20:20" x14ac:dyDescent="0.25">
      <c r="T10248" s="98"/>
    </row>
    <row r="10249" spans="20:20" x14ac:dyDescent="0.25">
      <c r="T10249" s="98"/>
    </row>
    <row r="10250" spans="20:20" x14ac:dyDescent="0.25">
      <c r="T10250" s="98"/>
    </row>
    <row r="10251" spans="20:20" x14ac:dyDescent="0.25">
      <c r="T10251" s="98"/>
    </row>
    <row r="10252" spans="20:20" x14ac:dyDescent="0.25">
      <c r="T10252" s="98"/>
    </row>
    <row r="10253" spans="20:20" x14ac:dyDescent="0.25">
      <c r="T10253" s="98"/>
    </row>
    <row r="10254" spans="20:20" x14ac:dyDescent="0.25">
      <c r="T10254" s="98"/>
    </row>
    <row r="10255" spans="20:20" x14ac:dyDescent="0.25">
      <c r="T10255" s="98"/>
    </row>
    <row r="10256" spans="20:20" x14ac:dyDescent="0.25">
      <c r="T10256" s="98"/>
    </row>
    <row r="10257" spans="20:20" x14ac:dyDescent="0.25">
      <c r="T10257" s="98"/>
    </row>
    <row r="10258" spans="20:20" x14ac:dyDescent="0.25">
      <c r="T10258" s="98"/>
    </row>
    <row r="10259" spans="20:20" x14ac:dyDescent="0.25">
      <c r="T10259" s="98"/>
    </row>
    <row r="10260" spans="20:20" x14ac:dyDescent="0.25">
      <c r="T10260" s="98"/>
    </row>
    <row r="10261" spans="20:20" x14ac:dyDescent="0.25">
      <c r="T10261" s="98"/>
    </row>
    <row r="10262" spans="20:20" x14ac:dyDescent="0.25">
      <c r="T10262" s="98"/>
    </row>
    <row r="10263" spans="20:20" x14ac:dyDescent="0.25">
      <c r="T10263" s="98"/>
    </row>
    <row r="10264" spans="20:20" x14ac:dyDescent="0.25">
      <c r="T10264" s="98"/>
    </row>
    <row r="10265" spans="20:20" x14ac:dyDescent="0.25">
      <c r="T10265" s="98"/>
    </row>
    <row r="10266" spans="20:20" x14ac:dyDescent="0.25">
      <c r="T10266" s="98"/>
    </row>
    <row r="10267" spans="20:20" x14ac:dyDescent="0.25">
      <c r="T10267" s="98"/>
    </row>
    <row r="10268" spans="20:20" x14ac:dyDescent="0.25">
      <c r="T10268" s="98"/>
    </row>
    <row r="10269" spans="20:20" x14ac:dyDescent="0.25">
      <c r="T10269" s="98"/>
    </row>
    <row r="10270" spans="20:20" x14ac:dyDescent="0.25">
      <c r="T10270" s="98"/>
    </row>
    <row r="10271" spans="20:20" x14ac:dyDescent="0.25">
      <c r="T10271" s="98"/>
    </row>
    <row r="10272" spans="20:20" x14ac:dyDescent="0.25">
      <c r="T10272" s="98"/>
    </row>
    <row r="10273" spans="20:20" x14ac:dyDescent="0.25">
      <c r="T10273" s="98"/>
    </row>
    <row r="10274" spans="20:20" x14ac:dyDescent="0.25">
      <c r="T10274" s="98"/>
    </row>
    <row r="10275" spans="20:20" x14ac:dyDescent="0.25">
      <c r="T10275" s="98"/>
    </row>
    <row r="10276" spans="20:20" x14ac:dyDescent="0.25">
      <c r="T10276" s="98"/>
    </row>
    <row r="10277" spans="20:20" x14ac:dyDescent="0.25">
      <c r="T10277" s="98"/>
    </row>
    <row r="10278" spans="20:20" x14ac:dyDescent="0.25">
      <c r="T10278" s="98"/>
    </row>
    <row r="10279" spans="20:20" x14ac:dyDescent="0.25">
      <c r="T10279" s="98"/>
    </row>
    <row r="10280" spans="20:20" x14ac:dyDescent="0.25">
      <c r="T10280" s="98"/>
    </row>
    <row r="10281" spans="20:20" x14ac:dyDescent="0.25">
      <c r="T10281" s="98"/>
    </row>
    <row r="10282" spans="20:20" x14ac:dyDescent="0.25">
      <c r="T10282" s="98"/>
    </row>
    <row r="10283" spans="20:20" x14ac:dyDescent="0.25">
      <c r="T10283" s="98"/>
    </row>
    <row r="10284" spans="20:20" x14ac:dyDescent="0.25">
      <c r="T10284" s="98"/>
    </row>
    <row r="10285" spans="20:20" x14ac:dyDescent="0.25">
      <c r="T10285" s="98"/>
    </row>
    <row r="10286" spans="20:20" x14ac:dyDescent="0.25">
      <c r="T10286" s="98"/>
    </row>
    <row r="10287" spans="20:20" x14ac:dyDescent="0.25">
      <c r="T10287" s="98"/>
    </row>
    <row r="10288" spans="20:20" x14ac:dyDescent="0.25">
      <c r="T10288" s="98"/>
    </row>
    <row r="10289" spans="20:20" x14ac:dyDescent="0.25">
      <c r="T10289" s="98"/>
    </row>
    <row r="10290" spans="20:20" x14ac:dyDescent="0.25">
      <c r="T10290" s="98"/>
    </row>
    <row r="10291" spans="20:20" x14ac:dyDescent="0.25">
      <c r="T10291" s="98"/>
    </row>
    <row r="10292" spans="20:20" x14ac:dyDescent="0.25">
      <c r="T10292" s="98"/>
    </row>
    <row r="10293" spans="20:20" x14ac:dyDescent="0.25">
      <c r="T10293" s="98"/>
    </row>
    <row r="10294" spans="20:20" x14ac:dyDescent="0.25">
      <c r="T10294" s="98"/>
    </row>
    <row r="10295" spans="20:20" x14ac:dyDescent="0.25">
      <c r="T10295" s="98"/>
    </row>
    <row r="10296" spans="20:20" x14ac:dyDescent="0.25">
      <c r="T10296" s="98"/>
    </row>
    <row r="10297" spans="20:20" x14ac:dyDescent="0.25">
      <c r="T10297" s="98"/>
    </row>
    <row r="10298" spans="20:20" x14ac:dyDescent="0.25">
      <c r="T10298" s="98"/>
    </row>
    <row r="10299" spans="20:20" x14ac:dyDescent="0.25">
      <c r="T10299" s="98"/>
    </row>
    <row r="10300" spans="20:20" x14ac:dyDescent="0.25">
      <c r="T10300" s="98"/>
    </row>
    <row r="10301" spans="20:20" x14ac:dyDescent="0.25">
      <c r="T10301" s="98"/>
    </row>
    <row r="10302" spans="20:20" x14ac:dyDescent="0.25">
      <c r="T10302" s="98"/>
    </row>
    <row r="10303" spans="20:20" x14ac:dyDescent="0.25">
      <c r="T10303" s="98"/>
    </row>
    <row r="10304" spans="20:20" x14ac:dyDescent="0.25">
      <c r="T10304" s="98"/>
    </row>
    <row r="10305" spans="20:20" x14ac:dyDescent="0.25">
      <c r="T10305" s="98"/>
    </row>
    <row r="10306" spans="20:20" x14ac:dyDescent="0.25">
      <c r="T10306" s="98"/>
    </row>
    <row r="10307" spans="20:20" x14ac:dyDescent="0.25">
      <c r="T10307" s="98"/>
    </row>
    <row r="10308" spans="20:20" x14ac:dyDescent="0.25">
      <c r="T10308" s="98"/>
    </row>
    <row r="10309" spans="20:20" x14ac:dyDescent="0.25">
      <c r="T10309" s="98"/>
    </row>
    <row r="10310" spans="20:20" x14ac:dyDescent="0.25">
      <c r="T10310" s="98"/>
    </row>
    <row r="10311" spans="20:20" x14ac:dyDescent="0.25">
      <c r="T10311" s="98"/>
    </row>
    <row r="10312" spans="20:20" x14ac:dyDescent="0.25">
      <c r="T10312" s="98"/>
    </row>
    <row r="10313" spans="20:20" x14ac:dyDescent="0.25">
      <c r="T10313" s="98"/>
    </row>
    <row r="10314" spans="20:20" x14ac:dyDescent="0.25">
      <c r="T10314" s="98"/>
    </row>
    <row r="10315" spans="20:20" x14ac:dyDescent="0.25">
      <c r="T10315" s="98"/>
    </row>
    <row r="10316" spans="20:20" x14ac:dyDescent="0.25">
      <c r="T10316" s="98"/>
    </row>
    <row r="10317" spans="20:20" x14ac:dyDescent="0.25">
      <c r="T10317" s="98"/>
    </row>
    <row r="10318" spans="20:20" x14ac:dyDescent="0.25">
      <c r="T10318" s="98"/>
    </row>
    <row r="10319" spans="20:20" x14ac:dyDescent="0.25">
      <c r="T10319" s="98"/>
    </row>
    <row r="10320" spans="20:20" x14ac:dyDescent="0.25">
      <c r="T10320" s="98"/>
    </row>
    <row r="10321" spans="20:20" x14ac:dyDescent="0.25">
      <c r="T10321" s="98"/>
    </row>
    <row r="10322" spans="20:20" x14ac:dyDescent="0.25">
      <c r="T10322" s="98"/>
    </row>
    <row r="10323" spans="20:20" x14ac:dyDescent="0.25">
      <c r="T10323" s="98"/>
    </row>
    <row r="10324" spans="20:20" x14ac:dyDescent="0.25">
      <c r="T10324" s="98"/>
    </row>
    <row r="10325" spans="20:20" x14ac:dyDescent="0.25">
      <c r="T10325" s="98"/>
    </row>
    <row r="10326" spans="20:20" x14ac:dyDescent="0.25">
      <c r="T10326" s="98"/>
    </row>
    <row r="10327" spans="20:20" x14ac:dyDescent="0.25">
      <c r="T10327" s="98"/>
    </row>
    <row r="10328" spans="20:20" x14ac:dyDescent="0.25">
      <c r="T10328" s="98"/>
    </row>
    <row r="10329" spans="20:20" x14ac:dyDescent="0.25">
      <c r="T10329" s="98"/>
    </row>
    <row r="10330" spans="20:20" x14ac:dyDescent="0.25">
      <c r="T10330" s="98"/>
    </row>
    <row r="10331" spans="20:20" x14ac:dyDescent="0.25">
      <c r="T10331" s="98"/>
    </row>
    <row r="10332" spans="20:20" x14ac:dyDescent="0.25">
      <c r="T10332" s="98"/>
    </row>
    <row r="10333" spans="20:20" x14ac:dyDescent="0.25">
      <c r="T10333" s="98"/>
    </row>
    <row r="10334" spans="20:20" x14ac:dyDescent="0.25">
      <c r="T10334" s="98"/>
    </row>
    <row r="10335" spans="20:20" x14ac:dyDescent="0.25">
      <c r="T10335" s="98"/>
    </row>
    <row r="10336" spans="20:20" x14ac:dyDescent="0.25">
      <c r="T10336" s="98"/>
    </row>
    <row r="10337" spans="20:20" x14ac:dyDescent="0.25">
      <c r="T10337" s="98"/>
    </row>
    <row r="10338" spans="20:20" x14ac:dyDescent="0.25">
      <c r="T10338" s="98"/>
    </row>
    <row r="10339" spans="20:20" x14ac:dyDescent="0.25">
      <c r="T10339" s="98"/>
    </row>
    <row r="10340" spans="20:20" x14ac:dyDescent="0.25">
      <c r="T10340" s="98"/>
    </row>
    <row r="10341" spans="20:20" x14ac:dyDescent="0.25">
      <c r="T10341" s="98"/>
    </row>
    <row r="10342" spans="20:20" x14ac:dyDescent="0.25">
      <c r="T10342" s="98"/>
    </row>
    <row r="10343" spans="20:20" x14ac:dyDescent="0.25">
      <c r="T10343" s="98"/>
    </row>
    <row r="10344" spans="20:20" x14ac:dyDescent="0.25">
      <c r="T10344" s="98"/>
    </row>
    <row r="10345" spans="20:20" x14ac:dyDescent="0.25">
      <c r="T10345" s="98"/>
    </row>
    <row r="10346" spans="20:20" x14ac:dyDescent="0.25">
      <c r="T10346" s="98"/>
    </row>
    <row r="10347" spans="20:20" x14ac:dyDescent="0.25">
      <c r="T10347" s="98"/>
    </row>
    <row r="10348" spans="20:20" x14ac:dyDescent="0.25">
      <c r="T10348" s="98"/>
    </row>
    <row r="10349" spans="20:20" x14ac:dyDescent="0.25">
      <c r="T10349" s="98"/>
    </row>
    <row r="10350" spans="20:20" x14ac:dyDescent="0.25">
      <c r="T10350" s="98"/>
    </row>
    <row r="10351" spans="20:20" x14ac:dyDescent="0.25">
      <c r="T10351" s="98"/>
    </row>
    <row r="10352" spans="20:20" x14ac:dyDescent="0.25">
      <c r="T10352" s="98"/>
    </row>
    <row r="10353" spans="20:20" x14ac:dyDescent="0.25">
      <c r="T10353" s="98"/>
    </row>
    <row r="10354" spans="20:20" x14ac:dyDescent="0.25">
      <c r="T10354" s="98"/>
    </row>
    <row r="10355" spans="20:20" x14ac:dyDescent="0.25">
      <c r="T10355" s="98"/>
    </row>
    <row r="10356" spans="20:20" x14ac:dyDescent="0.25">
      <c r="T10356" s="98"/>
    </row>
    <row r="10357" spans="20:20" x14ac:dyDescent="0.25">
      <c r="T10357" s="98"/>
    </row>
    <row r="10358" spans="20:20" x14ac:dyDescent="0.25">
      <c r="T10358" s="98"/>
    </row>
    <row r="10359" spans="20:20" x14ac:dyDescent="0.25">
      <c r="T10359" s="98"/>
    </row>
    <row r="10360" spans="20:20" x14ac:dyDescent="0.25">
      <c r="T10360" s="98"/>
    </row>
    <row r="10361" spans="20:20" x14ac:dyDescent="0.25">
      <c r="T10361" s="98"/>
    </row>
    <row r="10362" spans="20:20" x14ac:dyDescent="0.25">
      <c r="T10362" s="98"/>
    </row>
    <row r="10363" spans="20:20" x14ac:dyDescent="0.25">
      <c r="T10363" s="98"/>
    </row>
    <row r="10364" spans="20:20" x14ac:dyDescent="0.25">
      <c r="T10364" s="98"/>
    </row>
    <row r="10365" spans="20:20" x14ac:dyDescent="0.25">
      <c r="T10365" s="98"/>
    </row>
    <row r="10366" spans="20:20" x14ac:dyDescent="0.25">
      <c r="T10366" s="98"/>
    </row>
    <row r="10367" spans="20:20" x14ac:dyDescent="0.25">
      <c r="T10367" s="98"/>
    </row>
    <row r="10368" spans="20:20" x14ac:dyDescent="0.25">
      <c r="T10368" s="98"/>
    </row>
    <row r="10369" spans="20:20" x14ac:dyDescent="0.25">
      <c r="T10369" s="98"/>
    </row>
    <row r="10370" spans="20:20" x14ac:dyDescent="0.25">
      <c r="T10370" s="98"/>
    </row>
    <row r="10371" spans="20:20" x14ac:dyDescent="0.25">
      <c r="T10371" s="98"/>
    </row>
    <row r="10372" spans="20:20" x14ac:dyDescent="0.25">
      <c r="T10372" s="98"/>
    </row>
    <row r="10373" spans="20:20" x14ac:dyDescent="0.25">
      <c r="T10373" s="98"/>
    </row>
    <row r="10374" spans="20:20" x14ac:dyDescent="0.25">
      <c r="T10374" s="98"/>
    </row>
    <row r="10375" spans="20:20" x14ac:dyDescent="0.25">
      <c r="T10375" s="98"/>
    </row>
    <row r="10376" spans="20:20" x14ac:dyDescent="0.25">
      <c r="T10376" s="98"/>
    </row>
    <row r="10377" spans="20:20" x14ac:dyDescent="0.25">
      <c r="T10377" s="98"/>
    </row>
    <row r="10378" spans="20:20" x14ac:dyDescent="0.25">
      <c r="T10378" s="98"/>
    </row>
    <row r="10379" spans="20:20" x14ac:dyDescent="0.25">
      <c r="T10379" s="98"/>
    </row>
    <row r="10380" spans="20:20" x14ac:dyDescent="0.25">
      <c r="T10380" s="98"/>
    </row>
    <row r="10381" spans="20:20" x14ac:dyDescent="0.25">
      <c r="T10381" s="98"/>
    </row>
    <row r="10382" spans="20:20" x14ac:dyDescent="0.25">
      <c r="T10382" s="98"/>
    </row>
    <row r="10383" spans="20:20" x14ac:dyDescent="0.25">
      <c r="T10383" s="98"/>
    </row>
    <row r="10384" spans="20:20" x14ac:dyDescent="0.25">
      <c r="T10384" s="98"/>
    </row>
    <row r="10385" spans="20:20" x14ac:dyDescent="0.25">
      <c r="T10385" s="98"/>
    </row>
    <row r="10386" spans="20:20" x14ac:dyDescent="0.25">
      <c r="T10386" s="98"/>
    </row>
    <row r="10387" spans="20:20" x14ac:dyDescent="0.25">
      <c r="T10387" s="98"/>
    </row>
    <row r="10388" spans="20:20" x14ac:dyDescent="0.25">
      <c r="T10388" s="98"/>
    </row>
    <row r="10389" spans="20:20" x14ac:dyDescent="0.25">
      <c r="T10389" s="98"/>
    </row>
    <row r="10390" spans="20:20" x14ac:dyDescent="0.25">
      <c r="T10390" s="98"/>
    </row>
    <row r="10391" spans="20:20" x14ac:dyDescent="0.25">
      <c r="T10391" s="98"/>
    </row>
    <row r="10392" spans="20:20" x14ac:dyDescent="0.25">
      <c r="T10392" s="98"/>
    </row>
    <row r="10393" spans="20:20" x14ac:dyDescent="0.25">
      <c r="T10393" s="98"/>
    </row>
    <row r="10394" spans="20:20" x14ac:dyDescent="0.25">
      <c r="T10394" s="98"/>
    </row>
    <row r="10395" spans="20:20" x14ac:dyDescent="0.25">
      <c r="T10395" s="98"/>
    </row>
    <row r="10396" spans="20:20" x14ac:dyDescent="0.25">
      <c r="T10396" s="98"/>
    </row>
    <row r="10397" spans="20:20" x14ac:dyDescent="0.25">
      <c r="T10397" s="98"/>
    </row>
    <row r="10398" spans="20:20" x14ac:dyDescent="0.25">
      <c r="T10398" s="98"/>
    </row>
    <row r="10399" spans="20:20" x14ac:dyDescent="0.25">
      <c r="T10399" s="98"/>
    </row>
    <row r="10400" spans="20:20" x14ac:dyDescent="0.25">
      <c r="T10400" s="98"/>
    </row>
    <row r="10401" spans="20:20" x14ac:dyDescent="0.25">
      <c r="T10401" s="98"/>
    </row>
    <row r="10402" spans="20:20" x14ac:dyDescent="0.25">
      <c r="T10402" s="98"/>
    </row>
    <row r="10403" spans="20:20" x14ac:dyDescent="0.25">
      <c r="T10403" s="98"/>
    </row>
    <row r="10404" spans="20:20" x14ac:dyDescent="0.25">
      <c r="T10404" s="98"/>
    </row>
    <row r="10405" spans="20:20" x14ac:dyDescent="0.25">
      <c r="T10405" s="98"/>
    </row>
    <row r="10406" spans="20:20" x14ac:dyDescent="0.25">
      <c r="T10406" s="98"/>
    </row>
    <row r="10407" spans="20:20" x14ac:dyDescent="0.25">
      <c r="T10407" s="98"/>
    </row>
    <row r="10408" spans="20:20" x14ac:dyDescent="0.25">
      <c r="T10408" s="98"/>
    </row>
    <row r="10409" spans="20:20" x14ac:dyDescent="0.25">
      <c r="T10409" s="98"/>
    </row>
    <row r="10410" spans="20:20" x14ac:dyDescent="0.25">
      <c r="T10410" s="98"/>
    </row>
    <row r="10411" spans="20:20" x14ac:dyDescent="0.25">
      <c r="T10411" s="98"/>
    </row>
    <row r="10412" spans="20:20" x14ac:dyDescent="0.25">
      <c r="T10412" s="98"/>
    </row>
    <row r="10413" spans="20:20" x14ac:dyDescent="0.25">
      <c r="T10413" s="98"/>
    </row>
    <row r="10414" spans="20:20" x14ac:dyDescent="0.25">
      <c r="T10414" s="98"/>
    </row>
    <row r="10415" spans="20:20" x14ac:dyDescent="0.25">
      <c r="T10415" s="98"/>
    </row>
    <row r="10416" spans="20:20" x14ac:dyDescent="0.25">
      <c r="T10416" s="98"/>
    </row>
    <row r="10417" spans="20:20" x14ac:dyDescent="0.25">
      <c r="T10417" s="98"/>
    </row>
    <row r="10418" spans="20:20" x14ac:dyDescent="0.25">
      <c r="T10418" s="98"/>
    </row>
    <row r="10419" spans="20:20" x14ac:dyDescent="0.25">
      <c r="T10419" s="98"/>
    </row>
    <row r="10420" spans="20:20" x14ac:dyDescent="0.25">
      <c r="T10420" s="98"/>
    </row>
    <row r="10421" spans="20:20" x14ac:dyDescent="0.25">
      <c r="T10421" s="98"/>
    </row>
    <row r="10422" spans="20:20" x14ac:dyDescent="0.25">
      <c r="T10422" s="98"/>
    </row>
    <row r="10423" spans="20:20" x14ac:dyDescent="0.25">
      <c r="T10423" s="98"/>
    </row>
    <row r="10424" spans="20:20" x14ac:dyDescent="0.25">
      <c r="T10424" s="98"/>
    </row>
    <row r="10425" spans="20:20" x14ac:dyDescent="0.25">
      <c r="T10425" s="98"/>
    </row>
    <row r="10426" spans="20:20" x14ac:dyDescent="0.25">
      <c r="T10426" s="98"/>
    </row>
    <row r="10427" spans="20:20" x14ac:dyDescent="0.25">
      <c r="T10427" s="98"/>
    </row>
    <row r="10428" spans="20:20" x14ac:dyDescent="0.25">
      <c r="T10428" s="98"/>
    </row>
    <row r="10429" spans="20:20" x14ac:dyDescent="0.25">
      <c r="T10429" s="98"/>
    </row>
    <row r="10430" spans="20:20" x14ac:dyDescent="0.25">
      <c r="T10430" s="98"/>
    </row>
    <row r="10431" spans="20:20" x14ac:dyDescent="0.25">
      <c r="T10431" s="98"/>
    </row>
    <row r="10432" spans="20:20" x14ac:dyDescent="0.25">
      <c r="T10432" s="98"/>
    </row>
    <row r="10433" spans="20:20" x14ac:dyDescent="0.25">
      <c r="T10433" s="98"/>
    </row>
    <row r="10434" spans="20:20" x14ac:dyDescent="0.25">
      <c r="T10434" s="98"/>
    </row>
    <row r="10435" spans="20:20" x14ac:dyDescent="0.25">
      <c r="T10435" s="98"/>
    </row>
    <row r="10436" spans="20:20" x14ac:dyDescent="0.25">
      <c r="T10436" s="98"/>
    </row>
    <row r="10437" spans="20:20" x14ac:dyDescent="0.25">
      <c r="T10437" s="98"/>
    </row>
    <row r="10438" spans="20:20" x14ac:dyDescent="0.25">
      <c r="T10438" s="98"/>
    </row>
    <row r="10439" spans="20:20" x14ac:dyDescent="0.25">
      <c r="T10439" s="98"/>
    </row>
    <row r="10440" spans="20:20" x14ac:dyDescent="0.25">
      <c r="T10440" s="98"/>
    </row>
    <row r="10441" spans="20:20" x14ac:dyDescent="0.25">
      <c r="T10441" s="98"/>
    </row>
    <row r="10442" spans="20:20" x14ac:dyDescent="0.25">
      <c r="T10442" s="98"/>
    </row>
    <row r="10443" spans="20:20" x14ac:dyDescent="0.25">
      <c r="T10443" s="98"/>
    </row>
    <row r="10444" spans="20:20" x14ac:dyDescent="0.25">
      <c r="T10444" s="98"/>
    </row>
    <row r="10445" spans="20:20" x14ac:dyDescent="0.25">
      <c r="T10445" s="98"/>
    </row>
    <row r="10446" spans="20:20" x14ac:dyDescent="0.25">
      <c r="T10446" s="98"/>
    </row>
    <row r="10447" spans="20:20" x14ac:dyDescent="0.25">
      <c r="T10447" s="98"/>
    </row>
    <row r="10448" spans="20:20" x14ac:dyDescent="0.25">
      <c r="T10448" s="98"/>
    </row>
    <row r="10449" spans="20:20" x14ac:dyDescent="0.25">
      <c r="T10449" s="98"/>
    </row>
    <row r="10450" spans="20:20" x14ac:dyDescent="0.25">
      <c r="T10450" s="98"/>
    </row>
    <row r="10451" spans="20:20" x14ac:dyDescent="0.25">
      <c r="T10451" s="98"/>
    </row>
    <row r="10452" spans="20:20" x14ac:dyDescent="0.25">
      <c r="T10452" s="98"/>
    </row>
    <row r="10453" spans="20:20" x14ac:dyDescent="0.25">
      <c r="T10453" s="98"/>
    </row>
    <row r="10454" spans="20:20" x14ac:dyDescent="0.25">
      <c r="T10454" s="98"/>
    </row>
    <row r="10455" spans="20:20" x14ac:dyDescent="0.25">
      <c r="T10455" s="98"/>
    </row>
    <row r="10456" spans="20:20" x14ac:dyDescent="0.25">
      <c r="T10456" s="98"/>
    </row>
    <row r="10457" spans="20:20" x14ac:dyDescent="0.25">
      <c r="T10457" s="98"/>
    </row>
    <row r="10458" spans="20:20" x14ac:dyDescent="0.25">
      <c r="T10458" s="98"/>
    </row>
    <row r="10459" spans="20:20" x14ac:dyDescent="0.25">
      <c r="T10459" s="98"/>
    </row>
    <row r="10460" spans="20:20" x14ac:dyDescent="0.25">
      <c r="T10460" s="98"/>
    </row>
    <row r="10461" spans="20:20" x14ac:dyDescent="0.25">
      <c r="T10461" s="98"/>
    </row>
    <row r="10462" spans="20:20" x14ac:dyDescent="0.25">
      <c r="T10462" s="98"/>
    </row>
    <row r="10463" spans="20:20" x14ac:dyDescent="0.25">
      <c r="T10463" s="98"/>
    </row>
    <row r="10464" spans="20:20" x14ac:dyDescent="0.25">
      <c r="T10464" s="98"/>
    </row>
    <row r="10465" spans="20:20" x14ac:dyDescent="0.25">
      <c r="T10465" s="98"/>
    </row>
    <row r="10466" spans="20:20" x14ac:dyDescent="0.25">
      <c r="T10466" s="98"/>
    </row>
    <row r="10467" spans="20:20" x14ac:dyDescent="0.25">
      <c r="T10467" s="98"/>
    </row>
    <row r="10468" spans="20:20" x14ac:dyDescent="0.25">
      <c r="T10468" s="98"/>
    </row>
    <row r="10469" spans="20:20" x14ac:dyDescent="0.25">
      <c r="T10469" s="98"/>
    </row>
    <row r="10470" spans="20:20" x14ac:dyDescent="0.25">
      <c r="T10470" s="98"/>
    </row>
    <row r="10471" spans="20:20" x14ac:dyDescent="0.25">
      <c r="T10471" s="98"/>
    </row>
    <row r="10472" spans="20:20" x14ac:dyDescent="0.25">
      <c r="T10472" s="98"/>
    </row>
    <row r="10473" spans="20:20" x14ac:dyDescent="0.25">
      <c r="T10473" s="98"/>
    </row>
    <row r="10474" spans="20:20" x14ac:dyDescent="0.25">
      <c r="T10474" s="98"/>
    </row>
    <row r="10475" spans="20:20" x14ac:dyDescent="0.25">
      <c r="T10475" s="98"/>
    </row>
    <row r="10476" spans="20:20" x14ac:dyDescent="0.25">
      <c r="T10476" s="98"/>
    </row>
    <row r="10477" spans="20:20" x14ac:dyDescent="0.25">
      <c r="T10477" s="98"/>
    </row>
    <row r="10478" spans="20:20" x14ac:dyDescent="0.25">
      <c r="T10478" s="98"/>
    </row>
    <row r="10479" spans="20:20" x14ac:dyDescent="0.25">
      <c r="T10479" s="98"/>
    </row>
    <row r="10480" spans="20:20" x14ac:dyDescent="0.25">
      <c r="T10480" s="98"/>
    </row>
    <row r="10481" spans="20:20" x14ac:dyDescent="0.25">
      <c r="T10481" s="98"/>
    </row>
    <row r="10482" spans="20:20" x14ac:dyDescent="0.25">
      <c r="T10482" s="98"/>
    </row>
    <row r="10483" spans="20:20" x14ac:dyDescent="0.25">
      <c r="T10483" s="98"/>
    </row>
    <row r="10484" spans="20:20" x14ac:dyDescent="0.25">
      <c r="T10484" s="98"/>
    </row>
    <row r="10485" spans="20:20" x14ac:dyDescent="0.25">
      <c r="T10485" s="98"/>
    </row>
    <row r="10486" spans="20:20" x14ac:dyDescent="0.25">
      <c r="T10486" s="98"/>
    </row>
    <row r="10487" spans="20:20" x14ac:dyDescent="0.25">
      <c r="T10487" s="98"/>
    </row>
    <row r="10488" spans="20:20" x14ac:dyDescent="0.25">
      <c r="T10488" s="98"/>
    </row>
    <row r="10489" spans="20:20" x14ac:dyDescent="0.25">
      <c r="T10489" s="98"/>
    </row>
    <row r="10490" spans="20:20" x14ac:dyDescent="0.25">
      <c r="T10490" s="98"/>
    </row>
    <row r="10491" spans="20:20" x14ac:dyDescent="0.25">
      <c r="T10491" s="98"/>
    </row>
    <row r="10492" spans="20:20" x14ac:dyDescent="0.25">
      <c r="T10492" s="98"/>
    </row>
    <row r="10493" spans="20:20" x14ac:dyDescent="0.25">
      <c r="T10493" s="98"/>
    </row>
    <row r="10494" spans="20:20" x14ac:dyDescent="0.25">
      <c r="T10494" s="98"/>
    </row>
    <row r="10495" spans="20:20" x14ac:dyDescent="0.25">
      <c r="T10495" s="98"/>
    </row>
    <row r="10496" spans="20:20" x14ac:dyDescent="0.25">
      <c r="T10496" s="98"/>
    </row>
    <row r="10497" spans="20:20" x14ac:dyDescent="0.25">
      <c r="T10497" s="98"/>
    </row>
    <row r="10498" spans="20:20" x14ac:dyDescent="0.25">
      <c r="T10498" s="98"/>
    </row>
    <row r="10499" spans="20:20" x14ac:dyDescent="0.25">
      <c r="T10499" s="98"/>
    </row>
    <row r="10500" spans="20:20" x14ac:dyDescent="0.25">
      <c r="T10500" s="98"/>
    </row>
    <row r="10501" spans="20:20" x14ac:dyDescent="0.25">
      <c r="T10501" s="98"/>
    </row>
    <row r="10502" spans="20:20" x14ac:dyDescent="0.25">
      <c r="T10502" s="98"/>
    </row>
    <row r="10503" spans="20:20" x14ac:dyDescent="0.25">
      <c r="T10503" s="98"/>
    </row>
    <row r="10504" spans="20:20" x14ac:dyDescent="0.25">
      <c r="T10504" s="98"/>
    </row>
    <row r="10505" spans="20:20" x14ac:dyDescent="0.25">
      <c r="T10505" s="98"/>
    </row>
    <row r="10506" spans="20:20" x14ac:dyDescent="0.25">
      <c r="T10506" s="98"/>
    </row>
    <row r="10507" spans="20:20" x14ac:dyDescent="0.25">
      <c r="T10507" s="98"/>
    </row>
    <row r="10508" spans="20:20" x14ac:dyDescent="0.25">
      <c r="T10508" s="98"/>
    </row>
    <row r="10509" spans="20:20" x14ac:dyDescent="0.25">
      <c r="T10509" s="98"/>
    </row>
    <row r="10510" spans="20:20" x14ac:dyDescent="0.25">
      <c r="T10510" s="98"/>
    </row>
    <row r="10511" spans="20:20" x14ac:dyDescent="0.25">
      <c r="T10511" s="98"/>
    </row>
    <row r="10512" spans="20:20" x14ac:dyDescent="0.25">
      <c r="T10512" s="98"/>
    </row>
    <row r="10513" spans="20:20" x14ac:dyDescent="0.25">
      <c r="T10513" s="98"/>
    </row>
    <row r="10514" spans="20:20" x14ac:dyDescent="0.25">
      <c r="T10514" s="98"/>
    </row>
    <row r="10515" spans="20:20" x14ac:dyDescent="0.25">
      <c r="T10515" s="98"/>
    </row>
    <row r="10516" spans="20:20" x14ac:dyDescent="0.25">
      <c r="T10516" s="98"/>
    </row>
    <row r="10517" spans="20:20" x14ac:dyDescent="0.25">
      <c r="T10517" s="98"/>
    </row>
    <row r="10518" spans="20:20" x14ac:dyDescent="0.25">
      <c r="T10518" s="98"/>
    </row>
    <row r="10519" spans="20:20" x14ac:dyDescent="0.25">
      <c r="T10519" s="98"/>
    </row>
    <row r="10520" spans="20:20" x14ac:dyDescent="0.25">
      <c r="T10520" s="98"/>
    </row>
    <row r="10521" spans="20:20" x14ac:dyDescent="0.25">
      <c r="T10521" s="98"/>
    </row>
    <row r="10522" spans="20:20" x14ac:dyDescent="0.25">
      <c r="T10522" s="98"/>
    </row>
    <row r="10523" spans="20:20" x14ac:dyDescent="0.25">
      <c r="T10523" s="98"/>
    </row>
    <row r="10524" spans="20:20" x14ac:dyDescent="0.25">
      <c r="T10524" s="98"/>
    </row>
    <row r="10525" spans="20:20" x14ac:dyDescent="0.25">
      <c r="T10525" s="98"/>
    </row>
    <row r="10526" spans="20:20" x14ac:dyDescent="0.25">
      <c r="T10526" s="98"/>
    </row>
    <row r="10527" spans="20:20" x14ac:dyDescent="0.25">
      <c r="T10527" s="98"/>
    </row>
    <row r="10528" spans="20:20" x14ac:dyDescent="0.25">
      <c r="T10528" s="98"/>
    </row>
    <row r="10529" spans="20:20" x14ac:dyDescent="0.25">
      <c r="T10529" s="98"/>
    </row>
    <row r="10530" spans="20:20" x14ac:dyDescent="0.25">
      <c r="T10530" s="98"/>
    </row>
    <row r="10531" spans="20:20" x14ac:dyDescent="0.25">
      <c r="T10531" s="98"/>
    </row>
    <row r="10532" spans="20:20" x14ac:dyDescent="0.25">
      <c r="T10532" s="98"/>
    </row>
    <row r="10533" spans="20:20" x14ac:dyDescent="0.25">
      <c r="T10533" s="98"/>
    </row>
    <row r="10534" spans="20:20" x14ac:dyDescent="0.25">
      <c r="T10534" s="98"/>
    </row>
    <row r="10535" spans="20:20" x14ac:dyDescent="0.25">
      <c r="T10535" s="98"/>
    </row>
    <row r="10536" spans="20:20" x14ac:dyDescent="0.25">
      <c r="T10536" s="98"/>
    </row>
    <row r="10537" spans="20:20" x14ac:dyDescent="0.25">
      <c r="T10537" s="98"/>
    </row>
    <row r="10538" spans="20:20" x14ac:dyDescent="0.25">
      <c r="T10538" s="98"/>
    </row>
    <row r="10539" spans="20:20" x14ac:dyDescent="0.25">
      <c r="T10539" s="98"/>
    </row>
    <row r="10540" spans="20:20" x14ac:dyDescent="0.25">
      <c r="T10540" s="98"/>
    </row>
    <row r="10541" spans="20:20" x14ac:dyDescent="0.25">
      <c r="T10541" s="98"/>
    </row>
    <row r="10542" spans="20:20" x14ac:dyDescent="0.25">
      <c r="T10542" s="98"/>
    </row>
    <row r="10543" spans="20:20" x14ac:dyDescent="0.25">
      <c r="T10543" s="98"/>
    </row>
    <row r="10544" spans="20:20" x14ac:dyDescent="0.25">
      <c r="T10544" s="98"/>
    </row>
    <row r="10545" spans="20:20" x14ac:dyDescent="0.25">
      <c r="T10545" s="98"/>
    </row>
    <row r="10546" spans="20:20" x14ac:dyDescent="0.25">
      <c r="T10546" s="98"/>
    </row>
    <row r="10547" spans="20:20" x14ac:dyDescent="0.25">
      <c r="T10547" s="98"/>
    </row>
    <row r="10548" spans="20:20" x14ac:dyDescent="0.25">
      <c r="T10548" s="98"/>
    </row>
    <row r="10549" spans="20:20" x14ac:dyDescent="0.25">
      <c r="T10549" s="98"/>
    </row>
    <row r="10550" spans="20:20" x14ac:dyDescent="0.25">
      <c r="T10550" s="98"/>
    </row>
    <row r="10551" spans="20:20" x14ac:dyDescent="0.25">
      <c r="T10551" s="98"/>
    </row>
    <row r="10552" spans="20:20" x14ac:dyDescent="0.25">
      <c r="T10552" s="98"/>
    </row>
    <row r="10553" spans="20:20" x14ac:dyDescent="0.25">
      <c r="T10553" s="98"/>
    </row>
    <row r="10554" spans="20:20" x14ac:dyDescent="0.25">
      <c r="T10554" s="98"/>
    </row>
    <row r="10555" spans="20:20" x14ac:dyDescent="0.25">
      <c r="T10555" s="98"/>
    </row>
    <row r="10556" spans="20:20" x14ac:dyDescent="0.25">
      <c r="T10556" s="98"/>
    </row>
    <row r="10557" spans="20:20" x14ac:dyDescent="0.25">
      <c r="T10557" s="98"/>
    </row>
    <row r="10558" spans="20:20" x14ac:dyDescent="0.25">
      <c r="T10558" s="98"/>
    </row>
    <row r="10559" spans="20:20" x14ac:dyDescent="0.25">
      <c r="T10559" s="98"/>
    </row>
    <row r="10560" spans="20:20" x14ac:dyDescent="0.25">
      <c r="T10560" s="98"/>
    </row>
    <row r="10561" spans="20:20" x14ac:dyDescent="0.25">
      <c r="T10561" s="98"/>
    </row>
    <row r="10562" spans="20:20" x14ac:dyDescent="0.25">
      <c r="T10562" s="98"/>
    </row>
    <row r="10563" spans="20:20" x14ac:dyDescent="0.25">
      <c r="T10563" s="98"/>
    </row>
    <row r="10564" spans="20:20" x14ac:dyDescent="0.25">
      <c r="T10564" s="98"/>
    </row>
    <row r="10565" spans="20:20" x14ac:dyDescent="0.25">
      <c r="T10565" s="98"/>
    </row>
    <row r="10566" spans="20:20" x14ac:dyDescent="0.25">
      <c r="T10566" s="98"/>
    </row>
    <row r="10567" spans="20:20" x14ac:dyDescent="0.25">
      <c r="T10567" s="98"/>
    </row>
    <row r="10568" spans="20:20" x14ac:dyDescent="0.25">
      <c r="T10568" s="98"/>
    </row>
    <row r="10569" spans="20:20" x14ac:dyDescent="0.25">
      <c r="T10569" s="98"/>
    </row>
    <row r="10570" spans="20:20" x14ac:dyDescent="0.25">
      <c r="T10570" s="98"/>
    </row>
    <row r="10571" spans="20:20" x14ac:dyDescent="0.25">
      <c r="T10571" s="98"/>
    </row>
    <row r="10572" spans="20:20" x14ac:dyDescent="0.25">
      <c r="T10572" s="98"/>
    </row>
    <row r="10573" spans="20:20" x14ac:dyDescent="0.25">
      <c r="T10573" s="98"/>
    </row>
    <row r="10574" spans="20:20" x14ac:dyDescent="0.25">
      <c r="T10574" s="98"/>
    </row>
    <row r="10575" spans="20:20" x14ac:dyDescent="0.25">
      <c r="T10575" s="98"/>
    </row>
    <row r="10576" spans="20:20" x14ac:dyDescent="0.25">
      <c r="T10576" s="98"/>
    </row>
    <row r="10577" spans="20:20" x14ac:dyDescent="0.25">
      <c r="T10577" s="98"/>
    </row>
    <row r="10578" spans="20:20" x14ac:dyDescent="0.25">
      <c r="T10578" s="98"/>
    </row>
    <row r="10579" spans="20:20" x14ac:dyDescent="0.25">
      <c r="T10579" s="98"/>
    </row>
    <row r="10580" spans="20:20" x14ac:dyDescent="0.25">
      <c r="T10580" s="98"/>
    </row>
    <row r="10581" spans="20:20" x14ac:dyDescent="0.25">
      <c r="T10581" s="98"/>
    </row>
    <row r="10582" spans="20:20" x14ac:dyDescent="0.25">
      <c r="T10582" s="98"/>
    </row>
    <row r="10583" spans="20:20" x14ac:dyDescent="0.25">
      <c r="T10583" s="98"/>
    </row>
    <row r="10584" spans="20:20" x14ac:dyDescent="0.25">
      <c r="T10584" s="98"/>
    </row>
    <row r="10585" spans="20:20" x14ac:dyDescent="0.25">
      <c r="T10585" s="98"/>
    </row>
    <row r="10586" spans="20:20" x14ac:dyDescent="0.25">
      <c r="T10586" s="98"/>
    </row>
    <row r="10587" spans="20:20" x14ac:dyDescent="0.25">
      <c r="T10587" s="98"/>
    </row>
    <row r="10588" spans="20:20" x14ac:dyDescent="0.25">
      <c r="T10588" s="98"/>
    </row>
    <row r="10589" spans="20:20" x14ac:dyDescent="0.25">
      <c r="T10589" s="98"/>
    </row>
    <row r="10590" spans="20:20" x14ac:dyDescent="0.25">
      <c r="T10590" s="98"/>
    </row>
    <row r="10591" spans="20:20" x14ac:dyDescent="0.25">
      <c r="T10591" s="98"/>
    </row>
    <row r="10592" spans="20:20" x14ac:dyDescent="0.25">
      <c r="T10592" s="98"/>
    </row>
    <row r="10593" spans="20:20" x14ac:dyDescent="0.25">
      <c r="T10593" s="98"/>
    </row>
    <row r="10594" spans="20:20" x14ac:dyDescent="0.25">
      <c r="T10594" s="98"/>
    </row>
    <row r="10595" spans="20:20" x14ac:dyDescent="0.25">
      <c r="T10595" s="98"/>
    </row>
    <row r="10596" spans="20:20" x14ac:dyDescent="0.25">
      <c r="T10596" s="98"/>
    </row>
    <row r="10597" spans="20:20" x14ac:dyDescent="0.25">
      <c r="T10597" s="98"/>
    </row>
    <row r="10598" spans="20:20" x14ac:dyDescent="0.25">
      <c r="T10598" s="98"/>
    </row>
    <row r="10599" spans="20:20" x14ac:dyDescent="0.25">
      <c r="T10599" s="98"/>
    </row>
    <row r="10600" spans="20:20" x14ac:dyDescent="0.25">
      <c r="T10600" s="98"/>
    </row>
    <row r="10601" spans="20:20" x14ac:dyDescent="0.25">
      <c r="T10601" s="98"/>
    </row>
    <row r="10602" spans="20:20" x14ac:dyDescent="0.25">
      <c r="T10602" s="98"/>
    </row>
    <row r="10603" spans="20:20" x14ac:dyDescent="0.25">
      <c r="T10603" s="98"/>
    </row>
    <row r="10604" spans="20:20" x14ac:dyDescent="0.25">
      <c r="T10604" s="98"/>
    </row>
    <row r="10605" spans="20:20" x14ac:dyDescent="0.25">
      <c r="T10605" s="98"/>
    </row>
    <row r="10606" spans="20:20" x14ac:dyDescent="0.25">
      <c r="T10606" s="98"/>
    </row>
    <row r="10607" spans="20:20" x14ac:dyDescent="0.25">
      <c r="T10607" s="98"/>
    </row>
    <row r="10608" spans="20:20" x14ac:dyDescent="0.25">
      <c r="T10608" s="98"/>
    </row>
    <row r="10609" spans="20:20" x14ac:dyDescent="0.25">
      <c r="T10609" s="98"/>
    </row>
    <row r="10610" spans="20:20" x14ac:dyDescent="0.25">
      <c r="T10610" s="98"/>
    </row>
    <row r="10611" spans="20:20" x14ac:dyDescent="0.25">
      <c r="T10611" s="98"/>
    </row>
    <row r="10612" spans="20:20" x14ac:dyDescent="0.25">
      <c r="T10612" s="98"/>
    </row>
    <row r="10613" spans="20:20" x14ac:dyDescent="0.25">
      <c r="T10613" s="98"/>
    </row>
    <row r="10614" spans="20:20" x14ac:dyDescent="0.25">
      <c r="T10614" s="98"/>
    </row>
    <row r="10615" spans="20:20" x14ac:dyDescent="0.25">
      <c r="T10615" s="98"/>
    </row>
    <row r="10616" spans="20:20" x14ac:dyDescent="0.25">
      <c r="T10616" s="98"/>
    </row>
    <row r="10617" spans="20:20" x14ac:dyDescent="0.25">
      <c r="T10617" s="98"/>
    </row>
    <row r="10618" spans="20:20" x14ac:dyDescent="0.25">
      <c r="T10618" s="98"/>
    </row>
    <row r="10619" spans="20:20" x14ac:dyDescent="0.25">
      <c r="T10619" s="98"/>
    </row>
    <row r="10620" spans="20:20" x14ac:dyDescent="0.25">
      <c r="T10620" s="98"/>
    </row>
    <row r="10621" spans="20:20" x14ac:dyDescent="0.25">
      <c r="T10621" s="98"/>
    </row>
    <row r="10622" spans="20:20" x14ac:dyDescent="0.25">
      <c r="T10622" s="98"/>
    </row>
    <row r="10623" spans="20:20" x14ac:dyDescent="0.25">
      <c r="T10623" s="98"/>
    </row>
    <row r="10624" spans="20:20" x14ac:dyDescent="0.25">
      <c r="T10624" s="98"/>
    </row>
    <row r="10625" spans="20:20" x14ac:dyDescent="0.25">
      <c r="T10625" s="98"/>
    </row>
    <row r="10626" spans="20:20" x14ac:dyDescent="0.25">
      <c r="T10626" s="98"/>
    </row>
    <row r="10627" spans="20:20" x14ac:dyDescent="0.25">
      <c r="T10627" s="98"/>
    </row>
    <row r="10628" spans="20:20" x14ac:dyDescent="0.25">
      <c r="T10628" s="98"/>
    </row>
    <row r="10629" spans="20:20" x14ac:dyDescent="0.25">
      <c r="T10629" s="98"/>
    </row>
    <row r="10630" spans="20:20" x14ac:dyDescent="0.25">
      <c r="T10630" s="98"/>
    </row>
    <row r="10631" spans="20:20" x14ac:dyDescent="0.25">
      <c r="T10631" s="98"/>
    </row>
    <row r="10632" spans="20:20" x14ac:dyDescent="0.25">
      <c r="T10632" s="98"/>
    </row>
    <row r="10633" spans="20:20" x14ac:dyDescent="0.25">
      <c r="T10633" s="98"/>
    </row>
    <row r="10634" spans="20:20" x14ac:dyDescent="0.25">
      <c r="T10634" s="98"/>
    </row>
    <row r="10635" spans="20:20" x14ac:dyDescent="0.25">
      <c r="T10635" s="98"/>
    </row>
    <row r="10636" spans="20:20" x14ac:dyDescent="0.25">
      <c r="T10636" s="98"/>
    </row>
    <row r="10637" spans="20:20" x14ac:dyDescent="0.25">
      <c r="T10637" s="98"/>
    </row>
    <row r="10638" spans="20:20" x14ac:dyDescent="0.25">
      <c r="T10638" s="98"/>
    </row>
    <row r="10639" spans="20:20" x14ac:dyDescent="0.25">
      <c r="T10639" s="98"/>
    </row>
    <row r="10640" spans="20:20" x14ac:dyDescent="0.25">
      <c r="T10640" s="98"/>
    </row>
    <row r="10641" spans="20:20" x14ac:dyDescent="0.25">
      <c r="T10641" s="98"/>
    </row>
    <row r="10642" spans="20:20" x14ac:dyDescent="0.25">
      <c r="T10642" s="98"/>
    </row>
    <row r="10643" spans="20:20" x14ac:dyDescent="0.25">
      <c r="T10643" s="98"/>
    </row>
    <row r="10644" spans="20:20" x14ac:dyDescent="0.25">
      <c r="T10644" s="98"/>
    </row>
    <row r="10645" spans="20:20" x14ac:dyDescent="0.25">
      <c r="T10645" s="98"/>
    </row>
    <row r="10646" spans="20:20" x14ac:dyDescent="0.25">
      <c r="T10646" s="98"/>
    </row>
    <row r="10647" spans="20:20" x14ac:dyDescent="0.25">
      <c r="T10647" s="98"/>
    </row>
    <row r="10648" spans="20:20" x14ac:dyDescent="0.25">
      <c r="T10648" s="98"/>
    </row>
    <row r="10649" spans="20:20" x14ac:dyDescent="0.25">
      <c r="T10649" s="98"/>
    </row>
    <row r="10650" spans="20:20" x14ac:dyDescent="0.25">
      <c r="T10650" s="98"/>
    </row>
    <row r="10651" spans="20:20" x14ac:dyDescent="0.25">
      <c r="T10651" s="98"/>
    </row>
    <row r="10652" spans="20:20" x14ac:dyDescent="0.25">
      <c r="T10652" s="98"/>
    </row>
    <row r="10653" spans="20:20" x14ac:dyDescent="0.25">
      <c r="T10653" s="98"/>
    </row>
    <row r="10654" spans="20:20" x14ac:dyDescent="0.25">
      <c r="T10654" s="98"/>
    </row>
    <row r="10655" spans="20:20" x14ac:dyDescent="0.25">
      <c r="T10655" s="98"/>
    </row>
    <row r="10656" spans="20:20" x14ac:dyDescent="0.25">
      <c r="T10656" s="98"/>
    </row>
    <row r="10657" spans="20:20" x14ac:dyDescent="0.25">
      <c r="T10657" s="98"/>
    </row>
    <row r="10658" spans="20:20" x14ac:dyDescent="0.25">
      <c r="T10658" s="98"/>
    </row>
    <row r="10659" spans="20:20" x14ac:dyDescent="0.25">
      <c r="T10659" s="98"/>
    </row>
    <row r="10660" spans="20:20" x14ac:dyDescent="0.25">
      <c r="T10660" s="98"/>
    </row>
    <row r="10661" spans="20:20" x14ac:dyDescent="0.25">
      <c r="T10661" s="98"/>
    </row>
    <row r="10662" spans="20:20" x14ac:dyDescent="0.25">
      <c r="T10662" s="98"/>
    </row>
    <row r="10663" spans="20:20" x14ac:dyDescent="0.25">
      <c r="T10663" s="98"/>
    </row>
    <row r="10664" spans="20:20" x14ac:dyDescent="0.25">
      <c r="T10664" s="98"/>
    </row>
    <row r="10665" spans="20:20" x14ac:dyDescent="0.25">
      <c r="T10665" s="98"/>
    </row>
    <row r="10666" spans="20:20" x14ac:dyDescent="0.25">
      <c r="T10666" s="98"/>
    </row>
    <row r="10667" spans="20:20" x14ac:dyDescent="0.25">
      <c r="T10667" s="98"/>
    </row>
    <row r="10668" spans="20:20" x14ac:dyDescent="0.25">
      <c r="T10668" s="98"/>
    </row>
    <row r="10669" spans="20:20" x14ac:dyDescent="0.25">
      <c r="T10669" s="98"/>
    </row>
    <row r="10670" spans="20:20" x14ac:dyDescent="0.25">
      <c r="T10670" s="98"/>
    </row>
    <row r="10671" spans="20:20" x14ac:dyDescent="0.25">
      <c r="T10671" s="98"/>
    </row>
    <row r="10672" spans="20:20" x14ac:dyDescent="0.25">
      <c r="T10672" s="98"/>
    </row>
    <row r="10673" spans="20:20" x14ac:dyDescent="0.25">
      <c r="T10673" s="98"/>
    </row>
    <row r="10674" spans="20:20" x14ac:dyDescent="0.25">
      <c r="T10674" s="98"/>
    </row>
    <row r="10675" spans="20:20" x14ac:dyDescent="0.25">
      <c r="T10675" s="98"/>
    </row>
    <row r="10676" spans="20:20" x14ac:dyDescent="0.25">
      <c r="T10676" s="98"/>
    </row>
    <row r="10677" spans="20:20" x14ac:dyDescent="0.25">
      <c r="T10677" s="98"/>
    </row>
    <row r="10678" spans="20:20" x14ac:dyDescent="0.25">
      <c r="T10678" s="98"/>
    </row>
    <row r="10679" spans="20:20" x14ac:dyDescent="0.25">
      <c r="T10679" s="98"/>
    </row>
    <row r="10680" spans="20:20" x14ac:dyDescent="0.25">
      <c r="T10680" s="98"/>
    </row>
    <row r="10681" spans="20:20" x14ac:dyDescent="0.25">
      <c r="T10681" s="98"/>
    </row>
    <row r="10682" spans="20:20" x14ac:dyDescent="0.25">
      <c r="T10682" s="98"/>
    </row>
    <row r="10683" spans="20:20" x14ac:dyDescent="0.25">
      <c r="T10683" s="98"/>
    </row>
    <row r="10684" spans="20:20" x14ac:dyDescent="0.25">
      <c r="T10684" s="98"/>
    </row>
    <row r="10685" spans="20:20" x14ac:dyDescent="0.25">
      <c r="T10685" s="98"/>
    </row>
    <row r="10686" spans="20:20" x14ac:dyDescent="0.25">
      <c r="T10686" s="98"/>
    </row>
    <row r="10687" spans="20:20" x14ac:dyDescent="0.25">
      <c r="T10687" s="98"/>
    </row>
    <row r="10688" spans="20:20" x14ac:dyDescent="0.25">
      <c r="T10688" s="98"/>
    </row>
    <row r="10689" spans="20:20" x14ac:dyDescent="0.25">
      <c r="T10689" s="98"/>
    </row>
    <row r="10690" spans="20:20" x14ac:dyDescent="0.25">
      <c r="T10690" s="98"/>
    </row>
    <row r="10691" spans="20:20" x14ac:dyDescent="0.25">
      <c r="T10691" s="98"/>
    </row>
    <row r="10692" spans="20:20" x14ac:dyDescent="0.25">
      <c r="T10692" s="98"/>
    </row>
    <row r="10693" spans="20:20" x14ac:dyDescent="0.25">
      <c r="T10693" s="98"/>
    </row>
    <row r="10694" spans="20:20" x14ac:dyDescent="0.25">
      <c r="T10694" s="98"/>
    </row>
    <row r="10695" spans="20:20" x14ac:dyDescent="0.25">
      <c r="T10695" s="98"/>
    </row>
    <row r="10696" spans="20:20" x14ac:dyDescent="0.25">
      <c r="T10696" s="98"/>
    </row>
    <row r="10697" spans="20:20" x14ac:dyDescent="0.25">
      <c r="T10697" s="98"/>
    </row>
    <row r="10698" spans="20:20" x14ac:dyDescent="0.25">
      <c r="T10698" s="98"/>
    </row>
    <row r="10699" spans="20:20" x14ac:dyDescent="0.25">
      <c r="T10699" s="98"/>
    </row>
    <row r="10700" spans="20:20" x14ac:dyDescent="0.25">
      <c r="T10700" s="98"/>
    </row>
    <row r="10701" spans="20:20" x14ac:dyDescent="0.25">
      <c r="T10701" s="98"/>
    </row>
    <row r="10702" spans="20:20" x14ac:dyDescent="0.25">
      <c r="T10702" s="98"/>
    </row>
    <row r="10703" spans="20:20" x14ac:dyDescent="0.25">
      <c r="T10703" s="98"/>
    </row>
    <row r="10704" spans="20:20" x14ac:dyDescent="0.25">
      <c r="T10704" s="98"/>
    </row>
    <row r="10705" spans="20:20" x14ac:dyDescent="0.25">
      <c r="T10705" s="98"/>
    </row>
    <row r="10706" spans="20:20" x14ac:dyDescent="0.25">
      <c r="T10706" s="98"/>
    </row>
    <row r="10707" spans="20:20" x14ac:dyDescent="0.25">
      <c r="T10707" s="98"/>
    </row>
    <row r="10708" spans="20:20" x14ac:dyDescent="0.25">
      <c r="T10708" s="98"/>
    </row>
    <row r="10709" spans="20:20" x14ac:dyDescent="0.25">
      <c r="T10709" s="98"/>
    </row>
    <row r="10710" spans="20:20" x14ac:dyDescent="0.25">
      <c r="T10710" s="98"/>
    </row>
    <row r="10711" spans="20:20" x14ac:dyDescent="0.25">
      <c r="T10711" s="98"/>
    </row>
    <row r="10712" spans="20:20" x14ac:dyDescent="0.25">
      <c r="T10712" s="98"/>
    </row>
    <row r="10713" spans="20:20" x14ac:dyDescent="0.25">
      <c r="T10713" s="98"/>
    </row>
    <row r="10714" spans="20:20" x14ac:dyDescent="0.25">
      <c r="T10714" s="98"/>
    </row>
    <row r="10715" spans="20:20" x14ac:dyDescent="0.25">
      <c r="T10715" s="98"/>
    </row>
    <row r="10716" spans="20:20" x14ac:dyDescent="0.25">
      <c r="T10716" s="98"/>
    </row>
    <row r="10717" spans="20:20" x14ac:dyDescent="0.25">
      <c r="T10717" s="98"/>
    </row>
    <row r="10718" spans="20:20" x14ac:dyDescent="0.25">
      <c r="T10718" s="98"/>
    </row>
    <row r="10719" spans="20:20" x14ac:dyDescent="0.25">
      <c r="T10719" s="98"/>
    </row>
    <row r="10720" spans="20:20" x14ac:dyDescent="0.25">
      <c r="T10720" s="98"/>
    </row>
    <row r="10721" spans="20:20" x14ac:dyDescent="0.25">
      <c r="T10721" s="98"/>
    </row>
    <row r="10722" spans="20:20" x14ac:dyDescent="0.25">
      <c r="T10722" s="98"/>
    </row>
    <row r="10723" spans="20:20" x14ac:dyDescent="0.25">
      <c r="T10723" s="98"/>
    </row>
    <row r="10724" spans="20:20" x14ac:dyDescent="0.25">
      <c r="T10724" s="98"/>
    </row>
    <row r="10725" spans="20:20" x14ac:dyDescent="0.25">
      <c r="T10725" s="98"/>
    </row>
    <row r="10726" spans="20:20" x14ac:dyDescent="0.25">
      <c r="T10726" s="98"/>
    </row>
    <row r="10727" spans="20:20" x14ac:dyDescent="0.25">
      <c r="T10727" s="98"/>
    </row>
    <row r="10728" spans="20:20" x14ac:dyDescent="0.25">
      <c r="T10728" s="98"/>
    </row>
    <row r="10729" spans="20:20" x14ac:dyDescent="0.25">
      <c r="T10729" s="98"/>
    </row>
    <row r="10730" spans="20:20" x14ac:dyDescent="0.25">
      <c r="T10730" s="98"/>
    </row>
    <row r="10731" spans="20:20" x14ac:dyDescent="0.25">
      <c r="T10731" s="98"/>
    </row>
    <row r="10732" spans="20:20" x14ac:dyDescent="0.25">
      <c r="T10732" s="98"/>
    </row>
    <row r="10733" spans="20:20" x14ac:dyDescent="0.25">
      <c r="T10733" s="98"/>
    </row>
    <row r="10734" spans="20:20" x14ac:dyDescent="0.25">
      <c r="T10734" s="98"/>
    </row>
    <row r="10735" spans="20:20" x14ac:dyDescent="0.25">
      <c r="T10735" s="98"/>
    </row>
    <row r="10736" spans="20:20" x14ac:dyDescent="0.25">
      <c r="T10736" s="98"/>
    </row>
    <row r="10737" spans="20:20" x14ac:dyDescent="0.25">
      <c r="T10737" s="98"/>
    </row>
    <row r="10738" spans="20:20" x14ac:dyDescent="0.25">
      <c r="T10738" s="98"/>
    </row>
    <row r="10739" spans="20:20" x14ac:dyDescent="0.25">
      <c r="T10739" s="98"/>
    </row>
    <row r="10740" spans="20:20" x14ac:dyDescent="0.25">
      <c r="T10740" s="98"/>
    </row>
    <row r="10741" spans="20:20" x14ac:dyDescent="0.25">
      <c r="T10741" s="98"/>
    </row>
    <row r="10742" spans="20:20" x14ac:dyDescent="0.25">
      <c r="T10742" s="98"/>
    </row>
    <row r="10743" spans="20:20" x14ac:dyDescent="0.25">
      <c r="T10743" s="98"/>
    </row>
    <row r="10744" spans="20:20" x14ac:dyDescent="0.25">
      <c r="T10744" s="98"/>
    </row>
    <row r="10745" spans="20:20" x14ac:dyDescent="0.25">
      <c r="T10745" s="98"/>
    </row>
    <row r="10746" spans="20:20" x14ac:dyDescent="0.25">
      <c r="T10746" s="98"/>
    </row>
    <row r="10747" spans="20:20" x14ac:dyDescent="0.25">
      <c r="T10747" s="98"/>
    </row>
    <row r="10748" spans="20:20" x14ac:dyDescent="0.25">
      <c r="T10748" s="98"/>
    </row>
    <row r="10749" spans="20:20" x14ac:dyDescent="0.25">
      <c r="T10749" s="98"/>
    </row>
    <row r="10750" spans="20:20" x14ac:dyDescent="0.25">
      <c r="T10750" s="98"/>
    </row>
    <row r="10751" spans="20:20" x14ac:dyDescent="0.25">
      <c r="T10751" s="98"/>
    </row>
    <row r="10752" spans="20:20" x14ac:dyDescent="0.25">
      <c r="T10752" s="98"/>
    </row>
    <row r="10753" spans="20:20" x14ac:dyDescent="0.25">
      <c r="T10753" s="98"/>
    </row>
    <row r="10754" spans="20:20" x14ac:dyDescent="0.25">
      <c r="T10754" s="98"/>
    </row>
    <row r="10755" spans="20:20" x14ac:dyDescent="0.25">
      <c r="T10755" s="98"/>
    </row>
    <row r="10756" spans="20:20" x14ac:dyDescent="0.25">
      <c r="T10756" s="98"/>
    </row>
    <row r="10757" spans="20:20" x14ac:dyDescent="0.25">
      <c r="T10757" s="98"/>
    </row>
    <row r="10758" spans="20:20" x14ac:dyDescent="0.25">
      <c r="T10758" s="98"/>
    </row>
    <row r="10759" spans="20:20" x14ac:dyDescent="0.25">
      <c r="T10759" s="98"/>
    </row>
    <row r="10760" spans="20:20" x14ac:dyDescent="0.25">
      <c r="T10760" s="98"/>
    </row>
    <row r="10761" spans="20:20" x14ac:dyDescent="0.25">
      <c r="T10761" s="98"/>
    </row>
    <row r="10762" spans="20:20" x14ac:dyDescent="0.25">
      <c r="T10762" s="98"/>
    </row>
    <row r="10763" spans="20:20" x14ac:dyDescent="0.25">
      <c r="T10763" s="98"/>
    </row>
    <row r="10764" spans="20:20" x14ac:dyDescent="0.25">
      <c r="T10764" s="98"/>
    </row>
    <row r="10765" spans="20:20" x14ac:dyDescent="0.25">
      <c r="T10765" s="98"/>
    </row>
    <row r="10766" spans="20:20" x14ac:dyDescent="0.25">
      <c r="T10766" s="98"/>
    </row>
    <row r="10767" spans="20:20" x14ac:dyDescent="0.25">
      <c r="T10767" s="98"/>
    </row>
    <row r="10768" spans="20:20" x14ac:dyDescent="0.25">
      <c r="T10768" s="98"/>
    </row>
    <row r="10769" spans="20:20" x14ac:dyDescent="0.25">
      <c r="T10769" s="98"/>
    </row>
    <row r="10770" spans="20:20" x14ac:dyDescent="0.25">
      <c r="T10770" s="98"/>
    </row>
    <row r="10771" spans="20:20" x14ac:dyDescent="0.25">
      <c r="T10771" s="98"/>
    </row>
    <row r="10772" spans="20:20" x14ac:dyDescent="0.25">
      <c r="T10772" s="98"/>
    </row>
    <row r="10773" spans="20:20" x14ac:dyDescent="0.25">
      <c r="T10773" s="98"/>
    </row>
    <row r="10774" spans="20:20" x14ac:dyDescent="0.25">
      <c r="T10774" s="98"/>
    </row>
    <row r="10775" spans="20:20" x14ac:dyDescent="0.25">
      <c r="T10775" s="98"/>
    </row>
    <row r="10776" spans="20:20" x14ac:dyDescent="0.25">
      <c r="T10776" s="98"/>
    </row>
    <row r="10777" spans="20:20" x14ac:dyDescent="0.25">
      <c r="T10777" s="98"/>
    </row>
    <row r="10778" spans="20:20" x14ac:dyDescent="0.25">
      <c r="T10778" s="98"/>
    </row>
    <row r="10779" spans="20:20" x14ac:dyDescent="0.25">
      <c r="T10779" s="98"/>
    </row>
    <row r="10780" spans="20:20" x14ac:dyDescent="0.25">
      <c r="T10780" s="98"/>
    </row>
    <row r="10781" spans="20:20" x14ac:dyDescent="0.25">
      <c r="T10781" s="98"/>
    </row>
    <row r="10782" spans="20:20" x14ac:dyDescent="0.25">
      <c r="T10782" s="98"/>
    </row>
    <row r="10783" spans="20:20" x14ac:dyDescent="0.25">
      <c r="T10783" s="98"/>
    </row>
    <row r="10784" spans="20:20" x14ac:dyDescent="0.25">
      <c r="T10784" s="98"/>
    </row>
    <row r="10785" spans="20:20" x14ac:dyDescent="0.25">
      <c r="T10785" s="98"/>
    </row>
    <row r="10786" spans="20:20" x14ac:dyDescent="0.25">
      <c r="T10786" s="98"/>
    </row>
    <row r="10787" spans="20:20" x14ac:dyDescent="0.25">
      <c r="T10787" s="98"/>
    </row>
    <row r="10788" spans="20:20" x14ac:dyDescent="0.25">
      <c r="T10788" s="98"/>
    </row>
    <row r="10789" spans="20:20" x14ac:dyDescent="0.25">
      <c r="T10789" s="98"/>
    </row>
    <row r="10790" spans="20:20" x14ac:dyDescent="0.25">
      <c r="T10790" s="98"/>
    </row>
    <row r="10791" spans="20:20" x14ac:dyDescent="0.25">
      <c r="T10791" s="98"/>
    </row>
    <row r="10792" spans="20:20" x14ac:dyDescent="0.25">
      <c r="T10792" s="98"/>
    </row>
    <row r="10793" spans="20:20" x14ac:dyDescent="0.25">
      <c r="T10793" s="98"/>
    </row>
    <row r="10794" spans="20:20" x14ac:dyDescent="0.25">
      <c r="T10794" s="98"/>
    </row>
    <row r="10795" spans="20:20" x14ac:dyDescent="0.25">
      <c r="T10795" s="98"/>
    </row>
    <row r="10796" spans="20:20" x14ac:dyDescent="0.25">
      <c r="T10796" s="98"/>
    </row>
    <row r="10797" spans="20:20" x14ac:dyDescent="0.25">
      <c r="T10797" s="98"/>
    </row>
    <row r="10798" spans="20:20" x14ac:dyDescent="0.25">
      <c r="T10798" s="98"/>
    </row>
    <row r="10799" spans="20:20" x14ac:dyDescent="0.25">
      <c r="T10799" s="98"/>
    </row>
    <row r="10800" spans="20:20" x14ac:dyDescent="0.25">
      <c r="T10800" s="98"/>
    </row>
    <row r="10801" spans="20:20" x14ac:dyDescent="0.25">
      <c r="T10801" s="98"/>
    </row>
    <row r="10802" spans="20:20" x14ac:dyDescent="0.25">
      <c r="T10802" s="98"/>
    </row>
    <row r="10803" spans="20:20" x14ac:dyDescent="0.25">
      <c r="T10803" s="98"/>
    </row>
    <row r="10804" spans="20:20" x14ac:dyDescent="0.25">
      <c r="T10804" s="98"/>
    </row>
    <row r="10805" spans="20:20" x14ac:dyDescent="0.25">
      <c r="T10805" s="98"/>
    </row>
    <row r="10806" spans="20:20" x14ac:dyDescent="0.25">
      <c r="T10806" s="98"/>
    </row>
    <row r="10807" spans="20:20" x14ac:dyDescent="0.25">
      <c r="T10807" s="98"/>
    </row>
    <row r="10808" spans="20:20" x14ac:dyDescent="0.25">
      <c r="T10808" s="98"/>
    </row>
    <row r="10809" spans="20:20" x14ac:dyDescent="0.25">
      <c r="T10809" s="98"/>
    </row>
    <row r="10810" spans="20:20" x14ac:dyDescent="0.25">
      <c r="T10810" s="98"/>
    </row>
    <row r="10811" spans="20:20" x14ac:dyDescent="0.25">
      <c r="T10811" s="98"/>
    </row>
    <row r="10812" spans="20:20" x14ac:dyDescent="0.25">
      <c r="T10812" s="98"/>
    </row>
    <row r="10813" spans="20:20" x14ac:dyDescent="0.25">
      <c r="T10813" s="98"/>
    </row>
    <row r="10814" spans="20:20" x14ac:dyDescent="0.25">
      <c r="T10814" s="98"/>
    </row>
    <row r="10815" spans="20:20" x14ac:dyDescent="0.25">
      <c r="T10815" s="98"/>
    </row>
    <row r="10816" spans="20:20" x14ac:dyDescent="0.25">
      <c r="T10816" s="98"/>
    </row>
    <row r="10817" spans="20:20" x14ac:dyDescent="0.25">
      <c r="T10817" s="98"/>
    </row>
    <row r="10818" spans="20:20" x14ac:dyDescent="0.25">
      <c r="T10818" s="98"/>
    </row>
    <row r="10819" spans="20:20" x14ac:dyDescent="0.25">
      <c r="T10819" s="98"/>
    </row>
    <row r="10820" spans="20:20" x14ac:dyDescent="0.25">
      <c r="T10820" s="98"/>
    </row>
    <row r="10821" spans="20:20" x14ac:dyDescent="0.25">
      <c r="T10821" s="98"/>
    </row>
    <row r="10822" spans="20:20" x14ac:dyDescent="0.25">
      <c r="T10822" s="98"/>
    </row>
    <row r="10823" spans="20:20" x14ac:dyDescent="0.25">
      <c r="T10823" s="98"/>
    </row>
    <row r="10824" spans="20:20" x14ac:dyDescent="0.25">
      <c r="T10824" s="98"/>
    </row>
    <row r="10825" spans="20:20" x14ac:dyDescent="0.25">
      <c r="T10825" s="98"/>
    </row>
    <row r="10826" spans="20:20" x14ac:dyDescent="0.25">
      <c r="T10826" s="98"/>
    </row>
    <row r="10827" spans="20:20" x14ac:dyDescent="0.25">
      <c r="T10827" s="98"/>
    </row>
    <row r="10828" spans="20:20" x14ac:dyDescent="0.25">
      <c r="T10828" s="98"/>
    </row>
    <row r="10829" spans="20:20" x14ac:dyDescent="0.25">
      <c r="T10829" s="98"/>
    </row>
    <row r="10830" spans="20:20" x14ac:dyDescent="0.25">
      <c r="T10830" s="98"/>
    </row>
    <row r="10831" spans="20:20" x14ac:dyDescent="0.25">
      <c r="T10831" s="98"/>
    </row>
    <row r="10832" spans="20:20" x14ac:dyDescent="0.25">
      <c r="T10832" s="98"/>
    </row>
    <row r="10833" spans="20:20" x14ac:dyDescent="0.25">
      <c r="T10833" s="98"/>
    </row>
    <row r="10834" spans="20:20" x14ac:dyDescent="0.25">
      <c r="T10834" s="98"/>
    </row>
    <row r="10835" spans="20:20" x14ac:dyDescent="0.25">
      <c r="T10835" s="98"/>
    </row>
    <row r="10836" spans="20:20" x14ac:dyDescent="0.25">
      <c r="T10836" s="98"/>
    </row>
    <row r="10837" spans="20:20" x14ac:dyDescent="0.25">
      <c r="T10837" s="98"/>
    </row>
    <row r="10838" spans="20:20" x14ac:dyDescent="0.25">
      <c r="T10838" s="98"/>
    </row>
    <row r="10839" spans="20:20" x14ac:dyDescent="0.25">
      <c r="T10839" s="98"/>
    </row>
    <row r="10840" spans="20:20" x14ac:dyDescent="0.25">
      <c r="T10840" s="98"/>
    </row>
    <row r="10841" spans="20:20" x14ac:dyDescent="0.25">
      <c r="T10841" s="98"/>
    </row>
    <row r="10842" spans="20:20" x14ac:dyDescent="0.25">
      <c r="T10842" s="98"/>
    </row>
    <row r="10843" spans="20:20" x14ac:dyDescent="0.25">
      <c r="T10843" s="98"/>
    </row>
    <row r="10844" spans="20:20" x14ac:dyDescent="0.25">
      <c r="T10844" s="98"/>
    </row>
    <row r="10845" spans="20:20" x14ac:dyDescent="0.25">
      <c r="T10845" s="98"/>
    </row>
    <row r="10846" spans="20:20" x14ac:dyDescent="0.25">
      <c r="T10846" s="98"/>
    </row>
    <row r="10847" spans="20:20" x14ac:dyDescent="0.25">
      <c r="T10847" s="98"/>
    </row>
    <row r="10848" spans="20:20" x14ac:dyDescent="0.25">
      <c r="T10848" s="98"/>
    </row>
    <row r="10849" spans="20:20" x14ac:dyDescent="0.25">
      <c r="T10849" s="98"/>
    </row>
    <row r="10850" spans="20:20" x14ac:dyDescent="0.25">
      <c r="T10850" s="98"/>
    </row>
    <row r="10851" spans="20:20" x14ac:dyDescent="0.25">
      <c r="T10851" s="98"/>
    </row>
    <row r="10852" spans="20:20" x14ac:dyDescent="0.25">
      <c r="T10852" s="98"/>
    </row>
    <row r="10853" spans="20:20" x14ac:dyDescent="0.25">
      <c r="T10853" s="98"/>
    </row>
    <row r="10854" spans="20:20" x14ac:dyDescent="0.25">
      <c r="T10854" s="98"/>
    </row>
    <row r="10855" spans="20:20" x14ac:dyDescent="0.25">
      <c r="T10855" s="98"/>
    </row>
    <row r="10856" spans="20:20" x14ac:dyDescent="0.25">
      <c r="T10856" s="98"/>
    </row>
    <row r="10857" spans="20:20" x14ac:dyDescent="0.25">
      <c r="T10857" s="98"/>
    </row>
    <row r="10858" spans="20:20" x14ac:dyDescent="0.25">
      <c r="T10858" s="98"/>
    </row>
    <row r="10859" spans="20:20" x14ac:dyDescent="0.25">
      <c r="T10859" s="98"/>
    </row>
    <row r="10860" spans="20:20" x14ac:dyDescent="0.25">
      <c r="T10860" s="98"/>
    </row>
    <row r="10861" spans="20:20" x14ac:dyDescent="0.25">
      <c r="T10861" s="98"/>
    </row>
    <row r="10862" spans="20:20" x14ac:dyDescent="0.25">
      <c r="T10862" s="98"/>
    </row>
    <row r="10863" spans="20:20" x14ac:dyDescent="0.25">
      <c r="T10863" s="98"/>
    </row>
    <row r="10864" spans="20:20" x14ac:dyDescent="0.25">
      <c r="T10864" s="98"/>
    </row>
    <row r="10865" spans="20:20" x14ac:dyDescent="0.25">
      <c r="T10865" s="98"/>
    </row>
    <row r="10866" spans="20:20" x14ac:dyDescent="0.25">
      <c r="T10866" s="98"/>
    </row>
    <row r="10867" spans="20:20" x14ac:dyDescent="0.25">
      <c r="T10867" s="98"/>
    </row>
    <row r="10868" spans="20:20" x14ac:dyDescent="0.25">
      <c r="T10868" s="98"/>
    </row>
    <row r="10869" spans="20:20" x14ac:dyDescent="0.25">
      <c r="T10869" s="98"/>
    </row>
    <row r="10870" spans="20:20" x14ac:dyDescent="0.25">
      <c r="T10870" s="98"/>
    </row>
    <row r="10871" spans="20:20" x14ac:dyDescent="0.25">
      <c r="T10871" s="98"/>
    </row>
    <row r="10872" spans="20:20" x14ac:dyDescent="0.25">
      <c r="T10872" s="98"/>
    </row>
    <row r="10873" spans="20:20" x14ac:dyDescent="0.25">
      <c r="T10873" s="98"/>
    </row>
    <row r="10874" spans="20:20" x14ac:dyDescent="0.25">
      <c r="T10874" s="98"/>
    </row>
    <row r="10875" spans="20:20" x14ac:dyDescent="0.25">
      <c r="T10875" s="98"/>
    </row>
    <row r="10876" spans="20:20" x14ac:dyDescent="0.25">
      <c r="T10876" s="98"/>
    </row>
    <row r="10877" spans="20:20" x14ac:dyDescent="0.25">
      <c r="T10877" s="98"/>
    </row>
    <row r="10878" spans="20:20" x14ac:dyDescent="0.25">
      <c r="T10878" s="98"/>
    </row>
    <row r="10879" spans="20:20" x14ac:dyDescent="0.25">
      <c r="T10879" s="98"/>
    </row>
    <row r="10880" spans="20:20" x14ac:dyDescent="0.25">
      <c r="T10880" s="98"/>
    </row>
    <row r="10881" spans="20:20" x14ac:dyDescent="0.25">
      <c r="T10881" s="98"/>
    </row>
    <row r="10882" spans="20:20" x14ac:dyDescent="0.25">
      <c r="T10882" s="98"/>
    </row>
    <row r="10883" spans="20:20" x14ac:dyDescent="0.25">
      <c r="T10883" s="98"/>
    </row>
    <row r="10884" spans="20:20" x14ac:dyDescent="0.25">
      <c r="T10884" s="98"/>
    </row>
    <row r="10885" spans="20:20" x14ac:dyDescent="0.25">
      <c r="T10885" s="98"/>
    </row>
    <row r="10886" spans="20:20" x14ac:dyDescent="0.25">
      <c r="T10886" s="98"/>
    </row>
    <row r="10887" spans="20:20" x14ac:dyDescent="0.25">
      <c r="T10887" s="98"/>
    </row>
    <row r="10888" spans="20:20" x14ac:dyDescent="0.25">
      <c r="T10888" s="98"/>
    </row>
    <row r="10889" spans="20:20" x14ac:dyDescent="0.25">
      <c r="T10889" s="98"/>
    </row>
    <row r="10890" spans="20:20" x14ac:dyDescent="0.25">
      <c r="T10890" s="98"/>
    </row>
    <row r="10891" spans="20:20" x14ac:dyDescent="0.25">
      <c r="T10891" s="98"/>
    </row>
    <row r="10892" spans="20:20" x14ac:dyDescent="0.25">
      <c r="T10892" s="98"/>
    </row>
    <row r="10893" spans="20:20" x14ac:dyDescent="0.25">
      <c r="T10893" s="98"/>
    </row>
    <row r="10894" spans="20:20" x14ac:dyDescent="0.25">
      <c r="T10894" s="98"/>
    </row>
    <row r="10895" spans="20:20" x14ac:dyDescent="0.25">
      <c r="T10895" s="98"/>
    </row>
    <row r="10896" spans="20:20" x14ac:dyDescent="0.25">
      <c r="T10896" s="98"/>
    </row>
    <row r="10897" spans="20:20" x14ac:dyDescent="0.25">
      <c r="T10897" s="98"/>
    </row>
    <row r="10898" spans="20:20" x14ac:dyDescent="0.25">
      <c r="T10898" s="98"/>
    </row>
    <row r="10899" spans="20:20" x14ac:dyDescent="0.25">
      <c r="T10899" s="98"/>
    </row>
    <row r="10900" spans="20:20" x14ac:dyDescent="0.25">
      <c r="T10900" s="98"/>
    </row>
    <row r="10901" spans="20:20" x14ac:dyDescent="0.25">
      <c r="T10901" s="98"/>
    </row>
    <row r="10902" spans="20:20" x14ac:dyDescent="0.25">
      <c r="T10902" s="98"/>
    </row>
    <row r="10903" spans="20:20" x14ac:dyDescent="0.25">
      <c r="T10903" s="98"/>
    </row>
    <row r="10904" spans="20:20" x14ac:dyDescent="0.25">
      <c r="T10904" s="98"/>
    </row>
    <row r="10905" spans="20:20" x14ac:dyDescent="0.25">
      <c r="T10905" s="98"/>
    </row>
    <row r="10906" spans="20:20" x14ac:dyDescent="0.25">
      <c r="T10906" s="98"/>
    </row>
    <row r="10907" spans="20:20" x14ac:dyDescent="0.25">
      <c r="T10907" s="98"/>
    </row>
    <row r="10908" spans="20:20" x14ac:dyDescent="0.25">
      <c r="T10908" s="98"/>
    </row>
    <row r="10909" spans="20:20" x14ac:dyDescent="0.25">
      <c r="T10909" s="98"/>
    </row>
    <row r="10910" spans="20:20" x14ac:dyDescent="0.25">
      <c r="T10910" s="98"/>
    </row>
    <row r="10911" spans="20:20" x14ac:dyDescent="0.25">
      <c r="T10911" s="98"/>
    </row>
    <row r="10912" spans="20:20" x14ac:dyDescent="0.25">
      <c r="T10912" s="98"/>
    </row>
    <row r="10913" spans="20:20" x14ac:dyDescent="0.25">
      <c r="T10913" s="98"/>
    </row>
    <row r="10914" spans="20:20" x14ac:dyDescent="0.25">
      <c r="T10914" s="98"/>
    </row>
    <row r="10915" spans="20:20" x14ac:dyDescent="0.25">
      <c r="T10915" s="98"/>
    </row>
    <row r="10916" spans="20:20" x14ac:dyDescent="0.25">
      <c r="T10916" s="98"/>
    </row>
    <row r="10917" spans="20:20" x14ac:dyDescent="0.25">
      <c r="T10917" s="98"/>
    </row>
    <row r="10918" spans="20:20" x14ac:dyDescent="0.25">
      <c r="T10918" s="98"/>
    </row>
    <row r="10919" spans="20:20" x14ac:dyDescent="0.25">
      <c r="T10919" s="98"/>
    </row>
    <row r="10920" spans="20:20" x14ac:dyDescent="0.25">
      <c r="T10920" s="98"/>
    </row>
    <row r="10921" spans="20:20" x14ac:dyDescent="0.25">
      <c r="T10921" s="98"/>
    </row>
    <row r="10922" spans="20:20" x14ac:dyDescent="0.25">
      <c r="T10922" s="98"/>
    </row>
    <row r="10923" spans="20:20" x14ac:dyDescent="0.25">
      <c r="T10923" s="98"/>
    </row>
    <row r="10924" spans="20:20" x14ac:dyDescent="0.25">
      <c r="T10924" s="98"/>
    </row>
    <row r="10925" spans="20:20" x14ac:dyDescent="0.25">
      <c r="T10925" s="98"/>
    </row>
    <row r="10926" spans="20:20" x14ac:dyDescent="0.25">
      <c r="T10926" s="98"/>
    </row>
    <row r="10927" spans="20:20" x14ac:dyDescent="0.25">
      <c r="T10927" s="98"/>
    </row>
    <row r="10928" spans="20:20" x14ac:dyDescent="0.25">
      <c r="T10928" s="98"/>
    </row>
    <row r="10929" spans="20:20" x14ac:dyDescent="0.25">
      <c r="T10929" s="98"/>
    </row>
    <row r="10930" spans="20:20" x14ac:dyDescent="0.25">
      <c r="T10930" s="98"/>
    </row>
    <row r="10931" spans="20:20" x14ac:dyDescent="0.25">
      <c r="T10931" s="98"/>
    </row>
    <row r="10932" spans="20:20" x14ac:dyDescent="0.25">
      <c r="T10932" s="98"/>
    </row>
    <row r="10933" spans="20:20" x14ac:dyDescent="0.25">
      <c r="T10933" s="98"/>
    </row>
    <row r="10934" spans="20:20" x14ac:dyDescent="0.25">
      <c r="T10934" s="98"/>
    </row>
    <row r="10935" spans="20:20" x14ac:dyDescent="0.25">
      <c r="T10935" s="98"/>
    </row>
    <row r="10936" spans="20:20" x14ac:dyDescent="0.25">
      <c r="T10936" s="98"/>
    </row>
    <row r="10937" spans="20:20" x14ac:dyDescent="0.25">
      <c r="T10937" s="98"/>
    </row>
    <row r="10938" spans="20:20" x14ac:dyDescent="0.25">
      <c r="T10938" s="98"/>
    </row>
    <row r="10939" spans="20:20" x14ac:dyDescent="0.25">
      <c r="T10939" s="98"/>
    </row>
    <row r="10940" spans="20:20" x14ac:dyDescent="0.25">
      <c r="T10940" s="98"/>
    </row>
    <row r="10941" spans="20:20" x14ac:dyDescent="0.25">
      <c r="T10941" s="98"/>
    </row>
    <row r="10942" spans="20:20" x14ac:dyDescent="0.25">
      <c r="T10942" s="98"/>
    </row>
    <row r="10943" spans="20:20" x14ac:dyDescent="0.25">
      <c r="T10943" s="98"/>
    </row>
    <row r="10944" spans="20:20" x14ac:dyDescent="0.25">
      <c r="T10944" s="98"/>
    </row>
    <row r="10945" spans="20:20" x14ac:dyDescent="0.25">
      <c r="T10945" s="98"/>
    </row>
    <row r="10946" spans="20:20" x14ac:dyDescent="0.25">
      <c r="T10946" s="98"/>
    </row>
    <row r="10947" spans="20:20" x14ac:dyDescent="0.25">
      <c r="T10947" s="98"/>
    </row>
    <row r="10948" spans="20:20" x14ac:dyDescent="0.25">
      <c r="T10948" s="98"/>
    </row>
    <row r="10949" spans="20:20" x14ac:dyDescent="0.25">
      <c r="T10949" s="98"/>
    </row>
    <row r="10950" spans="20:20" x14ac:dyDescent="0.25">
      <c r="T10950" s="98"/>
    </row>
    <row r="10951" spans="20:20" x14ac:dyDescent="0.25">
      <c r="T10951" s="98"/>
    </row>
    <row r="10952" spans="20:20" x14ac:dyDescent="0.25">
      <c r="T10952" s="98"/>
    </row>
    <row r="10953" spans="20:20" x14ac:dyDescent="0.25">
      <c r="T10953" s="98"/>
    </row>
    <row r="10954" spans="20:20" x14ac:dyDescent="0.25">
      <c r="T10954" s="98"/>
    </row>
    <row r="10955" spans="20:20" x14ac:dyDescent="0.25">
      <c r="T10955" s="98"/>
    </row>
    <row r="10956" spans="20:20" x14ac:dyDescent="0.25">
      <c r="T10956" s="98"/>
    </row>
    <row r="10957" spans="20:20" x14ac:dyDescent="0.25">
      <c r="T10957" s="98"/>
    </row>
    <row r="10958" spans="20:20" x14ac:dyDescent="0.25">
      <c r="T10958" s="98"/>
    </row>
    <row r="10959" spans="20:20" x14ac:dyDescent="0.25">
      <c r="T10959" s="98"/>
    </row>
    <row r="10960" spans="20:20" x14ac:dyDescent="0.25">
      <c r="T10960" s="98"/>
    </row>
    <row r="10961" spans="20:20" x14ac:dyDescent="0.25">
      <c r="T10961" s="98"/>
    </row>
    <row r="10962" spans="20:20" x14ac:dyDescent="0.25">
      <c r="T10962" s="98"/>
    </row>
    <row r="10963" spans="20:20" x14ac:dyDescent="0.25">
      <c r="T10963" s="98"/>
    </row>
    <row r="10964" spans="20:20" x14ac:dyDescent="0.25">
      <c r="T10964" s="98"/>
    </row>
    <row r="10965" spans="20:20" x14ac:dyDescent="0.25">
      <c r="T10965" s="98"/>
    </row>
    <row r="10966" spans="20:20" x14ac:dyDescent="0.25">
      <c r="T10966" s="98"/>
    </row>
    <row r="10967" spans="20:20" x14ac:dyDescent="0.25">
      <c r="T10967" s="98"/>
    </row>
    <row r="10968" spans="20:20" x14ac:dyDescent="0.25">
      <c r="T10968" s="98"/>
    </row>
    <row r="10969" spans="20:20" x14ac:dyDescent="0.25">
      <c r="T10969" s="98"/>
    </row>
    <row r="10970" spans="20:20" x14ac:dyDescent="0.25">
      <c r="T10970" s="98"/>
    </row>
    <row r="10971" spans="20:20" x14ac:dyDescent="0.25">
      <c r="T10971" s="98"/>
    </row>
    <row r="10972" spans="20:20" x14ac:dyDescent="0.25">
      <c r="T10972" s="98"/>
    </row>
    <row r="10973" spans="20:20" x14ac:dyDescent="0.25">
      <c r="T10973" s="98"/>
    </row>
    <row r="10974" spans="20:20" x14ac:dyDescent="0.25">
      <c r="T10974" s="98"/>
    </row>
    <row r="10975" spans="20:20" x14ac:dyDescent="0.25">
      <c r="T10975" s="98"/>
    </row>
    <row r="10976" spans="20:20" x14ac:dyDescent="0.25">
      <c r="T10976" s="98"/>
    </row>
    <row r="10977" spans="20:20" x14ac:dyDescent="0.25">
      <c r="T10977" s="98"/>
    </row>
    <row r="10978" spans="20:20" x14ac:dyDescent="0.25">
      <c r="T10978" s="98"/>
    </row>
    <row r="10979" spans="20:20" x14ac:dyDescent="0.25">
      <c r="T10979" s="98"/>
    </row>
    <row r="10980" spans="20:20" x14ac:dyDescent="0.25">
      <c r="T10980" s="98"/>
    </row>
    <row r="10981" spans="20:20" x14ac:dyDescent="0.25">
      <c r="T10981" s="98"/>
    </row>
    <row r="10982" spans="20:20" x14ac:dyDescent="0.25">
      <c r="T10982" s="98"/>
    </row>
    <row r="10983" spans="20:20" x14ac:dyDescent="0.25">
      <c r="T10983" s="98"/>
    </row>
    <row r="10984" spans="20:20" x14ac:dyDescent="0.25">
      <c r="T10984" s="98"/>
    </row>
    <row r="10985" spans="20:20" x14ac:dyDescent="0.25">
      <c r="T10985" s="98"/>
    </row>
    <row r="10986" spans="20:20" x14ac:dyDescent="0.25">
      <c r="T10986" s="98"/>
    </row>
    <row r="10987" spans="20:20" x14ac:dyDescent="0.25">
      <c r="T10987" s="98"/>
    </row>
    <row r="10988" spans="20:20" x14ac:dyDescent="0.25">
      <c r="T10988" s="98"/>
    </row>
    <row r="10989" spans="20:20" x14ac:dyDescent="0.25">
      <c r="T10989" s="98"/>
    </row>
    <row r="10990" spans="20:20" x14ac:dyDescent="0.25">
      <c r="T10990" s="98"/>
    </row>
    <row r="10991" spans="20:20" x14ac:dyDescent="0.25">
      <c r="T10991" s="98"/>
    </row>
    <row r="10992" spans="20:20" x14ac:dyDescent="0.25">
      <c r="T10992" s="98"/>
    </row>
    <row r="10993" spans="20:20" x14ac:dyDescent="0.25">
      <c r="T10993" s="98"/>
    </row>
    <row r="10994" spans="20:20" x14ac:dyDescent="0.25">
      <c r="T10994" s="98"/>
    </row>
    <row r="10995" spans="20:20" x14ac:dyDescent="0.25">
      <c r="T10995" s="98"/>
    </row>
    <row r="10996" spans="20:20" x14ac:dyDescent="0.25">
      <c r="T10996" s="98"/>
    </row>
    <row r="10997" spans="20:20" x14ac:dyDescent="0.25">
      <c r="T10997" s="98"/>
    </row>
    <row r="10998" spans="20:20" x14ac:dyDescent="0.25">
      <c r="T10998" s="98"/>
    </row>
    <row r="10999" spans="20:20" x14ac:dyDescent="0.25">
      <c r="T10999" s="98"/>
    </row>
    <row r="11000" spans="20:20" x14ac:dyDescent="0.25">
      <c r="T11000" s="98"/>
    </row>
    <row r="11001" spans="20:20" x14ac:dyDescent="0.25">
      <c r="T11001" s="98"/>
    </row>
    <row r="11002" spans="20:20" x14ac:dyDescent="0.25">
      <c r="T11002" s="98"/>
    </row>
    <row r="11003" spans="20:20" x14ac:dyDescent="0.25">
      <c r="T11003" s="98"/>
    </row>
    <row r="11004" spans="20:20" x14ac:dyDescent="0.25">
      <c r="T11004" s="98"/>
    </row>
    <row r="11005" spans="20:20" x14ac:dyDescent="0.25">
      <c r="T11005" s="98"/>
    </row>
    <row r="11006" spans="20:20" x14ac:dyDescent="0.25">
      <c r="T11006" s="98"/>
    </row>
    <row r="11007" spans="20:20" x14ac:dyDescent="0.25">
      <c r="T11007" s="98"/>
    </row>
    <row r="11008" spans="20:20" x14ac:dyDescent="0.25">
      <c r="T11008" s="98"/>
    </row>
    <row r="11009" spans="20:20" x14ac:dyDescent="0.25">
      <c r="T11009" s="98"/>
    </row>
    <row r="11010" spans="20:20" x14ac:dyDescent="0.25">
      <c r="T11010" s="98"/>
    </row>
    <row r="11011" spans="20:20" x14ac:dyDescent="0.25">
      <c r="T11011" s="98"/>
    </row>
    <row r="11012" spans="20:20" x14ac:dyDescent="0.25">
      <c r="T11012" s="98"/>
    </row>
    <row r="11013" spans="20:20" x14ac:dyDescent="0.25">
      <c r="T11013" s="98"/>
    </row>
    <row r="11014" spans="20:20" x14ac:dyDescent="0.25">
      <c r="T11014" s="98"/>
    </row>
    <row r="11015" spans="20:20" x14ac:dyDescent="0.25">
      <c r="T11015" s="98"/>
    </row>
    <row r="11016" spans="20:20" x14ac:dyDescent="0.25">
      <c r="T11016" s="98"/>
    </row>
    <row r="11017" spans="20:20" x14ac:dyDescent="0.25">
      <c r="T11017" s="98"/>
    </row>
    <row r="11018" spans="20:20" x14ac:dyDescent="0.25">
      <c r="T11018" s="98"/>
    </row>
    <row r="11019" spans="20:20" x14ac:dyDescent="0.25">
      <c r="T11019" s="98"/>
    </row>
    <row r="11020" spans="20:20" x14ac:dyDescent="0.25">
      <c r="T11020" s="98"/>
    </row>
    <row r="11021" spans="20:20" x14ac:dyDescent="0.25">
      <c r="T11021" s="98"/>
    </row>
    <row r="11022" spans="20:20" x14ac:dyDescent="0.25">
      <c r="T11022" s="98"/>
    </row>
    <row r="11023" spans="20:20" x14ac:dyDescent="0.25">
      <c r="T11023" s="98"/>
    </row>
    <row r="11024" spans="20:20" x14ac:dyDescent="0.25">
      <c r="T11024" s="98"/>
    </row>
    <row r="11025" spans="20:20" x14ac:dyDescent="0.25">
      <c r="T11025" s="98"/>
    </row>
    <row r="11026" spans="20:20" x14ac:dyDescent="0.25">
      <c r="T11026" s="98"/>
    </row>
    <row r="11027" spans="20:20" x14ac:dyDescent="0.25">
      <c r="T11027" s="98"/>
    </row>
    <row r="11028" spans="20:20" x14ac:dyDescent="0.25">
      <c r="T11028" s="98"/>
    </row>
    <row r="11029" spans="20:20" x14ac:dyDescent="0.25">
      <c r="T11029" s="98"/>
    </row>
    <row r="11030" spans="20:20" x14ac:dyDescent="0.25">
      <c r="T11030" s="98"/>
    </row>
    <row r="11031" spans="20:20" x14ac:dyDescent="0.25">
      <c r="T11031" s="98"/>
    </row>
    <row r="11032" spans="20:20" x14ac:dyDescent="0.25">
      <c r="T11032" s="98"/>
    </row>
    <row r="11033" spans="20:20" x14ac:dyDescent="0.25">
      <c r="T11033" s="98"/>
    </row>
    <row r="11034" spans="20:20" x14ac:dyDescent="0.25">
      <c r="T11034" s="98"/>
    </row>
    <row r="11035" spans="20:20" x14ac:dyDescent="0.25">
      <c r="T11035" s="98"/>
    </row>
    <row r="11036" spans="20:20" x14ac:dyDescent="0.25">
      <c r="T11036" s="98"/>
    </row>
    <row r="11037" spans="20:20" x14ac:dyDescent="0.25">
      <c r="T11037" s="98"/>
    </row>
    <row r="11038" spans="20:20" x14ac:dyDescent="0.25">
      <c r="T11038" s="98"/>
    </row>
    <row r="11039" spans="20:20" x14ac:dyDescent="0.25">
      <c r="T11039" s="98"/>
    </row>
    <row r="11040" spans="20:20" x14ac:dyDescent="0.25">
      <c r="T11040" s="98"/>
    </row>
    <row r="11041" spans="20:20" x14ac:dyDescent="0.25">
      <c r="T11041" s="98"/>
    </row>
    <row r="11042" spans="20:20" x14ac:dyDescent="0.25">
      <c r="T11042" s="98"/>
    </row>
    <row r="11043" spans="20:20" x14ac:dyDescent="0.25">
      <c r="T11043" s="98"/>
    </row>
    <row r="11044" spans="20:20" x14ac:dyDescent="0.25">
      <c r="T11044" s="98"/>
    </row>
    <row r="11045" spans="20:20" x14ac:dyDescent="0.25">
      <c r="T11045" s="98"/>
    </row>
    <row r="11046" spans="20:20" x14ac:dyDescent="0.25">
      <c r="T11046" s="98"/>
    </row>
    <row r="11047" spans="20:20" x14ac:dyDescent="0.25">
      <c r="T11047" s="98"/>
    </row>
    <row r="11048" spans="20:20" x14ac:dyDescent="0.25">
      <c r="T11048" s="98"/>
    </row>
    <row r="11049" spans="20:20" x14ac:dyDescent="0.25">
      <c r="T11049" s="98"/>
    </row>
    <row r="11050" spans="20:20" x14ac:dyDescent="0.25">
      <c r="T11050" s="98"/>
    </row>
    <row r="11051" spans="20:20" x14ac:dyDescent="0.25">
      <c r="T11051" s="98"/>
    </row>
    <row r="11052" spans="20:20" x14ac:dyDescent="0.25">
      <c r="T11052" s="98"/>
    </row>
    <row r="11053" spans="20:20" x14ac:dyDescent="0.25">
      <c r="T11053" s="98"/>
    </row>
    <row r="11054" spans="20:20" x14ac:dyDescent="0.25">
      <c r="T11054" s="98"/>
    </row>
    <row r="11055" spans="20:20" x14ac:dyDescent="0.25">
      <c r="T11055" s="98"/>
    </row>
    <row r="11056" spans="20:20" x14ac:dyDescent="0.25">
      <c r="T11056" s="98"/>
    </row>
    <row r="11057" spans="20:20" x14ac:dyDescent="0.25">
      <c r="T11057" s="98"/>
    </row>
    <row r="11058" spans="20:20" x14ac:dyDescent="0.25">
      <c r="T11058" s="98"/>
    </row>
    <row r="11059" spans="20:20" x14ac:dyDescent="0.25">
      <c r="T11059" s="98"/>
    </row>
    <row r="11060" spans="20:20" x14ac:dyDescent="0.25">
      <c r="T11060" s="98"/>
    </row>
    <row r="11061" spans="20:20" x14ac:dyDescent="0.25">
      <c r="T11061" s="98"/>
    </row>
    <row r="11062" spans="20:20" x14ac:dyDescent="0.25">
      <c r="T11062" s="98"/>
    </row>
    <row r="11063" spans="20:20" x14ac:dyDescent="0.25">
      <c r="T11063" s="98"/>
    </row>
    <row r="11064" spans="20:20" x14ac:dyDescent="0.25">
      <c r="T11064" s="98"/>
    </row>
    <row r="11065" spans="20:20" x14ac:dyDescent="0.25">
      <c r="T11065" s="98"/>
    </row>
    <row r="11066" spans="20:20" x14ac:dyDescent="0.25">
      <c r="T11066" s="98"/>
    </row>
    <row r="11067" spans="20:20" x14ac:dyDescent="0.25">
      <c r="T11067" s="98"/>
    </row>
    <row r="11068" spans="20:20" x14ac:dyDescent="0.25">
      <c r="T11068" s="98"/>
    </row>
    <row r="11069" spans="20:20" x14ac:dyDescent="0.25">
      <c r="T11069" s="98"/>
    </row>
    <row r="11070" spans="20:20" x14ac:dyDescent="0.25">
      <c r="T11070" s="98"/>
    </row>
    <row r="11071" spans="20:20" x14ac:dyDescent="0.25">
      <c r="T11071" s="98"/>
    </row>
    <row r="11072" spans="20:20" x14ac:dyDescent="0.25">
      <c r="T11072" s="98"/>
    </row>
    <row r="11073" spans="20:20" x14ac:dyDescent="0.25">
      <c r="T11073" s="98"/>
    </row>
    <row r="11074" spans="20:20" x14ac:dyDescent="0.25">
      <c r="T11074" s="98"/>
    </row>
    <row r="11075" spans="20:20" x14ac:dyDescent="0.25">
      <c r="T11075" s="98"/>
    </row>
    <row r="11076" spans="20:20" x14ac:dyDescent="0.25">
      <c r="T11076" s="98"/>
    </row>
    <row r="11077" spans="20:20" x14ac:dyDescent="0.25">
      <c r="T11077" s="98"/>
    </row>
    <row r="11078" spans="20:20" x14ac:dyDescent="0.25">
      <c r="T11078" s="98"/>
    </row>
    <row r="11079" spans="20:20" x14ac:dyDescent="0.25">
      <c r="T11079" s="98"/>
    </row>
    <row r="11080" spans="20:20" x14ac:dyDescent="0.25">
      <c r="T11080" s="98"/>
    </row>
    <row r="11081" spans="20:20" x14ac:dyDescent="0.25">
      <c r="T11081" s="98"/>
    </row>
    <row r="11082" spans="20:20" x14ac:dyDescent="0.25">
      <c r="T11082" s="98"/>
    </row>
    <row r="11083" spans="20:20" x14ac:dyDescent="0.25">
      <c r="T11083" s="98"/>
    </row>
    <row r="11084" spans="20:20" x14ac:dyDescent="0.25">
      <c r="T11084" s="98"/>
    </row>
    <row r="11085" spans="20:20" x14ac:dyDescent="0.25">
      <c r="T11085" s="98"/>
    </row>
    <row r="11086" spans="20:20" x14ac:dyDescent="0.25">
      <c r="T11086" s="98"/>
    </row>
    <row r="11087" spans="20:20" x14ac:dyDescent="0.25">
      <c r="T11087" s="98"/>
    </row>
    <row r="11088" spans="20:20" x14ac:dyDescent="0.25">
      <c r="T11088" s="98"/>
    </row>
    <row r="11089" spans="20:20" x14ac:dyDescent="0.25">
      <c r="T11089" s="98"/>
    </row>
    <row r="11090" spans="20:20" x14ac:dyDescent="0.25">
      <c r="T11090" s="98"/>
    </row>
    <row r="11091" spans="20:20" x14ac:dyDescent="0.25">
      <c r="T11091" s="98"/>
    </row>
    <row r="11092" spans="20:20" x14ac:dyDescent="0.25">
      <c r="T11092" s="98"/>
    </row>
    <row r="11093" spans="20:20" x14ac:dyDescent="0.25">
      <c r="T11093" s="98"/>
    </row>
    <row r="11094" spans="20:20" x14ac:dyDescent="0.25">
      <c r="T11094" s="98"/>
    </row>
    <row r="11095" spans="20:20" x14ac:dyDescent="0.25">
      <c r="T11095" s="98"/>
    </row>
    <row r="11096" spans="20:20" x14ac:dyDescent="0.25">
      <c r="T11096" s="98"/>
    </row>
    <row r="11097" spans="20:20" x14ac:dyDescent="0.25">
      <c r="T11097" s="98"/>
    </row>
    <row r="11098" spans="20:20" x14ac:dyDescent="0.25">
      <c r="T11098" s="98"/>
    </row>
    <row r="11099" spans="20:20" x14ac:dyDescent="0.25">
      <c r="T11099" s="98"/>
    </row>
    <row r="11100" spans="20:20" x14ac:dyDescent="0.25">
      <c r="T11100" s="98"/>
    </row>
    <row r="11101" spans="20:20" x14ac:dyDescent="0.25">
      <c r="T11101" s="98"/>
    </row>
    <row r="11102" spans="20:20" x14ac:dyDescent="0.25">
      <c r="T11102" s="98"/>
    </row>
    <row r="11103" spans="20:20" x14ac:dyDescent="0.25">
      <c r="T11103" s="98"/>
    </row>
    <row r="11104" spans="20:20" x14ac:dyDescent="0.25">
      <c r="T11104" s="98"/>
    </row>
    <row r="11105" spans="20:20" x14ac:dyDescent="0.25">
      <c r="T11105" s="98"/>
    </row>
    <row r="11106" spans="20:20" x14ac:dyDescent="0.25">
      <c r="T11106" s="98"/>
    </row>
    <row r="11107" spans="20:20" x14ac:dyDescent="0.25">
      <c r="T11107" s="98"/>
    </row>
    <row r="11108" spans="20:20" x14ac:dyDescent="0.25">
      <c r="T11108" s="98"/>
    </row>
    <row r="11109" spans="20:20" x14ac:dyDescent="0.25">
      <c r="T11109" s="98"/>
    </row>
    <row r="11110" spans="20:20" x14ac:dyDescent="0.25">
      <c r="T11110" s="98"/>
    </row>
    <row r="11111" spans="20:20" x14ac:dyDescent="0.25">
      <c r="T11111" s="98"/>
    </row>
    <row r="11112" spans="20:20" x14ac:dyDescent="0.25">
      <c r="T11112" s="98"/>
    </row>
    <row r="11113" spans="20:20" x14ac:dyDescent="0.25">
      <c r="T11113" s="98"/>
    </row>
    <row r="11114" spans="20:20" x14ac:dyDescent="0.25">
      <c r="T11114" s="98"/>
    </row>
    <row r="11115" spans="20:20" x14ac:dyDescent="0.25">
      <c r="T11115" s="98"/>
    </row>
    <row r="11116" spans="20:20" x14ac:dyDescent="0.25">
      <c r="T11116" s="98"/>
    </row>
    <row r="11117" spans="20:20" x14ac:dyDescent="0.25">
      <c r="T11117" s="98"/>
    </row>
    <row r="11118" spans="20:20" x14ac:dyDescent="0.25">
      <c r="T11118" s="98"/>
    </row>
    <row r="11119" spans="20:20" x14ac:dyDescent="0.25">
      <c r="T11119" s="98"/>
    </row>
    <row r="11120" spans="20:20" x14ac:dyDescent="0.25">
      <c r="T11120" s="98"/>
    </row>
    <row r="11121" spans="20:20" x14ac:dyDescent="0.25">
      <c r="T11121" s="98"/>
    </row>
    <row r="11122" spans="20:20" x14ac:dyDescent="0.25">
      <c r="T11122" s="98"/>
    </row>
    <row r="11123" spans="20:20" x14ac:dyDescent="0.25">
      <c r="T11123" s="98"/>
    </row>
    <row r="11124" spans="20:20" x14ac:dyDescent="0.25">
      <c r="T11124" s="98"/>
    </row>
    <row r="11125" spans="20:20" x14ac:dyDescent="0.25">
      <c r="T11125" s="98"/>
    </row>
    <row r="11126" spans="20:20" x14ac:dyDescent="0.25">
      <c r="T11126" s="98"/>
    </row>
    <row r="11127" spans="20:20" x14ac:dyDescent="0.25">
      <c r="T11127" s="98"/>
    </row>
    <row r="11128" spans="20:20" x14ac:dyDescent="0.25">
      <c r="T11128" s="98"/>
    </row>
    <row r="11129" spans="20:20" x14ac:dyDescent="0.25">
      <c r="T11129" s="98"/>
    </row>
    <row r="11130" spans="20:20" x14ac:dyDescent="0.25">
      <c r="T11130" s="98"/>
    </row>
    <row r="11131" spans="20:20" x14ac:dyDescent="0.25">
      <c r="T11131" s="98"/>
    </row>
    <row r="11132" spans="20:20" x14ac:dyDescent="0.25">
      <c r="T11132" s="98"/>
    </row>
    <row r="11133" spans="20:20" x14ac:dyDescent="0.25">
      <c r="T11133" s="98"/>
    </row>
    <row r="11134" spans="20:20" x14ac:dyDescent="0.25">
      <c r="T11134" s="98"/>
    </row>
    <row r="11135" spans="20:20" x14ac:dyDescent="0.25">
      <c r="T11135" s="98"/>
    </row>
    <row r="11136" spans="20:20" x14ac:dyDescent="0.25">
      <c r="T11136" s="98"/>
    </row>
    <row r="11137" spans="20:20" x14ac:dyDescent="0.25">
      <c r="T11137" s="98"/>
    </row>
    <row r="11138" spans="20:20" x14ac:dyDescent="0.25">
      <c r="T11138" s="98"/>
    </row>
    <row r="11139" spans="20:20" x14ac:dyDescent="0.25">
      <c r="T11139" s="98"/>
    </row>
    <row r="11140" spans="20:20" x14ac:dyDescent="0.25">
      <c r="T11140" s="98"/>
    </row>
    <row r="11141" spans="20:20" x14ac:dyDescent="0.25">
      <c r="T11141" s="98"/>
    </row>
    <row r="11142" spans="20:20" x14ac:dyDescent="0.25">
      <c r="T11142" s="98"/>
    </row>
    <row r="11143" spans="20:20" x14ac:dyDescent="0.25">
      <c r="T11143" s="98"/>
    </row>
    <row r="11144" spans="20:20" x14ac:dyDescent="0.25">
      <c r="T11144" s="98"/>
    </row>
    <row r="11145" spans="20:20" x14ac:dyDescent="0.25">
      <c r="T11145" s="98"/>
    </row>
    <row r="11146" spans="20:20" x14ac:dyDescent="0.25">
      <c r="T11146" s="98"/>
    </row>
    <row r="11147" spans="20:20" x14ac:dyDescent="0.25">
      <c r="T11147" s="98"/>
    </row>
    <row r="11148" spans="20:20" x14ac:dyDescent="0.25">
      <c r="T11148" s="98"/>
    </row>
    <row r="11149" spans="20:20" x14ac:dyDescent="0.25">
      <c r="T11149" s="98"/>
    </row>
    <row r="11150" spans="20:20" x14ac:dyDescent="0.25">
      <c r="T11150" s="98"/>
    </row>
    <row r="11151" spans="20:20" x14ac:dyDescent="0.25">
      <c r="T11151" s="98"/>
    </row>
    <row r="11152" spans="20:20" x14ac:dyDescent="0.25">
      <c r="T11152" s="98"/>
    </row>
    <row r="11153" spans="20:20" x14ac:dyDescent="0.25">
      <c r="T11153" s="98"/>
    </row>
    <row r="11154" spans="20:20" x14ac:dyDescent="0.25">
      <c r="T11154" s="98"/>
    </row>
    <row r="11155" spans="20:20" x14ac:dyDescent="0.25">
      <c r="T11155" s="98"/>
    </row>
    <row r="11156" spans="20:20" x14ac:dyDescent="0.25">
      <c r="T11156" s="98"/>
    </row>
    <row r="11157" spans="20:20" x14ac:dyDescent="0.25">
      <c r="T11157" s="98"/>
    </row>
    <row r="11158" spans="20:20" x14ac:dyDescent="0.25">
      <c r="T11158" s="98"/>
    </row>
    <row r="11159" spans="20:20" x14ac:dyDescent="0.25">
      <c r="T11159" s="98"/>
    </row>
    <row r="11160" spans="20:20" x14ac:dyDescent="0.25">
      <c r="T11160" s="98"/>
    </row>
    <row r="11161" spans="20:20" x14ac:dyDescent="0.25">
      <c r="T11161" s="98"/>
    </row>
    <row r="11162" spans="20:20" x14ac:dyDescent="0.25">
      <c r="T11162" s="98"/>
    </row>
    <row r="11163" spans="20:20" x14ac:dyDescent="0.25">
      <c r="T11163" s="98"/>
    </row>
    <row r="11164" spans="20:20" x14ac:dyDescent="0.25">
      <c r="T11164" s="98"/>
    </row>
    <row r="11165" spans="20:20" x14ac:dyDescent="0.25">
      <c r="T11165" s="98"/>
    </row>
    <row r="11166" spans="20:20" x14ac:dyDescent="0.25">
      <c r="T11166" s="98"/>
    </row>
    <row r="11167" spans="20:20" x14ac:dyDescent="0.25">
      <c r="T11167" s="98"/>
    </row>
    <row r="11168" spans="20:20" x14ac:dyDescent="0.25">
      <c r="T11168" s="98"/>
    </row>
    <row r="11169" spans="20:20" x14ac:dyDescent="0.25">
      <c r="T11169" s="98"/>
    </row>
    <row r="11170" spans="20:20" x14ac:dyDescent="0.25">
      <c r="T11170" s="98"/>
    </row>
    <row r="11171" spans="20:20" x14ac:dyDescent="0.25">
      <c r="T11171" s="98"/>
    </row>
    <row r="11172" spans="20:20" x14ac:dyDescent="0.25">
      <c r="T11172" s="98"/>
    </row>
    <row r="11173" spans="20:20" x14ac:dyDescent="0.25">
      <c r="T11173" s="98"/>
    </row>
    <row r="11174" spans="20:20" x14ac:dyDescent="0.25">
      <c r="T11174" s="98"/>
    </row>
    <row r="11175" spans="20:20" x14ac:dyDescent="0.25">
      <c r="T11175" s="98"/>
    </row>
    <row r="11176" spans="20:20" x14ac:dyDescent="0.25">
      <c r="T11176" s="98"/>
    </row>
    <row r="11177" spans="20:20" x14ac:dyDescent="0.25">
      <c r="T11177" s="98"/>
    </row>
    <row r="11178" spans="20:20" x14ac:dyDescent="0.25">
      <c r="T11178" s="98"/>
    </row>
    <row r="11179" spans="20:20" x14ac:dyDescent="0.25">
      <c r="T11179" s="98"/>
    </row>
    <row r="11180" spans="20:20" x14ac:dyDescent="0.25">
      <c r="T11180" s="98"/>
    </row>
    <row r="11181" spans="20:20" x14ac:dyDescent="0.25">
      <c r="T11181" s="98"/>
    </row>
    <row r="11182" spans="20:20" x14ac:dyDescent="0.25">
      <c r="T11182" s="98"/>
    </row>
    <row r="11183" spans="20:20" x14ac:dyDescent="0.25">
      <c r="T11183" s="98"/>
    </row>
    <row r="11184" spans="20:20" x14ac:dyDescent="0.25">
      <c r="T11184" s="98"/>
    </row>
    <row r="11185" spans="20:20" x14ac:dyDescent="0.25">
      <c r="T11185" s="98"/>
    </row>
    <row r="11186" spans="20:20" x14ac:dyDescent="0.25">
      <c r="T11186" s="98"/>
    </row>
    <row r="11187" spans="20:20" x14ac:dyDescent="0.25">
      <c r="T11187" s="98"/>
    </row>
    <row r="11188" spans="20:20" x14ac:dyDescent="0.25">
      <c r="T11188" s="98"/>
    </row>
    <row r="11189" spans="20:20" x14ac:dyDescent="0.25">
      <c r="T11189" s="98"/>
    </row>
    <row r="11190" spans="20:20" x14ac:dyDescent="0.25">
      <c r="T11190" s="98"/>
    </row>
    <row r="11191" spans="20:20" x14ac:dyDescent="0.25">
      <c r="T11191" s="98"/>
    </row>
    <row r="11192" spans="20:20" x14ac:dyDescent="0.25">
      <c r="T11192" s="98"/>
    </row>
    <row r="11193" spans="20:20" x14ac:dyDescent="0.25">
      <c r="T11193" s="98"/>
    </row>
    <row r="11194" spans="20:20" x14ac:dyDescent="0.25">
      <c r="T11194" s="98"/>
    </row>
    <row r="11195" spans="20:20" x14ac:dyDescent="0.25">
      <c r="T11195" s="98"/>
    </row>
    <row r="11196" spans="20:20" x14ac:dyDescent="0.25">
      <c r="T11196" s="98"/>
    </row>
    <row r="11197" spans="20:20" x14ac:dyDescent="0.25">
      <c r="T11197" s="98"/>
    </row>
    <row r="11198" spans="20:20" x14ac:dyDescent="0.25">
      <c r="T11198" s="98"/>
    </row>
    <row r="11199" spans="20:20" x14ac:dyDescent="0.25">
      <c r="T11199" s="98"/>
    </row>
    <row r="11200" spans="20:20" x14ac:dyDescent="0.25">
      <c r="T11200" s="98"/>
    </row>
    <row r="11201" spans="20:20" x14ac:dyDescent="0.25">
      <c r="T11201" s="98"/>
    </row>
    <row r="11202" spans="20:20" x14ac:dyDescent="0.25">
      <c r="T11202" s="98"/>
    </row>
    <row r="11203" spans="20:20" x14ac:dyDescent="0.25">
      <c r="T11203" s="98"/>
    </row>
    <row r="11204" spans="20:20" x14ac:dyDescent="0.25">
      <c r="T11204" s="98"/>
    </row>
    <row r="11205" spans="20:20" x14ac:dyDescent="0.25">
      <c r="T11205" s="98"/>
    </row>
    <row r="11206" spans="20:20" x14ac:dyDescent="0.25">
      <c r="T11206" s="98"/>
    </row>
    <row r="11207" spans="20:20" x14ac:dyDescent="0.25">
      <c r="T11207" s="98"/>
    </row>
    <row r="11208" spans="20:20" x14ac:dyDescent="0.25">
      <c r="T11208" s="98"/>
    </row>
    <row r="11209" spans="20:20" x14ac:dyDescent="0.25">
      <c r="T11209" s="98"/>
    </row>
    <row r="11210" spans="20:20" x14ac:dyDescent="0.25">
      <c r="T11210" s="98"/>
    </row>
    <row r="11211" spans="20:20" x14ac:dyDescent="0.25">
      <c r="T11211" s="98"/>
    </row>
    <row r="11212" spans="20:20" x14ac:dyDescent="0.25">
      <c r="T11212" s="98"/>
    </row>
    <row r="11213" spans="20:20" x14ac:dyDescent="0.25">
      <c r="T11213" s="98"/>
    </row>
    <row r="11214" spans="20:20" x14ac:dyDescent="0.25">
      <c r="T11214" s="98"/>
    </row>
    <row r="11215" spans="20:20" x14ac:dyDescent="0.25">
      <c r="T11215" s="98"/>
    </row>
    <row r="11216" spans="20:20" x14ac:dyDescent="0.25">
      <c r="T11216" s="98"/>
    </row>
    <row r="11217" spans="20:20" x14ac:dyDescent="0.25">
      <c r="T11217" s="98"/>
    </row>
    <row r="11218" spans="20:20" x14ac:dyDescent="0.25">
      <c r="T11218" s="98"/>
    </row>
    <row r="11219" spans="20:20" x14ac:dyDescent="0.25">
      <c r="T11219" s="98"/>
    </row>
    <row r="11220" spans="20:20" x14ac:dyDescent="0.25">
      <c r="T11220" s="98"/>
    </row>
    <row r="11221" spans="20:20" x14ac:dyDescent="0.25">
      <c r="T11221" s="98"/>
    </row>
    <row r="11222" spans="20:20" x14ac:dyDescent="0.25">
      <c r="T11222" s="98"/>
    </row>
    <row r="11223" spans="20:20" x14ac:dyDescent="0.25">
      <c r="T11223" s="98"/>
    </row>
    <row r="11224" spans="20:20" x14ac:dyDescent="0.25">
      <c r="T11224" s="98"/>
    </row>
    <row r="11225" spans="20:20" x14ac:dyDescent="0.25">
      <c r="T11225" s="98"/>
    </row>
    <row r="11226" spans="20:20" x14ac:dyDescent="0.25">
      <c r="T11226" s="98"/>
    </row>
    <row r="11227" spans="20:20" x14ac:dyDescent="0.25">
      <c r="T11227" s="98"/>
    </row>
    <row r="11228" spans="20:20" x14ac:dyDescent="0.25">
      <c r="T11228" s="98"/>
    </row>
    <row r="11229" spans="20:20" x14ac:dyDescent="0.25">
      <c r="T11229" s="98"/>
    </row>
    <row r="11230" spans="20:20" x14ac:dyDescent="0.25">
      <c r="T11230" s="98"/>
    </row>
    <row r="11231" spans="20:20" x14ac:dyDescent="0.25">
      <c r="T11231" s="98"/>
    </row>
    <row r="11232" spans="20:20" x14ac:dyDescent="0.25">
      <c r="T11232" s="98"/>
    </row>
    <row r="11233" spans="20:20" x14ac:dyDescent="0.25">
      <c r="T11233" s="98"/>
    </row>
    <row r="11234" spans="20:20" x14ac:dyDescent="0.25">
      <c r="T11234" s="98"/>
    </row>
    <row r="11235" spans="20:20" x14ac:dyDescent="0.25">
      <c r="T11235" s="98"/>
    </row>
    <row r="11236" spans="20:20" x14ac:dyDescent="0.25">
      <c r="T11236" s="98"/>
    </row>
    <row r="11237" spans="20:20" x14ac:dyDescent="0.25">
      <c r="T11237" s="98"/>
    </row>
    <row r="11238" spans="20:20" x14ac:dyDescent="0.25">
      <c r="T11238" s="98"/>
    </row>
    <row r="11239" spans="20:20" x14ac:dyDescent="0.25">
      <c r="T11239" s="98"/>
    </row>
    <row r="11240" spans="20:20" x14ac:dyDescent="0.25">
      <c r="T11240" s="98"/>
    </row>
    <row r="11241" spans="20:20" x14ac:dyDescent="0.25">
      <c r="T11241" s="98"/>
    </row>
    <row r="11242" spans="20:20" x14ac:dyDescent="0.25">
      <c r="T11242" s="98"/>
    </row>
    <row r="11243" spans="20:20" x14ac:dyDescent="0.25">
      <c r="T11243" s="98"/>
    </row>
    <row r="11244" spans="20:20" x14ac:dyDescent="0.25">
      <c r="T11244" s="98"/>
    </row>
    <row r="11245" spans="20:20" x14ac:dyDescent="0.25">
      <c r="T11245" s="98"/>
    </row>
    <row r="11246" spans="20:20" x14ac:dyDescent="0.25">
      <c r="T11246" s="98"/>
    </row>
    <row r="11247" spans="20:20" x14ac:dyDescent="0.25">
      <c r="T11247" s="98"/>
    </row>
    <row r="11248" spans="20:20" x14ac:dyDescent="0.25">
      <c r="T11248" s="98"/>
    </row>
    <row r="11249" spans="20:20" x14ac:dyDescent="0.25">
      <c r="T11249" s="98"/>
    </row>
    <row r="11250" spans="20:20" x14ac:dyDescent="0.25">
      <c r="T11250" s="98"/>
    </row>
    <row r="11251" spans="20:20" x14ac:dyDescent="0.25">
      <c r="T11251" s="98"/>
    </row>
    <row r="11252" spans="20:20" x14ac:dyDescent="0.25">
      <c r="T11252" s="98"/>
    </row>
    <row r="11253" spans="20:20" x14ac:dyDescent="0.25">
      <c r="T11253" s="98"/>
    </row>
    <row r="11254" spans="20:20" x14ac:dyDescent="0.25">
      <c r="T11254" s="98"/>
    </row>
    <row r="11255" spans="20:20" x14ac:dyDescent="0.25">
      <c r="T11255" s="98"/>
    </row>
    <row r="11256" spans="20:20" x14ac:dyDescent="0.25">
      <c r="T11256" s="98"/>
    </row>
    <row r="11257" spans="20:20" x14ac:dyDescent="0.25">
      <c r="T11257" s="98"/>
    </row>
    <row r="11258" spans="20:20" x14ac:dyDescent="0.25">
      <c r="T11258" s="98"/>
    </row>
    <row r="11259" spans="20:20" x14ac:dyDescent="0.25">
      <c r="T11259" s="98"/>
    </row>
    <row r="11260" spans="20:20" x14ac:dyDescent="0.25">
      <c r="T11260" s="98"/>
    </row>
    <row r="11261" spans="20:20" x14ac:dyDescent="0.25">
      <c r="T11261" s="98"/>
    </row>
    <row r="11262" spans="20:20" x14ac:dyDescent="0.25">
      <c r="T11262" s="98"/>
    </row>
    <row r="11263" spans="20:20" x14ac:dyDescent="0.25">
      <c r="T11263" s="98"/>
    </row>
    <row r="11264" spans="20:20" x14ac:dyDescent="0.25">
      <c r="T11264" s="98"/>
    </row>
    <row r="11265" spans="20:20" x14ac:dyDescent="0.25">
      <c r="T11265" s="98"/>
    </row>
    <row r="11266" spans="20:20" x14ac:dyDescent="0.25">
      <c r="T11266" s="98"/>
    </row>
    <row r="11267" spans="20:20" x14ac:dyDescent="0.25">
      <c r="T11267" s="98"/>
    </row>
    <row r="11268" spans="20:20" x14ac:dyDescent="0.25">
      <c r="T11268" s="98"/>
    </row>
    <row r="11269" spans="20:20" x14ac:dyDescent="0.25">
      <c r="T11269" s="98"/>
    </row>
    <row r="11270" spans="20:20" x14ac:dyDescent="0.25">
      <c r="T11270" s="98"/>
    </row>
    <row r="11271" spans="20:20" x14ac:dyDescent="0.25">
      <c r="T11271" s="98"/>
    </row>
    <row r="11272" spans="20:20" x14ac:dyDescent="0.25">
      <c r="T11272" s="98"/>
    </row>
    <row r="11273" spans="20:20" x14ac:dyDescent="0.25">
      <c r="T11273" s="98"/>
    </row>
    <row r="11274" spans="20:20" x14ac:dyDescent="0.25">
      <c r="T11274" s="98"/>
    </row>
    <row r="11275" spans="20:20" x14ac:dyDescent="0.25">
      <c r="T11275" s="98"/>
    </row>
    <row r="11276" spans="20:20" x14ac:dyDescent="0.25">
      <c r="T11276" s="98"/>
    </row>
    <row r="11277" spans="20:20" x14ac:dyDescent="0.25">
      <c r="T11277" s="98"/>
    </row>
    <row r="11278" spans="20:20" x14ac:dyDescent="0.25">
      <c r="T11278" s="98"/>
    </row>
    <row r="11279" spans="20:20" x14ac:dyDescent="0.25">
      <c r="T11279" s="98"/>
    </row>
    <row r="11280" spans="20:20" x14ac:dyDescent="0.25">
      <c r="T11280" s="98"/>
    </row>
    <row r="11281" spans="20:20" x14ac:dyDescent="0.25">
      <c r="T11281" s="98"/>
    </row>
    <row r="11282" spans="20:20" x14ac:dyDescent="0.25">
      <c r="T11282" s="98"/>
    </row>
    <row r="11283" spans="20:20" x14ac:dyDescent="0.25">
      <c r="T11283" s="98"/>
    </row>
    <row r="11284" spans="20:20" x14ac:dyDescent="0.25">
      <c r="T11284" s="98"/>
    </row>
    <row r="11285" spans="20:20" x14ac:dyDescent="0.25">
      <c r="T11285" s="98"/>
    </row>
    <row r="11286" spans="20:20" x14ac:dyDescent="0.25">
      <c r="T11286" s="98"/>
    </row>
    <row r="11287" spans="20:20" x14ac:dyDescent="0.25">
      <c r="T11287" s="98"/>
    </row>
    <row r="11288" spans="20:20" x14ac:dyDescent="0.25">
      <c r="T11288" s="98"/>
    </row>
    <row r="11289" spans="20:20" x14ac:dyDescent="0.25">
      <c r="T11289" s="98"/>
    </row>
    <row r="11290" spans="20:20" x14ac:dyDescent="0.25">
      <c r="T11290" s="98"/>
    </row>
    <row r="11291" spans="20:20" x14ac:dyDescent="0.25">
      <c r="T11291" s="98"/>
    </row>
    <row r="11292" spans="20:20" x14ac:dyDescent="0.25">
      <c r="T11292" s="98"/>
    </row>
    <row r="11293" spans="20:20" x14ac:dyDescent="0.25">
      <c r="T11293" s="98"/>
    </row>
    <row r="11294" spans="20:20" x14ac:dyDescent="0.25">
      <c r="T11294" s="98"/>
    </row>
    <row r="11295" spans="20:20" x14ac:dyDescent="0.25">
      <c r="T11295" s="98"/>
    </row>
    <row r="11296" spans="20:20" x14ac:dyDescent="0.25">
      <c r="T11296" s="98"/>
    </row>
    <row r="11297" spans="20:20" x14ac:dyDescent="0.25">
      <c r="T11297" s="98"/>
    </row>
    <row r="11298" spans="20:20" x14ac:dyDescent="0.25">
      <c r="T11298" s="98"/>
    </row>
    <row r="11299" spans="20:20" x14ac:dyDescent="0.25">
      <c r="T11299" s="98"/>
    </row>
    <row r="11300" spans="20:20" x14ac:dyDescent="0.25">
      <c r="T11300" s="98"/>
    </row>
    <row r="11301" spans="20:20" x14ac:dyDescent="0.25">
      <c r="T11301" s="98"/>
    </row>
    <row r="11302" spans="20:20" x14ac:dyDescent="0.25">
      <c r="T11302" s="98"/>
    </row>
    <row r="11303" spans="20:20" x14ac:dyDescent="0.25">
      <c r="T11303" s="98"/>
    </row>
    <row r="11304" spans="20:20" x14ac:dyDescent="0.25">
      <c r="T11304" s="98"/>
    </row>
    <row r="11305" spans="20:20" x14ac:dyDescent="0.25">
      <c r="T11305" s="98"/>
    </row>
    <row r="11306" spans="20:20" x14ac:dyDescent="0.25">
      <c r="T11306" s="98"/>
    </row>
    <row r="11307" spans="20:20" x14ac:dyDescent="0.25">
      <c r="T11307" s="98"/>
    </row>
    <row r="11308" spans="20:20" x14ac:dyDescent="0.25">
      <c r="T11308" s="98"/>
    </row>
    <row r="11309" spans="20:20" x14ac:dyDescent="0.25">
      <c r="T11309" s="98"/>
    </row>
    <row r="11310" spans="20:20" x14ac:dyDescent="0.25">
      <c r="T11310" s="98"/>
    </row>
    <row r="11311" spans="20:20" x14ac:dyDescent="0.25">
      <c r="T11311" s="98"/>
    </row>
    <row r="11312" spans="20:20" x14ac:dyDescent="0.25">
      <c r="T11312" s="98"/>
    </row>
    <row r="11313" spans="20:20" x14ac:dyDescent="0.25">
      <c r="T11313" s="98"/>
    </row>
    <row r="11314" spans="20:20" x14ac:dyDescent="0.25">
      <c r="T11314" s="98"/>
    </row>
    <row r="11315" spans="20:20" x14ac:dyDescent="0.25">
      <c r="T11315" s="98"/>
    </row>
    <row r="11316" spans="20:20" x14ac:dyDescent="0.25">
      <c r="T11316" s="98"/>
    </row>
    <row r="11317" spans="20:20" x14ac:dyDescent="0.25">
      <c r="T11317" s="98"/>
    </row>
    <row r="11318" spans="20:20" x14ac:dyDescent="0.25">
      <c r="T11318" s="98"/>
    </row>
    <row r="11319" spans="20:20" x14ac:dyDescent="0.25">
      <c r="T11319" s="98"/>
    </row>
    <row r="11320" spans="20:20" x14ac:dyDescent="0.25">
      <c r="T11320" s="98"/>
    </row>
    <row r="11321" spans="20:20" x14ac:dyDescent="0.25">
      <c r="T11321" s="98"/>
    </row>
    <row r="11322" spans="20:20" x14ac:dyDescent="0.25">
      <c r="T11322" s="98"/>
    </row>
    <row r="11323" spans="20:20" x14ac:dyDescent="0.25">
      <c r="T11323" s="98"/>
    </row>
    <row r="11324" spans="20:20" x14ac:dyDescent="0.25">
      <c r="T11324" s="98"/>
    </row>
    <row r="11325" spans="20:20" x14ac:dyDescent="0.25">
      <c r="T11325" s="98"/>
    </row>
    <row r="11326" spans="20:20" x14ac:dyDescent="0.25">
      <c r="T11326" s="98"/>
    </row>
    <row r="11327" spans="20:20" x14ac:dyDescent="0.25">
      <c r="T11327" s="98"/>
    </row>
    <row r="11328" spans="20:20" x14ac:dyDescent="0.25">
      <c r="T11328" s="98"/>
    </row>
    <row r="11329" spans="20:20" x14ac:dyDescent="0.25">
      <c r="T11329" s="98"/>
    </row>
    <row r="11330" spans="20:20" x14ac:dyDescent="0.25">
      <c r="T11330" s="98"/>
    </row>
    <row r="11331" spans="20:20" x14ac:dyDescent="0.25">
      <c r="T11331" s="98"/>
    </row>
    <row r="11332" spans="20:20" x14ac:dyDescent="0.25">
      <c r="T11332" s="98"/>
    </row>
    <row r="11333" spans="20:20" x14ac:dyDescent="0.25">
      <c r="T11333" s="98"/>
    </row>
    <row r="11334" spans="20:20" x14ac:dyDescent="0.25">
      <c r="T11334" s="98"/>
    </row>
    <row r="11335" spans="20:20" x14ac:dyDescent="0.25">
      <c r="T11335" s="98"/>
    </row>
    <row r="11336" spans="20:20" x14ac:dyDescent="0.25">
      <c r="T11336" s="98"/>
    </row>
    <row r="11337" spans="20:20" x14ac:dyDescent="0.25">
      <c r="T11337" s="98"/>
    </row>
    <row r="11338" spans="20:20" x14ac:dyDescent="0.25">
      <c r="T11338" s="98"/>
    </row>
    <row r="11339" spans="20:20" x14ac:dyDescent="0.25">
      <c r="T11339" s="98"/>
    </row>
    <row r="11340" spans="20:20" x14ac:dyDescent="0.25">
      <c r="T11340" s="98"/>
    </row>
    <row r="11341" spans="20:20" x14ac:dyDescent="0.25">
      <c r="T11341" s="98"/>
    </row>
    <row r="11342" spans="20:20" x14ac:dyDescent="0.25">
      <c r="T11342" s="98"/>
    </row>
    <row r="11343" spans="20:20" x14ac:dyDescent="0.25">
      <c r="T11343" s="98"/>
    </row>
    <row r="11344" spans="20:20" x14ac:dyDescent="0.25">
      <c r="T11344" s="98"/>
    </row>
    <row r="11345" spans="20:20" x14ac:dyDescent="0.25">
      <c r="T11345" s="98"/>
    </row>
    <row r="11346" spans="20:20" x14ac:dyDescent="0.25">
      <c r="T11346" s="98"/>
    </row>
    <row r="11347" spans="20:20" x14ac:dyDescent="0.25">
      <c r="T11347" s="98"/>
    </row>
    <row r="11348" spans="20:20" x14ac:dyDescent="0.25">
      <c r="T11348" s="98"/>
    </row>
    <row r="11349" spans="20:20" x14ac:dyDescent="0.25">
      <c r="T11349" s="98"/>
    </row>
    <row r="11350" spans="20:20" x14ac:dyDescent="0.25">
      <c r="T11350" s="98"/>
    </row>
    <row r="11351" spans="20:20" x14ac:dyDescent="0.25">
      <c r="T11351" s="98"/>
    </row>
    <row r="11352" spans="20:20" x14ac:dyDescent="0.25">
      <c r="T11352" s="98"/>
    </row>
    <row r="11353" spans="20:20" x14ac:dyDescent="0.25">
      <c r="T11353" s="98"/>
    </row>
    <row r="11354" spans="20:20" x14ac:dyDescent="0.25">
      <c r="T11354" s="98"/>
    </row>
    <row r="11355" spans="20:20" x14ac:dyDescent="0.25">
      <c r="T11355" s="98"/>
    </row>
    <row r="11356" spans="20:20" x14ac:dyDescent="0.25">
      <c r="T11356" s="98"/>
    </row>
    <row r="11357" spans="20:20" x14ac:dyDescent="0.25">
      <c r="T11357" s="98"/>
    </row>
    <row r="11358" spans="20:20" x14ac:dyDescent="0.25">
      <c r="T11358" s="98"/>
    </row>
    <row r="11359" spans="20:20" x14ac:dyDescent="0.25">
      <c r="T11359" s="98"/>
    </row>
    <row r="11360" spans="20:20" x14ac:dyDescent="0.25">
      <c r="T11360" s="98"/>
    </row>
    <row r="11361" spans="20:20" x14ac:dyDescent="0.25">
      <c r="T11361" s="98"/>
    </row>
    <row r="11362" spans="20:20" x14ac:dyDescent="0.25">
      <c r="T11362" s="98"/>
    </row>
    <row r="11363" spans="20:20" x14ac:dyDescent="0.25">
      <c r="T11363" s="98"/>
    </row>
    <row r="11364" spans="20:20" x14ac:dyDescent="0.25">
      <c r="T11364" s="98"/>
    </row>
    <row r="11365" spans="20:20" x14ac:dyDescent="0.25">
      <c r="T11365" s="98"/>
    </row>
    <row r="11366" spans="20:20" x14ac:dyDescent="0.25">
      <c r="T11366" s="98"/>
    </row>
    <row r="11367" spans="20:20" x14ac:dyDescent="0.25">
      <c r="T11367" s="98"/>
    </row>
    <row r="11368" spans="20:20" x14ac:dyDescent="0.25">
      <c r="T11368" s="98"/>
    </row>
    <row r="11369" spans="20:20" x14ac:dyDescent="0.25">
      <c r="T11369" s="98"/>
    </row>
    <row r="11370" spans="20:20" x14ac:dyDescent="0.25">
      <c r="T11370" s="98"/>
    </row>
    <row r="11371" spans="20:20" x14ac:dyDescent="0.25">
      <c r="T11371" s="98"/>
    </row>
    <row r="11372" spans="20:20" x14ac:dyDescent="0.25">
      <c r="T11372" s="98"/>
    </row>
    <row r="11373" spans="20:20" x14ac:dyDescent="0.25">
      <c r="T11373" s="98"/>
    </row>
    <row r="11374" spans="20:20" x14ac:dyDescent="0.25">
      <c r="T11374" s="98"/>
    </row>
    <row r="11375" spans="20:20" x14ac:dyDescent="0.25">
      <c r="T11375" s="98"/>
    </row>
    <row r="11376" spans="20:20" x14ac:dyDescent="0.25">
      <c r="T11376" s="98"/>
    </row>
    <row r="11377" spans="20:20" x14ac:dyDescent="0.25">
      <c r="T11377" s="98"/>
    </row>
    <row r="11378" spans="20:20" x14ac:dyDescent="0.25">
      <c r="T11378" s="98"/>
    </row>
    <row r="11379" spans="20:20" x14ac:dyDescent="0.25">
      <c r="T11379" s="98"/>
    </row>
    <row r="11380" spans="20:20" x14ac:dyDescent="0.25">
      <c r="T11380" s="98"/>
    </row>
    <row r="11381" spans="20:20" x14ac:dyDescent="0.25">
      <c r="T11381" s="98"/>
    </row>
    <row r="11382" spans="20:20" x14ac:dyDescent="0.25">
      <c r="T11382" s="98"/>
    </row>
    <row r="11383" spans="20:20" x14ac:dyDescent="0.25">
      <c r="T11383" s="98"/>
    </row>
    <row r="11384" spans="20:20" x14ac:dyDescent="0.25">
      <c r="T11384" s="98"/>
    </row>
    <row r="11385" spans="20:20" x14ac:dyDescent="0.25">
      <c r="T11385" s="98"/>
    </row>
    <row r="11386" spans="20:20" x14ac:dyDescent="0.25">
      <c r="T11386" s="98"/>
    </row>
    <row r="11387" spans="20:20" x14ac:dyDescent="0.25">
      <c r="T11387" s="98"/>
    </row>
    <row r="11388" spans="20:20" x14ac:dyDescent="0.25">
      <c r="T11388" s="98"/>
    </row>
    <row r="11389" spans="20:20" x14ac:dyDescent="0.25">
      <c r="T11389" s="98"/>
    </row>
    <row r="11390" spans="20:20" x14ac:dyDescent="0.25">
      <c r="T11390" s="98"/>
    </row>
    <row r="11391" spans="20:20" x14ac:dyDescent="0.25">
      <c r="T11391" s="98"/>
    </row>
    <row r="11392" spans="20:20" x14ac:dyDescent="0.25">
      <c r="T11392" s="98"/>
    </row>
    <row r="11393" spans="20:20" x14ac:dyDescent="0.25">
      <c r="T11393" s="98"/>
    </row>
    <row r="11394" spans="20:20" x14ac:dyDescent="0.25">
      <c r="T11394" s="98"/>
    </row>
    <row r="11395" spans="20:20" x14ac:dyDescent="0.25">
      <c r="T11395" s="98"/>
    </row>
    <row r="11396" spans="20:20" x14ac:dyDescent="0.25">
      <c r="T11396" s="98"/>
    </row>
    <row r="11397" spans="20:20" x14ac:dyDescent="0.25">
      <c r="T11397" s="98"/>
    </row>
    <row r="11398" spans="20:20" x14ac:dyDescent="0.25">
      <c r="T11398" s="98"/>
    </row>
    <row r="11399" spans="20:20" x14ac:dyDescent="0.25">
      <c r="T11399" s="98"/>
    </row>
    <row r="11400" spans="20:20" x14ac:dyDescent="0.25">
      <c r="T11400" s="98"/>
    </row>
    <row r="11401" spans="20:20" x14ac:dyDescent="0.25">
      <c r="T11401" s="98"/>
    </row>
    <row r="11402" spans="20:20" x14ac:dyDescent="0.25">
      <c r="T11402" s="98"/>
    </row>
    <row r="11403" spans="20:20" x14ac:dyDescent="0.25">
      <c r="T11403" s="98"/>
    </row>
    <row r="11404" spans="20:20" x14ac:dyDescent="0.25">
      <c r="T11404" s="98"/>
    </row>
    <row r="11405" spans="20:20" x14ac:dyDescent="0.25">
      <c r="T11405" s="98"/>
    </row>
    <row r="11406" spans="20:20" x14ac:dyDescent="0.25">
      <c r="T11406" s="98"/>
    </row>
    <row r="11407" spans="20:20" x14ac:dyDescent="0.25">
      <c r="T11407" s="98"/>
    </row>
    <row r="11408" spans="20:20" x14ac:dyDescent="0.25">
      <c r="T11408" s="98"/>
    </row>
    <row r="11409" spans="20:20" x14ac:dyDescent="0.25">
      <c r="T11409" s="98"/>
    </row>
    <row r="11410" spans="20:20" x14ac:dyDescent="0.25">
      <c r="T11410" s="98"/>
    </row>
    <row r="11411" spans="20:20" x14ac:dyDescent="0.25">
      <c r="T11411" s="98"/>
    </row>
    <row r="11412" spans="20:20" x14ac:dyDescent="0.25">
      <c r="T11412" s="98"/>
    </row>
    <row r="11413" spans="20:20" x14ac:dyDescent="0.25">
      <c r="T11413" s="98"/>
    </row>
    <row r="11414" spans="20:20" x14ac:dyDescent="0.25">
      <c r="T11414" s="98"/>
    </row>
    <row r="11415" spans="20:20" x14ac:dyDescent="0.25">
      <c r="T11415" s="98"/>
    </row>
    <row r="11416" spans="20:20" x14ac:dyDescent="0.25">
      <c r="T11416" s="98"/>
    </row>
    <row r="11417" spans="20:20" x14ac:dyDescent="0.25">
      <c r="T11417" s="98"/>
    </row>
    <row r="11418" spans="20:20" x14ac:dyDescent="0.25">
      <c r="T11418" s="98"/>
    </row>
    <row r="11419" spans="20:20" x14ac:dyDescent="0.25">
      <c r="T11419" s="98"/>
    </row>
    <row r="11420" spans="20:20" x14ac:dyDescent="0.25">
      <c r="T11420" s="98"/>
    </row>
    <row r="11421" spans="20:20" x14ac:dyDescent="0.25">
      <c r="T11421" s="98"/>
    </row>
    <row r="11422" spans="20:20" x14ac:dyDescent="0.25">
      <c r="T11422" s="98"/>
    </row>
    <row r="11423" spans="20:20" x14ac:dyDescent="0.25">
      <c r="T11423" s="98"/>
    </row>
    <row r="11424" spans="20:20" x14ac:dyDescent="0.25">
      <c r="T11424" s="98"/>
    </row>
    <row r="11425" spans="20:20" x14ac:dyDescent="0.25">
      <c r="T11425" s="98"/>
    </row>
    <row r="11426" spans="20:20" x14ac:dyDescent="0.25">
      <c r="T11426" s="98"/>
    </row>
    <row r="11427" spans="20:20" x14ac:dyDescent="0.25">
      <c r="T11427" s="98"/>
    </row>
    <row r="11428" spans="20:20" x14ac:dyDescent="0.25">
      <c r="T11428" s="98"/>
    </row>
    <row r="11429" spans="20:20" x14ac:dyDescent="0.25">
      <c r="T11429" s="98"/>
    </row>
    <row r="11430" spans="20:20" x14ac:dyDescent="0.25">
      <c r="T11430" s="98"/>
    </row>
    <row r="11431" spans="20:20" x14ac:dyDescent="0.25">
      <c r="T11431" s="98"/>
    </row>
    <row r="11432" spans="20:20" x14ac:dyDescent="0.25">
      <c r="T11432" s="98"/>
    </row>
    <row r="11433" spans="20:20" x14ac:dyDescent="0.25">
      <c r="T11433" s="98"/>
    </row>
    <row r="11434" spans="20:20" x14ac:dyDescent="0.25">
      <c r="T11434" s="98"/>
    </row>
    <row r="11435" spans="20:20" x14ac:dyDescent="0.25">
      <c r="T11435" s="98"/>
    </row>
    <row r="11436" spans="20:20" x14ac:dyDescent="0.25">
      <c r="T11436" s="98"/>
    </row>
    <row r="11437" spans="20:20" x14ac:dyDescent="0.25">
      <c r="T11437" s="98"/>
    </row>
    <row r="11438" spans="20:20" x14ac:dyDescent="0.25">
      <c r="T11438" s="98"/>
    </row>
    <row r="11439" spans="20:20" x14ac:dyDescent="0.25">
      <c r="T11439" s="98"/>
    </row>
    <row r="11440" spans="20:20" x14ac:dyDescent="0.25">
      <c r="T11440" s="98"/>
    </row>
    <row r="11441" spans="20:20" x14ac:dyDescent="0.25">
      <c r="T11441" s="98"/>
    </row>
    <row r="11442" spans="20:20" x14ac:dyDescent="0.25">
      <c r="T11442" s="98"/>
    </row>
    <row r="11443" spans="20:20" x14ac:dyDescent="0.25">
      <c r="T11443" s="98"/>
    </row>
    <row r="11444" spans="20:20" x14ac:dyDescent="0.25">
      <c r="T11444" s="98"/>
    </row>
    <row r="11445" spans="20:20" x14ac:dyDescent="0.25">
      <c r="T11445" s="98"/>
    </row>
    <row r="11446" spans="20:20" x14ac:dyDescent="0.25">
      <c r="T11446" s="98"/>
    </row>
    <row r="11447" spans="20:20" x14ac:dyDescent="0.25">
      <c r="T11447" s="98"/>
    </row>
    <row r="11448" spans="20:20" x14ac:dyDescent="0.25">
      <c r="T11448" s="98"/>
    </row>
    <row r="11449" spans="20:20" x14ac:dyDescent="0.25">
      <c r="T11449" s="98"/>
    </row>
    <row r="11450" spans="20:20" x14ac:dyDescent="0.25">
      <c r="T11450" s="98"/>
    </row>
    <row r="11451" spans="20:20" x14ac:dyDescent="0.25">
      <c r="T11451" s="98"/>
    </row>
    <row r="11452" spans="20:20" x14ac:dyDescent="0.25">
      <c r="T11452" s="98"/>
    </row>
    <row r="11453" spans="20:20" x14ac:dyDescent="0.25">
      <c r="T11453" s="98"/>
    </row>
    <row r="11454" spans="20:20" x14ac:dyDescent="0.25">
      <c r="T11454" s="98"/>
    </row>
    <row r="11455" spans="20:20" x14ac:dyDescent="0.25">
      <c r="T11455" s="98"/>
    </row>
    <row r="11456" spans="20:20" x14ac:dyDescent="0.25">
      <c r="T11456" s="98"/>
    </row>
    <row r="11457" spans="20:20" x14ac:dyDescent="0.25">
      <c r="T11457" s="98"/>
    </row>
    <row r="11458" spans="20:20" x14ac:dyDescent="0.25">
      <c r="T11458" s="98"/>
    </row>
    <row r="11459" spans="20:20" x14ac:dyDescent="0.25">
      <c r="T11459" s="98"/>
    </row>
    <row r="11460" spans="20:20" x14ac:dyDescent="0.25">
      <c r="T11460" s="98"/>
    </row>
    <row r="11461" spans="20:20" x14ac:dyDescent="0.25">
      <c r="T11461" s="98"/>
    </row>
    <row r="11462" spans="20:20" x14ac:dyDescent="0.25">
      <c r="T11462" s="98"/>
    </row>
    <row r="11463" spans="20:20" x14ac:dyDescent="0.25">
      <c r="T11463" s="98"/>
    </row>
    <row r="11464" spans="20:20" x14ac:dyDescent="0.25">
      <c r="T11464" s="98"/>
    </row>
    <row r="11465" spans="20:20" x14ac:dyDescent="0.25">
      <c r="T11465" s="98"/>
    </row>
    <row r="11466" spans="20:20" x14ac:dyDescent="0.25">
      <c r="T11466" s="98"/>
    </row>
    <row r="11467" spans="20:20" x14ac:dyDescent="0.25">
      <c r="T11467" s="98"/>
    </row>
    <row r="11468" spans="20:20" x14ac:dyDescent="0.25">
      <c r="T11468" s="98"/>
    </row>
    <row r="11469" spans="20:20" x14ac:dyDescent="0.25">
      <c r="T11469" s="98"/>
    </row>
    <row r="11470" spans="20:20" x14ac:dyDescent="0.25">
      <c r="T11470" s="98"/>
    </row>
    <row r="11471" spans="20:20" x14ac:dyDescent="0.25">
      <c r="T11471" s="98"/>
    </row>
    <row r="11472" spans="20:20" x14ac:dyDescent="0.25">
      <c r="T11472" s="98"/>
    </row>
    <row r="11473" spans="20:20" x14ac:dyDescent="0.25">
      <c r="T11473" s="98"/>
    </row>
    <row r="11474" spans="20:20" x14ac:dyDescent="0.25">
      <c r="T11474" s="98"/>
    </row>
    <row r="11475" spans="20:20" x14ac:dyDescent="0.25">
      <c r="T11475" s="98"/>
    </row>
    <row r="11476" spans="20:20" x14ac:dyDescent="0.25">
      <c r="T11476" s="98"/>
    </row>
    <row r="11477" spans="20:20" x14ac:dyDescent="0.25">
      <c r="T11477" s="98"/>
    </row>
    <row r="11478" spans="20:20" x14ac:dyDescent="0.25">
      <c r="T11478" s="98"/>
    </row>
    <row r="11479" spans="20:20" x14ac:dyDescent="0.25">
      <c r="T11479" s="98"/>
    </row>
    <row r="11480" spans="20:20" x14ac:dyDescent="0.25">
      <c r="T11480" s="98"/>
    </row>
    <row r="11481" spans="20:20" x14ac:dyDescent="0.25">
      <c r="T11481" s="98"/>
    </row>
    <row r="11482" spans="20:20" x14ac:dyDescent="0.25">
      <c r="T11482" s="98"/>
    </row>
    <row r="11483" spans="20:20" x14ac:dyDescent="0.25">
      <c r="T11483" s="98"/>
    </row>
    <row r="11484" spans="20:20" x14ac:dyDescent="0.25">
      <c r="T11484" s="98"/>
    </row>
    <row r="11485" spans="20:20" x14ac:dyDescent="0.25">
      <c r="T11485" s="98"/>
    </row>
    <row r="11486" spans="20:20" x14ac:dyDescent="0.25">
      <c r="T11486" s="98"/>
    </row>
    <row r="11487" spans="20:20" x14ac:dyDescent="0.25">
      <c r="T11487" s="98"/>
    </row>
    <row r="11488" spans="20:20" x14ac:dyDescent="0.25">
      <c r="T11488" s="98"/>
    </row>
    <row r="11489" spans="20:20" x14ac:dyDescent="0.25">
      <c r="T11489" s="98"/>
    </row>
    <row r="11490" spans="20:20" x14ac:dyDescent="0.25">
      <c r="T11490" s="98"/>
    </row>
    <row r="11491" spans="20:20" x14ac:dyDescent="0.25">
      <c r="T11491" s="98"/>
    </row>
    <row r="11492" spans="20:20" x14ac:dyDescent="0.25">
      <c r="T11492" s="98"/>
    </row>
    <row r="11493" spans="20:20" x14ac:dyDescent="0.25">
      <c r="T11493" s="98"/>
    </row>
    <row r="11494" spans="20:20" x14ac:dyDescent="0.25">
      <c r="T11494" s="98"/>
    </row>
    <row r="11495" spans="20:20" x14ac:dyDescent="0.25">
      <c r="T11495" s="98"/>
    </row>
    <row r="11496" spans="20:20" x14ac:dyDescent="0.25">
      <c r="T11496" s="98"/>
    </row>
    <row r="11497" spans="20:20" x14ac:dyDescent="0.25">
      <c r="T11497" s="98"/>
    </row>
    <row r="11498" spans="20:20" x14ac:dyDescent="0.25">
      <c r="T11498" s="98"/>
    </row>
    <row r="11499" spans="20:20" x14ac:dyDescent="0.25">
      <c r="T11499" s="98"/>
    </row>
    <row r="11500" spans="20:20" x14ac:dyDescent="0.25">
      <c r="T11500" s="98"/>
    </row>
    <row r="11501" spans="20:20" x14ac:dyDescent="0.25">
      <c r="T11501" s="98"/>
    </row>
    <row r="11502" spans="20:20" x14ac:dyDescent="0.25">
      <c r="T11502" s="98"/>
    </row>
    <row r="11503" spans="20:20" x14ac:dyDescent="0.25">
      <c r="T11503" s="98"/>
    </row>
    <row r="11504" spans="20:20" x14ac:dyDescent="0.25">
      <c r="T11504" s="98"/>
    </row>
    <row r="11505" spans="20:20" x14ac:dyDescent="0.25">
      <c r="T11505" s="98"/>
    </row>
    <row r="11506" spans="20:20" x14ac:dyDescent="0.25">
      <c r="T11506" s="98"/>
    </row>
    <row r="11507" spans="20:20" x14ac:dyDescent="0.25">
      <c r="T11507" s="98"/>
    </row>
    <row r="11508" spans="20:20" x14ac:dyDescent="0.25">
      <c r="T11508" s="98"/>
    </row>
    <row r="11509" spans="20:20" x14ac:dyDescent="0.25">
      <c r="T11509" s="98"/>
    </row>
    <row r="11510" spans="20:20" x14ac:dyDescent="0.25">
      <c r="T11510" s="98"/>
    </row>
    <row r="11511" spans="20:20" x14ac:dyDescent="0.25">
      <c r="T11511" s="98"/>
    </row>
    <row r="11512" spans="20:20" x14ac:dyDescent="0.25">
      <c r="T11512" s="98"/>
    </row>
    <row r="11513" spans="20:20" x14ac:dyDescent="0.25">
      <c r="T11513" s="98"/>
    </row>
    <row r="11514" spans="20:20" x14ac:dyDescent="0.25">
      <c r="T11514" s="98"/>
    </row>
    <row r="11515" spans="20:20" x14ac:dyDescent="0.25">
      <c r="T11515" s="98"/>
    </row>
    <row r="11516" spans="20:20" x14ac:dyDescent="0.25">
      <c r="T11516" s="98"/>
    </row>
    <row r="11517" spans="20:20" x14ac:dyDescent="0.25">
      <c r="T11517" s="98"/>
    </row>
    <row r="11518" spans="20:20" x14ac:dyDescent="0.25">
      <c r="T11518" s="98"/>
    </row>
    <row r="11519" spans="20:20" x14ac:dyDescent="0.25">
      <c r="T11519" s="98"/>
    </row>
    <row r="11520" spans="20:20" x14ac:dyDescent="0.25">
      <c r="T11520" s="98"/>
    </row>
    <row r="11521" spans="20:20" x14ac:dyDescent="0.25">
      <c r="T11521" s="98"/>
    </row>
    <row r="11522" spans="20:20" x14ac:dyDescent="0.25">
      <c r="T11522" s="98"/>
    </row>
    <row r="11523" spans="20:20" x14ac:dyDescent="0.25">
      <c r="T11523" s="98"/>
    </row>
    <row r="11524" spans="20:20" x14ac:dyDescent="0.25">
      <c r="T11524" s="98"/>
    </row>
    <row r="11525" spans="20:20" x14ac:dyDescent="0.25">
      <c r="T11525" s="98"/>
    </row>
    <row r="11526" spans="20:20" x14ac:dyDescent="0.25">
      <c r="T11526" s="98"/>
    </row>
    <row r="11527" spans="20:20" x14ac:dyDescent="0.25">
      <c r="T11527" s="98"/>
    </row>
    <row r="11528" spans="20:20" x14ac:dyDescent="0.25">
      <c r="T11528" s="98"/>
    </row>
    <row r="11529" spans="20:20" x14ac:dyDescent="0.25">
      <c r="T11529" s="98"/>
    </row>
    <row r="11530" spans="20:20" x14ac:dyDescent="0.25">
      <c r="T11530" s="98"/>
    </row>
    <row r="11531" spans="20:20" x14ac:dyDescent="0.25">
      <c r="T11531" s="98"/>
    </row>
    <row r="11532" spans="20:20" x14ac:dyDescent="0.25">
      <c r="T11532" s="98"/>
    </row>
    <row r="11533" spans="20:20" x14ac:dyDescent="0.25">
      <c r="T11533" s="98"/>
    </row>
    <row r="11534" spans="20:20" x14ac:dyDescent="0.25">
      <c r="T11534" s="98"/>
    </row>
    <row r="11535" spans="20:20" x14ac:dyDescent="0.25">
      <c r="T11535" s="98"/>
    </row>
    <row r="11536" spans="20:20" x14ac:dyDescent="0.25">
      <c r="T11536" s="98"/>
    </row>
    <row r="11537" spans="20:20" x14ac:dyDescent="0.25">
      <c r="T11537" s="98"/>
    </row>
    <row r="11538" spans="20:20" x14ac:dyDescent="0.25">
      <c r="T11538" s="98"/>
    </row>
    <row r="11539" spans="20:20" x14ac:dyDescent="0.25">
      <c r="T11539" s="98"/>
    </row>
    <row r="11540" spans="20:20" x14ac:dyDescent="0.25">
      <c r="T11540" s="98"/>
    </row>
    <row r="11541" spans="20:20" x14ac:dyDescent="0.25">
      <c r="T11541" s="98"/>
    </row>
    <row r="11542" spans="20:20" x14ac:dyDescent="0.25">
      <c r="T11542" s="98"/>
    </row>
    <row r="11543" spans="20:20" x14ac:dyDescent="0.25">
      <c r="T11543" s="98"/>
    </row>
    <row r="11544" spans="20:20" x14ac:dyDescent="0.25">
      <c r="T11544" s="98"/>
    </row>
    <row r="11545" spans="20:20" x14ac:dyDescent="0.25">
      <c r="T11545" s="98"/>
    </row>
    <row r="11546" spans="20:20" x14ac:dyDescent="0.25">
      <c r="T11546" s="98"/>
    </row>
    <row r="11547" spans="20:20" x14ac:dyDescent="0.25">
      <c r="T11547" s="98"/>
    </row>
    <row r="11548" spans="20:20" x14ac:dyDescent="0.25">
      <c r="T11548" s="98"/>
    </row>
    <row r="11549" spans="20:20" x14ac:dyDescent="0.25">
      <c r="T11549" s="98"/>
    </row>
    <row r="11550" spans="20:20" x14ac:dyDescent="0.25">
      <c r="T11550" s="98"/>
    </row>
    <row r="11551" spans="20:20" x14ac:dyDescent="0.25">
      <c r="T11551" s="98"/>
    </row>
    <row r="11552" spans="20:20" x14ac:dyDescent="0.25">
      <c r="T11552" s="98"/>
    </row>
    <row r="11553" spans="20:20" x14ac:dyDescent="0.25">
      <c r="T11553" s="98"/>
    </row>
    <row r="11554" spans="20:20" x14ac:dyDescent="0.25">
      <c r="T11554" s="98"/>
    </row>
    <row r="11555" spans="20:20" x14ac:dyDescent="0.25">
      <c r="T11555" s="98"/>
    </row>
    <row r="11556" spans="20:20" x14ac:dyDescent="0.25">
      <c r="T11556" s="98"/>
    </row>
    <row r="11557" spans="20:20" x14ac:dyDescent="0.25">
      <c r="T11557" s="98"/>
    </row>
    <row r="11558" spans="20:20" x14ac:dyDescent="0.25">
      <c r="T11558" s="98"/>
    </row>
    <row r="11559" spans="20:20" x14ac:dyDescent="0.25">
      <c r="T11559" s="98"/>
    </row>
    <row r="11560" spans="20:20" x14ac:dyDescent="0.25">
      <c r="T11560" s="98"/>
    </row>
    <row r="11561" spans="20:20" x14ac:dyDescent="0.25">
      <c r="T11561" s="98"/>
    </row>
    <row r="11562" spans="20:20" x14ac:dyDescent="0.25">
      <c r="T11562" s="98"/>
    </row>
    <row r="11563" spans="20:20" x14ac:dyDescent="0.25">
      <c r="T11563" s="98"/>
    </row>
    <row r="11564" spans="20:20" x14ac:dyDescent="0.25">
      <c r="T11564" s="98"/>
    </row>
    <row r="11565" spans="20:20" x14ac:dyDescent="0.25">
      <c r="T11565" s="98"/>
    </row>
    <row r="11566" spans="20:20" x14ac:dyDescent="0.25">
      <c r="T11566" s="98"/>
    </row>
    <row r="11567" spans="20:20" x14ac:dyDescent="0.25">
      <c r="T11567" s="98"/>
    </row>
    <row r="11568" spans="20:20" x14ac:dyDescent="0.25">
      <c r="T11568" s="98"/>
    </row>
    <row r="11569" spans="20:20" x14ac:dyDescent="0.25">
      <c r="T11569" s="98"/>
    </row>
    <row r="11570" spans="20:20" x14ac:dyDescent="0.25">
      <c r="T11570" s="98"/>
    </row>
    <row r="11571" spans="20:20" x14ac:dyDescent="0.25">
      <c r="T11571" s="98"/>
    </row>
    <row r="11572" spans="20:20" x14ac:dyDescent="0.25">
      <c r="T11572" s="98"/>
    </row>
    <row r="11573" spans="20:20" x14ac:dyDescent="0.25">
      <c r="T11573" s="98"/>
    </row>
    <row r="11574" spans="20:20" x14ac:dyDescent="0.25">
      <c r="T11574" s="98"/>
    </row>
    <row r="11575" spans="20:20" x14ac:dyDescent="0.25">
      <c r="T11575" s="98"/>
    </row>
    <row r="11576" spans="20:20" x14ac:dyDescent="0.25">
      <c r="T11576" s="98"/>
    </row>
    <row r="11577" spans="20:20" x14ac:dyDescent="0.25">
      <c r="T11577" s="98"/>
    </row>
    <row r="11578" spans="20:20" x14ac:dyDescent="0.25">
      <c r="T11578" s="98"/>
    </row>
    <row r="11579" spans="20:20" x14ac:dyDescent="0.25">
      <c r="T11579" s="98"/>
    </row>
    <row r="11580" spans="20:20" x14ac:dyDescent="0.25">
      <c r="T11580" s="98"/>
    </row>
    <row r="11581" spans="20:20" x14ac:dyDescent="0.25">
      <c r="T11581" s="98"/>
    </row>
    <row r="11582" spans="20:20" x14ac:dyDescent="0.25">
      <c r="T11582" s="98"/>
    </row>
    <row r="11583" spans="20:20" x14ac:dyDescent="0.25">
      <c r="T11583" s="98"/>
    </row>
    <row r="11584" spans="20:20" x14ac:dyDescent="0.25">
      <c r="T11584" s="98"/>
    </row>
    <row r="11585" spans="20:20" x14ac:dyDescent="0.25">
      <c r="T11585" s="98"/>
    </row>
    <row r="11586" spans="20:20" x14ac:dyDescent="0.25">
      <c r="T11586" s="98"/>
    </row>
    <row r="11587" spans="20:20" x14ac:dyDescent="0.25">
      <c r="T11587" s="98"/>
    </row>
    <row r="11588" spans="20:20" x14ac:dyDescent="0.25">
      <c r="T11588" s="98"/>
    </row>
    <row r="11589" spans="20:20" x14ac:dyDescent="0.25">
      <c r="T11589" s="98"/>
    </row>
    <row r="11590" spans="20:20" x14ac:dyDescent="0.25">
      <c r="T11590" s="98"/>
    </row>
    <row r="11591" spans="20:20" x14ac:dyDescent="0.25">
      <c r="T11591" s="98"/>
    </row>
    <row r="11592" spans="20:20" x14ac:dyDescent="0.25">
      <c r="T11592" s="98"/>
    </row>
    <row r="11593" spans="20:20" x14ac:dyDescent="0.25">
      <c r="T11593" s="98"/>
    </row>
    <row r="11594" spans="20:20" x14ac:dyDescent="0.25">
      <c r="T11594" s="98"/>
    </row>
    <row r="11595" spans="20:20" x14ac:dyDescent="0.25">
      <c r="T11595" s="98"/>
    </row>
    <row r="11596" spans="20:20" x14ac:dyDescent="0.25">
      <c r="T11596" s="98"/>
    </row>
    <row r="11597" spans="20:20" x14ac:dyDescent="0.25">
      <c r="T11597" s="98"/>
    </row>
    <row r="11598" spans="20:20" x14ac:dyDescent="0.25">
      <c r="T11598" s="98"/>
    </row>
    <row r="11599" spans="20:20" x14ac:dyDescent="0.25">
      <c r="T11599" s="98"/>
    </row>
    <row r="11600" spans="20:20" x14ac:dyDescent="0.25">
      <c r="T11600" s="98"/>
    </row>
    <row r="11601" spans="20:20" x14ac:dyDescent="0.25">
      <c r="T11601" s="98"/>
    </row>
    <row r="11602" spans="20:20" x14ac:dyDescent="0.25">
      <c r="T11602" s="98"/>
    </row>
    <row r="11603" spans="20:20" x14ac:dyDescent="0.25">
      <c r="T11603" s="98"/>
    </row>
    <row r="11604" spans="20:20" x14ac:dyDescent="0.25">
      <c r="T11604" s="98"/>
    </row>
    <row r="11605" spans="20:20" x14ac:dyDescent="0.25">
      <c r="T11605" s="98"/>
    </row>
    <row r="11606" spans="20:20" x14ac:dyDescent="0.25">
      <c r="T11606" s="98"/>
    </row>
    <row r="11607" spans="20:20" x14ac:dyDescent="0.25">
      <c r="T11607" s="98"/>
    </row>
    <row r="11608" spans="20:20" x14ac:dyDescent="0.25">
      <c r="T11608" s="98"/>
    </row>
    <row r="11609" spans="20:20" x14ac:dyDescent="0.25">
      <c r="T11609" s="98"/>
    </row>
    <row r="11610" spans="20:20" x14ac:dyDescent="0.25">
      <c r="T11610" s="98"/>
    </row>
    <row r="11611" spans="20:20" x14ac:dyDescent="0.25">
      <c r="T11611" s="98"/>
    </row>
    <row r="11612" spans="20:20" x14ac:dyDescent="0.25">
      <c r="T11612" s="98"/>
    </row>
    <row r="11613" spans="20:20" x14ac:dyDescent="0.25">
      <c r="T11613" s="98"/>
    </row>
    <row r="11614" spans="20:20" x14ac:dyDescent="0.25">
      <c r="T11614" s="98"/>
    </row>
    <row r="11615" spans="20:20" x14ac:dyDescent="0.25">
      <c r="T11615" s="98"/>
    </row>
    <row r="11616" spans="20:20" x14ac:dyDescent="0.25">
      <c r="T11616" s="98"/>
    </row>
    <row r="11617" spans="20:20" x14ac:dyDescent="0.25">
      <c r="T11617" s="98"/>
    </row>
    <row r="11618" spans="20:20" x14ac:dyDescent="0.25">
      <c r="T11618" s="98"/>
    </row>
    <row r="11619" spans="20:20" x14ac:dyDescent="0.25">
      <c r="T11619" s="98"/>
    </row>
    <row r="11620" spans="20:20" x14ac:dyDescent="0.25">
      <c r="T11620" s="98"/>
    </row>
    <row r="11621" spans="20:20" x14ac:dyDescent="0.25">
      <c r="T11621" s="98"/>
    </row>
    <row r="11622" spans="20:20" x14ac:dyDescent="0.25">
      <c r="T11622" s="98"/>
    </row>
    <row r="11623" spans="20:20" x14ac:dyDescent="0.25">
      <c r="T11623" s="98"/>
    </row>
    <row r="11624" spans="20:20" x14ac:dyDescent="0.25">
      <c r="T11624" s="98"/>
    </row>
    <row r="11625" spans="20:20" x14ac:dyDescent="0.25">
      <c r="T11625" s="98"/>
    </row>
    <row r="11626" spans="20:20" x14ac:dyDescent="0.25">
      <c r="T11626" s="98"/>
    </row>
    <row r="11627" spans="20:20" x14ac:dyDescent="0.25">
      <c r="T11627" s="98"/>
    </row>
    <row r="11628" spans="20:20" x14ac:dyDescent="0.25">
      <c r="T11628" s="98"/>
    </row>
    <row r="11629" spans="20:20" x14ac:dyDescent="0.25">
      <c r="T11629" s="98"/>
    </row>
    <row r="11630" spans="20:20" x14ac:dyDescent="0.25">
      <c r="T11630" s="98"/>
    </row>
    <row r="11631" spans="20:20" x14ac:dyDescent="0.25">
      <c r="T11631" s="98"/>
    </row>
    <row r="11632" spans="20:20" x14ac:dyDescent="0.25">
      <c r="T11632" s="98"/>
    </row>
    <row r="11633" spans="20:20" x14ac:dyDescent="0.25">
      <c r="T11633" s="98"/>
    </row>
    <row r="11634" spans="20:20" x14ac:dyDescent="0.25">
      <c r="T11634" s="98"/>
    </row>
    <row r="11635" spans="20:20" x14ac:dyDescent="0.25">
      <c r="T11635" s="98"/>
    </row>
    <row r="11636" spans="20:20" x14ac:dyDescent="0.25">
      <c r="T11636" s="98"/>
    </row>
    <row r="11637" spans="20:20" x14ac:dyDescent="0.25">
      <c r="T11637" s="98"/>
    </row>
    <row r="11638" spans="20:20" x14ac:dyDescent="0.25">
      <c r="T11638" s="98"/>
    </row>
    <row r="11639" spans="20:20" x14ac:dyDescent="0.25">
      <c r="T11639" s="98"/>
    </row>
    <row r="11640" spans="20:20" x14ac:dyDescent="0.25">
      <c r="T11640" s="98"/>
    </row>
    <row r="11641" spans="20:20" x14ac:dyDescent="0.25">
      <c r="T11641" s="98"/>
    </row>
    <row r="11642" spans="20:20" x14ac:dyDescent="0.25">
      <c r="T11642" s="98"/>
    </row>
    <row r="11643" spans="20:20" x14ac:dyDescent="0.25">
      <c r="T11643" s="98"/>
    </row>
    <row r="11644" spans="20:20" x14ac:dyDescent="0.25">
      <c r="T11644" s="98"/>
    </row>
    <row r="11645" spans="20:20" x14ac:dyDescent="0.25">
      <c r="T11645" s="98"/>
    </row>
    <row r="11646" spans="20:20" x14ac:dyDescent="0.25">
      <c r="T11646" s="98"/>
    </row>
    <row r="11647" spans="20:20" x14ac:dyDescent="0.25">
      <c r="T11647" s="98"/>
    </row>
    <row r="11648" spans="20:20" x14ac:dyDescent="0.25">
      <c r="T11648" s="98"/>
    </row>
    <row r="11649" spans="20:20" x14ac:dyDescent="0.25">
      <c r="T11649" s="98"/>
    </row>
    <row r="11650" spans="20:20" x14ac:dyDescent="0.25">
      <c r="T11650" s="98"/>
    </row>
    <row r="11651" spans="20:20" x14ac:dyDescent="0.25">
      <c r="T11651" s="98"/>
    </row>
    <row r="11652" spans="20:20" x14ac:dyDescent="0.25">
      <c r="T11652" s="98"/>
    </row>
    <row r="11653" spans="20:20" x14ac:dyDescent="0.25">
      <c r="T11653" s="98"/>
    </row>
    <row r="11654" spans="20:20" x14ac:dyDescent="0.25">
      <c r="T11654" s="98"/>
    </row>
    <row r="11655" spans="20:20" x14ac:dyDescent="0.25">
      <c r="T11655" s="98"/>
    </row>
    <row r="11656" spans="20:20" x14ac:dyDescent="0.25">
      <c r="T11656" s="98"/>
    </row>
    <row r="11657" spans="20:20" x14ac:dyDescent="0.25">
      <c r="T11657" s="98"/>
    </row>
    <row r="11658" spans="20:20" x14ac:dyDescent="0.25">
      <c r="T11658" s="98"/>
    </row>
    <row r="11659" spans="20:20" x14ac:dyDescent="0.25">
      <c r="T11659" s="98"/>
    </row>
    <row r="11660" spans="20:20" x14ac:dyDescent="0.25">
      <c r="T11660" s="98"/>
    </row>
    <row r="11661" spans="20:20" x14ac:dyDescent="0.25">
      <c r="T11661" s="98"/>
    </row>
    <row r="11662" spans="20:20" x14ac:dyDescent="0.25">
      <c r="T11662" s="98"/>
    </row>
    <row r="11663" spans="20:20" x14ac:dyDescent="0.25">
      <c r="T11663" s="98"/>
    </row>
    <row r="11664" spans="20:20" x14ac:dyDescent="0.25">
      <c r="T11664" s="98"/>
    </row>
    <row r="11665" spans="20:20" x14ac:dyDescent="0.25">
      <c r="T11665" s="98"/>
    </row>
    <row r="11666" spans="20:20" x14ac:dyDescent="0.25">
      <c r="T11666" s="98"/>
    </row>
    <row r="11667" spans="20:20" x14ac:dyDescent="0.25">
      <c r="T11667" s="98"/>
    </row>
    <row r="11668" spans="20:20" x14ac:dyDescent="0.25">
      <c r="T11668" s="98"/>
    </row>
    <row r="11669" spans="20:20" x14ac:dyDescent="0.25">
      <c r="T11669" s="98"/>
    </row>
    <row r="11670" spans="20:20" x14ac:dyDescent="0.25">
      <c r="T11670" s="98"/>
    </row>
    <row r="11671" spans="20:20" x14ac:dyDescent="0.25">
      <c r="T11671" s="98"/>
    </row>
    <row r="11672" spans="20:20" x14ac:dyDescent="0.25">
      <c r="T11672" s="98"/>
    </row>
    <row r="11673" spans="20:20" x14ac:dyDescent="0.25">
      <c r="T11673" s="98"/>
    </row>
    <row r="11674" spans="20:20" x14ac:dyDescent="0.25">
      <c r="T11674" s="98"/>
    </row>
    <row r="11675" spans="20:20" x14ac:dyDescent="0.25">
      <c r="T11675" s="98"/>
    </row>
    <row r="11676" spans="20:20" x14ac:dyDescent="0.25">
      <c r="T11676" s="98"/>
    </row>
    <row r="11677" spans="20:20" x14ac:dyDescent="0.25">
      <c r="T11677" s="98"/>
    </row>
    <row r="11678" spans="20:20" x14ac:dyDescent="0.25">
      <c r="T11678" s="98"/>
    </row>
    <row r="11679" spans="20:20" x14ac:dyDescent="0.25">
      <c r="T11679" s="98"/>
    </row>
    <row r="11680" spans="20:20" x14ac:dyDescent="0.25">
      <c r="T11680" s="98"/>
    </row>
    <row r="11681" spans="20:20" x14ac:dyDescent="0.25">
      <c r="T11681" s="98"/>
    </row>
    <row r="11682" spans="20:20" x14ac:dyDescent="0.25">
      <c r="T11682" s="98"/>
    </row>
    <row r="11683" spans="20:20" x14ac:dyDescent="0.25">
      <c r="T11683" s="98"/>
    </row>
    <row r="11684" spans="20:20" x14ac:dyDescent="0.25">
      <c r="T11684" s="98"/>
    </row>
    <row r="11685" spans="20:20" x14ac:dyDescent="0.25">
      <c r="T11685" s="98"/>
    </row>
    <row r="11686" spans="20:20" x14ac:dyDescent="0.25">
      <c r="T11686" s="98"/>
    </row>
    <row r="11687" spans="20:20" x14ac:dyDescent="0.25">
      <c r="T11687" s="98"/>
    </row>
    <row r="11688" spans="20:20" x14ac:dyDescent="0.25">
      <c r="T11688" s="98"/>
    </row>
    <row r="11689" spans="20:20" x14ac:dyDescent="0.25">
      <c r="T11689" s="98"/>
    </row>
    <row r="11690" spans="20:20" x14ac:dyDescent="0.25">
      <c r="T11690" s="98"/>
    </row>
    <row r="11691" spans="20:20" x14ac:dyDescent="0.25">
      <c r="T11691" s="98"/>
    </row>
    <row r="11692" spans="20:20" x14ac:dyDescent="0.25">
      <c r="T11692" s="98"/>
    </row>
    <row r="11693" spans="20:20" x14ac:dyDescent="0.25">
      <c r="T11693" s="98"/>
    </row>
    <row r="11694" spans="20:20" x14ac:dyDescent="0.25">
      <c r="T11694" s="98"/>
    </row>
    <row r="11695" spans="20:20" x14ac:dyDescent="0.25">
      <c r="T11695" s="98"/>
    </row>
    <row r="11696" spans="20:20" x14ac:dyDescent="0.25">
      <c r="T11696" s="98"/>
    </row>
    <row r="11697" spans="20:20" x14ac:dyDescent="0.25">
      <c r="T11697" s="98"/>
    </row>
    <row r="11698" spans="20:20" x14ac:dyDescent="0.25">
      <c r="T11698" s="98"/>
    </row>
    <row r="11699" spans="20:20" x14ac:dyDescent="0.25">
      <c r="T11699" s="98"/>
    </row>
    <row r="11700" spans="20:20" x14ac:dyDescent="0.25">
      <c r="T11700" s="98"/>
    </row>
    <row r="11701" spans="20:20" x14ac:dyDescent="0.25">
      <c r="T11701" s="98"/>
    </row>
    <row r="11702" spans="20:20" x14ac:dyDescent="0.25">
      <c r="T11702" s="98"/>
    </row>
    <row r="11703" spans="20:20" x14ac:dyDescent="0.25">
      <c r="T11703" s="98"/>
    </row>
    <row r="11704" spans="20:20" x14ac:dyDescent="0.25">
      <c r="T11704" s="98"/>
    </row>
    <row r="11705" spans="20:20" x14ac:dyDescent="0.25">
      <c r="T11705" s="98"/>
    </row>
    <row r="11706" spans="20:20" x14ac:dyDescent="0.25">
      <c r="T11706" s="98"/>
    </row>
    <row r="11707" spans="20:20" x14ac:dyDescent="0.25">
      <c r="T11707" s="98"/>
    </row>
    <row r="11708" spans="20:20" x14ac:dyDescent="0.25">
      <c r="T11708" s="98"/>
    </row>
    <row r="11709" spans="20:20" x14ac:dyDescent="0.25">
      <c r="T11709" s="98"/>
    </row>
    <row r="11710" spans="20:20" x14ac:dyDescent="0.25">
      <c r="T11710" s="98"/>
    </row>
    <row r="11711" spans="20:20" x14ac:dyDescent="0.25">
      <c r="T11711" s="98"/>
    </row>
    <row r="11712" spans="20:20" x14ac:dyDescent="0.25">
      <c r="T11712" s="98"/>
    </row>
    <row r="11713" spans="20:20" x14ac:dyDescent="0.25">
      <c r="T11713" s="98"/>
    </row>
    <row r="11714" spans="20:20" x14ac:dyDescent="0.25">
      <c r="T11714" s="98"/>
    </row>
    <row r="11715" spans="20:20" x14ac:dyDescent="0.25">
      <c r="T11715" s="98"/>
    </row>
    <row r="11716" spans="20:20" x14ac:dyDescent="0.25">
      <c r="T11716" s="98"/>
    </row>
    <row r="11717" spans="20:20" x14ac:dyDescent="0.25">
      <c r="T11717" s="98"/>
    </row>
    <row r="11718" spans="20:20" x14ac:dyDescent="0.25">
      <c r="T11718" s="98"/>
    </row>
    <row r="11719" spans="20:20" x14ac:dyDescent="0.25">
      <c r="T11719" s="98"/>
    </row>
    <row r="11720" spans="20:20" x14ac:dyDescent="0.25">
      <c r="T11720" s="98"/>
    </row>
    <row r="11721" spans="20:20" x14ac:dyDescent="0.25">
      <c r="T11721" s="98"/>
    </row>
    <row r="11722" spans="20:20" x14ac:dyDescent="0.25">
      <c r="T11722" s="98"/>
    </row>
    <row r="11723" spans="20:20" x14ac:dyDescent="0.25">
      <c r="T11723" s="98"/>
    </row>
    <row r="11724" spans="20:20" x14ac:dyDescent="0.25">
      <c r="T11724" s="98"/>
    </row>
    <row r="11725" spans="20:20" x14ac:dyDescent="0.25">
      <c r="T11725" s="98"/>
    </row>
    <row r="11726" spans="20:20" x14ac:dyDescent="0.25">
      <c r="T11726" s="98"/>
    </row>
    <row r="11727" spans="20:20" x14ac:dyDescent="0.25">
      <c r="T11727" s="98"/>
    </row>
    <row r="11728" spans="20:20" x14ac:dyDescent="0.25">
      <c r="T11728" s="98"/>
    </row>
    <row r="11729" spans="20:20" x14ac:dyDescent="0.25">
      <c r="T11729" s="98"/>
    </row>
    <row r="11730" spans="20:20" x14ac:dyDescent="0.25">
      <c r="T11730" s="98"/>
    </row>
    <row r="11731" spans="20:20" x14ac:dyDescent="0.25">
      <c r="T11731" s="98"/>
    </row>
    <row r="11732" spans="20:20" x14ac:dyDescent="0.25">
      <c r="T11732" s="98"/>
    </row>
    <row r="11733" spans="20:20" x14ac:dyDescent="0.25">
      <c r="T11733" s="98"/>
    </row>
    <row r="11734" spans="20:20" x14ac:dyDescent="0.25">
      <c r="T11734" s="98"/>
    </row>
    <row r="11735" spans="20:20" x14ac:dyDescent="0.25">
      <c r="T11735" s="98"/>
    </row>
    <row r="11736" spans="20:20" x14ac:dyDescent="0.25">
      <c r="T11736" s="98"/>
    </row>
    <row r="11737" spans="20:20" x14ac:dyDescent="0.25">
      <c r="T11737" s="98"/>
    </row>
    <row r="11738" spans="20:20" x14ac:dyDescent="0.25">
      <c r="T11738" s="98"/>
    </row>
    <row r="11739" spans="20:20" x14ac:dyDescent="0.25">
      <c r="T11739" s="98"/>
    </row>
    <row r="11740" spans="20:20" x14ac:dyDescent="0.25">
      <c r="T11740" s="98"/>
    </row>
    <row r="11741" spans="20:20" x14ac:dyDescent="0.25">
      <c r="T11741" s="98"/>
    </row>
    <row r="11742" spans="20:20" x14ac:dyDescent="0.25">
      <c r="T11742" s="98"/>
    </row>
    <row r="11743" spans="20:20" x14ac:dyDescent="0.25">
      <c r="T11743" s="98"/>
    </row>
    <row r="11744" spans="20:20" x14ac:dyDescent="0.25">
      <c r="T11744" s="98"/>
    </row>
    <row r="11745" spans="20:20" x14ac:dyDescent="0.25">
      <c r="T11745" s="98"/>
    </row>
    <row r="11746" spans="20:20" x14ac:dyDescent="0.25">
      <c r="T11746" s="98"/>
    </row>
    <row r="11747" spans="20:20" x14ac:dyDescent="0.25">
      <c r="T11747" s="98"/>
    </row>
    <row r="11748" spans="20:20" x14ac:dyDescent="0.25">
      <c r="T11748" s="98"/>
    </row>
    <row r="11749" spans="20:20" x14ac:dyDescent="0.25">
      <c r="T11749" s="98"/>
    </row>
    <row r="11750" spans="20:20" x14ac:dyDescent="0.25">
      <c r="T11750" s="98"/>
    </row>
    <row r="11751" spans="20:20" x14ac:dyDescent="0.25">
      <c r="T11751" s="98"/>
    </row>
    <row r="11752" spans="20:20" x14ac:dyDescent="0.25">
      <c r="T11752" s="98"/>
    </row>
    <row r="11753" spans="20:20" x14ac:dyDescent="0.25">
      <c r="T11753" s="98"/>
    </row>
    <row r="11754" spans="20:20" x14ac:dyDescent="0.25">
      <c r="T11754" s="98"/>
    </row>
    <row r="11755" spans="20:20" x14ac:dyDescent="0.25">
      <c r="T11755" s="98"/>
    </row>
    <row r="11756" spans="20:20" x14ac:dyDescent="0.25">
      <c r="T11756" s="98"/>
    </row>
    <row r="11757" spans="20:20" x14ac:dyDescent="0.25">
      <c r="T11757" s="98"/>
    </row>
    <row r="11758" spans="20:20" x14ac:dyDescent="0.25">
      <c r="T11758" s="98"/>
    </row>
    <row r="11759" spans="20:20" x14ac:dyDescent="0.25">
      <c r="T11759" s="98"/>
    </row>
    <row r="11760" spans="20:20" x14ac:dyDescent="0.25">
      <c r="T11760" s="98"/>
    </row>
    <row r="11761" spans="20:20" x14ac:dyDescent="0.25">
      <c r="T11761" s="98"/>
    </row>
    <row r="11762" spans="20:20" x14ac:dyDescent="0.25">
      <c r="T11762" s="98"/>
    </row>
    <row r="11763" spans="20:20" x14ac:dyDescent="0.25">
      <c r="T11763" s="98"/>
    </row>
    <row r="11764" spans="20:20" x14ac:dyDescent="0.25">
      <c r="T11764" s="98"/>
    </row>
    <row r="11765" spans="20:20" x14ac:dyDescent="0.25">
      <c r="T11765" s="98"/>
    </row>
    <row r="11766" spans="20:20" x14ac:dyDescent="0.25">
      <c r="T11766" s="98"/>
    </row>
    <row r="11767" spans="20:20" x14ac:dyDescent="0.25">
      <c r="T11767" s="98"/>
    </row>
    <row r="11768" spans="20:20" x14ac:dyDescent="0.25">
      <c r="T11768" s="98"/>
    </row>
    <row r="11769" spans="20:20" x14ac:dyDescent="0.25">
      <c r="T11769" s="98"/>
    </row>
    <row r="11770" spans="20:20" x14ac:dyDescent="0.25">
      <c r="T11770" s="98"/>
    </row>
    <row r="11771" spans="20:20" x14ac:dyDescent="0.25">
      <c r="T11771" s="98"/>
    </row>
    <row r="11772" spans="20:20" x14ac:dyDescent="0.25">
      <c r="T11772" s="98"/>
    </row>
    <row r="11773" spans="20:20" x14ac:dyDescent="0.25">
      <c r="T11773" s="98"/>
    </row>
    <row r="11774" spans="20:20" x14ac:dyDescent="0.25">
      <c r="T11774" s="98"/>
    </row>
    <row r="11775" spans="20:20" x14ac:dyDescent="0.25">
      <c r="T11775" s="98"/>
    </row>
    <row r="11776" spans="20:20" x14ac:dyDescent="0.25">
      <c r="T11776" s="98"/>
    </row>
    <row r="11777" spans="20:20" x14ac:dyDescent="0.25">
      <c r="T11777" s="98"/>
    </row>
    <row r="11778" spans="20:20" x14ac:dyDescent="0.25">
      <c r="T11778" s="98"/>
    </row>
    <row r="11779" spans="20:20" x14ac:dyDescent="0.25">
      <c r="T11779" s="98"/>
    </row>
    <row r="11780" spans="20:20" x14ac:dyDescent="0.25">
      <c r="T11780" s="98"/>
    </row>
    <row r="11781" spans="20:20" x14ac:dyDescent="0.25">
      <c r="T11781" s="98"/>
    </row>
    <row r="11782" spans="20:20" x14ac:dyDescent="0.25">
      <c r="T11782" s="98"/>
    </row>
    <row r="11783" spans="20:20" x14ac:dyDescent="0.25">
      <c r="T11783" s="98"/>
    </row>
    <row r="11784" spans="20:20" x14ac:dyDescent="0.25">
      <c r="T11784" s="98"/>
    </row>
    <row r="11785" spans="20:20" x14ac:dyDescent="0.25">
      <c r="T11785" s="98"/>
    </row>
    <row r="11786" spans="20:20" x14ac:dyDescent="0.25">
      <c r="T11786" s="98"/>
    </row>
    <row r="11787" spans="20:20" x14ac:dyDescent="0.25">
      <c r="T11787" s="98"/>
    </row>
    <row r="11788" spans="20:20" x14ac:dyDescent="0.25">
      <c r="T11788" s="98"/>
    </row>
    <row r="11789" spans="20:20" x14ac:dyDescent="0.25">
      <c r="T11789" s="98"/>
    </row>
    <row r="11790" spans="20:20" x14ac:dyDescent="0.25">
      <c r="T11790" s="98"/>
    </row>
    <row r="11791" spans="20:20" x14ac:dyDescent="0.25">
      <c r="T11791" s="98"/>
    </row>
    <row r="11792" spans="20:20" x14ac:dyDescent="0.25">
      <c r="T11792" s="98"/>
    </row>
    <row r="11793" spans="20:20" x14ac:dyDescent="0.25">
      <c r="T11793" s="98"/>
    </row>
    <row r="11794" spans="20:20" x14ac:dyDescent="0.25">
      <c r="T11794" s="98"/>
    </row>
    <row r="11795" spans="20:20" x14ac:dyDescent="0.25">
      <c r="T11795" s="98"/>
    </row>
    <row r="11796" spans="20:20" x14ac:dyDescent="0.25">
      <c r="T11796" s="98"/>
    </row>
    <row r="11797" spans="20:20" x14ac:dyDescent="0.25">
      <c r="T11797" s="98"/>
    </row>
    <row r="11798" spans="20:20" x14ac:dyDescent="0.25">
      <c r="T11798" s="98"/>
    </row>
    <row r="11799" spans="20:20" x14ac:dyDescent="0.25">
      <c r="T11799" s="98"/>
    </row>
    <row r="11800" spans="20:20" x14ac:dyDescent="0.25">
      <c r="T11800" s="98"/>
    </row>
    <row r="11801" spans="20:20" x14ac:dyDescent="0.25">
      <c r="T11801" s="98"/>
    </row>
    <row r="11802" spans="20:20" x14ac:dyDescent="0.25">
      <c r="T11802" s="98"/>
    </row>
    <row r="11803" spans="20:20" x14ac:dyDescent="0.25">
      <c r="T11803" s="98"/>
    </row>
    <row r="11804" spans="20:20" x14ac:dyDescent="0.25">
      <c r="T11804" s="98"/>
    </row>
    <row r="11805" spans="20:20" x14ac:dyDescent="0.25">
      <c r="T11805" s="98"/>
    </row>
    <row r="11806" spans="20:20" x14ac:dyDescent="0.25">
      <c r="T11806" s="98"/>
    </row>
    <row r="11807" spans="20:20" x14ac:dyDescent="0.25">
      <c r="T11807" s="98"/>
    </row>
    <row r="11808" spans="20:20" x14ac:dyDescent="0.25">
      <c r="T11808" s="98"/>
    </row>
    <row r="11809" spans="20:20" x14ac:dyDescent="0.25">
      <c r="T11809" s="98"/>
    </row>
    <row r="11810" spans="20:20" x14ac:dyDescent="0.25">
      <c r="T11810" s="98"/>
    </row>
    <row r="11811" spans="20:20" x14ac:dyDescent="0.25">
      <c r="T11811" s="98"/>
    </row>
    <row r="11812" spans="20:20" x14ac:dyDescent="0.25">
      <c r="T11812" s="98"/>
    </row>
    <row r="11813" spans="20:20" x14ac:dyDescent="0.25">
      <c r="T11813" s="98"/>
    </row>
    <row r="11814" spans="20:20" x14ac:dyDescent="0.25">
      <c r="T11814" s="98"/>
    </row>
    <row r="11815" spans="20:20" x14ac:dyDescent="0.25">
      <c r="T11815" s="98"/>
    </row>
    <row r="11816" spans="20:20" x14ac:dyDescent="0.25">
      <c r="T11816" s="98"/>
    </row>
    <row r="11817" spans="20:20" x14ac:dyDescent="0.25">
      <c r="T11817" s="98"/>
    </row>
    <row r="11818" spans="20:20" x14ac:dyDescent="0.25">
      <c r="T11818" s="98"/>
    </row>
    <row r="11819" spans="20:20" x14ac:dyDescent="0.25">
      <c r="T11819" s="98"/>
    </row>
    <row r="11820" spans="20:20" x14ac:dyDescent="0.25">
      <c r="T11820" s="98"/>
    </row>
    <row r="11821" spans="20:20" x14ac:dyDescent="0.25">
      <c r="T11821" s="98"/>
    </row>
    <row r="11822" spans="20:20" x14ac:dyDescent="0.25">
      <c r="T11822" s="98"/>
    </row>
    <row r="11823" spans="20:20" x14ac:dyDescent="0.25">
      <c r="T11823" s="98"/>
    </row>
    <row r="11824" spans="20:20" x14ac:dyDescent="0.25">
      <c r="T11824" s="98"/>
    </row>
    <row r="11825" spans="20:20" x14ac:dyDescent="0.25">
      <c r="T11825" s="98"/>
    </row>
    <row r="11826" spans="20:20" x14ac:dyDescent="0.25">
      <c r="T11826" s="98"/>
    </row>
    <row r="11827" spans="20:20" x14ac:dyDescent="0.25">
      <c r="T11827" s="98"/>
    </row>
    <row r="11828" spans="20:20" x14ac:dyDescent="0.25">
      <c r="T11828" s="98"/>
    </row>
    <row r="11829" spans="20:20" x14ac:dyDescent="0.25">
      <c r="T11829" s="98"/>
    </row>
    <row r="11830" spans="20:20" x14ac:dyDescent="0.25">
      <c r="T11830" s="98"/>
    </row>
    <row r="11831" spans="20:20" x14ac:dyDescent="0.25">
      <c r="T11831" s="98"/>
    </row>
    <row r="11832" spans="20:20" x14ac:dyDescent="0.25">
      <c r="T11832" s="98"/>
    </row>
    <row r="11833" spans="20:20" x14ac:dyDescent="0.25">
      <c r="T11833" s="98"/>
    </row>
    <row r="11834" spans="20:20" x14ac:dyDescent="0.25">
      <c r="T11834" s="98"/>
    </row>
    <row r="11835" spans="20:20" x14ac:dyDescent="0.25">
      <c r="T11835" s="98"/>
    </row>
    <row r="11836" spans="20:20" x14ac:dyDescent="0.25">
      <c r="T11836" s="98"/>
    </row>
    <row r="11837" spans="20:20" x14ac:dyDescent="0.25">
      <c r="T11837" s="98"/>
    </row>
    <row r="11838" spans="20:20" x14ac:dyDescent="0.25">
      <c r="T11838" s="98"/>
    </row>
    <row r="11839" spans="20:20" x14ac:dyDescent="0.25">
      <c r="T11839" s="98"/>
    </row>
    <row r="11840" spans="20:20" x14ac:dyDescent="0.25">
      <c r="T11840" s="98"/>
    </row>
    <row r="11841" spans="20:20" x14ac:dyDescent="0.25">
      <c r="T11841" s="98"/>
    </row>
    <row r="11842" spans="20:20" x14ac:dyDescent="0.25">
      <c r="T11842" s="98"/>
    </row>
    <row r="11843" spans="20:20" x14ac:dyDescent="0.25">
      <c r="T11843" s="98"/>
    </row>
    <row r="11844" spans="20:20" x14ac:dyDescent="0.25">
      <c r="T11844" s="98"/>
    </row>
    <row r="11845" spans="20:20" x14ac:dyDescent="0.25">
      <c r="T11845" s="98"/>
    </row>
    <row r="11846" spans="20:20" x14ac:dyDescent="0.25">
      <c r="T11846" s="98"/>
    </row>
    <row r="11847" spans="20:20" x14ac:dyDescent="0.25">
      <c r="T11847" s="98"/>
    </row>
    <row r="11848" spans="20:20" x14ac:dyDescent="0.25">
      <c r="T11848" s="98"/>
    </row>
    <row r="11849" spans="20:20" x14ac:dyDescent="0.25">
      <c r="T11849" s="98"/>
    </row>
    <row r="11850" spans="20:20" x14ac:dyDescent="0.25">
      <c r="T11850" s="98"/>
    </row>
    <row r="11851" spans="20:20" x14ac:dyDescent="0.25">
      <c r="T11851" s="98"/>
    </row>
    <row r="11852" spans="20:20" x14ac:dyDescent="0.25">
      <c r="T11852" s="98"/>
    </row>
    <row r="11853" spans="20:20" x14ac:dyDescent="0.25">
      <c r="T11853" s="98"/>
    </row>
    <row r="11854" spans="20:20" x14ac:dyDescent="0.25">
      <c r="T11854" s="98"/>
    </row>
    <row r="11855" spans="20:20" x14ac:dyDescent="0.25">
      <c r="T11855" s="98"/>
    </row>
    <row r="11856" spans="20:20" x14ac:dyDescent="0.25">
      <c r="T11856" s="98"/>
    </row>
    <row r="11857" spans="20:20" x14ac:dyDescent="0.25">
      <c r="T11857" s="98"/>
    </row>
    <row r="11858" spans="20:20" x14ac:dyDescent="0.25">
      <c r="T11858" s="98"/>
    </row>
    <row r="11859" spans="20:20" x14ac:dyDescent="0.25">
      <c r="T11859" s="98"/>
    </row>
    <row r="11860" spans="20:20" x14ac:dyDescent="0.25">
      <c r="T11860" s="98"/>
    </row>
    <row r="11861" spans="20:20" x14ac:dyDescent="0.25">
      <c r="T11861" s="98"/>
    </row>
    <row r="11862" spans="20:20" x14ac:dyDescent="0.25">
      <c r="T11862" s="98"/>
    </row>
    <row r="11863" spans="20:20" x14ac:dyDescent="0.25">
      <c r="T11863" s="98"/>
    </row>
    <row r="11864" spans="20:20" x14ac:dyDescent="0.25">
      <c r="T11864" s="98"/>
    </row>
    <row r="11865" spans="20:20" x14ac:dyDescent="0.25">
      <c r="T11865" s="98"/>
    </row>
    <row r="11866" spans="20:20" x14ac:dyDescent="0.25">
      <c r="T11866" s="98"/>
    </row>
    <row r="11867" spans="20:20" x14ac:dyDescent="0.25">
      <c r="T11867" s="98"/>
    </row>
    <row r="11868" spans="20:20" x14ac:dyDescent="0.25">
      <c r="T11868" s="98"/>
    </row>
    <row r="11869" spans="20:20" x14ac:dyDescent="0.25">
      <c r="T11869" s="98"/>
    </row>
    <row r="11870" spans="20:20" x14ac:dyDescent="0.25">
      <c r="T11870" s="98"/>
    </row>
    <row r="11871" spans="20:20" x14ac:dyDescent="0.25">
      <c r="T11871" s="98"/>
    </row>
    <row r="11872" spans="20:20" x14ac:dyDescent="0.25">
      <c r="T11872" s="98"/>
    </row>
    <row r="11873" spans="20:20" x14ac:dyDescent="0.25">
      <c r="T11873" s="98"/>
    </row>
    <row r="11874" spans="20:20" x14ac:dyDescent="0.25">
      <c r="T11874" s="98"/>
    </row>
    <row r="11875" spans="20:20" x14ac:dyDescent="0.25">
      <c r="T11875" s="98"/>
    </row>
    <row r="11876" spans="20:20" x14ac:dyDescent="0.25">
      <c r="T11876" s="98"/>
    </row>
    <row r="11877" spans="20:20" x14ac:dyDescent="0.25">
      <c r="T11877" s="98"/>
    </row>
    <row r="11878" spans="20:20" x14ac:dyDescent="0.25">
      <c r="T11878" s="98"/>
    </row>
    <row r="11879" spans="20:20" x14ac:dyDescent="0.25">
      <c r="T11879" s="98"/>
    </row>
    <row r="11880" spans="20:20" x14ac:dyDescent="0.25">
      <c r="T11880" s="98"/>
    </row>
    <row r="11881" spans="20:20" x14ac:dyDescent="0.25">
      <c r="T11881" s="98"/>
    </row>
    <row r="11882" spans="20:20" x14ac:dyDescent="0.25">
      <c r="T11882" s="98"/>
    </row>
    <row r="11883" spans="20:20" x14ac:dyDescent="0.25">
      <c r="T11883" s="98"/>
    </row>
    <row r="11884" spans="20:20" x14ac:dyDescent="0.25">
      <c r="T11884" s="98"/>
    </row>
    <row r="11885" spans="20:20" x14ac:dyDescent="0.25">
      <c r="T11885" s="98"/>
    </row>
    <row r="11886" spans="20:20" x14ac:dyDescent="0.25">
      <c r="T11886" s="98"/>
    </row>
    <row r="11887" spans="20:20" x14ac:dyDescent="0.25">
      <c r="T11887" s="98"/>
    </row>
    <row r="11888" spans="20:20" x14ac:dyDescent="0.25">
      <c r="T11888" s="98"/>
    </row>
    <row r="11889" spans="20:20" x14ac:dyDescent="0.25">
      <c r="T11889" s="98"/>
    </row>
    <row r="11890" spans="20:20" x14ac:dyDescent="0.25">
      <c r="T11890" s="98"/>
    </row>
    <row r="11891" spans="20:20" x14ac:dyDescent="0.25">
      <c r="T11891" s="98"/>
    </row>
    <row r="11892" spans="20:20" x14ac:dyDescent="0.25">
      <c r="T11892" s="98"/>
    </row>
    <row r="11893" spans="20:20" x14ac:dyDescent="0.25">
      <c r="T11893" s="98"/>
    </row>
    <row r="11894" spans="20:20" x14ac:dyDescent="0.25">
      <c r="T11894" s="98"/>
    </row>
    <row r="11895" spans="20:20" x14ac:dyDescent="0.25">
      <c r="T11895" s="98"/>
    </row>
    <row r="11896" spans="20:20" x14ac:dyDescent="0.25">
      <c r="T11896" s="98"/>
    </row>
    <row r="11897" spans="20:20" x14ac:dyDescent="0.25">
      <c r="T11897" s="98"/>
    </row>
    <row r="11898" spans="20:20" x14ac:dyDescent="0.25">
      <c r="T11898" s="98"/>
    </row>
    <row r="11899" spans="20:20" x14ac:dyDescent="0.25">
      <c r="T11899" s="98"/>
    </row>
    <row r="11900" spans="20:20" x14ac:dyDescent="0.25">
      <c r="T11900" s="98"/>
    </row>
    <row r="11901" spans="20:20" x14ac:dyDescent="0.25">
      <c r="T11901" s="98"/>
    </row>
    <row r="11902" spans="20:20" x14ac:dyDescent="0.25">
      <c r="T11902" s="98"/>
    </row>
    <row r="11903" spans="20:20" x14ac:dyDescent="0.25">
      <c r="T11903" s="98"/>
    </row>
    <row r="11904" spans="20:20" x14ac:dyDescent="0.25">
      <c r="T11904" s="98"/>
    </row>
    <row r="11905" spans="20:20" x14ac:dyDescent="0.25">
      <c r="T11905" s="98"/>
    </row>
    <row r="11906" spans="20:20" x14ac:dyDescent="0.25">
      <c r="T11906" s="98"/>
    </row>
    <row r="11907" spans="20:20" x14ac:dyDescent="0.25">
      <c r="T11907" s="98"/>
    </row>
    <row r="11908" spans="20:20" x14ac:dyDescent="0.25">
      <c r="T11908" s="98"/>
    </row>
    <row r="11909" spans="20:20" x14ac:dyDescent="0.25">
      <c r="T11909" s="98"/>
    </row>
    <row r="11910" spans="20:20" x14ac:dyDescent="0.25">
      <c r="T11910" s="98"/>
    </row>
    <row r="11911" spans="20:20" x14ac:dyDescent="0.25">
      <c r="T11911" s="98"/>
    </row>
    <row r="11912" spans="20:20" x14ac:dyDescent="0.25">
      <c r="T11912" s="98"/>
    </row>
    <row r="11913" spans="20:20" x14ac:dyDescent="0.25">
      <c r="T11913" s="98"/>
    </row>
    <row r="11914" spans="20:20" x14ac:dyDescent="0.25">
      <c r="T11914" s="98"/>
    </row>
    <row r="11915" spans="20:20" x14ac:dyDescent="0.25">
      <c r="T11915" s="98"/>
    </row>
    <row r="11916" spans="20:20" x14ac:dyDescent="0.25">
      <c r="T11916" s="98"/>
    </row>
    <row r="11917" spans="20:20" x14ac:dyDescent="0.25">
      <c r="T11917" s="98"/>
    </row>
    <row r="11918" spans="20:20" x14ac:dyDescent="0.25">
      <c r="T11918" s="98"/>
    </row>
    <row r="11919" spans="20:20" x14ac:dyDescent="0.25">
      <c r="T11919" s="98"/>
    </row>
    <row r="11920" spans="20:20" x14ac:dyDescent="0.25">
      <c r="T11920" s="98"/>
    </row>
    <row r="11921" spans="20:20" x14ac:dyDescent="0.25">
      <c r="T11921" s="98"/>
    </row>
    <row r="11922" spans="20:20" x14ac:dyDescent="0.25">
      <c r="T11922" s="98"/>
    </row>
    <row r="11923" spans="20:20" x14ac:dyDescent="0.25">
      <c r="T11923" s="98"/>
    </row>
    <row r="11924" spans="20:20" x14ac:dyDescent="0.25">
      <c r="T11924" s="98"/>
    </row>
    <row r="11925" spans="20:20" x14ac:dyDescent="0.25">
      <c r="T11925" s="98"/>
    </row>
    <row r="11926" spans="20:20" x14ac:dyDescent="0.25">
      <c r="T11926" s="98"/>
    </row>
    <row r="11927" spans="20:20" x14ac:dyDescent="0.25">
      <c r="T11927" s="98"/>
    </row>
    <row r="11928" spans="20:20" x14ac:dyDescent="0.25">
      <c r="T11928" s="98"/>
    </row>
    <row r="11929" spans="20:20" x14ac:dyDescent="0.25">
      <c r="T11929" s="98"/>
    </row>
    <row r="11930" spans="20:20" x14ac:dyDescent="0.25">
      <c r="T11930" s="98"/>
    </row>
    <row r="11931" spans="20:20" x14ac:dyDescent="0.25">
      <c r="T11931" s="98"/>
    </row>
    <row r="11932" spans="20:20" x14ac:dyDescent="0.25">
      <c r="T11932" s="98"/>
    </row>
    <row r="11933" spans="20:20" x14ac:dyDescent="0.25">
      <c r="T11933" s="98"/>
    </row>
    <row r="11934" spans="20:20" x14ac:dyDescent="0.25">
      <c r="T11934" s="98"/>
    </row>
    <row r="11935" spans="20:20" x14ac:dyDescent="0.25">
      <c r="T11935" s="98"/>
    </row>
    <row r="11936" spans="20:20" x14ac:dyDescent="0.25">
      <c r="T11936" s="98"/>
    </row>
    <row r="11937" spans="20:20" x14ac:dyDescent="0.25">
      <c r="T11937" s="98"/>
    </row>
    <row r="11938" spans="20:20" x14ac:dyDescent="0.25">
      <c r="T11938" s="98"/>
    </row>
    <row r="11939" spans="20:20" x14ac:dyDescent="0.25">
      <c r="T11939" s="98"/>
    </row>
    <row r="11940" spans="20:20" x14ac:dyDescent="0.25">
      <c r="T11940" s="98"/>
    </row>
    <row r="11941" spans="20:20" x14ac:dyDescent="0.25">
      <c r="T11941" s="98"/>
    </row>
    <row r="11942" spans="20:20" x14ac:dyDescent="0.25">
      <c r="T11942" s="98"/>
    </row>
    <row r="11943" spans="20:20" x14ac:dyDescent="0.25">
      <c r="T11943" s="98"/>
    </row>
    <row r="11944" spans="20:20" x14ac:dyDescent="0.25">
      <c r="T11944" s="98"/>
    </row>
    <row r="11945" spans="20:20" x14ac:dyDescent="0.25">
      <c r="T11945" s="98"/>
    </row>
    <row r="11946" spans="20:20" x14ac:dyDescent="0.25">
      <c r="T11946" s="98"/>
    </row>
    <row r="11947" spans="20:20" x14ac:dyDescent="0.25">
      <c r="T11947" s="98"/>
    </row>
    <row r="11948" spans="20:20" x14ac:dyDescent="0.25">
      <c r="T11948" s="98"/>
    </row>
    <row r="11949" spans="20:20" x14ac:dyDescent="0.25">
      <c r="T11949" s="98"/>
    </row>
    <row r="11950" spans="20:20" x14ac:dyDescent="0.25">
      <c r="T11950" s="98"/>
    </row>
    <row r="11951" spans="20:20" x14ac:dyDescent="0.25">
      <c r="T11951" s="98"/>
    </row>
    <row r="11952" spans="20:20" x14ac:dyDescent="0.25">
      <c r="T11952" s="98"/>
    </row>
    <row r="11953" spans="20:20" x14ac:dyDescent="0.25">
      <c r="T11953" s="98"/>
    </row>
    <row r="11954" spans="20:20" x14ac:dyDescent="0.25">
      <c r="T11954" s="98"/>
    </row>
    <row r="11955" spans="20:20" x14ac:dyDescent="0.25">
      <c r="T11955" s="98"/>
    </row>
    <row r="11956" spans="20:20" x14ac:dyDescent="0.25">
      <c r="T11956" s="98"/>
    </row>
    <row r="11957" spans="20:20" x14ac:dyDescent="0.25">
      <c r="T11957" s="98"/>
    </row>
    <row r="11958" spans="20:20" x14ac:dyDescent="0.25">
      <c r="T11958" s="98"/>
    </row>
    <row r="11959" spans="20:20" x14ac:dyDescent="0.25">
      <c r="T11959" s="98"/>
    </row>
    <row r="11960" spans="20:20" x14ac:dyDescent="0.25">
      <c r="T11960" s="98"/>
    </row>
    <row r="11961" spans="20:20" x14ac:dyDescent="0.25">
      <c r="T11961" s="98"/>
    </row>
    <row r="11962" spans="20:20" x14ac:dyDescent="0.25">
      <c r="T11962" s="98"/>
    </row>
    <row r="11963" spans="20:20" x14ac:dyDescent="0.25">
      <c r="T11963" s="98"/>
    </row>
    <row r="11964" spans="20:20" x14ac:dyDescent="0.25">
      <c r="T11964" s="98"/>
    </row>
    <row r="11965" spans="20:20" x14ac:dyDescent="0.25">
      <c r="T11965" s="98"/>
    </row>
    <row r="11966" spans="20:20" x14ac:dyDescent="0.25">
      <c r="T11966" s="98"/>
    </row>
    <row r="11967" spans="20:20" x14ac:dyDescent="0.25">
      <c r="T11967" s="98"/>
    </row>
    <row r="11968" spans="20:20" x14ac:dyDescent="0.25">
      <c r="T11968" s="98"/>
    </row>
    <row r="11969" spans="20:20" x14ac:dyDescent="0.25">
      <c r="T11969" s="98"/>
    </row>
    <row r="11970" spans="20:20" x14ac:dyDescent="0.25">
      <c r="T11970" s="98"/>
    </row>
    <row r="11971" spans="20:20" x14ac:dyDescent="0.25">
      <c r="T11971" s="98"/>
    </row>
    <row r="11972" spans="20:20" x14ac:dyDescent="0.25">
      <c r="T11972" s="98"/>
    </row>
    <row r="11973" spans="20:20" x14ac:dyDescent="0.25">
      <c r="T11973" s="98"/>
    </row>
    <row r="11974" spans="20:20" x14ac:dyDescent="0.25">
      <c r="T11974" s="98"/>
    </row>
    <row r="11975" spans="20:20" x14ac:dyDescent="0.25">
      <c r="T11975" s="98"/>
    </row>
    <row r="11976" spans="20:20" x14ac:dyDescent="0.25">
      <c r="T11976" s="98"/>
    </row>
    <row r="11977" spans="20:20" x14ac:dyDescent="0.25">
      <c r="T11977" s="98"/>
    </row>
    <row r="11978" spans="20:20" x14ac:dyDescent="0.25">
      <c r="T11978" s="98"/>
    </row>
    <row r="11979" spans="20:20" x14ac:dyDescent="0.25">
      <c r="T11979" s="98"/>
    </row>
    <row r="11980" spans="20:20" x14ac:dyDescent="0.25">
      <c r="T11980" s="98"/>
    </row>
    <row r="11981" spans="20:20" x14ac:dyDescent="0.25">
      <c r="T11981" s="98"/>
    </row>
    <row r="11982" spans="20:20" x14ac:dyDescent="0.25">
      <c r="T11982" s="98"/>
    </row>
    <row r="11983" spans="20:20" x14ac:dyDescent="0.25">
      <c r="T11983" s="98"/>
    </row>
    <row r="11984" spans="20:20" x14ac:dyDescent="0.25">
      <c r="T11984" s="98"/>
    </row>
    <row r="11985" spans="20:20" x14ac:dyDescent="0.25">
      <c r="T11985" s="98"/>
    </row>
    <row r="11986" spans="20:20" x14ac:dyDescent="0.25">
      <c r="T11986" s="98"/>
    </row>
    <row r="11987" spans="20:20" x14ac:dyDescent="0.25">
      <c r="T11987" s="98"/>
    </row>
    <row r="11988" spans="20:20" x14ac:dyDescent="0.25">
      <c r="T11988" s="98"/>
    </row>
    <row r="11989" spans="20:20" x14ac:dyDescent="0.25">
      <c r="T11989" s="98"/>
    </row>
    <row r="11990" spans="20:20" x14ac:dyDescent="0.25">
      <c r="T11990" s="98"/>
    </row>
    <row r="11991" spans="20:20" x14ac:dyDescent="0.25">
      <c r="T11991" s="98"/>
    </row>
    <row r="11992" spans="20:20" x14ac:dyDescent="0.25">
      <c r="T11992" s="98"/>
    </row>
    <row r="11993" spans="20:20" x14ac:dyDescent="0.25">
      <c r="T11993" s="98"/>
    </row>
    <row r="11994" spans="20:20" x14ac:dyDescent="0.25">
      <c r="T11994" s="98"/>
    </row>
    <row r="11995" spans="20:20" x14ac:dyDescent="0.25">
      <c r="T11995" s="98"/>
    </row>
    <row r="11996" spans="20:20" x14ac:dyDescent="0.25">
      <c r="T11996" s="98"/>
    </row>
    <row r="11997" spans="20:20" x14ac:dyDescent="0.25">
      <c r="T11997" s="98"/>
    </row>
    <row r="11998" spans="20:20" x14ac:dyDescent="0.25">
      <c r="T11998" s="98"/>
    </row>
    <row r="11999" spans="20:20" x14ac:dyDescent="0.25">
      <c r="T11999" s="98"/>
    </row>
    <row r="12000" spans="20:20" x14ac:dyDescent="0.25">
      <c r="T12000" s="98"/>
    </row>
    <row r="12001" spans="20:20" x14ac:dyDescent="0.25">
      <c r="T12001" s="98"/>
    </row>
    <row r="12002" spans="20:20" x14ac:dyDescent="0.25">
      <c r="T12002" s="98"/>
    </row>
    <row r="12003" spans="20:20" x14ac:dyDescent="0.25">
      <c r="T12003" s="98"/>
    </row>
    <row r="12004" spans="20:20" x14ac:dyDescent="0.25">
      <c r="T12004" s="98"/>
    </row>
    <row r="12005" spans="20:20" x14ac:dyDescent="0.25">
      <c r="T12005" s="98"/>
    </row>
    <row r="12006" spans="20:20" x14ac:dyDescent="0.25">
      <c r="T12006" s="98"/>
    </row>
    <row r="12007" spans="20:20" x14ac:dyDescent="0.25">
      <c r="T12007" s="98"/>
    </row>
    <row r="12008" spans="20:20" x14ac:dyDescent="0.25">
      <c r="T12008" s="98"/>
    </row>
    <row r="12009" spans="20:20" x14ac:dyDescent="0.25">
      <c r="T12009" s="98"/>
    </row>
    <row r="12010" spans="20:20" x14ac:dyDescent="0.25">
      <c r="T12010" s="98"/>
    </row>
    <row r="12011" spans="20:20" x14ac:dyDescent="0.25">
      <c r="T12011" s="98"/>
    </row>
    <row r="12012" spans="20:20" x14ac:dyDescent="0.25">
      <c r="T12012" s="98"/>
    </row>
    <row r="12013" spans="20:20" x14ac:dyDescent="0.25">
      <c r="T12013" s="98"/>
    </row>
    <row r="12014" spans="20:20" x14ac:dyDescent="0.25">
      <c r="T12014" s="98"/>
    </row>
    <row r="12015" spans="20:20" x14ac:dyDescent="0.25">
      <c r="T12015" s="98"/>
    </row>
    <row r="12016" spans="20:20" x14ac:dyDescent="0.25">
      <c r="T12016" s="98"/>
    </row>
    <row r="12017" spans="20:20" x14ac:dyDescent="0.25">
      <c r="T12017" s="98"/>
    </row>
    <row r="12018" spans="20:20" x14ac:dyDescent="0.25">
      <c r="T12018" s="98"/>
    </row>
    <row r="12019" spans="20:20" x14ac:dyDescent="0.25">
      <c r="T12019" s="98"/>
    </row>
    <row r="12020" spans="20:20" x14ac:dyDescent="0.25">
      <c r="T12020" s="98"/>
    </row>
    <row r="12021" spans="20:20" x14ac:dyDescent="0.25">
      <c r="T12021" s="98"/>
    </row>
    <row r="12022" spans="20:20" x14ac:dyDescent="0.25">
      <c r="T12022" s="98"/>
    </row>
    <row r="12023" spans="20:20" x14ac:dyDescent="0.25">
      <c r="T12023" s="98"/>
    </row>
    <row r="12024" spans="20:20" x14ac:dyDescent="0.25">
      <c r="T12024" s="98"/>
    </row>
    <row r="12025" spans="20:20" x14ac:dyDescent="0.25">
      <c r="T12025" s="98"/>
    </row>
    <row r="12026" spans="20:20" x14ac:dyDescent="0.25">
      <c r="T12026" s="98"/>
    </row>
    <row r="12027" spans="20:20" x14ac:dyDescent="0.25">
      <c r="T12027" s="98"/>
    </row>
    <row r="12028" spans="20:20" x14ac:dyDescent="0.25">
      <c r="T12028" s="98"/>
    </row>
    <row r="12029" spans="20:20" x14ac:dyDescent="0.25">
      <c r="T12029" s="98"/>
    </row>
    <row r="12030" spans="20:20" x14ac:dyDescent="0.25">
      <c r="T12030" s="98"/>
    </row>
    <row r="12031" spans="20:20" x14ac:dyDescent="0.25">
      <c r="T12031" s="98"/>
    </row>
    <row r="12032" spans="20:20" x14ac:dyDescent="0.25">
      <c r="T12032" s="98"/>
    </row>
    <row r="12033" spans="20:20" x14ac:dyDescent="0.25">
      <c r="T12033" s="98"/>
    </row>
    <row r="12034" spans="20:20" x14ac:dyDescent="0.25">
      <c r="T12034" s="98"/>
    </row>
    <row r="12035" spans="20:20" x14ac:dyDescent="0.25">
      <c r="T12035" s="98"/>
    </row>
    <row r="12036" spans="20:20" x14ac:dyDescent="0.25">
      <c r="T12036" s="98"/>
    </row>
    <row r="12037" spans="20:20" x14ac:dyDescent="0.25">
      <c r="T12037" s="98"/>
    </row>
    <row r="12038" spans="20:20" x14ac:dyDescent="0.25">
      <c r="T12038" s="98"/>
    </row>
    <row r="12039" spans="20:20" x14ac:dyDescent="0.25">
      <c r="T12039" s="98"/>
    </row>
    <row r="12040" spans="20:20" x14ac:dyDescent="0.25">
      <c r="T12040" s="98"/>
    </row>
    <row r="12041" spans="20:20" x14ac:dyDescent="0.25">
      <c r="T12041" s="98"/>
    </row>
    <row r="12042" spans="20:20" x14ac:dyDescent="0.25">
      <c r="T12042" s="98"/>
    </row>
    <row r="12043" spans="20:20" x14ac:dyDescent="0.25">
      <c r="T12043" s="98"/>
    </row>
    <row r="12044" spans="20:20" x14ac:dyDescent="0.25">
      <c r="T12044" s="98"/>
    </row>
    <row r="12045" spans="20:20" x14ac:dyDescent="0.25">
      <c r="T12045" s="98"/>
    </row>
    <row r="12046" spans="20:20" x14ac:dyDescent="0.25">
      <c r="T12046" s="98"/>
    </row>
    <row r="12047" spans="20:20" x14ac:dyDescent="0.25">
      <c r="T12047" s="98"/>
    </row>
    <row r="12048" spans="20:20" x14ac:dyDescent="0.25">
      <c r="T12048" s="98"/>
    </row>
    <row r="12049" spans="20:20" x14ac:dyDescent="0.25">
      <c r="T12049" s="98"/>
    </row>
    <row r="12050" spans="20:20" x14ac:dyDescent="0.25">
      <c r="T12050" s="98"/>
    </row>
    <row r="12051" spans="20:20" x14ac:dyDescent="0.25">
      <c r="T12051" s="98"/>
    </row>
    <row r="12052" spans="20:20" x14ac:dyDescent="0.25">
      <c r="T12052" s="98"/>
    </row>
    <row r="12053" spans="20:20" x14ac:dyDescent="0.25">
      <c r="T12053" s="98"/>
    </row>
    <row r="12054" spans="20:20" x14ac:dyDescent="0.25">
      <c r="T12054" s="98"/>
    </row>
    <row r="12055" spans="20:20" x14ac:dyDescent="0.25">
      <c r="T12055" s="98"/>
    </row>
    <row r="12056" spans="20:20" x14ac:dyDescent="0.25">
      <c r="T12056" s="98"/>
    </row>
    <row r="12057" spans="20:20" x14ac:dyDescent="0.25">
      <c r="T12057" s="98"/>
    </row>
    <row r="12058" spans="20:20" x14ac:dyDescent="0.25">
      <c r="T12058" s="98"/>
    </row>
    <row r="12059" spans="20:20" x14ac:dyDescent="0.25">
      <c r="T12059" s="98"/>
    </row>
    <row r="12060" spans="20:20" x14ac:dyDescent="0.25">
      <c r="T12060" s="98"/>
    </row>
    <row r="12061" spans="20:20" x14ac:dyDescent="0.25">
      <c r="T12061" s="98"/>
    </row>
    <row r="12062" spans="20:20" x14ac:dyDescent="0.25">
      <c r="T12062" s="98"/>
    </row>
    <row r="12063" spans="20:20" x14ac:dyDescent="0.25">
      <c r="T12063" s="98"/>
    </row>
    <row r="12064" spans="20:20" x14ac:dyDescent="0.25">
      <c r="T12064" s="98"/>
    </row>
    <row r="12065" spans="20:20" x14ac:dyDescent="0.25">
      <c r="T12065" s="98"/>
    </row>
    <row r="12066" spans="20:20" x14ac:dyDescent="0.25">
      <c r="T12066" s="98"/>
    </row>
    <row r="12067" spans="20:20" x14ac:dyDescent="0.25">
      <c r="T12067" s="98"/>
    </row>
    <row r="12068" spans="20:20" x14ac:dyDescent="0.25">
      <c r="T12068" s="98"/>
    </row>
    <row r="12069" spans="20:20" x14ac:dyDescent="0.25">
      <c r="T12069" s="98"/>
    </row>
    <row r="12070" spans="20:20" x14ac:dyDescent="0.25">
      <c r="T12070" s="98"/>
    </row>
    <row r="12071" spans="20:20" x14ac:dyDescent="0.25">
      <c r="T12071" s="98"/>
    </row>
    <row r="12072" spans="20:20" x14ac:dyDescent="0.25">
      <c r="T12072" s="98"/>
    </row>
    <row r="12073" spans="20:20" x14ac:dyDescent="0.25">
      <c r="T12073" s="98"/>
    </row>
    <row r="12074" spans="20:20" x14ac:dyDescent="0.25">
      <c r="T12074" s="98"/>
    </row>
    <row r="12075" spans="20:20" x14ac:dyDescent="0.25">
      <c r="T12075" s="98"/>
    </row>
    <row r="12076" spans="20:20" x14ac:dyDescent="0.25">
      <c r="T12076" s="98"/>
    </row>
    <row r="12077" spans="20:20" x14ac:dyDescent="0.25">
      <c r="T12077" s="98"/>
    </row>
    <row r="12078" spans="20:20" x14ac:dyDescent="0.25">
      <c r="T12078" s="98"/>
    </row>
    <row r="12079" spans="20:20" x14ac:dyDescent="0.25">
      <c r="T12079" s="98"/>
    </row>
    <row r="12080" spans="20:20" x14ac:dyDescent="0.25">
      <c r="T12080" s="98"/>
    </row>
    <row r="12081" spans="20:20" x14ac:dyDescent="0.25">
      <c r="T12081" s="98"/>
    </row>
    <row r="12082" spans="20:20" x14ac:dyDescent="0.25">
      <c r="T12082" s="98"/>
    </row>
    <row r="12083" spans="20:20" x14ac:dyDescent="0.25">
      <c r="T12083" s="98"/>
    </row>
    <row r="12084" spans="20:20" x14ac:dyDescent="0.25">
      <c r="T12084" s="98"/>
    </row>
    <row r="12085" spans="20:20" x14ac:dyDescent="0.25">
      <c r="T12085" s="98"/>
    </row>
    <row r="12086" spans="20:20" x14ac:dyDescent="0.25">
      <c r="T12086" s="98"/>
    </row>
    <row r="12087" spans="20:20" x14ac:dyDescent="0.25">
      <c r="T12087" s="98"/>
    </row>
    <row r="12088" spans="20:20" x14ac:dyDescent="0.25">
      <c r="T12088" s="98"/>
    </row>
    <row r="12089" spans="20:20" x14ac:dyDescent="0.25">
      <c r="T12089" s="98"/>
    </row>
    <row r="12090" spans="20:20" x14ac:dyDescent="0.25">
      <c r="T12090" s="98"/>
    </row>
    <row r="12091" spans="20:20" x14ac:dyDescent="0.25">
      <c r="T12091" s="98"/>
    </row>
    <row r="12092" spans="20:20" x14ac:dyDescent="0.25">
      <c r="T12092" s="98"/>
    </row>
    <row r="12093" spans="20:20" x14ac:dyDescent="0.25">
      <c r="T12093" s="98"/>
    </row>
    <row r="12094" spans="20:20" x14ac:dyDescent="0.25">
      <c r="T12094" s="98"/>
    </row>
    <row r="12095" spans="20:20" x14ac:dyDescent="0.25">
      <c r="T12095" s="98"/>
    </row>
    <row r="12096" spans="20:20" x14ac:dyDescent="0.25">
      <c r="T12096" s="98"/>
    </row>
    <row r="12097" spans="20:20" x14ac:dyDescent="0.25">
      <c r="T12097" s="98"/>
    </row>
    <row r="12098" spans="20:20" x14ac:dyDescent="0.25">
      <c r="T12098" s="98"/>
    </row>
    <row r="12099" spans="20:20" x14ac:dyDescent="0.25">
      <c r="T12099" s="98"/>
    </row>
    <row r="12100" spans="20:20" x14ac:dyDescent="0.25">
      <c r="T12100" s="98"/>
    </row>
    <row r="12101" spans="20:20" x14ac:dyDescent="0.25">
      <c r="T12101" s="98"/>
    </row>
    <row r="12102" spans="20:20" x14ac:dyDescent="0.25">
      <c r="T12102" s="98"/>
    </row>
    <row r="12103" spans="20:20" x14ac:dyDescent="0.25">
      <c r="T12103" s="98"/>
    </row>
    <row r="12104" spans="20:20" x14ac:dyDescent="0.25">
      <c r="T12104" s="98"/>
    </row>
    <row r="12105" spans="20:20" x14ac:dyDescent="0.25">
      <c r="T12105" s="98"/>
    </row>
    <row r="12106" spans="20:20" x14ac:dyDescent="0.25">
      <c r="T12106" s="98"/>
    </row>
    <row r="12107" spans="20:20" x14ac:dyDescent="0.25">
      <c r="T12107" s="98"/>
    </row>
    <row r="12108" spans="20:20" x14ac:dyDescent="0.25">
      <c r="T12108" s="98"/>
    </row>
    <row r="12109" spans="20:20" x14ac:dyDescent="0.25">
      <c r="T12109" s="98"/>
    </row>
    <row r="12110" spans="20:20" x14ac:dyDescent="0.25">
      <c r="T12110" s="98"/>
    </row>
    <row r="12111" spans="20:20" x14ac:dyDescent="0.25">
      <c r="T12111" s="98"/>
    </row>
    <row r="12112" spans="20:20" x14ac:dyDescent="0.25">
      <c r="T12112" s="98"/>
    </row>
    <row r="12113" spans="20:20" x14ac:dyDescent="0.25">
      <c r="T12113" s="98"/>
    </row>
    <row r="12114" spans="20:20" x14ac:dyDescent="0.25">
      <c r="T12114" s="98"/>
    </row>
    <row r="12115" spans="20:20" x14ac:dyDescent="0.25">
      <c r="T12115" s="98"/>
    </row>
    <row r="12116" spans="20:20" x14ac:dyDescent="0.25">
      <c r="T12116" s="98"/>
    </row>
    <row r="12117" spans="20:20" x14ac:dyDescent="0.25">
      <c r="T12117" s="98"/>
    </row>
    <row r="12118" spans="20:20" x14ac:dyDescent="0.25">
      <c r="T12118" s="98"/>
    </row>
    <row r="12119" spans="20:20" x14ac:dyDescent="0.25">
      <c r="T12119" s="98"/>
    </row>
    <row r="12120" spans="20:20" x14ac:dyDescent="0.25">
      <c r="T12120" s="98"/>
    </row>
    <row r="12121" spans="20:20" x14ac:dyDescent="0.25">
      <c r="T12121" s="98"/>
    </row>
    <row r="12122" spans="20:20" x14ac:dyDescent="0.25">
      <c r="T12122" s="98"/>
    </row>
    <row r="12123" spans="20:20" x14ac:dyDescent="0.25">
      <c r="T12123" s="98"/>
    </row>
    <row r="12124" spans="20:20" x14ac:dyDescent="0.25">
      <c r="T12124" s="98"/>
    </row>
    <row r="12125" spans="20:20" x14ac:dyDescent="0.25">
      <c r="T12125" s="98"/>
    </row>
    <row r="12126" spans="20:20" x14ac:dyDescent="0.25">
      <c r="T12126" s="98"/>
    </row>
    <row r="12127" spans="20:20" x14ac:dyDescent="0.25">
      <c r="T12127" s="98"/>
    </row>
    <row r="12128" spans="20:20" x14ac:dyDescent="0.25">
      <c r="T12128" s="98"/>
    </row>
    <row r="12129" spans="20:20" x14ac:dyDescent="0.25">
      <c r="T12129" s="98"/>
    </row>
    <row r="12130" spans="20:20" x14ac:dyDescent="0.25">
      <c r="T12130" s="98"/>
    </row>
    <row r="12131" spans="20:20" x14ac:dyDescent="0.25">
      <c r="T12131" s="98"/>
    </row>
    <row r="12132" spans="20:20" x14ac:dyDescent="0.25">
      <c r="T12132" s="98"/>
    </row>
    <row r="12133" spans="20:20" x14ac:dyDescent="0.25">
      <c r="T12133" s="98"/>
    </row>
    <row r="12134" spans="20:20" x14ac:dyDescent="0.25">
      <c r="T12134" s="98"/>
    </row>
    <row r="12135" spans="20:20" x14ac:dyDescent="0.25">
      <c r="T12135" s="98"/>
    </row>
    <row r="12136" spans="20:20" x14ac:dyDescent="0.25">
      <c r="T12136" s="98"/>
    </row>
    <row r="12137" spans="20:20" x14ac:dyDescent="0.25">
      <c r="T12137" s="98"/>
    </row>
    <row r="12138" spans="20:20" x14ac:dyDescent="0.25">
      <c r="T12138" s="98"/>
    </row>
    <row r="12139" spans="20:20" x14ac:dyDescent="0.25">
      <c r="T12139" s="98"/>
    </row>
    <row r="12140" spans="20:20" x14ac:dyDescent="0.25">
      <c r="T12140" s="98"/>
    </row>
    <row r="12141" spans="20:20" x14ac:dyDescent="0.25">
      <c r="T12141" s="98"/>
    </row>
    <row r="12142" spans="20:20" x14ac:dyDescent="0.25">
      <c r="T12142" s="98"/>
    </row>
    <row r="12143" spans="20:20" x14ac:dyDescent="0.25">
      <c r="T12143" s="98"/>
    </row>
    <row r="12144" spans="20:20" x14ac:dyDescent="0.25">
      <c r="T12144" s="98"/>
    </row>
    <row r="12145" spans="20:20" x14ac:dyDescent="0.25">
      <c r="T12145" s="98"/>
    </row>
    <row r="12146" spans="20:20" x14ac:dyDescent="0.25">
      <c r="T12146" s="98"/>
    </row>
    <row r="12147" spans="20:20" x14ac:dyDescent="0.25">
      <c r="T12147" s="98"/>
    </row>
    <row r="12148" spans="20:20" x14ac:dyDescent="0.25">
      <c r="T12148" s="98"/>
    </row>
    <row r="12149" spans="20:20" x14ac:dyDescent="0.25">
      <c r="T12149" s="98"/>
    </row>
    <row r="12150" spans="20:20" x14ac:dyDescent="0.25">
      <c r="T12150" s="98"/>
    </row>
    <row r="12151" spans="20:20" x14ac:dyDescent="0.25">
      <c r="T12151" s="98"/>
    </row>
    <row r="12152" spans="20:20" x14ac:dyDescent="0.25">
      <c r="T12152" s="98"/>
    </row>
    <row r="12153" spans="20:20" x14ac:dyDescent="0.25">
      <c r="T12153" s="98"/>
    </row>
    <row r="12154" spans="20:20" x14ac:dyDescent="0.25">
      <c r="T12154" s="98"/>
    </row>
    <row r="12155" spans="20:20" x14ac:dyDescent="0.25">
      <c r="T12155" s="98"/>
    </row>
    <row r="12156" spans="20:20" x14ac:dyDescent="0.25">
      <c r="T12156" s="98"/>
    </row>
    <row r="12157" spans="20:20" x14ac:dyDescent="0.25">
      <c r="T12157" s="98"/>
    </row>
    <row r="12158" spans="20:20" x14ac:dyDescent="0.25">
      <c r="T12158" s="98"/>
    </row>
    <row r="12159" spans="20:20" x14ac:dyDescent="0.25">
      <c r="T12159" s="98"/>
    </row>
    <row r="12160" spans="20:20" x14ac:dyDescent="0.25">
      <c r="T12160" s="98"/>
    </row>
    <row r="12161" spans="20:20" x14ac:dyDescent="0.25">
      <c r="T12161" s="98"/>
    </row>
    <row r="12162" spans="20:20" x14ac:dyDescent="0.25">
      <c r="T12162" s="98"/>
    </row>
    <row r="12163" spans="20:20" x14ac:dyDescent="0.25">
      <c r="T12163" s="98"/>
    </row>
    <row r="12164" spans="20:20" x14ac:dyDescent="0.25">
      <c r="T12164" s="98"/>
    </row>
    <row r="12165" spans="20:20" x14ac:dyDescent="0.25">
      <c r="T12165" s="98"/>
    </row>
    <row r="12166" spans="20:20" x14ac:dyDescent="0.25">
      <c r="T12166" s="98"/>
    </row>
    <row r="12167" spans="20:20" x14ac:dyDescent="0.25">
      <c r="T12167" s="98"/>
    </row>
    <row r="12168" spans="20:20" x14ac:dyDescent="0.25">
      <c r="T12168" s="98"/>
    </row>
    <row r="12169" spans="20:20" x14ac:dyDescent="0.25">
      <c r="T12169" s="98"/>
    </row>
    <row r="12170" spans="20:20" x14ac:dyDescent="0.25">
      <c r="T12170" s="98"/>
    </row>
    <row r="12171" spans="20:20" x14ac:dyDescent="0.25">
      <c r="T12171" s="98"/>
    </row>
    <row r="12172" spans="20:20" x14ac:dyDescent="0.25">
      <c r="T12172" s="98"/>
    </row>
    <row r="12173" spans="20:20" x14ac:dyDescent="0.25">
      <c r="T12173" s="98"/>
    </row>
    <row r="12174" spans="20:20" x14ac:dyDescent="0.25">
      <c r="T12174" s="98"/>
    </row>
    <row r="12175" spans="20:20" x14ac:dyDescent="0.25">
      <c r="T12175" s="98"/>
    </row>
    <row r="12176" spans="20:20" x14ac:dyDescent="0.25">
      <c r="T12176" s="98"/>
    </row>
    <row r="12177" spans="20:20" x14ac:dyDescent="0.25">
      <c r="T12177" s="98"/>
    </row>
    <row r="12178" spans="20:20" x14ac:dyDescent="0.25">
      <c r="T12178" s="98"/>
    </row>
    <row r="12179" spans="20:20" x14ac:dyDescent="0.25">
      <c r="T12179" s="98"/>
    </row>
    <row r="12180" spans="20:20" x14ac:dyDescent="0.25">
      <c r="T12180" s="98"/>
    </row>
    <row r="12181" spans="20:20" x14ac:dyDescent="0.25">
      <c r="T12181" s="98"/>
    </row>
    <row r="12182" spans="20:20" x14ac:dyDescent="0.25">
      <c r="T12182" s="98"/>
    </row>
    <row r="12183" spans="20:20" x14ac:dyDescent="0.25">
      <c r="T12183" s="98"/>
    </row>
    <row r="12184" spans="20:20" x14ac:dyDescent="0.25">
      <c r="T12184" s="98"/>
    </row>
    <row r="12185" spans="20:20" x14ac:dyDescent="0.25">
      <c r="T12185" s="98"/>
    </row>
    <row r="12186" spans="20:20" x14ac:dyDescent="0.25">
      <c r="T12186" s="98"/>
    </row>
    <row r="12187" spans="20:20" x14ac:dyDescent="0.25">
      <c r="T12187" s="98"/>
    </row>
    <row r="12188" spans="20:20" x14ac:dyDescent="0.25">
      <c r="T12188" s="98"/>
    </row>
    <row r="12189" spans="20:20" x14ac:dyDescent="0.25">
      <c r="T12189" s="98"/>
    </row>
    <row r="12190" spans="20:20" x14ac:dyDescent="0.25">
      <c r="T12190" s="98"/>
    </row>
    <row r="12191" spans="20:20" x14ac:dyDescent="0.25">
      <c r="T12191" s="98"/>
    </row>
    <row r="12192" spans="20:20" x14ac:dyDescent="0.25">
      <c r="T12192" s="98"/>
    </row>
    <row r="12193" spans="20:20" x14ac:dyDescent="0.25">
      <c r="T12193" s="98"/>
    </row>
    <row r="12194" spans="20:20" x14ac:dyDescent="0.25">
      <c r="T12194" s="98"/>
    </row>
    <row r="12195" spans="20:20" x14ac:dyDescent="0.25">
      <c r="T12195" s="98"/>
    </row>
    <row r="12196" spans="20:20" x14ac:dyDescent="0.25">
      <c r="T12196" s="98"/>
    </row>
    <row r="12197" spans="20:20" x14ac:dyDescent="0.25">
      <c r="T12197" s="98"/>
    </row>
    <row r="12198" spans="20:20" x14ac:dyDescent="0.25">
      <c r="T12198" s="98"/>
    </row>
    <row r="12199" spans="20:20" x14ac:dyDescent="0.25">
      <c r="T12199" s="98"/>
    </row>
    <row r="12200" spans="20:20" x14ac:dyDescent="0.25">
      <c r="T12200" s="98"/>
    </row>
    <row r="12201" spans="20:20" x14ac:dyDescent="0.25">
      <c r="T12201" s="98"/>
    </row>
    <row r="12202" spans="20:20" x14ac:dyDescent="0.25">
      <c r="T12202" s="98"/>
    </row>
    <row r="12203" spans="20:20" x14ac:dyDescent="0.25">
      <c r="T12203" s="98"/>
    </row>
    <row r="12204" spans="20:20" x14ac:dyDescent="0.25">
      <c r="T12204" s="98"/>
    </row>
    <row r="12205" spans="20:20" x14ac:dyDescent="0.25">
      <c r="T12205" s="98"/>
    </row>
    <row r="12206" spans="20:20" x14ac:dyDescent="0.25">
      <c r="T12206" s="98"/>
    </row>
    <row r="12207" spans="20:20" x14ac:dyDescent="0.25">
      <c r="T12207" s="98"/>
    </row>
    <row r="12208" spans="20:20" x14ac:dyDescent="0.25">
      <c r="T12208" s="98"/>
    </row>
    <row r="12209" spans="20:20" x14ac:dyDescent="0.25">
      <c r="T12209" s="98"/>
    </row>
    <row r="12210" spans="20:20" x14ac:dyDescent="0.25">
      <c r="T12210" s="98"/>
    </row>
    <row r="12211" spans="20:20" x14ac:dyDescent="0.25">
      <c r="T12211" s="98"/>
    </row>
    <row r="12212" spans="20:20" x14ac:dyDescent="0.25">
      <c r="T12212" s="98"/>
    </row>
    <row r="12213" spans="20:20" x14ac:dyDescent="0.25">
      <c r="T12213" s="98"/>
    </row>
    <row r="12214" spans="20:20" x14ac:dyDescent="0.25">
      <c r="T12214" s="98"/>
    </row>
    <row r="12215" spans="20:20" x14ac:dyDescent="0.25">
      <c r="T12215" s="98"/>
    </row>
    <row r="12216" spans="20:20" x14ac:dyDescent="0.25">
      <c r="T12216" s="98"/>
    </row>
    <row r="12217" spans="20:20" x14ac:dyDescent="0.25">
      <c r="T12217" s="98"/>
    </row>
    <row r="12218" spans="20:20" x14ac:dyDescent="0.25">
      <c r="T12218" s="98"/>
    </row>
    <row r="12219" spans="20:20" x14ac:dyDescent="0.25">
      <c r="T12219" s="98"/>
    </row>
    <row r="12220" spans="20:20" x14ac:dyDescent="0.25">
      <c r="T12220" s="98"/>
    </row>
    <row r="12221" spans="20:20" x14ac:dyDescent="0.25">
      <c r="T12221" s="98"/>
    </row>
    <row r="12222" spans="20:20" x14ac:dyDescent="0.25">
      <c r="T12222" s="98"/>
    </row>
    <row r="12223" spans="20:20" x14ac:dyDescent="0.25">
      <c r="T12223" s="98"/>
    </row>
    <row r="12224" spans="20:20" x14ac:dyDescent="0.25">
      <c r="T12224" s="98"/>
    </row>
    <row r="12225" spans="20:20" x14ac:dyDescent="0.25">
      <c r="T12225" s="98"/>
    </row>
    <row r="12226" spans="20:20" x14ac:dyDescent="0.25">
      <c r="T12226" s="98"/>
    </row>
    <row r="12227" spans="20:20" x14ac:dyDescent="0.25">
      <c r="T12227" s="98"/>
    </row>
    <row r="12228" spans="20:20" x14ac:dyDescent="0.25">
      <c r="T12228" s="98"/>
    </row>
    <row r="12229" spans="20:20" x14ac:dyDescent="0.25">
      <c r="T12229" s="98"/>
    </row>
    <row r="12230" spans="20:20" x14ac:dyDescent="0.25">
      <c r="T12230" s="98"/>
    </row>
    <row r="12231" spans="20:20" x14ac:dyDescent="0.25">
      <c r="T12231" s="98"/>
    </row>
    <row r="12232" spans="20:20" x14ac:dyDescent="0.25">
      <c r="T12232" s="98"/>
    </row>
    <row r="12233" spans="20:20" x14ac:dyDescent="0.25">
      <c r="T12233" s="98"/>
    </row>
    <row r="12234" spans="20:20" x14ac:dyDescent="0.25">
      <c r="T12234" s="98"/>
    </row>
    <row r="12235" spans="20:20" x14ac:dyDescent="0.25">
      <c r="T12235" s="98"/>
    </row>
    <row r="12236" spans="20:20" x14ac:dyDescent="0.25">
      <c r="T12236" s="98"/>
    </row>
    <row r="12237" spans="20:20" x14ac:dyDescent="0.25">
      <c r="T12237" s="98"/>
    </row>
    <row r="12238" spans="20:20" x14ac:dyDescent="0.25">
      <c r="T12238" s="98"/>
    </row>
    <row r="12239" spans="20:20" x14ac:dyDescent="0.25">
      <c r="T12239" s="98"/>
    </row>
    <row r="12240" spans="20:20" x14ac:dyDescent="0.25">
      <c r="T12240" s="98"/>
    </row>
    <row r="12241" spans="20:20" x14ac:dyDescent="0.25">
      <c r="T12241" s="98"/>
    </row>
    <row r="12242" spans="20:20" x14ac:dyDescent="0.25">
      <c r="T12242" s="98"/>
    </row>
    <row r="12243" spans="20:20" x14ac:dyDescent="0.25">
      <c r="T12243" s="98"/>
    </row>
    <row r="12244" spans="20:20" x14ac:dyDescent="0.25">
      <c r="T12244" s="98"/>
    </row>
    <row r="12245" spans="20:20" x14ac:dyDescent="0.25">
      <c r="T12245" s="98"/>
    </row>
    <row r="12246" spans="20:20" x14ac:dyDescent="0.25">
      <c r="T12246" s="98"/>
    </row>
    <row r="12247" spans="20:20" x14ac:dyDescent="0.25">
      <c r="T12247" s="98"/>
    </row>
    <row r="12248" spans="20:20" x14ac:dyDescent="0.25">
      <c r="T12248" s="98"/>
    </row>
    <row r="12249" spans="20:20" x14ac:dyDescent="0.25">
      <c r="T12249" s="98"/>
    </row>
    <row r="12250" spans="20:20" x14ac:dyDescent="0.25">
      <c r="T12250" s="98"/>
    </row>
    <row r="12251" spans="20:20" x14ac:dyDescent="0.25">
      <c r="T12251" s="98"/>
    </row>
    <row r="12252" spans="20:20" x14ac:dyDescent="0.25">
      <c r="T12252" s="98"/>
    </row>
    <row r="12253" spans="20:20" x14ac:dyDescent="0.25">
      <c r="T12253" s="98"/>
    </row>
    <row r="12254" spans="20:20" x14ac:dyDescent="0.25">
      <c r="T12254" s="98"/>
    </row>
    <row r="12255" spans="20:20" x14ac:dyDescent="0.25">
      <c r="T12255" s="98"/>
    </row>
    <row r="12256" spans="20:20" x14ac:dyDescent="0.25">
      <c r="T12256" s="98"/>
    </row>
    <row r="12257" spans="20:20" x14ac:dyDescent="0.25">
      <c r="T12257" s="98"/>
    </row>
    <row r="12258" spans="20:20" x14ac:dyDescent="0.25">
      <c r="T12258" s="98"/>
    </row>
    <row r="12259" spans="20:20" x14ac:dyDescent="0.25">
      <c r="T12259" s="98"/>
    </row>
    <row r="12260" spans="20:20" x14ac:dyDescent="0.25">
      <c r="T12260" s="98"/>
    </row>
    <row r="12261" spans="20:20" x14ac:dyDescent="0.25">
      <c r="T12261" s="98"/>
    </row>
    <row r="12262" spans="20:20" x14ac:dyDescent="0.25">
      <c r="T12262" s="98"/>
    </row>
    <row r="12263" spans="20:20" x14ac:dyDescent="0.25">
      <c r="T12263" s="98"/>
    </row>
    <row r="12264" spans="20:20" x14ac:dyDescent="0.25">
      <c r="T12264" s="98"/>
    </row>
    <row r="12265" spans="20:20" x14ac:dyDescent="0.25">
      <c r="T12265" s="98"/>
    </row>
    <row r="12266" spans="20:20" x14ac:dyDescent="0.25">
      <c r="T12266" s="98"/>
    </row>
    <row r="12267" spans="20:20" x14ac:dyDescent="0.25">
      <c r="T12267" s="98"/>
    </row>
    <row r="12268" spans="20:20" x14ac:dyDescent="0.25">
      <c r="T12268" s="98"/>
    </row>
    <row r="12269" spans="20:20" x14ac:dyDescent="0.25">
      <c r="T12269" s="98"/>
    </row>
    <row r="12270" spans="20:20" x14ac:dyDescent="0.25">
      <c r="T12270" s="98"/>
    </row>
    <row r="12271" spans="20:20" x14ac:dyDescent="0.25">
      <c r="T12271" s="98"/>
    </row>
    <row r="12272" spans="20:20" x14ac:dyDescent="0.25">
      <c r="T12272" s="98"/>
    </row>
    <row r="12273" spans="20:20" x14ac:dyDescent="0.25">
      <c r="T12273" s="98"/>
    </row>
    <row r="12274" spans="20:20" x14ac:dyDescent="0.25">
      <c r="T12274" s="98"/>
    </row>
    <row r="12275" spans="20:20" x14ac:dyDescent="0.25">
      <c r="T12275" s="98"/>
    </row>
    <row r="12276" spans="20:20" x14ac:dyDescent="0.25">
      <c r="T12276" s="98"/>
    </row>
    <row r="12277" spans="20:20" x14ac:dyDescent="0.25">
      <c r="T12277" s="98"/>
    </row>
    <row r="12278" spans="20:20" x14ac:dyDescent="0.25">
      <c r="T12278" s="98"/>
    </row>
    <row r="12279" spans="20:20" x14ac:dyDescent="0.25">
      <c r="T12279" s="98"/>
    </row>
    <row r="12280" spans="20:20" x14ac:dyDescent="0.25">
      <c r="T12280" s="98"/>
    </row>
    <row r="12281" spans="20:20" x14ac:dyDescent="0.25">
      <c r="T12281" s="98"/>
    </row>
    <row r="12282" spans="20:20" x14ac:dyDescent="0.25">
      <c r="T12282" s="98"/>
    </row>
    <row r="12283" spans="20:20" x14ac:dyDescent="0.25">
      <c r="T12283" s="98"/>
    </row>
    <row r="12284" spans="20:20" x14ac:dyDescent="0.25">
      <c r="T12284" s="98"/>
    </row>
    <row r="12285" spans="20:20" x14ac:dyDescent="0.25">
      <c r="T12285" s="98"/>
    </row>
    <row r="12286" spans="20:20" x14ac:dyDescent="0.25">
      <c r="T12286" s="98"/>
    </row>
    <row r="12287" spans="20:20" x14ac:dyDescent="0.25">
      <c r="T12287" s="98"/>
    </row>
    <row r="12288" spans="20:20" x14ac:dyDescent="0.25">
      <c r="T12288" s="98"/>
    </row>
    <row r="12289" spans="20:20" x14ac:dyDescent="0.25">
      <c r="T12289" s="98"/>
    </row>
    <row r="12290" spans="20:20" x14ac:dyDescent="0.25">
      <c r="T12290" s="98"/>
    </row>
    <row r="12291" spans="20:20" x14ac:dyDescent="0.25">
      <c r="T12291" s="98"/>
    </row>
    <row r="12292" spans="20:20" x14ac:dyDescent="0.25">
      <c r="T12292" s="98"/>
    </row>
    <row r="12293" spans="20:20" x14ac:dyDescent="0.25">
      <c r="T12293" s="98"/>
    </row>
    <row r="12294" spans="20:20" x14ac:dyDescent="0.25">
      <c r="T12294" s="98"/>
    </row>
    <row r="12295" spans="20:20" x14ac:dyDescent="0.25">
      <c r="T12295" s="98"/>
    </row>
    <row r="12296" spans="20:20" x14ac:dyDescent="0.25">
      <c r="T12296" s="98"/>
    </row>
    <row r="12297" spans="20:20" x14ac:dyDescent="0.25">
      <c r="T12297" s="98"/>
    </row>
    <row r="12298" spans="20:20" x14ac:dyDescent="0.25">
      <c r="T12298" s="98"/>
    </row>
    <row r="12299" spans="20:20" x14ac:dyDescent="0.25">
      <c r="T12299" s="98"/>
    </row>
    <row r="12300" spans="20:20" x14ac:dyDescent="0.25">
      <c r="T12300" s="98"/>
    </row>
    <row r="12301" spans="20:20" x14ac:dyDescent="0.25">
      <c r="T12301" s="98"/>
    </row>
    <row r="12302" spans="20:20" x14ac:dyDescent="0.25">
      <c r="T12302" s="98"/>
    </row>
    <row r="12303" spans="20:20" x14ac:dyDescent="0.25">
      <c r="T12303" s="98"/>
    </row>
    <row r="12304" spans="20:20" x14ac:dyDescent="0.25">
      <c r="T12304" s="98"/>
    </row>
    <row r="12305" spans="20:20" x14ac:dyDescent="0.25">
      <c r="T12305" s="98"/>
    </row>
    <row r="12306" spans="20:20" x14ac:dyDescent="0.25">
      <c r="T12306" s="98"/>
    </row>
    <row r="12307" spans="20:20" x14ac:dyDescent="0.25">
      <c r="T12307" s="98"/>
    </row>
    <row r="12308" spans="20:20" x14ac:dyDescent="0.25">
      <c r="T12308" s="98"/>
    </row>
    <row r="12309" spans="20:20" x14ac:dyDescent="0.25">
      <c r="T12309" s="98"/>
    </row>
    <row r="12310" spans="20:20" x14ac:dyDescent="0.25">
      <c r="T12310" s="98"/>
    </row>
    <row r="12311" spans="20:20" x14ac:dyDescent="0.25">
      <c r="T12311" s="98"/>
    </row>
    <row r="12312" spans="20:20" x14ac:dyDescent="0.25">
      <c r="T12312" s="98"/>
    </row>
    <row r="12313" spans="20:20" x14ac:dyDescent="0.25">
      <c r="T12313" s="98"/>
    </row>
    <row r="12314" spans="20:20" x14ac:dyDescent="0.25">
      <c r="T12314" s="98"/>
    </row>
    <row r="12315" spans="20:20" x14ac:dyDescent="0.25">
      <c r="T12315" s="98"/>
    </row>
    <row r="12316" spans="20:20" x14ac:dyDescent="0.25">
      <c r="T12316" s="98"/>
    </row>
    <row r="12317" spans="20:20" x14ac:dyDescent="0.25">
      <c r="T12317" s="98"/>
    </row>
    <row r="12318" spans="20:20" x14ac:dyDescent="0.25">
      <c r="T12318" s="98"/>
    </row>
    <row r="12319" spans="20:20" x14ac:dyDescent="0.25">
      <c r="T12319" s="98"/>
    </row>
    <row r="12320" spans="20:20" x14ac:dyDescent="0.25">
      <c r="T12320" s="98"/>
    </row>
    <row r="12321" spans="20:20" x14ac:dyDescent="0.25">
      <c r="T12321" s="98"/>
    </row>
    <row r="12322" spans="20:20" x14ac:dyDescent="0.25">
      <c r="T12322" s="98"/>
    </row>
    <row r="12323" spans="20:20" x14ac:dyDescent="0.25">
      <c r="T12323" s="98"/>
    </row>
    <row r="12324" spans="20:20" x14ac:dyDescent="0.25">
      <c r="T12324" s="98"/>
    </row>
    <row r="12325" spans="20:20" x14ac:dyDescent="0.25">
      <c r="T12325" s="98"/>
    </row>
    <row r="12326" spans="20:20" x14ac:dyDescent="0.25">
      <c r="T12326" s="98"/>
    </row>
    <row r="12327" spans="20:20" x14ac:dyDescent="0.25">
      <c r="T12327" s="98"/>
    </row>
    <row r="12328" spans="20:20" x14ac:dyDescent="0.25">
      <c r="T12328" s="98"/>
    </row>
    <row r="12329" spans="20:20" x14ac:dyDescent="0.25">
      <c r="T12329" s="98"/>
    </row>
    <row r="12330" spans="20:20" x14ac:dyDescent="0.25">
      <c r="T12330" s="98"/>
    </row>
    <row r="12331" spans="20:20" x14ac:dyDescent="0.25">
      <c r="T12331" s="98"/>
    </row>
    <row r="12332" spans="20:20" x14ac:dyDescent="0.25">
      <c r="T12332" s="98"/>
    </row>
    <row r="12333" spans="20:20" x14ac:dyDescent="0.25">
      <c r="T12333" s="98"/>
    </row>
    <row r="12334" spans="20:20" x14ac:dyDescent="0.25">
      <c r="T12334" s="98"/>
    </row>
    <row r="12335" spans="20:20" x14ac:dyDescent="0.25">
      <c r="T12335" s="98"/>
    </row>
    <row r="12336" spans="20:20" x14ac:dyDescent="0.25">
      <c r="T12336" s="98"/>
    </row>
    <row r="12337" spans="20:20" x14ac:dyDescent="0.25">
      <c r="T12337" s="98"/>
    </row>
    <row r="12338" spans="20:20" x14ac:dyDescent="0.25">
      <c r="T12338" s="98"/>
    </row>
    <row r="12339" spans="20:20" x14ac:dyDescent="0.25">
      <c r="T12339" s="98"/>
    </row>
    <row r="12340" spans="20:20" x14ac:dyDescent="0.25">
      <c r="T12340" s="98"/>
    </row>
    <row r="12341" spans="20:20" x14ac:dyDescent="0.25">
      <c r="T12341" s="98"/>
    </row>
    <row r="12342" spans="20:20" x14ac:dyDescent="0.25">
      <c r="T12342" s="98"/>
    </row>
    <row r="12343" spans="20:20" x14ac:dyDescent="0.25">
      <c r="T12343" s="98"/>
    </row>
    <row r="12344" spans="20:20" x14ac:dyDescent="0.25">
      <c r="T12344" s="98"/>
    </row>
    <row r="12345" spans="20:20" x14ac:dyDescent="0.25">
      <c r="T12345" s="98"/>
    </row>
    <row r="12346" spans="20:20" x14ac:dyDescent="0.25">
      <c r="T12346" s="98"/>
    </row>
    <row r="12347" spans="20:20" x14ac:dyDescent="0.25">
      <c r="T12347" s="98"/>
    </row>
    <row r="12348" spans="20:20" x14ac:dyDescent="0.25">
      <c r="T12348" s="98"/>
    </row>
    <row r="12349" spans="20:20" x14ac:dyDescent="0.25">
      <c r="T12349" s="98"/>
    </row>
    <row r="12350" spans="20:20" x14ac:dyDescent="0.25">
      <c r="T12350" s="98"/>
    </row>
    <row r="12351" spans="20:20" x14ac:dyDescent="0.25">
      <c r="T12351" s="98"/>
    </row>
    <row r="12352" spans="20:20" x14ac:dyDescent="0.25">
      <c r="T12352" s="98"/>
    </row>
    <row r="12353" spans="20:20" x14ac:dyDescent="0.25">
      <c r="T12353" s="98"/>
    </row>
    <row r="12354" spans="20:20" x14ac:dyDescent="0.25">
      <c r="T12354" s="98"/>
    </row>
    <row r="12355" spans="20:20" x14ac:dyDescent="0.25">
      <c r="T12355" s="98"/>
    </row>
    <row r="12356" spans="20:20" x14ac:dyDescent="0.25">
      <c r="T12356" s="98"/>
    </row>
    <row r="12357" spans="20:20" x14ac:dyDescent="0.25">
      <c r="T12357" s="98"/>
    </row>
    <row r="12358" spans="20:20" x14ac:dyDescent="0.25">
      <c r="T12358" s="98"/>
    </row>
    <row r="12359" spans="20:20" x14ac:dyDescent="0.25">
      <c r="T12359" s="98"/>
    </row>
    <row r="12360" spans="20:20" x14ac:dyDescent="0.25">
      <c r="T12360" s="98"/>
    </row>
    <row r="12361" spans="20:20" x14ac:dyDescent="0.25">
      <c r="T12361" s="98"/>
    </row>
    <row r="12362" spans="20:20" x14ac:dyDescent="0.25">
      <c r="T12362" s="98"/>
    </row>
    <row r="12363" spans="20:20" x14ac:dyDescent="0.25">
      <c r="T12363" s="98"/>
    </row>
    <row r="12364" spans="20:20" x14ac:dyDescent="0.25">
      <c r="T12364" s="98"/>
    </row>
    <row r="12365" spans="20:20" x14ac:dyDescent="0.25">
      <c r="T12365" s="98"/>
    </row>
    <row r="12366" spans="20:20" x14ac:dyDescent="0.25">
      <c r="T12366" s="98"/>
    </row>
    <row r="12367" spans="20:20" x14ac:dyDescent="0.25">
      <c r="T12367" s="98"/>
    </row>
    <row r="12368" spans="20:20" x14ac:dyDescent="0.25">
      <c r="T12368" s="98"/>
    </row>
    <row r="12369" spans="20:20" x14ac:dyDescent="0.25">
      <c r="T12369" s="98"/>
    </row>
    <row r="12370" spans="20:20" x14ac:dyDescent="0.25">
      <c r="T12370" s="98"/>
    </row>
    <row r="12371" spans="20:20" x14ac:dyDescent="0.25">
      <c r="T12371" s="98"/>
    </row>
    <row r="12372" spans="20:20" x14ac:dyDescent="0.25">
      <c r="T12372" s="98"/>
    </row>
    <row r="12373" spans="20:20" x14ac:dyDescent="0.25">
      <c r="T12373" s="98"/>
    </row>
    <row r="12374" spans="20:20" x14ac:dyDescent="0.25">
      <c r="T12374" s="98"/>
    </row>
    <row r="12375" spans="20:20" x14ac:dyDescent="0.25">
      <c r="T12375" s="98"/>
    </row>
    <row r="12376" spans="20:20" x14ac:dyDescent="0.25">
      <c r="T12376" s="98"/>
    </row>
    <row r="12377" spans="20:20" x14ac:dyDescent="0.25">
      <c r="T12377" s="98"/>
    </row>
    <row r="12378" spans="20:20" x14ac:dyDescent="0.25">
      <c r="T12378" s="98"/>
    </row>
    <row r="12379" spans="20:20" x14ac:dyDescent="0.25">
      <c r="T12379" s="98"/>
    </row>
    <row r="12380" spans="20:20" x14ac:dyDescent="0.25">
      <c r="T12380" s="98"/>
    </row>
    <row r="12381" spans="20:20" x14ac:dyDescent="0.25">
      <c r="T12381" s="98"/>
    </row>
    <row r="12382" spans="20:20" x14ac:dyDescent="0.25">
      <c r="T12382" s="98"/>
    </row>
    <row r="12383" spans="20:20" x14ac:dyDescent="0.25">
      <c r="T12383" s="98"/>
    </row>
    <row r="12384" spans="20:20" x14ac:dyDescent="0.25">
      <c r="T12384" s="98"/>
    </row>
    <row r="12385" spans="20:20" x14ac:dyDescent="0.25">
      <c r="T12385" s="98"/>
    </row>
    <row r="12386" spans="20:20" x14ac:dyDescent="0.25">
      <c r="T12386" s="98"/>
    </row>
    <row r="12387" spans="20:20" x14ac:dyDescent="0.25">
      <c r="T12387" s="98"/>
    </row>
    <row r="12388" spans="20:20" x14ac:dyDescent="0.25">
      <c r="T12388" s="98"/>
    </row>
    <row r="12389" spans="20:20" x14ac:dyDescent="0.25">
      <c r="T12389" s="98"/>
    </row>
    <row r="12390" spans="20:20" x14ac:dyDescent="0.25">
      <c r="T12390" s="98"/>
    </row>
    <row r="12391" spans="20:20" x14ac:dyDescent="0.25">
      <c r="T12391" s="98"/>
    </row>
    <row r="12392" spans="20:20" x14ac:dyDescent="0.25">
      <c r="T12392" s="98"/>
    </row>
    <row r="12393" spans="20:20" x14ac:dyDescent="0.25">
      <c r="T12393" s="98"/>
    </row>
    <row r="12394" spans="20:20" x14ac:dyDescent="0.25">
      <c r="T12394" s="98"/>
    </row>
    <row r="12395" spans="20:20" x14ac:dyDescent="0.25">
      <c r="T12395" s="98"/>
    </row>
    <row r="12396" spans="20:20" x14ac:dyDescent="0.25">
      <c r="T12396" s="98"/>
    </row>
    <row r="12397" spans="20:20" x14ac:dyDescent="0.25">
      <c r="T12397" s="98"/>
    </row>
    <row r="12398" spans="20:20" x14ac:dyDescent="0.25">
      <c r="T12398" s="98"/>
    </row>
    <row r="12399" spans="20:20" x14ac:dyDescent="0.25">
      <c r="T12399" s="98"/>
    </row>
    <row r="12400" spans="20:20" x14ac:dyDescent="0.25">
      <c r="T12400" s="98"/>
    </row>
    <row r="12401" spans="20:20" x14ac:dyDescent="0.25">
      <c r="T12401" s="98"/>
    </row>
    <row r="12402" spans="20:20" x14ac:dyDescent="0.25">
      <c r="T12402" s="98"/>
    </row>
    <row r="12403" spans="20:20" x14ac:dyDescent="0.25">
      <c r="T12403" s="98"/>
    </row>
    <row r="12404" spans="20:20" x14ac:dyDescent="0.25">
      <c r="T12404" s="98"/>
    </row>
    <row r="12405" spans="20:20" x14ac:dyDescent="0.25">
      <c r="T12405" s="98"/>
    </row>
    <row r="12406" spans="20:20" x14ac:dyDescent="0.25">
      <c r="T12406" s="98"/>
    </row>
    <row r="12407" spans="20:20" x14ac:dyDescent="0.25">
      <c r="T12407" s="98"/>
    </row>
    <row r="12408" spans="20:20" x14ac:dyDescent="0.25">
      <c r="T12408" s="98"/>
    </row>
    <row r="12409" spans="20:20" x14ac:dyDescent="0.25">
      <c r="T12409" s="98"/>
    </row>
    <row r="12410" spans="20:20" x14ac:dyDescent="0.25">
      <c r="T12410" s="98"/>
    </row>
    <row r="12411" spans="20:20" x14ac:dyDescent="0.25">
      <c r="T12411" s="98"/>
    </row>
    <row r="12412" spans="20:20" x14ac:dyDescent="0.25">
      <c r="T12412" s="98"/>
    </row>
    <row r="12413" spans="20:20" x14ac:dyDescent="0.25">
      <c r="T12413" s="98"/>
    </row>
    <row r="12414" spans="20:20" x14ac:dyDescent="0.25">
      <c r="T12414" s="98"/>
    </row>
    <row r="12415" spans="20:20" x14ac:dyDescent="0.25">
      <c r="T12415" s="98"/>
    </row>
    <row r="12416" spans="20:20" x14ac:dyDescent="0.25">
      <c r="T12416" s="98"/>
    </row>
    <row r="12417" spans="20:20" x14ac:dyDescent="0.25">
      <c r="T12417" s="98"/>
    </row>
    <row r="12418" spans="20:20" x14ac:dyDescent="0.25">
      <c r="T12418" s="98"/>
    </row>
    <row r="12419" spans="20:20" x14ac:dyDescent="0.25">
      <c r="T12419" s="98"/>
    </row>
    <row r="12420" spans="20:20" x14ac:dyDescent="0.25">
      <c r="T12420" s="98"/>
    </row>
    <row r="12421" spans="20:20" x14ac:dyDescent="0.25">
      <c r="T12421" s="98"/>
    </row>
    <row r="12422" spans="20:20" x14ac:dyDescent="0.25">
      <c r="T12422" s="98"/>
    </row>
    <row r="12423" spans="20:20" x14ac:dyDescent="0.25">
      <c r="T12423" s="98"/>
    </row>
    <row r="12424" spans="20:20" x14ac:dyDescent="0.25">
      <c r="T12424" s="98"/>
    </row>
    <row r="12425" spans="20:20" x14ac:dyDescent="0.25">
      <c r="T12425" s="98"/>
    </row>
    <row r="12426" spans="20:20" x14ac:dyDescent="0.25">
      <c r="T12426" s="98"/>
    </row>
    <row r="12427" spans="20:20" x14ac:dyDescent="0.25">
      <c r="T12427" s="98"/>
    </row>
    <row r="12428" spans="20:20" x14ac:dyDescent="0.25">
      <c r="T12428" s="98"/>
    </row>
    <row r="12429" spans="20:20" x14ac:dyDescent="0.25">
      <c r="T12429" s="98"/>
    </row>
    <row r="12430" spans="20:20" x14ac:dyDescent="0.25">
      <c r="T12430" s="98"/>
    </row>
    <row r="12431" spans="20:20" x14ac:dyDescent="0.25">
      <c r="T12431" s="98"/>
    </row>
    <row r="12432" spans="20:20" x14ac:dyDescent="0.25">
      <c r="T12432" s="98"/>
    </row>
    <row r="12433" spans="20:20" x14ac:dyDescent="0.25">
      <c r="T12433" s="98"/>
    </row>
    <row r="12434" spans="20:20" x14ac:dyDescent="0.25">
      <c r="T12434" s="98"/>
    </row>
    <row r="12435" spans="20:20" x14ac:dyDescent="0.25">
      <c r="T12435" s="98"/>
    </row>
    <row r="12436" spans="20:20" x14ac:dyDescent="0.25">
      <c r="T12436" s="98"/>
    </row>
    <row r="12437" spans="20:20" x14ac:dyDescent="0.25">
      <c r="T12437" s="98"/>
    </row>
    <row r="12438" spans="20:20" x14ac:dyDescent="0.25">
      <c r="T12438" s="98"/>
    </row>
    <row r="12439" spans="20:20" x14ac:dyDescent="0.25">
      <c r="T12439" s="98"/>
    </row>
    <row r="12440" spans="20:20" x14ac:dyDescent="0.25">
      <c r="T12440" s="98"/>
    </row>
    <row r="12441" spans="20:20" x14ac:dyDescent="0.25">
      <c r="T12441" s="98"/>
    </row>
    <row r="12442" spans="20:20" x14ac:dyDescent="0.25">
      <c r="T12442" s="98"/>
    </row>
    <row r="12443" spans="20:20" x14ac:dyDescent="0.25">
      <c r="T12443" s="98"/>
    </row>
    <row r="12444" spans="20:20" x14ac:dyDescent="0.25">
      <c r="T12444" s="98"/>
    </row>
    <row r="12445" spans="20:20" x14ac:dyDescent="0.25">
      <c r="T12445" s="98"/>
    </row>
    <row r="12446" spans="20:20" x14ac:dyDescent="0.25">
      <c r="T12446" s="98"/>
    </row>
    <row r="12447" spans="20:20" x14ac:dyDescent="0.25">
      <c r="T12447" s="98"/>
    </row>
    <row r="12448" spans="20:20" x14ac:dyDescent="0.25">
      <c r="T12448" s="98"/>
    </row>
    <row r="12449" spans="20:20" x14ac:dyDescent="0.25">
      <c r="T12449" s="98"/>
    </row>
    <row r="12450" spans="20:20" x14ac:dyDescent="0.25">
      <c r="T12450" s="98"/>
    </row>
    <row r="12451" spans="20:20" x14ac:dyDescent="0.25">
      <c r="T12451" s="98"/>
    </row>
    <row r="12452" spans="20:20" x14ac:dyDescent="0.25">
      <c r="T12452" s="98"/>
    </row>
    <row r="12453" spans="20:20" x14ac:dyDescent="0.25">
      <c r="T12453" s="98"/>
    </row>
    <row r="12454" spans="20:20" x14ac:dyDescent="0.25">
      <c r="T12454" s="98"/>
    </row>
    <row r="12455" spans="20:20" x14ac:dyDescent="0.25">
      <c r="T12455" s="98"/>
    </row>
    <row r="12456" spans="20:20" x14ac:dyDescent="0.25">
      <c r="T12456" s="98"/>
    </row>
    <row r="12457" spans="20:20" x14ac:dyDescent="0.25">
      <c r="T12457" s="98"/>
    </row>
    <row r="12458" spans="20:20" x14ac:dyDescent="0.25">
      <c r="T12458" s="98"/>
    </row>
    <row r="12459" spans="20:20" x14ac:dyDescent="0.25">
      <c r="T12459" s="98"/>
    </row>
    <row r="12460" spans="20:20" x14ac:dyDescent="0.25">
      <c r="T12460" s="98"/>
    </row>
    <row r="12461" spans="20:20" x14ac:dyDescent="0.25">
      <c r="T12461" s="98"/>
    </row>
    <row r="12462" spans="20:20" x14ac:dyDescent="0.25">
      <c r="T12462" s="98"/>
    </row>
    <row r="12463" spans="20:20" x14ac:dyDescent="0.25">
      <c r="T12463" s="98"/>
    </row>
    <row r="12464" spans="20:20" x14ac:dyDescent="0.25">
      <c r="T12464" s="98"/>
    </row>
    <row r="12465" spans="20:20" x14ac:dyDescent="0.25">
      <c r="T12465" s="98"/>
    </row>
    <row r="12466" spans="20:20" x14ac:dyDescent="0.25">
      <c r="T12466" s="98"/>
    </row>
    <row r="12467" spans="20:20" x14ac:dyDescent="0.25">
      <c r="T12467" s="98"/>
    </row>
    <row r="12468" spans="20:20" x14ac:dyDescent="0.25">
      <c r="T12468" s="98"/>
    </row>
    <row r="12469" spans="20:20" x14ac:dyDescent="0.25">
      <c r="T12469" s="98"/>
    </row>
    <row r="12470" spans="20:20" x14ac:dyDescent="0.25">
      <c r="T12470" s="98"/>
    </row>
    <row r="12471" spans="20:20" x14ac:dyDescent="0.25">
      <c r="T12471" s="98"/>
    </row>
    <row r="12472" spans="20:20" x14ac:dyDescent="0.25">
      <c r="T12472" s="98"/>
    </row>
    <row r="12473" spans="20:20" x14ac:dyDescent="0.25">
      <c r="T12473" s="98"/>
    </row>
    <row r="12474" spans="20:20" x14ac:dyDescent="0.25">
      <c r="T12474" s="98"/>
    </row>
    <row r="12475" spans="20:20" x14ac:dyDescent="0.25">
      <c r="T12475" s="98"/>
    </row>
    <row r="12476" spans="20:20" x14ac:dyDescent="0.25">
      <c r="T12476" s="98"/>
    </row>
    <row r="12477" spans="20:20" x14ac:dyDescent="0.25">
      <c r="T12477" s="98"/>
    </row>
    <row r="12478" spans="20:20" x14ac:dyDescent="0.25">
      <c r="T12478" s="98"/>
    </row>
    <row r="12479" spans="20:20" x14ac:dyDescent="0.25">
      <c r="T12479" s="98"/>
    </row>
    <row r="12480" spans="20:20" x14ac:dyDescent="0.25">
      <c r="T12480" s="98"/>
    </row>
    <row r="12481" spans="20:20" x14ac:dyDescent="0.25">
      <c r="T12481" s="98"/>
    </row>
    <row r="12482" spans="20:20" x14ac:dyDescent="0.25">
      <c r="T12482" s="98"/>
    </row>
    <row r="12483" spans="20:20" x14ac:dyDescent="0.25">
      <c r="T12483" s="98"/>
    </row>
    <row r="12484" spans="20:20" x14ac:dyDescent="0.25">
      <c r="T12484" s="98"/>
    </row>
    <row r="12485" spans="20:20" x14ac:dyDescent="0.25">
      <c r="T12485" s="98"/>
    </row>
    <row r="12486" spans="20:20" x14ac:dyDescent="0.25">
      <c r="T12486" s="98"/>
    </row>
    <row r="12487" spans="20:20" x14ac:dyDescent="0.25">
      <c r="T12487" s="98"/>
    </row>
    <row r="12488" spans="20:20" x14ac:dyDescent="0.25">
      <c r="T12488" s="98"/>
    </row>
    <row r="12489" spans="20:20" x14ac:dyDescent="0.25">
      <c r="T12489" s="98"/>
    </row>
    <row r="12490" spans="20:20" x14ac:dyDescent="0.25">
      <c r="T12490" s="98"/>
    </row>
    <row r="12491" spans="20:20" x14ac:dyDescent="0.25">
      <c r="T12491" s="98"/>
    </row>
    <row r="12492" spans="20:20" x14ac:dyDescent="0.25">
      <c r="T12492" s="98"/>
    </row>
    <row r="12493" spans="20:20" x14ac:dyDescent="0.25">
      <c r="T12493" s="98"/>
    </row>
    <row r="12494" spans="20:20" x14ac:dyDescent="0.25">
      <c r="T12494" s="98"/>
    </row>
    <row r="12495" spans="20:20" x14ac:dyDescent="0.25">
      <c r="T12495" s="98"/>
    </row>
    <row r="12496" spans="20:20" x14ac:dyDescent="0.25">
      <c r="T12496" s="98"/>
    </row>
    <row r="12497" spans="20:20" x14ac:dyDescent="0.25">
      <c r="T12497" s="98"/>
    </row>
    <row r="12498" spans="20:20" x14ac:dyDescent="0.25">
      <c r="T12498" s="98"/>
    </row>
    <row r="12499" spans="20:20" x14ac:dyDescent="0.25">
      <c r="T12499" s="98"/>
    </row>
    <row r="12500" spans="20:20" x14ac:dyDescent="0.25">
      <c r="T12500" s="98"/>
    </row>
    <row r="12501" spans="20:20" x14ac:dyDescent="0.25">
      <c r="T12501" s="98"/>
    </row>
    <row r="12502" spans="20:20" x14ac:dyDescent="0.25">
      <c r="T12502" s="98"/>
    </row>
    <row r="12503" spans="20:20" x14ac:dyDescent="0.25">
      <c r="T12503" s="98"/>
    </row>
    <row r="12504" spans="20:20" x14ac:dyDescent="0.25">
      <c r="T12504" s="98"/>
    </row>
    <row r="12505" spans="20:20" x14ac:dyDescent="0.25">
      <c r="T12505" s="98"/>
    </row>
    <row r="12506" spans="20:20" x14ac:dyDescent="0.25">
      <c r="T12506" s="98"/>
    </row>
    <row r="12507" spans="20:20" x14ac:dyDescent="0.25">
      <c r="T12507" s="98"/>
    </row>
    <row r="12508" spans="20:20" x14ac:dyDescent="0.25">
      <c r="T12508" s="98"/>
    </row>
    <row r="12509" spans="20:20" x14ac:dyDescent="0.25">
      <c r="T12509" s="98"/>
    </row>
    <row r="12510" spans="20:20" x14ac:dyDescent="0.25">
      <c r="T12510" s="98"/>
    </row>
    <row r="12511" spans="20:20" x14ac:dyDescent="0.25">
      <c r="T12511" s="98"/>
    </row>
    <row r="12512" spans="20:20" x14ac:dyDescent="0.25">
      <c r="T12512" s="98"/>
    </row>
    <row r="12513" spans="20:20" x14ac:dyDescent="0.25">
      <c r="T12513" s="98"/>
    </row>
    <row r="12514" spans="20:20" x14ac:dyDescent="0.25">
      <c r="T12514" s="98"/>
    </row>
    <row r="12515" spans="20:20" x14ac:dyDescent="0.25">
      <c r="T12515" s="98"/>
    </row>
    <row r="12516" spans="20:20" x14ac:dyDescent="0.25">
      <c r="T12516" s="98"/>
    </row>
    <row r="12517" spans="20:20" x14ac:dyDescent="0.25">
      <c r="T12517" s="98"/>
    </row>
    <row r="12518" spans="20:20" x14ac:dyDescent="0.25">
      <c r="T12518" s="98"/>
    </row>
    <row r="12519" spans="20:20" x14ac:dyDescent="0.25">
      <c r="T12519" s="98"/>
    </row>
    <row r="12520" spans="20:20" x14ac:dyDescent="0.25">
      <c r="T12520" s="98"/>
    </row>
    <row r="12521" spans="20:20" x14ac:dyDescent="0.25">
      <c r="T12521" s="98"/>
    </row>
    <row r="12522" spans="20:20" x14ac:dyDescent="0.25">
      <c r="T12522" s="98"/>
    </row>
    <row r="12523" spans="20:20" x14ac:dyDescent="0.25">
      <c r="T12523" s="98"/>
    </row>
    <row r="12524" spans="20:20" x14ac:dyDescent="0.25">
      <c r="T12524" s="98"/>
    </row>
    <row r="12525" spans="20:20" x14ac:dyDescent="0.25">
      <c r="T12525" s="98"/>
    </row>
    <row r="12526" spans="20:20" x14ac:dyDescent="0.25">
      <c r="T12526" s="98"/>
    </row>
    <row r="12527" spans="20:20" x14ac:dyDescent="0.25">
      <c r="T12527" s="98"/>
    </row>
    <row r="12528" spans="20:20" x14ac:dyDescent="0.25">
      <c r="T12528" s="98"/>
    </row>
    <row r="12529" spans="20:20" x14ac:dyDescent="0.25">
      <c r="T12529" s="98"/>
    </row>
    <row r="12530" spans="20:20" x14ac:dyDescent="0.25">
      <c r="T12530" s="98"/>
    </row>
    <row r="12531" spans="20:20" x14ac:dyDescent="0.25">
      <c r="T12531" s="98"/>
    </row>
    <row r="12532" spans="20:20" x14ac:dyDescent="0.25">
      <c r="T12532" s="98"/>
    </row>
    <row r="12533" spans="20:20" x14ac:dyDescent="0.25">
      <c r="T12533" s="98"/>
    </row>
    <row r="12534" spans="20:20" x14ac:dyDescent="0.25">
      <c r="T12534" s="98"/>
    </row>
    <row r="12535" spans="20:20" x14ac:dyDescent="0.25">
      <c r="T12535" s="98"/>
    </row>
    <row r="12536" spans="20:20" x14ac:dyDescent="0.25">
      <c r="T12536" s="98"/>
    </row>
    <row r="12537" spans="20:20" x14ac:dyDescent="0.25">
      <c r="T12537" s="98"/>
    </row>
    <row r="12538" spans="20:20" x14ac:dyDescent="0.25">
      <c r="T12538" s="98"/>
    </row>
    <row r="12539" spans="20:20" x14ac:dyDescent="0.25">
      <c r="T12539" s="98"/>
    </row>
    <row r="12540" spans="20:20" x14ac:dyDescent="0.25">
      <c r="T12540" s="98"/>
    </row>
    <row r="12541" spans="20:20" x14ac:dyDescent="0.25">
      <c r="T12541" s="98"/>
    </row>
    <row r="12542" spans="20:20" x14ac:dyDescent="0.25">
      <c r="T12542" s="98"/>
    </row>
    <row r="12543" spans="20:20" x14ac:dyDescent="0.25">
      <c r="T12543" s="98"/>
    </row>
    <row r="12544" spans="20:20" x14ac:dyDescent="0.25">
      <c r="T12544" s="98"/>
    </row>
    <row r="12545" spans="20:20" x14ac:dyDescent="0.25">
      <c r="T12545" s="98"/>
    </row>
    <row r="12546" spans="20:20" x14ac:dyDescent="0.25">
      <c r="T12546" s="98"/>
    </row>
    <row r="12547" spans="20:20" x14ac:dyDescent="0.25">
      <c r="T12547" s="98"/>
    </row>
    <row r="12548" spans="20:20" x14ac:dyDescent="0.25">
      <c r="T12548" s="98"/>
    </row>
    <row r="12549" spans="20:20" x14ac:dyDescent="0.25">
      <c r="T12549" s="98"/>
    </row>
    <row r="12550" spans="20:20" x14ac:dyDescent="0.25">
      <c r="T12550" s="98"/>
    </row>
    <row r="12551" spans="20:20" x14ac:dyDescent="0.25">
      <c r="T12551" s="98"/>
    </row>
    <row r="12552" spans="20:20" x14ac:dyDescent="0.25">
      <c r="T12552" s="98"/>
    </row>
    <row r="12553" spans="20:20" x14ac:dyDescent="0.25">
      <c r="T12553" s="98"/>
    </row>
    <row r="12554" spans="20:20" x14ac:dyDescent="0.25">
      <c r="T12554" s="98"/>
    </row>
    <row r="12555" spans="20:20" x14ac:dyDescent="0.25">
      <c r="T12555" s="98"/>
    </row>
    <row r="12556" spans="20:20" x14ac:dyDescent="0.25">
      <c r="T12556" s="98"/>
    </row>
    <row r="12557" spans="20:20" x14ac:dyDescent="0.25">
      <c r="T12557" s="98"/>
    </row>
    <row r="12558" spans="20:20" x14ac:dyDescent="0.25">
      <c r="T12558" s="98"/>
    </row>
    <row r="12559" spans="20:20" x14ac:dyDescent="0.25">
      <c r="T12559" s="98"/>
    </row>
    <row r="12560" spans="20:20" x14ac:dyDescent="0.25">
      <c r="T12560" s="98"/>
    </row>
    <row r="12561" spans="20:20" x14ac:dyDescent="0.25">
      <c r="T12561" s="98"/>
    </row>
    <row r="12562" spans="20:20" x14ac:dyDescent="0.25">
      <c r="T12562" s="98"/>
    </row>
    <row r="12563" spans="20:20" x14ac:dyDescent="0.25">
      <c r="T12563" s="98"/>
    </row>
    <row r="12564" spans="20:20" x14ac:dyDescent="0.25">
      <c r="T12564" s="98"/>
    </row>
    <row r="12565" spans="20:20" x14ac:dyDescent="0.25">
      <c r="T12565" s="98"/>
    </row>
    <row r="12566" spans="20:20" x14ac:dyDescent="0.25">
      <c r="T12566" s="98"/>
    </row>
    <row r="12567" spans="20:20" x14ac:dyDescent="0.25">
      <c r="T12567" s="98"/>
    </row>
    <row r="12568" spans="20:20" x14ac:dyDescent="0.25">
      <c r="T12568" s="98"/>
    </row>
    <row r="12569" spans="20:20" x14ac:dyDescent="0.25">
      <c r="T12569" s="98"/>
    </row>
    <row r="12570" spans="20:20" x14ac:dyDescent="0.25">
      <c r="T12570" s="98"/>
    </row>
    <row r="12571" spans="20:20" x14ac:dyDescent="0.25">
      <c r="T12571" s="98"/>
    </row>
    <row r="12572" spans="20:20" x14ac:dyDescent="0.25">
      <c r="T12572" s="98"/>
    </row>
    <row r="12573" spans="20:20" x14ac:dyDescent="0.25">
      <c r="T12573" s="98"/>
    </row>
    <row r="12574" spans="20:20" x14ac:dyDescent="0.25">
      <c r="T12574" s="98"/>
    </row>
    <row r="12575" spans="20:20" x14ac:dyDescent="0.25">
      <c r="T12575" s="98"/>
    </row>
    <row r="12576" spans="20:20" x14ac:dyDescent="0.25">
      <c r="T12576" s="98"/>
    </row>
    <row r="12577" spans="20:20" x14ac:dyDescent="0.25">
      <c r="T12577" s="98"/>
    </row>
    <row r="12578" spans="20:20" x14ac:dyDescent="0.25">
      <c r="T12578" s="98"/>
    </row>
    <row r="12579" spans="20:20" x14ac:dyDescent="0.25">
      <c r="T12579" s="98"/>
    </row>
    <row r="12580" spans="20:20" x14ac:dyDescent="0.25">
      <c r="T12580" s="98"/>
    </row>
    <row r="12581" spans="20:20" x14ac:dyDescent="0.25">
      <c r="T12581" s="98"/>
    </row>
    <row r="12582" spans="20:20" x14ac:dyDescent="0.25">
      <c r="T12582" s="98"/>
    </row>
    <row r="12583" spans="20:20" x14ac:dyDescent="0.25">
      <c r="T12583" s="98"/>
    </row>
    <row r="12584" spans="20:20" x14ac:dyDescent="0.25">
      <c r="T12584" s="98"/>
    </row>
    <row r="12585" spans="20:20" x14ac:dyDescent="0.25">
      <c r="T12585" s="98"/>
    </row>
    <row r="12586" spans="20:20" x14ac:dyDescent="0.25">
      <c r="T12586" s="98"/>
    </row>
    <row r="12587" spans="20:20" x14ac:dyDescent="0.25">
      <c r="T12587" s="98"/>
    </row>
    <row r="12588" spans="20:20" x14ac:dyDescent="0.25">
      <c r="T12588" s="98"/>
    </row>
    <row r="12589" spans="20:20" x14ac:dyDescent="0.25">
      <c r="T12589" s="98"/>
    </row>
    <row r="12590" spans="20:20" x14ac:dyDescent="0.25">
      <c r="T12590" s="98"/>
    </row>
    <row r="12591" spans="20:20" x14ac:dyDescent="0.25">
      <c r="T12591" s="98"/>
    </row>
    <row r="12592" spans="20:20" x14ac:dyDescent="0.25">
      <c r="T12592" s="98"/>
    </row>
    <row r="12593" spans="20:20" x14ac:dyDescent="0.25">
      <c r="T12593" s="98"/>
    </row>
    <row r="12594" spans="20:20" x14ac:dyDescent="0.25">
      <c r="T12594" s="98"/>
    </row>
    <row r="12595" spans="20:20" x14ac:dyDescent="0.25">
      <c r="T12595" s="98"/>
    </row>
    <row r="12596" spans="20:20" x14ac:dyDescent="0.25">
      <c r="T12596" s="98"/>
    </row>
    <row r="12597" spans="20:20" x14ac:dyDescent="0.25">
      <c r="T12597" s="98"/>
    </row>
    <row r="12598" spans="20:20" x14ac:dyDescent="0.25">
      <c r="T12598" s="98"/>
    </row>
    <row r="12599" spans="20:20" x14ac:dyDescent="0.25">
      <c r="T12599" s="98"/>
    </row>
    <row r="12600" spans="20:20" x14ac:dyDescent="0.25">
      <c r="T12600" s="98"/>
    </row>
    <row r="12601" spans="20:20" x14ac:dyDescent="0.25">
      <c r="T12601" s="98"/>
    </row>
    <row r="12602" spans="20:20" x14ac:dyDescent="0.25">
      <c r="T12602" s="98"/>
    </row>
    <row r="12603" spans="20:20" x14ac:dyDescent="0.25">
      <c r="T12603" s="98"/>
    </row>
    <row r="12604" spans="20:20" x14ac:dyDescent="0.25">
      <c r="T12604" s="98"/>
    </row>
    <row r="12605" spans="20:20" x14ac:dyDescent="0.25">
      <c r="T12605" s="98"/>
    </row>
    <row r="12606" spans="20:20" x14ac:dyDescent="0.25">
      <c r="T12606" s="98"/>
    </row>
    <row r="12607" spans="20:20" x14ac:dyDescent="0.25">
      <c r="T12607" s="98"/>
    </row>
    <row r="12608" spans="20:20" x14ac:dyDescent="0.25">
      <c r="T12608" s="98"/>
    </row>
    <row r="12609" spans="20:20" x14ac:dyDescent="0.25">
      <c r="T12609" s="98"/>
    </row>
    <row r="12610" spans="20:20" x14ac:dyDescent="0.25">
      <c r="T12610" s="98"/>
    </row>
    <row r="12611" spans="20:20" x14ac:dyDescent="0.25">
      <c r="T12611" s="98"/>
    </row>
    <row r="12612" spans="20:20" x14ac:dyDescent="0.25">
      <c r="T12612" s="98"/>
    </row>
    <row r="12613" spans="20:20" x14ac:dyDescent="0.25">
      <c r="T12613" s="98"/>
    </row>
    <row r="12614" spans="20:20" x14ac:dyDescent="0.25">
      <c r="T12614" s="98"/>
    </row>
    <row r="12615" spans="20:20" x14ac:dyDescent="0.25">
      <c r="T12615" s="98"/>
    </row>
    <row r="12616" spans="20:20" x14ac:dyDescent="0.25">
      <c r="T12616" s="98"/>
    </row>
    <row r="12617" spans="20:20" x14ac:dyDescent="0.25">
      <c r="T12617" s="98"/>
    </row>
    <row r="12618" spans="20:20" x14ac:dyDescent="0.25">
      <c r="T12618" s="98"/>
    </row>
    <row r="12619" spans="20:20" x14ac:dyDescent="0.25">
      <c r="T12619" s="98"/>
    </row>
    <row r="12620" spans="20:20" x14ac:dyDescent="0.25">
      <c r="T12620" s="98"/>
    </row>
    <row r="12621" spans="20:20" x14ac:dyDescent="0.25">
      <c r="T12621" s="98"/>
    </row>
    <row r="12622" spans="20:20" x14ac:dyDescent="0.25">
      <c r="T12622" s="98"/>
    </row>
    <row r="12623" spans="20:20" x14ac:dyDescent="0.25">
      <c r="T12623" s="98"/>
    </row>
    <row r="12624" spans="20:20" x14ac:dyDescent="0.25">
      <c r="T12624" s="98"/>
    </row>
    <row r="12625" spans="20:20" x14ac:dyDescent="0.25">
      <c r="T12625" s="98"/>
    </row>
    <row r="12626" spans="20:20" x14ac:dyDescent="0.25">
      <c r="T12626" s="98"/>
    </row>
    <row r="12627" spans="20:20" x14ac:dyDescent="0.25">
      <c r="T12627" s="98"/>
    </row>
    <row r="12628" spans="20:20" x14ac:dyDescent="0.25">
      <c r="T12628" s="98"/>
    </row>
    <row r="12629" spans="20:20" x14ac:dyDescent="0.25">
      <c r="T12629" s="98"/>
    </row>
    <row r="12630" spans="20:20" x14ac:dyDescent="0.25">
      <c r="T12630" s="98"/>
    </row>
    <row r="12631" spans="20:20" x14ac:dyDescent="0.25">
      <c r="T12631" s="98"/>
    </row>
    <row r="12632" spans="20:20" x14ac:dyDescent="0.25">
      <c r="T12632" s="98"/>
    </row>
    <row r="12633" spans="20:20" x14ac:dyDescent="0.25">
      <c r="T12633" s="98"/>
    </row>
    <row r="12634" spans="20:20" x14ac:dyDescent="0.25">
      <c r="T12634" s="98"/>
    </row>
    <row r="12635" spans="20:20" x14ac:dyDescent="0.25">
      <c r="T12635" s="98"/>
    </row>
    <row r="12636" spans="20:20" x14ac:dyDescent="0.25">
      <c r="T12636" s="98"/>
    </row>
    <row r="12637" spans="20:20" x14ac:dyDescent="0.25">
      <c r="T12637" s="98"/>
    </row>
    <row r="12638" spans="20:20" x14ac:dyDescent="0.25">
      <c r="T12638" s="98"/>
    </row>
    <row r="12639" spans="20:20" x14ac:dyDescent="0.25">
      <c r="T12639" s="98"/>
    </row>
    <row r="12640" spans="20:20" x14ac:dyDescent="0.25">
      <c r="T12640" s="98"/>
    </row>
    <row r="12641" spans="20:20" x14ac:dyDescent="0.25">
      <c r="T12641" s="98"/>
    </row>
    <row r="12642" spans="20:20" x14ac:dyDescent="0.25">
      <c r="T12642" s="98"/>
    </row>
    <row r="12643" spans="20:20" x14ac:dyDescent="0.25">
      <c r="T12643" s="98"/>
    </row>
    <row r="12644" spans="20:20" x14ac:dyDescent="0.25">
      <c r="T12644" s="98"/>
    </row>
    <row r="12645" spans="20:20" x14ac:dyDescent="0.25">
      <c r="T12645" s="98"/>
    </row>
    <row r="12646" spans="20:20" x14ac:dyDescent="0.25">
      <c r="T12646" s="98"/>
    </row>
    <row r="12647" spans="20:20" x14ac:dyDescent="0.25">
      <c r="T12647" s="98"/>
    </row>
    <row r="12648" spans="20:20" x14ac:dyDescent="0.25">
      <c r="T12648" s="98"/>
    </row>
    <row r="12649" spans="20:20" x14ac:dyDescent="0.25">
      <c r="T12649" s="98"/>
    </row>
    <row r="12650" spans="20:20" x14ac:dyDescent="0.25">
      <c r="T12650" s="98"/>
    </row>
    <row r="12651" spans="20:20" x14ac:dyDescent="0.25">
      <c r="T12651" s="98"/>
    </row>
    <row r="12652" spans="20:20" x14ac:dyDescent="0.25">
      <c r="T12652" s="98"/>
    </row>
    <row r="12653" spans="20:20" x14ac:dyDescent="0.25">
      <c r="T12653" s="98"/>
    </row>
    <row r="12654" spans="20:20" x14ac:dyDescent="0.25">
      <c r="T12654" s="98"/>
    </row>
    <row r="12655" spans="20:20" x14ac:dyDescent="0.25">
      <c r="T12655" s="98"/>
    </row>
    <row r="12656" spans="20:20" x14ac:dyDescent="0.25">
      <c r="T12656" s="98"/>
    </row>
    <row r="12657" spans="20:20" x14ac:dyDescent="0.25">
      <c r="T12657" s="98"/>
    </row>
    <row r="12658" spans="20:20" x14ac:dyDescent="0.25">
      <c r="T12658" s="98"/>
    </row>
    <row r="12659" spans="20:20" x14ac:dyDescent="0.25">
      <c r="T12659" s="98"/>
    </row>
    <row r="12660" spans="20:20" x14ac:dyDescent="0.25">
      <c r="T12660" s="98"/>
    </row>
    <row r="12661" spans="20:20" x14ac:dyDescent="0.25">
      <c r="T12661" s="98"/>
    </row>
    <row r="12662" spans="20:20" x14ac:dyDescent="0.25">
      <c r="T12662" s="98"/>
    </row>
    <row r="12663" spans="20:20" x14ac:dyDescent="0.25">
      <c r="T12663" s="98"/>
    </row>
    <row r="12664" spans="20:20" x14ac:dyDescent="0.25">
      <c r="T12664" s="98"/>
    </row>
    <row r="12665" spans="20:20" x14ac:dyDescent="0.25">
      <c r="T12665" s="98"/>
    </row>
    <row r="12666" spans="20:20" x14ac:dyDescent="0.25">
      <c r="T12666" s="98"/>
    </row>
    <row r="12667" spans="20:20" x14ac:dyDescent="0.25">
      <c r="T12667" s="98"/>
    </row>
    <row r="12668" spans="20:20" x14ac:dyDescent="0.25">
      <c r="T12668" s="98"/>
    </row>
    <row r="12669" spans="20:20" x14ac:dyDescent="0.25">
      <c r="T12669" s="98"/>
    </row>
    <row r="12670" spans="20:20" x14ac:dyDescent="0.25">
      <c r="T12670" s="98"/>
    </row>
    <row r="12671" spans="20:20" x14ac:dyDescent="0.25">
      <c r="T12671" s="98"/>
    </row>
    <row r="12672" spans="20:20" x14ac:dyDescent="0.25">
      <c r="T12672" s="98"/>
    </row>
    <row r="12673" spans="20:20" x14ac:dyDescent="0.25">
      <c r="T12673" s="98"/>
    </row>
    <row r="12674" spans="20:20" x14ac:dyDescent="0.25">
      <c r="T12674" s="98"/>
    </row>
    <row r="12675" spans="20:20" x14ac:dyDescent="0.25">
      <c r="T12675" s="98"/>
    </row>
    <row r="12676" spans="20:20" x14ac:dyDescent="0.25">
      <c r="T12676" s="98"/>
    </row>
    <row r="12677" spans="20:20" x14ac:dyDescent="0.25">
      <c r="T12677" s="98"/>
    </row>
    <row r="12678" spans="20:20" x14ac:dyDescent="0.25">
      <c r="T12678" s="98"/>
    </row>
    <row r="12679" spans="20:20" x14ac:dyDescent="0.25">
      <c r="T12679" s="98"/>
    </row>
    <row r="12680" spans="20:20" x14ac:dyDescent="0.25">
      <c r="T12680" s="98"/>
    </row>
    <row r="12681" spans="20:20" x14ac:dyDescent="0.25">
      <c r="T12681" s="98"/>
    </row>
    <row r="12682" spans="20:20" x14ac:dyDescent="0.25">
      <c r="T12682" s="98"/>
    </row>
    <row r="12683" spans="20:20" x14ac:dyDescent="0.25">
      <c r="T12683" s="98"/>
    </row>
    <row r="12684" spans="20:20" x14ac:dyDescent="0.25">
      <c r="T12684" s="98"/>
    </row>
    <row r="12685" spans="20:20" x14ac:dyDescent="0.25">
      <c r="T12685" s="98"/>
    </row>
    <row r="12686" spans="20:20" x14ac:dyDescent="0.25">
      <c r="T12686" s="98"/>
    </row>
    <row r="12687" spans="20:20" x14ac:dyDescent="0.25">
      <c r="T12687" s="98"/>
    </row>
    <row r="12688" spans="20:20" x14ac:dyDescent="0.25">
      <c r="T12688" s="98"/>
    </row>
    <row r="12689" spans="20:20" x14ac:dyDescent="0.25">
      <c r="T12689" s="98"/>
    </row>
    <row r="12690" spans="20:20" x14ac:dyDescent="0.25">
      <c r="T12690" s="98"/>
    </row>
    <row r="12691" spans="20:20" x14ac:dyDescent="0.25">
      <c r="T12691" s="98"/>
    </row>
    <row r="12692" spans="20:20" x14ac:dyDescent="0.25">
      <c r="T12692" s="98"/>
    </row>
    <row r="12693" spans="20:20" x14ac:dyDescent="0.25">
      <c r="T12693" s="98"/>
    </row>
    <row r="12694" spans="20:20" x14ac:dyDescent="0.25">
      <c r="T12694" s="98"/>
    </row>
    <row r="12695" spans="20:20" x14ac:dyDescent="0.25">
      <c r="T12695" s="98"/>
    </row>
    <row r="12696" spans="20:20" x14ac:dyDescent="0.25">
      <c r="T12696" s="98"/>
    </row>
    <row r="12697" spans="20:20" x14ac:dyDescent="0.25">
      <c r="T12697" s="98"/>
    </row>
    <row r="12698" spans="20:20" x14ac:dyDescent="0.25">
      <c r="T12698" s="98"/>
    </row>
    <row r="12699" spans="20:20" x14ac:dyDescent="0.25">
      <c r="T12699" s="98"/>
    </row>
    <row r="12700" spans="20:20" x14ac:dyDescent="0.25">
      <c r="T12700" s="98"/>
    </row>
    <row r="12701" spans="20:20" x14ac:dyDescent="0.25">
      <c r="T12701" s="98"/>
    </row>
    <row r="12702" spans="20:20" x14ac:dyDescent="0.25">
      <c r="T12702" s="98"/>
    </row>
    <row r="12703" spans="20:20" x14ac:dyDescent="0.25">
      <c r="T12703" s="98"/>
    </row>
    <row r="12704" spans="20:20" x14ac:dyDescent="0.25">
      <c r="T12704" s="98"/>
    </row>
    <row r="12705" spans="20:20" x14ac:dyDescent="0.25">
      <c r="T12705" s="98"/>
    </row>
    <row r="12706" spans="20:20" x14ac:dyDescent="0.25">
      <c r="T12706" s="98"/>
    </row>
    <row r="12707" spans="20:20" x14ac:dyDescent="0.25">
      <c r="T12707" s="98"/>
    </row>
    <row r="12708" spans="20:20" x14ac:dyDescent="0.25">
      <c r="T12708" s="98"/>
    </row>
    <row r="12709" spans="20:20" x14ac:dyDescent="0.25">
      <c r="T12709" s="98"/>
    </row>
    <row r="12710" spans="20:20" x14ac:dyDescent="0.25">
      <c r="T12710" s="98"/>
    </row>
    <row r="12711" spans="20:20" x14ac:dyDescent="0.25">
      <c r="T12711" s="98"/>
    </row>
    <row r="12712" spans="20:20" x14ac:dyDescent="0.25">
      <c r="T12712" s="98"/>
    </row>
    <row r="12713" spans="20:20" x14ac:dyDescent="0.25">
      <c r="T12713" s="98"/>
    </row>
    <row r="12714" spans="20:20" x14ac:dyDescent="0.25">
      <c r="T12714" s="98"/>
    </row>
    <row r="12715" spans="20:20" x14ac:dyDescent="0.25">
      <c r="T12715" s="98"/>
    </row>
    <row r="12716" spans="20:20" x14ac:dyDescent="0.25">
      <c r="T12716" s="98"/>
    </row>
    <row r="12717" spans="20:20" x14ac:dyDescent="0.25">
      <c r="T12717" s="98"/>
    </row>
    <row r="12718" spans="20:20" x14ac:dyDescent="0.25">
      <c r="T12718" s="98"/>
    </row>
    <row r="12719" spans="20:20" x14ac:dyDescent="0.25">
      <c r="T12719" s="98"/>
    </row>
    <row r="12720" spans="20:20" x14ac:dyDescent="0.25">
      <c r="T12720" s="98"/>
    </row>
    <row r="12721" spans="20:20" x14ac:dyDescent="0.25">
      <c r="T12721" s="98"/>
    </row>
    <row r="12722" spans="20:20" x14ac:dyDescent="0.25">
      <c r="T12722" s="98"/>
    </row>
    <row r="12723" spans="20:20" x14ac:dyDescent="0.25">
      <c r="T12723" s="98"/>
    </row>
    <row r="12724" spans="20:20" x14ac:dyDescent="0.25">
      <c r="T12724" s="98"/>
    </row>
    <row r="12725" spans="20:20" x14ac:dyDescent="0.25">
      <c r="T12725" s="98"/>
    </row>
    <row r="12726" spans="20:20" x14ac:dyDescent="0.25">
      <c r="T12726" s="98"/>
    </row>
    <row r="12727" spans="20:20" x14ac:dyDescent="0.25">
      <c r="T12727" s="98"/>
    </row>
    <row r="12728" spans="20:20" x14ac:dyDescent="0.25">
      <c r="T12728" s="98"/>
    </row>
    <row r="12729" spans="20:20" x14ac:dyDescent="0.25">
      <c r="T12729" s="98"/>
    </row>
    <row r="12730" spans="20:20" x14ac:dyDescent="0.25">
      <c r="T12730" s="98"/>
    </row>
    <row r="12731" spans="20:20" x14ac:dyDescent="0.25">
      <c r="T12731" s="98"/>
    </row>
    <row r="12732" spans="20:20" x14ac:dyDescent="0.25">
      <c r="T12732" s="98"/>
    </row>
    <row r="12733" spans="20:20" x14ac:dyDescent="0.25">
      <c r="T12733" s="98"/>
    </row>
    <row r="12734" spans="20:20" x14ac:dyDescent="0.25">
      <c r="T12734" s="98"/>
    </row>
    <row r="12735" spans="20:20" x14ac:dyDescent="0.25">
      <c r="T12735" s="98"/>
    </row>
    <row r="12736" spans="20:20" x14ac:dyDescent="0.25">
      <c r="T12736" s="98"/>
    </row>
    <row r="12737" spans="20:20" x14ac:dyDescent="0.25">
      <c r="T12737" s="98"/>
    </row>
    <row r="12738" spans="20:20" x14ac:dyDescent="0.25">
      <c r="T12738" s="98"/>
    </row>
    <row r="12739" spans="20:20" x14ac:dyDescent="0.25">
      <c r="T12739" s="98"/>
    </row>
    <row r="12740" spans="20:20" x14ac:dyDescent="0.25">
      <c r="T12740" s="98"/>
    </row>
    <row r="12741" spans="20:20" x14ac:dyDescent="0.25">
      <c r="T12741" s="98"/>
    </row>
    <row r="12742" spans="20:20" x14ac:dyDescent="0.25">
      <c r="T12742" s="98"/>
    </row>
    <row r="12743" spans="20:20" x14ac:dyDescent="0.25">
      <c r="T12743" s="98"/>
    </row>
    <row r="12744" spans="20:20" x14ac:dyDescent="0.25">
      <c r="T12744" s="98"/>
    </row>
    <row r="12745" spans="20:20" x14ac:dyDescent="0.25">
      <c r="T12745" s="98"/>
    </row>
    <row r="12746" spans="20:20" x14ac:dyDescent="0.25">
      <c r="T12746" s="98"/>
    </row>
    <row r="12747" spans="20:20" x14ac:dyDescent="0.25">
      <c r="T12747" s="98"/>
    </row>
    <row r="12748" spans="20:20" x14ac:dyDescent="0.25">
      <c r="T12748" s="98"/>
    </row>
    <row r="12749" spans="20:20" x14ac:dyDescent="0.25">
      <c r="T12749" s="98"/>
    </row>
    <row r="12750" spans="20:20" x14ac:dyDescent="0.25">
      <c r="T12750" s="98"/>
    </row>
    <row r="12751" spans="20:20" x14ac:dyDescent="0.25">
      <c r="T12751" s="98"/>
    </row>
    <row r="12752" spans="20:20" x14ac:dyDescent="0.25">
      <c r="T12752" s="98"/>
    </row>
    <row r="12753" spans="20:20" x14ac:dyDescent="0.25">
      <c r="T12753" s="98"/>
    </row>
    <row r="12754" spans="20:20" x14ac:dyDescent="0.25">
      <c r="T12754" s="98"/>
    </row>
    <row r="12755" spans="20:20" x14ac:dyDescent="0.25">
      <c r="T12755" s="98"/>
    </row>
    <row r="12756" spans="20:20" x14ac:dyDescent="0.25">
      <c r="T12756" s="98"/>
    </row>
    <row r="12757" spans="20:20" x14ac:dyDescent="0.25">
      <c r="T12757" s="98"/>
    </row>
    <row r="12758" spans="20:20" x14ac:dyDescent="0.25">
      <c r="T12758" s="98"/>
    </row>
    <row r="12759" spans="20:20" x14ac:dyDescent="0.25">
      <c r="T12759" s="98"/>
    </row>
    <row r="12760" spans="20:20" x14ac:dyDescent="0.25">
      <c r="T12760" s="98"/>
    </row>
    <row r="12761" spans="20:20" x14ac:dyDescent="0.25">
      <c r="T12761" s="98"/>
    </row>
    <row r="12762" spans="20:20" x14ac:dyDescent="0.25">
      <c r="T12762" s="98"/>
    </row>
    <row r="12763" spans="20:20" x14ac:dyDescent="0.25">
      <c r="T12763" s="98"/>
    </row>
    <row r="12764" spans="20:20" x14ac:dyDescent="0.25">
      <c r="T12764" s="98"/>
    </row>
    <row r="12765" spans="20:20" x14ac:dyDescent="0.25">
      <c r="T12765" s="98"/>
    </row>
    <row r="12766" spans="20:20" x14ac:dyDescent="0.25">
      <c r="T12766" s="98"/>
    </row>
    <row r="12767" spans="20:20" x14ac:dyDescent="0.25">
      <c r="T12767" s="98"/>
    </row>
    <row r="12768" spans="20:20" x14ac:dyDescent="0.25">
      <c r="T12768" s="98"/>
    </row>
    <row r="12769" spans="20:20" x14ac:dyDescent="0.25">
      <c r="T12769" s="98"/>
    </row>
    <row r="12770" spans="20:20" x14ac:dyDescent="0.25">
      <c r="T12770" s="98"/>
    </row>
    <row r="12771" spans="20:20" x14ac:dyDescent="0.25">
      <c r="T12771" s="98"/>
    </row>
    <row r="12772" spans="20:20" x14ac:dyDescent="0.25">
      <c r="T12772" s="98"/>
    </row>
    <row r="12773" spans="20:20" x14ac:dyDescent="0.25">
      <c r="T12773" s="98"/>
    </row>
    <row r="12774" spans="20:20" x14ac:dyDescent="0.25">
      <c r="T12774" s="98"/>
    </row>
    <row r="12775" spans="20:20" x14ac:dyDescent="0.25">
      <c r="T12775" s="98"/>
    </row>
    <row r="12776" spans="20:20" x14ac:dyDescent="0.25">
      <c r="T12776" s="98"/>
    </row>
    <row r="12777" spans="20:20" x14ac:dyDescent="0.25">
      <c r="T12777" s="98"/>
    </row>
    <row r="12778" spans="20:20" x14ac:dyDescent="0.25">
      <c r="T12778" s="98"/>
    </row>
    <row r="12779" spans="20:20" x14ac:dyDescent="0.25">
      <c r="T12779" s="98"/>
    </row>
    <row r="12780" spans="20:20" x14ac:dyDescent="0.25">
      <c r="T12780" s="98"/>
    </row>
    <row r="12781" spans="20:20" x14ac:dyDescent="0.25">
      <c r="T12781" s="98"/>
    </row>
    <row r="12782" spans="20:20" x14ac:dyDescent="0.25">
      <c r="T12782" s="98"/>
    </row>
    <row r="12783" spans="20:20" x14ac:dyDescent="0.25">
      <c r="T12783" s="98"/>
    </row>
    <row r="12784" spans="20:20" x14ac:dyDescent="0.25">
      <c r="T12784" s="98"/>
    </row>
    <row r="12785" spans="20:20" x14ac:dyDescent="0.25">
      <c r="T12785" s="98"/>
    </row>
    <row r="12786" spans="20:20" x14ac:dyDescent="0.25">
      <c r="T12786" s="98"/>
    </row>
    <row r="12787" spans="20:20" x14ac:dyDescent="0.25">
      <c r="T12787" s="98"/>
    </row>
    <row r="12788" spans="20:20" x14ac:dyDescent="0.25">
      <c r="T12788" s="98"/>
    </row>
    <row r="12789" spans="20:20" x14ac:dyDescent="0.25">
      <c r="T12789" s="98"/>
    </row>
    <row r="12790" spans="20:20" x14ac:dyDescent="0.25">
      <c r="T12790" s="98"/>
    </row>
    <row r="12791" spans="20:20" x14ac:dyDescent="0.25">
      <c r="T12791" s="98"/>
    </row>
    <row r="12792" spans="20:20" x14ac:dyDescent="0.25">
      <c r="T12792" s="98"/>
    </row>
    <row r="12793" spans="20:20" x14ac:dyDescent="0.25">
      <c r="T12793" s="98"/>
    </row>
    <row r="12794" spans="20:20" x14ac:dyDescent="0.25">
      <c r="T12794" s="98"/>
    </row>
    <row r="12795" spans="20:20" x14ac:dyDescent="0.25">
      <c r="T12795" s="98"/>
    </row>
    <row r="12796" spans="20:20" x14ac:dyDescent="0.25">
      <c r="T12796" s="98"/>
    </row>
    <row r="12797" spans="20:20" x14ac:dyDescent="0.25">
      <c r="T12797" s="98"/>
    </row>
    <row r="12798" spans="20:20" x14ac:dyDescent="0.25">
      <c r="T12798" s="98"/>
    </row>
    <row r="12799" spans="20:20" x14ac:dyDescent="0.25">
      <c r="T12799" s="98"/>
    </row>
    <row r="12800" spans="20:20" x14ac:dyDescent="0.25">
      <c r="T12800" s="98"/>
    </row>
    <row r="12801" spans="20:20" x14ac:dyDescent="0.25">
      <c r="T12801" s="98"/>
    </row>
    <row r="12802" spans="20:20" x14ac:dyDescent="0.25">
      <c r="T12802" s="98"/>
    </row>
    <row r="12803" spans="20:20" x14ac:dyDescent="0.25">
      <c r="T12803" s="98"/>
    </row>
    <row r="12804" spans="20:20" x14ac:dyDescent="0.25">
      <c r="T12804" s="98"/>
    </row>
    <row r="12805" spans="20:20" x14ac:dyDescent="0.25">
      <c r="T12805" s="98"/>
    </row>
    <row r="12806" spans="20:20" x14ac:dyDescent="0.25">
      <c r="T12806" s="98"/>
    </row>
    <row r="12807" spans="20:20" x14ac:dyDescent="0.25">
      <c r="T12807" s="98"/>
    </row>
    <row r="12808" spans="20:20" x14ac:dyDescent="0.25">
      <c r="T12808" s="98"/>
    </row>
    <row r="12809" spans="20:20" x14ac:dyDescent="0.25">
      <c r="T12809" s="98"/>
    </row>
    <row r="12810" spans="20:20" x14ac:dyDescent="0.25">
      <c r="T12810" s="98"/>
    </row>
    <row r="12811" spans="20:20" x14ac:dyDescent="0.25">
      <c r="T12811" s="98"/>
    </row>
    <row r="12812" spans="20:20" x14ac:dyDescent="0.25">
      <c r="T12812" s="98"/>
    </row>
    <row r="12813" spans="20:20" x14ac:dyDescent="0.25">
      <c r="T12813" s="98"/>
    </row>
    <row r="12814" spans="20:20" x14ac:dyDescent="0.25">
      <c r="T12814" s="98"/>
    </row>
    <row r="12815" spans="20:20" x14ac:dyDescent="0.25">
      <c r="T12815" s="98"/>
    </row>
    <row r="12816" spans="20:20" x14ac:dyDescent="0.25">
      <c r="T12816" s="98"/>
    </row>
    <row r="12817" spans="20:20" x14ac:dyDescent="0.25">
      <c r="T12817" s="98"/>
    </row>
    <row r="12818" spans="20:20" x14ac:dyDescent="0.25">
      <c r="T12818" s="98"/>
    </row>
    <row r="12819" spans="20:20" x14ac:dyDescent="0.25">
      <c r="T12819" s="98"/>
    </row>
    <row r="12820" spans="20:20" x14ac:dyDescent="0.25">
      <c r="T12820" s="98"/>
    </row>
    <row r="12821" spans="20:20" x14ac:dyDescent="0.25">
      <c r="T12821" s="98"/>
    </row>
    <row r="12822" spans="20:20" x14ac:dyDescent="0.25">
      <c r="T12822" s="98"/>
    </row>
    <row r="12823" spans="20:20" x14ac:dyDescent="0.25">
      <c r="T12823" s="98"/>
    </row>
    <row r="12824" spans="20:20" x14ac:dyDescent="0.25">
      <c r="T12824" s="98"/>
    </row>
    <row r="12825" spans="20:20" x14ac:dyDescent="0.25">
      <c r="T12825" s="98"/>
    </row>
    <row r="12826" spans="20:20" x14ac:dyDescent="0.25">
      <c r="T12826" s="98"/>
    </row>
    <row r="12827" spans="20:20" x14ac:dyDescent="0.25">
      <c r="T12827" s="98"/>
    </row>
    <row r="12828" spans="20:20" x14ac:dyDescent="0.25">
      <c r="T12828" s="98"/>
    </row>
    <row r="12829" spans="20:20" x14ac:dyDescent="0.25">
      <c r="T12829" s="98"/>
    </row>
    <row r="12830" spans="20:20" x14ac:dyDescent="0.25">
      <c r="T12830" s="98"/>
    </row>
    <row r="12831" spans="20:20" x14ac:dyDescent="0.25">
      <c r="T12831" s="98"/>
    </row>
    <row r="12832" spans="20:20" x14ac:dyDescent="0.25">
      <c r="T12832" s="98"/>
    </row>
    <row r="12833" spans="20:20" x14ac:dyDescent="0.25">
      <c r="T12833" s="98"/>
    </row>
    <row r="12834" spans="20:20" x14ac:dyDescent="0.25">
      <c r="T12834" s="98"/>
    </row>
    <row r="12835" spans="20:20" x14ac:dyDescent="0.25">
      <c r="T12835" s="98"/>
    </row>
    <row r="12836" spans="20:20" x14ac:dyDescent="0.25">
      <c r="T12836" s="98"/>
    </row>
    <row r="12837" spans="20:20" x14ac:dyDescent="0.25">
      <c r="T12837" s="98"/>
    </row>
    <row r="12838" spans="20:20" x14ac:dyDescent="0.25">
      <c r="T12838" s="98"/>
    </row>
    <row r="12839" spans="20:20" x14ac:dyDescent="0.25">
      <c r="T12839" s="98"/>
    </row>
    <row r="12840" spans="20:20" x14ac:dyDescent="0.25">
      <c r="T12840" s="98"/>
    </row>
    <row r="12841" spans="20:20" x14ac:dyDescent="0.25">
      <c r="T12841" s="98"/>
    </row>
    <row r="12842" spans="20:20" x14ac:dyDescent="0.25">
      <c r="T12842" s="98"/>
    </row>
    <row r="12843" spans="20:20" x14ac:dyDescent="0.25">
      <c r="T12843" s="98"/>
    </row>
    <row r="12844" spans="20:20" x14ac:dyDescent="0.25">
      <c r="T12844" s="98"/>
    </row>
    <row r="12845" spans="20:20" x14ac:dyDescent="0.25">
      <c r="T12845" s="98"/>
    </row>
    <row r="12846" spans="20:20" x14ac:dyDescent="0.25">
      <c r="T12846" s="98"/>
    </row>
    <row r="12847" spans="20:20" x14ac:dyDescent="0.25">
      <c r="T12847" s="98"/>
    </row>
    <row r="12848" spans="20:20" x14ac:dyDescent="0.25">
      <c r="T12848" s="98"/>
    </row>
    <row r="12849" spans="20:20" x14ac:dyDescent="0.25">
      <c r="T12849" s="98"/>
    </row>
    <row r="12850" spans="20:20" x14ac:dyDescent="0.25">
      <c r="T12850" s="98"/>
    </row>
    <row r="12851" spans="20:20" x14ac:dyDescent="0.25">
      <c r="T12851" s="98"/>
    </row>
    <row r="12852" spans="20:20" x14ac:dyDescent="0.25">
      <c r="T12852" s="98"/>
    </row>
    <row r="12853" spans="20:20" x14ac:dyDescent="0.25">
      <c r="T12853" s="98"/>
    </row>
    <row r="12854" spans="20:20" x14ac:dyDescent="0.25">
      <c r="T12854" s="98"/>
    </row>
    <row r="12855" spans="20:20" x14ac:dyDescent="0.25">
      <c r="T12855" s="98"/>
    </row>
    <row r="12856" spans="20:20" x14ac:dyDescent="0.25">
      <c r="T12856" s="98"/>
    </row>
    <row r="12857" spans="20:20" x14ac:dyDescent="0.25">
      <c r="T12857" s="98"/>
    </row>
    <row r="12858" spans="20:20" x14ac:dyDescent="0.25">
      <c r="T12858" s="98"/>
    </row>
    <row r="12859" spans="20:20" x14ac:dyDescent="0.25">
      <c r="T12859" s="98"/>
    </row>
    <row r="12860" spans="20:20" x14ac:dyDescent="0.25">
      <c r="T12860" s="98"/>
    </row>
    <row r="12861" spans="20:20" x14ac:dyDescent="0.25">
      <c r="T12861" s="98"/>
    </row>
    <row r="12862" spans="20:20" x14ac:dyDescent="0.25">
      <c r="T12862" s="98"/>
    </row>
    <row r="12863" spans="20:20" x14ac:dyDescent="0.25">
      <c r="T12863" s="98"/>
    </row>
    <row r="12864" spans="20:20" x14ac:dyDescent="0.25">
      <c r="T12864" s="98"/>
    </row>
    <row r="12865" spans="20:20" x14ac:dyDescent="0.25">
      <c r="T12865" s="98"/>
    </row>
    <row r="12866" spans="20:20" x14ac:dyDescent="0.25">
      <c r="T12866" s="98"/>
    </row>
    <row r="12867" spans="20:20" x14ac:dyDescent="0.25">
      <c r="T12867" s="98"/>
    </row>
    <row r="12868" spans="20:20" x14ac:dyDescent="0.25">
      <c r="T12868" s="98"/>
    </row>
    <row r="12869" spans="20:20" x14ac:dyDescent="0.25">
      <c r="T12869" s="98"/>
    </row>
    <row r="12870" spans="20:20" x14ac:dyDescent="0.25">
      <c r="T12870" s="98"/>
    </row>
    <row r="12871" spans="20:20" x14ac:dyDescent="0.25">
      <c r="T12871" s="98"/>
    </row>
    <row r="12872" spans="20:20" x14ac:dyDescent="0.25">
      <c r="T12872" s="98"/>
    </row>
    <row r="12873" spans="20:20" x14ac:dyDescent="0.25">
      <c r="T12873" s="98"/>
    </row>
    <row r="12874" spans="20:20" x14ac:dyDescent="0.25">
      <c r="T12874" s="98"/>
    </row>
    <row r="12875" spans="20:20" x14ac:dyDescent="0.25">
      <c r="T12875" s="98"/>
    </row>
    <row r="12876" spans="20:20" x14ac:dyDescent="0.25">
      <c r="T12876" s="98"/>
    </row>
    <row r="12877" spans="20:20" x14ac:dyDescent="0.25">
      <c r="T12877" s="98"/>
    </row>
    <row r="12878" spans="20:20" x14ac:dyDescent="0.25">
      <c r="T12878" s="98"/>
    </row>
    <row r="12879" spans="20:20" x14ac:dyDescent="0.25">
      <c r="T12879" s="98"/>
    </row>
    <row r="12880" spans="20:20" x14ac:dyDescent="0.25">
      <c r="T12880" s="98"/>
    </row>
    <row r="12881" spans="20:20" x14ac:dyDescent="0.25">
      <c r="T12881" s="98"/>
    </row>
    <row r="12882" spans="20:20" x14ac:dyDescent="0.25">
      <c r="T12882" s="98"/>
    </row>
    <row r="12883" spans="20:20" x14ac:dyDescent="0.25">
      <c r="T12883" s="98"/>
    </row>
    <row r="12884" spans="20:20" x14ac:dyDescent="0.25">
      <c r="T12884" s="98"/>
    </row>
    <row r="12885" spans="20:20" x14ac:dyDescent="0.25">
      <c r="T12885" s="98"/>
    </row>
    <row r="12886" spans="20:20" x14ac:dyDescent="0.25">
      <c r="T12886" s="98"/>
    </row>
    <row r="12887" spans="20:20" x14ac:dyDescent="0.25">
      <c r="T12887" s="98"/>
    </row>
    <row r="12888" spans="20:20" x14ac:dyDescent="0.25">
      <c r="T12888" s="98"/>
    </row>
    <row r="12889" spans="20:20" x14ac:dyDescent="0.25">
      <c r="T12889" s="98"/>
    </row>
    <row r="12890" spans="20:20" x14ac:dyDescent="0.25">
      <c r="T12890" s="98"/>
    </row>
    <row r="12891" spans="20:20" x14ac:dyDescent="0.25">
      <c r="T12891" s="98"/>
    </row>
    <row r="12892" spans="20:20" x14ac:dyDescent="0.25">
      <c r="T12892" s="98"/>
    </row>
    <row r="12893" spans="20:20" x14ac:dyDescent="0.25">
      <c r="T12893" s="98"/>
    </row>
    <row r="12894" spans="20:20" x14ac:dyDescent="0.25">
      <c r="T12894" s="98"/>
    </row>
    <row r="12895" spans="20:20" x14ac:dyDescent="0.25">
      <c r="T12895" s="98"/>
    </row>
    <row r="12896" spans="20:20" x14ac:dyDescent="0.25">
      <c r="T12896" s="98"/>
    </row>
    <row r="12897" spans="20:20" x14ac:dyDescent="0.25">
      <c r="T12897" s="98"/>
    </row>
    <row r="12898" spans="20:20" x14ac:dyDescent="0.25">
      <c r="T12898" s="98"/>
    </row>
    <row r="12899" spans="20:20" x14ac:dyDescent="0.25">
      <c r="T12899" s="98"/>
    </row>
    <row r="12900" spans="20:20" x14ac:dyDescent="0.25">
      <c r="T12900" s="98"/>
    </row>
    <row r="12901" spans="20:20" x14ac:dyDescent="0.25">
      <c r="T12901" s="98"/>
    </row>
    <row r="12902" spans="20:20" x14ac:dyDescent="0.25">
      <c r="T12902" s="98"/>
    </row>
    <row r="12903" spans="20:20" x14ac:dyDescent="0.25">
      <c r="T12903" s="98"/>
    </row>
    <row r="12904" spans="20:20" x14ac:dyDescent="0.25">
      <c r="T12904" s="98"/>
    </row>
    <row r="12905" spans="20:20" x14ac:dyDescent="0.25">
      <c r="T12905" s="98"/>
    </row>
    <row r="12906" spans="20:20" x14ac:dyDescent="0.25">
      <c r="T12906" s="98"/>
    </row>
    <row r="12907" spans="20:20" x14ac:dyDescent="0.25">
      <c r="T12907" s="98"/>
    </row>
    <row r="12908" spans="20:20" x14ac:dyDescent="0.25">
      <c r="T12908" s="98"/>
    </row>
    <row r="12909" spans="20:20" x14ac:dyDescent="0.25">
      <c r="T12909" s="98"/>
    </row>
    <row r="12910" spans="20:20" x14ac:dyDescent="0.25">
      <c r="T12910" s="98"/>
    </row>
    <row r="12911" spans="20:20" x14ac:dyDescent="0.25">
      <c r="T12911" s="98"/>
    </row>
    <row r="12912" spans="20:20" x14ac:dyDescent="0.25">
      <c r="T12912" s="98"/>
    </row>
    <row r="12913" spans="20:20" x14ac:dyDescent="0.25">
      <c r="T12913" s="98"/>
    </row>
    <row r="12914" spans="20:20" x14ac:dyDescent="0.25">
      <c r="T12914" s="98"/>
    </row>
    <row r="12915" spans="20:20" x14ac:dyDescent="0.25">
      <c r="T12915" s="98"/>
    </row>
    <row r="12916" spans="20:20" x14ac:dyDescent="0.25">
      <c r="T12916" s="98"/>
    </row>
    <row r="12917" spans="20:20" x14ac:dyDescent="0.25">
      <c r="T12917" s="98"/>
    </row>
    <row r="12918" spans="20:20" x14ac:dyDescent="0.25">
      <c r="T12918" s="98"/>
    </row>
    <row r="12919" spans="20:20" x14ac:dyDescent="0.25">
      <c r="T12919" s="98"/>
    </row>
    <row r="12920" spans="20:20" x14ac:dyDescent="0.25">
      <c r="T12920" s="98"/>
    </row>
    <row r="12921" spans="20:20" x14ac:dyDescent="0.25">
      <c r="T12921" s="98"/>
    </row>
    <row r="12922" spans="20:20" x14ac:dyDescent="0.25">
      <c r="T12922" s="98"/>
    </row>
    <row r="12923" spans="20:20" x14ac:dyDescent="0.25">
      <c r="T12923" s="98"/>
    </row>
    <row r="12924" spans="20:20" x14ac:dyDescent="0.25">
      <c r="T12924" s="98"/>
    </row>
    <row r="12925" spans="20:20" x14ac:dyDescent="0.25">
      <c r="T12925" s="98"/>
    </row>
    <row r="12926" spans="20:20" x14ac:dyDescent="0.25">
      <c r="T12926" s="98"/>
    </row>
    <row r="12927" spans="20:20" x14ac:dyDescent="0.25">
      <c r="T12927" s="98"/>
    </row>
    <row r="12928" spans="20:20" x14ac:dyDescent="0.25">
      <c r="T12928" s="98"/>
    </row>
    <row r="12929" spans="20:20" x14ac:dyDescent="0.25">
      <c r="T12929" s="98"/>
    </row>
    <row r="12930" spans="20:20" x14ac:dyDescent="0.25">
      <c r="T12930" s="98"/>
    </row>
    <row r="12931" spans="20:20" x14ac:dyDescent="0.25">
      <c r="T12931" s="98"/>
    </row>
    <row r="12932" spans="20:20" x14ac:dyDescent="0.25">
      <c r="T12932" s="98"/>
    </row>
    <row r="12933" spans="20:20" x14ac:dyDescent="0.25">
      <c r="T12933" s="98"/>
    </row>
    <row r="12934" spans="20:20" x14ac:dyDescent="0.25">
      <c r="T12934" s="98"/>
    </row>
    <row r="12935" spans="20:20" x14ac:dyDescent="0.25">
      <c r="T12935" s="98"/>
    </row>
    <row r="12936" spans="20:20" x14ac:dyDescent="0.25">
      <c r="T12936" s="98"/>
    </row>
    <row r="12937" spans="20:20" x14ac:dyDescent="0.25">
      <c r="T12937" s="98"/>
    </row>
    <row r="12938" spans="20:20" x14ac:dyDescent="0.25">
      <c r="T12938" s="98"/>
    </row>
    <row r="12939" spans="20:20" x14ac:dyDescent="0.25">
      <c r="T12939" s="98"/>
    </row>
    <row r="12940" spans="20:20" x14ac:dyDescent="0.25">
      <c r="T12940" s="98"/>
    </row>
    <row r="12941" spans="20:20" x14ac:dyDescent="0.25">
      <c r="T12941" s="98"/>
    </row>
    <row r="12942" spans="20:20" x14ac:dyDescent="0.25">
      <c r="T12942" s="98"/>
    </row>
    <row r="12943" spans="20:20" x14ac:dyDescent="0.25">
      <c r="T12943" s="98"/>
    </row>
    <row r="12944" spans="20:20" x14ac:dyDescent="0.25">
      <c r="T12944" s="98"/>
    </row>
    <row r="12945" spans="20:20" x14ac:dyDescent="0.25">
      <c r="T12945" s="98"/>
    </row>
    <row r="12946" spans="20:20" x14ac:dyDescent="0.25">
      <c r="T12946" s="98"/>
    </row>
    <row r="12947" spans="20:20" x14ac:dyDescent="0.25">
      <c r="T12947" s="98"/>
    </row>
    <row r="12948" spans="20:20" x14ac:dyDescent="0.25">
      <c r="T12948" s="98"/>
    </row>
    <row r="12949" spans="20:20" x14ac:dyDescent="0.25">
      <c r="T12949" s="98"/>
    </row>
    <row r="12950" spans="20:20" x14ac:dyDescent="0.25">
      <c r="T12950" s="98"/>
    </row>
    <row r="12951" spans="20:20" x14ac:dyDescent="0.25">
      <c r="T12951" s="98"/>
    </row>
    <row r="12952" spans="20:20" x14ac:dyDescent="0.25">
      <c r="T12952" s="98"/>
    </row>
    <row r="12953" spans="20:20" x14ac:dyDescent="0.25">
      <c r="T12953" s="98"/>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56C38-0105-491E-AA14-13E266968AC1}">
  <sheetPr codeName="Feuil9"/>
  <dimension ref="A1:U12953"/>
  <sheetViews>
    <sheetView topLeftCell="D1" zoomScaleNormal="100" workbookViewId="0">
      <selection activeCell="B4" sqref="B4"/>
    </sheetView>
  </sheetViews>
  <sheetFormatPr baseColWidth="10" defaultColWidth="9.21875" defaultRowHeight="13.2" x14ac:dyDescent="0.25"/>
  <cols>
    <col min="1" max="1" width="53.21875" style="23" bestFit="1" customWidth="1"/>
    <col min="2" max="2" width="9.21875" style="23"/>
    <col min="3" max="3" width="14.44140625" style="23" bestFit="1" customWidth="1"/>
    <col min="4" max="4" width="9.21875" style="23" bestFit="1" customWidth="1"/>
    <col min="5" max="10" width="9.21875" style="23"/>
    <col min="11" max="11" width="12" style="23" bestFit="1" customWidth="1"/>
    <col min="12" max="12" width="11.77734375" style="23" bestFit="1" customWidth="1"/>
    <col min="13" max="13" width="16" style="23" bestFit="1" customWidth="1"/>
    <col min="14" max="14" width="16" style="23" customWidth="1"/>
    <col min="15" max="15" width="20.77734375" style="23" bestFit="1" customWidth="1"/>
    <col min="16" max="16" width="12" style="23" bestFit="1" customWidth="1"/>
    <col min="17" max="17" width="12.21875" style="23" bestFit="1" customWidth="1"/>
    <col min="18" max="16384" width="9.21875" style="23"/>
  </cols>
  <sheetData>
    <row r="1" spans="1:21" x14ac:dyDescent="0.25">
      <c r="A1" s="39" t="s">
        <v>49</v>
      </c>
      <c r="B1" s="38">
        <v>50</v>
      </c>
      <c r="D1" s="37" t="s">
        <v>5</v>
      </c>
      <c r="E1" s="37" t="s">
        <v>48</v>
      </c>
      <c r="F1" s="37" t="s">
        <v>47</v>
      </c>
      <c r="G1" s="37" t="s">
        <v>46</v>
      </c>
      <c r="H1" s="37" t="s">
        <v>45</v>
      </c>
      <c r="I1" s="37" t="s">
        <v>44</v>
      </c>
      <c r="J1" s="37" t="s">
        <v>43</v>
      </c>
      <c r="K1" s="37" t="s">
        <v>42</v>
      </c>
      <c r="L1" s="37" t="s">
        <v>41</v>
      </c>
      <c r="M1" s="37" t="s">
        <v>40</v>
      </c>
      <c r="N1" s="37" t="s">
        <v>39</v>
      </c>
      <c r="O1" s="37" t="s">
        <v>38</v>
      </c>
      <c r="P1" s="37" t="s">
        <v>37</v>
      </c>
      <c r="Q1" s="37" t="s">
        <v>36</v>
      </c>
    </row>
    <row r="2" spans="1:21" x14ac:dyDescent="0.25">
      <c r="A2" s="35" t="s">
        <v>35</v>
      </c>
      <c r="B2" s="34">
        <v>40</v>
      </c>
      <c r="D2" s="36">
        <v>0</v>
      </c>
      <c r="E2" s="36"/>
      <c r="F2" s="36"/>
      <c r="G2" s="36"/>
      <c r="H2" s="36"/>
      <c r="I2" s="36"/>
      <c r="J2" s="36"/>
      <c r="K2" s="36"/>
      <c r="L2" s="36"/>
      <c r="M2" s="36"/>
      <c r="N2" s="36"/>
      <c r="O2" s="36"/>
      <c r="P2" s="36">
        <v>50</v>
      </c>
      <c r="Q2" s="36">
        <v>40</v>
      </c>
    </row>
    <row r="3" spans="1:21" x14ac:dyDescent="0.25">
      <c r="A3" s="35" t="s">
        <v>34</v>
      </c>
      <c r="B3" s="34">
        <v>1</v>
      </c>
      <c r="D3" s="29">
        <v>1</v>
      </c>
      <c r="E3" s="29">
        <v>0.03</v>
      </c>
      <c r="F3" s="29">
        <v>0.15</v>
      </c>
      <c r="G3" s="29">
        <v>0.5</v>
      </c>
      <c r="H3" s="29">
        <v>0.03</v>
      </c>
      <c r="I3" s="29">
        <v>0.15</v>
      </c>
      <c r="J3" s="29">
        <v>0.5</v>
      </c>
      <c r="K3" s="30">
        <f ca="1">RAND()</f>
        <v>0.87675240060675608</v>
      </c>
      <c r="L3" s="29">
        <v>0.31036451568159062</v>
      </c>
      <c r="M3" s="29">
        <v>0.27645864561066513</v>
      </c>
      <c r="N3" s="29">
        <v>-0.49481738506173978</v>
      </c>
      <c r="O3" s="31">
        <f>$B$3*M3+SQRT(1-$B$3^2)*N3</f>
        <v>0.27645864561066513</v>
      </c>
      <c r="P3" s="29">
        <v>53.103444922302153</v>
      </c>
      <c r="Q3" s="27">
        <f t="shared" ref="Q3:Q8" si="0">Q2*EXP((H3-0.5*J3^2)*1+J3*O3)</f>
        <v>41.767092842765976</v>
      </c>
    </row>
    <row r="4" spans="1:21" x14ac:dyDescent="0.25">
      <c r="A4" s="35" t="s">
        <v>33</v>
      </c>
      <c r="B4" s="34">
        <v>10</v>
      </c>
      <c r="D4" s="29">
        <v>2</v>
      </c>
      <c r="E4" s="29">
        <v>0.05</v>
      </c>
      <c r="F4" s="29">
        <v>0.2</v>
      </c>
      <c r="G4" s="29">
        <v>0.55000000000000004</v>
      </c>
      <c r="H4" s="29">
        <v>7.0000000000000007E-2</v>
      </c>
      <c r="I4" s="29">
        <v>0.23979157616563601</v>
      </c>
      <c r="J4" s="30">
        <f>SQRT(G4*G4*D4-D3*G3*G3)</f>
        <v>0.59581876439064929</v>
      </c>
      <c r="K4" s="29">
        <v>0.97064041677084134</v>
      </c>
      <c r="L4" s="29">
        <v>0.86490860333501129</v>
      </c>
      <c r="M4" s="29">
        <v>1.8902901422741478</v>
      </c>
      <c r="N4" s="29">
        <v>1.1026417009581251</v>
      </c>
      <c r="O4" s="31">
        <f>$B$3*M4+SQRT(1-$B$3^2)*N4</f>
        <v>1.8902901422741478</v>
      </c>
      <c r="P4" s="27">
        <f>P3*EXP((H4-0.5*I4^2)+I4*M4)</f>
        <v>87.074794385165859</v>
      </c>
      <c r="Q4" s="27">
        <f t="shared" si="0"/>
        <v>115.68594094735164</v>
      </c>
    </row>
    <row r="5" spans="1:21" x14ac:dyDescent="0.25">
      <c r="A5" s="33"/>
      <c r="B5" s="32"/>
      <c r="D5" s="29">
        <v>3</v>
      </c>
      <c r="E5" s="29">
        <v>7.0000000000000007E-2</v>
      </c>
      <c r="F5" s="29">
        <v>0.25</v>
      </c>
      <c r="G5" s="29">
        <v>0.6</v>
      </c>
      <c r="H5" s="30">
        <f>E5*D5-E4*D4</f>
        <v>0.11000000000000001</v>
      </c>
      <c r="I5" s="29">
        <v>0.32787192621510003</v>
      </c>
      <c r="J5" s="29">
        <v>0.68920243760451105</v>
      </c>
      <c r="K5" s="29">
        <v>0.13551185660513987</v>
      </c>
      <c r="L5" s="29">
        <v>0.48766656555418386</v>
      </c>
      <c r="M5" s="30">
        <f>NORMSINV(K5)</f>
        <v>-1.1007081151125675</v>
      </c>
      <c r="N5" s="29">
        <v>-3.0920261749604973E-2</v>
      </c>
      <c r="O5" s="31">
        <f>$B$3*M5+SQRT(1-$B$3^2)*N5</f>
        <v>-1.1007081151125675</v>
      </c>
      <c r="P5" s="29">
        <v>64.20789415120349</v>
      </c>
      <c r="Q5" s="27">
        <f t="shared" si="0"/>
        <v>47.69222552924532</v>
      </c>
    </row>
    <row r="6" spans="1:21" x14ac:dyDescent="0.25">
      <c r="A6" s="24"/>
      <c r="B6" s="24"/>
      <c r="D6" s="29">
        <v>4</v>
      </c>
      <c r="E6" s="29">
        <v>0.1</v>
      </c>
      <c r="F6" s="29">
        <v>0.45</v>
      </c>
      <c r="G6" s="29">
        <v>0.65</v>
      </c>
      <c r="H6" s="29">
        <v>0.19</v>
      </c>
      <c r="I6" s="29">
        <v>0.78898669190297499</v>
      </c>
      <c r="J6" s="29">
        <v>0.78102496759066553</v>
      </c>
      <c r="K6" s="29">
        <v>0.45490727535451381</v>
      </c>
      <c r="L6" s="29">
        <v>0.52771662175943757</v>
      </c>
      <c r="M6" s="29">
        <v>-0.11327245964867341</v>
      </c>
      <c r="N6" s="29">
        <v>6.9531253083326666E-2</v>
      </c>
      <c r="O6" s="31">
        <f>$B$3*M6+SQRT(1-$B$3^2)*N6</f>
        <v>-0.11327245964867341</v>
      </c>
      <c r="P6" s="29">
        <v>52.013624910557638</v>
      </c>
      <c r="Q6" s="27">
        <f t="shared" si="0"/>
        <v>38.911886857006969</v>
      </c>
    </row>
    <row r="7" spans="1:21" x14ac:dyDescent="0.25">
      <c r="A7" s="24"/>
      <c r="B7" s="24"/>
      <c r="D7" s="29">
        <v>5</v>
      </c>
      <c r="E7" s="29">
        <v>0.11</v>
      </c>
      <c r="F7" s="29">
        <v>0.5</v>
      </c>
      <c r="G7" s="29">
        <v>0.65</v>
      </c>
      <c r="H7" s="29">
        <v>0.15000000000000002</v>
      </c>
      <c r="I7" s="30">
        <f>SQRT(F7*F7*D7-D6*F6*F6)</f>
        <v>0.66332495807107994</v>
      </c>
      <c r="J7" s="29">
        <v>0.65</v>
      </c>
      <c r="K7" s="29">
        <v>0.91080950385448611</v>
      </c>
      <c r="L7" s="30">
        <f ca="1">RAND()</f>
        <v>0.63366910180031499</v>
      </c>
      <c r="M7" s="29">
        <v>1.3457567049860053</v>
      </c>
      <c r="N7" s="29">
        <v>-0.8813040762335651</v>
      </c>
      <c r="O7" s="31">
        <f t="shared" ref="O7:O8" si="1">$B$3*M7+SQRT(1-$B$3^2)*N7</f>
        <v>1.3457567049860053</v>
      </c>
      <c r="P7" s="29">
        <v>118.41314185416441</v>
      </c>
      <c r="Q7" s="27">
        <f t="shared" si="0"/>
        <v>87.776309161829019</v>
      </c>
    </row>
    <row r="8" spans="1:21" x14ac:dyDescent="0.25">
      <c r="A8" s="24"/>
      <c r="D8" s="28">
        <v>6</v>
      </c>
      <c r="E8" s="28">
        <v>0.12</v>
      </c>
      <c r="F8" s="28">
        <v>0.55000000000000004</v>
      </c>
      <c r="G8" s="28">
        <v>0.8</v>
      </c>
      <c r="H8" s="28">
        <v>0.16999999999999993</v>
      </c>
      <c r="I8" s="28">
        <v>0.75166481891864567</v>
      </c>
      <c r="J8" s="28">
        <v>1.3143439428094916</v>
      </c>
      <c r="K8" s="28">
        <v>0.39464831024232572</v>
      </c>
      <c r="L8" s="28">
        <v>9.7443019482931881E-2</v>
      </c>
      <c r="M8" s="28">
        <v>-0.2672241013449822</v>
      </c>
      <c r="N8" s="28">
        <v>-1.2962596674759341</v>
      </c>
      <c r="O8" s="31">
        <f t="shared" si="1"/>
        <v>-0.2672241013449822</v>
      </c>
      <c r="P8" s="28">
        <v>86.558177137778969</v>
      </c>
      <c r="Q8" s="27">
        <f t="shared" si="0"/>
        <v>30.871000803951311</v>
      </c>
    </row>
    <row r="9" spans="1:21" x14ac:dyDescent="0.25">
      <c r="D9" s="24"/>
      <c r="E9" s="24"/>
      <c r="F9" s="24"/>
      <c r="G9" s="24"/>
      <c r="H9" s="24"/>
      <c r="I9" s="24"/>
      <c r="J9" s="24"/>
      <c r="K9" s="24"/>
      <c r="L9" s="24"/>
      <c r="M9" s="24"/>
      <c r="N9" s="24"/>
      <c r="O9" s="24"/>
      <c r="P9" s="27">
        <f>MAX(SUM(P4,P6,P8)/3-SUM(Q3,Q5,Q7)/3,0)</f>
        <v>16.136989633220701</v>
      </c>
      <c r="Q9" s="23" t="s">
        <v>29</v>
      </c>
    </row>
    <row r="10" spans="1:21" x14ac:dyDescent="0.25">
      <c r="D10" s="24"/>
      <c r="E10" s="24"/>
      <c r="F10" s="24"/>
      <c r="G10" s="24"/>
      <c r="H10" s="24"/>
      <c r="I10" s="24"/>
      <c r="J10" s="24"/>
      <c r="K10" s="24"/>
      <c r="L10" s="24"/>
      <c r="M10" s="24"/>
      <c r="N10" s="24"/>
      <c r="O10" s="24"/>
      <c r="P10" s="26">
        <f>P9*EXP(-E8*D8)</f>
        <v>7.8547161083728518</v>
      </c>
      <c r="Q10" s="23" t="s">
        <v>28</v>
      </c>
    </row>
    <row r="11" spans="1:21" ht="18" x14ac:dyDescent="0.35">
      <c r="A11" s="25" t="s">
        <v>7</v>
      </c>
      <c r="F11" s="24"/>
      <c r="G11" s="24"/>
      <c r="T11" s="98"/>
      <c r="U11" s="99"/>
    </row>
    <row r="12" spans="1:21" ht="18" x14ac:dyDescent="0.35">
      <c r="A12" s="4" t="s">
        <v>6</v>
      </c>
      <c r="F12" s="24"/>
      <c r="G12" s="24"/>
      <c r="T12" s="98"/>
      <c r="U12" s="99"/>
    </row>
    <row r="13" spans="1:21" x14ac:dyDescent="0.25">
      <c r="F13" s="24"/>
      <c r="G13" s="24"/>
      <c r="T13" s="98"/>
      <c r="U13" s="99"/>
    </row>
    <row r="14" spans="1:21" x14ac:dyDescent="0.25">
      <c r="F14" s="24"/>
      <c r="G14" s="24"/>
      <c r="T14" s="98"/>
      <c r="U14" s="99"/>
    </row>
    <row r="15" spans="1:21" x14ac:dyDescent="0.25">
      <c r="A15" s="23" t="s">
        <v>95</v>
      </c>
      <c r="F15" s="24"/>
      <c r="G15" s="24"/>
      <c r="T15" s="98"/>
      <c r="U15" s="99"/>
    </row>
    <row r="16" spans="1:21" x14ac:dyDescent="0.25">
      <c r="A16" s="23" t="s">
        <v>96</v>
      </c>
      <c r="T16" s="98"/>
      <c r="U16" s="99"/>
    </row>
    <row r="17" spans="1:21" x14ac:dyDescent="0.25">
      <c r="A17" s="23" t="s">
        <v>97</v>
      </c>
      <c r="T17" s="98"/>
      <c r="U17" s="99"/>
    </row>
    <row r="18" spans="1:21" x14ac:dyDescent="0.25">
      <c r="A18" s="23" t="s">
        <v>98</v>
      </c>
      <c r="T18" s="98"/>
      <c r="U18" s="99"/>
    </row>
    <row r="19" spans="1:21" x14ac:dyDescent="0.25">
      <c r="T19" s="98"/>
      <c r="U19" s="99"/>
    </row>
    <row r="20" spans="1:21" x14ac:dyDescent="0.25">
      <c r="T20" s="98"/>
      <c r="U20" s="99"/>
    </row>
    <row r="21" spans="1:21" x14ac:dyDescent="0.25">
      <c r="T21" s="98"/>
      <c r="U21" s="99"/>
    </row>
    <row r="22" spans="1:21" x14ac:dyDescent="0.25">
      <c r="T22" s="98"/>
      <c r="U22" s="99"/>
    </row>
    <row r="23" spans="1:21" x14ac:dyDescent="0.25">
      <c r="T23" s="98"/>
      <c r="U23" s="99"/>
    </row>
    <row r="24" spans="1:21" x14ac:dyDescent="0.25">
      <c r="T24" s="98"/>
      <c r="U24" s="99"/>
    </row>
    <row r="25" spans="1:21" x14ac:dyDescent="0.25">
      <c r="T25" s="98"/>
      <c r="U25" s="99"/>
    </row>
    <row r="26" spans="1:21" x14ac:dyDescent="0.25">
      <c r="T26" s="98"/>
      <c r="U26" s="99"/>
    </row>
    <row r="27" spans="1:21" x14ac:dyDescent="0.25">
      <c r="T27" s="98"/>
      <c r="U27" s="99"/>
    </row>
    <row r="28" spans="1:21" x14ac:dyDescent="0.25">
      <c r="T28" s="98"/>
      <c r="U28" s="99"/>
    </row>
    <row r="29" spans="1:21" x14ac:dyDescent="0.25">
      <c r="T29" s="98"/>
      <c r="U29" s="99"/>
    </row>
    <row r="30" spans="1:21" x14ac:dyDescent="0.25">
      <c r="T30" s="98"/>
      <c r="U30" s="99"/>
    </row>
    <row r="31" spans="1:21" x14ac:dyDescent="0.25">
      <c r="T31" s="98"/>
      <c r="U31" s="99"/>
    </row>
    <row r="32" spans="1:21" x14ac:dyDescent="0.25">
      <c r="T32" s="98"/>
      <c r="U32" s="99"/>
    </row>
    <row r="33" spans="20:21" x14ac:dyDescent="0.25">
      <c r="T33" s="98"/>
      <c r="U33" s="99"/>
    </row>
    <row r="34" spans="20:21" x14ac:dyDescent="0.25">
      <c r="T34" s="98"/>
      <c r="U34" s="99"/>
    </row>
    <row r="35" spans="20:21" x14ac:dyDescent="0.25">
      <c r="T35" s="98"/>
      <c r="U35" s="99"/>
    </row>
    <row r="36" spans="20:21" x14ac:dyDescent="0.25">
      <c r="T36" s="98"/>
      <c r="U36" s="99"/>
    </row>
    <row r="37" spans="20:21" x14ac:dyDescent="0.25">
      <c r="T37" s="98"/>
      <c r="U37" s="99"/>
    </row>
    <row r="38" spans="20:21" x14ac:dyDescent="0.25">
      <c r="T38" s="98"/>
      <c r="U38" s="99"/>
    </row>
    <row r="39" spans="20:21" x14ac:dyDescent="0.25">
      <c r="T39" s="98"/>
      <c r="U39" s="99"/>
    </row>
    <row r="40" spans="20:21" x14ac:dyDescent="0.25">
      <c r="T40" s="98"/>
      <c r="U40" s="99"/>
    </row>
    <row r="41" spans="20:21" x14ac:dyDescent="0.25">
      <c r="T41" s="98"/>
      <c r="U41" s="99"/>
    </row>
    <row r="42" spans="20:21" x14ac:dyDescent="0.25">
      <c r="T42" s="98"/>
      <c r="U42" s="99"/>
    </row>
    <row r="43" spans="20:21" x14ac:dyDescent="0.25">
      <c r="T43" s="98"/>
      <c r="U43" s="99"/>
    </row>
    <row r="44" spans="20:21" x14ac:dyDescent="0.25">
      <c r="T44" s="98"/>
      <c r="U44" s="99"/>
    </row>
    <row r="45" spans="20:21" x14ac:dyDescent="0.25">
      <c r="T45" s="98"/>
      <c r="U45" s="99"/>
    </row>
    <row r="46" spans="20:21" x14ac:dyDescent="0.25">
      <c r="T46" s="98"/>
      <c r="U46" s="99"/>
    </row>
    <row r="47" spans="20:21" x14ac:dyDescent="0.25">
      <c r="T47" s="98"/>
      <c r="U47" s="99"/>
    </row>
    <row r="48" spans="20:21" x14ac:dyDescent="0.25">
      <c r="T48" s="98"/>
      <c r="U48" s="99"/>
    </row>
    <row r="49" spans="20:21" x14ac:dyDescent="0.25">
      <c r="T49" s="98"/>
      <c r="U49" s="99"/>
    </row>
    <row r="50" spans="20:21" x14ac:dyDescent="0.25">
      <c r="T50" s="98"/>
      <c r="U50" s="99"/>
    </row>
    <row r="51" spans="20:21" x14ac:dyDescent="0.25">
      <c r="T51" s="98"/>
      <c r="U51" s="99"/>
    </row>
    <row r="52" spans="20:21" x14ac:dyDescent="0.25">
      <c r="T52" s="98"/>
      <c r="U52" s="99"/>
    </row>
    <row r="53" spans="20:21" x14ac:dyDescent="0.25">
      <c r="T53" s="98"/>
      <c r="U53" s="99"/>
    </row>
    <row r="54" spans="20:21" x14ac:dyDescent="0.25">
      <c r="T54" s="98"/>
      <c r="U54" s="99"/>
    </row>
    <row r="55" spans="20:21" x14ac:dyDescent="0.25">
      <c r="T55" s="98"/>
      <c r="U55" s="99"/>
    </row>
    <row r="56" spans="20:21" x14ac:dyDescent="0.25">
      <c r="T56" s="98"/>
      <c r="U56" s="99"/>
    </row>
    <row r="57" spans="20:21" x14ac:dyDescent="0.25">
      <c r="T57" s="98"/>
      <c r="U57" s="99"/>
    </row>
    <row r="58" spans="20:21" x14ac:dyDescent="0.25">
      <c r="T58" s="98"/>
      <c r="U58" s="99"/>
    </row>
    <row r="59" spans="20:21" x14ac:dyDescent="0.25">
      <c r="T59" s="98"/>
      <c r="U59" s="99"/>
    </row>
    <row r="60" spans="20:21" x14ac:dyDescent="0.25">
      <c r="T60" s="98"/>
      <c r="U60" s="99"/>
    </row>
    <row r="61" spans="20:21" x14ac:dyDescent="0.25">
      <c r="T61" s="98"/>
      <c r="U61" s="99"/>
    </row>
    <row r="62" spans="20:21" x14ac:dyDescent="0.25">
      <c r="T62" s="98"/>
      <c r="U62" s="99"/>
    </row>
    <row r="63" spans="20:21" x14ac:dyDescent="0.25">
      <c r="T63" s="98"/>
      <c r="U63" s="99"/>
    </row>
    <row r="64" spans="20:21" x14ac:dyDescent="0.25">
      <c r="T64" s="98"/>
      <c r="U64" s="99"/>
    </row>
    <row r="65" spans="20:21" x14ac:dyDescent="0.25">
      <c r="T65" s="98"/>
      <c r="U65" s="99"/>
    </row>
    <row r="66" spans="20:21" x14ac:dyDescent="0.25">
      <c r="T66" s="98"/>
      <c r="U66" s="99"/>
    </row>
    <row r="67" spans="20:21" x14ac:dyDescent="0.25">
      <c r="T67" s="98"/>
      <c r="U67" s="99"/>
    </row>
    <row r="68" spans="20:21" x14ac:dyDescent="0.25">
      <c r="T68" s="98"/>
      <c r="U68" s="99"/>
    </row>
    <row r="69" spans="20:21" x14ac:dyDescent="0.25">
      <c r="T69" s="98"/>
      <c r="U69" s="99"/>
    </row>
    <row r="70" spans="20:21" x14ac:dyDescent="0.25">
      <c r="T70" s="98"/>
      <c r="U70" s="99"/>
    </row>
    <row r="71" spans="20:21" x14ac:dyDescent="0.25">
      <c r="T71" s="98"/>
      <c r="U71" s="99"/>
    </row>
    <row r="72" spans="20:21" x14ac:dyDescent="0.25">
      <c r="T72" s="98"/>
      <c r="U72" s="99"/>
    </row>
    <row r="73" spans="20:21" x14ac:dyDescent="0.25">
      <c r="T73" s="98"/>
      <c r="U73" s="99"/>
    </row>
    <row r="74" spans="20:21" x14ac:dyDescent="0.25">
      <c r="T74" s="98"/>
      <c r="U74" s="99"/>
    </row>
    <row r="75" spans="20:21" x14ac:dyDescent="0.25">
      <c r="T75" s="98"/>
      <c r="U75" s="99"/>
    </row>
    <row r="76" spans="20:21" x14ac:dyDescent="0.25">
      <c r="T76" s="98"/>
      <c r="U76" s="99"/>
    </row>
    <row r="77" spans="20:21" x14ac:dyDescent="0.25">
      <c r="T77" s="98"/>
      <c r="U77" s="99"/>
    </row>
    <row r="78" spans="20:21" x14ac:dyDescent="0.25">
      <c r="T78" s="98"/>
      <c r="U78" s="99"/>
    </row>
    <row r="79" spans="20:21" x14ac:dyDescent="0.25">
      <c r="T79" s="98"/>
      <c r="U79" s="99"/>
    </row>
    <row r="80" spans="20:21" x14ac:dyDescent="0.25">
      <c r="T80" s="98"/>
      <c r="U80" s="99"/>
    </row>
    <row r="81" spans="20:21" x14ac:dyDescent="0.25">
      <c r="T81" s="98"/>
      <c r="U81" s="99"/>
    </row>
    <row r="82" spans="20:21" x14ac:dyDescent="0.25">
      <c r="T82" s="98"/>
      <c r="U82" s="99"/>
    </row>
    <row r="83" spans="20:21" x14ac:dyDescent="0.25">
      <c r="T83" s="98"/>
      <c r="U83" s="99"/>
    </row>
    <row r="84" spans="20:21" x14ac:dyDescent="0.25">
      <c r="T84" s="98"/>
      <c r="U84" s="99"/>
    </row>
    <row r="85" spans="20:21" x14ac:dyDescent="0.25">
      <c r="T85" s="98"/>
      <c r="U85" s="99"/>
    </row>
    <row r="86" spans="20:21" x14ac:dyDescent="0.25">
      <c r="T86" s="98"/>
      <c r="U86" s="99"/>
    </row>
    <row r="87" spans="20:21" x14ac:dyDescent="0.25">
      <c r="T87" s="98"/>
      <c r="U87" s="99"/>
    </row>
    <row r="88" spans="20:21" x14ac:dyDescent="0.25">
      <c r="T88" s="98"/>
      <c r="U88" s="99"/>
    </row>
    <row r="89" spans="20:21" x14ac:dyDescent="0.25">
      <c r="T89" s="98"/>
      <c r="U89" s="99"/>
    </row>
    <row r="90" spans="20:21" x14ac:dyDescent="0.25">
      <c r="T90" s="98"/>
      <c r="U90" s="99"/>
    </row>
    <row r="91" spans="20:21" x14ac:dyDescent="0.25">
      <c r="T91" s="98"/>
      <c r="U91" s="99"/>
    </row>
    <row r="92" spans="20:21" x14ac:dyDescent="0.25">
      <c r="T92" s="98"/>
      <c r="U92" s="99"/>
    </row>
    <row r="93" spans="20:21" x14ac:dyDescent="0.25">
      <c r="T93" s="98"/>
      <c r="U93" s="99"/>
    </row>
    <row r="94" spans="20:21" x14ac:dyDescent="0.25">
      <c r="T94" s="98"/>
      <c r="U94" s="99"/>
    </row>
    <row r="95" spans="20:21" x14ac:dyDescent="0.25">
      <c r="T95" s="98"/>
      <c r="U95" s="99"/>
    </row>
    <row r="96" spans="20:21" x14ac:dyDescent="0.25">
      <c r="T96" s="98"/>
      <c r="U96" s="99"/>
    </row>
    <row r="97" spans="20:21" x14ac:dyDescent="0.25">
      <c r="T97" s="98"/>
      <c r="U97" s="99"/>
    </row>
    <row r="98" spans="20:21" x14ac:dyDescent="0.25">
      <c r="T98" s="98"/>
      <c r="U98" s="99"/>
    </row>
    <row r="99" spans="20:21" x14ac:dyDescent="0.25">
      <c r="T99" s="98"/>
      <c r="U99" s="99"/>
    </row>
    <row r="100" spans="20:21" x14ac:dyDescent="0.25">
      <c r="T100" s="98"/>
      <c r="U100" s="99"/>
    </row>
    <row r="101" spans="20:21" x14ac:dyDescent="0.25">
      <c r="T101" s="98"/>
      <c r="U101" s="99"/>
    </row>
    <row r="102" spans="20:21" x14ac:dyDescent="0.25">
      <c r="T102" s="98"/>
      <c r="U102" s="99"/>
    </row>
    <row r="103" spans="20:21" x14ac:dyDescent="0.25">
      <c r="T103" s="98"/>
      <c r="U103" s="99"/>
    </row>
    <row r="104" spans="20:21" x14ac:dyDescent="0.25">
      <c r="T104" s="98"/>
      <c r="U104" s="99"/>
    </row>
    <row r="105" spans="20:21" x14ac:dyDescent="0.25">
      <c r="T105" s="98"/>
      <c r="U105" s="99"/>
    </row>
    <row r="106" spans="20:21" x14ac:dyDescent="0.25">
      <c r="T106" s="98"/>
      <c r="U106" s="99"/>
    </row>
    <row r="107" spans="20:21" x14ac:dyDescent="0.25">
      <c r="T107" s="98"/>
      <c r="U107" s="99"/>
    </row>
    <row r="108" spans="20:21" x14ac:dyDescent="0.25">
      <c r="T108" s="98"/>
      <c r="U108" s="99"/>
    </row>
    <row r="109" spans="20:21" x14ac:dyDescent="0.25">
      <c r="T109" s="98"/>
      <c r="U109" s="99"/>
    </row>
    <row r="110" spans="20:21" x14ac:dyDescent="0.25">
      <c r="T110" s="98"/>
      <c r="U110" s="99"/>
    </row>
    <row r="111" spans="20:21" x14ac:dyDescent="0.25">
      <c r="T111" s="98"/>
      <c r="U111" s="99"/>
    </row>
    <row r="112" spans="20:21" x14ac:dyDescent="0.25">
      <c r="T112" s="98"/>
      <c r="U112" s="99"/>
    </row>
    <row r="113" spans="20:21" x14ac:dyDescent="0.25">
      <c r="T113" s="98"/>
      <c r="U113" s="99"/>
    </row>
    <row r="114" spans="20:21" x14ac:dyDescent="0.25">
      <c r="T114" s="98"/>
      <c r="U114" s="99"/>
    </row>
    <row r="115" spans="20:21" x14ac:dyDescent="0.25">
      <c r="T115" s="98"/>
      <c r="U115" s="99"/>
    </row>
    <row r="116" spans="20:21" x14ac:dyDescent="0.25">
      <c r="T116" s="98"/>
      <c r="U116" s="99"/>
    </row>
    <row r="117" spans="20:21" x14ac:dyDescent="0.25">
      <c r="T117" s="98"/>
      <c r="U117" s="99"/>
    </row>
    <row r="118" spans="20:21" x14ac:dyDescent="0.25">
      <c r="T118" s="98"/>
      <c r="U118" s="99"/>
    </row>
    <row r="119" spans="20:21" x14ac:dyDescent="0.25">
      <c r="T119" s="98"/>
      <c r="U119" s="99"/>
    </row>
    <row r="120" spans="20:21" x14ac:dyDescent="0.25">
      <c r="T120" s="98"/>
      <c r="U120" s="99"/>
    </row>
    <row r="121" spans="20:21" x14ac:dyDescent="0.25">
      <c r="T121" s="98"/>
      <c r="U121" s="99"/>
    </row>
    <row r="122" spans="20:21" x14ac:dyDescent="0.25">
      <c r="T122" s="98"/>
      <c r="U122" s="99"/>
    </row>
    <row r="123" spans="20:21" x14ac:dyDescent="0.25">
      <c r="T123" s="98"/>
      <c r="U123" s="99"/>
    </row>
    <row r="124" spans="20:21" x14ac:dyDescent="0.25">
      <c r="T124" s="98"/>
      <c r="U124" s="99"/>
    </row>
    <row r="125" spans="20:21" x14ac:dyDescent="0.25">
      <c r="T125" s="98"/>
      <c r="U125" s="99"/>
    </row>
    <row r="126" spans="20:21" x14ac:dyDescent="0.25">
      <c r="T126" s="98"/>
      <c r="U126" s="99"/>
    </row>
    <row r="127" spans="20:21" x14ac:dyDescent="0.25">
      <c r="T127" s="98"/>
      <c r="U127" s="99"/>
    </row>
    <row r="128" spans="20:21" x14ac:dyDescent="0.25">
      <c r="T128" s="98"/>
      <c r="U128" s="99"/>
    </row>
    <row r="129" spans="20:21" x14ac:dyDescent="0.25">
      <c r="T129" s="98"/>
      <c r="U129" s="99"/>
    </row>
    <row r="130" spans="20:21" x14ac:dyDescent="0.25">
      <c r="T130" s="98"/>
      <c r="U130" s="99"/>
    </row>
    <row r="131" spans="20:21" x14ac:dyDescent="0.25">
      <c r="T131" s="98"/>
      <c r="U131" s="99"/>
    </row>
    <row r="132" spans="20:21" x14ac:dyDescent="0.25">
      <c r="T132" s="98"/>
      <c r="U132" s="99"/>
    </row>
    <row r="133" spans="20:21" x14ac:dyDescent="0.25">
      <c r="T133" s="98"/>
      <c r="U133" s="99"/>
    </row>
    <row r="134" spans="20:21" x14ac:dyDescent="0.25">
      <c r="T134" s="98"/>
      <c r="U134" s="99"/>
    </row>
    <row r="135" spans="20:21" x14ac:dyDescent="0.25">
      <c r="T135" s="98"/>
      <c r="U135" s="99"/>
    </row>
    <row r="136" spans="20:21" x14ac:dyDescent="0.25">
      <c r="T136" s="98"/>
      <c r="U136" s="99"/>
    </row>
    <row r="137" spans="20:21" x14ac:dyDescent="0.25">
      <c r="T137" s="98"/>
      <c r="U137" s="99"/>
    </row>
    <row r="138" spans="20:21" x14ac:dyDescent="0.25">
      <c r="T138" s="98"/>
      <c r="U138" s="99"/>
    </row>
    <row r="139" spans="20:21" x14ac:dyDescent="0.25">
      <c r="T139" s="98"/>
      <c r="U139" s="99"/>
    </row>
    <row r="140" spans="20:21" x14ac:dyDescent="0.25">
      <c r="T140" s="98"/>
      <c r="U140" s="99"/>
    </row>
    <row r="141" spans="20:21" x14ac:dyDescent="0.25">
      <c r="T141" s="98"/>
      <c r="U141" s="99"/>
    </row>
    <row r="142" spans="20:21" x14ac:dyDescent="0.25">
      <c r="T142" s="98"/>
      <c r="U142" s="99"/>
    </row>
    <row r="143" spans="20:21" x14ac:dyDescent="0.25">
      <c r="T143" s="98"/>
      <c r="U143" s="99"/>
    </row>
    <row r="144" spans="20:21" x14ac:dyDescent="0.25">
      <c r="T144" s="98"/>
      <c r="U144" s="99"/>
    </row>
    <row r="145" spans="20:21" x14ac:dyDescent="0.25">
      <c r="T145" s="98"/>
      <c r="U145" s="99"/>
    </row>
    <row r="146" spans="20:21" x14ac:dyDescent="0.25">
      <c r="T146" s="98"/>
      <c r="U146" s="99"/>
    </row>
    <row r="147" spans="20:21" x14ac:dyDescent="0.25">
      <c r="T147" s="98"/>
      <c r="U147" s="99"/>
    </row>
    <row r="148" spans="20:21" x14ac:dyDescent="0.25">
      <c r="T148" s="98"/>
      <c r="U148" s="99"/>
    </row>
    <row r="149" spans="20:21" x14ac:dyDescent="0.25">
      <c r="T149" s="98"/>
      <c r="U149" s="99"/>
    </row>
    <row r="150" spans="20:21" x14ac:dyDescent="0.25">
      <c r="T150" s="98"/>
      <c r="U150" s="99"/>
    </row>
    <row r="151" spans="20:21" x14ac:dyDescent="0.25">
      <c r="T151" s="98"/>
      <c r="U151" s="99"/>
    </row>
    <row r="152" spans="20:21" x14ac:dyDescent="0.25">
      <c r="T152" s="98"/>
      <c r="U152" s="99"/>
    </row>
    <row r="153" spans="20:21" x14ac:dyDescent="0.25">
      <c r="T153" s="98"/>
      <c r="U153" s="99"/>
    </row>
    <row r="154" spans="20:21" x14ac:dyDescent="0.25">
      <c r="T154" s="98"/>
      <c r="U154" s="99"/>
    </row>
    <row r="155" spans="20:21" x14ac:dyDescent="0.25">
      <c r="T155" s="98"/>
      <c r="U155" s="99"/>
    </row>
    <row r="156" spans="20:21" x14ac:dyDescent="0.25">
      <c r="T156" s="98"/>
      <c r="U156" s="99"/>
    </row>
    <row r="157" spans="20:21" x14ac:dyDescent="0.25">
      <c r="T157" s="98"/>
      <c r="U157" s="99"/>
    </row>
    <row r="158" spans="20:21" x14ac:dyDescent="0.25">
      <c r="T158" s="98"/>
      <c r="U158" s="99"/>
    </row>
    <row r="159" spans="20:21" x14ac:dyDescent="0.25">
      <c r="T159" s="98"/>
      <c r="U159" s="99"/>
    </row>
    <row r="160" spans="20:21" x14ac:dyDescent="0.25">
      <c r="T160" s="98"/>
      <c r="U160" s="99"/>
    </row>
    <row r="161" spans="20:21" x14ac:dyDescent="0.25">
      <c r="T161" s="98"/>
      <c r="U161" s="99"/>
    </row>
    <row r="162" spans="20:21" x14ac:dyDescent="0.25">
      <c r="T162" s="98"/>
      <c r="U162" s="99"/>
    </row>
    <row r="163" spans="20:21" x14ac:dyDescent="0.25">
      <c r="T163" s="98"/>
      <c r="U163" s="99"/>
    </row>
    <row r="164" spans="20:21" x14ac:dyDescent="0.25">
      <c r="T164" s="98"/>
      <c r="U164" s="99"/>
    </row>
    <row r="165" spans="20:21" x14ac:dyDescent="0.25">
      <c r="T165" s="98"/>
      <c r="U165" s="99"/>
    </row>
    <row r="166" spans="20:21" x14ac:dyDescent="0.25">
      <c r="T166" s="98"/>
      <c r="U166" s="99"/>
    </row>
    <row r="167" spans="20:21" x14ac:dyDescent="0.25">
      <c r="T167" s="98"/>
      <c r="U167" s="99"/>
    </row>
    <row r="168" spans="20:21" x14ac:dyDescent="0.25">
      <c r="T168" s="98"/>
      <c r="U168" s="99"/>
    </row>
    <row r="169" spans="20:21" x14ac:dyDescent="0.25">
      <c r="T169" s="98"/>
      <c r="U169" s="99"/>
    </row>
    <row r="170" spans="20:21" x14ac:dyDescent="0.25">
      <c r="T170" s="98"/>
      <c r="U170" s="99"/>
    </row>
    <row r="171" spans="20:21" x14ac:dyDescent="0.25">
      <c r="T171" s="98"/>
      <c r="U171" s="99"/>
    </row>
    <row r="172" spans="20:21" x14ac:dyDescent="0.25">
      <c r="T172" s="98"/>
      <c r="U172" s="99"/>
    </row>
    <row r="173" spans="20:21" x14ac:dyDescent="0.25">
      <c r="T173" s="98"/>
      <c r="U173" s="99"/>
    </row>
    <row r="174" spans="20:21" x14ac:dyDescent="0.25">
      <c r="T174" s="98"/>
      <c r="U174" s="99"/>
    </row>
    <row r="175" spans="20:21" x14ac:dyDescent="0.25">
      <c r="T175" s="98"/>
      <c r="U175" s="99"/>
    </row>
    <row r="176" spans="20:21" x14ac:dyDescent="0.25">
      <c r="T176" s="98"/>
      <c r="U176" s="99"/>
    </row>
    <row r="177" spans="20:21" x14ac:dyDescent="0.25">
      <c r="T177" s="98"/>
      <c r="U177" s="99"/>
    </row>
    <row r="178" spans="20:21" x14ac:dyDescent="0.25">
      <c r="T178" s="98"/>
      <c r="U178" s="99"/>
    </row>
    <row r="179" spans="20:21" x14ac:dyDescent="0.25">
      <c r="T179" s="98"/>
      <c r="U179" s="99"/>
    </row>
    <row r="180" spans="20:21" x14ac:dyDescent="0.25">
      <c r="T180" s="98"/>
      <c r="U180" s="99"/>
    </row>
    <row r="181" spans="20:21" x14ac:dyDescent="0.25">
      <c r="T181" s="98"/>
      <c r="U181" s="99"/>
    </row>
    <row r="182" spans="20:21" x14ac:dyDescent="0.25">
      <c r="T182" s="98"/>
      <c r="U182" s="99"/>
    </row>
    <row r="183" spans="20:21" x14ac:dyDescent="0.25">
      <c r="T183" s="98"/>
      <c r="U183" s="99"/>
    </row>
    <row r="184" spans="20:21" x14ac:dyDescent="0.25">
      <c r="T184" s="98"/>
      <c r="U184" s="99"/>
    </row>
    <row r="185" spans="20:21" x14ac:dyDescent="0.25">
      <c r="T185" s="98"/>
      <c r="U185" s="99"/>
    </row>
    <row r="186" spans="20:21" x14ac:dyDescent="0.25">
      <c r="T186" s="98"/>
      <c r="U186" s="99"/>
    </row>
    <row r="187" spans="20:21" x14ac:dyDescent="0.25">
      <c r="T187" s="98"/>
      <c r="U187" s="99"/>
    </row>
    <row r="188" spans="20:21" x14ac:dyDescent="0.25">
      <c r="T188" s="98"/>
      <c r="U188" s="99"/>
    </row>
    <row r="189" spans="20:21" x14ac:dyDescent="0.25">
      <c r="T189" s="98"/>
      <c r="U189" s="99"/>
    </row>
    <row r="190" spans="20:21" x14ac:dyDescent="0.25">
      <c r="T190" s="98"/>
      <c r="U190" s="99"/>
    </row>
    <row r="191" spans="20:21" x14ac:dyDescent="0.25">
      <c r="T191" s="98"/>
      <c r="U191" s="99"/>
    </row>
    <row r="192" spans="20:21" x14ac:dyDescent="0.25">
      <c r="T192" s="98"/>
      <c r="U192" s="99"/>
    </row>
    <row r="193" spans="20:21" x14ac:dyDescent="0.25">
      <c r="T193" s="98"/>
      <c r="U193" s="99"/>
    </row>
    <row r="194" spans="20:21" x14ac:dyDescent="0.25">
      <c r="T194" s="98"/>
      <c r="U194" s="99"/>
    </row>
    <row r="195" spans="20:21" x14ac:dyDescent="0.25">
      <c r="T195" s="98"/>
      <c r="U195" s="99"/>
    </row>
    <row r="196" spans="20:21" x14ac:dyDescent="0.25">
      <c r="T196" s="98"/>
      <c r="U196" s="99"/>
    </row>
    <row r="197" spans="20:21" x14ac:dyDescent="0.25">
      <c r="T197" s="98"/>
      <c r="U197" s="99"/>
    </row>
    <row r="198" spans="20:21" x14ac:dyDescent="0.25">
      <c r="T198" s="98"/>
      <c r="U198" s="99"/>
    </row>
    <row r="199" spans="20:21" x14ac:dyDescent="0.25">
      <c r="T199" s="98"/>
      <c r="U199" s="99"/>
    </row>
    <row r="200" spans="20:21" x14ac:dyDescent="0.25">
      <c r="T200" s="98"/>
      <c r="U200" s="99"/>
    </row>
    <row r="201" spans="20:21" x14ac:dyDescent="0.25">
      <c r="T201" s="98"/>
      <c r="U201" s="99"/>
    </row>
    <row r="202" spans="20:21" x14ac:dyDescent="0.25">
      <c r="T202" s="98"/>
      <c r="U202" s="99"/>
    </row>
    <row r="203" spans="20:21" x14ac:dyDescent="0.25">
      <c r="T203" s="98"/>
      <c r="U203" s="99"/>
    </row>
    <row r="204" spans="20:21" x14ac:dyDescent="0.25">
      <c r="T204" s="98"/>
      <c r="U204" s="99"/>
    </row>
    <row r="205" spans="20:21" x14ac:dyDescent="0.25">
      <c r="T205" s="98"/>
      <c r="U205" s="99"/>
    </row>
    <row r="206" spans="20:21" x14ac:dyDescent="0.25">
      <c r="T206" s="98"/>
      <c r="U206" s="99"/>
    </row>
    <row r="207" spans="20:21" x14ac:dyDescent="0.25">
      <c r="T207" s="98"/>
      <c r="U207" s="99"/>
    </row>
    <row r="208" spans="20:21" x14ac:dyDescent="0.25">
      <c r="T208" s="98"/>
      <c r="U208" s="99"/>
    </row>
    <row r="209" spans="20:21" x14ac:dyDescent="0.25">
      <c r="T209" s="98"/>
      <c r="U209" s="99"/>
    </row>
    <row r="210" spans="20:21" x14ac:dyDescent="0.25">
      <c r="T210" s="98"/>
      <c r="U210" s="99"/>
    </row>
    <row r="211" spans="20:21" x14ac:dyDescent="0.25">
      <c r="T211" s="98"/>
      <c r="U211" s="99"/>
    </row>
    <row r="212" spans="20:21" x14ac:dyDescent="0.25">
      <c r="T212" s="98"/>
      <c r="U212" s="99"/>
    </row>
    <row r="213" spans="20:21" x14ac:dyDescent="0.25">
      <c r="T213" s="98"/>
      <c r="U213" s="99"/>
    </row>
    <row r="214" spans="20:21" x14ac:dyDescent="0.25">
      <c r="T214" s="98"/>
      <c r="U214" s="99"/>
    </row>
    <row r="215" spans="20:21" x14ac:dyDescent="0.25">
      <c r="T215" s="98"/>
      <c r="U215" s="99"/>
    </row>
    <row r="216" spans="20:21" x14ac:dyDescent="0.25">
      <c r="T216" s="98"/>
      <c r="U216" s="99"/>
    </row>
    <row r="217" spans="20:21" x14ac:dyDescent="0.25">
      <c r="T217" s="98"/>
      <c r="U217" s="99"/>
    </row>
    <row r="218" spans="20:21" x14ac:dyDescent="0.25">
      <c r="T218" s="98"/>
      <c r="U218" s="99"/>
    </row>
    <row r="219" spans="20:21" x14ac:dyDescent="0.25">
      <c r="T219" s="98"/>
      <c r="U219" s="99"/>
    </row>
    <row r="220" spans="20:21" x14ac:dyDescent="0.25">
      <c r="T220" s="98"/>
      <c r="U220" s="99"/>
    </row>
    <row r="221" spans="20:21" x14ac:dyDescent="0.25">
      <c r="T221" s="98"/>
      <c r="U221" s="99"/>
    </row>
    <row r="222" spans="20:21" x14ac:dyDescent="0.25">
      <c r="T222" s="98"/>
      <c r="U222" s="99"/>
    </row>
    <row r="223" spans="20:21" x14ac:dyDescent="0.25">
      <c r="T223" s="98"/>
      <c r="U223" s="99"/>
    </row>
    <row r="224" spans="20:21" x14ac:dyDescent="0.25">
      <c r="T224" s="98"/>
      <c r="U224" s="99"/>
    </row>
    <row r="225" spans="20:21" x14ac:dyDescent="0.25">
      <c r="T225" s="98"/>
      <c r="U225" s="99"/>
    </row>
    <row r="226" spans="20:21" x14ac:dyDescent="0.25">
      <c r="T226" s="98"/>
      <c r="U226" s="99"/>
    </row>
    <row r="227" spans="20:21" x14ac:dyDescent="0.25">
      <c r="T227" s="98"/>
      <c r="U227" s="99"/>
    </row>
    <row r="228" spans="20:21" x14ac:dyDescent="0.25">
      <c r="T228" s="98"/>
      <c r="U228" s="99"/>
    </row>
    <row r="229" spans="20:21" x14ac:dyDescent="0.25">
      <c r="T229" s="98"/>
      <c r="U229" s="99"/>
    </row>
    <row r="230" spans="20:21" x14ac:dyDescent="0.25">
      <c r="T230" s="98"/>
      <c r="U230" s="99"/>
    </row>
    <row r="231" spans="20:21" x14ac:dyDescent="0.25">
      <c r="T231" s="98"/>
      <c r="U231" s="99"/>
    </row>
    <row r="232" spans="20:21" x14ac:dyDescent="0.25">
      <c r="T232" s="98"/>
      <c r="U232" s="99"/>
    </row>
    <row r="233" spans="20:21" x14ac:dyDescent="0.25">
      <c r="T233" s="98"/>
      <c r="U233" s="99"/>
    </row>
    <row r="234" spans="20:21" x14ac:dyDescent="0.25">
      <c r="T234" s="98"/>
      <c r="U234" s="99"/>
    </row>
    <row r="235" spans="20:21" x14ac:dyDescent="0.25">
      <c r="T235" s="98"/>
      <c r="U235" s="99"/>
    </row>
    <row r="236" spans="20:21" x14ac:dyDescent="0.25">
      <c r="T236" s="98"/>
      <c r="U236" s="99"/>
    </row>
    <row r="237" spans="20:21" x14ac:dyDescent="0.25">
      <c r="T237" s="98"/>
      <c r="U237" s="99"/>
    </row>
    <row r="238" spans="20:21" x14ac:dyDescent="0.25">
      <c r="T238" s="98"/>
      <c r="U238" s="99"/>
    </row>
    <row r="239" spans="20:21" x14ac:dyDescent="0.25">
      <c r="T239" s="98"/>
      <c r="U239" s="99"/>
    </row>
    <row r="240" spans="20:21" x14ac:dyDescent="0.25">
      <c r="T240" s="98"/>
      <c r="U240" s="99"/>
    </row>
    <row r="241" spans="20:21" x14ac:dyDescent="0.25">
      <c r="T241" s="98"/>
      <c r="U241" s="99"/>
    </row>
    <row r="242" spans="20:21" x14ac:dyDescent="0.25">
      <c r="T242" s="98"/>
      <c r="U242" s="99"/>
    </row>
    <row r="243" spans="20:21" x14ac:dyDescent="0.25">
      <c r="T243" s="98"/>
      <c r="U243" s="99"/>
    </row>
    <row r="244" spans="20:21" x14ac:dyDescent="0.25">
      <c r="T244" s="98"/>
      <c r="U244" s="99"/>
    </row>
    <row r="245" spans="20:21" x14ac:dyDescent="0.25">
      <c r="T245" s="98"/>
      <c r="U245" s="99"/>
    </row>
    <row r="246" spans="20:21" x14ac:dyDescent="0.25">
      <c r="T246" s="98"/>
      <c r="U246" s="99"/>
    </row>
    <row r="247" spans="20:21" x14ac:dyDescent="0.25">
      <c r="T247" s="98"/>
      <c r="U247" s="99"/>
    </row>
    <row r="248" spans="20:21" x14ac:dyDescent="0.25">
      <c r="T248" s="98"/>
      <c r="U248" s="99"/>
    </row>
    <row r="249" spans="20:21" x14ac:dyDescent="0.25">
      <c r="T249" s="98"/>
      <c r="U249" s="99"/>
    </row>
    <row r="250" spans="20:21" x14ac:dyDescent="0.25">
      <c r="T250" s="98"/>
      <c r="U250" s="99"/>
    </row>
    <row r="251" spans="20:21" x14ac:dyDescent="0.25">
      <c r="T251" s="98"/>
      <c r="U251" s="99"/>
    </row>
    <row r="252" spans="20:21" x14ac:dyDescent="0.25">
      <c r="T252" s="98"/>
      <c r="U252" s="99"/>
    </row>
    <row r="253" spans="20:21" x14ac:dyDescent="0.25">
      <c r="T253" s="98"/>
      <c r="U253" s="99"/>
    </row>
    <row r="254" spans="20:21" x14ac:dyDescent="0.25">
      <c r="T254" s="98"/>
      <c r="U254" s="99"/>
    </row>
    <row r="255" spans="20:21" x14ac:dyDescent="0.25">
      <c r="T255" s="98"/>
      <c r="U255" s="99"/>
    </row>
    <row r="256" spans="20:21" x14ac:dyDescent="0.25">
      <c r="T256" s="98"/>
      <c r="U256" s="99"/>
    </row>
    <row r="257" spans="20:21" x14ac:dyDescent="0.25">
      <c r="T257" s="98"/>
      <c r="U257" s="99"/>
    </row>
    <row r="258" spans="20:21" x14ac:dyDescent="0.25">
      <c r="T258" s="98"/>
      <c r="U258" s="99"/>
    </row>
    <row r="259" spans="20:21" x14ac:dyDescent="0.25">
      <c r="T259" s="98"/>
      <c r="U259" s="99"/>
    </row>
    <row r="260" spans="20:21" x14ac:dyDescent="0.25">
      <c r="T260" s="98"/>
      <c r="U260" s="99"/>
    </row>
    <row r="261" spans="20:21" x14ac:dyDescent="0.25">
      <c r="T261" s="98"/>
      <c r="U261" s="99"/>
    </row>
    <row r="262" spans="20:21" x14ac:dyDescent="0.25">
      <c r="T262" s="98"/>
      <c r="U262" s="99"/>
    </row>
    <row r="263" spans="20:21" x14ac:dyDescent="0.25">
      <c r="T263" s="98"/>
      <c r="U263" s="99"/>
    </row>
    <row r="264" spans="20:21" x14ac:dyDescent="0.25">
      <c r="T264" s="98"/>
      <c r="U264" s="99"/>
    </row>
    <row r="265" spans="20:21" x14ac:dyDescent="0.25">
      <c r="T265" s="98"/>
      <c r="U265" s="99"/>
    </row>
    <row r="266" spans="20:21" x14ac:dyDescent="0.25">
      <c r="T266" s="98"/>
      <c r="U266" s="99"/>
    </row>
    <row r="267" spans="20:21" x14ac:dyDescent="0.25">
      <c r="T267" s="98"/>
      <c r="U267" s="99"/>
    </row>
    <row r="268" spans="20:21" x14ac:dyDescent="0.25">
      <c r="T268" s="98"/>
      <c r="U268" s="99"/>
    </row>
    <row r="269" spans="20:21" x14ac:dyDescent="0.25">
      <c r="T269" s="98"/>
      <c r="U269" s="99"/>
    </row>
    <row r="270" spans="20:21" x14ac:dyDescent="0.25">
      <c r="T270" s="98"/>
      <c r="U270" s="99"/>
    </row>
    <row r="271" spans="20:21" x14ac:dyDescent="0.25">
      <c r="T271" s="98"/>
      <c r="U271" s="99"/>
    </row>
    <row r="272" spans="20:21" x14ac:dyDescent="0.25">
      <c r="T272" s="98"/>
      <c r="U272" s="99"/>
    </row>
    <row r="273" spans="20:21" x14ac:dyDescent="0.25">
      <c r="T273" s="98"/>
      <c r="U273" s="99"/>
    </row>
    <row r="274" spans="20:21" x14ac:dyDescent="0.25">
      <c r="T274" s="98"/>
      <c r="U274" s="99"/>
    </row>
    <row r="275" spans="20:21" x14ac:dyDescent="0.25">
      <c r="T275" s="98"/>
      <c r="U275" s="99"/>
    </row>
    <row r="276" spans="20:21" x14ac:dyDescent="0.25">
      <c r="T276" s="98"/>
      <c r="U276" s="99"/>
    </row>
    <row r="277" spans="20:21" x14ac:dyDescent="0.25">
      <c r="T277" s="98"/>
      <c r="U277" s="99"/>
    </row>
    <row r="278" spans="20:21" x14ac:dyDescent="0.25">
      <c r="T278" s="98"/>
      <c r="U278" s="99"/>
    </row>
    <row r="279" spans="20:21" x14ac:dyDescent="0.25">
      <c r="T279" s="98"/>
      <c r="U279" s="99"/>
    </row>
    <row r="280" spans="20:21" x14ac:dyDescent="0.25">
      <c r="T280" s="98"/>
      <c r="U280" s="99"/>
    </row>
    <row r="281" spans="20:21" x14ac:dyDescent="0.25">
      <c r="T281" s="98"/>
      <c r="U281" s="99"/>
    </row>
    <row r="282" spans="20:21" x14ac:dyDescent="0.25">
      <c r="T282" s="98"/>
      <c r="U282" s="99"/>
    </row>
    <row r="283" spans="20:21" x14ac:dyDescent="0.25">
      <c r="T283" s="98"/>
      <c r="U283" s="99"/>
    </row>
    <row r="284" spans="20:21" x14ac:dyDescent="0.25">
      <c r="T284" s="98"/>
      <c r="U284" s="99"/>
    </row>
    <row r="285" spans="20:21" x14ac:dyDescent="0.25">
      <c r="T285" s="98"/>
      <c r="U285" s="99"/>
    </row>
    <row r="286" spans="20:21" x14ac:dyDescent="0.25">
      <c r="T286" s="98"/>
      <c r="U286" s="99"/>
    </row>
    <row r="287" spans="20:21" x14ac:dyDescent="0.25">
      <c r="T287" s="98"/>
      <c r="U287" s="99"/>
    </row>
    <row r="288" spans="20:21" x14ac:dyDescent="0.25">
      <c r="T288" s="98"/>
      <c r="U288" s="99"/>
    </row>
    <row r="289" spans="20:21" x14ac:dyDescent="0.25">
      <c r="T289" s="98"/>
      <c r="U289" s="99"/>
    </row>
    <row r="290" spans="20:21" x14ac:dyDescent="0.25">
      <c r="T290" s="98"/>
      <c r="U290" s="99"/>
    </row>
    <row r="291" spans="20:21" x14ac:dyDescent="0.25">
      <c r="T291" s="98"/>
      <c r="U291" s="99"/>
    </row>
    <row r="292" spans="20:21" x14ac:dyDescent="0.25">
      <c r="T292" s="98"/>
      <c r="U292" s="99"/>
    </row>
    <row r="293" spans="20:21" x14ac:dyDescent="0.25">
      <c r="T293" s="98"/>
      <c r="U293" s="99"/>
    </row>
    <row r="294" spans="20:21" x14ac:dyDescent="0.25">
      <c r="T294" s="98"/>
      <c r="U294" s="99"/>
    </row>
    <row r="295" spans="20:21" x14ac:dyDescent="0.25">
      <c r="T295" s="98"/>
      <c r="U295" s="99"/>
    </row>
    <row r="296" spans="20:21" x14ac:dyDescent="0.25">
      <c r="T296" s="98"/>
      <c r="U296" s="99"/>
    </row>
    <row r="297" spans="20:21" x14ac:dyDescent="0.25">
      <c r="T297" s="98"/>
      <c r="U297" s="99"/>
    </row>
    <row r="298" spans="20:21" x14ac:dyDescent="0.25">
      <c r="T298" s="98"/>
      <c r="U298" s="99"/>
    </row>
    <row r="299" spans="20:21" x14ac:dyDescent="0.25">
      <c r="T299" s="98"/>
      <c r="U299" s="99"/>
    </row>
    <row r="300" spans="20:21" x14ac:dyDescent="0.25">
      <c r="T300" s="98"/>
      <c r="U300" s="99"/>
    </row>
    <row r="301" spans="20:21" x14ac:dyDescent="0.25">
      <c r="T301" s="98"/>
      <c r="U301" s="99"/>
    </row>
    <row r="302" spans="20:21" x14ac:dyDescent="0.25">
      <c r="T302" s="98"/>
      <c r="U302" s="99"/>
    </row>
    <row r="303" spans="20:21" x14ac:dyDescent="0.25">
      <c r="T303" s="98"/>
      <c r="U303" s="99"/>
    </row>
    <row r="304" spans="20:21" x14ac:dyDescent="0.25">
      <c r="T304" s="98"/>
      <c r="U304" s="99"/>
    </row>
    <row r="305" spans="20:21" x14ac:dyDescent="0.25">
      <c r="T305" s="98"/>
      <c r="U305" s="99"/>
    </row>
    <row r="306" spans="20:21" x14ac:dyDescent="0.25">
      <c r="T306" s="98"/>
      <c r="U306" s="99"/>
    </row>
    <row r="307" spans="20:21" x14ac:dyDescent="0.25">
      <c r="T307" s="98"/>
      <c r="U307" s="99"/>
    </row>
    <row r="308" spans="20:21" x14ac:dyDescent="0.25">
      <c r="T308" s="98"/>
      <c r="U308" s="99"/>
    </row>
    <row r="309" spans="20:21" x14ac:dyDescent="0.25">
      <c r="T309" s="98"/>
      <c r="U309" s="99"/>
    </row>
    <row r="310" spans="20:21" x14ac:dyDescent="0.25">
      <c r="T310" s="98"/>
      <c r="U310" s="99"/>
    </row>
    <row r="311" spans="20:21" x14ac:dyDescent="0.25">
      <c r="T311" s="98"/>
      <c r="U311" s="99"/>
    </row>
    <row r="312" spans="20:21" x14ac:dyDescent="0.25">
      <c r="T312" s="98"/>
      <c r="U312" s="99"/>
    </row>
    <row r="313" spans="20:21" x14ac:dyDescent="0.25">
      <c r="T313" s="98"/>
      <c r="U313" s="99"/>
    </row>
    <row r="314" spans="20:21" x14ac:dyDescent="0.25">
      <c r="T314" s="98"/>
      <c r="U314" s="99"/>
    </row>
    <row r="315" spans="20:21" x14ac:dyDescent="0.25">
      <c r="T315" s="98"/>
      <c r="U315" s="99"/>
    </row>
    <row r="316" spans="20:21" x14ac:dyDescent="0.25">
      <c r="T316" s="98"/>
      <c r="U316" s="99"/>
    </row>
    <row r="317" spans="20:21" x14ac:dyDescent="0.25">
      <c r="T317" s="98"/>
      <c r="U317" s="99"/>
    </row>
    <row r="318" spans="20:21" x14ac:dyDescent="0.25">
      <c r="T318" s="98"/>
      <c r="U318" s="99"/>
    </row>
    <row r="319" spans="20:21" x14ac:dyDescent="0.25">
      <c r="T319" s="98"/>
      <c r="U319" s="99"/>
    </row>
    <row r="320" spans="20:21" x14ac:dyDescent="0.25">
      <c r="T320" s="98"/>
      <c r="U320" s="99"/>
    </row>
    <row r="321" spans="20:21" x14ac:dyDescent="0.25">
      <c r="T321" s="98"/>
      <c r="U321" s="99"/>
    </row>
    <row r="322" spans="20:21" x14ac:dyDescent="0.25">
      <c r="T322" s="98"/>
      <c r="U322" s="99"/>
    </row>
    <row r="323" spans="20:21" x14ac:dyDescent="0.25">
      <c r="T323" s="98"/>
      <c r="U323" s="99"/>
    </row>
    <row r="324" spans="20:21" x14ac:dyDescent="0.25">
      <c r="T324" s="98"/>
      <c r="U324" s="99"/>
    </row>
    <row r="325" spans="20:21" x14ac:dyDescent="0.25">
      <c r="T325" s="98"/>
      <c r="U325" s="99"/>
    </row>
    <row r="326" spans="20:21" x14ac:dyDescent="0.25">
      <c r="T326" s="98"/>
      <c r="U326" s="99"/>
    </row>
    <row r="327" spans="20:21" x14ac:dyDescent="0.25">
      <c r="T327" s="98"/>
      <c r="U327" s="99"/>
    </row>
    <row r="328" spans="20:21" x14ac:dyDescent="0.25">
      <c r="T328" s="98"/>
      <c r="U328" s="99"/>
    </row>
    <row r="329" spans="20:21" x14ac:dyDescent="0.25">
      <c r="T329" s="98"/>
      <c r="U329" s="99"/>
    </row>
    <row r="330" spans="20:21" x14ac:dyDescent="0.25">
      <c r="T330" s="98"/>
      <c r="U330" s="99"/>
    </row>
    <row r="331" spans="20:21" x14ac:dyDescent="0.25">
      <c r="T331" s="98"/>
      <c r="U331" s="99"/>
    </row>
    <row r="332" spans="20:21" x14ac:dyDescent="0.25">
      <c r="T332" s="98"/>
      <c r="U332" s="99"/>
    </row>
    <row r="333" spans="20:21" x14ac:dyDescent="0.25">
      <c r="T333" s="98"/>
      <c r="U333" s="99"/>
    </row>
    <row r="334" spans="20:21" x14ac:dyDescent="0.25">
      <c r="T334" s="98"/>
      <c r="U334" s="99"/>
    </row>
    <row r="335" spans="20:21" x14ac:dyDescent="0.25">
      <c r="T335" s="98"/>
      <c r="U335" s="99"/>
    </row>
    <row r="336" spans="20:21" x14ac:dyDescent="0.25">
      <c r="T336" s="98"/>
      <c r="U336" s="99"/>
    </row>
    <row r="337" spans="20:21" x14ac:dyDescent="0.25">
      <c r="T337" s="98"/>
      <c r="U337" s="99"/>
    </row>
    <row r="338" spans="20:21" x14ac:dyDescent="0.25">
      <c r="T338" s="98"/>
      <c r="U338" s="99"/>
    </row>
    <row r="339" spans="20:21" x14ac:dyDescent="0.25">
      <c r="T339" s="98"/>
      <c r="U339" s="99"/>
    </row>
    <row r="340" spans="20:21" x14ac:dyDescent="0.25">
      <c r="T340" s="98"/>
      <c r="U340" s="99"/>
    </row>
    <row r="341" spans="20:21" x14ac:dyDescent="0.25">
      <c r="T341" s="98"/>
      <c r="U341" s="99"/>
    </row>
    <row r="342" spans="20:21" x14ac:dyDescent="0.25">
      <c r="T342" s="98"/>
      <c r="U342" s="99"/>
    </row>
    <row r="343" spans="20:21" x14ac:dyDescent="0.25">
      <c r="T343" s="98"/>
      <c r="U343" s="99"/>
    </row>
    <row r="344" spans="20:21" x14ac:dyDescent="0.25">
      <c r="T344" s="98"/>
      <c r="U344" s="99"/>
    </row>
    <row r="345" spans="20:21" x14ac:dyDescent="0.25">
      <c r="T345" s="98"/>
      <c r="U345" s="99"/>
    </row>
    <row r="346" spans="20:21" x14ac:dyDescent="0.25">
      <c r="T346" s="98"/>
      <c r="U346" s="99"/>
    </row>
    <row r="347" spans="20:21" x14ac:dyDescent="0.25">
      <c r="T347" s="98"/>
      <c r="U347" s="99"/>
    </row>
    <row r="348" spans="20:21" x14ac:dyDescent="0.25">
      <c r="T348" s="98"/>
      <c r="U348" s="99"/>
    </row>
    <row r="349" spans="20:21" x14ac:dyDescent="0.25">
      <c r="T349" s="98"/>
      <c r="U349" s="99"/>
    </row>
    <row r="350" spans="20:21" x14ac:dyDescent="0.25">
      <c r="T350" s="98"/>
      <c r="U350" s="99"/>
    </row>
    <row r="351" spans="20:21" x14ac:dyDescent="0.25">
      <c r="T351" s="98"/>
      <c r="U351" s="99"/>
    </row>
    <row r="352" spans="20:21" x14ac:dyDescent="0.25">
      <c r="T352" s="98"/>
      <c r="U352" s="99"/>
    </row>
    <row r="353" spans="20:21" x14ac:dyDescent="0.25">
      <c r="T353" s="98"/>
      <c r="U353" s="99"/>
    </row>
    <row r="354" spans="20:21" x14ac:dyDescent="0.25">
      <c r="T354" s="98"/>
      <c r="U354" s="99"/>
    </row>
    <row r="355" spans="20:21" x14ac:dyDescent="0.25">
      <c r="T355" s="98"/>
      <c r="U355" s="99"/>
    </row>
    <row r="356" spans="20:21" x14ac:dyDescent="0.25">
      <c r="T356" s="98"/>
      <c r="U356" s="99"/>
    </row>
    <row r="357" spans="20:21" x14ac:dyDescent="0.25">
      <c r="T357" s="98"/>
      <c r="U357" s="99"/>
    </row>
    <row r="358" spans="20:21" x14ac:dyDescent="0.25">
      <c r="T358" s="98"/>
      <c r="U358" s="99"/>
    </row>
    <row r="359" spans="20:21" x14ac:dyDescent="0.25">
      <c r="T359" s="98"/>
      <c r="U359" s="99"/>
    </row>
    <row r="360" spans="20:21" x14ac:dyDescent="0.25">
      <c r="T360" s="98"/>
      <c r="U360" s="99"/>
    </row>
    <row r="361" spans="20:21" x14ac:dyDescent="0.25">
      <c r="T361" s="98"/>
      <c r="U361" s="99"/>
    </row>
    <row r="362" spans="20:21" x14ac:dyDescent="0.25">
      <c r="T362" s="98"/>
      <c r="U362" s="99"/>
    </row>
    <row r="363" spans="20:21" x14ac:dyDescent="0.25">
      <c r="T363" s="98"/>
      <c r="U363" s="99"/>
    </row>
    <row r="364" spans="20:21" x14ac:dyDescent="0.25">
      <c r="T364" s="98"/>
      <c r="U364" s="99"/>
    </row>
    <row r="365" spans="20:21" x14ac:dyDescent="0.25">
      <c r="T365" s="98"/>
      <c r="U365" s="99"/>
    </row>
    <row r="366" spans="20:21" x14ac:dyDescent="0.25">
      <c r="T366" s="98"/>
      <c r="U366" s="99"/>
    </row>
    <row r="367" spans="20:21" x14ac:dyDescent="0.25">
      <c r="T367" s="98"/>
      <c r="U367" s="99"/>
    </row>
    <row r="368" spans="20:21" x14ac:dyDescent="0.25">
      <c r="T368" s="98"/>
      <c r="U368" s="99"/>
    </row>
    <row r="369" spans="20:21" x14ac:dyDescent="0.25">
      <c r="T369" s="98"/>
      <c r="U369" s="99"/>
    </row>
    <row r="370" spans="20:21" x14ac:dyDescent="0.25">
      <c r="T370" s="98"/>
      <c r="U370" s="99"/>
    </row>
    <row r="371" spans="20:21" x14ac:dyDescent="0.25">
      <c r="T371" s="98"/>
      <c r="U371" s="99"/>
    </row>
    <row r="372" spans="20:21" x14ac:dyDescent="0.25">
      <c r="T372" s="98"/>
      <c r="U372" s="99"/>
    </row>
    <row r="373" spans="20:21" x14ac:dyDescent="0.25">
      <c r="T373" s="98"/>
      <c r="U373" s="99"/>
    </row>
    <row r="374" spans="20:21" x14ac:dyDescent="0.25">
      <c r="T374" s="98"/>
      <c r="U374" s="99"/>
    </row>
    <row r="375" spans="20:21" x14ac:dyDescent="0.25">
      <c r="T375" s="98"/>
      <c r="U375" s="99"/>
    </row>
    <row r="376" spans="20:21" x14ac:dyDescent="0.25">
      <c r="T376" s="98"/>
      <c r="U376" s="99"/>
    </row>
    <row r="377" spans="20:21" x14ac:dyDescent="0.25">
      <c r="T377" s="98"/>
      <c r="U377" s="99"/>
    </row>
    <row r="378" spans="20:21" x14ac:dyDescent="0.25">
      <c r="T378" s="98"/>
      <c r="U378" s="99"/>
    </row>
    <row r="379" spans="20:21" x14ac:dyDescent="0.25">
      <c r="T379" s="98"/>
      <c r="U379" s="99"/>
    </row>
    <row r="380" spans="20:21" x14ac:dyDescent="0.25">
      <c r="T380" s="98"/>
      <c r="U380" s="99"/>
    </row>
    <row r="381" spans="20:21" x14ac:dyDescent="0.25">
      <c r="T381" s="98"/>
      <c r="U381" s="99"/>
    </row>
    <row r="382" spans="20:21" x14ac:dyDescent="0.25">
      <c r="T382" s="98"/>
      <c r="U382" s="99"/>
    </row>
    <row r="383" spans="20:21" x14ac:dyDescent="0.25">
      <c r="T383" s="98"/>
      <c r="U383" s="99"/>
    </row>
    <row r="384" spans="20:21" x14ac:dyDescent="0.25">
      <c r="T384" s="98"/>
      <c r="U384" s="99"/>
    </row>
    <row r="385" spans="20:21" x14ac:dyDescent="0.25">
      <c r="T385" s="98"/>
      <c r="U385" s="99"/>
    </row>
    <row r="386" spans="20:21" x14ac:dyDescent="0.25">
      <c r="T386" s="98"/>
      <c r="U386" s="99"/>
    </row>
    <row r="387" spans="20:21" x14ac:dyDescent="0.25">
      <c r="T387" s="98"/>
      <c r="U387" s="99"/>
    </row>
    <row r="388" spans="20:21" x14ac:dyDescent="0.25">
      <c r="T388" s="98"/>
      <c r="U388" s="99"/>
    </row>
    <row r="389" spans="20:21" x14ac:dyDescent="0.25">
      <c r="T389" s="98"/>
      <c r="U389" s="99"/>
    </row>
    <row r="390" spans="20:21" x14ac:dyDescent="0.25">
      <c r="T390" s="98"/>
      <c r="U390" s="99"/>
    </row>
    <row r="391" spans="20:21" x14ac:dyDescent="0.25">
      <c r="T391" s="98"/>
      <c r="U391" s="99"/>
    </row>
    <row r="392" spans="20:21" x14ac:dyDescent="0.25">
      <c r="T392" s="98"/>
      <c r="U392" s="99"/>
    </row>
    <row r="393" spans="20:21" x14ac:dyDescent="0.25">
      <c r="T393" s="98"/>
      <c r="U393" s="99"/>
    </row>
    <row r="394" spans="20:21" x14ac:dyDescent="0.25">
      <c r="T394" s="98"/>
      <c r="U394" s="99"/>
    </row>
    <row r="395" spans="20:21" x14ac:dyDescent="0.25">
      <c r="T395" s="98"/>
      <c r="U395" s="99"/>
    </row>
    <row r="396" spans="20:21" x14ac:dyDescent="0.25">
      <c r="T396" s="98"/>
      <c r="U396" s="99"/>
    </row>
    <row r="397" spans="20:21" x14ac:dyDescent="0.25">
      <c r="T397" s="98"/>
      <c r="U397" s="99"/>
    </row>
    <row r="398" spans="20:21" x14ac:dyDescent="0.25">
      <c r="T398" s="98"/>
      <c r="U398" s="99"/>
    </row>
    <row r="399" spans="20:21" x14ac:dyDescent="0.25">
      <c r="T399" s="98"/>
      <c r="U399" s="99"/>
    </row>
    <row r="400" spans="20:21" x14ac:dyDescent="0.25">
      <c r="T400" s="98"/>
      <c r="U400" s="99"/>
    </row>
    <row r="401" spans="20:21" x14ac:dyDescent="0.25">
      <c r="T401" s="98"/>
      <c r="U401" s="99"/>
    </row>
    <row r="402" spans="20:21" x14ac:dyDescent="0.25">
      <c r="T402" s="98"/>
      <c r="U402" s="99"/>
    </row>
    <row r="403" spans="20:21" x14ac:dyDescent="0.25">
      <c r="T403" s="98"/>
      <c r="U403" s="99"/>
    </row>
    <row r="404" spans="20:21" x14ac:dyDescent="0.25">
      <c r="T404" s="98"/>
      <c r="U404" s="99"/>
    </row>
    <row r="405" spans="20:21" x14ac:dyDescent="0.25">
      <c r="T405" s="98"/>
      <c r="U405" s="99"/>
    </row>
    <row r="406" spans="20:21" x14ac:dyDescent="0.25">
      <c r="T406" s="98"/>
      <c r="U406" s="99"/>
    </row>
    <row r="407" spans="20:21" x14ac:dyDescent="0.25">
      <c r="T407" s="98"/>
      <c r="U407" s="99"/>
    </row>
    <row r="408" spans="20:21" x14ac:dyDescent="0.25">
      <c r="T408" s="98"/>
      <c r="U408" s="99"/>
    </row>
    <row r="409" spans="20:21" x14ac:dyDescent="0.25">
      <c r="T409" s="98"/>
      <c r="U409" s="99"/>
    </row>
    <row r="410" spans="20:21" x14ac:dyDescent="0.25">
      <c r="T410" s="98"/>
      <c r="U410" s="99"/>
    </row>
    <row r="411" spans="20:21" x14ac:dyDescent="0.25">
      <c r="T411" s="98"/>
      <c r="U411" s="99"/>
    </row>
    <row r="412" spans="20:21" x14ac:dyDescent="0.25">
      <c r="T412" s="98"/>
      <c r="U412" s="99"/>
    </row>
    <row r="413" spans="20:21" x14ac:dyDescent="0.25">
      <c r="T413" s="98"/>
      <c r="U413" s="99"/>
    </row>
    <row r="414" spans="20:21" x14ac:dyDescent="0.25">
      <c r="T414" s="98"/>
      <c r="U414" s="99"/>
    </row>
    <row r="415" spans="20:21" x14ac:dyDescent="0.25">
      <c r="T415" s="98"/>
      <c r="U415" s="99"/>
    </row>
    <row r="416" spans="20:21" x14ac:dyDescent="0.25">
      <c r="T416" s="98"/>
      <c r="U416" s="99"/>
    </row>
    <row r="417" spans="20:21" x14ac:dyDescent="0.25">
      <c r="T417" s="98"/>
      <c r="U417" s="99"/>
    </row>
    <row r="418" spans="20:21" x14ac:dyDescent="0.25">
      <c r="T418" s="98"/>
      <c r="U418" s="99"/>
    </row>
    <row r="419" spans="20:21" x14ac:dyDescent="0.25">
      <c r="T419" s="98"/>
      <c r="U419" s="99"/>
    </row>
    <row r="420" spans="20:21" x14ac:dyDescent="0.25">
      <c r="T420" s="98"/>
      <c r="U420" s="99"/>
    </row>
    <row r="421" spans="20:21" x14ac:dyDescent="0.25">
      <c r="T421" s="98"/>
      <c r="U421" s="99"/>
    </row>
    <row r="422" spans="20:21" x14ac:dyDescent="0.25">
      <c r="T422" s="98"/>
      <c r="U422" s="99"/>
    </row>
    <row r="423" spans="20:21" x14ac:dyDescent="0.25">
      <c r="T423" s="98"/>
      <c r="U423" s="99"/>
    </row>
    <row r="424" spans="20:21" x14ac:dyDescent="0.25">
      <c r="T424" s="98"/>
      <c r="U424" s="99"/>
    </row>
    <row r="425" spans="20:21" x14ac:dyDescent="0.25">
      <c r="T425" s="98"/>
      <c r="U425" s="99"/>
    </row>
    <row r="426" spans="20:21" x14ac:dyDescent="0.25">
      <c r="T426" s="98"/>
      <c r="U426" s="99"/>
    </row>
    <row r="427" spans="20:21" x14ac:dyDescent="0.25">
      <c r="T427" s="98"/>
      <c r="U427" s="99"/>
    </row>
    <row r="428" spans="20:21" x14ac:dyDescent="0.25">
      <c r="T428" s="98"/>
      <c r="U428" s="99"/>
    </row>
    <row r="429" spans="20:21" x14ac:dyDescent="0.25">
      <c r="T429" s="98"/>
      <c r="U429" s="99"/>
    </row>
    <row r="430" spans="20:21" x14ac:dyDescent="0.25">
      <c r="T430" s="98"/>
      <c r="U430" s="99"/>
    </row>
    <row r="431" spans="20:21" x14ac:dyDescent="0.25">
      <c r="T431" s="98"/>
      <c r="U431" s="99"/>
    </row>
    <row r="432" spans="20:21" x14ac:dyDescent="0.25">
      <c r="T432" s="98"/>
      <c r="U432" s="99"/>
    </row>
    <row r="433" spans="20:21" x14ac:dyDescent="0.25">
      <c r="T433" s="98"/>
      <c r="U433" s="99"/>
    </row>
    <row r="434" spans="20:21" x14ac:dyDescent="0.25">
      <c r="T434" s="98"/>
      <c r="U434" s="99"/>
    </row>
    <row r="435" spans="20:21" x14ac:dyDescent="0.25">
      <c r="T435" s="98"/>
      <c r="U435" s="99"/>
    </row>
    <row r="436" spans="20:21" x14ac:dyDescent="0.25">
      <c r="T436" s="98"/>
      <c r="U436" s="99"/>
    </row>
    <row r="437" spans="20:21" x14ac:dyDescent="0.25">
      <c r="T437" s="98"/>
      <c r="U437" s="99"/>
    </row>
    <row r="438" spans="20:21" x14ac:dyDescent="0.25">
      <c r="T438" s="98"/>
      <c r="U438" s="99"/>
    </row>
    <row r="439" spans="20:21" x14ac:dyDescent="0.25">
      <c r="T439" s="98"/>
      <c r="U439" s="99"/>
    </row>
    <row r="440" spans="20:21" x14ac:dyDescent="0.25">
      <c r="T440" s="98"/>
      <c r="U440" s="99"/>
    </row>
    <row r="441" spans="20:21" x14ac:dyDescent="0.25">
      <c r="T441" s="98"/>
      <c r="U441" s="99"/>
    </row>
    <row r="442" spans="20:21" x14ac:dyDescent="0.25">
      <c r="T442" s="98"/>
      <c r="U442" s="99"/>
    </row>
    <row r="443" spans="20:21" x14ac:dyDescent="0.25">
      <c r="T443" s="98"/>
      <c r="U443" s="99"/>
    </row>
    <row r="444" spans="20:21" x14ac:dyDescent="0.25">
      <c r="T444" s="98"/>
      <c r="U444" s="99"/>
    </row>
    <row r="445" spans="20:21" x14ac:dyDescent="0.25">
      <c r="T445" s="98"/>
      <c r="U445" s="99"/>
    </row>
    <row r="446" spans="20:21" x14ac:dyDescent="0.25">
      <c r="T446" s="98"/>
      <c r="U446" s="99"/>
    </row>
    <row r="447" spans="20:21" x14ac:dyDescent="0.25">
      <c r="T447" s="98"/>
      <c r="U447" s="99"/>
    </row>
    <row r="448" spans="20:21" x14ac:dyDescent="0.25">
      <c r="T448" s="98"/>
      <c r="U448" s="99"/>
    </row>
    <row r="449" spans="20:21" x14ac:dyDescent="0.25">
      <c r="T449" s="98"/>
      <c r="U449" s="99"/>
    </row>
    <row r="450" spans="20:21" x14ac:dyDescent="0.25">
      <c r="T450" s="98"/>
      <c r="U450" s="99"/>
    </row>
    <row r="451" spans="20:21" x14ac:dyDescent="0.25">
      <c r="T451" s="98"/>
      <c r="U451" s="99"/>
    </row>
    <row r="452" spans="20:21" x14ac:dyDescent="0.25">
      <c r="T452" s="98"/>
      <c r="U452" s="99"/>
    </row>
    <row r="453" spans="20:21" x14ac:dyDescent="0.25">
      <c r="T453" s="98"/>
      <c r="U453" s="99"/>
    </row>
    <row r="454" spans="20:21" x14ac:dyDescent="0.25">
      <c r="T454" s="98"/>
      <c r="U454" s="99"/>
    </row>
    <row r="455" spans="20:21" x14ac:dyDescent="0.25">
      <c r="T455" s="98"/>
      <c r="U455" s="99"/>
    </row>
    <row r="456" spans="20:21" x14ac:dyDescent="0.25">
      <c r="T456" s="98"/>
      <c r="U456" s="99"/>
    </row>
    <row r="457" spans="20:21" x14ac:dyDescent="0.25">
      <c r="T457" s="98"/>
      <c r="U457" s="99"/>
    </row>
    <row r="458" spans="20:21" x14ac:dyDescent="0.25">
      <c r="T458" s="98"/>
      <c r="U458" s="99"/>
    </row>
    <row r="459" spans="20:21" x14ac:dyDescent="0.25">
      <c r="T459" s="98"/>
      <c r="U459" s="99"/>
    </row>
    <row r="460" spans="20:21" x14ac:dyDescent="0.25">
      <c r="T460" s="98"/>
      <c r="U460" s="99"/>
    </row>
    <row r="461" spans="20:21" x14ac:dyDescent="0.25">
      <c r="T461" s="98"/>
      <c r="U461" s="99"/>
    </row>
    <row r="462" spans="20:21" x14ac:dyDescent="0.25">
      <c r="T462" s="98"/>
      <c r="U462" s="99"/>
    </row>
    <row r="463" spans="20:21" x14ac:dyDescent="0.25">
      <c r="T463" s="98"/>
      <c r="U463" s="99"/>
    </row>
    <row r="464" spans="20:21" x14ac:dyDescent="0.25">
      <c r="T464" s="98"/>
      <c r="U464" s="99"/>
    </row>
    <row r="465" spans="20:21" x14ac:dyDescent="0.25">
      <c r="T465" s="98"/>
      <c r="U465" s="99"/>
    </row>
    <row r="466" spans="20:21" x14ac:dyDescent="0.25">
      <c r="T466" s="98"/>
      <c r="U466" s="99"/>
    </row>
    <row r="467" spans="20:21" x14ac:dyDescent="0.25">
      <c r="T467" s="98"/>
      <c r="U467" s="99"/>
    </row>
    <row r="468" spans="20:21" x14ac:dyDescent="0.25">
      <c r="T468" s="98"/>
      <c r="U468" s="99"/>
    </row>
    <row r="469" spans="20:21" x14ac:dyDescent="0.25">
      <c r="T469" s="98"/>
      <c r="U469" s="99"/>
    </row>
    <row r="470" spans="20:21" x14ac:dyDescent="0.25">
      <c r="T470" s="98"/>
      <c r="U470" s="99"/>
    </row>
    <row r="471" spans="20:21" x14ac:dyDescent="0.25">
      <c r="T471" s="98"/>
      <c r="U471" s="99"/>
    </row>
    <row r="472" spans="20:21" x14ac:dyDescent="0.25">
      <c r="T472" s="98"/>
      <c r="U472" s="99"/>
    </row>
    <row r="473" spans="20:21" x14ac:dyDescent="0.25">
      <c r="T473" s="98"/>
      <c r="U473" s="99"/>
    </row>
    <row r="474" spans="20:21" x14ac:dyDescent="0.25">
      <c r="T474" s="98"/>
      <c r="U474" s="99"/>
    </row>
    <row r="475" spans="20:21" x14ac:dyDescent="0.25">
      <c r="T475" s="98"/>
      <c r="U475" s="99"/>
    </row>
    <row r="476" spans="20:21" x14ac:dyDescent="0.25">
      <c r="T476" s="98"/>
      <c r="U476" s="99"/>
    </row>
    <row r="477" spans="20:21" x14ac:dyDescent="0.25">
      <c r="T477" s="98"/>
      <c r="U477" s="99"/>
    </row>
    <row r="478" spans="20:21" x14ac:dyDescent="0.25">
      <c r="T478" s="98"/>
      <c r="U478" s="99"/>
    </row>
    <row r="479" spans="20:21" x14ac:dyDescent="0.25">
      <c r="T479" s="98"/>
      <c r="U479" s="99"/>
    </row>
    <row r="480" spans="20:21" x14ac:dyDescent="0.25">
      <c r="T480" s="98"/>
      <c r="U480" s="99"/>
    </row>
    <row r="481" spans="20:21" x14ac:dyDescent="0.25">
      <c r="T481" s="98"/>
      <c r="U481" s="99"/>
    </row>
    <row r="482" spans="20:21" x14ac:dyDescent="0.25">
      <c r="T482" s="98"/>
      <c r="U482" s="99"/>
    </row>
    <row r="483" spans="20:21" x14ac:dyDescent="0.25">
      <c r="T483" s="98"/>
      <c r="U483" s="99"/>
    </row>
    <row r="484" spans="20:21" x14ac:dyDescent="0.25">
      <c r="T484" s="98"/>
      <c r="U484" s="99"/>
    </row>
    <row r="485" spans="20:21" x14ac:dyDescent="0.25">
      <c r="T485" s="98"/>
      <c r="U485" s="99"/>
    </row>
    <row r="486" spans="20:21" x14ac:dyDescent="0.25">
      <c r="T486" s="98"/>
      <c r="U486" s="99"/>
    </row>
    <row r="487" spans="20:21" x14ac:dyDescent="0.25">
      <c r="T487" s="98"/>
      <c r="U487" s="99"/>
    </row>
    <row r="488" spans="20:21" x14ac:dyDescent="0.25">
      <c r="T488" s="98"/>
      <c r="U488" s="99"/>
    </row>
    <row r="489" spans="20:21" x14ac:dyDescent="0.25">
      <c r="T489" s="98"/>
      <c r="U489" s="99"/>
    </row>
    <row r="490" spans="20:21" x14ac:dyDescent="0.25">
      <c r="T490" s="98"/>
      <c r="U490" s="99"/>
    </row>
    <row r="491" spans="20:21" x14ac:dyDescent="0.25">
      <c r="T491" s="98"/>
      <c r="U491" s="99"/>
    </row>
    <row r="492" spans="20:21" x14ac:dyDescent="0.25">
      <c r="T492" s="98"/>
      <c r="U492" s="99"/>
    </row>
    <row r="493" spans="20:21" x14ac:dyDescent="0.25">
      <c r="T493" s="98"/>
      <c r="U493" s="99"/>
    </row>
    <row r="494" spans="20:21" x14ac:dyDescent="0.25">
      <c r="T494" s="98"/>
      <c r="U494" s="99"/>
    </row>
    <row r="495" spans="20:21" x14ac:dyDescent="0.25">
      <c r="T495" s="98"/>
      <c r="U495" s="99"/>
    </row>
    <row r="496" spans="20:21" x14ac:dyDescent="0.25">
      <c r="T496" s="98"/>
      <c r="U496" s="99"/>
    </row>
    <row r="497" spans="20:21" x14ac:dyDescent="0.25">
      <c r="T497" s="98"/>
      <c r="U497" s="99"/>
    </row>
    <row r="498" spans="20:21" x14ac:dyDescent="0.25">
      <c r="T498" s="98"/>
      <c r="U498" s="99"/>
    </row>
    <row r="499" spans="20:21" x14ac:dyDescent="0.25">
      <c r="T499" s="98"/>
      <c r="U499" s="99"/>
    </row>
    <row r="500" spans="20:21" x14ac:dyDescent="0.25">
      <c r="T500" s="98"/>
      <c r="U500" s="99"/>
    </row>
    <row r="501" spans="20:21" x14ac:dyDescent="0.25">
      <c r="T501" s="98"/>
      <c r="U501" s="99"/>
    </row>
    <row r="502" spans="20:21" x14ac:dyDescent="0.25">
      <c r="T502" s="98"/>
      <c r="U502" s="99"/>
    </row>
    <row r="503" spans="20:21" x14ac:dyDescent="0.25">
      <c r="T503" s="98"/>
      <c r="U503" s="99"/>
    </row>
    <row r="504" spans="20:21" x14ac:dyDescent="0.25">
      <c r="T504" s="98"/>
      <c r="U504" s="99"/>
    </row>
    <row r="505" spans="20:21" x14ac:dyDescent="0.25">
      <c r="T505" s="98"/>
      <c r="U505" s="99"/>
    </row>
    <row r="506" spans="20:21" x14ac:dyDescent="0.25">
      <c r="T506" s="98"/>
      <c r="U506" s="99"/>
    </row>
    <row r="507" spans="20:21" x14ac:dyDescent="0.25">
      <c r="T507" s="98"/>
      <c r="U507" s="99"/>
    </row>
    <row r="508" spans="20:21" x14ac:dyDescent="0.25">
      <c r="T508" s="98"/>
      <c r="U508" s="99"/>
    </row>
    <row r="509" spans="20:21" x14ac:dyDescent="0.25">
      <c r="T509" s="98"/>
      <c r="U509" s="99"/>
    </row>
    <row r="510" spans="20:21" x14ac:dyDescent="0.25">
      <c r="T510" s="98"/>
      <c r="U510" s="99"/>
    </row>
    <row r="511" spans="20:21" x14ac:dyDescent="0.25">
      <c r="T511" s="98"/>
      <c r="U511" s="99"/>
    </row>
    <row r="512" spans="20:21" x14ac:dyDescent="0.25">
      <c r="T512" s="98"/>
      <c r="U512" s="99"/>
    </row>
    <row r="513" spans="20:21" x14ac:dyDescent="0.25">
      <c r="T513" s="98"/>
      <c r="U513" s="99"/>
    </row>
    <row r="514" spans="20:21" x14ac:dyDescent="0.25">
      <c r="T514" s="98"/>
      <c r="U514" s="99"/>
    </row>
    <row r="515" spans="20:21" x14ac:dyDescent="0.25">
      <c r="T515" s="98"/>
      <c r="U515" s="99"/>
    </row>
    <row r="516" spans="20:21" x14ac:dyDescent="0.25">
      <c r="T516" s="98"/>
      <c r="U516" s="99"/>
    </row>
    <row r="517" spans="20:21" x14ac:dyDescent="0.25">
      <c r="T517" s="98"/>
      <c r="U517" s="99"/>
    </row>
    <row r="518" spans="20:21" x14ac:dyDescent="0.25">
      <c r="T518" s="98"/>
      <c r="U518" s="99"/>
    </row>
    <row r="519" spans="20:21" x14ac:dyDescent="0.25">
      <c r="T519" s="98"/>
      <c r="U519" s="99"/>
    </row>
    <row r="520" spans="20:21" x14ac:dyDescent="0.25">
      <c r="T520" s="98"/>
      <c r="U520" s="99"/>
    </row>
    <row r="521" spans="20:21" x14ac:dyDescent="0.25">
      <c r="T521" s="98"/>
      <c r="U521" s="99"/>
    </row>
    <row r="522" spans="20:21" x14ac:dyDescent="0.25">
      <c r="T522" s="98"/>
      <c r="U522" s="99"/>
    </row>
    <row r="523" spans="20:21" x14ac:dyDescent="0.25">
      <c r="T523" s="98"/>
      <c r="U523" s="99"/>
    </row>
    <row r="524" spans="20:21" x14ac:dyDescent="0.25">
      <c r="T524" s="98"/>
      <c r="U524" s="99"/>
    </row>
    <row r="525" spans="20:21" x14ac:dyDescent="0.25">
      <c r="T525" s="98"/>
      <c r="U525" s="99"/>
    </row>
    <row r="526" spans="20:21" x14ac:dyDescent="0.25">
      <c r="T526" s="98"/>
      <c r="U526" s="99"/>
    </row>
    <row r="527" spans="20:21" x14ac:dyDescent="0.25">
      <c r="T527" s="98"/>
      <c r="U527" s="99"/>
    </row>
    <row r="528" spans="20:21" x14ac:dyDescent="0.25">
      <c r="T528" s="98"/>
      <c r="U528" s="99"/>
    </row>
    <row r="529" spans="20:21" x14ac:dyDescent="0.25">
      <c r="T529" s="98"/>
      <c r="U529" s="99"/>
    </row>
    <row r="530" spans="20:21" x14ac:dyDescent="0.25">
      <c r="T530" s="98"/>
      <c r="U530" s="99"/>
    </row>
    <row r="531" spans="20:21" x14ac:dyDescent="0.25">
      <c r="T531" s="98"/>
      <c r="U531" s="99"/>
    </row>
    <row r="532" spans="20:21" x14ac:dyDescent="0.25">
      <c r="T532" s="98"/>
      <c r="U532" s="99"/>
    </row>
    <row r="533" spans="20:21" x14ac:dyDescent="0.25">
      <c r="T533" s="98"/>
      <c r="U533" s="99"/>
    </row>
    <row r="534" spans="20:21" x14ac:dyDescent="0.25">
      <c r="T534" s="98"/>
      <c r="U534" s="99"/>
    </row>
    <row r="535" spans="20:21" x14ac:dyDescent="0.25">
      <c r="T535" s="98"/>
      <c r="U535" s="99"/>
    </row>
    <row r="536" spans="20:21" x14ac:dyDescent="0.25">
      <c r="T536" s="98"/>
      <c r="U536" s="99"/>
    </row>
    <row r="537" spans="20:21" x14ac:dyDescent="0.25">
      <c r="T537" s="98"/>
      <c r="U537" s="99"/>
    </row>
    <row r="538" spans="20:21" x14ac:dyDescent="0.25">
      <c r="T538" s="98"/>
      <c r="U538" s="99"/>
    </row>
    <row r="539" spans="20:21" x14ac:dyDescent="0.25">
      <c r="T539" s="98"/>
      <c r="U539" s="99"/>
    </row>
    <row r="540" spans="20:21" x14ac:dyDescent="0.25">
      <c r="T540" s="98"/>
      <c r="U540" s="99"/>
    </row>
    <row r="541" spans="20:21" x14ac:dyDescent="0.25">
      <c r="T541" s="98"/>
      <c r="U541" s="99"/>
    </row>
    <row r="542" spans="20:21" x14ac:dyDescent="0.25">
      <c r="T542" s="98"/>
      <c r="U542" s="99"/>
    </row>
    <row r="543" spans="20:21" x14ac:dyDescent="0.25">
      <c r="T543" s="98"/>
      <c r="U543" s="99"/>
    </row>
    <row r="544" spans="20:21" x14ac:dyDescent="0.25">
      <c r="T544" s="98"/>
      <c r="U544" s="99"/>
    </row>
    <row r="545" spans="20:21" x14ac:dyDescent="0.25">
      <c r="T545" s="98"/>
      <c r="U545" s="99"/>
    </row>
    <row r="546" spans="20:21" x14ac:dyDescent="0.25">
      <c r="T546" s="98"/>
      <c r="U546" s="99"/>
    </row>
    <row r="547" spans="20:21" x14ac:dyDescent="0.25">
      <c r="T547" s="98"/>
      <c r="U547" s="99"/>
    </row>
    <row r="548" spans="20:21" x14ac:dyDescent="0.25">
      <c r="T548" s="98"/>
      <c r="U548" s="99"/>
    </row>
    <row r="549" spans="20:21" x14ac:dyDescent="0.25">
      <c r="T549" s="98"/>
      <c r="U549" s="99"/>
    </row>
    <row r="550" spans="20:21" x14ac:dyDescent="0.25">
      <c r="T550" s="98"/>
      <c r="U550" s="99"/>
    </row>
    <row r="551" spans="20:21" x14ac:dyDescent="0.25">
      <c r="T551" s="98"/>
      <c r="U551" s="99"/>
    </row>
    <row r="552" spans="20:21" x14ac:dyDescent="0.25">
      <c r="T552" s="98"/>
      <c r="U552" s="99"/>
    </row>
    <row r="553" spans="20:21" x14ac:dyDescent="0.25">
      <c r="T553" s="98"/>
      <c r="U553" s="99"/>
    </row>
    <row r="554" spans="20:21" x14ac:dyDescent="0.25">
      <c r="T554" s="98"/>
      <c r="U554" s="99"/>
    </row>
    <row r="555" spans="20:21" x14ac:dyDescent="0.25">
      <c r="T555" s="98"/>
      <c r="U555" s="99"/>
    </row>
    <row r="556" spans="20:21" x14ac:dyDescent="0.25">
      <c r="T556" s="98"/>
      <c r="U556" s="99"/>
    </row>
    <row r="557" spans="20:21" x14ac:dyDescent="0.25">
      <c r="T557" s="98"/>
      <c r="U557" s="99"/>
    </row>
    <row r="558" spans="20:21" x14ac:dyDescent="0.25">
      <c r="T558" s="98"/>
      <c r="U558" s="99"/>
    </row>
    <row r="559" spans="20:21" x14ac:dyDescent="0.25">
      <c r="T559" s="98"/>
      <c r="U559" s="99"/>
    </row>
    <row r="560" spans="20:21" x14ac:dyDescent="0.25">
      <c r="T560" s="98"/>
      <c r="U560" s="99"/>
    </row>
    <row r="561" spans="20:21" x14ac:dyDescent="0.25">
      <c r="T561" s="98"/>
      <c r="U561" s="99"/>
    </row>
    <row r="562" spans="20:21" x14ac:dyDescent="0.25">
      <c r="T562" s="98"/>
      <c r="U562" s="99"/>
    </row>
    <row r="563" spans="20:21" x14ac:dyDescent="0.25">
      <c r="T563" s="98"/>
      <c r="U563" s="99"/>
    </row>
    <row r="564" spans="20:21" x14ac:dyDescent="0.25">
      <c r="T564" s="98"/>
      <c r="U564" s="99"/>
    </row>
    <row r="565" spans="20:21" x14ac:dyDescent="0.25">
      <c r="T565" s="98"/>
      <c r="U565" s="99"/>
    </row>
    <row r="566" spans="20:21" x14ac:dyDescent="0.25">
      <c r="T566" s="98"/>
      <c r="U566" s="99"/>
    </row>
    <row r="567" spans="20:21" x14ac:dyDescent="0.25">
      <c r="T567" s="98"/>
      <c r="U567" s="99"/>
    </row>
    <row r="568" spans="20:21" x14ac:dyDescent="0.25">
      <c r="T568" s="98"/>
      <c r="U568" s="99"/>
    </row>
    <row r="569" spans="20:21" x14ac:dyDescent="0.25">
      <c r="T569" s="98"/>
      <c r="U569" s="99"/>
    </row>
    <row r="570" spans="20:21" x14ac:dyDescent="0.25">
      <c r="T570" s="98"/>
      <c r="U570" s="99"/>
    </row>
    <row r="571" spans="20:21" x14ac:dyDescent="0.25">
      <c r="T571" s="98"/>
      <c r="U571" s="99"/>
    </row>
    <row r="572" spans="20:21" x14ac:dyDescent="0.25">
      <c r="T572" s="98"/>
      <c r="U572" s="99"/>
    </row>
    <row r="573" spans="20:21" x14ac:dyDescent="0.25">
      <c r="T573" s="98"/>
      <c r="U573" s="99"/>
    </row>
    <row r="574" spans="20:21" x14ac:dyDescent="0.25">
      <c r="T574" s="98"/>
      <c r="U574" s="99"/>
    </row>
    <row r="575" spans="20:21" x14ac:dyDescent="0.25">
      <c r="T575" s="98"/>
      <c r="U575" s="99"/>
    </row>
    <row r="576" spans="20:21" x14ac:dyDescent="0.25">
      <c r="T576" s="98"/>
      <c r="U576" s="99"/>
    </row>
    <row r="577" spans="20:21" x14ac:dyDescent="0.25">
      <c r="T577" s="98"/>
      <c r="U577" s="99"/>
    </row>
    <row r="578" spans="20:21" x14ac:dyDescent="0.25">
      <c r="T578" s="98"/>
      <c r="U578" s="99"/>
    </row>
    <row r="579" spans="20:21" x14ac:dyDescent="0.25">
      <c r="T579" s="98"/>
      <c r="U579" s="99"/>
    </row>
    <row r="580" spans="20:21" x14ac:dyDescent="0.25">
      <c r="T580" s="98"/>
      <c r="U580" s="99"/>
    </row>
    <row r="581" spans="20:21" x14ac:dyDescent="0.25">
      <c r="T581" s="98"/>
      <c r="U581" s="99"/>
    </row>
    <row r="582" spans="20:21" x14ac:dyDescent="0.25">
      <c r="T582" s="98"/>
      <c r="U582" s="99"/>
    </row>
    <row r="583" spans="20:21" x14ac:dyDescent="0.25">
      <c r="T583" s="98"/>
      <c r="U583" s="99"/>
    </row>
    <row r="584" spans="20:21" x14ac:dyDescent="0.25">
      <c r="T584" s="98"/>
      <c r="U584" s="99"/>
    </row>
    <row r="585" spans="20:21" x14ac:dyDescent="0.25">
      <c r="T585" s="98"/>
      <c r="U585" s="99"/>
    </row>
    <row r="586" spans="20:21" x14ac:dyDescent="0.25">
      <c r="T586" s="98"/>
      <c r="U586" s="99"/>
    </row>
    <row r="587" spans="20:21" x14ac:dyDescent="0.25">
      <c r="T587" s="98"/>
      <c r="U587" s="99"/>
    </row>
    <row r="588" spans="20:21" x14ac:dyDescent="0.25">
      <c r="T588" s="98"/>
      <c r="U588" s="99"/>
    </row>
    <row r="589" spans="20:21" x14ac:dyDescent="0.25">
      <c r="T589" s="98"/>
      <c r="U589" s="99"/>
    </row>
    <row r="590" spans="20:21" x14ac:dyDescent="0.25">
      <c r="T590" s="98"/>
      <c r="U590" s="99"/>
    </row>
    <row r="591" spans="20:21" x14ac:dyDescent="0.25">
      <c r="T591" s="98"/>
      <c r="U591" s="99"/>
    </row>
    <row r="592" spans="20:21" x14ac:dyDescent="0.25">
      <c r="T592" s="98"/>
      <c r="U592" s="99"/>
    </row>
    <row r="593" spans="20:21" x14ac:dyDescent="0.25">
      <c r="T593" s="98"/>
      <c r="U593" s="99"/>
    </row>
    <row r="594" spans="20:21" x14ac:dyDescent="0.25">
      <c r="T594" s="98"/>
      <c r="U594" s="99"/>
    </row>
    <row r="595" spans="20:21" x14ac:dyDescent="0.25">
      <c r="T595" s="98"/>
      <c r="U595" s="99"/>
    </row>
    <row r="596" spans="20:21" x14ac:dyDescent="0.25">
      <c r="T596" s="98"/>
      <c r="U596" s="99"/>
    </row>
    <row r="597" spans="20:21" x14ac:dyDescent="0.25">
      <c r="T597" s="98"/>
      <c r="U597" s="99"/>
    </row>
    <row r="598" spans="20:21" x14ac:dyDescent="0.25">
      <c r="T598" s="98"/>
      <c r="U598" s="99"/>
    </row>
    <row r="599" spans="20:21" x14ac:dyDescent="0.25">
      <c r="T599" s="98"/>
      <c r="U599" s="99"/>
    </row>
    <row r="600" spans="20:21" x14ac:dyDescent="0.25">
      <c r="T600" s="98"/>
      <c r="U600" s="99"/>
    </row>
    <row r="601" spans="20:21" x14ac:dyDescent="0.25">
      <c r="T601" s="98"/>
      <c r="U601" s="99"/>
    </row>
    <row r="602" spans="20:21" x14ac:dyDescent="0.25">
      <c r="T602" s="98"/>
      <c r="U602" s="99"/>
    </row>
    <row r="603" spans="20:21" x14ac:dyDescent="0.25">
      <c r="T603" s="98"/>
      <c r="U603" s="99"/>
    </row>
    <row r="604" spans="20:21" x14ac:dyDescent="0.25">
      <c r="T604" s="98"/>
      <c r="U604" s="99"/>
    </row>
    <row r="605" spans="20:21" x14ac:dyDescent="0.25">
      <c r="T605" s="98"/>
      <c r="U605" s="99"/>
    </row>
    <row r="606" spans="20:21" x14ac:dyDescent="0.25">
      <c r="T606" s="98"/>
      <c r="U606" s="99"/>
    </row>
    <row r="607" spans="20:21" x14ac:dyDescent="0.25">
      <c r="T607" s="98"/>
      <c r="U607" s="99"/>
    </row>
    <row r="608" spans="20:21" x14ac:dyDescent="0.25">
      <c r="T608" s="98"/>
      <c r="U608" s="99"/>
    </row>
    <row r="609" spans="20:21" x14ac:dyDescent="0.25">
      <c r="T609" s="98"/>
      <c r="U609" s="99"/>
    </row>
    <row r="610" spans="20:21" x14ac:dyDescent="0.25">
      <c r="T610" s="98"/>
      <c r="U610" s="99"/>
    </row>
    <row r="611" spans="20:21" x14ac:dyDescent="0.25">
      <c r="T611" s="98"/>
      <c r="U611" s="99"/>
    </row>
    <row r="612" spans="20:21" x14ac:dyDescent="0.25">
      <c r="T612" s="98"/>
      <c r="U612" s="99"/>
    </row>
    <row r="613" spans="20:21" x14ac:dyDescent="0.25">
      <c r="T613" s="98"/>
      <c r="U613" s="99"/>
    </row>
    <row r="614" spans="20:21" x14ac:dyDescent="0.25">
      <c r="T614" s="98"/>
      <c r="U614" s="99"/>
    </row>
    <row r="615" spans="20:21" x14ac:dyDescent="0.25">
      <c r="T615" s="98"/>
      <c r="U615" s="99"/>
    </row>
    <row r="616" spans="20:21" x14ac:dyDescent="0.25">
      <c r="T616" s="98"/>
      <c r="U616" s="99"/>
    </row>
    <row r="617" spans="20:21" x14ac:dyDescent="0.25">
      <c r="T617" s="98"/>
      <c r="U617" s="99"/>
    </row>
    <row r="618" spans="20:21" x14ac:dyDescent="0.25">
      <c r="T618" s="98"/>
      <c r="U618" s="99"/>
    </row>
    <row r="619" spans="20:21" x14ac:dyDescent="0.25">
      <c r="T619" s="98"/>
      <c r="U619" s="99"/>
    </row>
    <row r="620" spans="20:21" x14ac:dyDescent="0.25">
      <c r="T620" s="98"/>
      <c r="U620" s="99"/>
    </row>
    <row r="621" spans="20:21" x14ac:dyDescent="0.25">
      <c r="T621" s="98"/>
      <c r="U621" s="99"/>
    </row>
    <row r="622" spans="20:21" x14ac:dyDescent="0.25">
      <c r="T622" s="98"/>
      <c r="U622" s="99"/>
    </row>
    <row r="623" spans="20:21" x14ac:dyDescent="0.25">
      <c r="T623" s="98"/>
      <c r="U623" s="99"/>
    </row>
    <row r="624" spans="20:21" x14ac:dyDescent="0.25">
      <c r="T624" s="98"/>
      <c r="U624" s="99"/>
    </row>
    <row r="625" spans="20:21" x14ac:dyDescent="0.25">
      <c r="T625" s="98"/>
      <c r="U625" s="99"/>
    </row>
    <row r="626" spans="20:21" x14ac:dyDescent="0.25">
      <c r="T626" s="98"/>
      <c r="U626" s="99"/>
    </row>
    <row r="627" spans="20:21" x14ac:dyDescent="0.25">
      <c r="T627" s="98"/>
      <c r="U627" s="99"/>
    </row>
    <row r="628" spans="20:21" x14ac:dyDescent="0.25">
      <c r="T628" s="98"/>
      <c r="U628" s="99"/>
    </row>
    <row r="629" spans="20:21" x14ac:dyDescent="0.25">
      <c r="T629" s="98"/>
      <c r="U629" s="99"/>
    </row>
    <row r="630" spans="20:21" x14ac:dyDescent="0.25">
      <c r="T630" s="98"/>
      <c r="U630" s="99"/>
    </row>
    <row r="631" spans="20:21" x14ac:dyDescent="0.25">
      <c r="T631" s="98"/>
      <c r="U631" s="99"/>
    </row>
    <row r="632" spans="20:21" x14ac:dyDescent="0.25">
      <c r="T632" s="98"/>
      <c r="U632" s="99"/>
    </row>
    <row r="633" spans="20:21" x14ac:dyDescent="0.25">
      <c r="T633" s="98"/>
      <c r="U633" s="99"/>
    </row>
    <row r="634" spans="20:21" x14ac:dyDescent="0.25">
      <c r="T634" s="98"/>
      <c r="U634" s="99"/>
    </row>
    <row r="635" spans="20:21" x14ac:dyDescent="0.25">
      <c r="T635" s="98"/>
      <c r="U635" s="99"/>
    </row>
    <row r="636" spans="20:21" x14ac:dyDescent="0.25">
      <c r="T636" s="98"/>
      <c r="U636" s="99"/>
    </row>
    <row r="637" spans="20:21" x14ac:dyDescent="0.25">
      <c r="T637" s="98"/>
      <c r="U637" s="99"/>
    </row>
    <row r="638" spans="20:21" x14ac:dyDescent="0.25">
      <c r="T638" s="98"/>
      <c r="U638" s="99"/>
    </row>
    <row r="639" spans="20:21" x14ac:dyDescent="0.25">
      <c r="T639" s="98"/>
      <c r="U639" s="99"/>
    </row>
    <row r="640" spans="20:21" x14ac:dyDescent="0.25">
      <c r="T640" s="98"/>
      <c r="U640" s="99"/>
    </row>
    <row r="641" spans="20:21" x14ac:dyDescent="0.25">
      <c r="T641" s="98"/>
      <c r="U641" s="99"/>
    </row>
    <row r="642" spans="20:21" x14ac:dyDescent="0.25">
      <c r="T642" s="98"/>
      <c r="U642" s="99"/>
    </row>
    <row r="643" spans="20:21" x14ac:dyDescent="0.25">
      <c r="T643" s="98"/>
      <c r="U643" s="99"/>
    </row>
    <row r="644" spans="20:21" x14ac:dyDescent="0.25">
      <c r="T644" s="98"/>
      <c r="U644" s="99"/>
    </row>
    <row r="645" spans="20:21" x14ac:dyDescent="0.25">
      <c r="T645" s="98"/>
      <c r="U645" s="99"/>
    </row>
    <row r="646" spans="20:21" x14ac:dyDescent="0.25">
      <c r="T646" s="98"/>
      <c r="U646" s="99"/>
    </row>
    <row r="647" spans="20:21" x14ac:dyDescent="0.25">
      <c r="T647" s="98"/>
      <c r="U647" s="99"/>
    </row>
    <row r="648" spans="20:21" x14ac:dyDescent="0.25">
      <c r="T648" s="98"/>
      <c r="U648" s="99"/>
    </row>
    <row r="649" spans="20:21" x14ac:dyDescent="0.25">
      <c r="T649" s="98"/>
      <c r="U649" s="99"/>
    </row>
    <row r="650" spans="20:21" x14ac:dyDescent="0.25">
      <c r="T650" s="98"/>
      <c r="U650" s="99"/>
    </row>
    <row r="651" spans="20:21" x14ac:dyDescent="0.25">
      <c r="T651" s="98"/>
      <c r="U651" s="99"/>
    </row>
    <row r="652" spans="20:21" x14ac:dyDescent="0.25">
      <c r="T652" s="98"/>
      <c r="U652" s="99"/>
    </row>
    <row r="653" spans="20:21" x14ac:dyDescent="0.25">
      <c r="T653" s="98"/>
      <c r="U653" s="99"/>
    </row>
    <row r="654" spans="20:21" x14ac:dyDescent="0.25">
      <c r="T654" s="98"/>
      <c r="U654" s="99"/>
    </row>
    <row r="655" spans="20:21" x14ac:dyDescent="0.25">
      <c r="T655" s="98"/>
      <c r="U655" s="99"/>
    </row>
    <row r="656" spans="20:21" x14ac:dyDescent="0.25">
      <c r="T656" s="98"/>
      <c r="U656" s="99"/>
    </row>
    <row r="657" spans="20:21" x14ac:dyDescent="0.25">
      <c r="T657" s="98"/>
      <c r="U657" s="99"/>
    </row>
    <row r="658" spans="20:21" x14ac:dyDescent="0.25">
      <c r="T658" s="98"/>
      <c r="U658" s="99"/>
    </row>
    <row r="659" spans="20:21" x14ac:dyDescent="0.25">
      <c r="T659" s="98"/>
      <c r="U659" s="99"/>
    </row>
    <row r="660" spans="20:21" x14ac:dyDescent="0.25">
      <c r="T660" s="98"/>
      <c r="U660" s="99"/>
    </row>
    <row r="661" spans="20:21" x14ac:dyDescent="0.25">
      <c r="T661" s="98"/>
      <c r="U661" s="99"/>
    </row>
    <row r="662" spans="20:21" x14ac:dyDescent="0.25">
      <c r="T662" s="98"/>
      <c r="U662" s="99"/>
    </row>
    <row r="663" spans="20:21" x14ac:dyDescent="0.25">
      <c r="T663" s="98"/>
      <c r="U663" s="99"/>
    </row>
    <row r="664" spans="20:21" x14ac:dyDescent="0.25">
      <c r="T664" s="98"/>
      <c r="U664" s="99"/>
    </row>
    <row r="665" spans="20:21" x14ac:dyDescent="0.25">
      <c r="T665" s="98"/>
      <c r="U665" s="99"/>
    </row>
    <row r="666" spans="20:21" x14ac:dyDescent="0.25">
      <c r="T666" s="98"/>
      <c r="U666" s="99"/>
    </row>
    <row r="667" spans="20:21" x14ac:dyDescent="0.25">
      <c r="T667" s="98"/>
      <c r="U667" s="99"/>
    </row>
    <row r="668" spans="20:21" x14ac:dyDescent="0.25">
      <c r="T668" s="98"/>
      <c r="U668" s="99"/>
    </row>
    <row r="669" spans="20:21" x14ac:dyDescent="0.25">
      <c r="T669" s="98"/>
      <c r="U669" s="99"/>
    </row>
    <row r="670" spans="20:21" x14ac:dyDescent="0.25">
      <c r="T670" s="98"/>
      <c r="U670" s="99"/>
    </row>
    <row r="671" spans="20:21" x14ac:dyDescent="0.25">
      <c r="T671" s="98"/>
      <c r="U671" s="99"/>
    </row>
    <row r="672" spans="20:21" x14ac:dyDescent="0.25">
      <c r="T672" s="98"/>
      <c r="U672" s="99"/>
    </row>
    <row r="673" spans="20:21" x14ac:dyDescent="0.25">
      <c r="T673" s="98"/>
      <c r="U673" s="99"/>
    </row>
    <row r="674" spans="20:21" x14ac:dyDescent="0.25">
      <c r="T674" s="98"/>
      <c r="U674" s="99"/>
    </row>
    <row r="675" spans="20:21" x14ac:dyDescent="0.25">
      <c r="T675" s="98"/>
      <c r="U675" s="99"/>
    </row>
    <row r="676" spans="20:21" x14ac:dyDescent="0.25">
      <c r="T676" s="98"/>
      <c r="U676" s="99"/>
    </row>
    <row r="677" spans="20:21" x14ac:dyDescent="0.25">
      <c r="T677" s="98"/>
      <c r="U677" s="99"/>
    </row>
    <row r="678" spans="20:21" x14ac:dyDescent="0.25">
      <c r="T678" s="98"/>
      <c r="U678" s="99"/>
    </row>
    <row r="679" spans="20:21" x14ac:dyDescent="0.25">
      <c r="T679" s="98"/>
      <c r="U679" s="99"/>
    </row>
    <row r="680" spans="20:21" x14ac:dyDescent="0.25">
      <c r="T680" s="98"/>
      <c r="U680" s="99"/>
    </row>
    <row r="681" spans="20:21" x14ac:dyDescent="0.25">
      <c r="T681" s="98"/>
      <c r="U681" s="99"/>
    </row>
    <row r="682" spans="20:21" x14ac:dyDescent="0.25">
      <c r="T682" s="98"/>
      <c r="U682" s="99"/>
    </row>
    <row r="683" spans="20:21" x14ac:dyDescent="0.25">
      <c r="T683" s="98"/>
      <c r="U683" s="99"/>
    </row>
    <row r="684" spans="20:21" x14ac:dyDescent="0.25">
      <c r="T684" s="98"/>
      <c r="U684" s="99"/>
    </row>
    <row r="685" spans="20:21" x14ac:dyDescent="0.25">
      <c r="T685" s="98"/>
      <c r="U685" s="99"/>
    </row>
    <row r="686" spans="20:21" x14ac:dyDescent="0.25">
      <c r="T686" s="98"/>
      <c r="U686" s="99"/>
    </row>
    <row r="687" spans="20:21" x14ac:dyDescent="0.25">
      <c r="T687" s="98"/>
      <c r="U687" s="99"/>
    </row>
    <row r="688" spans="20:21" x14ac:dyDescent="0.25">
      <c r="T688" s="98"/>
      <c r="U688" s="99"/>
    </row>
    <row r="689" spans="20:21" x14ac:dyDescent="0.25">
      <c r="T689" s="98"/>
      <c r="U689" s="99"/>
    </row>
    <row r="690" spans="20:21" x14ac:dyDescent="0.25">
      <c r="T690" s="98"/>
      <c r="U690" s="99"/>
    </row>
    <row r="691" spans="20:21" x14ac:dyDescent="0.25">
      <c r="T691" s="98"/>
      <c r="U691" s="99"/>
    </row>
    <row r="692" spans="20:21" x14ac:dyDescent="0.25">
      <c r="T692" s="98"/>
      <c r="U692" s="99"/>
    </row>
    <row r="693" spans="20:21" x14ac:dyDescent="0.25">
      <c r="T693" s="98"/>
      <c r="U693" s="99"/>
    </row>
    <row r="694" spans="20:21" x14ac:dyDescent="0.25">
      <c r="T694" s="98"/>
      <c r="U694" s="99"/>
    </row>
    <row r="695" spans="20:21" x14ac:dyDescent="0.25">
      <c r="T695" s="98"/>
      <c r="U695" s="99"/>
    </row>
    <row r="696" spans="20:21" x14ac:dyDescent="0.25">
      <c r="T696" s="98"/>
      <c r="U696" s="99"/>
    </row>
    <row r="697" spans="20:21" x14ac:dyDescent="0.25">
      <c r="T697" s="98"/>
      <c r="U697" s="99"/>
    </row>
    <row r="698" spans="20:21" x14ac:dyDescent="0.25">
      <c r="T698" s="98"/>
      <c r="U698" s="99"/>
    </row>
    <row r="699" spans="20:21" x14ac:dyDescent="0.25">
      <c r="T699" s="98"/>
      <c r="U699" s="99"/>
    </row>
    <row r="700" spans="20:21" x14ac:dyDescent="0.25">
      <c r="T700" s="98"/>
      <c r="U700" s="99"/>
    </row>
    <row r="701" spans="20:21" x14ac:dyDescent="0.25">
      <c r="T701" s="98"/>
      <c r="U701" s="99"/>
    </row>
    <row r="702" spans="20:21" x14ac:dyDescent="0.25">
      <c r="T702" s="98"/>
      <c r="U702" s="99"/>
    </row>
    <row r="703" spans="20:21" x14ac:dyDescent="0.25">
      <c r="T703" s="98"/>
      <c r="U703" s="99"/>
    </row>
    <row r="704" spans="20:21" x14ac:dyDescent="0.25">
      <c r="T704" s="98"/>
      <c r="U704" s="99"/>
    </row>
    <row r="705" spans="20:21" x14ac:dyDescent="0.25">
      <c r="T705" s="98"/>
      <c r="U705" s="99"/>
    </row>
    <row r="706" spans="20:21" x14ac:dyDescent="0.25">
      <c r="T706" s="98"/>
      <c r="U706" s="99"/>
    </row>
    <row r="707" spans="20:21" x14ac:dyDescent="0.25">
      <c r="T707" s="98"/>
      <c r="U707" s="99"/>
    </row>
    <row r="708" spans="20:21" x14ac:dyDescent="0.25">
      <c r="T708" s="98"/>
      <c r="U708" s="99"/>
    </row>
    <row r="709" spans="20:21" x14ac:dyDescent="0.25">
      <c r="T709" s="98"/>
      <c r="U709" s="99"/>
    </row>
    <row r="710" spans="20:21" x14ac:dyDescent="0.25">
      <c r="T710" s="98"/>
      <c r="U710" s="99"/>
    </row>
    <row r="711" spans="20:21" x14ac:dyDescent="0.25">
      <c r="T711" s="98"/>
      <c r="U711" s="99"/>
    </row>
    <row r="712" spans="20:21" x14ac:dyDescent="0.25">
      <c r="T712" s="98"/>
      <c r="U712" s="99"/>
    </row>
    <row r="713" spans="20:21" x14ac:dyDescent="0.25">
      <c r="T713" s="98"/>
      <c r="U713" s="99"/>
    </row>
    <row r="714" spans="20:21" x14ac:dyDescent="0.25">
      <c r="T714" s="98"/>
      <c r="U714" s="99"/>
    </row>
    <row r="715" spans="20:21" x14ac:dyDescent="0.25">
      <c r="T715" s="98"/>
      <c r="U715" s="99"/>
    </row>
    <row r="716" spans="20:21" x14ac:dyDescent="0.25">
      <c r="T716" s="98"/>
      <c r="U716" s="99"/>
    </row>
    <row r="717" spans="20:21" x14ac:dyDescent="0.25">
      <c r="T717" s="98"/>
      <c r="U717" s="99"/>
    </row>
    <row r="718" spans="20:21" x14ac:dyDescent="0.25">
      <c r="T718" s="98"/>
      <c r="U718" s="99"/>
    </row>
    <row r="719" spans="20:21" x14ac:dyDescent="0.25">
      <c r="T719" s="98"/>
      <c r="U719" s="99"/>
    </row>
    <row r="720" spans="20:21" x14ac:dyDescent="0.25">
      <c r="T720" s="98"/>
      <c r="U720" s="99"/>
    </row>
    <row r="721" spans="20:21" x14ac:dyDescent="0.25">
      <c r="T721" s="98"/>
      <c r="U721" s="99"/>
    </row>
    <row r="722" spans="20:21" x14ac:dyDescent="0.25">
      <c r="T722" s="98"/>
      <c r="U722" s="99"/>
    </row>
    <row r="723" spans="20:21" x14ac:dyDescent="0.25">
      <c r="T723" s="98"/>
      <c r="U723" s="99"/>
    </row>
    <row r="724" spans="20:21" x14ac:dyDescent="0.25">
      <c r="T724" s="98"/>
      <c r="U724" s="99"/>
    </row>
    <row r="725" spans="20:21" x14ac:dyDescent="0.25">
      <c r="T725" s="98"/>
      <c r="U725" s="99"/>
    </row>
    <row r="726" spans="20:21" x14ac:dyDescent="0.25">
      <c r="T726" s="98"/>
      <c r="U726" s="99"/>
    </row>
    <row r="727" spans="20:21" x14ac:dyDescent="0.25">
      <c r="T727" s="98"/>
      <c r="U727" s="99"/>
    </row>
    <row r="728" spans="20:21" x14ac:dyDescent="0.25">
      <c r="T728" s="98"/>
      <c r="U728" s="99"/>
    </row>
    <row r="729" spans="20:21" x14ac:dyDescent="0.25">
      <c r="T729" s="98"/>
      <c r="U729" s="99"/>
    </row>
    <row r="730" spans="20:21" x14ac:dyDescent="0.25">
      <c r="T730" s="98"/>
      <c r="U730" s="99"/>
    </row>
    <row r="731" spans="20:21" x14ac:dyDescent="0.25">
      <c r="T731" s="98"/>
      <c r="U731" s="99"/>
    </row>
    <row r="732" spans="20:21" x14ac:dyDescent="0.25">
      <c r="T732" s="98"/>
      <c r="U732" s="99"/>
    </row>
    <row r="733" spans="20:21" x14ac:dyDescent="0.25">
      <c r="T733" s="98"/>
      <c r="U733" s="99"/>
    </row>
    <row r="734" spans="20:21" x14ac:dyDescent="0.25">
      <c r="T734" s="98"/>
      <c r="U734" s="99"/>
    </row>
    <row r="735" spans="20:21" x14ac:dyDescent="0.25">
      <c r="T735" s="98"/>
      <c r="U735" s="99"/>
    </row>
    <row r="736" spans="20:21" x14ac:dyDescent="0.25">
      <c r="T736" s="98"/>
      <c r="U736" s="99"/>
    </row>
    <row r="737" spans="20:21" x14ac:dyDescent="0.25">
      <c r="T737" s="98"/>
      <c r="U737" s="99"/>
    </row>
    <row r="738" spans="20:21" x14ac:dyDescent="0.25">
      <c r="T738" s="98"/>
      <c r="U738" s="99"/>
    </row>
    <row r="739" spans="20:21" x14ac:dyDescent="0.25">
      <c r="T739" s="98"/>
      <c r="U739" s="99"/>
    </row>
    <row r="740" spans="20:21" x14ac:dyDescent="0.25">
      <c r="T740" s="98"/>
      <c r="U740" s="99"/>
    </row>
    <row r="741" spans="20:21" x14ac:dyDescent="0.25">
      <c r="T741" s="98"/>
      <c r="U741" s="99"/>
    </row>
    <row r="742" spans="20:21" x14ac:dyDescent="0.25">
      <c r="T742" s="98"/>
      <c r="U742" s="99"/>
    </row>
    <row r="743" spans="20:21" x14ac:dyDescent="0.25">
      <c r="T743" s="98"/>
      <c r="U743" s="99"/>
    </row>
    <row r="744" spans="20:21" x14ac:dyDescent="0.25">
      <c r="T744" s="98"/>
      <c r="U744" s="99"/>
    </row>
    <row r="745" spans="20:21" x14ac:dyDescent="0.25">
      <c r="T745" s="98"/>
      <c r="U745" s="99"/>
    </row>
    <row r="746" spans="20:21" x14ac:dyDescent="0.25">
      <c r="T746" s="98"/>
      <c r="U746" s="99"/>
    </row>
    <row r="747" spans="20:21" x14ac:dyDescent="0.25">
      <c r="T747" s="98"/>
      <c r="U747" s="99"/>
    </row>
    <row r="748" spans="20:21" x14ac:dyDescent="0.25">
      <c r="T748" s="98"/>
      <c r="U748" s="99"/>
    </row>
    <row r="749" spans="20:21" x14ac:dyDescent="0.25">
      <c r="T749" s="98"/>
      <c r="U749" s="99"/>
    </row>
    <row r="750" spans="20:21" x14ac:dyDescent="0.25">
      <c r="T750" s="98"/>
      <c r="U750" s="99"/>
    </row>
    <row r="751" spans="20:21" x14ac:dyDescent="0.25">
      <c r="T751" s="98"/>
      <c r="U751" s="99"/>
    </row>
    <row r="752" spans="20:21" x14ac:dyDescent="0.25">
      <c r="T752" s="98"/>
      <c r="U752" s="99"/>
    </row>
    <row r="753" spans="20:21" x14ac:dyDescent="0.25">
      <c r="T753" s="98"/>
      <c r="U753" s="99"/>
    </row>
    <row r="754" spans="20:21" x14ac:dyDescent="0.25">
      <c r="T754" s="98"/>
      <c r="U754" s="99"/>
    </row>
    <row r="755" spans="20:21" x14ac:dyDescent="0.25">
      <c r="T755" s="98"/>
      <c r="U755" s="99"/>
    </row>
    <row r="756" spans="20:21" x14ac:dyDescent="0.25">
      <c r="T756" s="98"/>
      <c r="U756" s="99"/>
    </row>
    <row r="757" spans="20:21" x14ac:dyDescent="0.25">
      <c r="T757" s="98"/>
      <c r="U757" s="99"/>
    </row>
    <row r="758" spans="20:21" x14ac:dyDescent="0.25">
      <c r="T758" s="98"/>
      <c r="U758" s="99"/>
    </row>
    <row r="759" spans="20:21" x14ac:dyDescent="0.25">
      <c r="T759" s="98"/>
      <c r="U759" s="99"/>
    </row>
    <row r="760" spans="20:21" x14ac:dyDescent="0.25">
      <c r="T760" s="98"/>
      <c r="U760" s="99"/>
    </row>
    <row r="761" spans="20:21" x14ac:dyDescent="0.25">
      <c r="T761" s="98"/>
      <c r="U761" s="99"/>
    </row>
    <row r="762" spans="20:21" x14ac:dyDescent="0.25">
      <c r="T762" s="98"/>
      <c r="U762" s="99"/>
    </row>
    <row r="763" spans="20:21" x14ac:dyDescent="0.25">
      <c r="T763" s="98"/>
      <c r="U763" s="99"/>
    </row>
    <row r="764" spans="20:21" x14ac:dyDescent="0.25">
      <c r="T764" s="98"/>
      <c r="U764" s="99"/>
    </row>
    <row r="765" spans="20:21" x14ac:dyDescent="0.25">
      <c r="T765" s="98"/>
      <c r="U765" s="99"/>
    </row>
    <row r="766" spans="20:21" x14ac:dyDescent="0.25">
      <c r="T766" s="98"/>
      <c r="U766" s="99"/>
    </row>
    <row r="767" spans="20:21" x14ac:dyDescent="0.25">
      <c r="T767" s="98"/>
      <c r="U767" s="99"/>
    </row>
    <row r="768" spans="20:21" x14ac:dyDescent="0.25">
      <c r="T768" s="98"/>
      <c r="U768" s="99"/>
    </row>
    <row r="769" spans="20:21" x14ac:dyDescent="0.25">
      <c r="T769" s="98"/>
      <c r="U769" s="99"/>
    </row>
    <row r="770" spans="20:21" x14ac:dyDescent="0.25">
      <c r="T770" s="98"/>
      <c r="U770" s="99"/>
    </row>
    <row r="771" spans="20:21" x14ac:dyDescent="0.25">
      <c r="T771" s="98"/>
      <c r="U771" s="99"/>
    </row>
    <row r="772" spans="20:21" x14ac:dyDescent="0.25">
      <c r="T772" s="98"/>
      <c r="U772" s="99"/>
    </row>
    <row r="773" spans="20:21" x14ac:dyDescent="0.25">
      <c r="T773" s="98"/>
      <c r="U773" s="99"/>
    </row>
    <row r="774" spans="20:21" x14ac:dyDescent="0.25">
      <c r="T774" s="98"/>
      <c r="U774" s="99"/>
    </row>
    <row r="775" spans="20:21" x14ac:dyDescent="0.25">
      <c r="T775" s="98"/>
      <c r="U775" s="99"/>
    </row>
    <row r="776" spans="20:21" x14ac:dyDescent="0.25">
      <c r="T776" s="98"/>
      <c r="U776" s="99"/>
    </row>
    <row r="777" spans="20:21" x14ac:dyDescent="0.25">
      <c r="T777" s="98"/>
      <c r="U777" s="99"/>
    </row>
    <row r="778" spans="20:21" x14ac:dyDescent="0.25">
      <c r="T778" s="98"/>
      <c r="U778" s="99"/>
    </row>
    <row r="779" spans="20:21" x14ac:dyDescent="0.25">
      <c r="T779" s="98"/>
      <c r="U779" s="99"/>
    </row>
    <row r="780" spans="20:21" x14ac:dyDescent="0.25">
      <c r="T780" s="98"/>
      <c r="U780" s="99"/>
    </row>
    <row r="781" spans="20:21" x14ac:dyDescent="0.25">
      <c r="T781" s="98"/>
      <c r="U781" s="99"/>
    </row>
    <row r="782" spans="20:21" x14ac:dyDescent="0.25">
      <c r="T782" s="98"/>
      <c r="U782" s="99"/>
    </row>
    <row r="783" spans="20:21" x14ac:dyDescent="0.25">
      <c r="T783" s="98"/>
      <c r="U783" s="99"/>
    </row>
    <row r="784" spans="20:21" x14ac:dyDescent="0.25">
      <c r="T784" s="98"/>
      <c r="U784" s="99"/>
    </row>
    <row r="785" spans="20:21" x14ac:dyDescent="0.25">
      <c r="T785" s="98"/>
      <c r="U785" s="99"/>
    </row>
    <row r="786" spans="20:21" x14ac:dyDescent="0.25">
      <c r="T786" s="98"/>
      <c r="U786" s="99"/>
    </row>
    <row r="787" spans="20:21" x14ac:dyDescent="0.25">
      <c r="T787" s="98"/>
      <c r="U787" s="99"/>
    </row>
    <row r="788" spans="20:21" x14ac:dyDescent="0.25">
      <c r="T788" s="98"/>
      <c r="U788" s="99"/>
    </row>
    <row r="789" spans="20:21" x14ac:dyDescent="0.25">
      <c r="T789" s="98"/>
      <c r="U789" s="99"/>
    </row>
    <row r="790" spans="20:21" x14ac:dyDescent="0.25">
      <c r="T790" s="98"/>
      <c r="U790" s="99"/>
    </row>
    <row r="791" spans="20:21" x14ac:dyDescent="0.25">
      <c r="T791" s="98"/>
      <c r="U791" s="99"/>
    </row>
    <row r="792" spans="20:21" x14ac:dyDescent="0.25">
      <c r="T792" s="98"/>
      <c r="U792" s="99"/>
    </row>
    <row r="793" spans="20:21" x14ac:dyDescent="0.25">
      <c r="T793" s="98"/>
      <c r="U793" s="99"/>
    </row>
    <row r="794" spans="20:21" x14ac:dyDescent="0.25">
      <c r="T794" s="98"/>
      <c r="U794" s="99"/>
    </row>
    <row r="795" spans="20:21" x14ac:dyDescent="0.25">
      <c r="T795" s="98"/>
      <c r="U795" s="99"/>
    </row>
    <row r="796" spans="20:21" x14ac:dyDescent="0.25">
      <c r="T796" s="98"/>
      <c r="U796" s="99"/>
    </row>
    <row r="797" spans="20:21" x14ac:dyDescent="0.25">
      <c r="T797" s="98"/>
      <c r="U797" s="99"/>
    </row>
    <row r="798" spans="20:21" x14ac:dyDescent="0.25">
      <c r="T798" s="98"/>
      <c r="U798" s="99"/>
    </row>
    <row r="799" spans="20:21" x14ac:dyDescent="0.25">
      <c r="T799" s="98"/>
      <c r="U799" s="99"/>
    </row>
    <row r="800" spans="20:21" x14ac:dyDescent="0.25">
      <c r="T800" s="98"/>
      <c r="U800" s="99"/>
    </row>
    <row r="801" spans="20:21" x14ac:dyDescent="0.25">
      <c r="T801" s="98"/>
      <c r="U801" s="99"/>
    </row>
    <row r="802" spans="20:21" x14ac:dyDescent="0.25">
      <c r="T802" s="98"/>
      <c r="U802" s="99"/>
    </row>
    <row r="803" spans="20:21" x14ac:dyDescent="0.25">
      <c r="T803" s="98"/>
      <c r="U803" s="99"/>
    </row>
    <row r="804" spans="20:21" x14ac:dyDescent="0.25">
      <c r="T804" s="98"/>
      <c r="U804" s="99"/>
    </row>
    <row r="805" spans="20:21" x14ac:dyDescent="0.25">
      <c r="T805" s="98"/>
      <c r="U805" s="99"/>
    </row>
    <row r="806" spans="20:21" x14ac:dyDescent="0.25">
      <c r="T806" s="98"/>
      <c r="U806" s="99"/>
    </row>
    <row r="807" spans="20:21" x14ac:dyDescent="0.25">
      <c r="T807" s="98"/>
      <c r="U807" s="99"/>
    </row>
    <row r="808" spans="20:21" x14ac:dyDescent="0.25">
      <c r="T808" s="98"/>
      <c r="U808" s="99"/>
    </row>
    <row r="809" spans="20:21" x14ac:dyDescent="0.25">
      <c r="T809" s="98"/>
      <c r="U809" s="99"/>
    </row>
    <row r="810" spans="20:21" x14ac:dyDescent="0.25">
      <c r="T810" s="98"/>
      <c r="U810" s="99"/>
    </row>
    <row r="811" spans="20:21" x14ac:dyDescent="0.25">
      <c r="T811" s="98"/>
      <c r="U811" s="99"/>
    </row>
    <row r="812" spans="20:21" x14ac:dyDescent="0.25">
      <c r="T812" s="98"/>
      <c r="U812" s="99"/>
    </row>
    <row r="813" spans="20:21" x14ac:dyDescent="0.25">
      <c r="T813" s="98"/>
      <c r="U813" s="99"/>
    </row>
    <row r="814" spans="20:21" x14ac:dyDescent="0.25">
      <c r="T814" s="98"/>
      <c r="U814" s="99"/>
    </row>
    <row r="815" spans="20:21" x14ac:dyDescent="0.25">
      <c r="T815" s="98"/>
      <c r="U815" s="99"/>
    </row>
    <row r="816" spans="20:21" x14ac:dyDescent="0.25">
      <c r="T816" s="98"/>
      <c r="U816" s="99"/>
    </row>
    <row r="817" spans="20:21" x14ac:dyDescent="0.25">
      <c r="T817" s="98"/>
      <c r="U817" s="99"/>
    </row>
    <row r="818" spans="20:21" x14ac:dyDescent="0.25">
      <c r="T818" s="98"/>
      <c r="U818" s="99"/>
    </row>
    <row r="819" spans="20:21" x14ac:dyDescent="0.25">
      <c r="T819" s="98"/>
      <c r="U819" s="99"/>
    </row>
    <row r="820" spans="20:21" x14ac:dyDescent="0.25">
      <c r="T820" s="98"/>
      <c r="U820" s="99"/>
    </row>
    <row r="821" spans="20:21" x14ac:dyDescent="0.25">
      <c r="T821" s="98"/>
      <c r="U821" s="99"/>
    </row>
    <row r="822" spans="20:21" x14ac:dyDescent="0.25">
      <c r="T822" s="98"/>
      <c r="U822" s="99"/>
    </row>
    <row r="823" spans="20:21" x14ac:dyDescent="0.25">
      <c r="T823" s="98"/>
      <c r="U823" s="99"/>
    </row>
    <row r="824" spans="20:21" x14ac:dyDescent="0.25">
      <c r="T824" s="98"/>
      <c r="U824" s="99"/>
    </row>
    <row r="825" spans="20:21" x14ac:dyDescent="0.25">
      <c r="T825" s="98"/>
      <c r="U825" s="99"/>
    </row>
    <row r="826" spans="20:21" x14ac:dyDescent="0.25">
      <c r="T826" s="98"/>
      <c r="U826" s="99"/>
    </row>
    <row r="827" spans="20:21" x14ac:dyDescent="0.25">
      <c r="T827" s="98"/>
      <c r="U827" s="99"/>
    </row>
    <row r="828" spans="20:21" x14ac:dyDescent="0.25">
      <c r="T828" s="98"/>
      <c r="U828" s="99"/>
    </row>
    <row r="829" spans="20:21" x14ac:dyDescent="0.25">
      <c r="T829" s="98"/>
      <c r="U829" s="99"/>
    </row>
    <row r="830" spans="20:21" x14ac:dyDescent="0.25">
      <c r="T830" s="98"/>
      <c r="U830" s="99"/>
    </row>
    <row r="831" spans="20:21" x14ac:dyDescent="0.25">
      <c r="T831" s="98"/>
      <c r="U831" s="99"/>
    </row>
    <row r="832" spans="20:21" x14ac:dyDescent="0.25">
      <c r="T832" s="98"/>
      <c r="U832" s="99"/>
    </row>
    <row r="833" spans="20:21" x14ac:dyDescent="0.25">
      <c r="T833" s="98"/>
      <c r="U833" s="99"/>
    </row>
    <row r="834" spans="20:21" x14ac:dyDescent="0.25">
      <c r="T834" s="98"/>
      <c r="U834" s="99"/>
    </row>
    <row r="835" spans="20:21" x14ac:dyDescent="0.25">
      <c r="T835" s="98"/>
      <c r="U835" s="99"/>
    </row>
    <row r="836" spans="20:21" x14ac:dyDescent="0.25">
      <c r="T836" s="98"/>
      <c r="U836" s="99"/>
    </row>
    <row r="837" spans="20:21" x14ac:dyDescent="0.25">
      <c r="T837" s="98"/>
      <c r="U837" s="99"/>
    </row>
    <row r="838" spans="20:21" x14ac:dyDescent="0.25">
      <c r="T838" s="98"/>
      <c r="U838" s="99"/>
    </row>
    <row r="839" spans="20:21" x14ac:dyDescent="0.25">
      <c r="T839" s="98"/>
      <c r="U839" s="99"/>
    </row>
    <row r="840" spans="20:21" x14ac:dyDescent="0.25">
      <c r="T840" s="98"/>
      <c r="U840" s="99"/>
    </row>
    <row r="841" spans="20:21" x14ac:dyDescent="0.25">
      <c r="T841" s="98"/>
      <c r="U841" s="99"/>
    </row>
    <row r="842" spans="20:21" x14ac:dyDescent="0.25">
      <c r="T842" s="98"/>
      <c r="U842" s="99"/>
    </row>
    <row r="843" spans="20:21" x14ac:dyDescent="0.25">
      <c r="T843" s="98"/>
      <c r="U843" s="99"/>
    </row>
    <row r="844" spans="20:21" x14ac:dyDescent="0.25">
      <c r="T844" s="98"/>
      <c r="U844" s="99"/>
    </row>
    <row r="845" spans="20:21" x14ac:dyDescent="0.25">
      <c r="T845" s="98"/>
      <c r="U845" s="99"/>
    </row>
    <row r="846" spans="20:21" x14ac:dyDescent="0.25">
      <c r="T846" s="98"/>
      <c r="U846" s="99"/>
    </row>
    <row r="847" spans="20:21" x14ac:dyDescent="0.25">
      <c r="T847" s="98"/>
      <c r="U847" s="99"/>
    </row>
    <row r="848" spans="20:21" x14ac:dyDescent="0.25">
      <c r="T848" s="98"/>
      <c r="U848" s="99"/>
    </row>
    <row r="849" spans="20:21" x14ac:dyDescent="0.25">
      <c r="T849" s="98"/>
      <c r="U849" s="99"/>
    </row>
    <row r="850" spans="20:21" x14ac:dyDescent="0.25">
      <c r="T850" s="98"/>
      <c r="U850" s="99"/>
    </row>
    <row r="851" spans="20:21" x14ac:dyDescent="0.25">
      <c r="T851" s="98"/>
      <c r="U851" s="99"/>
    </row>
    <row r="852" spans="20:21" x14ac:dyDescent="0.25">
      <c r="T852" s="98"/>
      <c r="U852" s="99"/>
    </row>
    <row r="853" spans="20:21" x14ac:dyDescent="0.25">
      <c r="T853" s="98"/>
      <c r="U853" s="99"/>
    </row>
    <row r="854" spans="20:21" x14ac:dyDescent="0.25">
      <c r="T854" s="98"/>
      <c r="U854" s="99"/>
    </row>
    <row r="855" spans="20:21" x14ac:dyDescent="0.25">
      <c r="T855" s="98"/>
      <c r="U855" s="99"/>
    </row>
    <row r="856" spans="20:21" x14ac:dyDescent="0.25">
      <c r="T856" s="98"/>
      <c r="U856" s="99"/>
    </row>
    <row r="857" spans="20:21" x14ac:dyDescent="0.25">
      <c r="T857" s="98"/>
      <c r="U857" s="99"/>
    </row>
    <row r="858" spans="20:21" x14ac:dyDescent="0.25">
      <c r="T858" s="98"/>
      <c r="U858" s="99"/>
    </row>
    <row r="859" spans="20:21" x14ac:dyDescent="0.25">
      <c r="T859" s="98"/>
      <c r="U859" s="99"/>
    </row>
    <row r="860" spans="20:21" x14ac:dyDescent="0.25">
      <c r="T860" s="98"/>
      <c r="U860" s="99"/>
    </row>
    <row r="861" spans="20:21" x14ac:dyDescent="0.25">
      <c r="T861" s="98"/>
      <c r="U861" s="99"/>
    </row>
    <row r="862" spans="20:21" x14ac:dyDescent="0.25">
      <c r="T862" s="98"/>
      <c r="U862" s="99"/>
    </row>
    <row r="863" spans="20:21" x14ac:dyDescent="0.25">
      <c r="T863" s="98"/>
      <c r="U863" s="99"/>
    </row>
    <row r="864" spans="20:21" x14ac:dyDescent="0.25">
      <c r="T864" s="98"/>
      <c r="U864" s="99"/>
    </row>
    <row r="865" spans="20:21" x14ac:dyDescent="0.25">
      <c r="T865" s="98"/>
      <c r="U865" s="99"/>
    </row>
    <row r="866" spans="20:21" x14ac:dyDescent="0.25">
      <c r="T866" s="98"/>
      <c r="U866" s="99"/>
    </row>
    <row r="867" spans="20:21" x14ac:dyDescent="0.25">
      <c r="T867" s="98"/>
      <c r="U867" s="99"/>
    </row>
    <row r="868" spans="20:21" x14ac:dyDescent="0.25">
      <c r="T868" s="98"/>
      <c r="U868" s="99"/>
    </row>
    <row r="869" spans="20:21" x14ac:dyDescent="0.25">
      <c r="T869" s="98"/>
      <c r="U869" s="99"/>
    </row>
    <row r="870" spans="20:21" x14ac:dyDescent="0.25">
      <c r="T870" s="98"/>
      <c r="U870" s="99"/>
    </row>
    <row r="871" spans="20:21" x14ac:dyDescent="0.25">
      <c r="T871" s="98"/>
      <c r="U871" s="99"/>
    </row>
    <row r="872" spans="20:21" x14ac:dyDescent="0.25">
      <c r="T872" s="98"/>
      <c r="U872" s="99"/>
    </row>
    <row r="873" spans="20:21" x14ac:dyDescent="0.25">
      <c r="T873" s="98"/>
      <c r="U873" s="99"/>
    </row>
    <row r="874" spans="20:21" x14ac:dyDescent="0.25">
      <c r="T874" s="98"/>
      <c r="U874" s="99"/>
    </row>
    <row r="875" spans="20:21" x14ac:dyDescent="0.25">
      <c r="T875" s="98"/>
      <c r="U875" s="99"/>
    </row>
    <row r="876" spans="20:21" x14ac:dyDescent="0.25">
      <c r="T876" s="98"/>
      <c r="U876" s="99"/>
    </row>
    <row r="877" spans="20:21" x14ac:dyDescent="0.25">
      <c r="T877" s="98"/>
      <c r="U877" s="99"/>
    </row>
    <row r="878" spans="20:21" x14ac:dyDescent="0.25">
      <c r="T878" s="98"/>
      <c r="U878" s="99"/>
    </row>
    <row r="879" spans="20:21" x14ac:dyDescent="0.25">
      <c r="T879" s="98"/>
      <c r="U879" s="99"/>
    </row>
    <row r="880" spans="20:21" x14ac:dyDescent="0.25">
      <c r="T880" s="98"/>
      <c r="U880" s="99"/>
    </row>
    <row r="881" spans="20:21" x14ac:dyDescent="0.25">
      <c r="T881" s="98"/>
      <c r="U881" s="99"/>
    </row>
    <row r="882" spans="20:21" x14ac:dyDescent="0.25">
      <c r="T882" s="98"/>
      <c r="U882" s="99"/>
    </row>
    <row r="883" spans="20:21" x14ac:dyDescent="0.25">
      <c r="T883" s="98"/>
      <c r="U883" s="99"/>
    </row>
    <row r="884" spans="20:21" x14ac:dyDescent="0.25">
      <c r="T884" s="98"/>
      <c r="U884" s="99"/>
    </row>
    <row r="885" spans="20:21" x14ac:dyDescent="0.25">
      <c r="T885" s="98"/>
      <c r="U885" s="99"/>
    </row>
    <row r="886" spans="20:21" x14ac:dyDescent="0.25">
      <c r="T886" s="98"/>
      <c r="U886" s="99"/>
    </row>
    <row r="887" spans="20:21" x14ac:dyDescent="0.25">
      <c r="T887" s="98"/>
      <c r="U887" s="99"/>
    </row>
    <row r="888" spans="20:21" x14ac:dyDescent="0.25">
      <c r="T888" s="98"/>
      <c r="U888" s="99"/>
    </row>
    <row r="889" spans="20:21" x14ac:dyDescent="0.25">
      <c r="T889" s="98"/>
      <c r="U889" s="99"/>
    </row>
    <row r="890" spans="20:21" x14ac:dyDescent="0.25">
      <c r="T890" s="98"/>
      <c r="U890" s="99"/>
    </row>
    <row r="891" spans="20:21" x14ac:dyDescent="0.25">
      <c r="T891" s="98"/>
      <c r="U891" s="99"/>
    </row>
    <row r="892" spans="20:21" x14ac:dyDescent="0.25">
      <c r="T892" s="98"/>
      <c r="U892" s="99"/>
    </row>
    <row r="893" spans="20:21" x14ac:dyDescent="0.25">
      <c r="T893" s="98"/>
      <c r="U893" s="99"/>
    </row>
    <row r="894" spans="20:21" x14ac:dyDescent="0.25">
      <c r="T894" s="98"/>
      <c r="U894" s="99"/>
    </row>
    <row r="895" spans="20:21" x14ac:dyDescent="0.25">
      <c r="T895" s="98"/>
      <c r="U895" s="99"/>
    </row>
    <row r="896" spans="20:21" x14ac:dyDescent="0.25">
      <c r="T896" s="98"/>
      <c r="U896" s="99"/>
    </row>
    <row r="897" spans="20:21" x14ac:dyDescent="0.25">
      <c r="T897" s="98"/>
      <c r="U897" s="99"/>
    </row>
    <row r="898" spans="20:21" x14ac:dyDescent="0.25">
      <c r="T898" s="98"/>
      <c r="U898" s="99"/>
    </row>
    <row r="899" spans="20:21" x14ac:dyDescent="0.25">
      <c r="T899" s="98"/>
      <c r="U899" s="99"/>
    </row>
    <row r="900" spans="20:21" x14ac:dyDescent="0.25">
      <c r="T900" s="98"/>
      <c r="U900" s="99"/>
    </row>
    <row r="901" spans="20:21" x14ac:dyDescent="0.25">
      <c r="T901" s="98"/>
      <c r="U901" s="99"/>
    </row>
    <row r="902" spans="20:21" x14ac:dyDescent="0.25">
      <c r="T902" s="98"/>
      <c r="U902" s="99"/>
    </row>
    <row r="903" spans="20:21" x14ac:dyDescent="0.25">
      <c r="T903" s="98"/>
      <c r="U903" s="99"/>
    </row>
    <row r="904" spans="20:21" x14ac:dyDescent="0.25">
      <c r="T904" s="98"/>
      <c r="U904" s="99"/>
    </row>
    <row r="905" spans="20:21" x14ac:dyDescent="0.25">
      <c r="T905" s="98"/>
      <c r="U905" s="99"/>
    </row>
    <row r="906" spans="20:21" x14ac:dyDescent="0.25">
      <c r="T906" s="98"/>
      <c r="U906" s="99"/>
    </row>
    <row r="907" spans="20:21" x14ac:dyDescent="0.25">
      <c r="T907" s="98"/>
      <c r="U907" s="99"/>
    </row>
    <row r="908" spans="20:21" x14ac:dyDescent="0.25">
      <c r="T908" s="98"/>
      <c r="U908" s="99"/>
    </row>
    <row r="909" spans="20:21" x14ac:dyDescent="0.25">
      <c r="T909" s="98"/>
      <c r="U909" s="99"/>
    </row>
    <row r="910" spans="20:21" x14ac:dyDescent="0.25">
      <c r="T910" s="98"/>
      <c r="U910" s="99"/>
    </row>
    <row r="911" spans="20:21" x14ac:dyDescent="0.25">
      <c r="T911" s="98"/>
      <c r="U911" s="99"/>
    </row>
    <row r="912" spans="20:21" x14ac:dyDescent="0.25">
      <c r="T912" s="98"/>
      <c r="U912" s="99"/>
    </row>
    <row r="913" spans="20:21" x14ac:dyDescent="0.25">
      <c r="T913" s="98"/>
      <c r="U913" s="99"/>
    </row>
    <row r="914" spans="20:21" x14ac:dyDescent="0.25">
      <c r="T914" s="98"/>
      <c r="U914" s="99"/>
    </row>
    <row r="915" spans="20:21" x14ac:dyDescent="0.25">
      <c r="T915" s="98"/>
      <c r="U915" s="99"/>
    </row>
    <row r="916" spans="20:21" x14ac:dyDescent="0.25">
      <c r="T916" s="98"/>
      <c r="U916" s="99"/>
    </row>
    <row r="917" spans="20:21" x14ac:dyDescent="0.25">
      <c r="T917" s="98"/>
      <c r="U917" s="99"/>
    </row>
    <row r="918" spans="20:21" x14ac:dyDescent="0.25">
      <c r="T918" s="98"/>
      <c r="U918" s="99"/>
    </row>
    <row r="919" spans="20:21" x14ac:dyDescent="0.25">
      <c r="T919" s="98"/>
      <c r="U919" s="99"/>
    </row>
    <row r="920" spans="20:21" x14ac:dyDescent="0.25">
      <c r="T920" s="98"/>
      <c r="U920" s="99"/>
    </row>
    <row r="921" spans="20:21" x14ac:dyDescent="0.25">
      <c r="T921" s="98"/>
      <c r="U921" s="99"/>
    </row>
    <row r="922" spans="20:21" x14ac:dyDescent="0.25">
      <c r="T922" s="98"/>
      <c r="U922" s="99"/>
    </row>
    <row r="923" spans="20:21" x14ac:dyDescent="0.25">
      <c r="T923" s="98"/>
      <c r="U923" s="99"/>
    </row>
    <row r="924" spans="20:21" x14ac:dyDescent="0.25">
      <c r="T924" s="98"/>
      <c r="U924" s="99"/>
    </row>
    <row r="925" spans="20:21" x14ac:dyDescent="0.25">
      <c r="T925" s="98"/>
      <c r="U925" s="99"/>
    </row>
    <row r="926" spans="20:21" x14ac:dyDescent="0.25">
      <c r="T926" s="98"/>
      <c r="U926" s="99"/>
    </row>
    <row r="927" spans="20:21" x14ac:dyDescent="0.25">
      <c r="T927" s="98"/>
      <c r="U927" s="99"/>
    </row>
    <row r="928" spans="20:21" x14ac:dyDescent="0.25">
      <c r="T928" s="98"/>
      <c r="U928" s="99"/>
    </row>
    <row r="929" spans="20:21" x14ac:dyDescent="0.25">
      <c r="T929" s="98"/>
      <c r="U929" s="99"/>
    </row>
    <row r="930" spans="20:21" x14ac:dyDescent="0.25">
      <c r="T930" s="98"/>
      <c r="U930" s="99"/>
    </row>
    <row r="931" spans="20:21" x14ac:dyDescent="0.25">
      <c r="T931" s="98"/>
      <c r="U931" s="99"/>
    </row>
    <row r="932" spans="20:21" x14ac:dyDescent="0.25">
      <c r="T932" s="98"/>
      <c r="U932" s="99"/>
    </row>
    <row r="933" spans="20:21" x14ac:dyDescent="0.25">
      <c r="T933" s="98"/>
      <c r="U933" s="99"/>
    </row>
    <row r="934" spans="20:21" x14ac:dyDescent="0.25">
      <c r="T934" s="98"/>
      <c r="U934" s="99"/>
    </row>
    <row r="935" spans="20:21" x14ac:dyDescent="0.25">
      <c r="T935" s="98"/>
      <c r="U935" s="99"/>
    </row>
    <row r="936" spans="20:21" x14ac:dyDescent="0.25">
      <c r="T936" s="98"/>
      <c r="U936" s="99"/>
    </row>
    <row r="937" spans="20:21" x14ac:dyDescent="0.25">
      <c r="T937" s="98"/>
      <c r="U937" s="99"/>
    </row>
    <row r="938" spans="20:21" x14ac:dyDescent="0.25">
      <c r="T938" s="98"/>
      <c r="U938" s="99"/>
    </row>
    <row r="939" spans="20:21" x14ac:dyDescent="0.25">
      <c r="T939" s="98"/>
      <c r="U939" s="99"/>
    </row>
    <row r="940" spans="20:21" x14ac:dyDescent="0.25">
      <c r="T940" s="98"/>
      <c r="U940" s="99"/>
    </row>
    <row r="941" spans="20:21" x14ac:dyDescent="0.25">
      <c r="T941" s="98"/>
      <c r="U941" s="99"/>
    </row>
    <row r="942" spans="20:21" x14ac:dyDescent="0.25">
      <c r="T942" s="98"/>
      <c r="U942" s="99"/>
    </row>
    <row r="943" spans="20:21" x14ac:dyDescent="0.25">
      <c r="T943" s="98"/>
      <c r="U943" s="99"/>
    </row>
    <row r="944" spans="20:21" x14ac:dyDescent="0.25">
      <c r="T944" s="98"/>
      <c r="U944" s="99"/>
    </row>
    <row r="945" spans="20:21" x14ac:dyDescent="0.25">
      <c r="T945" s="98"/>
      <c r="U945" s="99"/>
    </row>
    <row r="946" spans="20:21" x14ac:dyDescent="0.25">
      <c r="T946" s="98"/>
      <c r="U946" s="99"/>
    </row>
    <row r="947" spans="20:21" x14ac:dyDescent="0.25">
      <c r="T947" s="98"/>
      <c r="U947" s="99"/>
    </row>
    <row r="948" spans="20:21" x14ac:dyDescent="0.25">
      <c r="T948" s="98"/>
      <c r="U948" s="99"/>
    </row>
    <row r="949" spans="20:21" x14ac:dyDescent="0.25">
      <c r="T949" s="98"/>
      <c r="U949" s="99"/>
    </row>
    <row r="950" spans="20:21" x14ac:dyDescent="0.25">
      <c r="T950" s="98"/>
      <c r="U950" s="99"/>
    </row>
    <row r="951" spans="20:21" x14ac:dyDescent="0.25">
      <c r="T951" s="98"/>
      <c r="U951" s="99"/>
    </row>
    <row r="952" spans="20:21" x14ac:dyDescent="0.25">
      <c r="T952" s="98"/>
      <c r="U952" s="99"/>
    </row>
    <row r="953" spans="20:21" x14ac:dyDescent="0.25">
      <c r="T953" s="98"/>
      <c r="U953" s="99"/>
    </row>
    <row r="954" spans="20:21" x14ac:dyDescent="0.25">
      <c r="T954" s="98"/>
      <c r="U954" s="99"/>
    </row>
    <row r="955" spans="20:21" x14ac:dyDescent="0.25">
      <c r="T955" s="98"/>
      <c r="U955" s="99"/>
    </row>
    <row r="956" spans="20:21" x14ac:dyDescent="0.25">
      <c r="T956" s="98"/>
      <c r="U956" s="99"/>
    </row>
    <row r="957" spans="20:21" x14ac:dyDescent="0.25">
      <c r="T957" s="98"/>
      <c r="U957" s="99"/>
    </row>
    <row r="958" spans="20:21" x14ac:dyDescent="0.25">
      <c r="T958" s="98"/>
      <c r="U958" s="99"/>
    </row>
    <row r="959" spans="20:21" x14ac:dyDescent="0.25">
      <c r="T959" s="98"/>
      <c r="U959" s="99"/>
    </row>
    <row r="960" spans="20:21" x14ac:dyDescent="0.25">
      <c r="T960" s="98"/>
      <c r="U960" s="99"/>
    </row>
    <row r="961" spans="20:21" x14ac:dyDescent="0.25">
      <c r="T961" s="98"/>
      <c r="U961" s="99"/>
    </row>
    <row r="962" spans="20:21" x14ac:dyDescent="0.25">
      <c r="T962" s="98"/>
      <c r="U962" s="99"/>
    </row>
    <row r="963" spans="20:21" x14ac:dyDescent="0.25">
      <c r="T963" s="98"/>
      <c r="U963" s="99"/>
    </row>
    <row r="964" spans="20:21" x14ac:dyDescent="0.25">
      <c r="T964" s="98"/>
      <c r="U964" s="99"/>
    </row>
    <row r="965" spans="20:21" x14ac:dyDescent="0.25">
      <c r="T965" s="98"/>
      <c r="U965" s="99"/>
    </row>
    <row r="966" spans="20:21" x14ac:dyDescent="0.25">
      <c r="T966" s="98"/>
      <c r="U966" s="99"/>
    </row>
    <row r="967" spans="20:21" x14ac:dyDescent="0.25">
      <c r="T967" s="98"/>
      <c r="U967" s="99"/>
    </row>
    <row r="968" spans="20:21" x14ac:dyDescent="0.25">
      <c r="T968" s="98"/>
      <c r="U968" s="99"/>
    </row>
    <row r="969" spans="20:21" x14ac:dyDescent="0.25">
      <c r="T969" s="98"/>
      <c r="U969" s="99"/>
    </row>
    <row r="970" spans="20:21" x14ac:dyDescent="0.25">
      <c r="T970" s="98"/>
      <c r="U970" s="99"/>
    </row>
    <row r="971" spans="20:21" x14ac:dyDescent="0.25">
      <c r="T971" s="98"/>
      <c r="U971" s="99"/>
    </row>
    <row r="972" spans="20:21" x14ac:dyDescent="0.25">
      <c r="T972" s="98"/>
      <c r="U972" s="99"/>
    </row>
    <row r="973" spans="20:21" x14ac:dyDescent="0.25">
      <c r="T973" s="98"/>
      <c r="U973" s="99"/>
    </row>
    <row r="974" spans="20:21" x14ac:dyDescent="0.25">
      <c r="T974" s="98"/>
      <c r="U974" s="99"/>
    </row>
    <row r="975" spans="20:21" x14ac:dyDescent="0.25">
      <c r="T975" s="98"/>
      <c r="U975" s="99"/>
    </row>
    <row r="976" spans="20:21" x14ac:dyDescent="0.25">
      <c r="T976" s="98"/>
      <c r="U976" s="99"/>
    </row>
    <row r="977" spans="20:21" x14ac:dyDescent="0.25">
      <c r="T977" s="98"/>
      <c r="U977" s="99"/>
    </row>
    <row r="978" spans="20:21" x14ac:dyDescent="0.25">
      <c r="T978" s="98"/>
      <c r="U978" s="99"/>
    </row>
    <row r="979" spans="20:21" x14ac:dyDescent="0.25">
      <c r="T979" s="98"/>
      <c r="U979" s="99"/>
    </row>
    <row r="980" spans="20:21" x14ac:dyDescent="0.25">
      <c r="T980" s="98"/>
      <c r="U980" s="99"/>
    </row>
    <row r="981" spans="20:21" x14ac:dyDescent="0.25">
      <c r="T981" s="98"/>
      <c r="U981" s="99"/>
    </row>
    <row r="982" spans="20:21" x14ac:dyDescent="0.25">
      <c r="T982" s="98"/>
      <c r="U982" s="99"/>
    </row>
    <row r="983" spans="20:21" x14ac:dyDescent="0.25">
      <c r="T983" s="98"/>
      <c r="U983" s="99"/>
    </row>
    <row r="984" spans="20:21" x14ac:dyDescent="0.25">
      <c r="T984" s="98"/>
      <c r="U984" s="99"/>
    </row>
    <row r="985" spans="20:21" x14ac:dyDescent="0.25">
      <c r="T985" s="98"/>
      <c r="U985" s="99"/>
    </row>
    <row r="986" spans="20:21" x14ac:dyDescent="0.25">
      <c r="T986" s="98"/>
      <c r="U986" s="99"/>
    </row>
    <row r="987" spans="20:21" x14ac:dyDescent="0.25">
      <c r="T987" s="98"/>
      <c r="U987" s="99"/>
    </row>
    <row r="988" spans="20:21" x14ac:dyDescent="0.25">
      <c r="T988" s="98"/>
      <c r="U988" s="99"/>
    </row>
    <row r="989" spans="20:21" x14ac:dyDescent="0.25">
      <c r="T989" s="98"/>
      <c r="U989" s="99"/>
    </row>
    <row r="990" spans="20:21" x14ac:dyDescent="0.25">
      <c r="T990" s="98"/>
      <c r="U990" s="99"/>
    </row>
    <row r="991" spans="20:21" x14ac:dyDescent="0.25">
      <c r="T991" s="98"/>
      <c r="U991" s="99"/>
    </row>
    <row r="992" spans="20:21" x14ac:dyDescent="0.25">
      <c r="T992" s="98"/>
      <c r="U992" s="99"/>
    </row>
    <row r="993" spans="20:21" x14ac:dyDescent="0.25">
      <c r="T993" s="98"/>
      <c r="U993" s="99"/>
    </row>
    <row r="994" spans="20:21" x14ac:dyDescent="0.25">
      <c r="T994" s="98"/>
      <c r="U994" s="99"/>
    </row>
    <row r="995" spans="20:21" x14ac:dyDescent="0.25">
      <c r="T995" s="98"/>
      <c r="U995" s="99"/>
    </row>
    <row r="996" spans="20:21" x14ac:dyDescent="0.25">
      <c r="T996" s="98"/>
      <c r="U996" s="99"/>
    </row>
    <row r="997" spans="20:21" x14ac:dyDescent="0.25">
      <c r="T997" s="98"/>
      <c r="U997" s="99"/>
    </row>
    <row r="998" spans="20:21" x14ac:dyDescent="0.25">
      <c r="T998" s="98"/>
      <c r="U998" s="99"/>
    </row>
    <row r="999" spans="20:21" x14ac:dyDescent="0.25">
      <c r="T999" s="98"/>
      <c r="U999" s="99"/>
    </row>
    <row r="1000" spans="20:21" x14ac:dyDescent="0.25">
      <c r="T1000" s="98"/>
      <c r="U1000" s="99"/>
    </row>
    <row r="1001" spans="20:21" x14ac:dyDescent="0.25">
      <c r="T1001" s="98"/>
      <c r="U1001" s="99"/>
    </row>
    <row r="1002" spans="20:21" x14ac:dyDescent="0.25">
      <c r="T1002" s="98"/>
      <c r="U1002" s="99"/>
    </row>
    <row r="1003" spans="20:21" x14ac:dyDescent="0.25">
      <c r="T1003" s="98"/>
      <c r="U1003" s="99"/>
    </row>
    <row r="1004" spans="20:21" x14ac:dyDescent="0.25">
      <c r="T1004" s="98"/>
      <c r="U1004" s="99"/>
    </row>
    <row r="1005" spans="20:21" x14ac:dyDescent="0.25">
      <c r="T1005" s="98"/>
      <c r="U1005" s="99"/>
    </row>
    <row r="1006" spans="20:21" x14ac:dyDescent="0.25">
      <c r="T1006" s="98"/>
      <c r="U1006" s="99"/>
    </row>
    <row r="1007" spans="20:21" x14ac:dyDescent="0.25">
      <c r="T1007" s="98"/>
      <c r="U1007" s="99"/>
    </row>
    <row r="1008" spans="20:21" x14ac:dyDescent="0.25">
      <c r="T1008" s="98"/>
      <c r="U1008" s="99"/>
    </row>
    <row r="1009" spans="20:21" x14ac:dyDescent="0.25">
      <c r="T1009" s="98"/>
      <c r="U1009" s="99"/>
    </row>
    <row r="1010" spans="20:21" x14ac:dyDescent="0.25">
      <c r="T1010" s="98"/>
      <c r="U1010" s="99"/>
    </row>
    <row r="1011" spans="20:21" x14ac:dyDescent="0.25">
      <c r="T1011" s="98"/>
      <c r="U1011" s="99"/>
    </row>
    <row r="1012" spans="20:21" x14ac:dyDescent="0.25">
      <c r="T1012" s="98"/>
      <c r="U1012" s="99"/>
    </row>
    <row r="1013" spans="20:21" x14ac:dyDescent="0.25">
      <c r="T1013" s="98"/>
      <c r="U1013" s="99"/>
    </row>
    <row r="1014" spans="20:21" x14ac:dyDescent="0.25">
      <c r="T1014" s="98"/>
      <c r="U1014" s="99"/>
    </row>
    <row r="1015" spans="20:21" x14ac:dyDescent="0.25">
      <c r="T1015" s="98"/>
      <c r="U1015" s="99"/>
    </row>
    <row r="1016" spans="20:21" x14ac:dyDescent="0.25">
      <c r="T1016" s="98"/>
      <c r="U1016" s="99"/>
    </row>
    <row r="1017" spans="20:21" x14ac:dyDescent="0.25">
      <c r="T1017" s="98"/>
      <c r="U1017" s="99"/>
    </row>
    <row r="1018" spans="20:21" x14ac:dyDescent="0.25">
      <c r="T1018" s="98"/>
      <c r="U1018" s="99"/>
    </row>
    <row r="1019" spans="20:21" x14ac:dyDescent="0.25">
      <c r="T1019" s="98"/>
      <c r="U1019" s="99"/>
    </row>
    <row r="1020" spans="20:21" x14ac:dyDescent="0.25">
      <c r="T1020" s="98"/>
      <c r="U1020" s="99"/>
    </row>
    <row r="1021" spans="20:21" x14ac:dyDescent="0.25">
      <c r="T1021" s="98"/>
      <c r="U1021" s="99"/>
    </row>
    <row r="1022" spans="20:21" x14ac:dyDescent="0.25">
      <c r="T1022" s="98"/>
      <c r="U1022" s="99"/>
    </row>
    <row r="1023" spans="20:21" x14ac:dyDescent="0.25">
      <c r="T1023" s="98"/>
      <c r="U1023" s="99"/>
    </row>
    <row r="1024" spans="20:21" x14ac:dyDescent="0.25">
      <c r="T1024" s="98"/>
      <c r="U1024" s="99"/>
    </row>
    <row r="1025" spans="20:21" x14ac:dyDescent="0.25">
      <c r="T1025" s="98"/>
      <c r="U1025" s="99"/>
    </row>
    <row r="1026" spans="20:21" x14ac:dyDescent="0.25">
      <c r="T1026" s="98"/>
      <c r="U1026" s="99"/>
    </row>
    <row r="1027" spans="20:21" x14ac:dyDescent="0.25">
      <c r="T1027" s="98"/>
      <c r="U1027" s="99"/>
    </row>
    <row r="1028" spans="20:21" x14ac:dyDescent="0.25">
      <c r="T1028" s="98"/>
      <c r="U1028" s="99"/>
    </row>
    <row r="1029" spans="20:21" x14ac:dyDescent="0.25">
      <c r="T1029" s="98"/>
      <c r="U1029" s="99"/>
    </row>
    <row r="1030" spans="20:21" x14ac:dyDescent="0.25">
      <c r="T1030" s="98"/>
      <c r="U1030" s="99"/>
    </row>
    <row r="1031" spans="20:21" x14ac:dyDescent="0.25">
      <c r="T1031" s="98"/>
      <c r="U1031" s="99"/>
    </row>
    <row r="1032" spans="20:21" x14ac:dyDescent="0.25">
      <c r="T1032" s="98"/>
      <c r="U1032" s="99"/>
    </row>
    <row r="1033" spans="20:21" x14ac:dyDescent="0.25">
      <c r="T1033" s="98"/>
      <c r="U1033" s="99"/>
    </row>
    <row r="1034" spans="20:21" x14ac:dyDescent="0.25">
      <c r="T1034" s="98"/>
      <c r="U1034" s="99"/>
    </row>
    <row r="1035" spans="20:21" x14ac:dyDescent="0.25">
      <c r="T1035" s="98"/>
      <c r="U1035" s="99"/>
    </row>
    <row r="1036" spans="20:21" x14ac:dyDescent="0.25">
      <c r="T1036" s="98"/>
      <c r="U1036" s="99"/>
    </row>
    <row r="1037" spans="20:21" x14ac:dyDescent="0.25">
      <c r="T1037" s="98"/>
      <c r="U1037" s="99"/>
    </row>
    <row r="1038" spans="20:21" x14ac:dyDescent="0.25">
      <c r="T1038" s="98"/>
      <c r="U1038" s="99"/>
    </row>
    <row r="1039" spans="20:21" x14ac:dyDescent="0.25">
      <c r="T1039" s="98"/>
      <c r="U1039" s="99"/>
    </row>
    <row r="1040" spans="20:21" x14ac:dyDescent="0.25">
      <c r="T1040" s="98"/>
      <c r="U1040" s="99"/>
    </row>
    <row r="1041" spans="20:21" x14ac:dyDescent="0.25">
      <c r="T1041" s="98"/>
      <c r="U1041" s="99"/>
    </row>
    <row r="1042" spans="20:21" x14ac:dyDescent="0.25">
      <c r="T1042" s="98"/>
      <c r="U1042" s="99"/>
    </row>
    <row r="1043" spans="20:21" x14ac:dyDescent="0.25">
      <c r="T1043" s="98"/>
      <c r="U1043" s="99"/>
    </row>
    <row r="1044" spans="20:21" x14ac:dyDescent="0.25">
      <c r="T1044" s="98"/>
      <c r="U1044" s="99"/>
    </row>
    <row r="1045" spans="20:21" x14ac:dyDescent="0.25">
      <c r="T1045" s="98"/>
      <c r="U1045" s="99"/>
    </row>
    <row r="1046" spans="20:21" x14ac:dyDescent="0.25">
      <c r="T1046" s="98"/>
      <c r="U1046" s="99"/>
    </row>
    <row r="1047" spans="20:21" x14ac:dyDescent="0.25">
      <c r="T1047" s="98"/>
      <c r="U1047" s="99"/>
    </row>
    <row r="1048" spans="20:21" x14ac:dyDescent="0.25">
      <c r="T1048" s="98"/>
      <c r="U1048" s="99"/>
    </row>
    <row r="1049" spans="20:21" x14ac:dyDescent="0.25">
      <c r="T1049" s="98"/>
      <c r="U1049" s="99"/>
    </row>
    <row r="1050" spans="20:21" x14ac:dyDescent="0.25">
      <c r="T1050" s="98"/>
      <c r="U1050" s="99"/>
    </row>
    <row r="1051" spans="20:21" x14ac:dyDescent="0.25">
      <c r="T1051" s="98"/>
      <c r="U1051" s="99"/>
    </row>
    <row r="1052" spans="20:21" x14ac:dyDescent="0.25">
      <c r="T1052" s="98"/>
      <c r="U1052" s="99"/>
    </row>
    <row r="1053" spans="20:21" x14ac:dyDescent="0.25">
      <c r="T1053" s="98"/>
      <c r="U1053" s="99"/>
    </row>
    <row r="1054" spans="20:21" x14ac:dyDescent="0.25">
      <c r="T1054" s="98"/>
      <c r="U1054" s="99"/>
    </row>
    <row r="1055" spans="20:21" x14ac:dyDescent="0.25">
      <c r="T1055" s="98"/>
      <c r="U1055" s="99"/>
    </row>
    <row r="1056" spans="20:21" x14ac:dyDescent="0.25">
      <c r="T1056" s="98"/>
      <c r="U1056" s="99"/>
    </row>
    <row r="1057" spans="20:21" x14ac:dyDescent="0.25">
      <c r="T1057" s="98"/>
      <c r="U1057" s="99"/>
    </row>
    <row r="1058" spans="20:21" x14ac:dyDescent="0.25">
      <c r="T1058" s="98"/>
      <c r="U1058" s="99"/>
    </row>
    <row r="1059" spans="20:21" x14ac:dyDescent="0.25">
      <c r="T1059" s="98"/>
      <c r="U1059" s="99"/>
    </row>
    <row r="1060" spans="20:21" x14ac:dyDescent="0.25">
      <c r="T1060" s="98"/>
      <c r="U1060" s="99"/>
    </row>
    <row r="1061" spans="20:21" x14ac:dyDescent="0.25">
      <c r="T1061" s="98"/>
      <c r="U1061" s="99"/>
    </row>
    <row r="1062" spans="20:21" x14ac:dyDescent="0.25">
      <c r="T1062" s="98"/>
      <c r="U1062" s="99"/>
    </row>
    <row r="1063" spans="20:21" x14ac:dyDescent="0.25">
      <c r="T1063" s="98"/>
      <c r="U1063" s="99"/>
    </row>
    <row r="1064" spans="20:21" x14ac:dyDescent="0.25">
      <c r="T1064" s="98"/>
      <c r="U1064" s="99"/>
    </row>
    <row r="1065" spans="20:21" x14ac:dyDescent="0.25">
      <c r="T1065" s="98"/>
      <c r="U1065" s="99"/>
    </row>
    <row r="1066" spans="20:21" x14ac:dyDescent="0.25">
      <c r="T1066" s="98"/>
      <c r="U1066" s="99"/>
    </row>
    <row r="1067" spans="20:21" x14ac:dyDescent="0.25">
      <c r="T1067" s="98"/>
      <c r="U1067" s="99"/>
    </row>
    <row r="1068" spans="20:21" x14ac:dyDescent="0.25">
      <c r="T1068" s="98"/>
      <c r="U1068" s="99"/>
    </row>
    <row r="1069" spans="20:21" x14ac:dyDescent="0.25">
      <c r="T1069" s="98"/>
      <c r="U1069" s="99"/>
    </row>
    <row r="1070" spans="20:21" x14ac:dyDescent="0.25">
      <c r="T1070" s="98"/>
      <c r="U1070" s="99"/>
    </row>
    <row r="1071" spans="20:21" x14ac:dyDescent="0.25">
      <c r="T1071" s="98"/>
      <c r="U1071" s="99"/>
    </row>
    <row r="1072" spans="20:21" x14ac:dyDescent="0.25">
      <c r="T1072" s="98"/>
      <c r="U1072" s="99"/>
    </row>
    <row r="1073" spans="20:21" x14ac:dyDescent="0.25">
      <c r="T1073" s="98"/>
      <c r="U1073" s="99"/>
    </row>
    <row r="1074" spans="20:21" x14ac:dyDescent="0.25">
      <c r="T1074" s="98"/>
      <c r="U1074" s="99"/>
    </row>
    <row r="1075" spans="20:21" x14ac:dyDescent="0.25">
      <c r="T1075" s="98"/>
      <c r="U1075" s="99"/>
    </row>
    <row r="1076" spans="20:21" x14ac:dyDescent="0.25">
      <c r="T1076" s="98"/>
      <c r="U1076" s="99"/>
    </row>
    <row r="1077" spans="20:21" x14ac:dyDescent="0.25">
      <c r="T1077" s="98"/>
      <c r="U1077" s="99"/>
    </row>
    <row r="1078" spans="20:21" x14ac:dyDescent="0.25">
      <c r="T1078" s="98"/>
      <c r="U1078" s="99"/>
    </row>
    <row r="1079" spans="20:21" x14ac:dyDescent="0.25">
      <c r="T1079" s="98"/>
      <c r="U1079" s="99"/>
    </row>
    <row r="1080" spans="20:21" x14ac:dyDescent="0.25">
      <c r="T1080" s="98"/>
      <c r="U1080" s="99"/>
    </row>
    <row r="1081" spans="20:21" x14ac:dyDescent="0.25">
      <c r="T1081" s="98"/>
      <c r="U1081" s="99"/>
    </row>
    <row r="1082" spans="20:21" x14ac:dyDescent="0.25">
      <c r="T1082" s="98"/>
      <c r="U1082" s="99"/>
    </row>
    <row r="1083" spans="20:21" x14ac:dyDescent="0.25">
      <c r="T1083" s="98"/>
      <c r="U1083" s="99"/>
    </row>
    <row r="1084" spans="20:21" x14ac:dyDescent="0.25">
      <c r="T1084" s="98"/>
      <c r="U1084" s="99"/>
    </row>
    <row r="1085" spans="20:21" x14ac:dyDescent="0.25">
      <c r="T1085" s="98"/>
      <c r="U1085" s="99"/>
    </row>
    <row r="1086" spans="20:21" x14ac:dyDescent="0.25">
      <c r="T1086" s="98"/>
      <c r="U1086" s="99"/>
    </row>
    <row r="1087" spans="20:21" x14ac:dyDescent="0.25">
      <c r="T1087" s="98"/>
      <c r="U1087" s="99"/>
    </row>
    <row r="1088" spans="20:21" x14ac:dyDescent="0.25">
      <c r="T1088" s="98"/>
      <c r="U1088" s="99"/>
    </row>
    <row r="1089" spans="20:21" x14ac:dyDescent="0.25">
      <c r="T1089" s="98"/>
      <c r="U1089" s="99"/>
    </row>
    <row r="1090" spans="20:21" x14ac:dyDescent="0.25">
      <c r="T1090" s="98"/>
      <c r="U1090" s="99"/>
    </row>
    <row r="1091" spans="20:21" x14ac:dyDescent="0.25">
      <c r="T1091" s="98"/>
      <c r="U1091" s="99"/>
    </row>
    <row r="1092" spans="20:21" x14ac:dyDescent="0.25">
      <c r="T1092" s="98"/>
      <c r="U1092" s="99"/>
    </row>
    <row r="1093" spans="20:21" x14ac:dyDescent="0.25">
      <c r="T1093" s="98"/>
      <c r="U1093" s="99"/>
    </row>
    <row r="1094" spans="20:21" x14ac:dyDescent="0.25">
      <c r="T1094" s="98"/>
      <c r="U1094" s="99"/>
    </row>
    <row r="1095" spans="20:21" x14ac:dyDescent="0.25">
      <c r="T1095" s="98"/>
      <c r="U1095" s="99"/>
    </row>
    <row r="1096" spans="20:21" x14ac:dyDescent="0.25">
      <c r="T1096" s="98"/>
      <c r="U1096" s="99"/>
    </row>
    <row r="1097" spans="20:21" x14ac:dyDescent="0.25">
      <c r="T1097" s="98"/>
      <c r="U1097" s="99"/>
    </row>
    <row r="1098" spans="20:21" x14ac:dyDescent="0.25">
      <c r="T1098" s="98"/>
      <c r="U1098" s="99"/>
    </row>
    <row r="1099" spans="20:21" x14ac:dyDescent="0.25">
      <c r="T1099" s="98"/>
      <c r="U1099" s="99"/>
    </row>
    <row r="1100" spans="20:21" x14ac:dyDescent="0.25">
      <c r="T1100" s="98"/>
      <c r="U1100" s="99"/>
    </row>
    <row r="1101" spans="20:21" x14ac:dyDescent="0.25">
      <c r="T1101" s="98"/>
      <c r="U1101" s="99"/>
    </row>
    <row r="1102" spans="20:21" x14ac:dyDescent="0.25">
      <c r="T1102" s="98"/>
      <c r="U1102" s="99"/>
    </row>
    <row r="1103" spans="20:21" x14ac:dyDescent="0.25">
      <c r="T1103" s="98"/>
      <c r="U1103" s="99"/>
    </row>
    <row r="1104" spans="20:21" x14ac:dyDescent="0.25">
      <c r="T1104" s="98"/>
      <c r="U1104" s="99"/>
    </row>
    <row r="1105" spans="20:21" x14ac:dyDescent="0.25">
      <c r="T1105" s="98"/>
      <c r="U1105" s="99"/>
    </row>
    <row r="1106" spans="20:21" x14ac:dyDescent="0.25">
      <c r="T1106" s="98"/>
      <c r="U1106" s="99"/>
    </row>
    <row r="1107" spans="20:21" x14ac:dyDescent="0.25">
      <c r="T1107" s="98"/>
      <c r="U1107" s="99"/>
    </row>
    <row r="1108" spans="20:21" x14ac:dyDescent="0.25">
      <c r="T1108" s="98"/>
      <c r="U1108" s="99"/>
    </row>
    <row r="1109" spans="20:21" x14ac:dyDescent="0.25">
      <c r="T1109" s="98"/>
      <c r="U1109" s="99"/>
    </row>
    <row r="1110" spans="20:21" x14ac:dyDescent="0.25">
      <c r="T1110" s="98"/>
      <c r="U1110" s="99"/>
    </row>
    <row r="1111" spans="20:21" x14ac:dyDescent="0.25">
      <c r="T1111" s="98"/>
      <c r="U1111" s="99"/>
    </row>
    <row r="1112" spans="20:21" x14ac:dyDescent="0.25">
      <c r="T1112" s="98"/>
      <c r="U1112" s="99"/>
    </row>
    <row r="1113" spans="20:21" x14ac:dyDescent="0.25">
      <c r="T1113" s="98"/>
      <c r="U1113" s="99"/>
    </row>
    <row r="1114" spans="20:21" x14ac:dyDescent="0.25">
      <c r="T1114" s="98"/>
      <c r="U1114" s="99"/>
    </row>
    <row r="1115" spans="20:21" x14ac:dyDescent="0.25">
      <c r="T1115" s="98"/>
      <c r="U1115" s="99"/>
    </row>
    <row r="1116" spans="20:21" x14ac:dyDescent="0.25">
      <c r="T1116" s="98"/>
      <c r="U1116" s="99"/>
    </row>
    <row r="1117" spans="20:21" x14ac:dyDescent="0.25">
      <c r="T1117" s="98"/>
      <c r="U1117" s="99"/>
    </row>
    <row r="1118" spans="20:21" x14ac:dyDescent="0.25">
      <c r="T1118" s="98"/>
      <c r="U1118" s="99"/>
    </row>
    <row r="1119" spans="20:21" x14ac:dyDescent="0.25">
      <c r="T1119" s="98"/>
      <c r="U1119" s="99"/>
    </row>
    <row r="1120" spans="20:21" x14ac:dyDescent="0.25">
      <c r="T1120" s="98"/>
      <c r="U1120" s="99"/>
    </row>
    <row r="1121" spans="20:21" x14ac:dyDescent="0.25">
      <c r="T1121" s="98"/>
      <c r="U1121" s="99"/>
    </row>
    <row r="1122" spans="20:21" x14ac:dyDescent="0.25">
      <c r="T1122" s="98"/>
      <c r="U1122" s="99"/>
    </row>
    <row r="1123" spans="20:21" x14ac:dyDescent="0.25">
      <c r="T1123" s="98"/>
      <c r="U1123" s="99"/>
    </row>
    <row r="1124" spans="20:21" x14ac:dyDescent="0.25">
      <c r="T1124" s="98"/>
      <c r="U1124" s="99"/>
    </row>
    <row r="1125" spans="20:21" x14ac:dyDescent="0.25">
      <c r="T1125" s="98"/>
      <c r="U1125" s="99"/>
    </row>
    <row r="1126" spans="20:21" x14ac:dyDescent="0.25">
      <c r="T1126" s="98"/>
      <c r="U1126" s="99"/>
    </row>
    <row r="1127" spans="20:21" x14ac:dyDescent="0.25">
      <c r="T1127" s="98"/>
      <c r="U1127" s="99"/>
    </row>
    <row r="1128" spans="20:21" x14ac:dyDescent="0.25">
      <c r="T1128" s="98"/>
      <c r="U1128" s="99"/>
    </row>
    <row r="1129" spans="20:21" x14ac:dyDescent="0.25">
      <c r="T1129" s="98"/>
      <c r="U1129" s="99"/>
    </row>
    <row r="1130" spans="20:21" x14ac:dyDescent="0.25">
      <c r="T1130" s="98"/>
      <c r="U1130" s="99"/>
    </row>
    <row r="1131" spans="20:21" x14ac:dyDescent="0.25">
      <c r="T1131" s="98"/>
      <c r="U1131" s="99"/>
    </row>
    <row r="1132" spans="20:21" x14ac:dyDescent="0.25">
      <c r="T1132" s="98"/>
      <c r="U1132" s="99"/>
    </row>
    <row r="1133" spans="20:21" x14ac:dyDescent="0.25">
      <c r="T1133" s="98"/>
      <c r="U1133" s="99"/>
    </row>
    <row r="1134" spans="20:21" x14ac:dyDescent="0.25">
      <c r="T1134" s="98"/>
      <c r="U1134" s="99"/>
    </row>
    <row r="1135" spans="20:21" x14ac:dyDescent="0.25">
      <c r="T1135" s="98"/>
      <c r="U1135" s="99"/>
    </row>
    <row r="1136" spans="20:21" x14ac:dyDescent="0.25">
      <c r="T1136" s="98"/>
      <c r="U1136" s="99"/>
    </row>
    <row r="1137" spans="20:21" x14ac:dyDescent="0.25">
      <c r="T1137" s="98"/>
      <c r="U1137" s="99"/>
    </row>
    <row r="1138" spans="20:21" x14ac:dyDescent="0.25">
      <c r="T1138" s="98"/>
      <c r="U1138" s="99"/>
    </row>
    <row r="1139" spans="20:21" x14ac:dyDescent="0.25">
      <c r="T1139" s="98"/>
      <c r="U1139" s="99"/>
    </row>
    <row r="1140" spans="20:21" x14ac:dyDescent="0.25">
      <c r="T1140" s="98"/>
      <c r="U1140" s="99"/>
    </row>
    <row r="1141" spans="20:21" x14ac:dyDescent="0.25">
      <c r="T1141" s="98"/>
      <c r="U1141" s="99"/>
    </row>
    <row r="1142" spans="20:21" x14ac:dyDescent="0.25">
      <c r="T1142" s="98"/>
      <c r="U1142" s="99"/>
    </row>
    <row r="1143" spans="20:21" x14ac:dyDescent="0.25">
      <c r="T1143" s="98"/>
      <c r="U1143" s="99"/>
    </row>
    <row r="1144" spans="20:21" x14ac:dyDescent="0.25">
      <c r="T1144" s="98"/>
      <c r="U1144" s="99"/>
    </row>
    <row r="1145" spans="20:21" x14ac:dyDescent="0.25">
      <c r="T1145" s="98"/>
      <c r="U1145" s="99"/>
    </row>
    <row r="1146" spans="20:21" x14ac:dyDescent="0.25">
      <c r="T1146" s="98"/>
      <c r="U1146" s="99"/>
    </row>
    <row r="1147" spans="20:21" x14ac:dyDescent="0.25">
      <c r="T1147" s="98"/>
      <c r="U1147" s="99"/>
    </row>
    <row r="1148" spans="20:21" x14ac:dyDescent="0.25">
      <c r="T1148" s="98"/>
      <c r="U1148" s="99"/>
    </row>
    <row r="1149" spans="20:21" x14ac:dyDescent="0.25">
      <c r="T1149" s="98"/>
      <c r="U1149" s="99"/>
    </row>
    <row r="1150" spans="20:21" x14ac:dyDescent="0.25">
      <c r="T1150" s="98"/>
      <c r="U1150" s="99"/>
    </row>
    <row r="1151" spans="20:21" x14ac:dyDescent="0.25">
      <c r="T1151" s="98"/>
      <c r="U1151" s="99"/>
    </row>
    <row r="1152" spans="20:21" x14ac:dyDescent="0.25">
      <c r="T1152" s="98"/>
      <c r="U1152" s="99"/>
    </row>
    <row r="1153" spans="20:21" x14ac:dyDescent="0.25">
      <c r="T1153" s="98"/>
      <c r="U1153" s="99"/>
    </row>
    <row r="1154" spans="20:21" x14ac:dyDescent="0.25">
      <c r="T1154" s="98"/>
      <c r="U1154" s="99"/>
    </row>
    <row r="1155" spans="20:21" x14ac:dyDescent="0.25">
      <c r="T1155" s="98"/>
      <c r="U1155" s="99"/>
    </row>
    <row r="1156" spans="20:21" x14ac:dyDescent="0.25">
      <c r="T1156" s="98"/>
      <c r="U1156" s="99"/>
    </row>
    <row r="1157" spans="20:21" x14ac:dyDescent="0.25">
      <c r="T1157" s="98"/>
      <c r="U1157" s="99"/>
    </row>
    <row r="1158" spans="20:21" x14ac:dyDescent="0.25">
      <c r="T1158" s="98"/>
      <c r="U1158" s="99"/>
    </row>
    <row r="1159" spans="20:21" x14ac:dyDescent="0.25">
      <c r="T1159" s="98"/>
      <c r="U1159" s="99"/>
    </row>
    <row r="1160" spans="20:21" x14ac:dyDescent="0.25">
      <c r="T1160" s="98"/>
      <c r="U1160" s="99"/>
    </row>
    <row r="1161" spans="20:21" x14ac:dyDescent="0.25">
      <c r="T1161" s="98"/>
      <c r="U1161" s="99"/>
    </row>
    <row r="1162" spans="20:21" x14ac:dyDescent="0.25">
      <c r="T1162" s="98"/>
      <c r="U1162" s="99"/>
    </row>
    <row r="1163" spans="20:21" x14ac:dyDescent="0.25">
      <c r="T1163" s="98"/>
      <c r="U1163" s="99"/>
    </row>
    <row r="1164" spans="20:21" x14ac:dyDescent="0.25">
      <c r="T1164" s="98"/>
      <c r="U1164" s="99"/>
    </row>
    <row r="1165" spans="20:21" x14ac:dyDescent="0.25">
      <c r="T1165" s="98"/>
      <c r="U1165" s="99"/>
    </row>
    <row r="1166" spans="20:21" x14ac:dyDescent="0.25">
      <c r="T1166" s="98"/>
      <c r="U1166" s="99"/>
    </row>
    <row r="1167" spans="20:21" x14ac:dyDescent="0.25">
      <c r="T1167" s="98"/>
      <c r="U1167" s="99"/>
    </row>
    <row r="1168" spans="20:21" x14ac:dyDescent="0.25">
      <c r="T1168" s="98"/>
      <c r="U1168" s="99"/>
    </row>
    <row r="1169" spans="20:21" x14ac:dyDescent="0.25">
      <c r="T1169" s="98"/>
      <c r="U1169" s="99"/>
    </row>
    <row r="1170" spans="20:21" x14ac:dyDescent="0.25">
      <c r="T1170" s="98"/>
      <c r="U1170" s="99"/>
    </row>
    <row r="1171" spans="20:21" x14ac:dyDescent="0.25">
      <c r="T1171" s="98"/>
      <c r="U1171" s="99"/>
    </row>
    <row r="1172" spans="20:21" x14ac:dyDescent="0.25">
      <c r="T1172" s="98"/>
      <c r="U1172" s="99"/>
    </row>
    <row r="1173" spans="20:21" x14ac:dyDescent="0.25">
      <c r="T1173" s="98"/>
      <c r="U1173" s="99"/>
    </row>
    <row r="1174" spans="20:21" x14ac:dyDescent="0.25">
      <c r="T1174" s="98"/>
      <c r="U1174" s="99"/>
    </row>
    <row r="1175" spans="20:21" x14ac:dyDescent="0.25">
      <c r="T1175" s="98"/>
      <c r="U1175" s="99"/>
    </row>
    <row r="1176" spans="20:21" x14ac:dyDescent="0.25">
      <c r="T1176" s="98"/>
      <c r="U1176" s="99"/>
    </row>
    <row r="1177" spans="20:21" x14ac:dyDescent="0.25">
      <c r="T1177" s="98"/>
      <c r="U1177" s="99"/>
    </row>
    <row r="1178" spans="20:21" x14ac:dyDescent="0.25">
      <c r="T1178" s="98"/>
      <c r="U1178" s="99"/>
    </row>
    <row r="1179" spans="20:21" x14ac:dyDescent="0.25">
      <c r="T1179" s="98"/>
      <c r="U1179" s="99"/>
    </row>
    <row r="1180" spans="20:21" x14ac:dyDescent="0.25">
      <c r="T1180" s="98"/>
      <c r="U1180" s="99"/>
    </row>
    <row r="1181" spans="20:21" x14ac:dyDescent="0.25">
      <c r="T1181" s="98"/>
      <c r="U1181" s="99"/>
    </row>
    <row r="1182" spans="20:21" x14ac:dyDescent="0.25">
      <c r="T1182" s="98"/>
      <c r="U1182" s="99"/>
    </row>
    <row r="1183" spans="20:21" x14ac:dyDescent="0.25">
      <c r="T1183" s="98"/>
      <c r="U1183" s="99"/>
    </row>
    <row r="1184" spans="20:21" x14ac:dyDescent="0.25">
      <c r="T1184" s="98"/>
      <c r="U1184" s="99"/>
    </row>
    <row r="1185" spans="20:21" x14ac:dyDescent="0.25">
      <c r="T1185" s="98"/>
      <c r="U1185" s="99"/>
    </row>
    <row r="1186" spans="20:21" x14ac:dyDescent="0.25">
      <c r="T1186" s="98"/>
      <c r="U1186" s="99"/>
    </row>
    <row r="1187" spans="20:21" x14ac:dyDescent="0.25">
      <c r="T1187" s="98"/>
      <c r="U1187" s="99"/>
    </row>
    <row r="1188" spans="20:21" x14ac:dyDescent="0.25">
      <c r="T1188" s="98"/>
      <c r="U1188" s="99"/>
    </row>
    <row r="1189" spans="20:21" x14ac:dyDescent="0.25">
      <c r="T1189" s="98"/>
      <c r="U1189" s="99"/>
    </row>
    <row r="1190" spans="20:21" x14ac:dyDescent="0.25">
      <c r="T1190" s="98"/>
      <c r="U1190" s="99"/>
    </row>
    <row r="1191" spans="20:21" x14ac:dyDescent="0.25">
      <c r="T1191" s="98"/>
      <c r="U1191" s="99"/>
    </row>
    <row r="1192" spans="20:21" x14ac:dyDescent="0.25">
      <c r="T1192" s="98"/>
      <c r="U1192" s="99"/>
    </row>
    <row r="1193" spans="20:21" x14ac:dyDescent="0.25">
      <c r="T1193" s="98"/>
      <c r="U1193" s="99"/>
    </row>
    <row r="1194" spans="20:21" x14ac:dyDescent="0.25">
      <c r="T1194" s="98"/>
      <c r="U1194" s="99"/>
    </row>
    <row r="1195" spans="20:21" x14ac:dyDescent="0.25">
      <c r="T1195" s="98"/>
      <c r="U1195" s="99"/>
    </row>
    <row r="1196" spans="20:21" x14ac:dyDescent="0.25">
      <c r="T1196" s="98"/>
      <c r="U1196" s="99"/>
    </row>
    <row r="1197" spans="20:21" x14ac:dyDescent="0.25">
      <c r="T1197" s="98"/>
      <c r="U1197" s="99"/>
    </row>
    <row r="1198" spans="20:21" x14ac:dyDescent="0.25">
      <c r="T1198" s="98"/>
      <c r="U1198" s="99"/>
    </row>
    <row r="1199" spans="20:21" x14ac:dyDescent="0.25">
      <c r="T1199" s="98"/>
      <c r="U1199" s="99"/>
    </row>
    <row r="1200" spans="20:21" x14ac:dyDescent="0.25">
      <c r="T1200" s="98"/>
      <c r="U1200" s="99"/>
    </row>
    <row r="1201" spans="20:21" x14ac:dyDescent="0.25">
      <c r="T1201" s="98"/>
      <c r="U1201" s="99"/>
    </row>
    <row r="1202" spans="20:21" x14ac:dyDescent="0.25">
      <c r="T1202" s="98"/>
      <c r="U1202" s="99"/>
    </row>
    <row r="1203" spans="20:21" x14ac:dyDescent="0.25">
      <c r="T1203" s="98"/>
      <c r="U1203" s="99"/>
    </row>
    <row r="1204" spans="20:21" x14ac:dyDescent="0.25">
      <c r="T1204" s="98"/>
      <c r="U1204" s="99"/>
    </row>
    <row r="1205" spans="20:21" x14ac:dyDescent="0.25">
      <c r="T1205" s="98"/>
      <c r="U1205" s="99"/>
    </row>
    <row r="1206" spans="20:21" x14ac:dyDescent="0.25">
      <c r="T1206" s="98"/>
      <c r="U1206" s="99"/>
    </row>
    <row r="1207" spans="20:21" x14ac:dyDescent="0.25">
      <c r="T1207" s="98"/>
      <c r="U1207" s="99"/>
    </row>
    <row r="1208" spans="20:21" x14ac:dyDescent="0.25">
      <c r="T1208" s="98"/>
      <c r="U1208" s="99"/>
    </row>
    <row r="1209" spans="20:21" x14ac:dyDescent="0.25">
      <c r="T1209" s="98"/>
      <c r="U1209" s="99"/>
    </row>
    <row r="1210" spans="20:21" x14ac:dyDescent="0.25">
      <c r="T1210" s="98"/>
      <c r="U1210" s="99"/>
    </row>
    <row r="1211" spans="20:21" x14ac:dyDescent="0.25">
      <c r="T1211" s="98"/>
      <c r="U1211" s="99"/>
    </row>
    <row r="1212" spans="20:21" x14ac:dyDescent="0.25">
      <c r="T1212" s="98"/>
      <c r="U1212" s="99"/>
    </row>
    <row r="1213" spans="20:21" x14ac:dyDescent="0.25">
      <c r="T1213" s="98"/>
      <c r="U1213" s="99"/>
    </row>
    <row r="1214" spans="20:21" x14ac:dyDescent="0.25">
      <c r="T1214" s="98"/>
      <c r="U1214" s="99"/>
    </row>
    <row r="1215" spans="20:21" x14ac:dyDescent="0.25">
      <c r="T1215" s="98"/>
      <c r="U1215" s="99"/>
    </row>
    <row r="1216" spans="20:21" x14ac:dyDescent="0.25">
      <c r="T1216" s="98"/>
      <c r="U1216" s="99"/>
    </row>
    <row r="1217" spans="20:21" x14ac:dyDescent="0.25">
      <c r="T1217" s="98"/>
      <c r="U1217" s="99"/>
    </row>
    <row r="1218" spans="20:21" x14ac:dyDescent="0.25">
      <c r="T1218" s="98"/>
      <c r="U1218" s="99"/>
    </row>
    <row r="1219" spans="20:21" x14ac:dyDescent="0.25">
      <c r="T1219" s="98"/>
      <c r="U1219" s="99"/>
    </row>
    <row r="1220" spans="20:21" x14ac:dyDescent="0.25">
      <c r="T1220" s="98"/>
      <c r="U1220" s="99"/>
    </row>
    <row r="1221" spans="20:21" x14ac:dyDescent="0.25">
      <c r="T1221" s="98"/>
      <c r="U1221" s="99"/>
    </row>
    <row r="1222" spans="20:21" x14ac:dyDescent="0.25">
      <c r="T1222" s="98"/>
      <c r="U1222" s="99"/>
    </row>
    <row r="1223" spans="20:21" x14ac:dyDescent="0.25">
      <c r="T1223" s="98"/>
      <c r="U1223" s="99"/>
    </row>
    <row r="1224" spans="20:21" x14ac:dyDescent="0.25">
      <c r="T1224" s="98"/>
      <c r="U1224" s="99"/>
    </row>
    <row r="1225" spans="20:21" x14ac:dyDescent="0.25">
      <c r="T1225" s="98"/>
      <c r="U1225" s="99"/>
    </row>
    <row r="1226" spans="20:21" x14ac:dyDescent="0.25">
      <c r="T1226" s="98"/>
      <c r="U1226" s="99"/>
    </row>
    <row r="1227" spans="20:21" x14ac:dyDescent="0.25">
      <c r="T1227" s="98"/>
      <c r="U1227" s="99"/>
    </row>
    <row r="1228" spans="20:21" x14ac:dyDescent="0.25">
      <c r="T1228" s="98"/>
      <c r="U1228" s="99"/>
    </row>
    <row r="1229" spans="20:21" x14ac:dyDescent="0.25">
      <c r="T1229" s="98"/>
      <c r="U1229" s="99"/>
    </row>
    <row r="1230" spans="20:21" x14ac:dyDescent="0.25">
      <c r="T1230" s="98"/>
      <c r="U1230" s="99"/>
    </row>
    <row r="1231" spans="20:21" x14ac:dyDescent="0.25">
      <c r="T1231" s="98"/>
      <c r="U1231" s="99"/>
    </row>
    <row r="1232" spans="20:21" x14ac:dyDescent="0.25">
      <c r="T1232" s="98"/>
      <c r="U1232" s="99"/>
    </row>
    <row r="1233" spans="20:21" x14ac:dyDescent="0.25">
      <c r="T1233" s="98"/>
      <c r="U1233" s="99"/>
    </row>
    <row r="1234" spans="20:21" x14ac:dyDescent="0.25">
      <c r="T1234" s="98"/>
      <c r="U1234" s="99"/>
    </row>
    <row r="1235" spans="20:21" x14ac:dyDescent="0.25">
      <c r="T1235" s="98"/>
      <c r="U1235" s="99"/>
    </row>
    <row r="1236" spans="20:21" x14ac:dyDescent="0.25">
      <c r="T1236" s="98"/>
      <c r="U1236" s="99"/>
    </row>
    <row r="1237" spans="20:21" x14ac:dyDescent="0.25">
      <c r="T1237" s="98"/>
      <c r="U1237" s="99"/>
    </row>
    <row r="1238" spans="20:21" x14ac:dyDescent="0.25">
      <c r="T1238" s="98"/>
      <c r="U1238" s="99"/>
    </row>
    <row r="1239" spans="20:21" x14ac:dyDescent="0.25">
      <c r="T1239" s="98"/>
      <c r="U1239" s="99"/>
    </row>
    <row r="1240" spans="20:21" x14ac:dyDescent="0.25">
      <c r="T1240" s="98"/>
      <c r="U1240" s="99"/>
    </row>
    <row r="1241" spans="20:21" x14ac:dyDescent="0.25">
      <c r="T1241" s="98"/>
      <c r="U1241" s="99"/>
    </row>
    <row r="1242" spans="20:21" x14ac:dyDescent="0.25">
      <c r="T1242" s="98"/>
      <c r="U1242" s="99"/>
    </row>
    <row r="1243" spans="20:21" x14ac:dyDescent="0.25">
      <c r="T1243" s="98"/>
      <c r="U1243" s="99"/>
    </row>
    <row r="1244" spans="20:21" x14ac:dyDescent="0.25">
      <c r="T1244" s="98"/>
      <c r="U1244" s="99"/>
    </row>
    <row r="1245" spans="20:21" x14ac:dyDescent="0.25">
      <c r="T1245" s="98"/>
      <c r="U1245" s="99"/>
    </row>
    <row r="1246" spans="20:21" x14ac:dyDescent="0.25">
      <c r="T1246" s="98"/>
      <c r="U1246" s="99"/>
    </row>
    <row r="1247" spans="20:21" x14ac:dyDescent="0.25">
      <c r="T1247" s="98"/>
      <c r="U1247" s="99"/>
    </row>
    <row r="1248" spans="20:21" x14ac:dyDescent="0.25">
      <c r="T1248" s="98"/>
      <c r="U1248" s="99"/>
    </row>
    <row r="1249" spans="20:21" x14ac:dyDescent="0.25">
      <c r="T1249" s="98"/>
      <c r="U1249" s="99"/>
    </row>
    <row r="1250" spans="20:21" x14ac:dyDescent="0.25">
      <c r="T1250" s="98"/>
      <c r="U1250" s="99"/>
    </row>
    <row r="1251" spans="20:21" x14ac:dyDescent="0.25">
      <c r="T1251" s="98"/>
      <c r="U1251" s="99"/>
    </row>
    <row r="1252" spans="20:21" x14ac:dyDescent="0.25">
      <c r="T1252" s="98"/>
      <c r="U1252" s="99"/>
    </row>
    <row r="1253" spans="20:21" x14ac:dyDescent="0.25">
      <c r="T1253" s="98"/>
      <c r="U1253" s="99"/>
    </row>
    <row r="1254" spans="20:21" x14ac:dyDescent="0.25">
      <c r="T1254" s="98"/>
      <c r="U1254" s="99"/>
    </row>
    <row r="1255" spans="20:21" x14ac:dyDescent="0.25">
      <c r="T1255" s="98"/>
      <c r="U1255" s="99"/>
    </row>
    <row r="1256" spans="20:21" x14ac:dyDescent="0.25">
      <c r="T1256" s="98"/>
      <c r="U1256" s="99"/>
    </row>
    <row r="1257" spans="20:21" x14ac:dyDescent="0.25">
      <c r="T1257" s="98"/>
      <c r="U1257" s="99"/>
    </row>
    <row r="1258" spans="20:21" x14ac:dyDescent="0.25">
      <c r="T1258" s="98"/>
      <c r="U1258" s="99"/>
    </row>
    <row r="1259" spans="20:21" x14ac:dyDescent="0.25">
      <c r="T1259" s="98"/>
      <c r="U1259" s="99"/>
    </row>
    <row r="1260" spans="20:21" x14ac:dyDescent="0.25">
      <c r="T1260" s="98"/>
      <c r="U1260" s="99"/>
    </row>
    <row r="1261" spans="20:21" x14ac:dyDescent="0.25">
      <c r="T1261" s="98"/>
      <c r="U1261" s="99"/>
    </row>
    <row r="1262" spans="20:21" x14ac:dyDescent="0.25">
      <c r="T1262" s="98"/>
      <c r="U1262" s="99"/>
    </row>
    <row r="1263" spans="20:21" x14ac:dyDescent="0.25">
      <c r="T1263" s="98"/>
      <c r="U1263" s="99"/>
    </row>
    <row r="1264" spans="20:21" x14ac:dyDescent="0.25">
      <c r="T1264" s="98"/>
      <c r="U1264" s="99"/>
    </row>
    <row r="1265" spans="20:21" x14ac:dyDescent="0.25">
      <c r="T1265" s="98"/>
      <c r="U1265" s="99"/>
    </row>
    <row r="1266" spans="20:21" x14ac:dyDescent="0.25">
      <c r="T1266" s="98"/>
      <c r="U1266" s="99"/>
    </row>
    <row r="1267" spans="20:21" x14ac:dyDescent="0.25">
      <c r="T1267" s="98"/>
      <c r="U1267" s="99"/>
    </row>
    <row r="1268" spans="20:21" x14ac:dyDescent="0.25">
      <c r="T1268" s="98"/>
      <c r="U1268" s="99"/>
    </row>
    <row r="1269" spans="20:21" x14ac:dyDescent="0.25">
      <c r="T1269" s="98"/>
      <c r="U1269" s="99"/>
    </row>
    <row r="1270" spans="20:21" x14ac:dyDescent="0.25">
      <c r="T1270" s="98"/>
      <c r="U1270" s="99"/>
    </row>
    <row r="1271" spans="20:21" x14ac:dyDescent="0.25">
      <c r="T1271" s="98"/>
      <c r="U1271" s="99"/>
    </row>
    <row r="1272" spans="20:21" x14ac:dyDescent="0.25">
      <c r="T1272" s="98"/>
      <c r="U1272" s="99"/>
    </row>
    <row r="1273" spans="20:21" x14ac:dyDescent="0.25">
      <c r="T1273" s="98"/>
      <c r="U1273" s="99"/>
    </row>
    <row r="1274" spans="20:21" x14ac:dyDescent="0.25">
      <c r="T1274" s="98"/>
      <c r="U1274" s="99"/>
    </row>
    <row r="1275" spans="20:21" x14ac:dyDescent="0.25">
      <c r="T1275" s="98"/>
      <c r="U1275" s="99"/>
    </row>
    <row r="1276" spans="20:21" x14ac:dyDescent="0.25">
      <c r="T1276" s="98"/>
      <c r="U1276" s="99"/>
    </row>
    <row r="1277" spans="20:21" x14ac:dyDescent="0.25">
      <c r="T1277" s="98"/>
      <c r="U1277" s="99"/>
    </row>
    <row r="1278" spans="20:21" x14ac:dyDescent="0.25">
      <c r="T1278" s="98"/>
      <c r="U1278" s="99"/>
    </row>
    <row r="1279" spans="20:21" x14ac:dyDescent="0.25">
      <c r="T1279" s="98"/>
      <c r="U1279" s="99"/>
    </row>
    <row r="1280" spans="20:21" x14ac:dyDescent="0.25">
      <c r="T1280" s="98"/>
      <c r="U1280" s="99"/>
    </row>
    <row r="1281" spans="20:21" x14ac:dyDescent="0.25">
      <c r="T1281" s="98"/>
      <c r="U1281" s="99"/>
    </row>
    <row r="1282" spans="20:21" x14ac:dyDescent="0.25">
      <c r="T1282" s="98"/>
      <c r="U1282" s="99"/>
    </row>
    <row r="1283" spans="20:21" x14ac:dyDescent="0.25">
      <c r="T1283" s="98"/>
      <c r="U1283" s="99"/>
    </row>
    <row r="1284" spans="20:21" x14ac:dyDescent="0.25">
      <c r="T1284" s="98"/>
      <c r="U1284" s="99"/>
    </row>
    <row r="1285" spans="20:21" x14ac:dyDescent="0.25">
      <c r="T1285" s="98"/>
      <c r="U1285" s="99"/>
    </row>
    <row r="1286" spans="20:21" x14ac:dyDescent="0.25">
      <c r="T1286" s="98"/>
      <c r="U1286" s="99"/>
    </row>
    <row r="1287" spans="20:21" x14ac:dyDescent="0.25">
      <c r="T1287" s="98"/>
      <c r="U1287" s="99"/>
    </row>
    <row r="1288" spans="20:21" x14ac:dyDescent="0.25">
      <c r="T1288" s="98"/>
      <c r="U1288" s="99"/>
    </row>
    <row r="1289" spans="20:21" x14ac:dyDescent="0.25">
      <c r="T1289" s="98"/>
      <c r="U1289" s="99"/>
    </row>
    <row r="1290" spans="20:21" x14ac:dyDescent="0.25">
      <c r="T1290" s="98"/>
      <c r="U1290" s="99"/>
    </row>
    <row r="1291" spans="20:21" x14ac:dyDescent="0.25">
      <c r="T1291" s="98"/>
      <c r="U1291" s="99"/>
    </row>
    <row r="1292" spans="20:21" x14ac:dyDescent="0.25">
      <c r="T1292" s="98"/>
      <c r="U1292" s="99"/>
    </row>
    <row r="1293" spans="20:21" x14ac:dyDescent="0.25">
      <c r="T1293" s="98"/>
      <c r="U1293" s="99"/>
    </row>
    <row r="1294" spans="20:21" x14ac:dyDescent="0.25">
      <c r="T1294" s="98"/>
      <c r="U1294" s="99"/>
    </row>
    <row r="1295" spans="20:21" x14ac:dyDescent="0.25">
      <c r="T1295" s="98"/>
      <c r="U1295" s="99"/>
    </row>
    <row r="1296" spans="20:21" x14ac:dyDescent="0.25">
      <c r="T1296" s="98"/>
      <c r="U1296" s="99"/>
    </row>
    <row r="1297" spans="20:21" x14ac:dyDescent="0.25">
      <c r="T1297" s="98"/>
      <c r="U1297" s="99"/>
    </row>
    <row r="1298" spans="20:21" x14ac:dyDescent="0.25">
      <c r="T1298" s="98"/>
      <c r="U1298" s="99"/>
    </row>
    <row r="1299" spans="20:21" x14ac:dyDescent="0.25">
      <c r="T1299" s="98"/>
      <c r="U1299" s="99"/>
    </row>
    <row r="1300" spans="20:21" x14ac:dyDescent="0.25">
      <c r="T1300" s="98"/>
      <c r="U1300" s="99"/>
    </row>
    <row r="1301" spans="20:21" x14ac:dyDescent="0.25">
      <c r="T1301" s="98"/>
      <c r="U1301" s="99"/>
    </row>
    <row r="1302" spans="20:21" x14ac:dyDescent="0.25">
      <c r="T1302" s="98"/>
      <c r="U1302" s="99"/>
    </row>
    <row r="1303" spans="20:21" x14ac:dyDescent="0.25">
      <c r="T1303" s="98"/>
      <c r="U1303" s="99"/>
    </row>
    <row r="1304" spans="20:21" x14ac:dyDescent="0.25">
      <c r="T1304" s="98"/>
      <c r="U1304" s="99"/>
    </row>
    <row r="1305" spans="20:21" x14ac:dyDescent="0.25">
      <c r="T1305" s="98"/>
      <c r="U1305" s="99"/>
    </row>
    <row r="1306" spans="20:21" x14ac:dyDescent="0.25">
      <c r="T1306" s="98"/>
      <c r="U1306" s="99"/>
    </row>
    <row r="1307" spans="20:21" x14ac:dyDescent="0.25">
      <c r="T1307" s="98"/>
      <c r="U1307" s="99"/>
    </row>
    <row r="1308" spans="20:21" x14ac:dyDescent="0.25">
      <c r="T1308" s="98"/>
      <c r="U1308" s="99"/>
    </row>
    <row r="1309" spans="20:21" x14ac:dyDescent="0.25">
      <c r="T1309" s="98"/>
      <c r="U1309" s="99"/>
    </row>
    <row r="1310" spans="20:21" x14ac:dyDescent="0.25">
      <c r="T1310" s="98"/>
      <c r="U1310" s="99"/>
    </row>
    <row r="1311" spans="20:21" x14ac:dyDescent="0.25">
      <c r="T1311" s="98"/>
      <c r="U1311" s="99"/>
    </row>
    <row r="1312" spans="20:21" x14ac:dyDescent="0.25">
      <c r="T1312" s="98"/>
      <c r="U1312" s="99"/>
    </row>
    <row r="1313" spans="20:21" x14ac:dyDescent="0.25">
      <c r="T1313" s="98"/>
      <c r="U1313" s="99"/>
    </row>
    <row r="1314" spans="20:21" x14ac:dyDescent="0.25">
      <c r="T1314" s="98"/>
      <c r="U1314" s="99"/>
    </row>
    <row r="1315" spans="20:21" x14ac:dyDescent="0.25">
      <c r="T1315" s="98"/>
      <c r="U1315" s="99"/>
    </row>
    <row r="1316" spans="20:21" x14ac:dyDescent="0.25">
      <c r="T1316" s="98"/>
      <c r="U1316" s="99"/>
    </row>
    <row r="1317" spans="20:21" x14ac:dyDescent="0.25">
      <c r="T1317" s="98"/>
      <c r="U1317" s="99"/>
    </row>
    <row r="1318" spans="20:21" x14ac:dyDescent="0.25">
      <c r="T1318" s="98"/>
      <c r="U1318" s="99"/>
    </row>
    <row r="1319" spans="20:21" x14ac:dyDescent="0.25">
      <c r="T1319" s="98"/>
      <c r="U1319" s="99"/>
    </row>
    <row r="1320" spans="20:21" x14ac:dyDescent="0.25">
      <c r="T1320" s="98"/>
      <c r="U1320" s="99"/>
    </row>
    <row r="1321" spans="20:21" x14ac:dyDescent="0.25">
      <c r="T1321" s="98"/>
      <c r="U1321" s="99"/>
    </row>
    <row r="1322" spans="20:21" x14ac:dyDescent="0.25">
      <c r="T1322" s="98"/>
      <c r="U1322" s="99"/>
    </row>
    <row r="1323" spans="20:21" x14ac:dyDescent="0.25">
      <c r="T1323" s="98"/>
      <c r="U1323" s="99"/>
    </row>
    <row r="1324" spans="20:21" x14ac:dyDescent="0.25">
      <c r="T1324" s="98"/>
      <c r="U1324" s="99"/>
    </row>
    <row r="1325" spans="20:21" x14ac:dyDescent="0.25">
      <c r="T1325" s="98"/>
      <c r="U1325" s="99"/>
    </row>
    <row r="1326" spans="20:21" x14ac:dyDescent="0.25">
      <c r="T1326" s="98"/>
      <c r="U1326" s="99"/>
    </row>
    <row r="1327" spans="20:21" x14ac:dyDescent="0.25">
      <c r="T1327" s="98"/>
      <c r="U1327" s="99"/>
    </row>
    <row r="1328" spans="20:21" x14ac:dyDescent="0.25">
      <c r="T1328" s="98"/>
      <c r="U1328" s="99"/>
    </row>
    <row r="1329" spans="20:21" x14ac:dyDescent="0.25">
      <c r="T1329" s="98"/>
      <c r="U1329" s="99"/>
    </row>
    <row r="1330" spans="20:21" x14ac:dyDescent="0.25">
      <c r="T1330" s="98"/>
      <c r="U1330" s="99"/>
    </row>
    <row r="1331" spans="20:21" x14ac:dyDescent="0.25">
      <c r="T1331" s="98"/>
      <c r="U1331" s="99"/>
    </row>
    <row r="1332" spans="20:21" x14ac:dyDescent="0.25">
      <c r="T1332" s="98"/>
      <c r="U1332" s="99"/>
    </row>
    <row r="1333" spans="20:21" x14ac:dyDescent="0.25">
      <c r="T1333" s="98"/>
      <c r="U1333" s="99"/>
    </row>
    <row r="1334" spans="20:21" x14ac:dyDescent="0.25">
      <c r="T1334" s="98"/>
      <c r="U1334" s="99"/>
    </row>
    <row r="1335" spans="20:21" x14ac:dyDescent="0.25">
      <c r="T1335" s="98"/>
      <c r="U1335" s="99"/>
    </row>
    <row r="1336" spans="20:21" x14ac:dyDescent="0.25">
      <c r="T1336" s="98"/>
      <c r="U1336" s="99"/>
    </row>
    <row r="1337" spans="20:21" x14ac:dyDescent="0.25">
      <c r="T1337" s="98"/>
      <c r="U1337" s="99"/>
    </row>
    <row r="1338" spans="20:21" x14ac:dyDescent="0.25">
      <c r="T1338" s="98"/>
      <c r="U1338" s="99"/>
    </row>
    <row r="1339" spans="20:21" x14ac:dyDescent="0.25">
      <c r="T1339" s="98"/>
      <c r="U1339" s="99"/>
    </row>
    <row r="1340" spans="20:21" x14ac:dyDescent="0.25">
      <c r="T1340" s="98"/>
      <c r="U1340" s="99"/>
    </row>
    <row r="1341" spans="20:21" x14ac:dyDescent="0.25">
      <c r="T1341" s="98"/>
      <c r="U1341" s="99"/>
    </row>
    <row r="1342" spans="20:21" x14ac:dyDescent="0.25">
      <c r="T1342" s="98"/>
      <c r="U1342" s="99"/>
    </row>
    <row r="1343" spans="20:21" x14ac:dyDescent="0.25">
      <c r="T1343" s="98"/>
      <c r="U1343" s="99"/>
    </row>
    <row r="1344" spans="20:21" x14ac:dyDescent="0.25">
      <c r="T1344" s="98"/>
      <c r="U1344" s="99"/>
    </row>
    <row r="1345" spans="20:21" x14ac:dyDescent="0.25">
      <c r="T1345" s="98"/>
      <c r="U1345" s="99"/>
    </row>
    <row r="1346" spans="20:21" x14ac:dyDescent="0.25">
      <c r="T1346" s="98"/>
      <c r="U1346" s="99"/>
    </row>
    <row r="1347" spans="20:21" x14ac:dyDescent="0.25">
      <c r="T1347" s="98"/>
      <c r="U1347" s="99"/>
    </row>
    <row r="1348" spans="20:21" x14ac:dyDescent="0.25">
      <c r="T1348" s="98"/>
      <c r="U1348" s="99"/>
    </row>
    <row r="1349" spans="20:21" x14ac:dyDescent="0.25">
      <c r="T1349" s="98"/>
      <c r="U1349" s="99"/>
    </row>
    <row r="1350" spans="20:21" x14ac:dyDescent="0.25">
      <c r="T1350" s="98"/>
      <c r="U1350" s="99"/>
    </row>
    <row r="1351" spans="20:21" x14ac:dyDescent="0.25">
      <c r="T1351" s="98"/>
      <c r="U1351" s="99"/>
    </row>
    <row r="1352" spans="20:21" x14ac:dyDescent="0.25">
      <c r="T1352" s="98"/>
      <c r="U1352" s="99"/>
    </row>
    <row r="1353" spans="20:21" x14ac:dyDescent="0.25">
      <c r="T1353" s="98"/>
      <c r="U1353" s="99"/>
    </row>
    <row r="1354" spans="20:21" x14ac:dyDescent="0.25">
      <c r="T1354" s="98"/>
      <c r="U1354" s="99"/>
    </row>
    <row r="1355" spans="20:21" x14ac:dyDescent="0.25">
      <c r="T1355" s="98"/>
      <c r="U1355" s="99"/>
    </row>
    <row r="1356" spans="20:21" x14ac:dyDescent="0.25">
      <c r="T1356" s="98"/>
      <c r="U1356" s="99"/>
    </row>
    <row r="1357" spans="20:21" x14ac:dyDescent="0.25">
      <c r="T1357" s="98"/>
      <c r="U1357" s="99"/>
    </row>
    <row r="1358" spans="20:21" x14ac:dyDescent="0.25">
      <c r="T1358" s="98"/>
      <c r="U1358" s="99"/>
    </row>
    <row r="1359" spans="20:21" x14ac:dyDescent="0.25">
      <c r="T1359" s="98"/>
      <c r="U1359" s="99"/>
    </row>
    <row r="1360" spans="20:21" x14ac:dyDescent="0.25">
      <c r="T1360" s="98"/>
      <c r="U1360" s="99"/>
    </row>
    <row r="1361" spans="20:21" x14ac:dyDescent="0.25">
      <c r="T1361" s="98"/>
      <c r="U1361" s="99"/>
    </row>
    <row r="1362" spans="20:21" x14ac:dyDescent="0.25">
      <c r="T1362" s="98"/>
      <c r="U1362" s="99"/>
    </row>
    <row r="1363" spans="20:21" x14ac:dyDescent="0.25">
      <c r="T1363" s="98"/>
      <c r="U1363" s="99"/>
    </row>
    <row r="1364" spans="20:21" x14ac:dyDescent="0.25">
      <c r="T1364" s="98"/>
      <c r="U1364" s="99"/>
    </row>
    <row r="1365" spans="20:21" x14ac:dyDescent="0.25">
      <c r="T1365" s="98"/>
      <c r="U1365" s="99"/>
    </row>
    <row r="1366" spans="20:21" x14ac:dyDescent="0.25">
      <c r="T1366" s="98"/>
      <c r="U1366" s="99"/>
    </row>
    <row r="1367" spans="20:21" x14ac:dyDescent="0.25">
      <c r="T1367" s="98"/>
      <c r="U1367" s="99"/>
    </row>
    <row r="1368" spans="20:21" x14ac:dyDescent="0.25">
      <c r="T1368" s="98"/>
      <c r="U1368" s="99"/>
    </row>
    <row r="1369" spans="20:21" x14ac:dyDescent="0.25">
      <c r="T1369" s="98"/>
      <c r="U1369" s="99"/>
    </row>
    <row r="1370" spans="20:21" x14ac:dyDescent="0.25">
      <c r="T1370" s="98"/>
      <c r="U1370" s="99"/>
    </row>
    <row r="1371" spans="20:21" x14ac:dyDescent="0.25">
      <c r="T1371" s="98"/>
      <c r="U1371" s="99"/>
    </row>
    <row r="1372" spans="20:21" x14ac:dyDescent="0.25">
      <c r="T1372" s="98"/>
      <c r="U1372" s="99"/>
    </row>
    <row r="1373" spans="20:21" x14ac:dyDescent="0.25">
      <c r="T1373" s="98"/>
      <c r="U1373" s="99"/>
    </row>
    <row r="1374" spans="20:21" x14ac:dyDescent="0.25">
      <c r="T1374" s="98"/>
      <c r="U1374" s="99"/>
    </row>
    <row r="1375" spans="20:21" x14ac:dyDescent="0.25">
      <c r="T1375" s="98"/>
      <c r="U1375" s="99"/>
    </row>
    <row r="1376" spans="20:21" x14ac:dyDescent="0.25">
      <c r="T1376" s="98"/>
      <c r="U1376" s="99"/>
    </row>
    <row r="1377" spans="20:21" x14ac:dyDescent="0.25">
      <c r="T1377" s="98"/>
      <c r="U1377" s="99"/>
    </row>
    <row r="1378" spans="20:21" x14ac:dyDescent="0.25">
      <c r="T1378" s="98"/>
      <c r="U1378" s="99"/>
    </row>
    <row r="1379" spans="20:21" x14ac:dyDescent="0.25">
      <c r="T1379" s="98"/>
      <c r="U1379" s="99"/>
    </row>
    <row r="1380" spans="20:21" x14ac:dyDescent="0.25">
      <c r="T1380" s="98"/>
      <c r="U1380" s="99"/>
    </row>
    <row r="1381" spans="20:21" x14ac:dyDescent="0.25">
      <c r="T1381" s="98"/>
      <c r="U1381" s="99"/>
    </row>
    <row r="1382" spans="20:21" x14ac:dyDescent="0.25">
      <c r="T1382" s="98"/>
      <c r="U1382" s="99"/>
    </row>
    <row r="1383" spans="20:21" x14ac:dyDescent="0.25">
      <c r="T1383" s="98"/>
      <c r="U1383" s="99"/>
    </row>
    <row r="1384" spans="20:21" x14ac:dyDescent="0.25">
      <c r="T1384" s="98"/>
      <c r="U1384" s="99"/>
    </row>
    <row r="1385" spans="20:21" x14ac:dyDescent="0.25">
      <c r="T1385" s="98"/>
      <c r="U1385" s="99"/>
    </row>
    <row r="1386" spans="20:21" x14ac:dyDescent="0.25">
      <c r="T1386" s="98"/>
      <c r="U1386" s="99"/>
    </row>
    <row r="1387" spans="20:21" x14ac:dyDescent="0.25">
      <c r="T1387" s="98"/>
      <c r="U1387" s="99"/>
    </row>
    <row r="1388" spans="20:21" x14ac:dyDescent="0.25">
      <c r="T1388" s="98"/>
      <c r="U1388" s="99"/>
    </row>
    <row r="1389" spans="20:21" x14ac:dyDescent="0.25">
      <c r="T1389" s="98"/>
      <c r="U1389" s="99"/>
    </row>
    <row r="1390" spans="20:21" x14ac:dyDescent="0.25">
      <c r="T1390" s="98"/>
      <c r="U1390" s="99"/>
    </row>
    <row r="1391" spans="20:21" x14ac:dyDescent="0.25">
      <c r="T1391" s="98"/>
      <c r="U1391" s="99"/>
    </row>
    <row r="1392" spans="20:21" x14ac:dyDescent="0.25">
      <c r="T1392" s="98"/>
      <c r="U1392" s="99"/>
    </row>
    <row r="1393" spans="20:21" x14ac:dyDescent="0.25">
      <c r="T1393" s="98"/>
      <c r="U1393" s="99"/>
    </row>
    <row r="1394" spans="20:21" x14ac:dyDescent="0.25">
      <c r="T1394" s="98"/>
      <c r="U1394" s="99"/>
    </row>
    <row r="1395" spans="20:21" x14ac:dyDescent="0.25">
      <c r="T1395" s="98"/>
      <c r="U1395" s="99"/>
    </row>
    <row r="1396" spans="20:21" x14ac:dyDescent="0.25">
      <c r="T1396" s="98"/>
      <c r="U1396" s="99"/>
    </row>
    <row r="1397" spans="20:21" x14ac:dyDescent="0.25">
      <c r="T1397" s="98"/>
      <c r="U1397" s="99"/>
    </row>
    <row r="1398" spans="20:21" x14ac:dyDescent="0.25">
      <c r="T1398" s="98"/>
      <c r="U1398" s="99"/>
    </row>
    <row r="1399" spans="20:21" x14ac:dyDescent="0.25">
      <c r="T1399" s="98"/>
      <c r="U1399" s="99"/>
    </row>
    <row r="1400" spans="20:21" x14ac:dyDescent="0.25">
      <c r="T1400" s="98"/>
      <c r="U1400" s="99"/>
    </row>
    <row r="1401" spans="20:21" x14ac:dyDescent="0.25">
      <c r="T1401" s="98"/>
      <c r="U1401" s="99"/>
    </row>
    <row r="1402" spans="20:21" x14ac:dyDescent="0.25">
      <c r="T1402" s="98"/>
      <c r="U1402" s="99"/>
    </row>
    <row r="1403" spans="20:21" x14ac:dyDescent="0.25">
      <c r="T1403" s="98"/>
      <c r="U1403" s="99"/>
    </row>
    <row r="1404" spans="20:21" x14ac:dyDescent="0.25">
      <c r="T1404" s="98"/>
      <c r="U1404" s="99"/>
    </row>
    <row r="1405" spans="20:21" x14ac:dyDescent="0.25">
      <c r="T1405" s="98"/>
      <c r="U1405" s="99"/>
    </row>
    <row r="1406" spans="20:21" x14ac:dyDescent="0.25">
      <c r="T1406" s="98"/>
      <c r="U1406" s="99"/>
    </row>
    <row r="1407" spans="20:21" x14ac:dyDescent="0.25">
      <c r="T1407" s="98"/>
      <c r="U1407" s="99"/>
    </row>
    <row r="1408" spans="20:21" x14ac:dyDescent="0.25">
      <c r="T1408" s="98"/>
      <c r="U1408" s="99"/>
    </row>
    <row r="1409" spans="20:21" x14ac:dyDescent="0.25">
      <c r="T1409" s="98"/>
      <c r="U1409" s="99"/>
    </row>
    <row r="1410" spans="20:21" x14ac:dyDescent="0.25">
      <c r="T1410" s="98"/>
      <c r="U1410" s="99"/>
    </row>
    <row r="1411" spans="20:21" x14ac:dyDescent="0.25">
      <c r="T1411" s="98"/>
      <c r="U1411" s="99"/>
    </row>
    <row r="1412" spans="20:21" x14ac:dyDescent="0.25">
      <c r="T1412" s="98"/>
      <c r="U1412" s="99"/>
    </row>
    <row r="1413" spans="20:21" x14ac:dyDescent="0.25">
      <c r="T1413" s="98"/>
      <c r="U1413" s="99"/>
    </row>
    <row r="1414" spans="20:21" x14ac:dyDescent="0.25">
      <c r="T1414" s="98"/>
      <c r="U1414" s="99"/>
    </row>
    <row r="1415" spans="20:21" x14ac:dyDescent="0.25">
      <c r="T1415" s="98"/>
      <c r="U1415" s="99"/>
    </row>
    <row r="1416" spans="20:21" x14ac:dyDescent="0.25">
      <c r="T1416" s="98"/>
      <c r="U1416" s="99"/>
    </row>
    <row r="1417" spans="20:21" x14ac:dyDescent="0.25">
      <c r="T1417" s="98"/>
      <c r="U1417" s="99"/>
    </row>
    <row r="1418" spans="20:21" x14ac:dyDescent="0.25">
      <c r="T1418" s="98"/>
      <c r="U1418" s="99"/>
    </row>
    <row r="1419" spans="20:21" x14ac:dyDescent="0.25">
      <c r="T1419" s="98"/>
      <c r="U1419" s="99"/>
    </row>
    <row r="1420" spans="20:21" x14ac:dyDescent="0.25">
      <c r="T1420" s="98"/>
      <c r="U1420" s="99"/>
    </row>
    <row r="1421" spans="20:21" x14ac:dyDescent="0.25">
      <c r="T1421" s="98"/>
      <c r="U1421" s="99"/>
    </row>
    <row r="1422" spans="20:21" x14ac:dyDescent="0.25">
      <c r="T1422" s="98"/>
      <c r="U1422" s="99"/>
    </row>
    <row r="1423" spans="20:21" x14ac:dyDescent="0.25">
      <c r="T1423" s="98"/>
      <c r="U1423" s="99"/>
    </row>
    <row r="1424" spans="20:21" x14ac:dyDescent="0.25">
      <c r="T1424" s="98"/>
      <c r="U1424" s="99"/>
    </row>
    <row r="1425" spans="20:21" x14ac:dyDescent="0.25">
      <c r="T1425" s="98"/>
      <c r="U1425" s="99"/>
    </row>
    <row r="1426" spans="20:21" x14ac:dyDescent="0.25">
      <c r="T1426" s="98"/>
      <c r="U1426" s="99"/>
    </row>
    <row r="1427" spans="20:21" x14ac:dyDescent="0.25">
      <c r="T1427" s="98"/>
      <c r="U1427" s="99"/>
    </row>
    <row r="1428" spans="20:21" x14ac:dyDescent="0.25">
      <c r="T1428" s="98"/>
      <c r="U1428" s="99"/>
    </row>
    <row r="1429" spans="20:21" x14ac:dyDescent="0.25">
      <c r="T1429" s="98"/>
      <c r="U1429" s="99"/>
    </row>
    <row r="1430" spans="20:21" x14ac:dyDescent="0.25">
      <c r="T1430" s="98"/>
      <c r="U1430" s="99"/>
    </row>
    <row r="1431" spans="20:21" x14ac:dyDescent="0.25">
      <c r="T1431" s="98"/>
      <c r="U1431" s="99"/>
    </row>
    <row r="1432" spans="20:21" x14ac:dyDescent="0.25">
      <c r="T1432" s="98"/>
      <c r="U1432" s="99"/>
    </row>
    <row r="1433" spans="20:21" x14ac:dyDescent="0.25">
      <c r="T1433" s="98"/>
      <c r="U1433" s="99"/>
    </row>
    <row r="1434" spans="20:21" x14ac:dyDescent="0.25">
      <c r="T1434" s="98"/>
      <c r="U1434" s="99"/>
    </row>
    <row r="1435" spans="20:21" x14ac:dyDescent="0.25">
      <c r="T1435" s="98"/>
      <c r="U1435" s="99"/>
    </row>
    <row r="1436" spans="20:21" x14ac:dyDescent="0.25">
      <c r="T1436" s="98"/>
      <c r="U1436" s="99"/>
    </row>
    <row r="1437" spans="20:21" x14ac:dyDescent="0.25">
      <c r="T1437" s="98"/>
      <c r="U1437" s="99"/>
    </row>
    <row r="1438" spans="20:21" x14ac:dyDescent="0.25">
      <c r="T1438" s="98"/>
      <c r="U1438" s="99"/>
    </row>
    <row r="1439" spans="20:21" x14ac:dyDescent="0.25">
      <c r="T1439" s="98"/>
      <c r="U1439" s="99"/>
    </row>
    <row r="1440" spans="20:21" x14ac:dyDescent="0.25">
      <c r="T1440" s="98"/>
      <c r="U1440" s="99"/>
    </row>
    <row r="1441" spans="20:21" x14ac:dyDescent="0.25">
      <c r="T1441" s="98"/>
      <c r="U1441" s="99"/>
    </row>
    <row r="1442" spans="20:21" x14ac:dyDescent="0.25">
      <c r="T1442" s="98"/>
      <c r="U1442" s="99"/>
    </row>
    <row r="1443" spans="20:21" x14ac:dyDescent="0.25">
      <c r="T1443" s="98"/>
      <c r="U1443" s="99"/>
    </row>
    <row r="1444" spans="20:21" x14ac:dyDescent="0.25">
      <c r="T1444" s="98"/>
      <c r="U1444" s="99"/>
    </row>
    <row r="1445" spans="20:21" x14ac:dyDescent="0.25">
      <c r="T1445" s="98"/>
      <c r="U1445" s="99"/>
    </row>
    <row r="1446" spans="20:21" x14ac:dyDescent="0.25">
      <c r="T1446" s="98"/>
      <c r="U1446" s="99"/>
    </row>
    <row r="1447" spans="20:21" x14ac:dyDescent="0.25">
      <c r="T1447" s="98"/>
      <c r="U1447" s="99"/>
    </row>
    <row r="1448" spans="20:21" x14ac:dyDescent="0.25">
      <c r="T1448" s="98"/>
      <c r="U1448" s="99"/>
    </row>
    <row r="1449" spans="20:21" x14ac:dyDescent="0.25">
      <c r="T1449" s="98"/>
      <c r="U1449" s="99"/>
    </row>
    <row r="1450" spans="20:21" x14ac:dyDescent="0.25">
      <c r="T1450" s="98"/>
      <c r="U1450" s="99"/>
    </row>
    <row r="1451" spans="20:21" x14ac:dyDescent="0.25">
      <c r="T1451" s="98"/>
      <c r="U1451" s="99"/>
    </row>
    <row r="1452" spans="20:21" x14ac:dyDescent="0.25">
      <c r="T1452" s="98"/>
      <c r="U1452" s="99"/>
    </row>
    <row r="1453" spans="20:21" x14ac:dyDescent="0.25">
      <c r="T1453" s="98"/>
      <c r="U1453" s="99"/>
    </row>
    <row r="1454" spans="20:21" x14ac:dyDescent="0.25">
      <c r="T1454" s="98"/>
      <c r="U1454" s="99"/>
    </row>
    <row r="1455" spans="20:21" x14ac:dyDescent="0.25">
      <c r="T1455" s="98"/>
      <c r="U1455" s="99"/>
    </row>
    <row r="1456" spans="20:21" x14ac:dyDescent="0.25">
      <c r="T1456" s="98"/>
      <c r="U1456" s="99"/>
    </row>
    <row r="1457" spans="20:21" x14ac:dyDescent="0.25">
      <c r="T1457" s="98"/>
      <c r="U1457" s="99"/>
    </row>
    <row r="1458" spans="20:21" x14ac:dyDescent="0.25">
      <c r="T1458" s="98"/>
      <c r="U1458" s="99"/>
    </row>
    <row r="1459" spans="20:21" x14ac:dyDescent="0.25">
      <c r="T1459" s="98"/>
      <c r="U1459" s="99"/>
    </row>
    <row r="1460" spans="20:21" x14ac:dyDescent="0.25">
      <c r="T1460" s="98"/>
      <c r="U1460" s="99"/>
    </row>
    <row r="1461" spans="20:21" x14ac:dyDescent="0.25">
      <c r="T1461" s="98"/>
      <c r="U1461" s="99"/>
    </row>
    <row r="1462" spans="20:21" x14ac:dyDescent="0.25">
      <c r="T1462" s="98"/>
      <c r="U1462" s="99"/>
    </row>
    <row r="1463" spans="20:21" x14ac:dyDescent="0.25">
      <c r="T1463" s="98"/>
      <c r="U1463" s="99"/>
    </row>
    <row r="1464" spans="20:21" x14ac:dyDescent="0.25">
      <c r="T1464" s="98"/>
      <c r="U1464" s="99"/>
    </row>
    <row r="1465" spans="20:21" x14ac:dyDescent="0.25">
      <c r="T1465" s="98"/>
      <c r="U1465" s="99"/>
    </row>
    <row r="1466" spans="20:21" x14ac:dyDescent="0.25">
      <c r="T1466" s="98"/>
      <c r="U1466" s="99"/>
    </row>
    <row r="1467" spans="20:21" x14ac:dyDescent="0.25">
      <c r="T1467" s="98"/>
      <c r="U1467" s="99"/>
    </row>
    <row r="1468" spans="20:21" x14ac:dyDescent="0.25">
      <c r="T1468" s="98"/>
      <c r="U1468" s="99"/>
    </row>
    <row r="1469" spans="20:21" x14ac:dyDescent="0.25">
      <c r="T1469" s="98"/>
      <c r="U1469" s="99"/>
    </row>
    <row r="1470" spans="20:21" x14ac:dyDescent="0.25">
      <c r="T1470" s="98"/>
      <c r="U1470" s="99"/>
    </row>
    <row r="1471" spans="20:21" x14ac:dyDescent="0.25">
      <c r="T1471" s="98"/>
      <c r="U1471" s="99"/>
    </row>
    <row r="1472" spans="20:21" x14ac:dyDescent="0.25">
      <c r="T1472" s="98"/>
      <c r="U1472" s="99"/>
    </row>
    <row r="1473" spans="20:21" x14ac:dyDescent="0.25">
      <c r="T1473" s="98"/>
      <c r="U1473" s="99"/>
    </row>
    <row r="1474" spans="20:21" x14ac:dyDescent="0.25">
      <c r="T1474" s="98"/>
      <c r="U1474" s="99"/>
    </row>
    <row r="1475" spans="20:21" x14ac:dyDescent="0.25">
      <c r="T1475" s="98"/>
      <c r="U1475" s="99"/>
    </row>
    <row r="1476" spans="20:21" x14ac:dyDescent="0.25">
      <c r="T1476" s="98"/>
      <c r="U1476" s="99"/>
    </row>
    <row r="1477" spans="20:21" x14ac:dyDescent="0.25">
      <c r="T1477" s="98"/>
      <c r="U1477" s="99"/>
    </row>
    <row r="1478" spans="20:21" x14ac:dyDescent="0.25">
      <c r="T1478" s="98"/>
      <c r="U1478" s="99"/>
    </row>
    <row r="1479" spans="20:21" x14ac:dyDescent="0.25">
      <c r="T1479" s="98"/>
      <c r="U1479" s="99"/>
    </row>
    <row r="1480" spans="20:21" x14ac:dyDescent="0.25">
      <c r="T1480" s="98"/>
      <c r="U1480" s="99"/>
    </row>
    <row r="1481" spans="20:21" x14ac:dyDescent="0.25">
      <c r="T1481" s="98"/>
      <c r="U1481" s="99"/>
    </row>
    <row r="1482" spans="20:21" x14ac:dyDescent="0.25">
      <c r="T1482" s="98"/>
      <c r="U1482" s="99"/>
    </row>
    <row r="1483" spans="20:21" x14ac:dyDescent="0.25">
      <c r="T1483" s="98"/>
      <c r="U1483" s="99"/>
    </row>
    <row r="1484" spans="20:21" x14ac:dyDescent="0.25">
      <c r="T1484" s="98"/>
      <c r="U1484" s="99"/>
    </row>
    <row r="1485" spans="20:21" x14ac:dyDescent="0.25">
      <c r="T1485" s="98"/>
      <c r="U1485" s="99"/>
    </row>
    <row r="1486" spans="20:21" x14ac:dyDescent="0.25">
      <c r="T1486" s="98"/>
      <c r="U1486" s="99"/>
    </row>
    <row r="1487" spans="20:21" x14ac:dyDescent="0.25">
      <c r="T1487" s="98"/>
      <c r="U1487" s="99"/>
    </row>
    <row r="1488" spans="20:21" x14ac:dyDescent="0.25">
      <c r="T1488" s="98"/>
      <c r="U1488" s="99"/>
    </row>
    <row r="1489" spans="20:21" x14ac:dyDescent="0.25">
      <c r="T1489" s="98"/>
      <c r="U1489" s="99"/>
    </row>
    <row r="1490" spans="20:21" x14ac:dyDescent="0.25">
      <c r="T1490" s="98"/>
      <c r="U1490" s="99"/>
    </row>
    <row r="1491" spans="20:21" x14ac:dyDescent="0.25">
      <c r="T1491" s="98"/>
      <c r="U1491" s="99"/>
    </row>
    <row r="1492" spans="20:21" x14ac:dyDescent="0.25">
      <c r="T1492" s="98"/>
      <c r="U1492" s="99"/>
    </row>
    <row r="1493" spans="20:21" x14ac:dyDescent="0.25">
      <c r="T1493" s="98"/>
      <c r="U1493" s="99"/>
    </row>
    <row r="1494" spans="20:21" x14ac:dyDescent="0.25">
      <c r="T1494" s="98"/>
      <c r="U1494" s="99"/>
    </row>
    <row r="1495" spans="20:21" x14ac:dyDescent="0.25">
      <c r="T1495" s="98"/>
      <c r="U1495" s="99"/>
    </row>
    <row r="1496" spans="20:21" x14ac:dyDescent="0.25">
      <c r="T1496" s="98"/>
      <c r="U1496" s="99"/>
    </row>
    <row r="1497" spans="20:21" x14ac:dyDescent="0.25">
      <c r="T1497" s="98"/>
      <c r="U1497" s="99"/>
    </row>
    <row r="1498" spans="20:21" x14ac:dyDescent="0.25">
      <c r="T1498" s="98"/>
      <c r="U1498" s="99"/>
    </row>
    <row r="1499" spans="20:21" x14ac:dyDescent="0.25">
      <c r="T1499" s="98"/>
      <c r="U1499" s="99"/>
    </row>
    <row r="1500" spans="20:21" x14ac:dyDescent="0.25">
      <c r="T1500" s="98"/>
      <c r="U1500" s="99"/>
    </row>
    <row r="1501" spans="20:21" x14ac:dyDescent="0.25">
      <c r="T1501" s="98"/>
      <c r="U1501" s="99"/>
    </row>
    <row r="1502" spans="20:21" x14ac:dyDescent="0.25">
      <c r="T1502" s="98"/>
      <c r="U1502" s="99"/>
    </row>
    <row r="1503" spans="20:21" x14ac:dyDescent="0.25">
      <c r="T1503" s="98"/>
      <c r="U1503" s="99"/>
    </row>
    <row r="1504" spans="20:21" x14ac:dyDescent="0.25">
      <c r="T1504" s="98"/>
      <c r="U1504" s="99"/>
    </row>
    <row r="1505" spans="20:21" x14ac:dyDescent="0.25">
      <c r="T1505" s="98"/>
      <c r="U1505" s="99"/>
    </row>
    <row r="1506" spans="20:21" x14ac:dyDescent="0.25">
      <c r="T1506" s="98"/>
      <c r="U1506" s="99"/>
    </row>
    <row r="1507" spans="20:21" x14ac:dyDescent="0.25">
      <c r="T1507" s="98"/>
      <c r="U1507" s="99"/>
    </row>
    <row r="1508" spans="20:21" x14ac:dyDescent="0.25">
      <c r="T1508" s="98"/>
      <c r="U1508" s="99"/>
    </row>
    <row r="1509" spans="20:21" x14ac:dyDescent="0.25">
      <c r="T1509" s="98"/>
      <c r="U1509" s="99"/>
    </row>
    <row r="1510" spans="20:21" x14ac:dyDescent="0.25">
      <c r="T1510" s="98"/>
      <c r="U1510" s="99"/>
    </row>
    <row r="1511" spans="20:21" x14ac:dyDescent="0.25">
      <c r="T1511" s="98"/>
      <c r="U1511" s="99"/>
    </row>
    <row r="1512" spans="20:21" x14ac:dyDescent="0.25">
      <c r="T1512" s="98"/>
      <c r="U1512" s="99"/>
    </row>
    <row r="1513" spans="20:21" x14ac:dyDescent="0.25">
      <c r="T1513" s="98"/>
      <c r="U1513" s="99"/>
    </row>
    <row r="1514" spans="20:21" x14ac:dyDescent="0.25">
      <c r="T1514" s="98"/>
      <c r="U1514" s="99"/>
    </row>
    <row r="1515" spans="20:21" x14ac:dyDescent="0.25">
      <c r="T1515" s="98"/>
      <c r="U1515" s="99"/>
    </row>
    <row r="1516" spans="20:21" x14ac:dyDescent="0.25">
      <c r="T1516" s="98"/>
      <c r="U1516" s="99"/>
    </row>
    <row r="1517" spans="20:21" x14ac:dyDescent="0.25">
      <c r="T1517" s="98"/>
      <c r="U1517" s="99"/>
    </row>
    <row r="1518" spans="20:21" x14ac:dyDescent="0.25">
      <c r="T1518" s="98"/>
      <c r="U1518" s="99"/>
    </row>
    <row r="1519" spans="20:21" x14ac:dyDescent="0.25">
      <c r="T1519" s="98"/>
      <c r="U1519" s="99"/>
    </row>
    <row r="1520" spans="20:21" x14ac:dyDescent="0.25">
      <c r="T1520" s="98"/>
      <c r="U1520" s="99"/>
    </row>
    <row r="1521" spans="20:21" x14ac:dyDescent="0.25">
      <c r="T1521" s="98"/>
      <c r="U1521" s="99"/>
    </row>
    <row r="1522" spans="20:21" x14ac:dyDescent="0.25">
      <c r="T1522" s="98"/>
      <c r="U1522" s="99"/>
    </row>
    <row r="1523" spans="20:21" x14ac:dyDescent="0.25">
      <c r="T1523" s="98"/>
      <c r="U1523" s="99"/>
    </row>
    <row r="1524" spans="20:21" x14ac:dyDescent="0.25">
      <c r="T1524" s="98"/>
      <c r="U1524" s="99"/>
    </row>
    <row r="1525" spans="20:21" x14ac:dyDescent="0.25">
      <c r="T1525" s="98"/>
      <c r="U1525" s="99"/>
    </row>
    <row r="1526" spans="20:21" x14ac:dyDescent="0.25">
      <c r="T1526" s="98"/>
      <c r="U1526" s="99"/>
    </row>
    <row r="1527" spans="20:21" x14ac:dyDescent="0.25">
      <c r="T1527" s="98"/>
      <c r="U1527" s="99"/>
    </row>
    <row r="1528" spans="20:21" x14ac:dyDescent="0.25">
      <c r="T1528" s="98"/>
      <c r="U1528" s="99"/>
    </row>
    <row r="1529" spans="20:21" x14ac:dyDescent="0.25">
      <c r="T1529" s="98"/>
      <c r="U1529" s="99"/>
    </row>
    <row r="1530" spans="20:21" x14ac:dyDescent="0.25">
      <c r="T1530" s="98"/>
      <c r="U1530" s="99"/>
    </row>
    <row r="1531" spans="20:21" x14ac:dyDescent="0.25">
      <c r="T1531" s="98"/>
      <c r="U1531" s="99"/>
    </row>
    <row r="1532" spans="20:21" x14ac:dyDescent="0.25">
      <c r="T1532" s="98"/>
      <c r="U1532" s="99"/>
    </row>
    <row r="1533" spans="20:21" x14ac:dyDescent="0.25">
      <c r="T1533" s="98"/>
      <c r="U1533" s="99"/>
    </row>
    <row r="1534" spans="20:21" x14ac:dyDescent="0.25">
      <c r="T1534" s="98"/>
      <c r="U1534" s="99"/>
    </row>
    <row r="1535" spans="20:21" x14ac:dyDescent="0.25">
      <c r="T1535" s="98"/>
      <c r="U1535" s="99"/>
    </row>
    <row r="1536" spans="20:21" x14ac:dyDescent="0.25">
      <c r="T1536" s="98"/>
      <c r="U1536" s="99"/>
    </row>
    <row r="1537" spans="20:21" x14ac:dyDescent="0.25">
      <c r="T1537" s="98"/>
      <c r="U1537" s="99"/>
    </row>
    <row r="1538" spans="20:21" x14ac:dyDescent="0.25">
      <c r="T1538" s="98"/>
      <c r="U1538" s="99"/>
    </row>
    <row r="1539" spans="20:21" x14ac:dyDescent="0.25">
      <c r="T1539" s="98"/>
      <c r="U1539" s="99"/>
    </row>
    <row r="1540" spans="20:21" x14ac:dyDescent="0.25">
      <c r="T1540" s="98"/>
      <c r="U1540" s="99"/>
    </row>
    <row r="1541" spans="20:21" x14ac:dyDescent="0.25">
      <c r="T1541" s="98"/>
      <c r="U1541" s="99"/>
    </row>
    <row r="1542" spans="20:21" x14ac:dyDescent="0.25">
      <c r="T1542" s="98"/>
      <c r="U1542" s="99"/>
    </row>
    <row r="1543" spans="20:21" x14ac:dyDescent="0.25">
      <c r="T1543" s="98"/>
      <c r="U1543" s="99"/>
    </row>
    <row r="1544" spans="20:21" x14ac:dyDescent="0.25">
      <c r="T1544" s="98"/>
      <c r="U1544" s="99"/>
    </row>
    <row r="1545" spans="20:21" x14ac:dyDescent="0.25">
      <c r="T1545" s="98"/>
      <c r="U1545" s="99"/>
    </row>
    <row r="1546" spans="20:21" x14ac:dyDescent="0.25">
      <c r="T1546" s="98"/>
      <c r="U1546" s="99"/>
    </row>
    <row r="1547" spans="20:21" x14ac:dyDescent="0.25">
      <c r="T1547" s="98"/>
      <c r="U1547" s="99"/>
    </row>
    <row r="1548" spans="20:21" x14ac:dyDescent="0.25">
      <c r="T1548" s="98"/>
      <c r="U1548" s="99"/>
    </row>
    <row r="1549" spans="20:21" x14ac:dyDescent="0.25">
      <c r="T1549" s="98"/>
      <c r="U1549" s="99"/>
    </row>
    <row r="1550" spans="20:21" x14ac:dyDescent="0.25">
      <c r="T1550" s="98"/>
      <c r="U1550" s="99"/>
    </row>
    <row r="1551" spans="20:21" x14ac:dyDescent="0.25">
      <c r="T1551" s="98"/>
      <c r="U1551" s="99"/>
    </row>
    <row r="1552" spans="20:21" x14ac:dyDescent="0.25">
      <c r="T1552" s="98"/>
      <c r="U1552" s="99"/>
    </row>
    <row r="1553" spans="20:21" x14ac:dyDescent="0.25">
      <c r="T1553" s="98"/>
      <c r="U1553" s="99"/>
    </row>
    <row r="1554" spans="20:21" x14ac:dyDescent="0.25">
      <c r="T1554" s="98"/>
      <c r="U1554" s="99"/>
    </row>
    <row r="1555" spans="20:21" x14ac:dyDescent="0.25">
      <c r="T1555" s="98"/>
      <c r="U1555" s="99"/>
    </row>
    <row r="1556" spans="20:21" x14ac:dyDescent="0.25">
      <c r="T1556" s="98"/>
      <c r="U1556" s="99"/>
    </row>
    <row r="1557" spans="20:21" x14ac:dyDescent="0.25">
      <c r="T1557" s="98"/>
      <c r="U1557" s="99"/>
    </row>
    <row r="1558" spans="20:21" x14ac:dyDescent="0.25">
      <c r="T1558" s="98"/>
      <c r="U1558" s="99"/>
    </row>
    <row r="1559" spans="20:21" x14ac:dyDescent="0.25">
      <c r="T1559" s="98"/>
      <c r="U1559" s="99"/>
    </row>
    <row r="1560" spans="20:21" x14ac:dyDescent="0.25">
      <c r="T1560" s="98"/>
      <c r="U1560" s="99"/>
    </row>
    <row r="1561" spans="20:21" x14ac:dyDescent="0.25">
      <c r="T1561" s="98"/>
      <c r="U1561" s="99"/>
    </row>
    <row r="1562" spans="20:21" x14ac:dyDescent="0.25">
      <c r="T1562" s="98"/>
      <c r="U1562" s="99"/>
    </row>
    <row r="1563" spans="20:21" x14ac:dyDescent="0.25">
      <c r="T1563" s="98"/>
      <c r="U1563" s="99"/>
    </row>
    <row r="1564" spans="20:21" x14ac:dyDescent="0.25">
      <c r="T1564" s="98"/>
      <c r="U1564" s="99"/>
    </row>
    <row r="1565" spans="20:21" x14ac:dyDescent="0.25">
      <c r="T1565" s="98"/>
      <c r="U1565" s="99"/>
    </row>
    <row r="1566" spans="20:21" x14ac:dyDescent="0.25">
      <c r="T1566" s="98"/>
      <c r="U1566" s="99"/>
    </row>
    <row r="1567" spans="20:21" x14ac:dyDescent="0.25">
      <c r="T1567" s="98"/>
      <c r="U1567" s="99"/>
    </row>
    <row r="1568" spans="20:21" x14ac:dyDescent="0.25">
      <c r="T1568" s="98"/>
      <c r="U1568" s="99"/>
    </row>
    <row r="1569" spans="20:21" x14ac:dyDescent="0.25">
      <c r="T1569" s="98"/>
      <c r="U1569" s="99"/>
    </row>
    <row r="1570" spans="20:21" x14ac:dyDescent="0.25">
      <c r="T1570" s="98"/>
      <c r="U1570" s="99"/>
    </row>
    <row r="1571" spans="20:21" x14ac:dyDescent="0.25">
      <c r="T1571" s="98"/>
      <c r="U1571" s="99"/>
    </row>
    <row r="1572" spans="20:21" x14ac:dyDescent="0.25">
      <c r="T1572" s="98"/>
      <c r="U1572" s="99"/>
    </row>
    <row r="1573" spans="20:21" x14ac:dyDescent="0.25">
      <c r="T1573" s="98"/>
      <c r="U1573" s="99"/>
    </row>
    <row r="1574" spans="20:21" x14ac:dyDescent="0.25">
      <c r="T1574" s="98"/>
      <c r="U1574" s="99"/>
    </row>
    <row r="1575" spans="20:21" x14ac:dyDescent="0.25">
      <c r="T1575" s="98"/>
      <c r="U1575" s="99"/>
    </row>
    <row r="1576" spans="20:21" x14ac:dyDescent="0.25">
      <c r="T1576" s="98"/>
      <c r="U1576" s="99"/>
    </row>
    <row r="1577" spans="20:21" x14ac:dyDescent="0.25">
      <c r="T1577" s="98"/>
      <c r="U1577" s="99"/>
    </row>
    <row r="1578" spans="20:21" x14ac:dyDescent="0.25">
      <c r="T1578" s="98"/>
      <c r="U1578" s="99"/>
    </row>
    <row r="1579" spans="20:21" x14ac:dyDescent="0.25">
      <c r="T1579" s="98"/>
      <c r="U1579" s="99"/>
    </row>
    <row r="1580" spans="20:21" x14ac:dyDescent="0.25">
      <c r="T1580" s="98"/>
      <c r="U1580" s="99"/>
    </row>
    <row r="1581" spans="20:21" x14ac:dyDescent="0.25">
      <c r="T1581" s="98"/>
      <c r="U1581" s="99"/>
    </row>
    <row r="1582" spans="20:21" x14ac:dyDescent="0.25">
      <c r="T1582" s="98"/>
      <c r="U1582" s="99"/>
    </row>
    <row r="1583" spans="20:21" x14ac:dyDescent="0.25">
      <c r="T1583" s="98"/>
      <c r="U1583" s="99"/>
    </row>
    <row r="1584" spans="20:21" x14ac:dyDescent="0.25">
      <c r="T1584" s="98"/>
      <c r="U1584" s="99"/>
    </row>
    <row r="1585" spans="20:21" x14ac:dyDescent="0.25">
      <c r="T1585" s="98"/>
      <c r="U1585" s="99"/>
    </row>
    <row r="1586" spans="20:21" x14ac:dyDescent="0.25">
      <c r="T1586" s="98"/>
      <c r="U1586" s="99"/>
    </row>
    <row r="1587" spans="20:21" x14ac:dyDescent="0.25">
      <c r="T1587" s="98"/>
      <c r="U1587" s="99"/>
    </row>
    <row r="1588" spans="20:21" x14ac:dyDescent="0.25">
      <c r="T1588" s="98"/>
      <c r="U1588" s="99"/>
    </row>
    <row r="1589" spans="20:21" x14ac:dyDescent="0.25">
      <c r="T1589" s="98"/>
      <c r="U1589" s="99"/>
    </row>
    <row r="1590" spans="20:21" x14ac:dyDescent="0.25">
      <c r="T1590" s="98"/>
      <c r="U1590" s="99"/>
    </row>
    <row r="1591" spans="20:21" x14ac:dyDescent="0.25">
      <c r="T1591" s="98"/>
      <c r="U1591" s="99"/>
    </row>
    <row r="1592" spans="20:21" x14ac:dyDescent="0.25">
      <c r="T1592" s="98"/>
      <c r="U1592" s="99"/>
    </row>
    <row r="1593" spans="20:21" x14ac:dyDescent="0.25">
      <c r="T1593" s="98"/>
      <c r="U1593" s="99"/>
    </row>
    <row r="1594" spans="20:21" x14ac:dyDescent="0.25">
      <c r="T1594" s="98"/>
      <c r="U1594" s="99"/>
    </row>
    <row r="1595" spans="20:21" x14ac:dyDescent="0.25">
      <c r="T1595" s="98"/>
      <c r="U1595" s="99"/>
    </row>
    <row r="1596" spans="20:21" x14ac:dyDescent="0.25">
      <c r="T1596" s="98"/>
      <c r="U1596" s="99"/>
    </row>
    <row r="1597" spans="20:21" x14ac:dyDescent="0.25">
      <c r="T1597" s="98"/>
      <c r="U1597" s="99"/>
    </row>
    <row r="1598" spans="20:21" x14ac:dyDescent="0.25">
      <c r="T1598" s="98"/>
      <c r="U1598" s="99"/>
    </row>
    <row r="1599" spans="20:21" x14ac:dyDescent="0.25">
      <c r="T1599" s="98"/>
      <c r="U1599" s="99"/>
    </row>
    <row r="1600" spans="20:21" x14ac:dyDescent="0.25">
      <c r="T1600" s="98"/>
      <c r="U1600" s="99"/>
    </row>
    <row r="1601" spans="20:21" x14ac:dyDescent="0.25">
      <c r="T1601" s="98"/>
      <c r="U1601" s="99"/>
    </row>
    <row r="1602" spans="20:21" x14ac:dyDescent="0.25">
      <c r="T1602" s="98"/>
      <c r="U1602" s="99"/>
    </row>
    <row r="1603" spans="20:21" x14ac:dyDescent="0.25">
      <c r="T1603" s="98"/>
      <c r="U1603" s="99"/>
    </row>
    <row r="1604" spans="20:21" x14ac:dyDescent="0.25">
      <c r="T1604" s="98"/>
      <c r="U1604" s="99"/>
    </row>
    <row r="1605" spans="20:21" x14ac:dyDescent="0.25">
      <c r="T1605" s="98"/>
      <c r="U1605" s="99"/>
    </row>
    <row r="1606" spans="20:21" x14ac:dyDescent="0.25">
      <c r="T1606" s="98"/>
      <c r="U1606" s="99"/>
    </row>
    <row r="1607" spans="20:21" x14ac:dyDescent="0.25">
      <c r="T1607" s="98"/>
      <c r="U1607" s="99"/>
    </row>
    <row r="1608" spans="20:21" x14ac:dyDescent="0.25">
      <c r="T1608" s="98"/>
      <c r="U1608" s="99"/>
    </row>
    <row r="1609" spans="20:21" x14ac:dyDescent="0.25">
      <c r="T1609" s="98"/>
      <c r="U1609" s="99"/>
    </row>
    <row r="1610" spans="20:21" x14ac:dyDescent="0.25">
      <c r="T1610" s="98"/>
      <c r="U1610" s="99"/>
    </row>
    <row r="1611" spans="20:21" x14ac:dyDescent="0.25">
      <c r="T1611" s="98"/>
      <c r="U1611" s="99"/>
    </row>
    <row r="1612" spans="20:21" x14ac:dyDescent="0.25">
      <c r="T1612" s="98"/>
      <c r="U1612" s="99"/>
    </row>
    <row r="1613" spans="20:21" x14ac:dyDescent="0.25">
      <c r="T1613" s="98"/>
      <c r="U1613" s="99"/>
    </row>
    <row r="1614" spans="20:21" x14ac:dyDescent="0.25">
      <c r="T1614" s="98"/>
      <c r="U1614" s="99"/>
    </row>
    <row r="1615" spans="20:21" x14ac:dyDescent="0.25">
      <c r="T1615" s="98"/>
      <c r="U1615" s="99"/>
    </row>
    <row r="1616" spans="20:21" x14ac:dyDescent="0.25">
      <c r="T1616" s="98"/>
      <c r="U1616" s="99"/>
    </row>
    <row r="1617" spans="20:21" x14ac:dyDescent="0.25">
      <c r="T1617" s="98"/>
      <c r="U1617" s="99"/>
    </row>
    <row r="1618" spans="20:21" x14ac:dyDescent="0.25">
      <c r="T1618" s="98"/>
      <c r="U1618" s="99"/>
    </row>
    <row r="1619" spans="20:21" x14ac:dyDescent="0.25">
      <c r="T1619" s="98"/>
      <c r="U1619" s="99"/>
    </row>
    <row r="1620" spans="20:21" x14ac:dyDescent="0.25">
      <c r="T1620" s="98"/>
      <c r="U1620" s="99"/>
    </row>
    <row r="1621" spans="20:21" x14ac:dyDescent="0.25">
      <c r="T1621" s="98"/>
      <c r="U1621" s="99"/>
    </row>
    <row r="1622" spans="20:21" x14ac:dyDescent="0.25">
      <c r="T1622" s="98"/>
      <c r="U1622" s="99"/>
    </row>
    <row r="1623" spans="20:21" x14ac:dyDescent="0.25">
      <c r="T1623" s="98"/>
      <c r="U1623" s="99"/>
    </row>
    <row r="1624" spans="20:21" x14ac:dyDescent="0.25">
      <c r="T1624" s="98"/>
      <c r="U1624" s="99"/>
    </row>
    <row r="1625" spans="20:21" x14ac:dyDescent="0.25">
      <c r="T1625" s="98"/>
      <c r="U1625" s="99"/>
    </row>
    <row r="1626" spans="20:21" x14ac:dyDescent="0.25">
      <c r="T1626" s="98"/>
      <c r="U1626" s="99"/>
    </row>
    <row r="1627" spans="20:21" x14ac:dyDescent="0.25">
      <c r="T1627" s="98"/>
      <c r="U1627" s="99"/>
    </row>
    <row r="1628" spans="20:21" x14ac:dyDescent="0.25">
      <c r="T1628" s="98"/>
      <c r="U1628" s="99"/>
    </row>
    <row r="1629" spans="20:21" x14ac:dyDescent="0.25">
      <c r="T1629" s="98"/>
      <c r="U1629" s="99"/>
    </row>
    <row r="1630" spans="20:21" x14ac:dyDescent="0.25">
      <c r="T1630" s="98"/>
      <c r="U1630" s="99"/>
    </row>
    <row r="1631" spans="20:21" x14ac:dyDescent="0.25">
      <c r="T1631" s="98"/>
      <c r="U1631" s="99"/>
    </row>
    <row r="1632" spans="20:21" x14ac:dyDescent="0.25">
      <c r="T1632" s="98"/>
      <c r="U1632" s="99"/>
    </row>
    <row r="1633" spans="20:21" x14ac:dyDescent="0.25">
      <c r="T1633" s="98"/>
      <c r="U1633" s="99"/>
    </row>
    <row r="1634" spans="20:21" x14ac:dyDescent="0.25">
      <c r="T1634" s="98"/>
      <c r="U1634" s="99"/>
    </row>
    <row r="1635" spans="20:21" x14ac:dyDescent="0.25">
      <c r="T1635" s="98"/>
      <c r="U1635" s="99"/>
    </row>
    <row r="1636" spans="20:21" x14ac:dyDescent="0.25">
      <c r="T1636" s="98"/>
      <c r="U1636" s="99"/>
    </row>
    <row r="1637" spans="20:21" x14ac:dyDescent="0.25">
      <c r="T1637" s="98"/>
      <c r="U1637" s="99"/>
    </row>
    <row r="1638" spans="20:21" x14ac:dyDescent="0.25">
      <c r="T1638" s="98"/>
      <c r="U1638" s="99"/>
    </row>
    <row r="1639" spans="20:21" x14ac:dyDescent="0.25">
      <c r="T1639" s="98"/>
      <c r="U1639" s="99"/>
    </row>
    <row r="1640" spans="20:21" x14ac:dyDescent="0.25">
      <c r="T1640" s="98"/>
      <c r="U1640" s="99"/>
    </row>
    <row r="1641" spans="20:21" x14ac:dyDescent="0.25">
      <c r="T1641" s="98"/>
      <c r="U1641" s="99"/>
    </row>
    <row r="1642" spans="20:21" x14ac:dyDescent="0.25">
      <c r="T1642" s="98"/>
      <c r="U1642" s="99"/>
    </row>
    <row r="1643" spans="20:21" x14ac:dyDescent="0.25">
      <c r="T1643" s="98"/>
      <c r="U1643" s="99"/>
    </row>
    <row r="1644" spans="20:21" x14ac:dyDescent="0.25">
      <c r="T1644" s="98"/>
      <c r="U1644" s="99"/>
    </row>
    <row r="1645" spans="20:21" x14ac:dyDescent="0.25">
      <c r="T1645" s="98"/>
      <c r="U1645" s="99"/>
    </row>
    <row r="1646" spans="20:21" x14ac:dyDescent="0.25">
      <c r="T1646" s="98"/>
      <c r="U1646" s="99"/>
    </row>
    <row r="1647" spans="20:21" x14ac:dyDescent="0.25">
      <c r="T1647" s="98"/>
      <c r="U1647" s="99"/>
    </row>
    <row r="1648" spans="20:21" x14ac:dyDescent="0.25">
      <c r="T1648" s="98"/>
      <c r="U1648" s="99"/>
    </row>
    <row r="1649" spans="20:21" x14ac:dyDescent="0.25">
      <c r="T1649" s="98"/>
      <c r="U1649" s="99"/>
    </row>
    <row r="1650" spans="20:21" x14ac:dyDescent="0.25">
      <c r="T1650" s="98"/>
      <c r="U1650" s="99"/>
    </row>
    <row r="1651" spans="20:21" x14ac:dyDescent="0.25">
      <c r="T1651" s="98"/>
      <c r="U1651" s="99"/>
    </row>
    <row r="1652" spans="20:21" x14ac:dyDescent="0.25">
      <c r="T1652" s="98"/>
      <c r="U1652" s="99"/>
    </row>
    <row r="1653" spans="20:21" x14ac:dyDescent="0.25">
      <c r="T1653" s="98"/>
      <c r="U1653" s="99"/>
    </row>
    <row r="1654" spans="20:21" x14ac:dyDescent="0.25">
      <c r="T1654" s="98"/>
      <c r="U1654" s="99"/>
    </row>
    <row r="1655" spans="20:21" x14ac:dyDescent="0.25">
      <c r="T1655" s="98"/>
      <c r="U1655" s="99"/>
    </row>
    <row r="1656" spans="20:21" x14ac:dyDescent="0.25">
      <c r="T1656" s="98"/>
      <c r="U1656" s="99"/>
    </row>
    <row r="1657" spans="20:21" x14ac:dyDescent="0.25">
      <c r="T1657" s="98"/>
      <c r="U1657" s="99"/>
    </row>
    <row r="1658" spans="20:21" x14ac:dyDescent="0.25">
      <c r="T1658" s="98"/>
      <c r="U1658" s="99"/>
    </row>
    <row r="1659" spans="20:21" x14ac:dyDescent="0.25">
      <c r="T1659" s="98"/>
      <c r="U1659" s="99"/>
    </row>
    <row r="1660" spans="20:21" x14ac:dyDescent="0.25">
      <c r="T1660" s="98"/>
      <c r="U1660" s="99"/>
    </row>
    <row r="1661" spans="20:21" x14ac:dyDescent="0.25">
      <c r="T1661" s="98"/>
      <c r="U1661" s="99"/>
    </row>
    <row r="1662" spans="20:21" x14ac:dyDescent="0.25">
      <c r="T1662" s="98"/>
      <c r="U1662" s="99"/>
    </row>
    <row r="1663" spans="20:21" x14ac:dyDescent="0.25">
      <c r="T1663" s="98"/>
      <c r="U1663" s="99"/>
    </row>
    <row r="1664" spans="20:21" x14ac:dyDescent="0.25">
      <c r="T1664" s="98"/>
      <c r="U1664" s="99"/>
    </row>
    <row r="1665" spans="20:21" x14ac:dyDescent="0.25">
      <c r="T1665" s="98"/>
      <c r="U1665" s="99"/>
    </row>
    <row r="1666" spans="20:21" x14ac:dyDescent="0.25">
      <c r="T1666" s="98"/>
      <c r="U1666" s="99"/>
    </row>
    <row r="1667" spans="20:21" x14ac:dyDescent="0.25">
      <c r="T1667" s="98"/>
      <c r="U1667" s="99"/>
    </row>
    <row r="1668" spans="20:21" x14ac:dyDescent="0.25">
      <c r="T1668" s="98"/>
      <c r="U1668" s="99"/>
    </row>
    <row r="1669" spans="20:21" x14ac:dyDescent="0.25">
      <c r="T1669" s="98"/>
      <c r="U1669" s="99"/>
    </row>
    <row r="1670" spans="20:21" x14ac:dyDescent="0.25">
      <c r="T1670" s="98"/>
      <c r="U1670" s="99"/>
    </row>
    <row r="1671" spans="20:21" x14ac:dyDescent="0.25">
      <c r="T1671" s="98"/>
      <c r="U1671" s="99"/>
    </row>
    <row r="1672" spans="20:21" x14ac:dyDescent="0.25">
      <c r="T1672" s="98"/>
      <c r="U1672" s="99"/>
    </row>
    <row r="1673" spans="20:21" x14ac:dyDescent="0.25">
      <c r="T1673" s="98"/>
      <c r="U1673" s="99"/>
    </row>
    <row r="1674" spans="20:21" x14ac:dyDescent="0.25">
      <c r="T1674" s="98"/>
      <c r="U1674" s="99"/>
    </row>
    <row r="1675" spans="20:21" x14ac:dyDescent="0.25">
      <c r="T1675" s="98"/>
      <c r="U1675" s="99"/>
    </row>
    <row r="1676" spans="20:21" x14ac:dyDescent="0.25">
      <c r="T1676" s="98"/>
      <c r="U1676" s="99"/>
    </row>
    <row r="1677" spans="20:21" x14ac:dyDescent="0.25">
      <c r="T1677" s="98"/>
      <c r="U1677" s="99"/>
    </row>
    <row r="1678" spans="20:21" x14ac:dyDescent="0.25">
      <c r="T1678" s="98"/>
      <c r="U1678" s="99"/>
    </row>
    <row r="1679" spans="20:21" x14ac:dyDescent="0.25">
      <c r="T1679" s="98"/>
      <c r="U1679" s="99"/>
    </row>
    <row r="1680" spans="20:21" x14ac:dyDescent="0.25">
      <c r="T1680" s="98"/>
      <c r="U1680" s="99"/>
    </row>
    <row r="1681" spans="20:21" x14ac:dyDescent="0.25">
      <c r="T1681" s="98"/>
      <c r="U1681" s="99"/>
    </row>
    <row r="1682" spans="20:21" x14ac:dyDescent="0.25">
      <c r="T1682" s="98"/>
      <c r="U1682" s="99"/>
    </row>
    <row r="1683" spans="20:21" x14ac:dyDescent="0.25">
      <c r="T1683" s="98"/>
      <c r="U1683" s="99"/>
    </row>
    <row r="1684" spans="20:21" x14ac:dyDescent="0.25">
      <c r="T1684" s="98"/>
      <c r="U1684" s="99"/>
    </row>
    <row r="1685" spans="20:21" x14ac:dyDescent="0.25">
      <c r="T1685" s="98"/>
      <c r="U1685" s="99"/>
    </row>
    <row r="1686" spans="20:21" x14ac:dyDescent="0.25">
      <c r="T1686" s="98"/>
      <c r="U1686" s="99"/>
    </row>
    <row r="1687" spans="20:21" x14ac:dyDescent="0.25">
      <c r="T1687" s="98"/>
      <c r="U1687" s="99"/>
    </row>
    <row r="1688" spans="20:21" x14ac:dyDescent="0.25">
      <c r="T1688" s="98"/>
      <c r="U1688" s="99"/>
    </row>
    <row r="1689" spans="20:21" x14ac:dyDescent="0.25">
      <c r="T1689" s="98"/>
      <c r="U1689" s="99"/>
    </row>
    <row r="1690" spans="20:21" x14ac:dyDescent="0.25">
      <c r="T1690" s="98"/>
      <c r="U1690" s="99"/>
    </row>
    <row r="1691" spans="20:21" x14ac:dyDescent="0.25">
      <c r="T1691" s="98"/>
      <c r="U1691" s="99"/>
    </row>
    <row r="1692" spans="20:21" x14ac:dyDescent="0.25">
      <c r="T1692" s="98"/>
      <c r="U1692" s="99"/>
    </row>
    <row r="1693" spans="20:21" x14ac:dyDescent="0.25">
      <c r="T1693" s="98"/>
      <c r="U1693" s="99"/>
    </row>
    <row r="1694" spans="20:21" x14ac:dyDescent="0.25">
      <c r="T1694" s="98"/>
      <c r="U1694" s="99"/>
    </row>
    <row r="1695" spans="20:21" x14ac:dyDescent="0.25">
      <c r="T1695" s="98"/>
      <c r="U1695" s="99"/>
    </row>
    <row r="1696" spans="20:21" x14ac:dyDescent="0.25">
      <c r="T1696" s="98"/>
      <c r="U1696" s="99"/>
    </row>
    <row r="1697" spans="20:21" x14ac:dyDescent="0.25">
      <c r="T1697" s="98"/>
      <c r="U1697" s="99"/>
    </row>
    <row r="1698" spans="20:21" x14ac:dyDescent="0.25">
      <c r="T1698" s="98"/>
      <c r="U1698" s="99"/>
    </row>
    <row r="1699" spans="20:21" x14ac:dyDescent="0.25">
      <c r="T1699" s="98"/>
      <c r="U1699" s="99"/>
    </row>
    <row r="1700" spans="20:21" x14ac:dyDescent="0.25">
      <c r="T1700" s="98"/>
      <c r="U1700" s="99"/>
    </row>
    <row r="1701" spans="20:21" x14ac:dyDescent="0.25">
      <c r="T1701" s="98"/>
      <c r="U1701" s="99"/>
    </row>
    <row r="1702" spans="20:21" x14ac:dyDescent="0.25">
      <c r="T1702" s="98"/>
      <c r="U1702" s="99"/>
    </row>
    <row r="1703" spans="20:21" x14ac:dyDescent="0.25">
      <c r="T1703" s="98"/>
      <c r="U1703" s="99"/>
    </row>
    <row r="1704" spans="20:21" x14ac:dyDescent="0.25">
      <c r="T1704" s="98"/>
      <c r="U1704" s="99"/>
    </row>
    <row r="1705" spans="20:21" x14ac:dyDescent="0.25">
      <c r="T1705" s="98"/>
      <c r="U1705" s="99"/>
    </row>
    <row r="1706" spans="20:21" x14ac:dyDescent="0.25">
      <c r="T1706" s="98"/>
      <c r="U1706" s="99"/>
    </row>
    <row r="1707" spans="20:21" x14ac:dyDescent="0.25">
      <c r="T1707" s="98"/>
      <c r="U1707" s="99"/>
    </row>
    <row r="1708" spans="20:21" x14ac:dyDescent="0.25">
      <c r="T1708" s="98"/>
      <c r="U1708" s="99"/>
    </row>
    <row r="1709" spans="20:21" x14ac:dyDescent="0.25">
      <c r="T1709" s="98"/>
      <c r="U1709" s="99"/>
    </row>
    <row r="1710" spans="20:21" x14ac:dyDescent="0.25">
      <c r="T1710" s="98"/>
      <c r="U1710" s="99"/>
    </row>
    <row r="1711" spans="20:21" x14ac:dyDescent="0.25">
      <c r="T1711" s="98"/>
      <c r="U1711" s="99"/>
    </row>
    <row r="1712" spans="20:21" x14ac:dyDescent="0.25">
      <c r="T1712" s="98"/>
      <c r="U1712" s="99"/>
    </row>
    <row r="1713" spans="20:21" x14ac:dyDescent="0.25">
      <c r="T1713" s="98"/>
      <c r="U1713" s="99"/>
    </row>
    <row r="1714" spans="20:21" x14ac:dyDescent="0.25">
      <c r="T1714" s="98"/>
      <c r="U1714" s="99"/>
    </row>
    <row r="1715" spans="20:21" x14ac:dyDescent="0.25">
      <c r="T1715" s="98"/>
      <c r="U1715" s="99"/>
    </row>
    <row r="1716" spans="20:21" x14ac:dyDescent="0.25">
      <c r="T1716" s="98"/>
      <c r="U1716" s="99"/>
    </row>
    <row r="1717" spans="20:21" x14ac:dyDescent="0.25">
      <c r="T1717" s="98"/>
      <c r="U1717" s="99"/>
    </row>
    <row r="1718" spans="20:21" x14ac:dyDescent="0.25">
      <c r="T1718" s="98"/>
      <c r="U1718" s="99"/>
    </row>
    <row r="1719" spans="20:21" x14ac:dyDescent="0.25">
      <c r="T1719" s="98"/>
      <c r="U1719" s="99"/>
    </row>
    <row r="1720" spans="20:21" x14ac:dyDescent="0.25">
      <c r="T1720" s="98"/>
      <c r="U1720" s="99"/>
    </row>
    <row r="1721" spans="20:21" x14ac:dyDescent="0.25">
      <c r="T1721" s="98"/>
      <c r="U1721" s="99"/>
    </row>
    <row r="1722" spans="20:21" x14ac:dyDescent="0.25">
      <c r="T1722" s="98"/>
      <c r="U1722" s="99"/>
    </row>
    <row r="1723" spans="20:21" x14ac:dyDescent="0.25">
      <c r="T1723" s="98"/>
      <c r="U1723" s="99"/>
    </row>
    <row r="1724" spans="20:21" x14ac:dyDescent="0.25">
      <c r="T1724" s="98"/>
      <c r="U1724" s="99"/>
    </row>
    <row r="1725" spans="20:21" x14ac:dyDescent="0.25">
      <c r="T1725" s="98"/>
      <c r="U1725" s="99"/>
    </row>
    <row r="1726" spans="20:21" x14ac:dyDescent="0.25">
      <c r="T1726" s="98"/>
      <c r="U1726" s="99"/>
    </row>
    <row r="1727" spans="20:21" x14ac:dyDescent="0.25">
      <c r="T1727" s="98"/>
      <c r="U1727" s="99"/>
    </row>
    <row r="1728" spans="20:21" x14ac:dyDescent="0.25">
      <c r="T1728" s="98"/>
      <c r="U1728" s="99"/>
    </row>
    <row r="1729" spans="20:21" x14ac:dyDescent="0.25">
      <c r="T1729" s="98"/>
      <c r="U1729" s="99"/>
    </row>
    <row r="1730" spans="20:21" x14ac:dyDescent="0.25">
      <c r="T1730" s="98"/>
      <c r="U1730" s="99"/>
    </row>
    <row r="1731" spans="20:21" x14ac:dyDescent="0.25">
      <c r="T1731" s="98"/>
      <c r="U1731" s="99"/>
    </row>
    <row r="1732" spans="20:21" x14ac:dyDescent="0.25">
      <c r="T1732" s="98"/>
      <c r="U1732" s="99"/>
    </row>
    <row r="1733" spans="20:21" x14ac:dyDescent="0.25">
      <c r="T1733" s="98"/>
      <c r="U1733" s="99"/>
    </row>
    <row r="1734" spans="20:21" x14ac:dyDescent="0.25">
      <c r="T1734" s="98"/>
      <c r="U1734" s="99"/>
    </row>
    <row r="1735" spans="20:21" x14ac:dyDescent="0.25">
      <c r="T1735" s="98"/>
      <c r="U1735" s="99"/>
    </row>
    <row r="1736" spans="20:21" x14ac:dyDescent="0.25">
      <c r="T1736" s="98"/>
      <c r="U1736" s="99"/>
    </row>
    <row r="1737" spans="20:21" x14ac:dyDescent="0.25">
      <c r="T1737" s="98"/>
      <c r="U1737" s="99"/>
    </row>
    <row r="1738" spans="20:21" x14ac:dyDescent="0.25">
      <c r="T1738" s="98"/>
      <c r="U1738" s="99"/>
    </row>
    <row r="1739" spans="20:21" x14ac:dyDescent="0.25">
      <c r="T1739" s="98"/>
      <c r="U1739" s="99"/>
    </row>
    <row r="1740" spans="20:21" x14ac:dyDescent="0.25">
      <c r="T1740" s="98"/>
      <c r="U1740" s="99"/>
    </row>
    <row r="1741" spans="20:21" x14ac:dyDescent="0.25">
      <c r="T1741" s="98"/>
      <c r="U1741" s="99"/>
    </row>
    <row r="1742" spans="20:21" x14ac:dyDescent="0.25">
      <c r="T1742" s="98"/>
      <c r="U1742" s="99"/>
    </row>
    <row r="1743" spans="20:21" x14ac:dyDescent="0.25">
      <c r="T1743" s="98"/>
      <c r="U1743" s="99"/>
    </row>
    <row r="1744" spans="20:21" x14ac:dyDescent="0.25">
      <c r="T1744" s="98"/>
      <c r="U1744" s="99"/>
    </row>
    <row r="1745" spans="20:21" x14ac:dyDescent="0.25">
      <c r="T1745" s="98"/>
      <c r="U1745" s="99"/>
    </row>
    <row r="1746" spans="20:21" x14ac:dyDescent="0.25">
      <c r="T1746" s="98"/>
      <c r="U1746" s="99"/>
    </row>
    <row r="1747" spans="20:21" x14ac:dyDescent="0.25">
      <c r="T1747" s="98"/>
      <c r="U1747" s="99"/>
    </row>
    <row r="1748" spans="20:21" x14ac:dyDescent="0.25">
      <c r="T1748" s="98"/>
      <c r="U1748" s="99"/>
    </row>
    <row r="1749" spans="20:21" x14ac:dyDescent="0.25">
      <c r="T1749" s="98"/>
      <c r="U1749" s="99"/>
    </row>
    <row r="1750" spans="20:21" x14ac:dyDescent="0.25">
      <c r="T1750" s="98"/>
      <c r="U1750" s="99"/>
    </row>
    <row r="1751" spans="20:21" x14ac:dyDescent="0.25">
      <c r="T1751" s="98"/>
      <c r="U1751" s="99"/>
    </row>
    <row r="1752" spans="20:21" x14ac:dyDescent="0.25">
      <c r="T1752" s="98"/>
      <c r="U1752" s="99"/>
    </row>
    <row r="1753" spans="20:21" x14ac:dyDescent="0.25">
      <c r="T1753" s="98"/>
      <c r="U1753" s="99"/>
    </row>
    <row r="1754" spans="20:21" x14ac:dyDescent="0.25">
      <c r="T1754" s="98"/>
      <c r="U1754" s="99"/>
    </row>
    <row r="1755" spans="20:21" x14ac:dyDescent="0.25">
      <c r="T1755" s="98"/>
      <c r="U1755" s="99"/>
    </row>
    <row r="1756" spans="20:21" x14ac:dyDescent="0.25">
      <c r="T1756" s="98"/>
      <c r="U1756" s="99"/>
    </row>
    <row r="1757" spans="20:21" x14ac:dyDescent="0.25">
      <c r="T1757" s="98"/>
      <c r="U1757" s="99"/>
    </row>
    <row r="1758" spans="20:21" x14ac:dyDescent="0.25">
      <c r="T1758" s="98"/>
      <c r="U1758" s="99"/>
    </row>
    <row r="1759" spans="20:21" x14ac:dyDescent="0.25">
      <c r="T1759" s="98"/>
      <c r="U1759" s="99"/>
    </row>
    <row r="1760" spans="20:21" x14ac:dyDescent="0.25">
      <c r="T1760" s="98"/>
      <c r="U1760" s="99"/>
    </row>
    <row r="1761" spans="20:21" x14ac:dyDescent="0.25">
      <c r="T1761" s="98"/>
      <c r="U1761" s="99"/>
    </row>
    <row r="1762" spans="20:21" x14ac:dyDescent="0.25">
      <c r="T1762" s="98"/>
      <c r="U1762" s="99"/>
    </row>
    <row r="1763" spans="20:21" x14ac:dyDescent="0.25">
      <c r="T1763" s="98"/>
      <c r="U1763" s="99"/>
    </row>
    <row r="1764" spans="20:21" x14ac:dyDescent="0.25">
      <c r="T1764" s="98"/>
      <c r="U1764" s="99"/>
    </row>
    <row r="1765" spans="20:21" x14ac:dyDescent="0.25">
      <c r="T1765" s="98"/>
      <c r="U1765" s="99"/>
    </row>
    <row r="1766" spans="20:21" x14ac:dyDescent="0.25">
      <c r="T1766" s="98"/>
      <c r="U1766" s="99"/>
    </row>
    <row r="1767" spans="20:21" x14ac:dyDescent="0.25">
      <c r="T1767" s="98"/>
      <c r="U1767" s="99"/>
    </row>
    <row r="1768" spans="20:21" x14ac:dyDescent="0.25">
      <c r="T1768" s="98"/>
      <c r="U1768" s="99"/>
    </row>
    <row r="1769" spans="20:21" x14ac:dyDescent="0.25">
      <c r="T1769" s="98"/>
      <c r="U1769" s="99"/>
    </row>
    <row r="1770" spans="20:21" x14ac:dyDescent="0.25">
      <c r="T1770" s="98"/>
      <c r="U1770" s="99"/>
    </row>
    <row r="1771" spans="20:21" x14ac:dyDescent="0.25">
      <c r="T1771" s="98"/>
      <c r="U1771" s="99"/>
    </row>
    <row r="1772" spans="20:21" x14ac:dyDescent="0.25">
      <c r="T1772" s="98"/>
      <c r="U1772" s="99"/>
    </row>
    <row r="1773" spans="20:21" x14ac:dyDescent="0.25">
      <c r="T1773" s="98"/>
      <c r="U1773" s="99"/>
    </row>
    <row r="1774" spans="20:21" x14ac:dyDescent="0.25">
      <c r="T1774" s="98"/>
      <c r="U1774" s="99"/>
    </row>
    <row r="1775" spans="20:21" x14ac:dyDescent="0.25">
      <c r="T1775" s="98"/>
      <c r="U1775" s="99"/>
    </row>
    <row r="1776" spans="20:21" x14ac:dyDescent="0.25">
      <c r="T1776" s="98"/>
      <c r="U1776" s="99"/>
    </row>
    <row r="1777" spans="20:21" x14ac:dyDescent="0.25">
      <c r="T1777" s="98"/>
      <c r="U1777" s="99"/>
    </row>
    <row r="1778" spans="20:21" x14ac:dyDescent="0.25">
      <c r="T1778" s="98"/>
      <c r="U1778" s="99"/>
    </row>
    <row r="1779" spans="20:21" x14ac:dyDescent="0.25">
      <c r="T1779" s="98"/>
      <c r="U1779" s="99"/>
    </row>
    <row r="1780" spans="20:21" x14ac:dyDescent="0.25">
      <c r="T1780" s="98"/>
      <c r="U1780" s="99"/>
    </row>
    <row r="1781" spans="20:21" x14ac:dyDescent="0.25">
      <c r="T1781" s="98"/>
      <c r="U1781" s="99"/>
    </row>
    <row r="1782" spans="20:21" x14ac:dyDescent="0.25">
      <c r="T1782" s="98"/>
      <c r="U1782" s="99"/>
    </row>
    <row r="1783" spans="20:21" x14ac:dyDescent="0.25">
      <c r="T1783" s="98"/>
      <c r="U1783" s="99"/>
    </row>
    <row r="1784" spans="20:21" x14ac:dyDescent="0.25">
      <c r="T1784" s="98"/>
      <c r="U1784" s="99"/>
    </row>
    <row r="1785" spans="20:21" x14ac:dyDescent="0.25">
      <c r="T1785" s="98"/>
      <c r="U1785" s="99"/>
    </row>
    <row r="1786" spans="20:21" x14ac:dyDescent="0.25">
      <c r="T1786" s="98"/>
      <c r="U1786" s="99"/>
    </row>
    <row r="1787" spans="20:21" x14ac:dyDescent="0.25">
      <c r="T1787" s="98"/>
      <c r="U1787" s="99"/>
    </row>
    <row r="1788" spans="20:21" x14ac:dyDescent="0.25">
      <c r="T1788" s="98"/>
      <c r="U1788" s="99"/>
    </row>
    <row r="1789" spans="20:21" x14ac:dyDescent="0.25">
      <c r="T1789" s="98"/>
      <c r="U1789" s="99"/>
    </row>
    <row r="1790" spans="20:21" x14ac:dyDescent="0.25">
      <c r="T1790" s="98"/>
      <c r="U1790" s="99"/>
    </row>
    <row r="1791" spans="20:21" x14ac:dyDescent="0.25">
      <c r="T1791" s="98"/>
      <c r="U1791" s="99"/>
    </row>
    <row r="1792" spans="20:21" x14ac:dyDescent="0.25">
      <c r="T1792" s="98"/>
      <c r="U1792" s="99"/>
    </row>
    <row r="1793" spans="20:21" x14ac:dyDescent="0.25">
      <c r="T1793" s="98"/>
      <c r="U1793" s="99"/>
    </row>
    <row r="1794" spans="20:21" x14ac:dyDescent="0.25">
      <c r="T1794" s="98"/>
      <c r="U1794" s="99"/>
    </row>
    <row r="1795" spans="20:21" x14ac:dyDescent="0.25">
      <c r="T1795" s="98"/>
      <c r="U1795" s="99"/>
    </row>
    <row r="1796" spans="20:21" x14ac:dyDescent="0.25">
      <c r="T1796" s="98"/>
      <c r="U1796" s="99"/>
    </row>
    <row r="1797" spans="20:21" x14ac:dyDescent="0.25">
      <c r="T1797" s="98"/>
      <c r="U1797" s="99"/>
    </row>
    <row r="1798" spans="20:21" x14ac:dyDescent="0.25">
      <c r="T1798" s="98"/>
      <c r="U1798" s="99"/>
    </row>
    <row r="1799" spans="20:21" x14ac:dyDescent="0.25">
      <c r="T1799" s="98"/>
      <c r="U1799" s="99"/>
    </row>
    <row r="1800" spans="20:21" x14ac:dyDescent="0.25">
      <c r="T1800" s="98"/>
      <c r="U1800" s="99"/>
    </row>
    <row r="1801" spans="20:21" x14ac:dyDescent="0.25">
      <c r="T1801" s="98"/>
      <c r="U1801" s="99"/>
    </row>
    <row r="1802" spans="20:21" x14ac:dyDescent="0.25">
      <c r="T1802" s="98"/>
      <c r="U1802" s="99"/>
    </row>
    <row r="1803" spans="20:21" x14ac:dyDescent="0.25">
      <c r="T1803" s="98"/>
      <c r="U1803" s="99"/>
    </row>
    <row r="1804" spans="20:21" x14ac:dyDescent="0.25">
      <c r="T1804" s="98"/>
      <c r="U1804" s="99"/>
    </row>
    <row r="1805" spans="20:21" x14ac:dyDescent="0.25">
      <c r="T1805" s="98"/>
      <c r="U1805" s="99"/>
    </row>
    <row r="1806" spans="20:21" x14ac:dyDescent="0.25">
      <c r="T1806" s="98"/>
      <c r="U1806" s="99"/>
    </row>
    <row r="1807" spans="20:21" x14ac:dyDescent="0.25">
      <c r="T1807" s="98"/>
      <c r="U1807" s="99"/>
    </row>
    <row r="1808" spans="20:21" x14ac:dyDescent="0.25">
      <c r="T1808" s="98"/>
      <c r="U1808" s="99"/>
    </row>
    <row r="1809" spans="20:21" x14ac:dyDescent="0.25">
      <c r="T1809" s="98"/>
      <c r="U1809" s="99"/>
    </row>
    <row r="1810" spans="20:21" x14ac:dyDescent="0.25">
      <c r="T1810" s="98"/>
      <c r="U1810" s="99"/>
    </row>
    <row r="1811" spans="20:21" x14ac:dyDescent="0.25">
      <c r="T1811" s="98"/>
      <c r="U1811" s="99"/>
    </row>
    <row r="1812" spans="20:21" x14ac:dyDescent="0.25">
      <c r="T1812" s="98"/>
      <c r="U1812" s="99"/>
    </row>
    <row r="1813" spans="20:21" x14ac:dyDescent="0.25">
      <c r="T1813" s="98"/>
      <c r="U1813" s="99"/>
    </row>
    <row r="1814" spans="20:21" x14ac:dyDescent="0.25">
      <c r="T1814" s="98"/>
      <c r="U1814" s="99"/>
    </row>
    <row r="1815" spans="20:21" x14ac:dyDescent="0.25">
      <c r="T1815" s="98"/>
      <c r="U1815" s="99"/>
    </row>
    <row r="1816" spans="20:21" x14ac:dyDescent="0.25">
      <c r="T1816" s="98"/>
      <c r="U1816" s="99"/>
    </row>
    <row r="1817" spans="20:21" x14ac:dyDescent="0.25">
      <c r="T1817" s="98"/>
      <c r="U1817" s="99"/>
    </row>
    <row r="1818" spans="20:21" x14ac:dyDescent="0.25">
      <c r="T1818" s="98"/>
      <c r="U1818" s="99"/>
    </row>
    <row r="1819" spans="20:21" x14ac:dyDescent="0.25">
      <c r="T1819" s="98"/>
      <c r="U1819" s="99"/>
    </row>
    <row r="1820" spans="20:21" x14ac:dyDescent="0.25">
      <c r="T1820" s="98"/>
      <c r="U1820" s="99"/>
    </row>
    <row r="1821" spans="20:21" x14ac:dyDescent="0.25">
      <c r="T1821" s="98"/>
      <c r="U1821" s="99"/>
    </row>
    <row r="1822" spans="20:21" x14ac:dyDescent="0.25">
      <c r="T1822" s="98"/>
      <c r="U1822" s="99"/>
    </row>
    <row r="1823" spans="20:21" x14ac:dyDescent="0.25">
      <c r="T1823" s="98"/>
      <c r="U1823" s="99"/>
    </row>
    <row r="1824" spans="20:21" x14ac:dyDescent="0.25">
      <c r="T1824" s="98"/>
      <c r="U1824" s="99"/>
    </row>
    <row r="1825" spans="20:21" x14ac:dyDescent="0.25">
      <c r="T1825" s="98"/>
      <c r="U1825" s="99"/>
    </row>
    <row r="1826" spans="20:21" x14ac:dyDescent="0.25">
      <c r="T1826" s="98"/>
      <c r="U1826" s="99"/>
    </row>
    <row r="1827" spans="20:21" x14ac:dyDescent="0.25">
      <c r="T1827" s="98"/>
      <c r="U1827" s="99"/>
    </row>
    <row r="1828" spans="20:21" x14ac:dyDescent="0.25">
      <c r="T1828" s="98"/>
      <c r="U1828" s="99"/>
    </row>
    <row r="1829" spans="20:21" x14ac:dyDescent="0.25">
      <c r="T1829" s="98"/>
      <c r="U1829" s="99"/>
    </row>
    <row r="1830" spans="20:21" x14ac:dyDescent="0.25">
      <c r="T1830" s="98"/>
      <c r="U1830" s="99"/>
    </row>
    <row r="1831" spans="20:21" x14ac:dyDescent="0.25">
      <c r="T1831" s="98"/>
      <c r="U1831" s="99"/>
    </row>
    <row r="1832" spans="20:21" x14ac:dyDescent="0.25">
      <c r="T1832" s="98"/>
      <c r="U1832" s="99"/>
    </row>
    <row r="1833" spans="20:21" x14ac:dyDescent="0.25">
      <c r="T1833" s="98"/>
      <c r="U1833" s="99"/>
    </row>
    <row r="1834" spans="20:21" x14ac:dyDescent="0.25">
      <c r="T1834" s="98"/>
      <c r="U1834" s="99"/>
    </row>
    <row r="1835" spans="20:21" x14ac:dyDescent="0.25">
      <c r="T1835" s="98"/>
      <c r="U1835" s="99"/>
    </row>
    <row r="1836" spans="20:21" x14ac:dyDescent="0.25">
      <c r="T1836" s="98"/>
      <c r="U1836" s="99"/>
    </row>
    <row r="1837" spans="20:21" x14ac:dyDescent="0.25">
      <c r="T1837" s="98"/>
      <c r="U1837" s="99"/>
    </row>
    <row r="1838" spans="20:21" x14ac:dyDescent="0.25">
      <c r="T1838" s="98"/>
      <c r="U1838" s="99"/>
    </row>
    <row r="1839" spans="20:21" x14ac:dyDescent="0.25">
      <c r="T1839" s="98"/>
      <c r="U1839" s="99"/>
    </row>
    <row r="1840" spans="20:21" x14ac:dyDescent="0.25">
      <c r="T1840" s="98"/>
      <c r="U1840" s="99"/>
    </row>
    <row r="1841" spans="20:21" x14ac:dyDescent="0.25">
      <c r="T1841" s="98"/>
      <c r="U1841" s="99"/>
    </row>
    <row r="1842" spans="20:21" x14ac:dyDescent="0.25">
      <c r="T1842" s="98"/>
      <c r="U1842" s="99"/>
    </row>
    <row r="1843" spans="20:21" x14ac:dyDescent="0.25">
      <c r="T1843" s="98"/>
      <c r="U1843" s="99"/>
    </row>
    <row r="1844" spans="20:21" x14ac:dyDescent="0.25">
      <c r="T1844" s="98"/>
      <c r="U1844" s="99"/>
    </row>
    <row r="1845" spans="20:21" x14ac:dyDescent="0.25">
      <c r="T1845" s="98"/>
      <c r="U1845" s="99"/>
    </row>
    <row r="1846" spans="20:21" x14ac:dyDescent="0.25">
      <c r="T1846" s="98"/>
      <c r="U1846" s="99"/>
    </row>
    <row r="1847" spans="20:21" x14ac:dyDescent="0.25">
      <c r="T1847" s="98"/>
      <c r="U1847" s="99"/>
    </row>
    <row r="1848" spans="20:21" x14ac:dyDescent="0.25">
      <c r="T1848" s="98"/>
      <c r="U1848" s="99"/>
    </row>
    <row r="1849" spans="20:21" x14ac:dyDescent="0.25">
      <c r="T1849" s="98"/>
      <c r="U1849" s="99"/>
    </row>
    <row r="1850" spans="20:21" x14ac:dyDescent="0.25">
      <c r="T1850" s="98"/>
      <c r="U1850" s="99"/>
    </row>
    <row r="1851" spans="20:21" x14ac:dyDescent="0.25">
      <c r="T1851" s="98"/>
      <c r="U1851" s="99"/>
    </row>
    <row r="1852" spans="20:21" x14ac:dyDescent="0.25">
      <c r="T1852" s="98"/>
      <c r="U1852" s="99"/>
    </row>
    <row r="1853" spans="20:21" x14ac:dyDescent="0.25">
      <c r="T1853" s="98"/>
      <c r="U1853" s="99"/>
    </row>
    <row r="1854" spans="20:21" x14ac:dyDescent="0.25">
      <c r="T1854" s="98"/>
      <c r="U1854" s="99"/>
    </row>
    <row r="1855" spans="20:21" x14ac:dyDescent="0.25">
      <c r="T1855" s="98"/>
      <c r="U1855" s="99"/>
    </row>
    <row r="1856" spans="20:21" x14ac:dyDescent="0.25">
      <c r="T1856" s="98"/>
      <c r="U1856" s="99"/>
    </row>
    <row r="1857" spans="20:21" x14ac:dyDescent="0.25">
      <c r="T1857" s="98"/>
      <c r="U1857" s="99"/>
    </row>
    <row r="1858" spans="20:21" x14ac:dyDescent="0.25">
      <c r="T1858" s="98"/>
      <c r="U1858" s="99"/>
    </row>
    <row r="1859" spans="20:21" x14ac:dyDescent="0.25">
      <c r="T1859" s="98"/>
      <c r="U1859" s="99"/>
    </row>
    <row r="1860" spans="20:21" x14ac:dyDescent="0.25">
      <c r="T1860" s="98"/>
      <c r="U1860" s="99"/>
    </row>
    <row r="1861" spans="20:21" x14ac:dyDescent="0.25">
      <c r="T1861" s="98"/>
      <c r="U1861" s="99"/>
    </row>
    <row r="1862" spans="20:21" x14ac:dyDescent="0.25">
      <c r="T1862" s="98"/>
      <c r="U1862" s="99"/>
    </row>
    <row r="1863" spans="20:21" x14ac:dyDescent="0.25">
      <c r="T1863" s="98"/>
      <c r="U1863" s="99"/>
    </row>
    <row r="1864" spans="20:21" x14ac:dyDescent="0.25">
      <c r="T1864" s="98"/>
      <c r="U1864" s="99"/>
    </row>
    <row r="1865" spans="20:21" x14ac:dyDescent="0.25">
      <c r="T1865" s="98"/>
      <c r="U1865" s="99"/>
    </row>
    <row r="1866" spans="20:21" x14ac:dyDescent="0.25">
      <c r="T1866" s="98"/>
      <c r="U1866" s="99"/>
    </row>
    <row r="1867" spans="20:21" x14ac:dyDescent="0.25">
      <c r="T1867" s="98"/>
      <c r="U1867" s="99"/>
    </row>
    <row r="1868" spans="20:21" x14ac:dyDescent="0.25">
      <c r="T1868" s="98"/>
      <c r="U1868" s="99"/>
    </row>
    <row r="1869" spans="20:21" x14ac:dyDescent="0.25">
      <c r="T1869" s="98"/>
      <c r="U1869" s="99"/>
    </row>
    <row r="1870" spans="20:21" x14ac:dyDescent="0.25">
      <c r="T1870" s="98"/>
      <c r="U1870" s="99"/>
    </row>
    <row r="1871" spans="20:21" x14ac:dyDescent="0.25">
      <c r="T1871" s="98"/>
      <c r="U1871" s="99"/>
    </row>
    <row r="1872" spans="20:21" x14ac:dyDescent="0.25">
      <c r="T1872" s="98"/>
      <c r="U1872" s="99"/>
    </row>
    <row r="1873" spans="20:21" x14ac:dyDescent="0.25">
      <c r="T1873" s="98"/>
      <c r="U1873" s="99"/>
    </row>
    <row r="1874" spans="20:21" x14ac:dyDescent="0.25">
      <c r="T1874" s="98"/>
      <c r="U1874" s="99"/>
    </row>
    <row r="1875" spans="20:21" x14ac:dyDescent="0.25">
      <c r="T1875" s="98"/>
      <c r="U1875" s="99"/>
    </row>
    <row r="1876" spans="20:21" x14ac:dyDescent="0.25">
      <c r="T1876" s="98"/>
      <c r="U1876" s="99"/>
    </row>
    <row r="1877" spans="20:21" x14ac:dyDescent="0.25">
      <c r="T1877" s="98"/>
      <c r="U1877" s="99"/>
    </row>
    <row r="1878" spans="20:21" x14ac:dyDescent="0.25">
      <c r="T1878" s="98"/>
      <c r="U1878" s="99"/>
    </row>
    <row r="1879" spans="20:21" x14ac:dyDescent="0.25">
      <c r="T1879" s="98"/>
      <c r="U1879" s="99"/>
    </row>
    <row r="1880" spans="20:21" x14ac:dyDescent="0.25">
      <c r="T1880" s="98"/>
      <c r="U1880" s="99"/>
    </row>
    <row r="1881" spans="20:21" x14ac:dyDescent="0.25">
      <c r="T1881" s="98"/>
      <c r="U1881" s="99"/>
    </row>
    <row r="1882" spans="20:21" x14ac:dyDescent="0.25">
      <c r="T1882" s="98"/>
      <c r="U1882" s="99"/>
    </row>
    <row r="1883" spans="20:21" x14ac:dyDescent="0.25">
      <c r="T1883" s="98"/>
      <c r="U1883" s="99"/>
    </row>
    <row r="1884" spans="20:21" x14ac:dyDescent="0.25">
      <c r="T1884" s="98"/>
      <c r="U1884" s="99"/>
    </row>
    <row r="1885" spans="20:21" x14ac:dyDescent="0.25">
      <c r="T1885" s="98"/>
      <c r="U1885" s="99"/>
    </row>
    <row r="1886" spans="20:21" x14ac:dyDescent="0.25">
      <c r="T1886" s="98"/>
      <c r="U1886" s="99"/>
    </row>
    <row r="1887" spans="20:21" x14ac:dyDescent="0.25">
      <c r="T1887" s="98"/>
      <c r="U1887" s="99"/>
    </row>
    <row r="1888" spans="20:21" x14ac:dyDescent="0.25">
      <c r="T1888" s="98"/>
      <c r="U1888" s="99"/>
    </row>
    <row r="1889" spans="20:21" x14ac:dyDescent="0.25">
      <c r="T1889" s="98"/>
      <c r="U1889" s="99"/>
    </row>
    <row r="1890" spans="20:21" x14ac:dyDescent="0.25">
      <c r="T1890" s="98"/>
      <c r="U1890" s="99"/>
    </row>
    <row r="1891" spans="20:21" x14ac:dyDescent="0.25">
      <c r="T1891" s="98"/>
      <c r="U1891" s="99"/>
    </row>
    <row r="1892" spans="20:21" x14ac:dyDescent="0.25">
      <c r="T1892" s="98"/>
      <c r="U1892" s="99"/>
    </row>
    <row r="1893" spans="20:21" x14ac:dyDescent="0.25">
      <c r="T1893" s="98"/>
      <c r="U1893" s="99"/>
    </row>
    <row r="1894" spans="20:21" x14ac:dyDescent="0.25">
      <c r="T1894" s="98"/>
      <c r="U1894" s="99"/>
    </row>
    <row r="1895" spans="20:21" x14ac:dyDescent="0.25">
      <c r="T1895" s="98"/>
      <c r="U1895" s="99"/>
    </row>
    <row r="1896" spans="20:21" x14ac:dyDescent="0.25">
      <c r="T1896" s="98"/>
      <c r="U1896" s="99"/>
    </row>
    <row r="1897" spans="20:21" x14ac:dyDescent="0.25">
      <c r="T1897" s="98"/>
      <c r="U1897" s="99"/>
    </row>
    <row r="1898" spans="20:21" x14ac:dyDescent="0.25">
      <c r="T1898" s="98"/>
      <c r="U1898" s="99"/>
    </row>
    <row r="1899" spans="20:21" x14ac:dyDescent="0.25">
      <c r="T1899" s="98"/>
      <c r="U1899" s="99"/>
    </row>
    <row r="1900" spans="20:21" x14ac:dyDescent="0.25">
      <c r="T1900" s="98"/>
      <c r="U1900" s="99"/>
    </row>
    <row r="1901" spans="20:21" x14ac:dyDescent="0.25">
      <c r="T1901" s="98"/>
      <c r="U1901" s="99"/>
    </row>
    <row r="1902" spans="20:21" x14ac:dyDescent="0.25">
      <c r="T1902" s="98"/>
      <c r="U1902" s="99"/>
    </row>
    <row r="1903" spans="20:21" x14ac:dyDescent="0.25">
      <c r="T1903" s="98"/>
      <c r="U1903" s="99"/>
    </row>
    <row r="1904" spans="20:21" x14ac:dyDescent="0.25">
      <c r="T1904" s="98"/>
      <c r="U1904" s="99"/>
    </row>
    <row r="1905" spans="20:21" x14ac:dyDescent="0.25">
      <c r="T1905" s="98"/>
      <c r="U1905" s="99"/>
    </row>
    <row r="1906" spans="20:21" x14ac:dyDescent="0.25">
      <c r="T1906" s="98"/>
      <c r="U1906" s="99"/>
    </row>
    <row r="1907" spans="20:21" x14ac:dyDescent="0.25">
      <c r="T1907" s="98"/>
      <c r="U1907" s="99"/>
    </row>
    <row r="1908" spans="20:21" x14ac:dyDescent="0.25">
      <c r="T1908" s="98"/>
      <c r="U1908" s="99"/>
    </row>
    <row r="1909" spans="20:21" x14ac:dyDescent="0.25">
      <c r="T1909" s="98"/>
      <c r="U1909" s="99"/>
    </row>
    <row r="1910" spans="20:21" x14ac:dyDescent="0.25">
      <c r="T1910" s="98"/>
      <c r="U1910" s="99"/>
    </row>
    <row r="1911" spans="20:21" x14ac:dyDescent="0.25">
      <c r="T1911" s="98"/>
      <c r="U1911" s="99"/>
    </row>
    <row r="1912" spans="20:21" x14ac:dyDescent="0.25">
      <c r="T1912" s="98"/>
      <c r="U1912" s="99"/>
    </row>
    <row r="1913" spans="20:21" x14ac:dyDescent="0.25">
      <c r="T1913" s="98"/>
      <c r="U1913" s="99"/>
    </row>
    <row r="1914" spans="20:21" x14ac:dyDescent="0.25">
      <c r="T1914" s="98"/>
      <c r="U1914" s="99"/>
    </row>
    <row r="1915" spans="20:21" x14ac:dyDescent="0.25">
      <c r="T1915" s="98"/>
      <c r="U1915" s="99"/>
    </row>
    <row r="1916" spans="20:21" x14ac:dyDescent="0.25">
      <c r="T1916" s="98"/>
      <c r="U1916" s="99"/>
    </row>
    <row r="1917" spans="20:21" x14ac:dyDescent="0.25">
      <c r="T1917" s="98"/>
      <c r="U1917" s="99"/>
    </row>
    <row r="1918" spans="20:21" x14ac:dyDescent="0.25">
      <c r="T1918" s="98"/>
      <c r="U1918" s="99"/>
    </row>
    <row r="1919" spans="20:21" x14ac:dyDescent="0.25">
      <c r="T1919" s="98"/>
      <c r="U1919" s="99"/>
    </row>
    <row r="1920" spans="20:21" x14ac:dyDescent="0.25">
      <c r="T1920" s="98"/>
      <c r="U1920" s="99"/>
    </row>
    <row r="1921" spans="20:21" x14ac:dyDescent="0.25">
      <c r="T1921" s="98"/>
      <c r="U1921" s="99"/>
    </row>
    <row r="1922" spans="20:21" x14ac:dyDescent="0.25">
      <c r="T1922" s="98"/>
      <c r="U1922" s="99"/>
    </row>
    <row r="1923" spans="20:21" x14ac:dyDescent="0.25">
      <c r="T1923" s="98"/>
      <c r="U1923" s="99"/>
    </row>
    <row r="1924" spans="20:21" x14ac:dyDescent="0.25">
      <c r="T1924" s="98"/>
      <c r="U1924" s="99"/>
    </row>
    <row r="1925" spans="20:21" x14ac:dyDescent="0.25">
      <c r="T1925" s="98"/>
      <c r="U1925" s="99"/>
    </row>
    <row r="1926" spans="20:21" x14ac:dyDescent="0.25">
      <c r="T1926" s="98"/>
      <c r="U1926" s="99"/>
    </row>
    <row r="1927" spans="20:21" x14ac:dyDescent="0.25">
      <c r="T1927" s="98"/>
      <c r="U1927" s="99"/>
    </row>
    <row r="1928" spans="20:21" x14ac:dyDescent="0.25">
      <c r="T1928" s="98"/>
      <c r="U1928" s="99"/>
    </row>
    <row r="1929" spans="20:21" x14ac:dyDescent="0.25">
      <c r="T1929" s="98"/>
      <c r="U1929" s="99"/>
    </row>
    <row r="1930" spans="20:21" x14ac:dyDescent="0.25">
      <c r="T1930" s="98"/>
      <c r="U1930" s="99"/>
    </row>
    <row r="1931" spans="20:21" x14ac:dyDescent="0.25">
      <c r="T1931" s="98"/>
      <c r="U1931" s="99"/>
    </row>
    <row r="1932" spans="20:21" x14ac:dyDescent="0.25">
      <c r="T1932" s="98"/>
      <c r="U1932" s="99"/>
    </row>
    <row r="1933" spans="20:21" x14ac:dyDescent="0.25">
      <c r="T1933" s="98"/>
      <c r="U1933" s="99"/>
    </row>
    <row r="1934" spans="20:21" x14ac:dyDescent="0.25">
      <c r="T1934" s="98"/>
      <c r="U1934" s="99"/>
    </row>
    <row r="1935" spans="20:21" x14ac:dyDescent="0.25">
      <c r="T1935" s="98"/>
      <c r="U1935" s="99"/>
    </row>
    <row r="1936" spans="20:21" x14ac:dyDescent="0.25">
      <c r="T1936" s="98"/>
      <c r="U1936" s="99"/>
    </row>
    <row r="1937" spans="20:21" x14ac:dyDescent="0.25">
      <c r="T1937" s="98"/>
      <c r="U1937" s="99"/>
    </row>
    <row r="1938" spans="20:21" x14ac:dyDescent="0.25">
      <c r="T1938" s="98"/>
      <c r="U1938" s="99"/>
    </row>
    <row r="1939" spans="20:21" x14ac:dyDescent="0.25">
      <c r="T1939" s="98"/>
      <c r="U1939" s="99"/>
    </row>
    <row r="1940" spans="20:21" x14ac:dyDescent="0.25">
      <c r="T1940" s="98"/>
      <c r="U1940" s="99"/>
    </row>
    <row r="1941" spans="20:21" x14ac:dyDescent="0.25">
      <c r="T1941" s="98"/>
      <c r="U1941" s="99"/>
    </row>
    <row r="1942" spans="20:21" x14ac:dyDescent="0.25">
      <c r="T1942" s="98"/>
      <c r="U1942" s="99"/>
    </row>
    <row r="1943" spans="20:21" x14ac:dyDescent="0.25">
      <c r="T1943" s="98"/>
      <c r="U1943" s="99"/>
    </row>
    <row r="1944" spans="20:21" x14ac:dyDescent="0.25">
      <c r="T1944" s="98"/>
      <c r="U1944" s="99"/>
    </row>
    <row r="1945" spans="20:21" x14ac:dyDescent="0.25">
      <c r="T1945" s="98"/>
      <c r="U1945" s="99"/>
    </row>
    <row r="1946" spans="20:21" x14ac:dyDescent="0.25">
      <c r="T1946" s="98"/>
      <c r="U1946" s="99"/>
    </row>
    <row r="1947" spans="20:21" x14ac:dyDescent="0.25">
      <c r="T1947" s="98"/>
      <c r="U1947" s="99"/>
    </row>
    <row r="1948" spans="20:21" x14ac:dyDescent="0.25">
      <c r="T1948" s="98"/>
      <c r="U1948" s="99"/>
    </row>
    <row r="1949" spans="20:21" x14ac:dyDescent="0.25">
      <c r="T1949" s="98"/>
      <c r="U1949" s="99"/>
    </row>
    <row r="1950" spans="20:21" x14ac:dyDescent="0.25">
      <c r="T1950" s="98"/>
      <c r="U1950" s="99"/>
    </row>
    <row r="1951" spans="20:21" x14ac:dyDescent="0.25">
      <c r="T1951" s="98"/>
      <c r="U1951" s="99"/>
    </row>
    <row r="1952" spans="20:21" x14ac:dyDescent="0.25">
      <c r="T1952" s="98"/>
      <c r="U1952" s="99"/>
    </row>
    <row r="1953" spans="20:21" x14ac:dyDescent="0.25">
      <c r="T1953" s="98"/>
      <c r="U1953" s="99"/>
    </row>
    <row r="1954" spans="20:21" x14ac:dyDescent="0.25">
      <c r="T1954" s="98"/>
      <c r="U1954" s="99"/>
    </row>
    <row r="1955" spans="20:21" x14ac:dyDescent="0.25">
      <c r="T1955" s="98"/>
      <c r="U1955" s="99"/>
    </row>
    <row r="1956" spans="20:21" x14ac:dyDescent="0.25">
      <c r="T1956" s="98"/>
      <c r="U1956" s="99"/>
    </row>
    <row r="1957" spans="20:21" x14ac:dyDescent="0.25">
      <c r="T1957" s="98"/>
      <c r="U1957" s="99"/>
    </row>
    <row r="1958" spans="20:21" x14ac:dyDescent="0.25">
      <c r="T1958" s="98"/>
      <c r="U1958" s="99"/>
    </row>
    <row r="1959" spans="20:21" x14ac:dyDescent="0.25">
      <c r="T1959" s="98"/>
      <c r="U1959" s="99"/>
    </row>
    <row r="1960" spans="20:21" x14ac:dyDescent="0.25">
      <c r="T1960" s="98"/>
      <c r="U1960" s="99"/>
    </row>
    <row r="1961" spans="20:21" x14ac:dyDescent="0.25">
      <c r="T1961" s="98"/>
      <c r="U1961" s="99"/>
    </row>
    <row r="1962" spans="20:21" x14ac:dyDescent="0.25">
      <c r="T1962" s="98"/>
      <c r="U1962" s="99"/>
    </row>
    <row r="1963" spans="20:21" x14ac:dyDescent="0.25">
      <c r="T1963" s="98"/>
      <c r="U1963" s="99"/>
    </row>
    <row r="1964" spans="20:21" x14ac:dyDescent="0.25">
      <c r="T1964" s="98"/>
      <c r="U1964" s="99"/>
    </row>
    <row r="1965" spans="20:21" x14ac:dyDescent="0.25">
      <c r="T1965" s="98"/>
      <c r="U1965" s="99"/>
    </row>
    <row r="1966" spans="20:21" x14ac:dyDescent="0.25">
      <c r="T1966" s="98"/>
      <c r="U1966" s="99"/>
    </row>
    <row r="1967" spans="20:21" x14ac:dyDescent="0.25">
      <c r="T1967" s="98"/>
      <c r="U1967" s="99"/>
    </row>
    <row r="1968" spans="20:21" x14ac:dyDescent="0.25">
      <c r="T1968" s="98"/>
      <c r="U1968" s="99"/>
    </row>
    <row r="1969" spans="20:21" x14ac:dyDescent="0.25">
      <c r="T1969" s="98"/>
      <c r="U1969" s="99"/>
    </row>
    <row r="1970" spans="20:21" x14ac:dyDescent="0.25">
      <c r="T1970" s="98"/>
      <c r="U1970" s="99"/>
    </row>
    <row r="1971" spans="20:21" x14ac:dyDescent="0.25">
      <c r="T1971" s="98"/>
      <c r="U1971" s="99"/>
    </row>
    <row r="1972" spans="20:21" x14ac:dyDescent="0.25">
      <c r="T1972" s="98"/>
      <c r="U1972" s="99"/>
    </row>
    <row r="1973" spans="20:21" x14ac:dyDescent="0.25">
      <c r="T1973" s="98"/>
      <c r="U1973" s="99"/>
    </row>
    <row r="1974" spans="20:21" x14ac:dyDescent="0.25">
      <c r="T1974" s="98"/>
      <c r="U1974" s="99"/>
    </row>
    <row r="1975" spans="20:21" x14ac:dyDescent="0.25">
      <c r="T1975" s="98"/>
      <c r="U1975" s="99"/>
    </row>
    <row r="1976" spans="20:21" x14ac:dyDescent="0.25">
      <c r="T1976" s="98"/>
      <c r="U1976" s="99"/>
    </row>
    <row r="1977" spans="20:21" x14ac:dyDescent="0.25">
      <c r="T1977" s="98"/>
      <c r="U1977" s="99"/>
    </row>
    <row r="1978" spans="20:21" x14ac:dyDescent="0.25">
      <c r="T1978" s="98"/>
      <c r="U1978" s="99"/>
    </row>
    <row r="1979" spans="20:21" x14ac:dyDescent="0.25">
      <c r="T1979" s="98"/>
      <c r="U1979" s="99"/>
    </row>
    <row r="1980" spans="20:21" x14ac:dyDescent="0.25">
      <c r="T1980" s="98"/>
      <c r="U1980" s="99"/>
    </row>
    <row r="1981" spans="20:21" x14ac:dyDescent="0.25">
      <c r="T1981" s="98"/>
      <c r="U1981" s="99"/>
    </row>
    <row r="1982" spans="20:21" x14ac:dyDescent="0.25">
      <c r="T1982" s="98"/>
      <c r="U1982" s="99"/>
    </row>
    <row r="1983" spans="20:21" x14ac:dyDescent="0.25">
      <c r="T1983" s="98"/>
      <c r="U1983" s="99"/>
    </row>
    <row r="1984" spans="20:21" x14ac:dyDescent="0.25">
      <c r="T1984" s="98"/>
      <c r="U1984" s="99"/>
    </row>
    <row r="1985" spans="20:21" x14ac:dyDescent="0.25">
      <c r="T1985" s="98"/>
      <c r="U1985" s="99"/>
    </row>
    <row r="1986" spans="20:21" x14ac:dyDescent="0.25">
      <c r="T1986" s="98"/>
      <c r="U1986" s="99"/>
    </row>
    <row r="1987" spans="20:21" x14ac:dyDescent="0.25">
      <c r="T1987" s="98"/>
      <c r="U1987" s="99"/>
    </row>
    <row r="1988" spans="20:21" x14ac:dyDescent="0.25">
      <c r="T1988" s="98"/>
      <c r="U1988" s="99"/>
    </row>
    <row r="1989" spans="20:21" x14ac:dyDescent="0.25">
      <c r="T1989" s="98"/>
      <c r="U1989" s="99"/>
    </row>
    <row r="1990" spans="20:21" x14ac:dyDescent="0.25">
      <c r="T1990" s="98"/>
      <c r="U1990" s="99"/>
    </row>
    <row r="1991" spans="20:21" x14ac:dyDescent="0.25">
      <c r="T1991" s="98"/>
      <c r="U1991" s="99"/>
    </row>
    <row r="1992" spans="20:21" x14ac:dyDescent="0.25">
      <c r="T1992" s="98"/>
      <c r="U1992" s="99"/>
    </row>
    <row r="1993" spans="20:21" x14ac:dyDescent="0.25">
      <c r="T1993" s="98"/>
      <c r="U1993" s="99"/>
    </row>
    <row r="1994" spans="20:21" x14ac:dyDescent="0.25">
      <c r="T1994" s="98"/>
      <c r="U1994" s="99"/>
    </row>
    <row r="1995" spans="20:21" x14ac:dyDescent="0.25">
      <c r="T1995" s="98"/>
      <c r="U1995" s="99"/>
    </row>
    <row r="1996" spans="20:21" x14ac:dyDescent="0.25">
      <c r="T1996" s="98"/>
      <c r="U1996" s="99"/>
    </row>
    <row r="1997" spans="20:21" x14ac:dyDescent="0.25">
      <c r="T1997" s="98"/>
      <c r="U1997" s="99"/>
    </row>
    <row r="1998" spans="20:21" x14ac:dyDescent="0.25">
      <c r="T1998" s="98"/>
      <c r="U1998" s="99"/>
    </row>
    <row r="1999" spans="20:21" x14ac:dyDescent="0.25">
      <c r="T1999" s="98"/>
      <c r="U1999" s="99"/>
    </row>
    <row r="2000" spans="20:21" x14ac:dyDescent="0.25">
      <c r="T2000" s="98"/>
      <c r="U2000" s="99"/>
    </row>
    <row r="2001" spans="20:21" x14ac:dyDescent="0.25">
      <c r="T2001" s="98"/>
      <c r="U2001" s="99"/>
    </row>
    <row r="2002" spans="20:21" x14ac:dyDescent="0.25">
      <c r="T2002" s="98"/>
      <c r="U2002" s="99"/>
    </row>
    <row r="2003" spans="20:21" x14ac:dyDescent="0.25">
      <c r="T2003" s="98"/>
      <c r="U2003" s="99"/>
    </row>
    <row r="2004" spans="20:21" x14ac:dyDescent="0.25">
      <c r="T2004" s="98"/>
      <c r="U2004" s="99"/>
    </row>
    <row r="2005" spans="20:21" x14ac:dyDescent="0.25">
      <c r="T2005" s="98"/>
      <c r="U2005" s="99"/>
    </row>
    <row r="2006" spans="20:21" x14ac:dyDescent="0.25">
      <c r="T2006" s="98"/>
      <c r="U2006" s="99"/>
    </row>
    <row r="2007" spans="20:21" x14ac:dyDescent="0.25">
      <c r="T2007" s="98"/>
      <c r="U2007" s="99"/>
    </row>
    <row r="2008" spans="20:21" x14ac:dyDescent="0.25">
      <c r="T2008" s="98"/>
      <c r="U2008" s="99"/>
    </row>
    <row r="2009" spans="20:21" x14ac:dyDescent="0.25">
      <c r="T2009" s="98"/>
      <c r="U2009" s="99"/>
    </row>
    <row r="2010" spans="20:21" x14ac:dyDescent="0.25">
      <c r="T2010" s="98"/>
      <c r="U2010" s="99"/>
    </row>
    <row r="2011" spans="20:21" x14ac:dyDescent="0.25">
      <c r="T2011" s="98"/>
      <c r="U2011" s="99"/>
    </row>
    <row r="2012" spans="20:21" x14ac:dyDescent="0.25">
      <c r="T2012" s="98"/>
      <c r="U2012" s="99"/>
    </row>
    <row r="2013" spans="20:21" x14ac:dyDescent="0.25">
      <c r="T2013" s="98"/>
      <c r="U2013" s="99"/>
    </row>
    <row r="2014" spans="20:21" x14ac:dyDescent="0.25">
      <c r="T2014" s="98"/>
      <c r="U2014" s="99"/>
    </row>
    <row r="2015" spans="20:21" x14ac:dyDescent="0.25">
      <c r="T2015" s="98"/>
      <c r="U2015" s="99"/>
    </row>
    <row r="2016" spans="20:21" x14ac:dyDescent="0.25">
      <c r="T2016" s="98"/>
      <c r="U2016" s="99"/>
    </row>
    <row r="2017" spans="20:21" x14ac:dyDescent="0.25">
      <c r="T2017" s="98"/>
      <c r="U2017" s="99"/>
    </row>
    <row r="2018" spans="20:21" x14ac:dyDescent="0.25">
      <c r="T2018" s="98"/>
      <c r="U2018" s="99"/>
    </row>
    <row r="2019" spans="20:21" x14ac:dyDescent="0.25">
      <c r="T2019" s="98"/>
      <c r="U2019" s="99"/>
    </row>
    <row r="2020" spans="20:21" x14ac:dyDescent="0.25">
      <c r="T2020" s="98"/>
      <c r="U2020" s="99"/>
    </row>
    <row r="2021" spans="20:21" x14ac:dyDescent="0.25">
      <c r="T2021" s="98"/>
      <c r="U2021" s="99"/>
    </row>
    <row r="2022" spans="20:21" x14ac:dyDescent="0.25">
      <c r="T2022" s="98"/>
      <c r="U2022" s="99"/>
    </row>
    <row r="2023" spans="20:21" x14ac:dyDescent="0.25">
      <c r="T2023" s="98"/>
      <c r="U2023" s="99"/>
    </row>
    <row r="2024" spans="20:21" x14ac:dyDescent="0.25">
      <c r="T2024" s="98"/>
      <c r="U2024" s="99"/>
    </row>
    <row r="2025" spans="20:21" x14ac:dyDescent="0.25">
      <c r="T2025" s="98"/>
      <c r="U2025" s="99"/>
    </row>
    <row r="2026" spans="20:21" x14ac:dyDescent="0.25">
      <c r="T2026" s="98"/>
      <c r="U2026" s="99"/>
    </row>
    <row r="2027" spans="20:21" x14ac:dyDescent="0.25">
      <c r="T2027" s="98"/>
      <c r="U2027" s="99"/>
    </row>
    <row r="2028" spans="20:21" x14ac:dyDescent="0.25">
      <c r="T2028" s="98"/>
      <c r="U2028" s="99"/>
    </row>
    <row r="2029" spans="20:21" x14ac:dyDescent="0.25">
      <c r="T2029" s="98"/>
      <c r="U2029" s="99"/>
    </row>
    <row r="2030" spans="20:21" x14ac:dyDescent="0.25">
      <c r="T2030" s="98"/>
      <c r="U2030" s="99"/>
    </row>
    <row r="2031" spans="20:21" x14ac:dyDescent="0.25">
      <c r="T2031" s="98"/>
      <c r="U2031" s="99"/>
    </row>
    <row r="2032" spans="20:21" x14ac:dyDescent="0.25">
      <c r="T2032" s="98"/>
      <c r="U2032" s="99"/>
    </row>
    <row r="2033" spans="20:21" x14ac:dyDescent="0.25">
      <c r="T2033" s="98"/>
      <c r="U2033" s="99"/>
    </row>
    <row r="2034" spans="20:21" x14ac:dyDescent="0.25">
      <c r="T2034" s="98"/>
      <c r="U2034" s="99"/>
    </row>
    <row r="2035" spans="20:21" x14ac:dyDescent="0.25">
      <c r="T2035" s="98"/>
      <c r="U2035" s="99"/>
    </row>
    <row r="2036" spans="20:21" x14ac:dyDescent="0.25">
      <c r="T2036" s="98"/>
      <c r="U2036" s="99"/>
    </row>
    <row r="2037" spans="20:21" x14ac:dyDescent="0.25">
      <c r="T2037" s="98"/>
      <c r="U2037" s="99"/>
    </row>
    <row r="2038" spans="20:21" x14ac:dyDescent="0.25">
      <c r="T2038" s="98"/>
      <c r="U2038" s="99"/>
    </row>
    <row r="2039" spans="20:21" x14ac:dyDescent="0.25">
      <c r="T2039" s="98"/>
      <c r="U2039" s="99"/>
    </row>
    <row r="2040" spans="20:21" x14ac:dyDescent="0.25">
      <c r="T2040" s="98"/>
      <c r="U2040" s="99"/>
    </row>
    <row r="2041" spans="20:21" x14ac:dyDescent="0.25">
      <c r="T2041" s="98"/>
      <c r="U2041" s="99"/>
    </row>
    <row r="2042" spans="20:21" x14ac:dyDescent="0.25">
      <c r="T2042" s="98"/>
      <c r="U2042" s="99"/>
    </row>
    <row r="2043" spans="20:21" x14ac:dyDescent="0.25">
      <c r="T2043" s="98"/>
      <c r="U2043" s="99"/>
    </row>
    <row r="2044" spans="20:21" x14ac:dyDescent="0.25">
      <c r="T2044" s="98"/>
      <c r="U2044" s="99"/>
    </row>
    <row r="2045" spans="20:21" x14ac:dyDescent="0.25">
      <c r="T2045" s="98"/>
      <c r="U2045" s="99"/>
    </row>
    <row r="2046" spans="20:21" x14ac:dyDescent="0.25">
      <c r="T2046" s="98"/>
      <c r="U2046" s="99"/>
    </row>
    <row r="2047" spans="20:21" x14ac:dyDescent="0.25">
      <c r="T2047" s="98"/>
      <c r="U2047" s="99"/>
    </row>
    <row r="2048" spans="20:21" x14ac:dyDescent="0.25">
      <c r="T2048" s="98"/>
      <c r="U2048" s="99"/>
    </row>
    <row r="2049" spans="20:21" x14ac:dyDescent="0.25">
      <c r="T2049" s="98"/>
      <c r="U2049" s="99"/>
    </row>
    <row r="2050" spans="20:21" x14ac:dyDescent="0.25">
      <c r="T2050" s="98"/>
      <c r="U2050" s="99"/>
    </row>
    <row r="2051" spans="20:21" x14ac:dyDescent="0.25">
      <c r="T2051" s="98"/>
      <c r="U2051" s="99"/>
    </row>
    <row r="2052" spans="20:21" x14ac:dyDescent="0.25">
      <c r="T2052" s="98"/>
      <c r="U2052" s="99"/>
    </row>
    <row r="2053" spans="20:21" x14ac:dyDescent="0.25">
      <c r="T2053" s="98"/>
      <c r="U2053" s="99"/>
    </row>
    <row r="2054" spans="20:21" x14ac:dyDescent="0.25">
      <c r="T2054" s="98"/>
      <c r="U2054" s="99"/>
    </row>
    <row r="2055" spans="20:21" x14ac:dyDescent="0.25">
      <c r="T2055" s="98"/>
      <c r="U2055" s="99"/>
    </row>
    <row r="2056" spans="20:21" x14ac:dyDescent="0.25">
      <c r="T2056" s="98"/>
      <c r="U2056" s="99"/>
    </row>
    <row r="2057" spans="20:21" x14ac:dyDescent="0.25">
      <c r="T2057" s="98"/>
      <c r="U2057" s="99"/>
    </row>
    <row r="2058" spans="20:21" x14ac:dyDescent="0.25">
      <c r="T2058" s="98"/>
      <c r="U2058" s="99"/>
    </row>
    <row r="2059" spans="20:21" x14ac:dyDescent="0.25">
      <c r="T2059" s="98"/>
      <c r="U2059" s="99"/>
    </row>
    <row r="2060" spans="20:21" x14ac:dyDescent="0.25">
      <c r="T2060" s="98"/>
      <c r="U2060" s="99"/>
    </row>
    <row r="2061" spans="20:21" x14ac:dyDescent="0.25">
      <c r="T2061" s="98"/>
      <c r="U2061" s="99"/>
    </row>
    <row r="2062" spans="20:21" x14ac:dyDescent="0.25">
      <c r="T2062" s="98"/>
      <c r="U2062" s="99"/>
    </row>
    <row r="2063" spans="20:21" x14ac:dyDescent="0.25">
      <c r="T2063" s="98"/>
      <c r="U2063" s="99"/>
    </row>
    <row r="2064" spans="20:21" x14ac:dyDescent="0.25">
      <c r="T2064" s="98"/>
      <c r="U2064" s="99"/>
    </row>
    <row r="2065" spans="20:21" x14ac:dyDescent="0.25">
      <c r="T2065" s="98"/>
      <c r="U2065" s="99"/>
    </row>
    <row r="2066" spans="20:21" x14ac:dyDescent="0.25">
      <c r="T2066" s="98"/>
      <c r="U2066" s="99"/>
    </row>
    <row r="2067" spans="20:21" x14ac:dyDescent="0.25">
      <c r="T2067" s="98"/>
      <c r="U2067" s="99"/>
    </row>
    <row r="2068" spans="20:21" x14ac:dyDescent="0.25">
      <c r="T2068" s="98"/>
      <c r="U2068" s="99"/>
    </row>
    <row r="2069" spans="20:21" x14ac:dyDescent="0.25">
      <c r="T2069" s="98"/>
      <c r="U2069" s="99"/>
    </row>
    <row r="2070" spans="20:21" x14ac:dyDescent="0.25">
      <c r="T2070" s="98"/>
      <c r="U2070" s="99"/>
    </row>
    <row r="2071" spans="20:21" x14ac:dyDescent="0.25">
      <c r="T2071" s="98"/>
      <c r="U2071" s="99"/>
    </row>
    <row r="2072" spans="20:21" x14ac:dyDescent="0.25">
      <c r="T2072" s="98"/>
      <c r="U2072" s="99"/>
    </row>
    <row r="2073" spans="20:21" x14ac:dyDescent="0.25">
      <c r="T2073" s="98"/>
      <c r="U2073" s="99"/>
    </row>
    <row r="2074" spans="20:21" x14ac:dyDescent="0.25">
      <c r="T2074" s="98"/>
      <c r="U2074" s="99"/>
    </row>
    <row r="2075" spans="20:21" x14ac:dyDescent="0.25">
      <c r="T2075" s="98"/>
      <c r="U2075" s="99"/>
    </row>
    <row r="2076" spans="20:21" x14ac:dyDescent="0.25">
      <c r="T2076" s="98"/>
      <c r="U2076" s="99"/>
    </row>
    <row r="2077" spans="20:21" x14ac:dyDescent="0.25">
      <c r="T2077" s="98"/>
      <c r="U2077" s="99"/>
    </row>
    <row r="2078" spans="20:21" x14ac:dyDescent="0.25">
      <c r="T2078" s="98"/>
      <c r="U2078" s="99"/>
    </row>
    <row r="2079" spans="20:21" x14ac:dyDescent="0.25">
      <c r="T2079" s="98"/>
      <c r="U2079" s="99"/>
    </row>
    <row r="2080" spans="20:21" x14ac:dyDescent="0.25">
      <c r="T2080" s="98"/>
      <c r="U2080" s="99"/>
    </row>
    <row r="2081" spans="20:21" x14ac:dyDescent="0.25">
      <c r="T2081" s="98"/>
      <c r="U2081" s="99"/>
    </row>
    <row r="2082" spans="20:21" x14ac:dyDescent="0.25">
      <c r="T2082" s="98"/>
      <c r="U2082" s="99"/>
    </row>
    <row r="2083" spans="20:21" x14ac:dyDescent="0.25">
      <c r="T2083" s="98"/>
      <c r="U2083" s="99"/>
    </row>
    <row r="2084" spans="20:21" x14ac:dyDescent="0.25">
      <c r="T2084" s="98"/>
      <c r="U2084" s="99"/>
    </row>
    <row r="2085" spans="20:21" x14ac:dyDescent="0.25">
      <c r="T2085" s="98"/>
      <c r="U2085" s="99"/>
    </row>
    <row r="2086" spans="20:21" x14ac:dyDescent="0.25">
      <c r="T2086" s="98"/>
      <c r="U2086" s="99"/>
    </row>
    <row r="2087" spans="20:21" x14ac:dyDescent="0.25">
      <c r="T2087" s="98"/>
      <c r="U2087" s="99"/>
    </row>
    <row r="2088" spans="20:21" x14ac:dyDescent="0.25">
      <c r="T2088" s="98"/>
      <c r="U2088" s="99"/>
    </row>
    <row r="2089" spans="20:21" x14ac:dyDescent="0.25">
      <c r="T2089" s="98"/>
      <c r="U2089" s="99"/>
    </row>
    <row r="2090" spans="20:21" x14ac:dyDescent="0.25">
      <c r="T2090" s="98"/>
      <c r="U2090" s="99"/>
    </row>
    <row r="2091" spans="20:21" x14ac:dyDescent="0.25">
      <c r="T2091" s="98"/>
      <c r="U2091" s="99"/>
    </row>
    <row r="2092" spans="20:21" x14ac:dyDescent="0.25">
      <c r="T2092" s="98"/>
      <c r="U2092" s="99"/>
    </row>
    <row r="2093" spans="20:21" x14ac:dyDescent="0.25">
      <c r="T2093" s="98"/>
      <c r="U2093" s="99"/>
    </row>
    <row r="2094" spans="20:21" x14ac:dyDescent="0.25">
      <c r="T2094" s="98"/>
      <c r="U2094" s="99"/>
    </row>
    <row r="2095" spans="20:21" x14ac:dyDescent="0.25">
      <c r="T2095" s="98"/>
      <c r="U2095" s="99"/>
    </row>
    <row r="2096" spans="20:21" x14ac:dyDescent="0.25">
      <c r="T2096" s="98"/>
      <c r="U2096" s="99"/>
    </row>
    <row r="2097" spans="20:21" x14ac:dyDescent="0.25">
      <c r="T2097" s="98"/>
      <c r="U2097" s="99"/>
    </row>
    <row r="2098" spans="20:21" x14ac:dyDescent="0.25">
      <c r="T2098" s="98"/>
      <c r="U2098" s="99"/>
    </row>
    <row r="2099" spans="20:21" x14ac:dyDescent="0.25">
      <c r="T2099" s="98"/>
      <c r="U2099" s="99"/>
    </row>
    <row r="2100" spans="20:21" x14ac:dyDescent="0.25">
      <c r="T2100" s="98"/>
      <c r="U2100" s="99"/>
    </row>
    <row r="2101" spans="20:21" x14ac:dyDescent="0.25">
      <c r="T2101" s="98"/>
      <c r="U2101" s="99"/>
    </row>
    <row r="2102" spans="20:21" x14ac:dyDescent="0.25">
      <c r="T2102" s="98"/>
      <c r="U2102" s="99"/>
    </row>
    <row r="2103" spans="20:21" x14ac:dyDescent="0.25">
      <c r="T2103" s="98"/>
      <c r="U2103" s="99"/>
    </row>
    <row r="2104" spans="20:21" x14ac:dyDescent="0.25">
      <c r="T2104" s="98"/>
      <c r="U2104" s="99"/>
    </row>
    <row r="2105" spans="20:21" x14ac:dyDescent="0.25">
      <c r="T2105" s="98"/>
      <c r="U2105" s="99"/>
    </row>
    <row r="2106" spans="20:21" x14ac:dyDescent="0.25">
      <c r="T2106" s="98"/>
      <c r="U2106" s="99"/>
    </row>
    <row r="2107" spans="20:21" x14ac:dyDescent="0.25">
      <c r="T2107" s="98"/>
      <c r="U2107" s="99"/>
    </row>
    <row r="2108" spans="20:21" x14ac:dyDescent="0.25">
      <c r="T2108" s="98"/>
      <c r="U2108" s="99"/>
    </row>
    <row r="2109" spans="20:21" x14ac:dyDescent="0.25">
      <c r="T2109" s="98"/>
      <c r="U2109" s="99"/>
    </row>
    <row r="2110" spans="20:21" x14ac:dyDescent="0.25">
      <c r="T2110" s="98"/>
      <c r="U2110" s="99"/>
    </row>
    <row r="2111" spans="20:21" x14ac:dyDescent="0.25">
      <c r="T2111" s="98"/>
      <c r="U2111" s="99"/>
    </row>
    <row r="2112" spans="20:21" x14ac:dyDescent="0.25">
      <c r="T2112" s="98"/>
      <c r="U2112" s="99"/>
    </row>
    <row r="2113" spans="20:21" x14ac:dyDescent="0.25">
      <c r="T2113" s="98"/>
      <c r="U2113" s="99"/>
    </row>
    <row r="2114" spans="20:21" x14ac:dyDescent="0.25">
      <c r="T2114" s="98"/>
      <c r="U2114" s="99"/>
    </row>
    <row r="2115" spans="20:21" x14ac:dyDescent="0.25">
      <c r="T2115" s="98"/>
      <c r="U2115" s="99"/>
    </row>
    <row r="2116" spans="20:21" x14ac:dyDescent="0.25">
      <c r="T2116" s="98"/>
      <c r="U2116" s="99"/>
    </row>
    <row r="2117" spans="20:21" x14ac:dyDescent="0.25">
      <c r="T2117" s="98"/>
      <c r="U2117" s="99"/>
    </row>
    <row r="2118" spans="20:21" x14ac:dyDescent="0.25">
      <c r="T2118" s="98"/>
      <c r="U2118" s="99"/>
    </row>
    <row r="2119" spans="20:21" x14ac:dyDescent="0.25">
      <c r="T2119" s="98"/>
      <c r="U2119" s="99"/>
    </row>
    <row r="2120" spans="20:21" x14ac:dyDescent="0.25">
      <c r="T2120" s="98"/>
      <c r="U2120" s="99"/>
    </row>
    <row r="2121" spans="20:21" x14ac:dyDescent="0.25">
      <c r="T2121" s="98"/>
      <c r="U2121" s="99"/>
    </row>
    <row r="2122" spans="20:21" x14ac:dyDescent="0.25">
      <c r="T2122" s="98"/>
      <c r="U2122" s="99"/>
    </row>
    <row r="2123" spans="20:21" x14ac:dyDescent="0.25">
      <c r="T2123" s="98"/>
      <c r="U2123" s="99"/>
    </row>
    <row r="2124" spans="20:21" x14ac:dyDescent="0.25">
      <c r="T2124" s="98"/>
      <c r="U2124" s="99"/>
    </row>
    <row r="2125" spans="20:21" x14ac:dyDescent="0.25">
      <c r="T2125" s="98"/>
      <c r="U2125" s="99"/>
    </row>
    <row r="2126" spans="20:21" x14ac:dyDescent="0.25">
      <c r="T2126" s="98"/>
      <c r="U2126" s="99"/>
    </row>
    <row r="2127" spans="20:21" x14ac:dyDescent="0.25">
      <c r="T2127" s="98"/>
      <c r="U2127" s="99"/>
    </row>
    <row r="2128" spans="20:21" x14ac:dyDescent="0.25">
      <c r="T2128" s="98"/>
      <c r="U2128" s="99"/>
    </row>
    <row r="2129" spans="20:21" x14ac:dyDescent="0.25">
      <c r="T2129" s="98"/>
      <c r="U2129" s="99"/>
    </row>
    <row r="2130" spans="20:21" x14ac:dyDescent="0.25">
      <c r="T2130" s="98"/>
      <c r="U2130" s="99"/>
    </row>
    <row r="2131" spans="20:21" x14ac:dyDescent="0.25">
      <c r="T2131" s="98"/>
      <c r="U2131" s="99"/>
    </row>
    <row r="2132" spans="20:21" x14ac:dyDescent="0.25">
      <c r="T2132" s="98"/>
      <c r="U2132" s="99"/>
    </row>
    <row r="2133" spans="20:21" x14ac:dyDescent="0.25">
      <c r="T2133" s="98"/>
      <c r="U2133" s="99"/>
    </row>
    <row r="2134" spans="20:21" x14ac:dyDescent="0.25">
      <c r="T2134" s="98"/>
      <c r="U2134" s="99"/>
    </row>
    <row r="2135" spans="20:21" x14ac:dyDescent="0.25">
      <c r="T2135" s="98"/>
      <c r="U2135" s="99"/>
    </row>
    <row r="2136" spans="20:21" x14ac:dyDescent="0.25">
      <c r="T2136" s="98"/>
      <c r="U2136" s="99"/>
    </row>
    <row r="2137" spans="20:21" x14ac:dyDescent="0.25">
      <c r="T2137" s="98"/>
      <c r="U2137" s="99"/>
    </row>
    <row r="2138" spans="20:21" x14ac:dyDescent="0.25">
      <c r="T2138" s="98"/>
      <c r="U2138" s="99"/>
    </row>
    <row r="2139" spans="20:21" x14ac:dyDescent="0.25">
      <c r="T2139" s="98"/>
      <c r="U2139" s="99"/>
    </row>
    <row r="2140" spans="20:21" x14ac:dyDescent="0.25">
      <c r="T2140" s="98"/>
      <c r="U2140" s="99"/>
    </row>
    <row r="2141" spans="20:21" x14ac:dyDescent="0.25">
      <c r="T2141" s="98"/>
      <c r="U2141" s="99"/>
    </row>
    <row r="2142" spans="20:21" x14ac:dyDescent="0.25">
      <c r="T2142" s="98"/>
      <c r="U2142" s="99"/>
    </row>
    <row r="2143" spans="20:21" x14ac:dyDescent="0.25">
      <c r="T2143" s="98"/>
      <c r="U2143" s="99"/>
    </row>
    <row r="2144" spans="20:21" x14ac:dyDescent="0.25">
      <c r="T2144" s="98"/>
      <c r="U2144" s="99"/>
    </row>
    <row r="2145" spans="20:21" x14ac:dyDescent="0.25">
      <c r="T2145" s="98"/>
      <c r="U2145" s="99"/>
    </row>
    <row r="2146" spans="20:21" x14ac:dyDescent="0.25">
      <c r="T2146" s="98"/>
      <c r="U2146" s="99"/>
    </row>
    <row r="2147" spans="20:21" x14ac:dyDescent="0.25">
      <c r="T2147" s="98"/>
      <c r="U2147" s="99"/>
    </row>
    <row r="2148" spans="20:21" x14ac:dyDescent="0.25">
      <c r="T2148" s="98"/>
      <c r="U2148" s="99"/>
    </row>
    <row r="2149" spans="20:21" x14ac:dyDescent="0.25">
      <c r="T2149" s="98"/>
      <c r="U2149" s="99"/>
    </row>
    <row r="2150" spans="20:21" x14ac:dyDescent="0.25">
      <c r="T2150" s="98"/>
      <c r="U2150" s="99"/>
    </row>
    <row r="2151" spans="20:21" x14ac:dyDescent="0.25">
      <c r="T2151" s="98"/>
      <c r="U2151" s="99"/>
    </row>
    <row r="2152" spans="20:21" x14ac:dyDescent="0.25">
      <c r="T2152" s="98"/>
      <c r="U2152" s="99"/>
    </row>
    <row r="2153" spans="20:21" x14ac:dyDescent="0.25">
      <c r="T2153" s="98"/>
      <c r="U2153" s="99"/>
    </row>
    <row r="2154" spans="20:21" x14ac:dyDescent="0.25">
      <c r="T2154" s="98"/>
      <c r="U2154" s="99"/>
    </row>
    <row r="2155" spans="20:21" x14ac:dyDescent="0.25">
      <c r="T2155" s="98"/>
      <c r="U2155" s="99"/>
    </row>
    <row r="2156" spans="20:21" x14ac:dyDescent="0.25">
      <c r="T2156" s="98"/>
      <c r="U2156" s="99"/>
    </row>
    <row r="2157" spans="20:21" x14ac:dyDescent="0.25">
      <c r="T2157" s="98"/>
      <c r="U2157" s="99"/>
    </row>
    <row r="2158" spans="20:21" x14ac:dyDescent="0.25">
      <c r="T2158" s="98"/>
      <c r="U2158" s="99"/>
    </row>
    <row r="2159" spans="20:21" x14ac:dyDescent="0.25">
      <c r="T2159" s="98"/>
      <c r="U2159" s="99"/>
    </row>
    <row r="2160" spans="20:21" x14ac:dyDescent="0.25">
      <c r="T2160" s="98"/>
      <c r="U2160" s="99"/>
    </row>
    <row r="2161" spans="20:21" x14ac:dyDescent="0.25">
      <c r="T2161" s="98"/>
      <c r="U2161" s="99"/>
    </row>
    <row r="2162" spans="20:21" x14ac:dyDescent="0.25">
      <c r="T2162" s="98"/>
      <c r="U2162" s="99"/>
    </row>
    <row r="2163" spans="20:21" x14ac:dyDescent="0.25">
      <c r="T2163" s="98"/>
      <c r="U2163" s="99"/>
    </row>
    <row r="2164" spans="20:21" x14ac:dyDescent="0.25">
      <c r="T2164" s="98"/>
      <c r="U2164" s="99"/>
    </row>
    <row r="2165" spans="20:21" x14ac:dyDescent="0.25">
      <c r="T2165" s="98"/>
      <c r="U2165" s="99"/>
    </row>
    <row r="2166" spans="20:21" x14ac:dyDescent="0.25">
      <c r="T2166" s="98"/>
      <c r="U2166" s="99"/>
    </row>
    <row r="2167" spans="20:21" x14ac:dyDescent="0.25">
      <c r="T2167" s="98"/>
      <c r="U2167" s="99"/>
    </row>
    <row r="2168" spans="20:21" x14ac:dyDescent="0.25">
      <c r="T2168" s="98"/>
      <c r="U2168" s="99"/>
    </row>
    <row r="2169" spans="20:21" x14ac:dyDescent="0.25">
      <c r="T2169" s="98"/>
      <c r="U2169" s="99"/>
    </row>
    <row r="2170" spans="20:21" x14ac:dyDescent="0.25">
      <c r="T2170" s="98"/>
      <c r="U2170" s="99"/>
    </row>
    <row r="2171" spans="20:21" x14ac:dyDescent="0.25">
      <c r="T2171" s="98"/>
      <c r="U2171" s="99"/>
    </row>
    <row r="2172" spans="20:21" x14ac:dyDescent="0.25">
      <c r="T2172" s="98"/>
      <c r="U2172" s="99"/>
    </row>
    <row r="2173" spans="20:21" x14ac:dyDescent="0.25">
      <c r="T2173" s="98"/>
      <c r="U2173" s="99"/>
    </row>
    <row r="2174" spans="20:21" x14ac:dyDescent="0.25">
      <c r="T2174" s="98"/>
      <c r="U2174" s="99"/>
    </row>
    <row r="2175" spans="20:21" x14ac:dyDescent="0.25">
      <c r="T2175" s="98"/>
      <c r="U2175" s="99"/>
    </row>
    <row r="2176" spans="20:21" x14ac:dyDescent="0.25">
      <c r="T2176" s="98"/>
      <c r="U2176" s="99"/>
    </row>
    <row r="2177" spans="20:21" x14ac:dyDescent="0.25">
      <c r="T2177" s="98"/>
      <c r="U2177" s="99"/>
    </row>
    <row r="2178" spans="20:21" x14ac:dyDescent="0.25">
      <c r="T2178" s="98"/>
      <c r="U2178" s="99"/>
    </row>
    <row r="2179" spans="20:21" x14ac:dyDescent="0.25">
      <c r="T2179" s="98"/>
      <c r="U2179" s="99"/>
    </row>
    <row r="2180" spans="20:21" x14ac:dyDescent="0.25">
      <c r="T2180" s="98"/>
      <c r="U2180" s="99"/>
    </row>
    <row r="2181" spans="20:21" x14ac:dyDescent="0.25">
      <c r="T2181" s="98"/>
      <c r="U2181" s="99"/>
    </row>
    <row r="2182" spans="20:21" x14ac:dyDescent="0.25">
      <c r="T2182" s="98"/>
      <c r="U2182" s="99"/>
    </row>
    <row r="2183" spans="20:21" x14ac:dyDescent="0.25">
      <c r="T2183" s="98"/>
      <c r="U2183" s="99"/>
    </row>
    <row r="2184" spans="20:21" x14ac:dyDescent="0.25">
      <c r="T2184" s="98"/>
      <c r="U2184" s="99"/>
    </row>
    <row r="2185" spans="20:21" x14ac:dyDescent="0.25">
      <c r="T2185" s="98"/>
      <c r="U2185" s="99"/>
    </row>
    <row r="2186" spans="20:21" x14ac:dyDescent="0.25">
      <c r="T2186" s="98"/>
      <c r="U2186" s="99"/>
    </row>
    <row r="2187" spans="20:21" x14ac:dyDescent="0.25">
      <c r="T2187" s="98"/>
      <c r="U2187" s="99"/>
    </row>
    <row r="2188" spans="20:21" x14ac:dyDescent="0.25">
      <c r="T2188" s="98"/>
      <c r="U2188" s="99"/>
    </row>
    <row r="2189" spans="20:21" x14ac:dyDescent="0.25">
      <c r="T2189" s="98"/>
      <c r="U2189" s="99"/>
    </row>
    <row r="2190" spans="20:21" x14ac:dyDescent="0.25">
      <c r="T2190" s="98"/>
      <c r="U2190" s="99"/>
    </row>
    <row r="2191" spans="20:21" x14ac:dyDescent="0.25">
      <c r="T2191" s="98"/>
      <c r="U2191" s="99"/>
    </row>
    <row r="2192" spans="20:21" x14ac:dyDescent="0.25">
      <c r="T2192" s="98"/>
      <c r="U2192" s="99"/>
    </row>
    <row r="2193" spans="20:21" x14ac:dyDescent="0.25">
      <c r="T2193" s="98"/>
      <c r="U2193" s="99"/>
    </row>
    <row r="2194" spans="20:21" x14ac:dyDescent="0.25">
      <c r="T2194" s="98"/>
      <c r="U2194" s="99"/>
    </row>
    <row r="2195" spans="20:21" x14ac:dyDescent="0.25">
      <c r="T2195" s="98"/>
      <c r="U2195" s="99"/>
    </row>
    <row r="2196" spans="20:21" x14ac:dyDescent="0.25">
      <c r="T2196" s="98"/>
      <c r="U2196" s="99"/>
    </row>
    <row r="2197" spans="20:21" x14ac:dyDescent="0.25">
      <c r="T2197" s="98"/>
      <c r="U2197" s="99"/>
    </row>
    <row r="2198" spans="20:21" x14ac:dyDescent="0.25">
      <c r="T2198" s="98"/>
      <c r="U2198" s="99"/>
    </row>
    <row r="2199" spans="20:21" x14ac:dyDescent="0.25">
      <c r="T2199" s="98"/>
      <c r="U2199" s="99"/>
    </row>
    <row r="2200" spans="20:21" x14ac:dyDescent="0.25">
      <c r="T2200" s="98"/>
      <c r="U2200" s="99"/>
    </row>
    <row r="2201" spans="20:21" x14ac:dyDescent="0.25">
      <c r="T2201" s="98"/>
      <c r="U2201" s="99"/>
    </row>
    <row r="2202" spans="20:21" x14ac:dyDescent="0.25">
      <c r="T2202" s="98"/>
      <c r="U2202" s="99"/>
    </row>
    <row r="2203" spans="20:21" x14ac:dyDescent="0.25">
      <c r="T2203" s="98"/>
      <c r="U2203" s="99"/>
    </row>
    <row r="2204" spans="20:21" x14ac:dyDescent="0.25">
      <c r="T2204" s="98"/>
      <c r="U2204" s="99"/>
    </row>
    <row r="2205" spans="20:21" x14ac:dyDescent="0.25">
      <c r="T2205" s="98"/>
      <c r="U2205" s="99"/>
    </row>
    <row r="2206" spans="20:21" x14ac:dyDescent="0.25">
      <c r="T2206" s="98"/>
      <c r="U2206" s="99"/>
    </row>
    <row r="2207" spans="20:21" x14ac:dyDescent="0.25">
      <c r="T2207" s="98"/>
      <c r="U2207" s="99"/>
    </row>
    <row r="2208" spans="20:21" x14ac:dyDescent="0.25">
      <c r="T2208" s="98"/>
      <c r="U2208" s="99"/>
    </row>
    <row r="2209" spans="20:21" x14ac:dyDescent="0.25">
      <c r="T2209" s="98"/>
      <c r="U2209" s="99"/>
    </row>
    <row r="2210" spans="20:21" x14ac:dyDescent="0.25">
      <c r="T2210" s="98"/>
      <c r="U2210" s="99"/>
    </row>
    <row r="2211" spans="20:21" x14ac:dyDescent="0.25">
      <c r="T2211" s="98"/>
      <c r="U2211" s="99"/>
    </row>
    <row r="2212" spans="20:21" x14ac:dyDescent="0.25">
      <c r="T2212" s="98"/>
      <c r="U2212" s="99"/>
    </row>
    <row r="2213" spans="20:21" x14ac:dyDescent="0.25">
      <c r="T2213" s="98"/>
      <c r="U2213" s="99"/>
    </row>
    <row r="2214" spans="20:21" x14ac:dyDescent="0.25">
      <c r="T2214" s="98"/>
      <c r="U2214" s="99"/>
    </row>
    <row r="2215" spans="20:21" x14ac:dyDescent="0.25">
      <c r="T2215" s="98"/>
      <c r="U2215" s="99"/>
    </row>
    <row r="2216" spans="20:21" x14ac:dyDescent="0.25">
      <c r="T2216" s="98"/>
      <c r="U2216" s="99"/>
    </row>
    <row r="2217" spans="20:21" x14ac:dyDescent="0.25">
      <c r="T2217" s="98"/>
      <c r="U2217" s="99"/>
    </row>
    <row r="2218" spans="20:21" x14ac:dyDescent="0.25">
      <c r="T2218" s="98"/>
      <c r="U2218" s="99"/>
    </row>
    <row r="2219" spans="20:21" x14ac:dyDescent="0.25">
      <c r="T2219" s="98"/>
      <c r="U2219" s="99"/>
    </row>
    <row r="2220" spans="20:21" x14ac:dyDescent="0.25">
      <c r="T2220" s="98"/>
      <c r="U2220" s="99"/>
    </row>
    <row r="2221" spans="20:21" x14ac:dyDescent="0.25">
      <c r="T2221" s="98"/>
      <c r="U2221" s="99"/>
    </row>
    <row r="2222" spans="20:21" x14ac:dyDescent="0.25">
      <c r="T2222" s="98"/>
      <c r="U2222" s="99"/>
    </row>
    <row r="2223" spans="20:21" x14ac:dyDescent="0.25">
      <c r="T2223" s="98"/>
      <c r="U2223" s="99"/>
    </row>
    <row r="2224" spans="20:21" x14ac:dyDescent="0.25">
      <c r="T2224" s="98"/>
      <c r="U2224" s="99"/>
    </row>
    <row r="2225" spans="20:21" x14ac:dyDescent="0.25">
      <c r="T2225" s="98"/>
      <c r="U2225" s="99"/>
    </row>
    <row r="2226" spans="20:21" x14ac:dyDescent="0.25">
      <c r="T2226" s="98"/>
      <c r="U2226" s="99"/>
    </row>
    <row r="2227" spans="20:21" x14ac:dyDescent="0.25">
      <c r="T2227" s="98"/>
      <c r="U2227" s="99"/>
    </row>
    <row r="2228" spans="20:21" x14ac:dyDescent="0.25">
      <c r="T2228" s="98"/>
      <c r="U2228" s="99"/>
    </row>
    <row r="2229" spans="20:21" x14ac:dyDescent="0.25">
      <c r="T2229" s="98"/>
      <c r="U2229" s="99"/>
    </row>
    <row r="2230" spans="20:21" x14ac:dyDescent="0.25">
      <c r="T2230" s="98"/>
      <c r="U2230" s="99"/>
    </row>
    <row r="2231" spans="20:21" x14ac:dyDescent="0.25">
      <c r="T2231" s="98"/>
      <c r="U2231" s="99"/>
    </row>
    <row r="2232" spans="20:21" x14ac:dyDescent="0.25">
      <c r="T2232" s="98"/>
      <c r="U2232" s="99"/>
    </row>
    <row r="2233" spans="20:21" x14ac:dyDescent="0.25">
      <c r="T2233" s="98"/>
      <c r="U2233" s="99"/>
    </row>
    <row r="2234" spans="20:21" x14ac:dyDescent="0.25">
      <c r="T2234" s="98"/>
      <c r="U2234" s="99"/>
    </row>
    <row r="2235" spans="20:21" x14ac:dyDescent="0.25">
      <c r="T2235" s="98"/>
      <c r="U2235" s="99"/>
    </row>
    <row r="2236" spans="20:21" x14ac:dyDescent="0.25">
      <c r="T2236" s="98"/>
      <c r="U2236" s="99"/>
    </row>
    <row r="2237" spans="20:21" x14ac:dyDescent="0.25">
      <c r="T2237" s="98"/>
      <c r="U2237" s="99"/>
    </row>
    <row r="2238" spans="20:21" x14ac:dyDescent="0.25">
      <c r="T2238" s="98"/>
      <c r="U2238" s="99"/>
    </row>
    <row r="2239" spans="20:21" x14ac:dyDescent="0.25">
      <c r="T2239" s="98"/>
      <c r="U2239" s="99"/>
    </row>
    <row r="2240" spans="20:21" x14ac:dyDescent="0.25">
      <c r="T2240" s="98"/>
      <c r="U2240" s="99"/>
    </row>
    <row r="2241" spans="20:21" x14ac:dyDescent="0.25">
      <c r="T2241" s="98"/>
      <c r="U2241" s="99"/>
    </row>
    <row r="2242" spans="20:21" x14ac:dyDescent="0.25">
      <c r="T2242" s="98"/>
      <c r="U2242" s="99"/>
    </row>
    <row r="2243" spans="20:21" x14ac:dyDescent="0.25">
      <c r="T2243" s="98"/>
      <c r="U2243" s="99"/>
    </row>
    <row r="2244" spans="20:21" x14ac:dyDescent="0.25">
      <c r="T2244" s="98"/>
      <c r="U2244" s="99"/>
    </row>
    <row r="2245" spans="20:21" x14ac:dyDescent="0.25">
      <c r="T2245" s="98"/>
      <c r="U2245" s="99"/>
    </row>
    <row r="2246" spans="20:21" x14ac:dyDescent="0.25">
      <c r="T2246" s="98"/>
      <c r="U2246" s="99"/>
    </row>
    <row r="2247" spans="20:21" x14ac:dyDescent="0.25">
      <c r="T2247" s="98"/>
      <c r="U2247" s="99"/>
    </row>
    <row r="2248" spans="20:21" x14ac:dyDescent="0.25">
      <c r="T2248" s="98"/>
      <c r="U2248" s="99"/>
    </row>
    <row r="2249" spans="20:21" x14ac:dyDescent="0.25">
      <c r="T2249" s="98"/>
      <c r="U2249" s="99"/>
    </row>
    <row r="2250" spans="20:21" x14ac:dyDescent="0.25">
      <c r="T2250" s="98"/>
      <c r="U2250" s="99"/>
    </row>
    <row r="2251" spans="20:21" x14ac:dyDescent="0.25">
      <c r="T2251" s="98"/>
      <c r="U2251" s="99"/>
    </row>
    <row r="2252" spans="20:21" x14ac:dyDescent="0.25">
      <c r="T2252" s="98"/>
      <c r="U2252" s="99"/>
    </row>
    <row r="2253" spans="20:21" x14ac:dyDescent="0.25">
      <c r="T2253" s="98"/>
      <c r="U2253" s="99"/>
    </row>
    <row r="2254" spans="20:21" x14ac:dyDescent="0.25">
      <c r="T2254" s="98"/>
      <c r="U2254" s="99"/>
    </row>
    <row r="2255" spans="20:21" x14ac:dyDescent="0.25">
      <c r="T2255" s="98"/>
      <c r="U2255" s="99"/>
    </row>
    <row r="2256" spans="20:21" x14ac:dyDescent="0.25">
      <c r="T2256" s="98"/>
      <c r="U2256" s="99"/>
    </row>
    <row r="2257" spans="20:21" x14ac:dyDescent="0.25">
      <c r="T2257" s="98"/>
      <c r="U2257" s="99"/>
    </row>
    <row r="2258" spans="20:21" x14ac:dyDescent="0.25">
      <c r="T2258" s="98"/>
      <c r="U2258" s="99"/>
    </row>
    <row r="2259" spans="20:21" x14ac:dyDescent="0.25">
      <c r="T2259" s="98"/>
      <c r="U2259" s="99"/>
    </row>
    <row r="2260" spans="20:21" x14ac:dyDescent="0.25">
      <c r="T2260" s="98"/>
      <c r="U2260" s="99"/>
    </row>
    <row r="2261" spans="20:21" x14ac:dyDescent="0.25">
      <c r="T2261" s="98"/>
      <c r="U2261" s="99"/>
    </row>
    <row r="2262" spans="20:21" x14ac:dyDescent="0.25">
      <c r="T2262" s="98"/>
      <c r="U2262" s="99"/>
    </row>
    <row r="2263" spans="20:21" x14ac:dyDescent="0.25">
      <c r="T2263" s="98"/>
      <c r="U2263" s="99"/>
    </row>
    <row r="2264" spans="20:21" x14ac:dyDescent="0.25">
      <c r="T2264" s="98"/>
      <c r="U2264" s="99"/>
    </row>
    <row r="2265" spans="20:21" x14ac:dyDescent="0.25">
      <c r="T2265" s="98"/>
      <c r="U2265" s="99"/>
    </row>
    <row r="2266" spans="20:21" x14ac:dyDescent="0.25">
      <c r="T2266" s="98"/>
      <c r="U2266" s="99"/>
    </row>
    <row r="2267" spans="20:21" x14ac:dyDescent="0.25">
      <c r="T2267" s="98"/>
      <c r="U2267" s="99"/>
    </row>
    <row r="2268" spans="20:21" x14ac:dyDescent="0.25">
      <c r="T2268" s="98"/>
      <c r="U2268" s="99"/>
    </row>
    <row r="2269" spans="20:21" x14ac:dyDescent="0.25">
      <c r="T2269" s="98"/>
      <c r="U2269" s="99"/>
    </row>
    <row r="2270" spans="20:21" x14ac:dyDescent="0.25">
      <c r="T2270" s="98"/>
      <c r="U2270" s="99"/>
    </row>
    <row r="2271" spans="20:21" x14ac:dyDescent="0.25">
      <c r="T2271" s="98"/>
      <c r="U2271" s="99"/>
    </row>
    <row r="2272" spans="20:21" x14ac:dyDescent="0.25">
      <c r="T2272" s="98"/>
      <c r="U2272" s="99"/>
    </row>
    <row r="2273" spans="20:21" x14ac:dyDescent="0.25">
      <c r="T2273" s="98"/>
      <c r="U2273" s="99"/>
    </row>
    <row r="2274" spans="20:21" x14ac:dyDescent="0.25">
      <c r="T2274" s="98"/>
      <c r="U2274" s="99"/>
    </row>
    <row r="2275" spans="20:21" x14ac:dyDescent="0.25">
      <c r="T2275" s="98"/>
      <c r="U2275" s="99"/>
    </row>
    <row r="2276" spans="20:21" x14ac:dyDescent="0.25">
      <c r="T2276" s="98"/>
      <c r="U2276" s="99"/>
    </row>
    <row r="2277" spans="20:21" x14ac:dyDescent="0.25">
      <c r="T2277" s="98"/>
      <c r="U2277" s="99"/>
    </row>
    <row r="2278" spans="20:21" x14ac:dyDescent="0.25">
      <c r="T2278" s="98"/>
      <c r="U2278" s="99"/>
    </row>
    <row r="2279" spans="20:21" x14ac:dyDescent="0.25">
      <c r="T2279" s="98"/>
      <c r="U2279" s="99"/>
    </row>
    <row r="2280" spans="20:21" x14ac:dyDescent="0.25">
      <c r="T2280" s="98"/>
      <c r="U2280" s="99"/>
    </row>
    <row r="2281" spans="20:21" x14ac:dyDescent="0.25">
      <c r="T2281" s="98"/>
      <c r="U2281" s="99"/>
    </row>
    <row r="2282" spans="20:21" x14ac:dyDescent="0.25">
      <c r="T2282" s="98"/>
      <c r="U2282" s="99"/>
    </row>
    <row r="2283" spans="20:21" x14ac:dyDescent="0.25">
      <c r="T2283" s="98"/>
      <c r="U2283" s="99"/>
    </row>
    <row r="2284" spans="20:21" x14ac:dyDescent="0.25">
      <c r="T2284" s="98"/>
      <c r="U2284" s="99"/>
    </row>
    <row r="2285" spans="20:21" x14ac:dyDescent="0.25">
      <c r="T2285" s="98"/>
      <c r="U2285" s="99"/>
    </row>
    <row r="2286" spans="20:21" x14ac:dyDescent="0.25">
      <c r="T2286" s="98"/>
      <c r="U2286" s="99"/>
    </row>
    <row r="2287" spans="20:21" x14ac:dyDescent="0.25">
      <c r="T2287" s="98"/>
      <c r="U2287" s="99"/>
    </row>
    <row r="2288" spans="20:21" x14ac:dyDescent="0.25">
      <c r="T2288" s="98"/>
      <c r="U2288" s="99"/>
    </row>
    <row r="2289" spans="20:21" x14ac:dyDescent="0.25">
      <c r="T2289" s="98"/>
      <c r="U2289" s="99"/>
    </row>
    <row r="2290" spans="20:21" x14ac:dyDescent="0.25">
      <c r="T2290" s="98"/>
      <c r="U2290" s="99"/>
    </row>
    <row r="2291" spans="20:21" x14ac:dyDescent="0.25">
      <c r="T2291" s="98"/>
      <c r="U2291" s="99"/>
    </row>
    <row r="2292" spans="20:21" x14ac:dyDescent="0.25">
      <c r="T2292" s="98"/>
      <c r="U2292" s="99"/>
    </row>
    <row r="2293" spans="20:21" x14ac:dyDescent="0.25">
      <c r="T2293" s="98"/>
      <c r="U2293" s="99"/>
    </row>
    <row r="2294" spans="20:21" x14ac:dyDescent="0.25">
      <c r="T2294" s="98"/>
      <c r="U2294" s="99"/>
    </row>
    <row r="2295" spans="20:21" x14ac:dyDescent="0.25">
      <c r="T2295" s="98"/>
      <c r="U2295" s="99"/>
    </row>
    <row r="2296" spans="20:21" x14ac:dyDescent="0.25">
      <c r="T2296" s="98"/>
      <c r="U2296" s="99"/>
    </row>
    <row r="2297" spans="20:21" x14ac:dyDescent="0.25">
      <c r="T2297" s="98"/>
      <c r="U2297" s="99"/>
    </row>
    <row r="2298" spans="20:21" x14ac:dyDescent="0.25">
      <c r="T2298" s="98"/>
      <c r="U2298" s="99"/>
    </row>
    <row r="2299" spans="20:21" x14ac:dyDescent="0.25">
      <c r="T2299" s="98"/>
      <c r="U2299" s="99"/>
    </row>
    <row r="2300" spans="20:21" x14ac:dyDescent="0.25">
      <c r="T2300" s="98"/>
      <c r="U2300" s="99"/>
    </row>
    <row r="2301" spans="20:21" x14ac:dyDescent="0.25">
      <c r="T2301" s="98"/>
      <c r="U2301" s="99"/>
    </row>
    <row r="2302" spans="20:21" x14ac:dyDescent="0.25">
      <c r="T2302" s="98"/>
      <c r="U2302" s="99"/>
    </row>
    <row r="2303" spans="20:21" x14ac:dyDescent="0.25">
      <c r="T2303" s="98"/>
      <c r="U2303" s="99"/>
    </row>
    <row r="2304" spans="20:21" x14ac:dyDescent="0.25">
      <c r="T2304" s="98"/>
      <c r="U2304" s="99"/>
    </row>
    <row r="2305" spans="20:21" x14ac:dyDescent="0.25">
      <c r="T2305" s="98"/>
      <c r="U2305" s="99"/>
    </row>
    <row r="2306" spans="20:21" x14ac:dyDescent="0.25">
      <c r="T2306" s="98"/>
      <c r="U2306" s="99"/>
    </row>
    <row r="2307" spans="20:21" x14ac:dyDescent="0.25">
      <c r="T2307" s="98"/>
      <c r="U2307" s="99"/>
    </row>
    <row r="2308" spans="20:21" x14ac:dyDescent="0.25">
      <c r="T2308" s="98"/>
      <c r="U2308" s="99"/>
    </row>
    <row r="2309" spans="20:21" x14ac:dyDescent="0.25">
      <c r="T2309" s="98"/>
      <c r="U2309" s="99"/>
    </row>
    <row r="2310" spans="20:21" x14ac:dyDescent="0.25">
      <c r="T2310" s="98"/>
      <c r="U2310" s="99"/>
    </row>
    <row r="2311" spans="20:21" x14ac:dyDescent="0.25">
      <c r="T2311" s="98"/>
      <c r="U2311" s="99"/>
    </row>
    <row r="2312" spans="20:21" x14ac:dyDescent="0.25">
      <c r="T2312" s="98"/>
      <c r="U2312" s="99"/>
    </row>
    <row r="2313" spans="20:21" x14ac:dyDescent="0.25">
      <c r="T2313" s="98"/>
      <c r="U2313" s="99"/>
    </row>
    <row r="2314" spans="20:21" x14ac:dyDescent="0.25">
      <c r="T2314" s="98"/>
      <c r="U2314" s="99"/>
    </row>
    <row r="2315" spans="20:21" x14ac:dyDescent="0.25">
      <c r="T2315" s="98"/>
      <c r="U2315" s="99"/>
    </row>
    <row r="2316" spans="20:21" x14ac:dyDescent="0.25">
      <c r="T2316" s="98"/>
      <c r="U2316" s="99"/>
    </row>
    <row r="2317" spans="20:21" x14ac:dyDescent="0.25">
      <c r="T2317" s="98"/>
      <c r="U2317" s="99"/>
    </row>
    <row r="2318" spans="20:21" x14ac:dyDescent="0.25">
      <c r="T2318" s="98"/>
      <c r="U2318" s="99"/>
    </row>
    <row r="2319" spans="20:21" x14ac:dyDescent="0.25">
      <c r="T2319" s="98"/>
      <c r="U2319" s="99"/>
    </row>
    <row r="2320" spans="20:21" x14ac:dyDescent="0.25">
      <c r="T2320" s="98"/>
      <c r="U2320" s="99"/>
    </row>
    <row r="2321" spans="20:21" x14ac:dyDescent="0.25">
      <c r="T2321" s="98"/>
      <c r="U2321" s="99"/>
    </row>
    <row r="2322" spans="20:21" x14ac:dyDescent="0.25">
      <c r="T2322" s="98"/>
      <c r="U2322" s="99"/>
    </row>
    <row r="2323" spans="20:21" x14ac:dyDescent="0.25">
      <c r="T2323" s="98"/>
      <c r="U2323" s="99"/>
    </row>
    <row r="2324" spans="20:21" x14ac:dyDescent="0.25">
      <c r="T2324" s="98"/>
      <c r="U2324" s="99"/>
    </row>
    <row r="2325" spans="20:21" x14ac:dyDescent="0.25">
      <c r="T2325" s="98"/>
      <c r="U2325" s="99"/>
    </row>
    <row r="2326" spans="20:21" x14ac:dyDescent="0.25">
      <c r="T2326" s="98"/>
      <c r="U2326" s="99"/>
    </row>
    <row r="2327" spans="20:21" x14ac:dyDescent="0.25">
      <c r="T2327" s="98"/>
      <c r="U2327" s="99"/>
    </row>
    <row r="2328" spans="20:21" x14ac:dyDescent="0.25">
      <c r="T2328" s="98"/>
      <c r="U2328" s="99"/>
    </row>
    <row r="2329" spans="20:21" x14ac:dyDescent="0.25">
      <c r="T2329" s="98"/>
      <c r="U2329" s="99"/>
    </row>
    <row r="2330" spans="20:21" x14ac:dyDescent="0.25">
      <c r="T2330" s="98"/>
      <c r="U2330" s="99"/>
    </row>
    <row r="2331" spans="20:21" x14ac:dyDescent="0.25">
      <c r="T2331" s="98"/>
      <c r="U2331" s="99"/>
    </row>
    <row r="2332" spans="20:21" x14ac:dyDescent="0.25">
      <c r="T2332" s="98"/>
      <c r="U2332" s="99"/>
    </row>
    <row r="2333" spans="20:21" x14ac:dyDescent="0.25">
      <c r="T2333" s="98"/>
      <c r="U2333" s="99"/>
    </row>
    <row r="2334" spans="20:21" x14ac:dyDescent="0.25">
      <c r="T2334" s="98"/>
      <c r="U2334" s="99"/>
    </row>
    <row r="2335" spans="20:21" x14ac:dyDescent="0.25">
      <c r="T2335" s="98"/>
      <c r="U2335" s="99"/>
    </row>
    <row r="2336" spans="20:21" x14ac:dyDescent="0.25">
      <c r="T2336" s="98"/>
      <c r="U2336" s="99"/>
    </row>
    <row r="2337" spans="20:21" x14ac:dyDescent="0.25">
      <c r="T2337" s="98"/>
      <c r="U2337" s="99"/>
    </row>
    <row r="2338" spans="20:21" x14ac:dyDescent="0.25">
      <c r="T2338" s="98"/>
      <c r="U2338" s="99"/>
    </row>
    <row r="2339" spans="20:21" x14ac:dyDescent="0.25">
      <c r="T2339" s="98"/>
      <c r="U2339" s="99"/>
    </row>
    <row r="2340" spans="20:21" x14ac:dyDescent="0.25">
      <c r="T2340" s="98"/>
      <c r="U2340" s="99"/>
    </row>
    <row r="2341" spans="20:21" x14ac:dyDescent="0.25">
      <c r="T2341" s="98"/>
      <c r="U2341" s="99"/>
    </row>
    <row r="2342" spans="20:21" x14ac:dyDescent="0.25">
      <c r="T2342" s="98"/>
      <c r="U2342" s="99"/>
    </row>
    <row r="2343" spans="20:21" x14ac:dyDescent="0.25">
      <c r="T2343" s="98"/>
      <c r="U2343" s="99"/>
    </row>
    <row r="2344" spans="20:21" x14ac:dyDescent="0.25">
      <c r="T2344" s="98"/>
      <c r="U2344" s="99"/>
    </row>
    <row r="2345" spans="20:21" x14ac:dyDescent="0.25">
      <c r="T2345" s="98"/>
      <c r="U2345" s="99"/>
    </row>
    <row r="2346" spans="20:21" x14ac:dyDescent="0.25">
      <c r="T2346" s="98"/>
      <c r="U2346" s="99"/>
    </row>
    <row r="2347" spans="20:21" x14ac:dyDescent="0.25">
      <c r="T2347" s="98"/>
      <c r="U2347" s="99"/>
    </row>
    <row r="2348" spans="20:21" x14ac:dyDescent="0.25">
      <c r="T2348" s="98"/>
      <c r="U2348" s="99"/>
    </row>
    <row r="2349" spans="20:21" x14ac:dyDescent="0.25">
      <c r="T2349" s="98"/>
      <c r="U2349" s="99"/>
    </row>
    <row r="2350" spans="20:21" x14ac:dyDescent="0.25">
      <c r="T2350" s="98"/>
      <c r="U2350" s="99"/>
    </row>
    <row r="2351" spans="20:21" x14ac:dyDescent="0.25">
      <c r="T2351" s="98"/>
      <c r="U2351" s="99"/>
    </row>
    <row r="2352" spans="20:21" x14ac:dyDescent="0.25">
      <c r="T2352" s="98"/>
      <c r="U2352" s="99"/>
    </row>
    <row r="2353" spans="20:21" x14ac:dyDescent="0.25">
      <c r="T2353" s="98"/>
      <c r="U2353" s="99"/>
    </row>
    <row r="2354" spans="20:21" x14ac:dyDescent="0.25">
      <c r="T2354" s="98"/>
      <c r="U2354" s="99"/>
    </row>
    <row r="2355" spans="20:21" x14ac:dyDescent="0.25">
      <c r="T2355" s="98"/>
      <c r="U2355" s="99"/>
    </row>
    <row r="2356" spans="20:21" x14ac:dyDescent="0.25">
      <c r="T2356" s="98"/>
      <c r="U2356" s="99"/>
    </row>
    <row r="2357" spans="20:21" x14ac:dyDescent="0.25">
      <c r="T2357" s="98"/>
      <c r="U2357" s="99"/>
    </row>
    <row r="2358" spans="20:21" x14ac:dyDescent="0.25">
      <c r="T2358" s="98"/>
      <c r="U2358" s="99"/>
    </row>
    <row r="2359" spans="20:21" x14ac:dyDescent="0.25">
      <c r="T2359" s="98"/>
      <c r="U2359" s="99"/>
    </row>
    <row r="2360" spans="20:21" x14ac:dyDescent="0.25">
      <c r="T2360" s="98"/>
      <c r="U2360" s="99"/>
    </row>
    <row r="2361" spans="20:21" x14ac:dyDescent="0.25">
      <c r="T2361" s="98"/>
      <c r="U2361" s="99"/>
    </row>
    <row r="2362" spans="20:21" x14ac:dyDescent="0.25">
      <c r="T2362" s="98"/>
      <c r="U2362" s="99"/>
    </row>
    <row r="2363" spans="20:21" x14ac:dyDescent="0.25">
      <c r="T2363" s="98"/>
      <c r="U2363" s="99"/>
    </row>
    <row r="2364" spans="20:21" x14ac:dyDescent="0.25">
      <c r="T2364" s="98"/>
      <c r="U2364" s="99"/>
    </row>
    <row r="2365" spans="20:21" x14ac:dyDescent="0.25">
      <c r="T2365" s="98"/>
      <c r="U2365" s="99"/>
    </row>
    <row r="2366" spans="20:21" x14ac:dyDescent="0.25">
      <c r="T2366" s="98"/>
      <c r="U2366" s="99"/>
    </row>
    <row r="2367" spans="20:21" x14ac:dyDescent="0.25">
      <c r="T2367" s="98"/>
      <c r="U2367" s="99"/>
    </row>
    <row r="2368" spans="20:21" x14ac:dyDescent="0.25">
      <c r="T2368" s="98"/>
      <c r="U2368" s="99"/>
    </row>
    <row r="2369" spans="20:21" x14ac:dyDescent="0.25">
      <c r="T2369" s="98"/>
      <c r="U2369" s="99"/>
    </row>
    <row r="2370" spans="20:21" x14ac:dyDescent="0.25">
      <c r="T2370" s="98"/>
      <c r="U2370" s="99"/>
    </row>
    <row r="2371" spans="20:21" x14ac:dyDescent="0.25">
      <c r="T2371" s="98"/>
      <c r="U2371" s="99"/>
    </row>
    <row r="2372" spans="20:21" x14ac:dyDescent="0.25">
      <c r="T2372" s="98"/>
      <c r="U2372" s="99"/>
    </row>
    <row r="2373" spans="20:21" x14ac:dyDescent="0.25">
      <c r="T2373" s="98"/>
      <c r="U2373" s="99"/>
    </row>
    <row r="2374" spans="20:21" x14ac:dyDescent="0.25">
      <c r="T2374" s="98"/>
      <c r="U2374" s="99"/>
    </row>
    <row r="2375" spans="20:21" x14ac:dyDescent="0.25">
      <c r="T2375" s="98"/>
      <c r="U2375" s="99"/>
    </row>
    <row r="2376" spans="20:21" x14ac:dyDescent="0.25">
      <c r="T2376" s="98"/>
      <c r="U2376" s="99"/>
    </row>
    <row r="2377" spans="20:21" x14ac:dyDescent="0.25">
      <c r="T2377" s="98"/>
      <c r="U2377" s="99"/>
    </row>
    <row r="2378" spans="20:21" x14ac:dyDescent="0.25">
      <c r="T2378" s="98"/>
      <c r="U2378" s="99"/>
    </row>
    <row r="2379" spans="20:21" x14ac:dyDescent="0.25">
      <c r="T2379" s="98"/>
      <c r="U2379" s="99"/>
    </row>
    <row r="2380" spans="20:21" x14ac:dyDescent="0.25">
      <c r="T2380" s="98"/>
      <c r="U2380" s="99"/>
    </row>
    <row r="2381" spans="20:21" x14ac:dyDescent="0.25">
      <c r="T2381" s="98"/>
      <c r="U2381" s="99"/>
    </row>
    <row r="2382" spans="20:21" x14ac:dyDescent="0.25">
      <c r="T2382" s="98"/>
      <c r="U2382" s="99"/>
    </row>
    <row r="2383" spans="20:21" x14ac:dyDescent="0.25">
      <c r="T2383" s="98"/>
      <c r="U2383" s="99"/>
    </row>
    <row r="2384" spans="20:21" x14ac:dyDescent="0.25">
      <c r="T2384" s="98"/>
      <c r="U2384" s="99"/>
    </row>
    <row r="2385" spans="20:21" x14ac:dyDescent="0.25">
      <c r="T2385" s="98"/>
      <c r="U2385" s="99"/>
    </row>
    <row r="2386" spans="20:21" x14ac:dyDescent="0.25">
      <c r="T2386" s="98"/>
      <c r="U2386" s="99"/>
    </row>
    <row r="2387" spans="20:21" x14ac:dyDescent="0.25">
      <c r="T2387" s="98"/>
      <c r="U2387" s="99"/>
    </row>
    <row r="2388" spans="20:21" x14ac:dyDescent="0.25">
      <c r="T2388" s="98"/>
      <c r="U2388" s="99"/>
    </row>
    <row r="2389" spans="20:21" x14ac:dyDescent="0.25">
      <c r="T2389" s="98"/>
      <c r="U2389" s="99"/>
    </row>
    <row r="2390" spans="20:21" x14ac:dyDescent="0.25">
      <c r="T2390" s="98"/>
      <c r="U2390" s="99"/>
    </row>
    <row r="2391" spans="20:21" x14ac:dyDescent="0.25">
      <c r="T2391" s="98"/>
      <c r="U2391" s="99"/>
    </row>
    <row r="2392" spans="20:21" x14ac:dyDescent="0.25">
      <c r="T2392" s="98"/>
      <c r="U2392" s="99"/>
    </row>
    <row r="2393" spans="20:21" x14ac:dyDescent="0.25">
      <c r="T2393" s="98"/>
      <c r="U2393" s="99"/>
    </row>
    <row r="2394" spans="20:21" x14ac:dyDescent="0.25">
      <c r="T2394" s="98"/>
      <c r="U2394" s="99"/>
    </row>
    <row r="2395" spans="20:21" x14ac:dyDescent="0.25">
      <c r="T2395" s="98"/>
      <c r="U2395" s="99"/>
    </row>
    <row r="2396" spans="20:21" x14ac:dyDescent="0.25">
      <c r="T2396" s="98"/>
      <c r="U2396" s="99"/>
    </row>
    <row r="2397" spans="20:21" x14ac:dyDescent="0.25">
      <c r="T2397" s="98"/>
      <c r="U2397" s="99"/>
    </row>
    <row r="2398" spans="20:21" x14ac:dyDescent="0.25">
      <c r="T2398" s="98"/>
      <c r="U2398" s="99"/>
    </row>
    <row r="2399" spans="20:21" x14ac:dyDescent="0.25">
      <c r="T2399" s="98"/>
      <c r="U2399" s="99"/>
    </row>
    <row r="2400" spans="20:21" x14ac:dyDescent="0.25">
      <c r="T2400" s="98"/>
      <c r="U2400" s="99"/>
    </row>
    <row r="2401" spans="20:21" x14ac:dyDescent="0.25">
      <c r="T2401" s="98"/>
      <c r="U2401" s="99"/>
    </row>
    <row r="2402" spans="20:21" x14ac:dyDescent="0.25">
      <c r="T2402" s="98"/>
      <c r="U2402" s="99"/>
    </row>
    <row r="2403" spans="20:21" x14ac:dyDescent="0.25">
      <c r="T2403" s="98"/>
      <c r="U2403" s="99"/>
    </row>
    <row r="2404" spans="20:21" x14ac:dyDescent="0.25">
      <c r="T2404" s="98"/>
      <c r="U2404" s="99"/>
    </row>
    <row r="2405" spans="20:21" x14ac:dyDescent="0.25">
      <c r="T2405" s="98"/>
      <c r="U2405" s="99"/>
    </row>
    <row r="2406" spans="20:21" x14ac:dyDescent="0.25">
      <c r="T2406" s="98"/>
      <c r="U2406" s="99"/>
    </row>
    <row r="2407" spans="20:21" x14ac:dyDescent="0.25">
      <c r="T2407" s="98"/>
      <c r="U2407" s="99"/>
    </row>
    <row r="2408" spans="20:21" x14ac:dyDescent="0.25">
      <c r="T2408" s="98"/>
      <c r="U2408" s="99"/>
    </row>
    <row r="2409" spans="20:21" x14ac:dyDescent="0.25">
      <c r="T2409" s="98"/>
      <c r="U2409" s="99"/>
    </row>
    <row r="2410" spans="20:21" x14ac:dyDescent="0.25">
      <c r="T2410" s="98"/>
      <c r="U2410" s="99"/>
    </row>
    <row r="2411" spans="20:21" x14ac:dyDescent="0.25">
      <c r="T2411" s="98"/>
      <c r="U2411" s="99"/>
    </row>
    <row r="2412" spans="20:21" x14ac:dyDescent="0.25">
      <c r="T2412" s="98"/>
      <c r="U2412" s="99"/>
    </row>
    <row r="2413" spans="20:21" x14ac:dyDescent="0.25">
      <c r="T2413" s="98"/>
      <c r="U2413" s="99"/>
    </row>
    <row r="2414" spans="20:21" x14ac:dyDescent="0.25">
      <c r="T2414" s="98"/>
      <c r="U2414" s="99"/>
    </row>
    <row r="2415" spans="20:21" x14ac:dyDescent="0.25">
      <c r="T2415" s="98"/>
      <c r="U2415" s="99"/>
    </row>
    <row r="2416" spans="20:21" x14ac:dyDescent="0.25">
      <c r="T2416" s="98"/>
      <c r="U2416" s="99"/>
    </row>
    <row r="2417" spans="20:21" x14ac:dyDescent="0.25">
      <c r="T2417" s="98"/>
      <c r="U2417" s="99"/>
    </row>
    <row r="2418" spans="20:21" x14ac:dyDescent="0.25">
      <c r="T2418" s="98"/>
      <c r="U2418" s="99"/>
    </row>
    <row r="2419" spans="20:21" x14ac:dyDescent="0.25">
      <c r="T2419" s="98"/>
      <c r="U2419" s="99"/>
    </row>
    <row r="2420" spans="20:21" x14ac:dyDescent="0.25">
      <c r="T2420" s="98"/>
      <c r="U2420" s="99"/>
    </row>
    <row r="2421" spans="20:21" x14ac:dyDescent="0.25">
      <c r="T2421" s="98"/>
      <c r="U2421" s="99"/>
    </row>
    <row r="2422" spans="20:21" x14ac:dyDescent="0.25">
      <c r="T2422" s="98"/>
      <c r="U2422" s="99"/>
    </row>
    <row r="2423" spans="20:21" x14ac:dyDescent="0.25">
      <c r="T2423" s="98"/>
      <c r="U2423" s="99"/>
    </row>
    <row r="2424" spans="20:21" x14ac:dyDescent="0.25">
      <c r="T2424" s="98"/>
      <c r="U2424" s="99"/>
    </row>
    <row r="2425" spans="20:21" x14ac:dyDescent="0.25">
      <c r="T2425" s="98"/>
      <c r="U2425" s="99"/>
    </row>
    <row r="2426" spans="20:21" x14ac:dyDescent="0.25">
      <c r="T2426" s="98"/>
      <c r="U2426" s="99"/>
    </row>
    <row r="2427" spans="20:21" x14ac:dyDescent="0.25">
      <c r="T2427" s="98"/>
      <c r="U2427" s="99"/>
    </row>
    <row r="2428" spans="20:21" x14ac:dyDescent="0.25">
      <c r="T2428" s="98"/>
      <c r="U2428" s="99"/>
    </row>
    <row r="2429" spans="20:21" x14ac:dyDescent="0.25">
      <c r="T2429" s="98"/>
      <c r="U2429" s="99"/>
    </row>
    <row r="2430" spans="20:21" x14ac:dyDescent="0.25">
      <c r="T2430" s="98"/>
      <c r="U2430" s="99"/>
    </row>
    <row r="2431" spans="20:21" x14ac:dyDescent="0.25">
      <c r="T2431" s="98"/>
      <c r="U2431" s="99"/>
    </row>
    <row r="2432" spans="20:21" x14ac:dyDescent="0.25">
      <c r="T2432" s="98"/>
      <c r="U2432" s="99"/>
    </row>
    <row r="2433" spans="20:21" x14ac:dyDescent="0.25">
      <c r="T2433" s="98"/>
      <c r="U2433" s="99"/>
    </row>
    <row r="2434" spans="20:21" x14ac:dyDescent="0.25">
      <c r="T2434" s="98"/>
      <c r="U2434" s="99"/>
    </row>
    <row r="2435" spans="20:21" x14ac:dyDescent="0.25">
      <c r="T2435" s="98"/>
      <c r="U2435" s="99"/>
    </row>
    <row r="2436" spans="20:21" x14ac:dyDescent="0.25">
      <c r="T2436" s="98"/>
      <c r="U2436" s="99"/>
    </row>
    <row r="2437" spans="20:21" x14ac:dyDescent="0.25">
      <c r="T2437" s="98"/>
      <c r="U2437" s="99"/>
    </row>
    <row r="2438" spans="20:21" x14ac:dyDescent="0.25">
      <c r="T2438" s="98"/>
      <c r="U2438" s="99"/>
    </row>
    <row r="2439" spans="20:21" x14ac:dyDescent="0.25">
      <c r="T2439" s="98"/>
      <c r="U2439" s="99"/>
    </row>
    <row r="2440" spans="20:21" x14ac:dyDescent="0.25">
      <c r="T2440" s="98"/>
      <c r="U2440" s="99"/>
    </row>
    <row r="2441" spans="20:21" x14ac:dyDescent="0.25">
      <c r="T2441" s="98"/>
      <c r="U2441" s="99"/>
    </row>
    <row r="2442" spans="20:21" x14ac:dyDescent="0.25">
      <c r="T2442" s="98"/>
      <c r="U2442" s="99"/>
    </row>
    <row r="2443" spans="20:21" x14ac:dyDescent="0.25">
      <c r="T2443" s="98"/>
      <c r="U2443" s="99"/>
    </row>
    <row r="2444" spans="20:21" x14ac:dyDescent="0.25">
      <c r="T2444" s="98"/>
      <c r="U2444" s="99"/>
    </row>
    <row r="2445" spans="20:21" x14ac:dyDescent="0.25">
      <c r="T2445" s="98"/>
      <c r="U2445" s="99"/>
    </row>
    <row r="2446" spans="20:21" x14ac:dyDescent="0.25">
      <c r="T2446" s="98"/>
      <c r="U2446" s="99"/>
    </row>
    <row r="2447" spans="20:21" x14ac:dyDescent="0.25">
      <c r="T2447" s="98"/>
      <c r="U2447" s="99"/>
    </row>
    <row r="2448" spans="20:21" x14ac:dyDescent="0.25">
      <c r="T2448" s="98"/>
      <c r="U2448" s="99"/>
    </row>
    <row r="2449" spans="20:21" x14ac:dyDescent="0.25">
      <c r="T2449" s="98"/>
      <c r="U2449" s="99"/>
    </row>
    <row r="2450" spans="20:21" x14ac:dyDescent="0.25">
      <c r="T2450" s="98"/>
      <c r="U2450" s="99"/>
    </row>
    <row r="2451" spans="20:21" x14ac:dyDescent="0.25">
      <c r="T2451" s="98"/>
      <c r="U2451" s="99"/>
    </row>
    <row r="2452" spans="20:21" x14ac:dyDescent="0.25">
      <c r="T2452" s="98"/>
      <c r="U2452" s="99"/>
    </row>
    <row r="2453" spans="20:21" x14ac:dyDescent="0.25">
      <c r="T2453" s="98"/>
      <c r="U2453" s="99"/>
    </row>
    <row r="2454" spans="20:21" x14ac:dyDescent="0.25">
      <c r="T2454" s="98"/>
      <c r="U2454" s="99"/>
    </row>
    <row r="2455" spans="20:21" x14ac:dyDescent="0.25">
      <c r="T2455" s="98"/>
      <c r="U2455" s="99"/>
    </row>
    <row r="2456" spans="20:21" x14ac:dyDescent="0.25">
      <c r="T2456" s="98"/>
      <c r="U2456" s="99"/>
    </row>
    <row r="2457" spans="20:21" x14ac:dyDescent="0.25">
      <c r="T2457" s="98"/>
      <c r="U2457" s="99"/>
    </row>
    <row r="2458" spans="20:21" x14ac:dyDescent="0.25">
      <c r="T2458" s="98"/>
      <c r="U2458" s="99"/>
    </row>
    <row r="2459" spans="20:21" x14ac:dyDescent="0.25">
      <c r="T2459" s="98"/>
      <c r="U2459" s="99"/>
    </row>
    <row r="2460" spans="20:21" x14ac:dyDescent="0.25">
      <c r="T2460" s="98"/>
      <c r="U2460" s="99"/>
    </row>
    <row r="2461" spans="20:21" x14ac:dyDescent="0.25">
      <c r="T2461" s="98"/>
      <c r="U2461" s="99"/>
    </row>
    <row r="2462" spans="20:21" x14ac:dyDescent="0.25">
      <c r="T2462" s="98"/>
      <c r="U2462" s="99"/>
    </row>
    <row r="2463" spans="20:21" x14ac:dyDescent="0.25">
      <c r="T2463" s="98"/>
      <c r="U2463" s="99"/>
    </row>
    <row r="2464" spans="20:21" x14ac:dyDescent="0.25">
      <c r="T2464" s="98"/>
      <c r="U2464" s="99"/>
    </row>
    <row r="2465" spans="20:21" x14ac:dyDescent="0.25">
      <c r="T2465" s="98"/>
      <c r="U2465" s="99"/>
    </row>
    <row r="2466" spans="20:21" x14ac:dyDescent="0.25">
      <c r="T2466" s="98"/>
      <c r="U2466" s="99"/>
    </row>
    <row r="2467" spans="20:21" x14ac:dyDescent="0.25">
      <c r="T2467" s="98"/>
      <c r="U2467" s="99"/>
    </row>
    <row r="2468" spans="20:21" x14ac:dyDescent="0.25">
      <c r="T2468" s="98"/>
      <c r="U2468" s="99"/>
    </row>
    <row r="2469" spans="20:21" x14ac:dyDescent="0.25">
      <c r="T2469" s="98"/>
      <c r="U2469" s="99"/>
    </row>
    <row r="2470" spans="20:21" x14ac:dyDescent="0.25">
      <c r="T2470" s="98"/>
      <c r="U2470" s="99"/>
    </row>
    <row r="2471" spans="20:21" x14ac:dyDescent="0.25">
      <c r="T2471" s="98"/>
      <c r="U2471" s="99"/>
    </row>
    <row r="2472" spans="20:21" x14ac:dyDescent="0.25">
      <c r="T2472" s="98"/>
      <c r="U2472" s="99"/>
    </row>
    <row r="2473" spans="20:21" x14ac:dyDescent="0.25">
      <c r="T2473" s="98"/>
      <c r="U2473" s="99"/>
    </row>
    <row r="2474" spans="20:21" x14ac:dyDescent="0.25">
      <c r="T2474" s="98"/>
      <c r="U2474" s="99"/>
    </row>
    <row r="2475" spans="20:21" x14ac:dyDescent="0.25">
      <c r="T2475" s="98"/>
      <c r="U2475" s="99"/>
    </row>
    <row r="2476" spans="20:21" x14ac:dyDescent="0.25">
      <c r="T2476" s="98"/>
      <c r="U2476" s="99"/>
    </row>
    <row r="2477" spans="20:21" x14ac:dyDescent="0.25">
      <c r="T2477" s="98"/>
      <c r="U2477" s="99"/>
    </row>
    <row r="2478" spans="20:21" x14ac:dyDescent="0.25">
      <c r="T2478" s="98"/>
      <c r="U2478" s="99"/>
    </row>
    <row r="2479" spans="20:21" x14ac:dyDescent="0.25">
      <c r="T2479" s="98"/>
      <c r="U2479" s="99"/>
    </row>
    <row r="2480" spans="20:21" x14ac:dyDescent="0.25">
      <c r="T2480" s="98"/>
      <c r="U2480" s="99"/>
    </row>
    <row r="2481" spans="20:21" x14ac:dyDescent="0.25">
      <c r="T2481" s="98"/>
      <c r="U2481" s="99"/>
    </row>
    <row r="2482" spans="20:21" x14ac:dyDescent="0.25">
      <c r="T2482" s="98"/>
      <c r="U2482" s="99"/>
    </row>
    <row r="2483" spans="20:21" x14ac:dyDescent="0.25">
      <c r="T2483" s="98"/>
      <c r="U2483" s="99"/>
    </row>
    <row r="2484" spans="20:21" x14ac:dyDescent="0.25">
      <c r="T2484" s="98"/>
      <c r="U2484" s="99"/>
    </row>
    <row r="2485" spans="20:21" x14ac:dyDescent="0.25">
      <c r="T2485" s="98"/>
      <c r="U2485" s="99"/>
    </row>
    <row r="2486" spans="20:21" x14ac:dyDescent="0.25">
      <c r="T2486" s="98"/>
      <c r="U2486" s="99"/>
    </row>
    <row r="2487" spans="20:21" x14ac:dyDescent="0.25">
      <c r="T2487" s="98"/>
      <c r="U2487" s="99"/>
    </row>
    <row r="2488" spans="20:21" x14ac:dyDescent="0.25">
      <c r="T2488" s="98"/>
      <c r="U2488" s="99"/>
    </row>
    <row r="2489" spans="20:21" x14ac:dyDescent="0.25">
      <c r="T2489" s="98"/>
      <c r="U2489" s="99"/>
    </row>
    <row r="2490" spans="20:21" x14ac:dyDescent="0.25">
      <c r="T2490" s="98"/>
      <c r="U2490" s="99"/>
    </row>
    <row r="2491" spans="20:21" x14ac:dyDescent="0.25">
      <c r="T2491" s="98"/>
      <c r="U2491" s="99"/>
    </row>
    <row r="2492" spans="20:21" x14ac:dyDescent="0.25">
      <c r="T2492" s="98"/>
      <c r="U2492" s="99"/>
    </row>
    <row r="2493" spans="20:21" x14ac:dyDescent="0.25">
      <c r="T2493" s="98"/>
      <c r="U2493" s="99"/>
    </row>
    <row r="2494" spans="20:21" x14ac:dyDescent="0.25">
      <c r="T2494" s="98"/>
      <c r="U2494" s="99"/>
    </row>
    <row r="2495" spans="20:21" x14ac:dyDescent="0.25">
      <c r="T2495" s="98"/>
      <c r="U2495" s="99"/>
    </row>
    <row r="2496" spans="20:21" x14ac:dyDescent="0.25">
      <c r="T2496" s="98"/>
      <c r="U2496" s="99"/>
    </row>
    <row r="2497" spans="20:21" x14ac:dyDescent="0.25">
      <c r="T2497" s="98"/>
      <c r="U2497" s="99"/>
    </row>
    <row r="2498" spans="20:21" x14ac:dyDescent="0.25">
      <c r="T2498" s="98"/>
      <c r="U2498" s="99"/>
    </row>
    <row r="2499" spans="20:21" x14ac:dyDescent="0.25">
      <c r="T2499" s="98"/>
      <c r="U2499" s="99"/>
    </row>
    <row r="2500" spans="20:21" x14ac:dyDescent="0.25">
      <c r="T2500" s="98"/>
      <c r="U2500" s="99"/>
    </row>
    <row r="2501" spans="20:21" x14ac:dyDescent="0.25">
      <c r="T2501" s="98"/>
      <c r="U2501" s="99"/>
    </row>
    <row r="2502" spans="20:21" x14ac:dyDescent="0.25">
      <c r="T2502" s="98"/>
      <c r="U2502" s="99"/>
    </row>
    <row r="2503" spans="20:21" x14ac:dyDescent="0.25">
      <c r="T2503" s="98"/>
      <c r="U2503" s="99"/>
    </row>
    <row r="2504" spans="20:21" x14ac:dyDescent="0.25">
      <c r="T2504" s="98"/>
      <c r="U2504" s="99"/>
    </row>
    <row r="2505" spans="20:21" x14ac:dyDescent="0.25">
      <c r="T2505" s="98"/>
      <c r="U2505" s="99"/>
    </row>
    <row r="2506" spans="20:21" x14ac:dyDescent="0.25">
      <c r="T2506" s="98"/>
      <c r="U2506" s="99"/>
    </row>
    <row r="2507" spans="20:21" x14ac:dyDescent="0.25">
      <c r="T2507" s="98"/>
      <c r="U2507" s="99"/>
    </row>
    <row r="2508" spans="20:21" x14ac:dyDescent="0.25">
      <c r="T2508" s="98"/>
      <c r="U2508" s="99"/>
    </row>
    <row r="2509" spans="20:21" x14ac:dyDescent="0.25">
      <c r="T2509" s="98"/>
      <c r="U2509" s="99"/>
    </row>
    <row r="2510" spans="20:21" x14ac:dyDescent="0.25">
      <c r="T2510" s="98"/>
      <c r="U2510" s="99"/>
    </row>
    <row r="2511" spans="20:21" x14ac:dyDescent="0.25">
      <c r="T2511" s="98"/>
      <c r="U2511" s="99"/>
    </row>
    <row r="2512" spans="20:21" x14ac:dyDescent="0.25">
      <c r="T2512" s="98"/>
      <c r="U2512" s="99"/>
    </row>
    <row r="2513" spans="20:21" x14ac:dyDescent="0.25">
      <c r="T2513" s="98"/>
      <c r="U2513" s="99"/>
    </row>
    <row r="2514" spans="20:21" x14ac:dyDescent="0.25">
      <c r="T2514" s="98"/>
      <c r="U2514" s="99"/>
    </row>
    <row r="2515" spans="20:21" x14ac:dyDescent="0.25">
      <c r="T2515" s="98"/>
      <c r="U2515" s="99"/>
    </row>
    <row r="2516" spans="20:21" x14ac:dyDescent="0.25">
      <c r="T2516" s="98"/>
      <c r="U2516" s="99"/>
    </row>
    <row r="2517" spans="20:21" x14ac:dyDescent="0.25">
      <c r="T2517" s="98"/>
      <c r="U2517" s="99"/>
    </row>
    <row r="2518" spans="20:21" x14ac:dyDescent="0.25">
      <c r="T2518" s="98"/>
      <c r="U2518" s="99"/>
    </row>
    <row r="2519" spans="20:21" x14ac:dyDescent="0.25">
      <c r="T2519" s="98"/>
      <c r="U2519" s="99"/>
    </row>
    <row r="2520" spans="20:21" x14ac:dyDescent="0.25">
      <c r="T2520" s="98"/>
      <c r="U2520" s="99"/>
    </row>
    <row r="2521" spans="20:21" x14ac:dyDescent="0.25">
      <c r="T2521" s="98"/>
      <c r="U2521" s="99"/>
    </row>
    <row r="2522" spans="20:21" x14ac:dyDescent="0.25">
      <c r="T2522" s="98"/>
      <c r="U2522" s="99"/>
    </row>
    <row r="2523" spans="20:21" x14ac:dyDescent="0.25">
      <c r="T2523" s="98"/>
      <c r="U2523" s="99"/>
    </row>
    <row r="2524" spans="20:21" x14ac:dyDescent="0.25">
      <c r="T2524" s="98"/>
      <c r="U2524" s="99"/>
    </row>
    <row r="2525" spans="20:21" x14ac:dyDescent="0.25">
      <c r="T2525" s="98"/>
      <c r="U2525" s="99"/>
    </row>
    <row r="2526" spans="20:21" x14ac:dyDescent="0.25">
      <c r="T2526" s="98"/>
      <c r="U2526" s="99"/>
    </row>
    <row r="2527" spans="20:21" x14ac:dyDescent="0.25">
      <c r="T2527" s="98"/>
      <c r="U2527" s="99"/>
    </row>
    <row r="2528" spans="20:21" x14ac:dyDescent="0.25">
      <c r="T2528" s="98"/>
      <c r="U2528" s="99"/>
    </row>
    <row r="2529" spans="20:21" x14ac:dyDescent="0.25">
      <c r="T2529" s="98"/>
      <c r="U2529" s="99"/>
    </row>
    <row r="2530" spans="20:21" x14ac:dyDescent="0.25">
      <c r="T2530" s="98"/>
      <c r="U2530" s="99"/>
    </row>
    <row r="2531" spans="20:21" x14ac:dyDescent="0.25">
      <c r="T2531" s="98"/>
      <c r="U2531" s="99"/>
    </row>
    <row r="2532" spans="20:21" x14ac:dyDescent="0.25">
      <c r="T2532" s="98"/>
      <c r="U2532" s="99"/>
    </row>
    <row r="2533" spans="20:21" x14ac:dyDescent="0.25">
      <c r="T2533" s="98"/>
      <c r="U2533" s="99"/>
    </row>
    <row r="2534" spans="20:21" x14ac:dyDescent="0.25">
      <c r="T2534" s="98"/>
      <c r="U2534" s="99"/>
    </row>
    <row r="2535" spans="20:21" x14ac:dyDescent="0.25">
      <c r="T2535" s="98"/>
      <c r="U2535" s="99"/>
    </row>
    <row r="2536" spans="20:21" x14ac:dyDescent="0.25">
      <c r="T2536" s="98"/>
      <c r="U2536" s="99"/>
    </row>
    <row r="2537" spans="20:21" x14ac:dyDescent="0.25">
      <c r="T2537" s="98"/>
      <c r="U2537" s="99"/>
    </row>
    <row r="2538" spans="20:21" x14ac:dyDescent="0.25">
      <c r="T2538" s="98"/>
      <c r="U2538" s="99"/>
    </row>
    <row r="2539" spans="20:21" x14ac:dyDescent="0.25">
      <c r="T2539" s="98"/>
      <c r="U2539" s="99"/>
    </row>
    <row r="2540" spans="20:21" x14ac:dyDescent="0.25">
      <c r="T2540" s="98"/>
      <c r="U2540" s="99"/>
    </row>
    <row r="2541" spans="20:21" x14ac:dyDescent="0.25">
      <c r="T2541" s="98"/>
      <c r="U2541" s="99"/>
    </row>
    <row r="2542" spans="20:21" x14ac:dyDescent="0.25">
      <c r="T2542" s="98"/>
      <c r="U2542" s="99"/>
    </row>
    <row r="2543" spans="20:21" x14ac:dyDescent="0.25">
      <c r="T2543" s="98"/>
      <c r="U2543" s="99"/>
    </row>
    <row r="2544" spans="20:21" x14ac:dyDescent="0.25">
      <c r="T2544" s="98"/>
      <c r="U2544" s="99"/>
    </row>
    <row r="2545" spans="20:21" x14ac:dyDescent="0.25">
      <c r="T2545" s="98"/>
      <c r="U2545" s="99"/>
    </row>
    <row r="2546" spans="20:21" x14ac:dyDescent="0.25">
      <c r="T2546" s="98"/>
      <c r="U2546" s="99"/>
    </row>
    <row r="2547" spans="20:21" x14ac:dyDescent="0.25">
      <c r="T2547" s="98"/>
      <c r="U2547" s="99"/>
    </row>
    <row r="2548" spans="20:21" x14ac:dyDescent="0.25">
      <c r="T2548" s="98"/>
      <c r="U2548" s="99"/>
    </row>
    <row r="2549" spans="20:21" x14ac:dyDescent="0.25">
      <c r="T2549" s="98"/>
      <c r="U2549" s="99"/>
    </row>
    <row r="2550" spans="20:21" x14ac:dyDescent="0.25">
      <c r="T2550" s="98"/>
      <c r="U2550" s="99"/>
    </row>
    <row r="2551" spans="20:21" x14ac:dyDescent="0.25">
      <c r="T2551" s="98"/>
      <c r="U2551" s="99"/>
    </row>
    <row r="2552" spans="20:21" x14ac:dyDescent="0.25">
      <c r="T2552" s="98"/>
      <c r="U2552" s="99"/>
    </row>
    <row r="2553" spans="20:21" x14ac:dyDescent="0.25">
      <c r="T2553" s="98"/>
      <c r="U2553" s="99"/>
    </row>
    <row r="2554" spans="20:21" x14ac:dyDescent="0.25">
      <c r="T2554" s="98"/>
      <c r="U2554" s="99"/>
    </row>
    <row r="2555" spans="20:21" x14ac:dyDescent="0.25">
      <c r="T2555" s="98"/>
      <c r="U2555" s="99"/>
    </row>
    <row r="2556" spans="20:21" x14ac:dyDescent="0.25">
      <c r="T2556" s="98"/>
      <c r="U2556" s="99"/>
    </row>
    <row r="2557" spans="20:21" x14ac:dyDescent="0.25">
      <c r="T2557" s="98"/>
      <c r="U2557" s="99"/>
    </row>
    <row r="2558" spans="20:21" x14ac:dyDescent="0.25">
      <c r="T2558" s="98"/>
      <c r="U2558" s="99"/>
    </row>
    <row r="2559" spans="20:21" x14ac:dyDescent="0.25">
      <c r="T2559" s="98"/>
      <c r="U2559" s="99"/>
    </row>
    <row r="2560" spans="20:21" x14ac:dyDescent="0.25">
      <c r="T2560" s="98"/>
      <c r="U2560" s="99"/>
    </row>
    <row r="2561" spans="20:21" x14ac:dyDescent="0.25">
      <c r="T2561" s="98"/>
      <c r="U2561" s="99"/>
    </row>
    <row r="2562" spans="20:21" x14ac:dyDescent="0.25">
      <c r="T2562" s="98"/>
      <c r="U2562" s="99"/>
    </row>
    <row r="2563" spans="20:21" x14ac:dyDescent="0.25">
      <c r="T2563" s="98"/>
      <c r="U2563" s="99"/>
    </row>
    <row r="2564" spans="20:21" x14ac:dyDescent="0.25">
      <c r="T2564" s="98"/>
      <c r="U2564" s="99"/>
    </row>
    <row r="2565" spans="20:21" x14ac:dyDescent="0.25">
      <c r="T2565" s="98"/>
      <c r="U2565" s="99"/>
    </row>
    <row r="2566" spans="20:21" x14ac:dyDescent="0.25">
      <c r="T2566" s="98"/>
      <c r="U2566" s="99"/>
    </row>
    <row r="2567" spans="20:21" x14ac:dyDescent="0.25">
      <c r="T2567" s="98"/>
      <c r="U2567" s="99"/>
    </row>
    <row r="2568" spans="20:21" x14ac:dyDescent="0.25">
      <c r="T2568" s="98"/>
      <c r="U2568" s="99"/>
    </row>
    <row r="2569" spans="20:21" x14ac:dyDescent="0.25">
      <c r="T2569" s="98"/>
      <c r="U2569" s="99"/>
    </row>
    <row r="2570" spans="20:21" x14ac:dyDescent="0.25">
      <c r="T2570" s="98"/>
      <c r="U2570" s="99"/>
    </row>
    <row r="2571" spans="20:21" x14ac:dyDescent="0.25">
      <c r="T2571" s="98"/>
      <c r="U2571" s="99"/>
    </row>
    <row r="2572" spans="20:21" x14ac:dyDescent="0.25">
      <c r="T2572" s="98"/>
      <c r="U2572" s="99"/>
    </row>
    <row r="2573" spans="20:21" x14ac:dyDescent="0.25">
      <c r="T2573" s="98"/>
      <c r="U2573" s="99"/>
    </row>
    <row r="2574" spans="20:21" x14ac:dyDescent="0.25">
      <c r="T2574" s="98"/>
      <c r="U2574" s="99"/>
    </row>
    <row r="2575" spans="20:21" x14ac:dyDescent="0.25">
      <c r="T2575" s="98"/>
      <c r="U2575" s="99"/>
    </row>
    <row r="2576" spans="20:21" x14ac:dyDescent="0.25">
      <c r="T2576" s="98"/>
      <c r="U2576" s="99"/>
    </row>
    <row r="2577" spans="20:21" x14ac:dyDescent="0.25">
      <c r="T2577" s="98"/>
      <c r="U2577" s="99"/>
    </row>
    <row r="2578" spans="20:21" x14ac:dyDescent="0.25">
      <c r="T2578" s="98"/>
      <c r="U2578" s="99"/>
    </row>
    <row r="2579" spans="20:21" x14ac:dyDescent="0.25">
      <c r="T2579" s="98"/>
      <c r="U2579" s="99"/>
    </row>
    <row r="2580" spans="20:21" x14ac:dyDescent="0.25">
      <c r="T2580" s="98"/>
      <c r="U2580" s="99"/>
    </row>
    <row r="2581" spans="20:21" x14ac:dyDescent="0.25">
      <c r="T2581" s="98"/>
      <c r="U2581" s="99"/>
    </row>
    <row r="2582" spans="20:21" x14ac:dyDescent="0.25">
      <c r="T2582" s="98"/>
      <c r="U2582" s="99"/>
    </row>
    <row r="2583" spans="20:21" x14ac:dyDescent="0.25">
      <c r="T2583" s="98"/>
      <c r="U2583" s="99"/>
    </row>
    <row r="2584" spans="20:21" x14ac:dyDescent="0.25">
      <c r="T2584" s="98"/>
      <c r="U2584" s="99"/>
    </row>
    <row r="2585" spans="20:21" x14ac:dyDescent="0.25">
      <c r="T2585" s="98"/>
      <c r="U2585" s="99"/>
    </row>
    <row r="2586" spans="20:21" x14ac:dyDescent="0.25">
      <c r="T2586" s="98"/>
      <c r="U2586" s="99"/>
    </row>
    <row r="2587" spans="20:21" x14ac:dyDescent="0.25">
      <c r="T2587" s="98"/>
      <c r="U2587" s="99"/>
    </row>
    <row r="2588" spans="20:21" x14ac:dyDescent="0.25">
      <c r="T2588" s="98"/>
      <c r="U2588" s="99"/>
    </row>
    <row r="2589" spans="20:21" x14ac:dyDescent="0.25">
      <c r="T2589" s="98"/>
      <c r="U2589" s="99"/>
    </row>
    <row r="2590" spans="20:21" x14ac:dyDescent="0.25">
      <c r="T2590" s="98"/>
      <c r="U2590" s="99"/>
    </row>
    <row r="2591" spans="20:21" x14ac:dyDescent="0.25">
      <c r="T2591" s="98"/>
      <c r="U2591" s="99"/>
    </row>
    <row r="2592" spans="20:21" x14ac:dyDescent="0.25">
      <c r="T2592" s="98"/>
      <c r="U2592" s="99"/>
    </row>
    <row r="2593" spans="20:21" x14ac:dyDescent="0.25">
      <c r="T2593" s="98"/>
      <c r="U2593" s="99"/>
    </row>
    <row r="2594" spans="20:21" x14ac:dyDescent="0.25">
      <c r="T2594" s="98"/>
      <c r="U2594" s="99"/>
    </row>
    <row r="2595" spans="20:21" x14ac:dyDescent="0.25">
      <c r="T2595" s="98"/>
      <c r="U2595" s="99"/>
    </row>
    <row r="2596" spans="20:21" x14ac:dyDescent="0.25">
      <c r="T2596" s="98"/>
      <c r="U2596" s="99"/>
    </row>
    <row r="2597" spans="20:21" x14ac:dyDescent="0.25">
      <c r="T2597" s="98"/>
      <c r="U2597" s="99"/>
    </row>
    <row r="2598" spans="20:21" x14ac:dyDescent="0.25">
      <c r="T2598" s="98"/>
      <c r="U2598" s="99"/>
    </row>
    <row r="2599" spans="20:21" x14ac:dyDescent="0.25">
      <c r="T2599" s="98"/>
      <c r="U2599" s="99"/>
    </row>
    <row r="2600" spans="20:21" x14ac:dyDescent="0.25">
      <c r="T2600" s="98"/>
      <c r="U2600" s="99"/>
    </row>
    <row r="2601" spans="20:21" x14ac:dyDescent="0.25">
      <c r="T2601" s="98"/>
      <c r="U2601" s="99"/>
    </row>
    <row r="2602" spans="20:21" x14ac:dyDescent="0.25">
      <c r="T2602" s="98"/>
      <c r="U2602" s="99"/>
    </row>
    <row r="2603" spans="20:21" x14ac:dyDescent="0.25">
      <c r="T2603" s="98"/>
      <c r="U2603" s="99"/>
    </row>
    <row r="2604" spans="20:21" x14ac:dyDescent="0.25">
      <c r="T2604" s="98"/>
      <c r="U2604" s="99"/>
    </row>
    <row r="2605" spans="20:21" x14ac:dyDescent="0.25">
      <c r="T2605" s="98"/>
      <c r="U2605" s="99"/>
    </row>
    <row r="2606" spans="20:21" x14ac:dyDescent="0.25">
      <c r="T2606" s="98"/>
      <c r="U2606" s="99"/>
    </row>
    <row r="2607" spans="20:21" x14ac:dyDescent="0.25">
      <c r="T2607" s="98"/>
      <c r="U2607" s="99"/>
    </row>
    <row r="2608" spans="20:21" x14ac:dyDescent="0.25">
      <c r="T2608" s="98"/>
      <c r="U2608" s="99"/>
    </row>
    <row r="2609" spans="20:21" x14ac:dyDescent="0.25">
      <c r="T2609" s="98"/>
      <c r="U2609" s="99"/>
    </row>
    <row r="2610" spans="20:21" x14ac:dyDescent="0.25">
      <c r="T2610" s="98"/>
      <c r="U2610" s="99"/>
    </row>
    <row r="2611" spans="20:21" x14ac:dyDescent="0.25">
      <c r="T2611" s="98"/>
      <c r="U2611" s="99"/>
    </row>
    <row r="2612" spans="20:21" x14ac:dyDescent="0.25">
      <c r="T2612" s="98"/>
      <c r="U2612" s="99"/>
    </row>
    <row r="2613" spans="20:21" x14ac:dyDescent="0.25">
      <c r="T2613" s="98"/>
      <c r="U2613" s="99"/>
    </row>
    <row r="2614" spans="20:21" x14ac:dyDescent="0.25">
      <c r="T2614" s="98"/>
      <c r="U2614" s="99"/>
    </row>
    <row r="2615" spans="20:21" x14ac:dyDescent="0.25">
      <c r="T2615" s="98"/>
      <c r="U2615" s="99"/>
    </row>
    <row r="2616" spans="20:21" x14ac:dyDescent="0.25">
      <c r="T2616" s="98"/>
      <c r="U2616" s="99"/>
    </row>
    <row r="2617" spans="20:21" x14ac:dyDescent="0.25">
      <c r="T2617" s="98"/>
      <c r="U2617" s="99"/>
    </row>
    <row r="2618" spans="20:21" x14ac:dyDescent="0.25">
      <c r="T2618" s="98"/>
      <c r="U2618" s="99"/>
    </row>
    <row r="2619" spans="20:21" x14ac:dyDescent="0.25">
      <c r="T2619" s="98"/>
      <c r="U2619" s="99"/>
    </row>
    <row r="2620" spans="20:21" x14ac:dyDescent="0.25">
      <c r="T2620" s="98"/>
      <c r="U2620" s="99"/>
    </row>
    <row r="2621" spans="20:21" x14ac:dyDescent="0.25">
      <c r="T2621" s="98"/>
      <c r="U2621" s="99"/>
    </row>
    <row r="2622" spans="20:21" x14ac:dyDescent="0.25">
      <c r="T2622" s="98"/>
      <c r="U2622" s="99"/>
    </row>
    <row r="2623" spans="20:21" x14ac:dyDescent="0.25">
      <c r="T2623" s="98"/>
      <c r="U2623" s="99"/>
    </row>
    <row r="2624" spans="20:21" x14ac:dyDescent="0.25">
      <c r="T2624" s="98"/>
      <c r="U2624" s="99"/>
    </row>
    <row r="2625" spans="20:21" x14ac:dyDescent="0.25">
      <c r="T2625" s="98"/>
      <c r="U2625" s="99"/>
    </row>
    <row r="2626" spans="20:21" x14ac:dyDescent="0.25">
      <c r="T2626" s="98"/>
      <c r="U2626" s="99"/>
    </row>
    <row r="2627" spans="20:21" x14ac:dyDescent="0.25">
      <c r="T2627" s="98"/>
      <c r="U2627" s="99"/>
    </row>
    <row r="2628" spans="20:21" x14ac:dyDescent="0.25">
      <c r="T2628" s="98"/>
      <c r="U2628" s="99"/>
    </row>
    <row r="2629" spans="20:21" x14ac:dyDescent="0.25">
      <c r="T2629" s="98"/>
      <c r="U2629" s="99"/>
    </row>
    <row r="2630" spans="20:21" x14ac:dyDescent="0.25">
      <c r="T2630" s="98"/>
      <c r="U2630" s="99"/>
    </row>
    <row r="2631" spans="20:21" x14ac:dyDescent="0.25">
      <c r="T2631" s="98"/>
      <c r="U2631" s="99"/>
    </row>
    <row r="2632" spans="20:21" x14ac:dyDescent="0.25">
      <c r="T2632" s="98"/>
      <c r="U2632" s="99"/>
    </row>
    <row r="2633" spans="20:21" x14ac:dyDescent="0.25">
      <c r="T2633" s="98"/>
      <c r="U2633" s="99"/>
    </row>
    <row r="2634" spans="20:21" x14ac:dyDescent="0.25">
      <c r="T2634" s="98"/>
      <c r="U2634" s="99"/>
    </row>
    <row r="2635" spans="20:21" x14ac:dyDescent="0.25">
      <c r="T2635" s="98"/>
      <c r="U2635" s="99"/>
    </row>
    <row r="2636" spans="20:21" x14ac:dyDescent="0.25">
      <c r="T2636" s="98"/>
      <c r="U2636" s="99"/>
    </row>
    <row r="2637" spans="20:21" x14ac:dyDescent="0.25">
      <c r="T2637" s="98"/>
      <c r="U2637" s="99"/>
    </row>
    <row r="2638" spans="20:21" x14ac:dyDescent="0.25">
      <c r="T2638" s="98"/>
      <c r="U2638" s="99"/>
    </row>
    <row r="2639" spans="20:21" x14ac:dyDescent="0.25">
      <c r="T2639" s="98"/>
      <c r="U2639" s="99"/>
    </row>
    <row r="2640" spans="20:21" x14ac:dyDescent="0.25">
      <c r="T2640" s="98"/>
      <c r="U2640" s="99"/>
    </row>
    <row r="2641" spans="20:21" x14ac:dyDescent="0.25">
      <c r="T2641" s="98"/>
      <c r="U2641" s="99"/>
    </row>
    <row r="2642" spans="20:21" x14ac:dyDescent="0.25">
      <c r="T2642" s="98"/>
      <c r="U2642" s="99"/>
    </row>
    <row r="2643" spans="20:21" x14ac:dyDescent="0.25">
      <c r="T2643" s="98"/>
      <c r="U2643" s="99"/>
    </row>
    <row r="2644" spans="20:21" x14ac:dyDescent="0.25">
      <c r="T2644" s="98"/>
      <c r="U2644" s="99"/>
    </row>
    <row r="2645" spans="20:21" x14ac:dyDescent="0.25">
      <c r="T2645" s="98"/>
      <c r="U2645" s="99"/>
    </row>
    <row r="2646" spans="20:21" x14ac:dyDescent="0.25">
      <c r="T2646" s="98"/>
      <c r="U2646" s="99"/>
    </row>
    <row r="2647" spans="20:21" x14ac:dyDescent="0.25">
      <c r="T2647" s="98"/>
      <c r="U2647" s="99"/>
    </row>
    <row r="2648" spans="20:21" x14ac:dyDescent="0.25">
      <c r="T2648" s="98"/>
      <c r="U2648" s="99"/>
    </row>
    <row r="2649" spans="20:21" x14ac:dyDescent="0.25">
      <c r="T2649" s="98"/>
      <c r="U2649" s="99"/>
    </row>
    <row r="2650" spans="20:21" x14ac:dyDescent="0.25">
      <c r="T2650" s="98"/>
      <c r="U2650" s="99"/>
    </row>
    <row r="2651" spans="20:21" x14ac:dyDescent="0.25">
      <c r="T2651" s="98"/>
      <c r="U2651" s="99"/>
    </row>
    <row r="2652" spans="20:21" x14ac:dyDescent="0.25">
      <c r="T2652" s="98"/>
      <c r="U2652" s="99"/>
    </row>
    <row r="2653" spans="20:21" x14ac:dyDescent="0.25">
      <c r="T2653" s="98"/>
      <c r="U2653" s="99"/>
    </row>
    <row r="2654" spans="20:21" x14ac:dyDescent="0.25">
      <c r="T2654" s="98"/>
      <c r="U2654" s="99"/>
    </row>
    <row r="2655" spans="20:21" x14ac:dyDescent="0.25">
      <c r="T2655" s="98"/>
      <c r="U2655" s="99"/>
    </row>
    <row r="2656" spans="20:21" x14ac:dyDescent="0.25">
      <c r="T2656" s="98"/>
      <c r="U2656" s="99"/>
    </row>
    <row r="2657" spans="20:21" x14ac:dyDescent="0.25">
      <c r="T2657" s="98"/>
      <c r="U2657" s="99"/>
    </row>
    <row r="2658" spans="20:21" x14ac:dyDescent="0.25">
      <c r="T2658" s="98"/>
      <c r="U2658" s="99"/>
    </row>
    <row r="2659" spans="20:21" x14ac:dyDescent="0.25">
      <c r="T2659" s="98"/>
      <c r="U2659" s="99"/>
    </row>
    <row r="2660" spans="20:21" x14ac:dyDescent="0.25">
      <c r="T2660" s="98"/>
      <c r="U2660" s="99"/>
    </row>
    <row r="2661" spans="20:21" x14ac:dyDescent="0.25">
      <c r="T2661" s="98"/>
      <c r="U2661" s="99"/>
    </row>
    <row r="2662" spans="20:21" x14ac:dyDescent="0.25">
      <c r="T2662" s="98"/>
      <c r="U2662" s="99"/>
    </row>
    <row r="2663" spans="20:21" x14ac:dyDescent="0.25">
      <c r="T2663" s="98"/>
      <c r="U2663" s="99"/>
    </row>
    <row r="2664" spans="20:21" x14ac:dyDescent="0.25">
      <c r="T2664" s="98"/>
      <c r="U2664" s="99"/>
    </row>
    <row r="2665" spans="20:21" x14ac:dyDescent="0.25">
      <c r="T2665" s="98"/>
      <c r="U2665" s="99"/>
    </row>
    <row r="2666" spans="20:21" x14ac:dyDescent="0.25">
      <c r="T2666" s="98"/>
      <c r="U2666" s="99"/>
    </row>
    <row r="2667" spans="20:21" x14ac:dyDescent="0.25">
      <c r="T2667" s="98"/>
      <c r="U2667" s="99"/>
    </row>
    <row r="2668" spans="20:21" x14ac:dyDescent="0.25">
      <c r="T2668" s="98"/>
      <c r="U2668" s="99"/>
    </row>
    <row r="2669" spans="20:21" x14ac:dyDescent="0.25">
      <c r="T2669" s="98"/>
      <c r="U2669" s="99"/>
    </row>
    <row r="2670" spans="20:21" x14ac:dyDescent="0.25">
      <c r="T2670" s="98"/>
      <c r="U2670" s="99"/>
    </row>
    <row r="2671" spans="20:21" x14ac:dyDescent="0.25">
      <c r="T2671" s="98"/>
      <c r="U2671" s="99"/>
    </row>
    <row r="2672" spans="20:21" x14ac:dyDescent="0.25">
      <c r="T2672" s="98"/>
      <c r="U2672" s="99"/>
    </row>
    <row r="2673" spans="20:21" x14ac:dyDescent="0.25">
      <c r="T2673" s="98"/>
      <c r="U2673" s="99"/>
    </row>
    <row r="2674" spans="20:21" x14ac:dyDescent="0.25">
      <c r="T2674" s="98"/>
      <c r="U2674" s="99"/>
    </row>
    <row r="2675" spans="20:21" x14ac:dyDescent="0.25">
      <c r="T2675" s="98"/>
      <c r="U2675" s="99"/>
    </row>
    <row r="2676" spans="20:21" x14ac:dyDescent="0.25">
      <c r="T2676" s="98"/>
      <c r="U2676" s="99"/>
    </row>
    <row r="2677" spans="20:21" x14ac:dyDescent="0.25">
      <c r="T2677" s="98"/>
      <c r="U2677" s="99"/>
    </row>
    <row r="2678" spans="20:21" x14ac:dyDescent="0.25">
      <c r="T2678" s="98"/>
      <c r="U2678" s="99"/>
    </row>
    <row r="2679" spans="20:21" x14ac:dyDescent="0.25">
      <c r="T2679" s="98"/>
      <c r="U2679" s="99"/>
    </row>
    <row r="2680" spans="20:21" x14ac:dyDescent="0.25">
      <c r="T2680" s="98"/>
      <c r="U2680" s="99"/>
    </row>
    <row r="2681" spans="20:21" x14ac:dyDescent="0.25">
      <c r="T2681" s="98"/>
      <c r="U2681" s="99"/>
    </row>
    <row r="2682" spans="20:21" x14ac:dyDescent="0.25">
      <c r="T2682" s="98"/>
      <c r="U2682" s="99"/>
    </row>
    <row r="2683" spans="20:21" x14ac:dyDescent="0.25">
      <c r="T2683" s="98"/>
      <c r="U2683" s="99"/>
    </row>
    <row r="2684" spans="20:21" x14ac:dyDescent="0.25">
      <c r="T2684" s="98"/>
      <c r="U2684" s="99"/>
    </row>
    <row r="2685" spans="20:21" x14ac:dyDescent="0.25">
      <c r="T2685" s="98"/>
      <c r="U2685" s="99"/>
    </row>
    <row r="2686" spans="20:21" x14ac:dyDescent="0.25">
      <c r="T2686" s="98"/>
      <c r="U2686" s="99"/>
    </row>
    <row r="2687" spans="20:21" x14ac:dyDescent="0.25">
      <c r="T2687" s="98"/>
      <c r="U2687" s="99"/>
    </row>
    <row r="2688" spans="20:21" x14ac:dyDescent="0.25">
      <c r="T2688" s="98"/>
      <c r="U2688" s="99"/>
    </row>
    <row r="2689" spans="20:21" x14ac:dyDescent="0.25">
      <c r="T2689" s="98"/>
      <c r="U2689" s="99"/>
    </row>
    <row r="2690" spans="20:21" x14ac:dyDescent="0.25">
      <c r="T2690" s="98"/>
      <c r="U2690" s="99"/>
    </row>
    <row r="2691" spans="20:21" x14ac:dyDescent="0.25">
      <c r="T2691" s="98"/>
      <c r="U2691" s="99"/>
    </row>
    <row r="2692" spans="20:21" x14ac:dyDescent="0.25">
      <c r="T2692" s="98"/>
      <c r="U2692" s="99"/>
    </row>
    <row r="2693" spans="20:21" x14ac:dyDescent="0.25">
      <c r="T2693" s="98"/>
      <c r="U2693" s="99"/>
    </row>
    <row r="2694" spans="20:21" x14ac:dyDescent="0.25">
      <c r="T2694" s="98"/>
      <c r="U2694" s="99"/>
    </row>
    <row r="2695" spans="20:21" x14ac:dyDescent="0.25">
      <c r="T2695" s="98"/>
      <c r="U2695" s="99"/>
    </row>
    <row r="2696" spans="20:21" x14ac:dyDescent="0.25">
      <c r="T2696" s="98"/>
      <c r="U2696" s="99"/>
    </row>
    <row r="2697" spans="20:21" x14ac:dyDescent="0.25">
      <c r="T2697" s="98"/>
      <c r="U2697" s="99"/>
    </row>
    <row r="2698" spans="20:21" x14ac:dyDescent="0.25">
      <c r="T2698" s="98"/>
      <c r="U2698" s="99"/>
    </row>
    <row r="2699" spans="20:21" x14ac:dyDescent="0.25">
      <c r="T2699" s="98"/>
      <c r="U2699" s="99"/>
    </row>
    <row r="2700" spans="20:21" x14ac:dyDescent="0.25">
      <c r="T2700" s="98"/>
      <c r="U2700" s="99"/>
    </row>
    <row r="2701" spans="20:21" x14ac:dyDescent="0.25">
      <c r="T2701" s="98"/>
      <c r="U2701" s="99"/>
    </row>
    <row r="2702" spans="20:21" x14ac:dyDescent="0.25">
      <c r="T2702" s="98"/>
      <c r="U2702" s="99"/>
    </row>
    <row r="2703" spans="20:21" x14ac:dyDescent="0.25">
      <c r="T2703" s="98"/>
      <c r="U2703" s="99"/>
    </row>
    <row r="2704" spans="20:21" x14ac:dyDescent="0.25">
      <c r="T2704" s="98"/>
      <c r="U2704" s="99"/>
    </row>
    <row r="2705" spans="20:21" x14ac:dyDescent="0.25">
      <c r="T2705" s="98"/>
      <c r="U2705" s="99"/>
    </row>
    <row r="2706" spans="20:21" x14ac:dyDescent="0.25">
      <c r="T2706" s="98"/>
      <c r="U2706" s="99"/>
    </row>
    <row r="2707" spans="20:21" x14ac:dyDescent="0.25">
      <c r="T2707" s="98"/>
      <c r="U2707" s="99"/>
    </row>
    <row r="2708" spans="20:21" x14ac:dyDescent="0.25">
      <c r="T2708" s="98"/>
      <c r="U2708" s="99"/>
    </row>
    <row r="2709" spans="20:21" x14ac:dyDescent="0.25">
      <c r="T2709" s="98"/>
      <c r="U2709" s="99"/>
    </row>
    <row r="2710" spans="20:21" x14ac:dyDescent="0.25">
      <c r="T2710" s="98"/>
      <c r="U2710" s="99"/>
    </row>
    <row r="2711" spans="20:21" x14ac:dyDescent="0.25">
      <c r="T2711" s="98"/>
      <c r="U2711" s="99"/>
    </row>
    <row r="2712" spans="20:21" x14ac:dyDescent="0.25">
      <c r="T2712" s="98"/>
      <c r="U2712" s="99"/>
    </row>
    <row r="2713" spans="20:21" x14ac:dyDescent="0.25">
      <c r="T2713" s="98"/>
      <c r="U2713" s="99"/>
    </row>
    <row r="2714" spans="20:21" x14ac:dyDescent="0.25">
      <c r="T2714" s="98"/>
      <c r="U2714" s="99"/>
    </row>
    <row r="2715" spans="20:21" x14ac:dyDescent="0.25">
      <c r="T2715" s="98"/>
      <c r="U2715" s="99"/>
    </row>
    <row r="2716" spans="20:21" x14ac:dyDescent="0.25">
      <c r="T2716" s="98"/>
      <c r="U2716" s="99"/>
    </row>
    <row r="2717" spans="20:21" x14ac:dyDescent="0.25">
      <c r="T2717" s="98"/>
      <c r="U2717" s="99"/>
    </row>
    <row r="2718" spans="20:21" x14ac:dyDescent="0.25">
      <c r="T2718" s="98"/>
      <c r="U2718" s="99"/>
    </row>
    <row r="2719" spans="20:21" x14ac:dyDescent="0.25">
      <c r="T2719" s="98"/>
      <c r="U2719" s="99"/>
    </row>
    <row r="2720" spans="20:21" x14ac:dyDescent="0.25">
      <c r="T2720" s="98"/>
      <c r="U2720" s="99"/>
    </row>
    <row r="2721" spans="20:21" x14ac:dyDescent="0.25">
      <c r="T2721" s="98"/>
      <c r="U2721" s="99"/>
    </row>
    <row r="2722" spans="20:21" x14ac:dyDescent="0.25">
      <c r="T2722" s="98"/>
      <c r="U2722" s="99"/>
    </row>
    <row r="2723" spans="20:21" x14ac:dyDescent="0.25">
      <c r="T2723" s="98"/>
      <c r="U2723" s="99"/>
    </row>
    <row r="2724" spans="20:21" x14ac:dyDescent="0.25">
      <c r="T2724" s="98"/>
      <c r="U2724" s="99"/>
    </row>
    <row r="2725" spans="20:21" x14ac:dyDescent="0.25">
      <c r="T2725" s="98"/>
      <c r="U2725" s="99"/>
    </row>
    <row r="2726" spans="20:21" x14ac:dyDescent="0.25">
      <c r="T2726" s="98"/>
      <c r="U2726" s="99"/>
    </row>
    <row r="2727" spans="20:21" x14ac:dyDescent="0.25">
      <c r="T2727" s="98"/>
      <c r="U2727" s="99"/>
    </row>
    <row r="2728" spans="20:21" x14ac:dyDescent="0.25">
      <c r="T2728" s="98"/>
      <c r="U2728" s="99"/>
    </row>
    <row r="2729" spans="20:21" x14ac:dyDescent="0.25">
      <c r="T2729" s="98"/>
      <c r="U2729" s="99"/>
    </row>
    <row r="2730" spans="20:21" x14ac:dyDescent="0.25">
      <c r="T2730" s="98"/>
      <c r="U2730" s="99"/>
    </row>
    <row r="2731" spans="20:21" x14ac:dyDescent="0.25">
      <c r="T2731" s="98"/>
      <c r="U2731" s="99"/>
    </row>
    <row r="2732" spans="20:21" x14ac:dyDescent="0.25">
      <c r="T2732" s="98"/>
      <c r="U2732" s="99"/>
    </row>
    <row r="2733" spans="20:21" x14ac:dyDescent="0.25">
      <c r="T2733" s="98"/>
      <c r="U2733" s="99"/>
    </row>
    <row r="2734" spans="20:21" x14ac:dyDescent="0.25">
      <c r="T2734" s="98"/>
      <c r="U2734" s="99"/>
    </row>
    <row r="2735" spans="20:21" x14ac:dyDescent="0.25">
      <c r="T2735" s="98"/>
      <c r="U2735" s="99"/>
    </row>
    <row r="2736" spans="20:21" x14ac:dyDescent="0.25">
      <c r="T2736" s="98"/>
      <c r="U2736" s="99"/>
    </row>
    <row r="2737" spans="20:21" x14ac:dyDescent="0.25">
      <c r="T2737" s="98"/>
      <c r="U2737" s="99"/>
    </row>
    <row r="2738" spans="20:21" x14ac:dyDescent="0.25">
      <c r="T2738" s="98"/>
      <c r="U2738" s="99"/>
    </row>
    <row r="2739" spans="20:21" x14ac:dyDescent="0.25">
      <c r="T2739" s="98"/>
      <c r="U2739" s="99"/>
    </row>
    <row r="2740" spans="20:21" x14ac:dyDescent="0.25">
      <c r="T2740" s="98"/>
      <c r="U2740" s="99"/>
    </row>
    <row r="2741" spans="20:21" x14ac:dyDescent="0.25">
      <c r="T2741" s="98"/>
      <c r="U2741" s="99"/>
    </row>
    <row r="2742" spans="20:21" x14ac:dyDescent="0.25">
      <c r="T2742" s="98"/>
      <c r="U2742" s="99"/>
    </row>
    <row r="2743" spans="20:21" x14ac:dyDescent="0.25">
      <c r="T2743" s="98"/>
      <c r="U2743" s="99"/>
    </row>
    <row r="2744" spans="20:21" x14ac:dyDescent="0.25">
      <c r="T2744" s="98"/>
      <c r="U2744" s="99"/>
    </row>
    <row r="2745" spans="20:21" x14ac:dyDescent="0.25">
      <c r="T2745" s="98"/>
      <c r="U2745" s="99"/>
    </row>
    <row r="2746" spans="20:21" x14ac:dyDescent="0.25">
      <c r="T2746" s="98"/>
      <c r="U2746" s="99"/>
    </row>
    <row r="2747" spans="20:21" x14ac:dyDescent="0.25">
      <c r="T2747" s="98"/>
      <c r="U2747" s="99"/>
    </row>
    <row r="2748" spans="20:21" x14ac:dyDescent="0.25">
      <c r="T2748" s="98"/>
      <c r="U2748" s="99"/>
    </row>
    <row r="2749" spans="20:21" x14ac:dyDescent="0.25">
      <c r="T2749" s="98"/>
      <c r="U2749" s="99"/>
    </row>
    <row r="2750" spans="20:21" x14ac:dyDescent="0.25">
      <c r="T2750" s="98"/>
      <c r="U2750" s="99"/>
    </row>
    <row r="2751" spans="20:21" x14ac:dyDescent="0.25">
      <c r="T2751" s="98"/>
      <c r="U2751" s="99"/>
    </row>
    <row r="2752" spans="20:21" x14ac:dyDescent="0.25">
      <c r="T2752" s="98"/>
      <c r="U2752" s="99"/>
    </row>
    <row r="2753" spans="20:21" x14ac:dyDescent="0.25">
      <c r="T2753" s="98"/>
      <c r="U2753" s="99"/>
    </row>
    <row r="2754" spans="20:21" x14ac:dyDescent="0.25">
      <c r="T2754" s="98"/>
      <c r="U2754" s="99"/>
    </row>
    <row r="2755" spans="20:21" x14ac:dyDescent="0.25">
      <c r="T2755" s="98"/>
      <c r="U2755" s="99"/>
    </row>
    <row r="2756" spans="20:21" x14ac:dyDescent="0.25">
      <c r="T2756" s="98"/>
      <c r="U2756" s="99"/>
    </row>
    <row r="2757" spans="20:21" x14ac:dyDescent="0.25">
      <c r="T2757" s="98"/>
      <c r="U2757" s="99"/>
    </row>
    <row r="2758" spans="20:21" x14ac:dyDescent="0.25">
      <c r="T2758" s="98"/>
      <c r="U2758" s="99"/>
    </row>
    <row r="2759" spans="20:21" x14ac:dyDescent="0.25">
      <c r="T2759" s="98"/>
      <c r="U2759" s="99"/>
    </row>
    <row r="2760" spans="20:21" x14ac:dyDescent="0.25">
      <c r="T2760" s="98"/>
      <c r="U2760" s="99"/>
    </row>
    <row r="2761" spans="20:21" x14ac:dyDescent="0.25">
      <c r="T2761" s="98"/>
      <c r="U2761" s="99"/>
    </row>
    <row r="2762" spans="20:21" x14ac:dyDescent="0.25">
      <c r="T2762" s="98"/>
      <c r="U2762" s="99"/>
    </row>
    <row r="2763" spans="20:21" x14ac:dyDescent="0.25">
      <c r="T2763" s="98"/>
      <c r="U2763" s="99"/>
    </row>
    <row r="2764" spans="20:21" x14ac:dyDescent="0.25">
      <c r="T2764" s="98"/>
      <c r="U2764" s="99"/>
    </row>
    <row r="2765" spans="20:21" x14ac:dyDescent="0.25">
      <c r="T2765" s="98"/>
      <c r="U2765" s="99"/>
    </row>
    <row r="2766" spans="20:21" x14ac:dyDescent="0.25">
      <c r="T2766" s="98"/>
      <c r="U2766" s="99"/>
    </row>
    <row r="2767" spans="20:21" x14ac:dyDescent="0.25">
      <c r="T2767" s="98"/>
      <c r="U2767" s="99"/>
    </row>
    <row r="2768" spans="20:21" x14ac:dyDescent="0.25">
      <c r="T2768" s="98"/>
      <c r="U2768" s="99"/>
    </row>
    <row r="2769" spans="20:21" x14ac:dyDescent="0.25">
      <c r="T2769" s="98"/>
      <c r="U2769" s="99"/>
    </row>
    <row r="2770" spans="20:21" x14ac:dyDescent="0.25">
      <c r="T2770" s="98"/>
      <c r="U2770" s="99"/>
    </row>
    <row r="2771" spans="20:21" x14ac:dyDescent="0.25">
      <c r="T2771" s="98"/>
      <c r="U2771" s="99"/>
    </row>
    <row r="2772" spans="20:21" x14ac:dyDescent="0.25">
      <c r="T2772" s="98"/>
      <c r="U2772" s="99"/>
    </row>
    <row r="2773" spans="20:21" x14ac:dyDescent="0.25">
      <c r="T2773" s="98"/>
      <c r="U2773" s="99"/>
    </row>
    <row r="2774" spans="20:21" x14ac:dyDescent="0.25">
      <c r="T2774" s="98"/>
      <c r="U2774" s="99"/>
    </row>
    <row r="2775" spans="20:21" x14ac:dyDescent="0.25">
      <c r="T2775" s="98"/>
      <c r="U2775" s="99"/>
    </row>
    <row r="2776" spans="20:21" x14ac:dyDescent="0.25">
      <c r="T2776" s="98"/>
      <c r="U2776" s="99"/>
    </row>
    <row r="2777" spans="20:21" x14ac:dyDescent="0.25">
      <c r="T2777" s="98"/>
      <c r="U2777" s="99"/>
    </row>
    <row r="2778" spans="20:21" x14ac:dyDescent="0.25">
      <c r="T2778" s="98"/>
      <c r="U2778" s="99"/>
    </row>
    <row r="2779" spans="20:21" x14ac:dyDescent="0.25">
      <c r="T2779" s="98"/>
      <c r="U2779" s="99"/>
    </row>
    <row r="2780" spans="20:21" x14ac:dyDescent="0.25">
      <c r="T2780" s="98"/>
      <c r="U2780" s="99"/>
    </row>
    <row r="2781" spans="20:21" x14ac:dyDescent="0.25">
      <c r="T2781" s="98"/>
      <c r="U2781" s="99"/>
    </row>
    <row r="2782" spans="20:21" x14ac:dyDescent="0.25">
      <c r="T2782" s="98"/>
      <c r="U2782" s="99"/>
    </row>
    <row r="2783" spans="20:21" x14ac:dyDescent="0.25">
      <c r="T2783" s="98"/>
      <c r="U2783" s="99"/>
    </row>
    <row r="2784" spans="20:21" x14ac:dyDescent="0.25">
      <c r="T2784" s="98"/>
      <c r="U2784" s="99"/>
    </row>
    <row r="2785" spans="20:21" x14ac:dyDescent="0.25">
      <c r="T2785" s="98"/>
      <c r="U2785" s="99"/>
    </row>
    <row r="2786" spans="20:21" x14ac:dyDescent="0.25">
      <c r="T2786" s="98"/>
      <c r="U2786" s="99"/>
    </row>
    <row r="2787" spans="20:21" x14ac:dyDescent="0.25">
      <c r="T2787" s="98"/>
      <c r="U2787" s="99"/>
    </row>
    <row r="2788" spans="20:21" x14ac:dyDescent="0.25">
      <c r="T2788" s="98"/>
      <c r="U2788" s="99"/>
    </row>
    <row r="2789" spans="20:21" x14ac:dyDescent="0.25">
      <c r="T2789" s="98"/>
      <c r="U2789" s="99"/>
    </row>
    <row r="2790" spans="20:21" x14ac:dyDescent="0.25">
      <c r="T2790" s="98"/>
      <c r="U2790" s="99"/>
    </row>
    <row r="2791" spans="20:21" x14ac:dyDescent="0.25">
      <c r="T2791" s="98"/>
      <c r="U2791" s="99"/>
    </row>
    <row r="2792" spans="20:21" x14ac:dyDescent="0.25">
      <c r="T2792" s="98"/>
      <c r="U2792" s="99"/>
    </row>
    <row r="2793" spans="20:21" x14ac:dyDescent="0.25">
      <c r="T2793" s="98"/>
      <c r="U2793" s="99"/>
    </row>
    <row r="2794" spans="20:21" x14ac:dyDescent="0.25">
      <c r="T2794" s="98"/>
      <c r="U2794" s="99"/>
    </row>
    <row r="2795" spans="20:21" x14ac:dyDescent="0.25">
      <c r="T2795" s="98"/>
      <c r="U2795" s="99"/>
    </row>
    <row r="2796" spans="20:21" x14ac:dyDescent="0.25">
      <c r="T2796" s="98"/>
      <c r="U2796" s="99"/>
    </row>
    <row r="2797" spans="20:21" x14ac:dyDescent="0.25">
      <c r="T2797" s="98"/>
      <c r="U2797" s="99"/>
    </row>
    <row r="2798" spans="20:21" x14ac:dyDescent="0.25">
      <c r="T2798" s="98"/>
      <c r="U2798" s="99"/>
    </row>
    <row r="2799" spans="20:21" x14ac:dyDescent="0.25">
      <c r="T2799" s="98"/>
      <c r="U2799" s="99"/>
    </row>
    <row r="2800" spans="20:21" x14ac:dyDescent="0.25">
      <c r="T2800" s="98"/>
      <c r="U2800" s="99"/>
    </row>
    <row r="2801" spans="20:21" x14ac:dyDescent="0.25">
      <c r="T2801" s="98"/>
      <c r="U2801" s="99"/>
    </row>
    <row r="2802" spans="20:21" x14ac:dyDescent="0.25">
      <c r="T2802" s="98"/>
      <c r="U2802" s="99"/>
    </row>
    <row r="2803" spans="20:21" x14ac:dyDescent="0.25">
      <c r="T2803" s="98"/>
      <c r="U2803" s="99"/>
    </row>
    <row r="2804" spans="20:21" x14ac:dyDescent="0.25">
      <c r="T2804" s="98"/>
      <c r="U2804" s="99"/>
    </row>
    <row r="2805" spans="20:21" x14ac:dyDescent="0.25">
      <c r="T2805" s="98"/>
      <c r="U2805" s="99"/>
    </row>
    <row r="2806" spans="20:21" x14ac:dyDescent="0.25">
      <c r="T2806" s="98"/>
      <c r="U2806" s="99"/>
    </row>
    <row r="2807" spans="20:21" x14ac:dyDescent="0.25">
      <c r="T2807" s="98"/>
      <c r="U2807" s="99"/>
    </row>
    <row r="2808" spans="20:21" x14ac:dyDescent="0.25">
      <c r="T2808" s="98"/>
      <c r="U2808" s="99"/>
    </row>
    <row r="2809" spans="20:21" x14ac:dyDescent="0.25">
      <c r="T2809" s="98"/>
      <c r="U2809" s="99"/>
    </row>
    <row r="2810" spans="20:21" x14ac:dyDescent="0.25">
      <c r="T2810" s="98"/>
      <c r="U2810" s="99"/>
    </row>
    <row r="2811" spans="20:21" x14ac:dyDescent="0.25">
      <c r="T2811" s="98"/>
      <c r="U2811" s="99"/>
    </row>
    <row r="2812" spans="20:21" x14ac:dyDescent="0.25">
      <c r="T2812" s="98"/>
      <c r="U2812" s="99"/>
    </row>
    <row r="2813" spans="20:21" x14ac:dyDescent="0.25">
      <c r="T2813" s="98"/>
      <c r="U2813" s="99"/>
    </row>
    <row r="2814" spans="20:21" x14ac:dyDescent="0.25">
      <c r="T2814" s="98"/>
      <c r="U2814" s="99"/>
    </row>
    <row r="2815" spans="20:21" x14ac:dyDescent="0.25">
      <c r="T2815" s="98"/>
      <c r="U2815" s="99"/>
    </row>
    <row r="2816" spans="20:21" x14ac:dyDescent="0.25">
      <c r="T2816" s="98"/>
      <c r="U2816" s="99"/>
    </row>
    <row r="2817" spans="20:21" x14ac:dyDescent="0.25">
      <c r="T2817" s="98"/>
      <c r="U2817" s="99"/>
    </row>
    <row r="2818" spans="20:21" x14ac:dyDescent="0.25">
      <c r="T2818" s="98"/>
      <c r="U2818" s="99"/>
    </row>
    <row r="2819" spans="20:21" x14ac:dyDescent="0.25">
      <c r="T2819" s="98"/>
      <c r="U2819" s="99"/>
    </row>
    <row r="2820" spans="20:21" x14ac:dyDescent="0.25">
      <c r="T2820" s="98"/>
      <c r="U2820" s="99"/>
    </row>
    <row r="2821" spans="20:21" x14ac:dyDescent="0.25">
      <c r="T2821" s="98"/>
      <c r="U2821" s="99"/>
    </row>
    <row r="2822" spans="20:21" x14ac:dyDescent="0.25">
      <c r="T2822" s="98"/>
      <c r="U2822" s="99"/>
    </row>
    <row r="2823" spans="20:21" x14ac:dyDescent="0.25">
      <c r="T2823" s="98"/>
      <c r="U2823" s="99"/>
    </row>
    <row r="2824" spans="20:21" x14ac:dyDescent="0.25">
      <c r="T2824" s="98"/>
      <c r="U2824" s="99"/>
    </row>
    <row r="2825" spans="20:21" x14ac:dyDescent="0.25">
      <c r="T2825" s="98"/>
      <c r="U2825" s="99"/>
    </row>
    <row r="2826" spans="20:21" x14ac:dyDescent="0.25">
      <c r="T2826" s="98"/>
      <c r="U2826" s="99"/>
    </row>
    <row r="2827" spans="20:21" x14ac:dyDescent="0.25">
      <c r="T2827" s="98"/>
      <c r="U2827" s="99"/>
    </row>
    <row r="2828" spans="20:21" x14ac:dyDescent="0.25">
      <c r="T2828" s="98"/>
      <c r="U2828" s="99"/>
    </row>
    <row r="2829" spans="20:21" x14ac:dyDescent="0.25">
      <c r="T2829" s="98"/>
      <c r="U2829" s="99"/>
    </row>
    <row r="2830" spans="20:21" x14ac:dyDescent="0.25">
      <c r="T2830" s="98"/>
      <c r="U2830" s="99"/>
    </row>
    <row r="2831" spans="20:21" x14ac:dyDescent="0.25">
      <c r="T2831" s="98"/>
      <c r="U2831" s="99"/>
    </row>
    <row r="2832" spans="20:21" x14ac:dyDescent="0.25">
      <c r="T2832" s="98"/>
      <c r="U2832" s="99"/>
    </row>
    <row r="2833" spans="20:21" x14ac:dyDescent="0.25">
      <c r="T2833" s="98"/>
      <c r="U2833" s="99"/>
    </row>
    <row r="2834" spans="20:21" x14ac:dyDescent="0.25">
      <c r="T2834" s="98"/>
      <c r="U2834" s="99"/>
    </row>
    <row r="2835" spans="20:21" x14ac:dyDescent="0.25">
      <c r="T2835" s="98"/>
      <c r="U2835" s="99"/>
    </row>
    <row r="2836" spans="20:21" x14ac:dyDescent="0.25">
      <c r="T2836" s="98"/>
      <c r="U2836" s="99"/>
    </row>
    <row r="2837" spans="20:21" x14ac:dyDescent="0.25">
      <c r="T2837" s="98"/>
      <c r="U2837" s="99"/>
    </row>
    <row r="2838" spans="20:21" x14ac:dyDescent="0.25">
      <c r="T2838" s="98"/>
      <c r="U2838" s="99"/>
    </row>
    <row r="2839" spans="20:21" x14ac:dyDescent="0.25">
      <c r="T2839" s="98"/>
      <c r="U2839" s="99"/>
    </row>
    <row r="2840" spans="20:21" x14ac:dyDescent="0.25">
      <c r="T2840" s="98"/>
      <c r="U2840" s="99"/>
    </row>
    <row r="2841" spans="20:21" x14ac:dyDescent="0.25">
      <c r="T2841" s="98"/>
      <c r="U2841" s="99"/>
    </row>
    <row r="2842" spans="20:21" x14ac:dyDescent="0.25">
      <c r="T2842" s="98"/>
      <c r="U2842" s="99"/>
    </row>
    <row r="2843" spans="20:21" x14ac:dyDescent="0.25">
      <c r="T2843" s="98"/>
      <c r="U2843" s="99"/>
    </row>
    <row r="2844" spans="20:21" x14ac:dyDescent="0.25">
      <c r="T2844" s="98"/>
      <c r="U2844" s="99"/>
    </row>
    <row r="2845" spans="20:21" x14ac:dyDescent="0.25">
      <c r="T2845" s="98"/>
      <c r="U2845" s="99"/>
    </row>
    <row r="2846" spans="20:21" x14ac:dyDescent="0.25">
      <c r="T2846" s="98"/>
      <c r="U2846" s="99"/>
    </row>
    <row r="2847" spans="20:21" x14ac:dyDescent="0.25">
      <c r="T2847" s="98"/>
      <c r="U2847" s="99"/>
    </row>
    <row r="2848" spans="20:21" x14ac:dyDescent="0.25">
      <c r="T2848" s="98"/>
      <c r="U2848" s="99"/>
    </row>
    <row r="2849" spans="20:21" x14ac:dyDescent="0.25">
      <c r="T2849" s="98"/>
      <c r="U2849" s="99"/>
    </row>
    <row r="2850" spans="20:21" x14ac:dyDescent="0.25">
      <c r="T2850" s="98"/>
      <c r="U2850" s="99"/>
    </row>
    <row r="2851" spans="20:21" x14ac:dyDescent="0.25">
      <c r="T2851" s="98"/>
      <c r="U2851" s="99"/>
    </row>
    <row r="2852" spans="20:21" x14ac:dyDescent="0.25">
      <c r="T2852" s="98"/>
      <c r="U2852" s="99"/>
    </row>
    <row r="2853" spans="20:21" x14ac:dyDescent="0.25">
      <c r="T2853" s="98"/>
      <c r="U2853" s="99"/>
    </row>
    <row r="2854" spans="20:21" x14ac:dyDescent="0.25">
      <c r="T2854" s="98"/>
      <c r="U2854" s="99"/>
    </row>
    <row r="2855" spans="20:21" x14ac:dyDescent="0.25">
      <c r="T2855" s="98"/>
      <c r="U2855" s="99"/>
    </row>
    <row r="2856" spans="20:21" x14ac:dyDescent="0.25">
      <c r="T2856" s="98"/>
      <c r="U2856" s="99"/>
    </row>
    <row r="2857" spans="20:21" x14ac:dyDescent="0.25">
      <c r="T2857" s="98"/>
      <c r="U2857" s="99"/>
    </row>
    <row r="2858" spans="20:21" x14ac:dyDescent="0.25">
      <c r="T2858" s="98"/>
      <c r="U2858" s="99"/>
    </row>
    <row r="2859" spans="20:21" x14ac:dyDescent="0.25">
      <c r="T2859" s="98"/>
      <c r="U2859" s="99"/>
    </row>
    <row r="2860" spans="20:21" x14ac:dyDescent="0.25">
      <c r="T2860" s="98"/>
      <c r="U2860" s="99"/>
    </row>
    <row r="2861" spans="20:21" x14ac:dyDescent="0.25">
      <c r="T2861" s="98"/>
      <c r="U2861" s="99"/>
    </row>
    <row r="2862" spans="20:21" x14ac:dyDescent="0.25">
      <c r="T2862" s="98"/>
      <c r="U2862" s="99"/>
    </row>
    <row r="2863" spans="20:21" x14ac:dyDescent="0.25">
      <c r="T2863" s="98"/>
      <c r="U2863" s="99"/>
    </row>
    <row r="2864" spans="20:21" x14ac:dyDescent="0.25">
      <c r="T2864" s="98"/>
      <c r="U2864" s="99"/>
    </row>
    <row r="2865" spans="20:21" x14ac:dyDescent="0.25">
      <c r="T2865" s="98"/>
      <c r="U2865" s="99"/>
    </row>
    <row r="2866" spans="20:21" x14ac:dyDescent="0.25">
      <c r="T2866" s="98"/>
      <c r="U2866" s="99"/>
    </row>
    <row r="2867" spans="20:21" x14ac:dyDescent="0.25">
      <c r="T2867" s="98"/>
      <c r="U2867" s="99"/>
    </row>
    <row r="2868" spans="20:21" x14ac:dyDescent="0.25">
      <c r="T2868" s="98"/>
      <c r="U2868" s="99"/>
    </row>
    <row r="2869" spans="20:21" x14ac:dyDescent="0.25">
      <c r="T2869" s="98"/>
      <c r="U2869" s="99"/>
    </row>
    <row r="2870" spans="20:21" x14ac:dyDescent="0.25">
      <c r="T2870" s="98"/>
      <c r="U2870" s="99"/>
    </row>
    <row r="2871" spans="20:21" x14ac:dyDescent="0.25">
      <c r="T2871" s="98"/>
      <c r="U2871" s="99"/>
    </row>
    <row r="2872" spans="20:21" x14ac:dyDescent="0.25">
      <c r="T2872" s="98"/>
      <c r="U2872" s="99"/>
    </row>
    <row r="2873" spans="20:21" x14ac:dyDescent="0.25">
      <c r="T2873" s="98"/>
      <c r="U2873" s="99"/>
    </row>
    <row r="2874" spans="20:21" x14ac:dyDescent="0.25">
      <c r="T2874" s="98"/>
      <c r="U2874" s="99"/>
    </row>
    <row r="2875" spans="20:21" x14ac:dyDescent="0.25">
      <c r="T2875" s="98"/>
      <c r="U2875" s="99"/>
    </row>
    <row r="2876" spans="20:21" x14ac:dyDescent="0.25">
      <c r="T2876" s="98"/>
      <c r="U2876" s="99"/>
    </row>
    <row r="2877" spans="20:21" x14ac:dyDescent="0.25">
      <c r="T2877" s="98"/>
      <c r="U2877" s="99"/>
    </row>
    <row r="2878" spans="20:21" x14ac:dyDescent="0.25">
      <c r="T2878" s="98"/>
      <c r="U2878" s="99"/>
    </row>
    <row r="2879" spans="20:21" x14ac:dyDescent="0.25">
      <c r="T2879" s="98"/>
      <c r="U2879" s="99"/>
    </row>
    <row r="2880" spans="20:21" x14ac:dyDescent="0.25">
      <c r="T2880" s="98"/>
      <c r="U2880" s="99"/>
    </row>
    <row r="2881" spans="20:21" x14ac:dyDescent="0.25">
      <c r="T2881" s="98"/>
      <c r="U2881" s="99"/>
    </row>
    <row r="2882" spans="20:21" x14ac:dyDescent="0.25">
      <c r="T2882" s="98"/>
      <c r="U2882" s="99"/>
    </row>
    <row r="2883" spans="20:21" x14ac:dyDescent="0.25">
      <c r="T2883" s="98"/>
      <c r="U2883" s="99"/>
    </row>
    <row r="2884" spans="20:21" x14ac:dyDescent="0.25">
      <c r="T2884" s="98"/>
      <c r="U2884" s="99"/>
    </row>
    <row r="2885" spans="20:21" x14ac:dyDescent="0.25">
      <c r="T2885" s="98"/>
      <c r="U2885" s="99"/>
    </row>
    <row r="2886" spans="20:21" x14ac:dyDescent="0.25">
      <c r="T2886" s="98"/>
      <c r="U2886" s="99"/>
    </row>
    <row r="2887" spans="20:21" x14ac:dyDescent="0.25">
      <c r="T2887" s="98"/>
      <c r="U2887" s="99"/>
    </row>
    <row r="2888" spans="20:21" x14ac:dyDescent="0.25">
      <c r="T2888" s="98"/>
      <c r="U2888" s="99"/>
    </row>
    <row r="2889" spans="20:21" x14ac:dyDescent="0.25">
      <c r="T2889" s="98"/>
      <c r="U2889" s="99"/>
    </row>
    <row r="2890" spans="20:21" x14ac:dyDescent="0.25">
      <c r="T2890" s="98"/>
      <c r="U2890" s="99"/>
    </row>
    <row r="2891" spans="20:21" x14ac:dyDescent="0.25">
      <c r="T2891" s="98"/>
      <c r="U2891" s="99"/>
    </row>
    <row r="2892" spans="20:21" x14ac:dyDescent="0.25">
      <c r="T2892" s="98"/>
      <c r="U2892" s="99"/>
    </row>
    <row r="2893" spans="20:21" x14ac:dyDescent="0.25">
      <c r="T2893" s="98"/>
      <c r="U2893" s="99"/>
    </row>
    <row r="2894" spans="20:21" x14ac:dyDescent="0.25">
      <c r="T2894" s="98"/>
      <c r="U2894" s="99"/>
    </row>
    <row r="2895" spans="20:21" x14ac:dyDescent="0.25">
      <c r="T2895" s="98"/>
      <c r="U2895" s="99"/>
    </row>
    <row r="2896" spans="20:21" x14ac:dyDescent="0.25">
      <c r="T2896" s="98"/>
      <c r="U2896" s="99"/>
    </row>
    <row r="2897" spans="20:21" x14ac:dyDescent="0.25">
      <c r="T2897" s="98"/>
      <c r="U2897" s="99"/>
    </row>
    <row r="2898" spans="20:21" x14ac:dyDescent="0.25">
      <c r="T2898" s="98"/>
      <c r="U2898" s="99"/>
    </row>
    <row r="2899" spans="20:21" x14ac:dyDescent="0.25">
      <c r="T2899" s="98"/>
      <c r="U2899" s="99"/>
    </row>
    <row r="2900" spans="20:21" x14ac:dyDescent="0.25">
      <c r="T2900" s="98"/>
      <c r="U2900" s="99"/>
    </row>
    <row r="2901" spans="20:21" x14ac:dyDescent="0.25">
      <c r="T2901" s="98"/>
      <c r="U2901" s="99"/>
    </row>
    <row r="2902" spans="20:21" x14ac:dyDescent="0.25">
      <c r="T2902" s="98"/>
      <c r="U2902" s="99"/>
    </row>
    <row r="2903" spans="20:21" x14ac:dyDescent="0.25">
      <c r="T2903" s="98"/>
      <c r="U2903" s="99"/>
    </row>
    <row r="2904" spans="20:21" x14ac:dyDescent="0.25">
      <c r="T2904" s="98"/>
      <c r="U2904" s="99"/>
    </row>
    <row r="2905" spans="20:21" x14ac:dyDescent="0.25">
      <c r="T2905" s="98"/>
      <c r="U2905" s="99"/>
    </row>
    <row r="2906" spans="20:21" x14ac:dyDescent="0.25">
      <c r="T2906" s="98"/>
      <c r="U2906" s="99"/>
    </row>
    <row r="2907" spans="20:21" x14ac:dyDescent="0.25">
      <c r="T2907" s="98"/>
      <c r="U2907" s="99"/>
    </row>
    <row r="2908" spans="20:21" x14ac:dyDescent="0.25">
      <c r="T2908" s="98"/>
      <c r="U2908" s="99"/>
    </row>
    <row r="2909" spans="20:21" x14ac:dyDescent="0.25">
      <c r="T2909" s="98"/>
      <c r="U2909" s="99"/>
    </row>
    <row r="2910" spans="20:21" x14ac:dyDescent="0.25">
      <c r="T2910" s="98"/>
      <c r="U2910" s="99"/>
    </row>
    <row r="2911" spans="20:21" x14ac:dyDescent="0.25">
      <c r="T2911" s="98"/>
      <c r="U2911" s="99"/>
    </row>
    <row r="2912" spans="20:21" x14ac:dyDescent="0.25">
      <c r="T2912" s="98"/>
      <c r="U2912" s="99"/>
    </row>
    <row r="2913" spans="20:21" x14ac:dyDescent="0.25">
      <c r="T2913" s="98"/>
      <c r="U2913" s="99"/>
    </row>
    <row r="2914" spans="20:21" x14ac:dyDescent="0.25">
      <c r="T2914" s="98"/>
      <c r="U2914" s="99"/>
    </row>
    <row r="2915" spans="20:21" x14ac:dyDescent="0.25">
      <c r="T2915" s="98"/>
      <c r="U2915" s="99"/>
    </row>
    <row r="2916" spans="20:21" x14ac:dyDescent="0.25">
      <c r="T2916" s="98"/>
      <c r="U2916" s="99"/>
    </row>
    <row r="2917" spans="20:21" x14ac:dyDescent="0.25">
      <c r="T2917" s="98"/>
      <c r="U2917" s="99"/>
    </row>
    <row r="2918" spans="20:21" x14ac:dyDescent="0.25">
      <c r="T2918" s="98"/>
      <c r="U2918" s="99"/>
    </row>
    <row r="2919" spans="20:21" x14ac:dyDescent="0.25">
      <c r="T2919" s="98"/>
      <c r="U2919" s="99"/>
    </row>
    <row r="2920" spans="20:21" x14ac:dyDescent="0.25">
      <c r="T2920" s="98"/>
      <c r="U2920" s="99"/>
    </row>
    <row r="2921" spans="20:21" x14ac:dyDescent="0.25">
      <c r="T2921" s="98"/>
      <c r="U2921" s="99"/>
    </row>
    <row r="2922" spans="20:21" x14ac:dyDescent="0.25">
      <c r="T2922" s="98"/>
      <c r="U2922" s="99"/>
    </row>
    <row r="2923" spans="20:21" x14ac:dyDescent="0.25">
      <c r="T2923" s="98"/>
      <c r="U2923" s="99"/>
    </row>
    <row r="2924" spans="20:21" x14ac:dyDescent="0.25">
      <c r="T2924" s="98"/>
      <c r="U2924" s="99"/>
    </row>
    <row r="2925" spans="20:21" x14ac:dyDescent="0.25">
      <c r="T2925" s="98"/>
      <c r="U2925" s="99"/>
    </row>
    <row r="2926" spans="20:21" x14ac:dyDescent="0.25">
      <c r="T2926" s="98"/>
      <c r="U2926" s="99"/>
    </row>
    <row r="2927" spans="20:21" x14ac:dyDescent="0.25">
      <c r="T2927" s="98"/>
      <c r="U2927" s="99"/>
    </row>
    <row r="2928" spans="20:21" x14ac:dyDescent="0.25">
      <c r="T2928" s="98"/>
      <c r="U2928" s="99"/>
    </row>
    <row r="2929" spans="20:21" x14ac:dyDescent="0.25">
      <c r="T2929" s="98"/>
      <c r="U2929" s="99"/>
    </row>
    <row r="2930" spans="20:21" x14ac:dyDescent="0.25">
      <c r="T2930" s="98"/>
      <c r="U2930" s="99"/>
    </row>
    <row r="2931" spans="20:21" x14ac:dyDescent="0.25">
      <c r="T2931" s="98"/>
      <c r="U2931" s="99"/>
    </row>
    <row r="2932" spans="20:21" x14ac:dyDescent="0.25">
      <c r="T2932" s="98"/>
      <c r="U2932" s="99"/>
    </row>
    <row r="2933" spans="20:21" x14ac:dyDescent="0.25">
      <c r="T2933" s="98"/>
      <c r="U2933" s="99"/>
    </row>
    <row r="2934" spans="20:21" x14ac:dyDescent="0.25">
      <c r="T2934" s="98"/>
      <c r="U2934" s="99"/>
    </row>
    <row r="2935" spans="20:21" x14ac:dyDescent="0.25">
      <c r="T2935" s="98"/>
      <c r="U2935" s="99"/>
    </row>
    <row r="2936" spans="20:21" x14ac:dyDescent="0.25">
      <c r="T2936" s="98"/>
      <c r="U2936" s="99"/>
    </row>
    <row r="2937" spans="20:21" x14ac:dyDescent="0.25">
      <c r="T2937" s="98"/>
      <c r="U2937" s="99"/>
    </row>
    <row r="2938" spans="20:21" x14ac:dyDescent="0.25">
      <c r="T2938" s="98"/>
      <c r="U2938" s="99"/>
    </row>
    <row r="2939" spans="20:21" x14ac:dyDescent="0.25">
      <c r="T2939" s="98"/>
      <c r="U2939" s="99"/>
    </row>
    <row r="2940" spans="20:21" x14ac:dyDescent="0.25">
      <c r="T2940" s="98"/>
      <c r="U2940" s="99"/>
    </row>
    <row r="2941" spans="20:21" x14ac:dyDescent="0.25">
      <c r="T2941" s="98"/>
      <c r="U2941" s="99"/>
    </row>
    <row r="2942" spans="20:21" x14ac:dyDescent="0.25">
      <c r="T2942" s="98"/>
      <c r="U2942" s="99"/>
    </row>
    <row r="2943" spans="20:21" x14ac:dyDescent="0.25">
      <c r="T2943" s="98"/>
      <c r="U2943" s="99"/>
    </row>
    <row r="2944" spans="20:21" x14ac:dyDescent="0.25">
      <c r="T2944" s="98"/>
      <c r="U2944" s="99"/>
    </row>
    <row r="2945" spans="20:21" x14ac:dyDescent="0.25">
      <c r="T2945" s="98"/>
      <c r="U2945" s="99"/>
    </row>
    <row r="2946" spans="20:21" x14ac:dyDescent="0.25">
      <c r="T2946" s="98"/>
      <c r="U2946" s="99"/>
    </row>
    <row r="2947" spans="20:21" x14ac:dyDescent="0.25">
      <c r="T2947" s="98"/>
      <c r="U2947" s="99"/>
    </row>
    <row r="2948" spans="20:21" x14ac:dyDescent="0.25">
      <c r="T2948" s="98"/>
      <c r="U2948" s="99"/>
    </row>
    <row r="2949" spans="20:21" x14ac:dyDescent="0.25">
      <c r="T2949" s="98"/>
      <c r="U2949" s="99"/>
    </row>
    <row r="2950" spans="20:21" x14ac:dyDescent="0.25">
      <c r="T2950" s="98"/>
      <c r="U2950" s="99"/>
    </row>
    <row r="2951" spans="20:21" x14ac:dyDescent="0.25">
      <c r="T2951" s="98"/>
      <c r="U2951" s="99"/>
    </row>
    <row r="2952" spans="20:21" x14ac:dyDescent="0.25">
      <c r="T2952" s="98"/>
      <c r="U2952" s="99"/>
    </row>
    <row r="2953" spans="20:21" x14ac:dyDescent="0.25">
      <c r="T2953" s="98"/>
      <c r="U2953" s="99"/>
    </row>
    <row r="2954" spans="20:21" x14ac:dyDescent="0.25">
      <c r="T2954" s="98"/>
      <c r="U2954" s="99"/>
    </row>
    <row r="2955" spans="20:21" x14ac:dyDescent="0.25">
      <c r="T2955" s="98"/>
      <c r="U2955" s="99"/>
    </row>
    <row r="2956" spans="20:21" x14ac:dyDescent="0.25">
      <c r="T2956" s="98"/>
      <c r="U2956" s="99"/>
    </row>
    <row r="2957" spans="20:21" x14ac:dyDescent="0.25">
      <c r="T2957" s="98"/>
      <c r="U2957" s="99"/>
    </row>
    <row r="2958" spans="20:21" x14ac:dyDescent="0.25">
      <c r="T2958" s="98"/>
      <c r="U2958" s="99"/>
    </row>
    <row r="2959" spans="20:21" x14ac:dyDescent="0.25">
      <c r="T2959" s="98"/>
      <c r="U2959" s="99"/>
    </row>
    <row r="2960" spans="20:21" x14ac:dyDescent="0.25">
      <c r="T2960" s="98"/>
      <c r="U2960" s="99"/>
    </row>
    <row r="2961" spans="20:21" x14ac:dyDescent="0.25">
      <c r="T2961" s="98"/>
      <c r="U2961" s="99"/>
    </row>
    <row r="2962" spans="20:21" x14ac:dyDescent="0.25">
      <c r="T2962" s="98"/>
      <c r="U2962" s="99"/>
    </row>
    <row r="2963" spans="20:21" x14ac:dyDescent="0.25">
      <c r="T2963" s="98"/>
      <c r="U2963" s="99"/>
    </row>
    <row r="2964" spans="20:21" x14ac:dyDescent="0.25">
      <c r="T2964" s="98"/>
      <c r="U2964" s="99"/>
    </row>
    <row r="2965" spans="20:21" x14ac:dyDescent="0.25">
      <c r="T2965" s="98"/>
      <c r="U2965" s="99"/>
    </row>
    <row r="2966" spans="20:21" x14ac:dyDescent="0.25">
      <c r="T2966" s="98"/>
      <c r="U2966" s="99"/>
    </row>
    <row r="2967" spans="20:21" x14ac:dyDescent="0.25">
      <c r="T2967" s="98"/>
      <c r="U2967" s="99"/>
    </row>
    <row r="2968" spans="20:21" x14ac:dyDescent="0.25">
      <c r="T2968" s="98"/>
      <c r="U2968" s="99"/>
    </row>
    <row r="2969" spans="20:21" x14ac:dyDescent="0.25">
      <c r="T2969" s="98"/>
      <c r="U2969" s="99"/>
    </row>
    <row r="2970" spans="20:21" x14ac:dyDescent="0.25">
      <c r="T2970" s="98"/>
      <c r="U2970" s="99"/>
    </row>
    <row r="2971" spans="20:21" x14ac:dyDescent="0.25">
      <c r="T2971" s="98"/>
      <c r="U2971" s="99"/>
    </row>
    <row r="2972" spans="20:21" x14ac:dyDescent="0.25">
      <c r="T2972" s="98"/>
      <c r="U2972" s="99"/>
    </row>
    <row r="2973" spans="20:21" x14ac:dyDescent="0.25">
      <c r="T2973" s="98"/>
      <c r="U2973" s="99"/>
    </row>
    <row r="2974" spans="20:21" x14ac:dyDescent="0.25">
      <c r="T2974" s="98"/>
      <c r="U2974" s="99"/>
    </row>
    <row r="2975" spans="20:21" x14ac:dyDescent="0.25">
      <c r="T2975" s="98"/>
      <c r="U2975" s="99"/>
    </row>
    <row r="2976" spans="20:21" x14ac:dyDescent="0.25">
      <c r="T2976" s="98"/>
      <c r="U2976" s="99"/>
    </row>
    <row r="2977" spans="20:21" x14ac:dyDescent="0.25">
      <c r="T2977" s="98"/>
      <c r="U2977" s="99"/>
    </row>
    <row r="2978" spans="20:21" x14ac:dyDescent="0.25">
      <c r="T2978" s="98"/>
      <c r="U2978" s="99"/>
    </row>
    <row r="2979" spans="20:21" x14ac:dyDescent="0.25">
      <c r="T2979" s="98"/>
      <c r="U2979" s="99"/>
    </row>
    <row r="2980" spans="20:21" x14ac:dyDescent="0.25">
      <c r="T2980" s="98"/>
      <c r="U2980" s="99"/>
    </row>
    <row r="2981" spans="20:21" x14ac:dyDescent="0.25">
      <c r="T2981" s="98"/>
      <c r="U2981" s="99"/>
    </row>
    <row r="2982" spans="20:21" x14ac:dyDescent="0.25">
      <c r="T2982" s="98"/>
      <c r="U2982" s="99"/>
    </row>
    <row r="2983" spans="20:21" x14ac:dyDescent="0.25">
      <c r="T2983" s="98"/>
      <c r="U2983" s="99"/>
    </row>
    <row r="2984" spans="20:21" x14ac:dyDescent="0.25">
      <c r="T2984" s="98"/>
      <c r="U2984" s="99"/>
    </row>
    <row r="2985" spans="20:21" x14ac:dyDescent="0.25">
      <c r="T2985" s="98"/>
      <c r="U2985" s="99"/>
    </row>
    <row r="2986" spans="20:21" x14ac:dyDescent="0.25">
      <c r="T2986" s="98"/>
      <c r="U2986" s="99"/>
    </row>
    <row r="2987" spans="20:21" x14ac:dyDescent="0.25">
      <c r="T2987" s="98"/>
      <c r="U2987" s="99"/>
    </row>
    <row r="2988" spans="20:21" x14ac:dyDescent="0.25">
      <c r="T2988" s="98"/>
      <c r="U2988" s="99"/>
    </row>
    <row r="2989" spans="20:21" x14ac:dyDescent="0.25">
      <c r="T2989" s="98"/>
      <c r="U2989" s="99"/>
    </row>
    <row r="2990" spans="20:21" x14ac:dyDescent="0.25">
      <c r="T2990" s="98"/>
      <c r="U2990" s="99"/>
    </row>
    <row r="2991" spans="20:21" x14ac:dyDescent="0.25">
      <c r="T2991" s="98"/>
      <c r="U2991" s="99"/>
    </row>
    <row r="2992" spans="20:21" x14ac:dyDescent="0.25">
      <c r="T2992" s="98"/>
      <c r="U2992" s="99"/>
    </row>
    <row r="2993" spans="20:21" x14ac:dyDescent="0.25">
      <c r="T2993" s="98"/>
      <c r="U2993" s="99"/>
    </row>
    <row r="2994" spans="20:21" x14ac:dyDescent="0.25">
      <c r="T2994" s="98"/>
      <c r="U2994" s="99"/>
    </row>
    <row r="2995" spans="20:21" x14ac:dyDescent="0.25">
      <c r="T2995" s="98"/>
      <c r="U2995" s="99"/>
    </row>
    <row r="2996" spans="20:21" x14ac:dyDescent="0.25">
      <c r="T2996" s="98"/>
      <c r="U2996" s="99"/>
    </row>
    <row r="2997" spans="20:21" x14ac:dyDescent="0.25">
      <c r="T2997" s="98"/>
      <c r="U2997" s="99"/>
    </row>
    <row r="2998" spans="20:21" x14ac:dyDescent="0.25">
      <c r="T2998" s="98"/>
      <c r="U2998" s="99"/>
    </row>
    <row r="2999" spans="20:21" x14ac:dyDescent="0.25">
      <c r="T2999" s="98"/>
      <c r="U2999" s="99"/>
    </row>
    <row r="3000" spans="20:21" x14ac:dyDescent="0.25">
      <c r="T3000" s="98"/>
      <c r="U3000" s="99"/>
    </row>
    <row r="3001" spans="20:21" x14ac:dyDescent="0.25">
      <c r="T3001" s="98"/>
      <c r="U3001" s="99"/>
    </row>
    <row r="3002" spans="20:21" x14ac:dyDescent="0.25">
      <c r="T3002" s="98"/>
      <c r="U3002" s="99"/>
    </row>
    <row r="3003" spans="20:21" x14ac:dyDescent="0.25">
      <c r="T3003" s="98"/>
      <c r="U3003" s="99"/>
    </row>
    <row r="3004" spans="20:21" x14ac:dyDescent="0.25">
      <c r="T3004" s="98"/>
      <c r="U3004" s="99"/>
    </row>
    <row r="3005" spans="20:21" x14ac:dyDescent="0.25">
      <c r="T3005" s="98"/>
      <c r="U3005" s="99"/>
    </row>
    <row r="3006" spans="20:21" x14ac:dyDescent="0.25">
      <c r="T3006" s="98"/>
      <c r="U3006" s="99"/>
    </row>
    <row r="3007" spans="20:21" x14ac:dyDescent="0.25">
      <c r="T3007" s="98"/>
      <c r="U3007" s="99"/>
    </row>
    <row r="3008" spans="20:21" x14ac:dyDescent="0.25">
      <c r="T3008" s="98"/>
      <c r="U3008" s="99"/>
    </row>
    <row r="3009" spans="20:21" x14ac:dyDescent="0.25">
      <c r="T3009" s="98"/>
      <c r="U3009" s="99"/>
    </row>
    <row r="3010" spans="20:21" x14ac:dyDescent="0.25">
      <c r="T3010" s="98"/>
      <c r="U3010" s="99"/>
    </row>
    <row r="3011" spans="20:21" x14ac:dyDescent="0.25">
      <c r="T3011" s="98"/>
      <c r="U3011" s="99"/>
    </row>
    <row r="3012" spans="20:21" x14ac:dyDescent="0.25">
      <c r="T3012" s="98"/>
      <c r="U3012" s="99"/>
    </row>
    <row r="3013" spans="20:21" x14ac:dyDescent="0.25">
      <c r="T3013" s="98"/>
      <c r="U3013" s="99"/>
    </row>
    <row r="3014" spans="20:21" x14ac:dyDescent="0.25">
      <c r="T3014" s="98"/>
      <c r="U3014" s="99"/>
    </row>
    <row r="3015" spans="20:21" x14ac:dyDescent="0.25">
      <c r="T3015" s="98"/>
      <c r="U3015" s="99"/>
    </row>
    <row r="3016" spans="20:21" x14ac:dyDescent="0.25">
      <c r="T3016" s="98"/>
      <c r="U3016" s="99"/>
    </row>
    <row r="3017" spans="20:21" x14ac:dyDescent="0.25">
      <c r="T3017" s="98"/>
      <c r="U3017" s="99"/>
    </row>
    <row r="3018" spans="20:21" x14ac:dyDescent="0.25">
      <c r="T3018" s="98"/>
      <c r="U3018" s="99"/>
    </row>
    <row r="3019" spans="20:21" x14ac:dyDescent="0.25">
      <c r="T3019" s="98"/>
      <c r="U3019" s="99"/>
    </row>
    <row r="3020" spans="20:21" x14ac:dyDescent="0.25">
      <c r="T3020" s="98"/>
      <c r="U3020" s="99"/>
    </row>
    <row r="3021" spans="20:21" x14ac:dyDescent="0.25">
      <c r="T3021" s="98"/>
      <c r="U3021" s="99"/>
    </row>
    <row r="3022" spans="20:21" x14ac:dyDescent="0.25">
      <c r="T3022" s="98"/>
      <c r="U3022" s="99"/>
    </row>
    <row r="3023" spans="20:21" x14ac:dyDescent="0.25">
      <c r="T3023" s="98"/>
      <c r="U3023" s="99"/>
    </row>
    <row r="3024" spans="20:21" x14ac:dyDescent="0.25">
      <c r="T3024" s="98"/>
      <c r="U3024" s="99"/>
    </row>
    <row r="3025" spans="20:21" x14ac:dyDescent="0.25">
      <c r="T3025" s="98"/>
      <c r="U3025" s="99"/>
    </row>
    <row r="3026" spans="20:21" x14ac:dyDescent="0.25">
      <c r="T3026" s="98"/>
      <c r="U3026" s="99"/>
    </row>
    <row r="3027" spans="20:21" x14ac:dyDescent="0.25">
      <c r="T3027" s="98"/>
      <c r="U3027" s="99"/>
    </row>
    <row r="3028" spans="20:21" x14ac:dyDescent="0.25">
      <c r="T3028" s="98"/>
      <c r="U3028" s="99"/>
    </row>
    <row r="3029" spans="20:21" x14ac:dyDescent="0.25">
      <c r="T3029" s="98"/>
      <c r="U3029" s="99"/>
    </row>
    <row r="3030" spans="20:21" x14ac:dyDescent="0.25">
      <c r="T3030" s="98"/>
      <c r="U3030" s="99"/>
    </row>
    <row r="3031" spans="20:21" x14ac:dyDescent="0.25">
      <c r="T3031" s="98"/>
      <c r="U3031" s="99"/>
    </row>
    <row r="3032" spans="20:21" x14ac:dyDescent="0.25">
      <c r="T3032" s="98"/>
      <c r="U3032" s="99"/>
    </row>
    <row r="3033" spans="20:21" x14ac:dyDescent="0.25">
      <c r="T3033" s="98"/>
      <c r="U3033" s="99"/>
    </row>
    <row r="3034" spans="20:21" x14ac:dyDescent="0.25">
      <c r="T3034" s="98"/>
      <c r="U3034" s="99"/>
    </row>
    <row r="3035" spans="20:21" x14ac:dyDescent="0.25">
      <c r="T3035" s="98"/>
      <c r="U3035" s="99"/>
    </row>
    <row r="3036" spans="20:21" x14ac:dyDescent="0.25">
      <c r="T3036" s="98"/>
      <c r="U3036" s="99"/>
    </row>
    <row r="3037" spans="20:21" x14ac:dyDescent="0.25">
      <c r="T3037" s="98"/>
      <c r="U3037" s="99"/>
    </row>
    <row r="3038" spans="20:21" x14ac:dyDescent="0.25">
      <c r="T3038" s="98"/>
      <c r="U3038" s="99"/>
    </row>
    <row r="3039" spans="20:21" x14ac:dyDescent="0.25">
      <c r="T3039" s="98"/>
      <c r="U3039" s="99"/>
    </row>
    <row r="3040" spans="20:21" x14ac:dyDescent="0.25">
      <c r="T3040" s="98"/>
      <c r="U3040" s="99"/>
    </row>
    <row r="3041" spans="20:21" x14ac:dyDescent="0.25">
      <c r="T3041" s="98"/>
      <c r="U3041" s="99"/>
    </row>
    <row r="3042" spans="20:21" x14ac:dyDescent="0.25">
      <c r="T3042" s="98"/>
      <c r="U3042" s="99"/>
    </row>
    <row r="3043" spans="20:21" x14ac:dyDescent="0.25">
      <c r="T3043" s="98"/>
      <c r="U3043" s="99"/>
    </row>
    <row r="3044" spans="20:21" x14ac:dyDescent="0.25">
      <c r="T3044" s="98"/>
      <c r="U3044" s="99"/>
    </row>
    <row r="3045" spans="20:21" x14ac:dyDescent="0.25">
      <c r="T3045" s="98"/>
      <c r="U3045" s="99"/>
    </row>
    <row r="3046" spans="20:21" x14ac:dyDescent="0.25">
      <c r="T3046" s="98"/>
      <c r="U3046" s="99"/>
    </row>
    <row r="3047" spans="20:21" x14ac:dyDescent="0.25">
      <c r="T3047" s="98"/>
      <c r="U3047" s="99"/>
    </row>
    <row r="3048" spans="20:21" x14ac:dyDescent="0.25">
      <c r="T3048" s="98"/>
      <c r="U3048" s="99"/>
    </row>
    <row r="3049" spans="20:21" x14ac:dyDescent="0.25">
      <c r="T3049" s="98"/>
      <c r="U3049" s="99"/>
    </row>
    <row r="3050" spans="20:21" x14ac:dyDescent="0.25">
      <c r="T3050" s="98"/>
      <c r="U3050" s="99"/>
    </row>
    <row r="3051" spans="20:21" x14ac:dyDescent="0.25">
      <c r="T3051" s="98"/>
      <c r="U3051" s="99"/>
    </row>
    <row r="3052" spans="20:21" x14ac:dyDescent="0.25">
      <c r="T3052" s="98"/>
      <c r="U3052" s="99"/>
    </row>
    <row r="3053" spans="20:21" x14ac:dyDescent="0.25">
      <c r="T3053" s="98"/>
      <c r="U3053" s="99"/>
    </row>
    <row r="3054" spans="20:21" x14ac:dyDescent="0.25">
      <c r="T3054" s="98"/>
      <c r="U3054" s="99"/>
    </row>
    <row r="3055" spans="20:21" x14ac:dyDescent="0.25">
      <c r="T3055" s="98"/>
      <c r="U3055" s="99"/>
    </row>
    <row r="3056" spans="20:21" x14ac:dyDescent="0.25">
      <c r="T3056" s="98"/>
      <c r="U3056" s="99"/>
    </row>
    <row r="3057" spans="20:21" x14ac:dyDescent="0.25">
      <c r="T3057" s="98"/>
      <c r="U3057" s="99"/>
    </row>
    <row r="3058" spans="20:21" x14ac:dyDescent="0.25">
      <c r="T3058" s="98"/>
      <c r="U3058" s="99"/>
    </row>
    <row r="3059" spans="20:21" x14ac:dyDescent="0.25">
      <c r="T3059" s="98"/>
      <c r="U3059" s="99"/>
    </row>
    <row r="3060" spans="20:21" x14ac:dyDescent="0.25">
      <c r="T3060" s="98"/>
      <c r="U3060" s="99"/>
    </row>
    <row r="3061" spans="20:21" x14ac:dyDescent="0.25">
      <c r="T3061" s="98"/>
      <c r="U3061" s="99"/>
    </row>
    <row r="3062" spans="20:21" x14ac:dyDescent="0.25">
      <c r="T3062" s="98"/>
      <c r="U3062" s="99"/>
    </row>
    <row r="3063" spans="20:21" x14ac:dyDescent="0.25">
      <c r="T3063" s="98"/>
      <c r="U3063" s="99"/>
    </row>
    <row r="3064" spans="20:21" x14ac:dyDescent="0.25">
      <c r="T3064" s="98"/>
      <c r="U3064" s="99"/>
    </row>
    <row r="3065" spans="20:21" x14ac:dyDescent="0.25">
      <c r="T3065" s="98"/>
      <c r="U3065" s="99"/>
    </row>
    <row r="3066" spans="20:21" x14ac:dyDescent="0.25">
      <c r="T3066" s="98"/>
      <c r="U3066" s="99"/>
    </row>
    <row r="3067" spans="20:21" x14ac:dyDescent="0.25">
      <c r="T3067" s="98"/>
      <c r="U3067" s="99"/>
    </row>
    <row r="3068" spans="20:21" x14ac:dyDescent="0.25">
      <c r="T3068" s="98"/>
      <c r="U3068" s="99"/>
    </row>
    <row r="3069" spans="20:21" x14ac:dyDescent="0.25">
      <c r="T3069" s="98"/>
      <c r="U3069" s="99"/>
    </row>
    <row r="3070" spans="20:21" x14ac:dyDescent="0.25">
      <c r="T3070" s="98"/>
      <c r="U3070" s="99"/>
    </row>
    <row r="3071" spans="20:21" x14ac:dyDescent="0.25">
      <c r="T3071" s="98"/>
      <c r="U3071" s="99"/>
    </row>
    <row r="3072" spans="20:21" x14ac:dyDescent="0.25">
      <c r="T3072" s="98"/>
      <c r="U3072" s="99"/>
    </row>
    <row r="3073" spans="20:21" x14ac:dyDescent="0.25">
      <c r="T3073" s="98"/>
      <c r="U3073" s="99"/>
    </row>
    <row r="3074" spans="20:21" x14ac:dyDescent="0.25">
      <c r="T3074" s="98"/>
      <c r="U3074" s="99"/>
    </row>
    <row r="3075" spans="20:21" x14ac:dyDescent="0.25">
      <c r="T3075" s="98"/>
      <c r="U3075" s="99"/>
    </row>
    <row r="3076" spans="20:21" x14ac:dyDescent="0.25">
      <c r="T3076" s="98"/>
      <c r="U3076" s="99"/>
    </row>
    <row r="3077" spans="20:21" x14ac:dyDescent="0.25">
      <c r="T3077" s="98"/>
      <c r="U3077" s="99"/>
    </row>
    <row r="3078" spans="20:21" x14ac:dyDescent="0.25">
      <c r="T3078" s="98"/>
      <c r="U3078" s="99"/>
    </row>
    <row r="3079" spans="20:21" x14ac:dyDescent="0.25">
      <c r="T3079" s="98"/>
      <c r="U3079" s="99"/>
    </row>
    <row r="3080" spans="20:21" x14ac:dyDescent="0.25">
      <c r="T3080" s="98"/>
      <c r="U3080" s="99"/>
    </row>
    <row r="3081" spans="20:21" x14ac:dyDescent="0.25">
      <c r="T3081" s="98"/>
      <c r="U3081" s="99"/>
    </row>
    <row r="3082" spans="20:21" x14ac:dyDescent="0.25">
      <c r="T3082" s="98"/>
      <c r="U3082" s="99"/>
    </row>
    <row r="3083" spans="20:21" x14ac:dyDescent="0.25">
      <c r="T3083" s="98"/>
      <c r="U3083" s="99"/>
    </row>
    <row r="3084" spans="20:21" x14ac:dyDescent="0.25">
      <c r="T3084" s="98"/>
      <c r="U3084" s="99"/>
    </row>
    <row r="3085" spans="20:21" x14ac:dyDescent="0.25">
      <c r="T3085" s="98"/>
      <c r="U3085" s="99"/>
    </row>
    <row r="3086" spans="20:21" x14ac:dyDescent="0.25">
      <c r="T3086" s="98"/>
      <c r="U3086" s="99"/>
    </row>
    <row r="3087" spans="20:21" x14ac:dyDescent="0.25">
      <c r="T3087" s="98"/>
      <c r="U3087" s="99"/>
    </row>
    <row r="3088" spans="20:21" x14ac:dyDescent="0.25">
      <c r="T3088" s="98"/>
      <c r="U3088" s="99"/>
    </row>
    <row r="3089" spans="20:21" x14ac:dyDescent="0.25">
      <c r="T3089" s="98"/>
      <c r="U3089" s="99"/>
    </row>
    <row r="3090" spans="20:21" x14ac:dyDescent="0.25">
      <c r="T3090" s="98"/>
      <c r="U3090" s="99"/>
    </row>
    <row r="3091" spans="20:21" x14ac:dyDescent="0.25">
      <c r="T3091" s="98"/>
      <c r="U3091" s="99"/>
    </row>
    <row r="3092" spans="20:21" x14ac:dyDescent="0.25">
      <c r="T3092" s="98"/>
      <c r="U3092" s="99"/>
    </row>
    <row r="3093" spans="20:21" x14ac:dyDescent="0.25">
      <c r="T3093" s="98"/>
      <c r="U3093" s="99"/>
    </row>
    <row r="3094" spans="20:21" x14ac:dyDescent="0.25">
      <c r="T3094" s="98"/>
      <c r="U3094" s="99"/>
    </row>
    <row r="3095" spans="20:21" x14ac:dyDescent="0.25">
      <c r="T3095" s="98"/>
      <c r="U3095" s="99"/>
    </row>
    <row r="3096" spans="20:21" x14ac:dyDescent="0.25">
      <c r="T3096" s="98"/>
      <c r="U3096" s="99"/>
    </row>
    <row r="3097" spans="20:21" x14ac:dyDescent="0.25">
      <c r="T3097" s="98"/>
      <c r="U3097" s="99"/>
    </row>
    <row r="3098" spans="20:21" x14ac:dyDescent="0.25">
      <c r="T3098" s="98"/>
      <c r="U3098" s="99"/>
    </row>
    <row r="3099" spans="20:21" x14ac:dyDescent="0.25">
      <c r="T3099" s="98"/>
      <c r="U3099" s="99"/>
    </row>
    <row r="3100" spans="20:21" x14ac:dyDescent="0.25">
      <c r="T3100" s="98"/>
      <c r="U3100" s="99"/>
    </row>
    <row r="3101" spans="20:21" x14ac:dyDescent="0.25">
      <c r="T3101" s="98"/>
      <c r="U3101" s="99"/>
    </row>
    <row r="3102" spans="20:21" x14ac:dyDescent="0.25">
      <c r="T3102" s="98"/>
      <c r="U3102" s="99"/>
    </row>
    <row r="3103" spans="20:21" x14ac:dyDescent="0.25">
      <c r="T3103" s="98"/>
      <c r="U3103" s="99"/>
    </row>
    <row r="3104" spans="20:21" x14ac:dyDescent="0.25">
      <c r="T3104" s="98"/>
      <c r="U3104" s="99"/>
    </row>
    <row r="3105" spans="20:21" x14ac:dyDescent="0.25">
      <c r="T3105" s="98"/>
      <c r="U3105" s="99"/>
    </row>
    <row r="3106" spans="20:21" x14ac:dyDescent="0.25">
      <c r="T3106" s="98"/>
      <c r="U3106" s="99"/>
    </row>
    <row r="3107" spans="20:21" x14ac:dyDescent="0.25">
      <c r="T3107" s="98"/>
      <c r="U3107" s="99"/>
    </row>
    <row r="3108" spans="20:21" x14ac:dyDescent="0.25">
      <c r="T3108" s="98"/>
      <c r="U3108" s="99"/>
    </row>
    <row r="3109" spans="20:21" x14ac:dyDescent="0.25">
      <c r="T3109" s="98"/>
      <c r="U3109" s="99"/>
    </row>
    <row r="3110" spans="20:21" x14ac:dyDescent="0.25">
      <c r="T3110" s="98"/>
      <c r="U3110" s="99"/>
    </row>
    <row r="3111" spans="20:21" x14ac:dyDescent="0.25">
      <c r="T3111" s="98"/>
      <c r="U3111" s="99"/>
    </row>
    <row r="3112" spans="20:21" x14ac:dyDescent="0.25">
      <c r="T3112" s="98"/>
      <c r="U3112" s="99"/>
    </row>
    <row r="3113" spans="20:21" x14ac:dyDescent="0.25">
      <c r="T3113" s="98"/>
      <c r="U3113" s="99"/>
    </row>
    <row r="3114" spans="20:21" x14ac:dyDescent="0.25">
      <c r="T3114" s="98"/>
      <c r="U3114" s="99"/>
    </row>
    <row r="3115" spans="20:21" x14ac:dyDescent="0.25">
      <c r="T3115" s="98"/>
      <c r="U3115" s="99"/>
    </row>
    <row r="3116" spans="20:21" x14ac:dyDescent="0.25">
      <c r="T3116" s="98"/>
      <c r="U3116" s="99"/>
    </row>
    <row r="3117" spans="20:21" x14ac:dyDescent="0.25">
      <c r="T3117" s="98"/>
      <c r="U3117" s="99"/>
    </row>
    <row r="3118" spans="20:21" x14ac:dyDescent="0.25">
      <c r="T3118" s="98"/>
      <c r="U3118" s="99"/>
    </row>
    <row r="3119" spans="20:21" x14ac:dyDescent="0.25">
      <c r="T3119" s="98"/>
      <c r="U3119" s="99"/>
    </row>
    <row r="3120" spans="20:21" x14ac:dyDescent="0.25">
      <c r="T3120" s="98"/>
      <c r="U3120" s="99"/>
    </row>
    <row r="3121" spans="20:21" x14ac:dyDescent="0.25">
      <c r="T3121" s="98"/>
      <c r="U3121" s="99"/>
    </row>
    <row r="3122" spans="20:21" x14ac:dyDescent="0.25">
      <c r="T3122" s="98"/>
      <c r="U3122" s="99"/>
    </row>
    <row r="3123" spans="20:21" x14ac:dyDescent="0.25">
      <c r="T3123" s="98"/>
      <c r="U3123" s="99"/>
    </row>
    <row r="3124" spans="20:21" x14ac:dyDescent="0.25">
      <c r="T3124" s="98"/>
      <c r="U3124" s="99"/>
    </row>
    <row r="3125" spans="20:21" x14ac:dyDescent="0.25">
      <c r="T3125" s="98"/>
      <c r="U3125" s="99"/>
    </row>
    <row r="3126" spans="20:21" x14ac:dyDescent="0.25">
      <c r="T3126" s="98"/>
      <c r="U3126" s="99"/>
    </row>
    <row r="3127" spans="20:21" x14ac:dyDescent="0.25">
      <c r="T3127" s="98"/>
      <c r="U3127" s="99"/>
    </row>
    <row r="3128" spans="20:21" x14ac:dyDescent="0.25">
      <c r="T3128" s="98"/>
      <c r="U3128" s="99"/>
    </row>
    <row r="3129" spans="20:21" x14ac:dyDescent="0.25">
      <c r="T3129" s="98"/>
      <c r="U3129" s="99"/>
    </row>
    <row r="3130" spans="20:21" x14ac:dyDescent="0.25">
      <c r="T3130" s="98"/>
      <c r="U3130" s="99"/>
    </row>
    <row r="3131" spans="20:21" x14ac:dyDescent="0.25">
      <c r="T3131" s="98"/>
      <c r="U3131" s="99"/>
    </row>
    <row r="3132" spans="20:21" x14ac:dyDescent="0.25">
      <c r="T3132" s="98"/>
      <c r="U3132" s="99"/>
    </row>
    <row r="3133" spans="20:21" x14ac:dyDescent="0.25">
      <c r="T3133" s="98"/>
      <c r="U3133" s="99"/>
    </row>
    <row r="3134" spans="20:21" x14ac:dyDescent="0.25">
      <c r="T3134" s="98"/>
      <c r="U3134" s="99"/>
    </row>
    <row r="3135" spans="20:21" x14ac:dyDescent="0.25">
      <c r="T3135" s="98"/>
      <c r="U3135" s="99"/>
    </row>
    <row r="3136" spans="20:21" x14ac:dyDescent="0.25">
      <c r="T3136" s="98"/>
      <c r="U3136" s="99"/>
    </row>
    <row r="3137" spans="20:21" x14ac:dyDescent="0.25">
      <c r="T3137" s="98"/>
      <c r="U3137" s="99"/>
    </row>
    <row r="3138" spans="20:21" x14ac:dyDescent="0.25">
      <c r="T3138" s="98"/>
      <c r="U3138" s="99"/>
    </row>
    <row r="3139" spans="20:21" x14ac:dyDescent="0.25">
      <c r="T3139" s="98"/>
      <c r="U3139" s="99"/>
    </row>
    <row r="3140" spans="20:21" x14ac:dyDescent="0.25">
      <c r="T3140" s="98"/>
      <c r="U3140" s="99"/>
    </row>
    <row r="3141" spans="20:21" x14ac:dyDescent="0.25">
      <c r="T3141" s="98"/>
      <c r="U3141" s="99"/>
    </row>
    <row r="3142" spans="20:21" x14ac:dyDescent="0.25">
      <c r="T3142" s="98"/>
      <c r="U3142" s="99"/>
    </row>
    <row r="3143" spans="20:21" x14ac:dyDescent="0.25">
      <c r="T3143" s="98"/>
      <c r="U3143" s="99"/>
    </row>
    <row r="3144" spans="20:21" x14ac:dyDescent="0.25">
      <c r="T3144" s="98"/>
      <c r="U3144" s="99"/>
    </row>
    <row r="3145" spans="20:21" x14ac:dyDescent="0.25">
      <c r="T3145" s="98"/>
      <c r="U3145" s="99"/>
    </row>
    <row r="3146" spans="20:21" x14ac:dyDescent="0.25">
      <c r="T3146" s="98"/>
      <c r="U3146" s="99"/>
    </row>
    <row r="3147" spans="20:21" x14ac:dyDescent="0.25">
      <c r="T3147" s="98"/>
      <c r="U3147" s="99"/>
    </row>
    <row r="3148" spans="20:21" x14ac:dyDescent="0.25">
      <c r="T3148" s="98"/>
      <c r="U3148" s="99"/>
    </row>
    <row r="3149" spans="20:21" x14ac:dyDescent="0.25">
      <c r="T3149" s="98"/>
      <c r="U3149" s="99"/>
    </row>
    <row r="3150" spans="20:21" x14ac:dyDescent="0.25">
      <c r="T3150" s="98"/>
      <c r="U3150" s="99"/>
    </row>
    <row r="3151" spans="20:21" x14ac:dyDescent="0.25">
      <c r="T3151" s="98"/>
      <c r="U3151" s="99"/>
    </row>
    <row r="3152" spans="20:21" x14ac:dyDescent="0.25">
      <c r="T3152" s="98"/>
      <c r="U3152" s="99"/>
    </row>
    <row r="3153" spans="20:21" x14ac:dyDescent="0.25">
      <c r="T3153" s="98"/>
      <c r="U3153" s="99"/>
    </row>
    <row r="3154" spans="20:21" x14ac:dyDescent="0.25">
      <c r="T3154" s="98"/>
      <c r="U3154" s="99"/>
    </row>
    <row r="3155" spans="20:21" x14ac:dyDescent="0.25">
      <c r="T3155" s="98"/>
      <c r="U3155" s="99"/>
    </row>
    <row r="3156" spans="20:21" x14ac:dyDescent="0.25">
      <c r="T3156" s="98"/>
      <c r="U3156" s="99"/>
    </row>
    <row r="3157" spans="20:21" x14ac:dyDescent="0.25">
      <c r="T3157" s="98"/>
      <c r="U3157" s="99"/>
    </row>
    <row r="3158" spans="20:21" x14ac:dyDescent="0.25">
      <c r="T3158" s="98"/>
      <c r="U3158" s="99"/>
    </row>
    <row r="3159" spans="20:21" x14ac:dyDescent="0.25">
      <c r="T3159" s="98"/>
      <c r="U3159" s="99"/>
    </row>
    <row r="3160" spans="20:21" x14ac:dyDescent="0.25">
      <c r="T3160" s="98"/>
      <c r="U3160" s="99"/>
    </row>
    <row r="3161" spans="20:21" x14ac:dyDescent="0.25">
      <c r="T3161" s="98"/>
      <c r="U3161" s="99"/>
    </row>
    <row r="3162" spans="20:21" x14ac:dyDescent="0.25">
      <c r="T3162" s="98"/>
      <c r="U3162" s="99"/>
    </row>
    <row r="3163" spans="20:21" x14ac:dyDescent="0.25">
      <c r="T3163" s="98"/>
      <c r="U3163" s="99"/>
    </row>
    <row r="3164" spans="20:21" x14ac:dyDescent="0.25">
      <c r="T3164" s="98"/>
      <c r="U3164" s="99"/>
    </row>
    <row r="3165" spans="20:21" x14ac:dyDescent="0.25">
      <c r="T3165" s="98"/>
      <c r="U3165" s="99"/>
    </row>
    <row r="3166" spans="20:21" x14ac:dyDescent="0.25">
      <c r="T3166" s="98"/>
      <c r="U3166" s="99"/>
    </row>
    <row r="3167" spans="20:21" x14ac:dyDescent="0.25">
      <c r="T3167" s="98"/>
      <c r="U3167" s="99"/>
    </row>
    <row r="3168" spans="20:21" x14ac:dyDescent="0.25">
      <c r="T3168" s="98"/>
      <c r="U3168" s="99"/>
    </row>
    <row r="3169" spans="20:21" x14ac:dyDescent="0.25">
      <c r="T3169" s="98"/>
      <c r="U3169" s="99"/>
    </row>
    <row r="3170" spans="20:21" x14ac:dyDescent="0.25">
      <c r="T3170" s="98"/>
      <c r="U3170" s="99"/>
    </row>
    <row r="3171" spans="20:21" x14ac:dyDescent="0.25">
      <c r="T3171" s="98"/>
      <c r="U3171" s="99"/>
    </row>
    <row r="3172" spans="20:21" x14ac:dyDescent="0.25">
      <c r="T3172" s="98"/>
      <c r="U3172" s="99"/>
    </row>
    <row r="3173" spans="20:21" x14ac:dyDescent="0.25">
      <c r="T3173" s="98"/>
      <c r="U3173" s="99"/>
    </row>
    <row r="3174" spans="20:21" x14ac:dyDescent="0.25">
      <c r="T3174" s="98"/>
      <c r="U3174" s="99"/>
    </row>
    <row r="3175" spans="20:21" x14ac:dyDescent="0.25">
      <c r="T3175" s="98"/>
      <c r="U3175" s="99"/>
    </row>
    <row r="3176" spans="20:21" x14ac:dyDescent="0.25">
      <c r="T3176" s="98"/>
      <c r="U3176" s="99"/>
    </row>
    <row r="3177" spans="20:21" x14ac:dyDescent="0.25">
      <c r="T3177" s="98"/>
      <c r="U3177" s="99"/>
    </row>
    <row r="3178" spans="20:21" x14ac:dyDescent="0.25">
      <c r="T3178" s="98"/>
      <c r="U3178" s="99"/>
    </row>
    <row r="3179" spans="20:21" x14ac:dyDescent="0.25">
      <c r="T3179" s="98"/>
      <c r="U3179" s="99"/>
    </row>
    <row r="3180" spans="20:21" x14ac:dyDescent="0.25">
      <c r="T3180" s="98"/>
      <c r="U3180" s="99"/>
    </row>
    <row r="3181" spans="20:21" x14ac:dyDescent="0.25">
      <c r="T3181" s="98"/>
      <c r="U3181" s="99"/>
    </row>
    <row r="3182" spans="20:21" x14ac:dyDescent="0.25">
      <c r="T3182" s="98"/>
      <c r="U3182" s="99"/>
    </row>
    <row r="3183" spans="20:21" x14ac:dyDescent="0.25">
      <c r="T3183" s="98"/>
      <c r="U3183" s="99"/>
    </row>
    <row r="3184" spans="20:21" x14ac:dyDescent="0.25">
      <c r="T3184" s="98"/>
      <c r="U3184" s="99"/>
    </row>
    <row r="3185" spans="20:21" x14ac:dyDescent="0.25">
      <c r="T3185" s="98"/>
      <c r="U3185" s="99"/>
    </row>
    <row r="3186" spans="20:21" x14ac:dyDescent="0.25">
      <c r="T3186" s="98"/>
      <c r="U3186" s="99"/>
    </row>
    <row r="3187" spans="20:21" x14ac:dyDescent="0.25">
      <c r="T3187" s="98"/>
      <c r="U3187" s="99"/>
    </row>
    <row r="3188" spans="20:21" x14ac:dyDescent="0.25">
      <c r="T3188" s="98"/>
      <c r="U3188" s="99"/>
    </row>
    <row r="3189" spans="20:21" x14ac:dyDescent="0.25">
      <c r="T3189" s="98"/>
      <c r="U3189" s="99"/>
    </row>
    <row r="3190" spans="20:21" x14ac:dyDescent="0.25">
      <c r="T3190" s="98"/>
      <c r="U3190" s="99"/>
    </row>
    <row r="3191" spans="20:21" x14ac:dyDescent="0.25">
      <c r="T3191" s="98"/>
      <c r="U3191" s="99"/>
    </row>
    <row r="3192" spans="20:21" x14ac:dyDescent="0.25">
      <c r="T3192" s="98"/>
      <c r="U3192" s="99"/>
    </row>
    <row r="3193" spans="20:21" x14ac:dyDescent="0.25">
      <c r="T3193" s="98"/>
      <c r="U3193" s="99"/>
    </row>
    <row r="3194" spans="20:21" x14ac:dyDescent="0.25">
      <c r="T3194" s="98"/>
      <c r="U3194" s="99"/>
    </row>
    <row r="3195" spans="20:21" x14ac:dyDescent="0.25">
      <c r="T3195" s="98"/>
      <c r="U3195" s="99"/>
    </row>
    <row r="3196" spans="20:21" x14ac:dyDescent="0.25">
      <c r="T3196" s="98"/>
      <c r="U3196" s="99"/>
    </row>
    <row r="3197" spans="20:21" x14ac:dyDescent="0.25">
      <c r="T3197" s="98"/>
      <c r="U3197" s="99"/>
    </row>
    <row r="3198" spans="20:21" x14ac:dyDescent="0.25">
      <c r="T3198" s="98"/>
      <c r="U3198" s="99"/>
    </row>
    <row r="3199" spans="20:21" x14ac:dyDescent="0.25">
      <c r="T3199" s="98"/>
      <c r="U3199" s="99"/>
    </row>
    <row r="3200" spans="20:21" x14ac:dyDescent="0.25">
      <c r="T3200" s="98"/>
      <c r="U3200" s="99"/>
    </row>
    <row r="3201" spans="20:21" x14ac:dyDescent="0.25">
      <c r="T3201" s="98"/>
      <c r="U3201" s="99"/>
    </row>
    <row r="3202" spans="20:21" x14ac:dyDescent="0.25">
      <c r="T3202" s="98"/>
      <c r="U3202" s="99"/>
    </row>
    <row r="3203" spans="20:21" x14ac:dyDescent="0.25">
      <c r="T3203" s="98"/>
      <c r="U3203" s="99"/>
    </row>
    <row r="3204" spans="20:21" x14ac:dyDescent="0.25">
      <c r="T3204" s="98"/>
      <c r="U3204" s="99"/>
    </row>
    <row r="3205" spans="20:21" x14ac:dyDescent="0.25">
      <c r="T3205" s="98"/>
      <c r="U3205" s="99"/>
    </row>
    <row r="3206" spans="20:21" x14ac:dyDescent="0.25">
      <c r="T3206" s="98"/>
      <c r="U3206" s="99"/>
    </row>
    <row r="3207" spans="20:21" x14ac:dyDescent="0.25">
      <c r="T3207" s="98"/>
      <c r="U3207" s="99"/>
    </row>
    <row r="3208" spans="20:21" x14ac:dyDescent="0.25">
      <c r="T3208" s="98"/>
      <c r="U3208" s="99"/>
    </row>
    <row r="3209" spans="20:21" x14ac:dyDescent="0.25">
      <c r="T3209" s="98"/>
      <c r="U3209" s="99"/>
    </row>
    <row r="3210" spans="20:21" x14ac:dyDescent="0.25">
      <c r="T3210" s="98"/>
      <c r="U3210" s="99"/>
    </row>
    <row r="3211" spans="20:21" x14ac:dyDescent="0.25">
      <c r="T3211" s="98"/>
      <c r="U3211" s="99"/>
    </row>
    <row r="3212" spans="20:21" x14ac:dyDescent="0.25">
      <c r="T3212" s="98"/>
      <c r="U3212" s="99"/>
    </row>
    <row r="3213" spans="20:21" x14ac:dyDescent="0.25">
      <c r="T3213" s="98"/>
      <c r="U3213" s="99"/>
    </row>
    <row r="3214" spans="20:21" x14ac:dyDescent="0.25">
      <c r="T3214" s="98"/>
      <c r="U3214" s="99"/>
    </row>
    <row r="3215" spans="20:21" x14ac:dyDescent="0.25">
      <c r="T3215" s="98"/>
      <c r="U3215" s="99"/>
    </row>
    <row r="3216" spans="20:21" x14ac:dyDescent="0.25">
      <c r="T3216" s="98"/>
      <c r="U3216" s="99"/>
    </row>
    <row r="3217" spans="20:21" x14ac:dyDescent="0.25">
      <c r="T3217" s="98"/>
      <c r="U3217" s="99"/>
    </row>
    <row r="3218" spans="20:21" x14ac:dyDescent="0.25">
      <c r="T3218" s="98"/>
      <c r="U3218" s="99"/>
    </row>
    <row r="3219" spans="20:21" x14ac:dyDescent="0.25">
      <c r="T3219" s="98"/>
      <c r="U3219" s="99"/>
    </row>
    <row r="3220" spans="20:21" x14ac:dyDescent="0.25">
      <c r="T3220" s="98"/>
      <c r="U3220" s="99"/>
    </row>
    <row r="3221" spans="20:21" x14ac:dyDescent="0.25">
      <c r="T3221" s="98"/>
      <c r="U3221" s="99"/>
    </row>
    <row r="3222" spans="20:21" x14ac:dyDescent="0.25">
      <c r="T3222" s="98"/>
      <c r="U3222" s="99"/>
    </row>
    <row r="3223" spans="20:21" x14ac:dyDescent="0.25">
      <c r="T3223" s="98"/>
      <c r="U3223" s="99"/>
    </row>
    <row r="3224" spans="20:21" x14ac:dyDescent="0.25">
      <c r="T3224" s="98"/>
      <c r="U3224" s="99"/>
    </row>
    <row r="3225" spans="20:21" x14ac:dyDescent="0.25">
      <c r="T3225" s="98"/>
      <c r="U3225" s="99"/>
    </row>
    <row r="3226" spans="20:21" x14ac:dyDescent="0.25">
      <c r="T3226" s="98"/>
      <c r="U3226" s="99"/>
    </row>
    <row r="3227" spans="20:21" x14ac:dyDescent="0.25">
      <c r="T3227" s="98"/>
      <c r="U3227" s="99"/>
    </row>
    <row r="3228" spans="20:21" x14ac:dyDescent="0.25">
      <c r="T3228" s="98"/>
      <c r="U3228" s="99"/>
    </row>
    <row r="3229" spans="20:21" x14ac:dyDescent="0.25">
      <c r="T3229" s="98"/>
      <c r="U3229" s="99"/>
    </row>
    <row r="3230" spans="20:21" x14ac:dyDescent="0.25">
      <c r="T3230" s="98"/>
      <c r="U3230" s="99"/>
    </row>
    <row r="3231" spans="20:21" x14ac:dyDescent="0.25">
      <c r="T3231" s="98"/>
      <c r="U3231" s="99"/>
    </row>
    <row r="3232" spans="20:21" x14ac:dyDescent="0.25">
      <c r="T3232" s="98"/>
      <c r="U3232" s="99"/>
    </row>
    <row r="3233" spans="20:21" x14ac:dyDescent="0.25">
      <c r="T3233" s="98"/>
      <c r="U3233" s="99"/>
    </row>
    <row r="3234" spans="20:21" x14ac:dyDescent="0.25">
      <c r="T3234" s="98"/>
      <c r="U3234" s="99"/>
    </row>
    <row r="3235" spans="20:21" x14ac:dyDescent="0.25">
      <c r="T3235" s="98"/>
      <c r="U3235" s="99"/>
    </row>
    <row r="3236" spans="20:21" x14ac:dyDescent="0.25">
      <c r="T3236" s="98"/>
      <c r="U3236" s="99"/>
    </row>
    <row r="3237" spans="20:21" x14ac:dyDescent="0.25">
      <c r="T3237" s="98"/>
      <c r="U3237" s="99"/>
    </row>
    <row r="3238" spans="20:21" x14ac:dyDescent="0.25">
      <c r="T3238" s="98"/>
      <c r="U3238" s="99"/>
    </row>
    <row r="3239" spans="20:21" x14ac:dyDescent="0.25">
      <c r="T3239" s="98"/>
      <c r="U3239" s="99"/>
    </row>
    <row r="3240" spans="20:21" x14ac:dyDescent="0.25">
      <c r="T3240" s="98"/>
      <c r="U3240" s="99"/>
    </row>
    <row r="3241" spans="20:21" x14ac:dyDescent="0.25">
      <c r="T3241" s="98"/>
      <c r="U3241" s="99"/>
    </row>
    <row r="3242" spans="20:21" x14ac:dyDescent="0.25">
      <c r="T3242" s="98"/>
      <c r="U3242" s="99"/>
    </row>
    <row r="3243" spans="20:21" x14ac:dyDescent="0.25">
      <c r="T3243" s="98"/>
      <c r="U3243" s="99"/>
    </row>
    <row r="3244" spans="20:21" x14ac:dyDescent="0.25">
      <c r="T3244" s="98"/>
      <c r="U3244" s="99"/>
    </row>
    <row r="3245" spans="20:21" x14ac:dyDescent="0.25">
      <c r="T3245" s="98"/>
      <c r="U3245" s="99"/>
    </row>
    <row r="3246" spans="20:21" x14ac:dyDescent="0.25">
      <c r="T3246" s="98"/>
      <c r="U3246" s="99"/>
    </row>
    <row r="3247" spans="20:21" x14ac:dyDescent="0.25">
      <c r="T3247" s="98"/>
      <c r="U3247" s="99"/>
    </row>
    <row r="3248" spans="20:21" x14ac:dyDescent="0.25">
      <c r="T3248" s="98"/>
      <c r="U3248" s="99"/>
    </row>
    <row r="3249" spans="20:21" x14ac:dyDescent="0.25">
      <c r="T3249" s="98"/>
      <c r="U3249" s="99"/>
    </row>
    <row r="3250" spans="20:21" x14ac:dyDescent="0.25">
      <c r="T3250" s="98"/>
      <c r="U3250" s="99"/>
    </row>
    <row r="3251" spans="20:21" x14ac:dyDescent="0.25">
      <c r="T3251" s="98"/>
      <c r="U3251" s="99"/>
    </row>
    <row r="3252" spans="20:21" x14ac:dyDescent="0.25">
      <c r="T3252" s="98"/>
      <c r="U3252" s="99"/>
    </row>
    <row r="3253" spans="20:21" x14ac:dyDescent="0.25">
      <c r="T3253" s="98"/>
      <c r="U3253" s="99"/>
    </row>
    <row r="3254" spans="20:21" x14ac:dyDescent="0.25">
      <c r="T3254" s="98"/>
      <c r="U3254" s="99"/>
    </row>
    <row r="3255" spans="20:21" x14ac:dyDescent="0.25">
      <c r="T3255" s="98"/>
      <c r="U3255" s="99"/>
    </row>
    <row r="3256" spans="20:21" x14ac:dyDescent="0.25">
      <c r="T3256" s="98"/>
      <c r="U3256" s="99"/>
    </row>
    <row r="3257" spans="20:21" x14ac:dyDescent="0.25">
      <c r="T3257" s="98"/>
      <c r="U3257" s="99"/>
    </row>
    <row r="3258" spans="20:21" x14ac:dyDescent="0.25">
      <c r="T3258" s="98"/>
      <c r="U3258" s="99"/>
    </row>
    <row r="3259" spans="20:21" x14ac:dyDescent="0.25">
      <c r="T3259" s="98"/>
      <c r="U3259" s="99"/>
    </row>
    <row r="3260" spans="20:21" x14ac:dyDescent="0.25">
      <c r="T3260" s="98"/>
      <c r="U3260" s="99"/>
    </row>
    <row r="3261" spans="20:21" x14ac:dyDescent="0.25">
      <c r="T3261" s="98"/>
      <c r="U3261" s="99"/>
    </row>
    <row r="3262" spans="20:21" x14ac:dyDescent="0.25">
      <c r="T3262" s="98"/>
      <c r="U3262" s="99"/>
    </row>
    <row r="3263" spans="20:21" x14ac:dyDescent="0.25">
      <c r="T3263" s="98"/>
      <c r="U3263" s="99"/>
    </row>
    <row r="3264" spans="20:21" x14ac:dyDescent="0.25">
      <c r="T3264" s="98"/>
      <c r="U3264" s="99"/>
    </row>
    <row r="3265" spans="20:21" x14ac:dyDescent="0.25">
      <c r="T3265" s="98"/>
      <c r="U3265" s="99"/>
    </row>
    <row r="3266" spans="20:21" x14ac:dyDescent="0.25">
      <c r="T3266" s="98"/>
      <c r="U3266" s="99"/>
    </row>
    <row r="3267" spans="20:21" x14ac:dyDescent="0.25">
      <c r="T3267" s="98"/>
      <c r="U3267" s="99"/>
    </row>
    <row r="3268" spans="20:21" x14ac:dyDescent="0.25">
      <c r="T3268" s="98"/>
      <c r="U3268" s="99"/>
    </row>
    <row r="3269" spans="20:21" x14ac:dyDescent="0.25">
      <c r="T3269" s="98"/>
      <c r="U3269" s="99"/>
    </row>
    <row r="3270" spans="20:21" x14ac:dyDescent="0.25">
      <c r="T3270" s="98"/>
      <c r="U3270" s="99"/>
    </row>
    <row r="3271" spans="20:21" x14ac:dyDescent="0.25">
      <c r="T3271" s="98"/>
      <c r="U3271" s="99"/>
    </row>
    <row r="3272" spans="20:21" x14ac:dyDescent="0.25">
      <c r="T3272" s="98"/>
      <c r="U3272" s="99"/>
    </row>
    <row r="3273" spans="20:21" x14ac:dyDescent="0.25">
      <c r="T3273" s="98"/>
      <c r="U3273" s="99"/>
    </row>
    <row r="3274" spans="20:21" x14ac:dyDescent="0.25">
      <c r="T3274" s="98"/>
      <c r="U3274" s="99"/>
    </row>
    <row r="3275" spans="20:21" x14ac:dyDescent="0.25">
      <c r="T3275" s="98"/>
      <c r="U3275" s="99"/>
    </row>
    <row r="3276" spans="20:21" x14ac:dyDescent="0.25">
      <c r="T3276" s="98"/>
      <c r="U3276" s="99"/>
    </row>
    <row r="3277" spans="20:21" x14ac:dyDescent="0.25">
      <c r="T3277" s="98"/>
      <c r="U3277" s="99"/>
    </row>
    <row r="3278" spans="20:21" x14ac:dyDescent="0.25">
      <c r="T3278" s="98"/>
      <c r="U3278" s="99"/>
    </row>
    <row r="3279" spans="20:21" x14ac:dyDescent="0.25">
      <c r="T3279" s="98"/>
      <c r="U3279" s="99"/>
    </row>
    <row r="3280" spans="20:21" x14ac:dyDescent="0.25">
      <c r="T3280" s="98"/>
      <c r="U3280" s="99"/>
    </row>
    <row r="3281" spans="20:21" x14ac:dyDescent="0.25">
      <c r="T3281" s="98"/>
      <c r="U3281" s="99"/>
    </row>
    <row r="3282" spans="20:21" x14ac:dyDescent="0.25">
      <c r="T3282" s="98"/>
      <c r="U3282" s="99"/>
    </row>
    <row r="3283" spans="20:21" x14ac:dyDescent="0.25">
      <c r="T3283" s="98"/>
      <c r="U3283" s="99"/>
    </row>
    <row r="3284" spans="20:21" x14ac:dyDescent="0.25">
      <c r="T3284" s="98"/>
      <c r="U3284" s="99"/>
    </row>
    <row r="3285" spans="20:21" x14ac:dyDescent="0.25">
      <c r="T3285" s="98"/>
      <c r="U3285" s="99"/>
    </row>
    <row r="3286" spans="20:21" x14ac:dyDescent="0.25">
      <c r="T3286" s="98"/>
      <c r="U3286" s="99"/>
    </row>
    <row r="3287" spans="20:21" x14ac:dyDescent="0.25">
      <c r="T3287" s="98"/>
      <c r="U3287" s="99"/>
    </row>
    <row r="3288" spans="20:21" x14ac:dyDescent="0.25">
      <c r="T3288" s="98"/>
      <c r="U3288" s="99"/>
    </row>
    <row r="3289" spans="20:21" x14ac:dyDescent="0.25">
      <c r="T3289" s="98"/>
      <c r="U3289" s="99"/>
    </row>
    <row r="3290" spans="20:21" x14ac:dyDescent="0.25">
      <c r="T3290" s="98"/>
      <c r="U3290" s="99"/>
    </row>
    <row r="3291" spans="20:21" x14ac:dyDescent="0.25">
      <c r="T3291" s="98"/>
      <c r="U3291" s="99"/>
    </row>
    <row r="3292" spans="20:21" x14ac:dyDescent="0.25">
      <c r="T3292" s="98"/>
      <c r="U3292" s="99"/>
    </row>
    <row r="3293" spans="20:21" x14ac:dyDescent="0.25">
      <c r="T3293" s="98"/>
      <c r="U3293" s="99"/>
    </row>
    <row r="3294" spans="20:21" x14ac:dyDescent="0.25">
      <c r="T3294" s="98"/>
      <c r="U3294" s="99"/>
    </row>
    <row r="3295" spans="20:21" x14ac:dyDescent="0.25">
      <c r="T3295" s="98"/>
      <c r="U3295" s="99"/>
    </row>
    <row r="3296" spans="20:21" x14ac:dyDescent="0.25">
      <c r="T3296" s="98"/>
      <c r="U3296" s="99"/>
    </row>
    <row r="3297" spans="20:21" x14ac:dyDescent="0.25">
      <c r="T3297" s="98"/>
      <c r="U3297" s="99"/>
    </row>
    <row r="3298" spans="20:21" x14ac:dyDescent="0.25">
      <c r="T3298" s="98"/>
      <c r="U3298" s="99"/>
    </row>
    <row r="3299" spans="20:21" x14ac:dyDescent="0.25">
      <c r="T3299" s="98"/>
      <c r="U3299" s="99"/>
    </row>
    <row r="3300" spans="20:21" x14ac:dyDescent="0.25">
      <c r="T3300" s="98"/>
      <c r="U3300" s="99"/>
    </row>
    <row r="3301" spans="20:21" x14ac:dyDescent="0.25">
      <c r="T3301" s="98"/>
      <c r="U3301" s="99"/>
    </row>
    <row r="3302" spans="20:21" x14ac:dyDescent="0.25">
      <c r="T3302" s="98"/>
      <c r="U3302" s="99"/>
    </row>
    <row r="3303" spans="20:21" x14ac:dyDescent="0.25">
      <c r="T3303" s="98"/>
      <c r="U3303" s="99"/>
    </row>
    <row r="3304" spans="20:21" x14ac:dyDescent="0.25">
      <c r="T3304" s="98"/>
      <c r="U3304" s="99"/>
    </row>
    <row r="3305" spans="20:21" x14ac:dyDescent="0.25">
      <c r="T3305" s="98"/>
      <c r="U3305" s="99"/>
    </row>
    <row r="3306" spans="20:21" x14ac:dyDescent="0.25">
      <c r="T3306" s="98"/>
      <c r="U3306" s="99"/>
    </row>
    <row r="3307" spans="20:21" x14ac:dyDescent="0.25">
      <c r="T3307" s="98"/>
      <c r="U3307" s="99"/>
    </row>
    <row r="3308" spans="20:21" x14ac:dyDescent="0.25">
      <c r="T3308" s="98"/>
      <c r="U3308" s="99"/>
    </row>
    <row r="3309" spans="20:21" x14ac:dyDescent="0.25">
      <c r="T3309" s="98"/>
      <c r="U3309" s="99"/>
    </row>
    <row r="3310" spans="20:21" x14ac:dyDescent="0.25">
      <c r="T3310" s="98"/>
      <c r="U3310" s="99"/>
    </row>
    <row r="3311" spans="20:21" x14ac:dyDescent="0.25">
      <c r="T3311" s="98"/>
      <c r="U3311" s="99"/>
    </row>
    <row r="3312" spans="20:21" x14ac:dyDescent="0.25">
      <c r="T3312" s="98"/>
      <c r="U3312" s="99"/>
    </row>
    <row r="3313" spans="20:21" x14ac:dyDescent="0.25">
      <c r="T3313" s="98"/>
      <c r="U3313" s="99"/>
    </row>
    <row r="3314" spans="20:21" x14ac:dyDescent="0.25">
      <c r="T3314" s="98"/>
      <c r="U3314" s="99"/>
    </row>
    <row r="3315" spans="20:21" x14ac:dyDescent="0.25">
      <c r="T3315" s="98"/>
      <c r="U3315" s="99"/>
    </row>
    <row r="3316" spans="20:21" x14ac:dyDescent="0.25">
      <c r="T3316" s="98"/>
      <c r="U3316" s="99"/>
    </row>
    <row r="3317" spans="20:21" x14ac:dyDescent="0.25">
      <c r="T3317" s="98"/>
      <c r="U3317" s="99"/>
    </row>
    <row r="3318" spans="20:21" x14ac:dyDescent="0.25">
      <c r="T3318" s="98"/>
      <c r="U3318" s="99"/>
    </row>
    <row r="3319" spans="20:21" x14ac:dyDescent="0.25">
      <c r="T3319" s="98"/>
      <c r="U3319" s="99"/>
    </row>
    <row r="3320" spans="20:21" x14ac:dyDescent="0.25">
      <c r="T3320" s="98"/>
      <c r="U3320" s="99"/>
    </row>
    <row r="3321" spans="20:21" x14ac:dyDescent="0.25">
      <c r="T3321" s="98"/>
      <c r="U3321" s="99"/>
    </row>
    <row r="3322" spans="20:21" x14ac:dyDescent="0.25">
      <c r="T3322" s="98"/>
      <c r="U3322" s="99"/>
    </row>
    <row r="3323" spans="20:21" x14ac:dyDescent="0.25">
      <c r="T3323" s="98"/>
      <c r="U3323" s="99"/>
    </row>
    <row r="3324" spans="20:21" x14ac:dyDescent="0.25">
      <c r="T3324" s="98"/>
      <c r="U3324" s="99"/>
    </row>
    <row r="3325" spans="20:21" x14ac:dyDescent="0.25">
      <c r="T3325" s="98"/>
      <c r="U3325" s="99"/>
    </row>
    <row r="3326" spans="20:21" x14ac:dyDescent="0.25">
      <c r="T3326" s="98"/>
      <c r="U3326" s="99"/>
    </row>
    <row r="3327" spans="20:21" x14ac:dyDescent="0.25">
      <c r="T3327" s="98"/>
      <c r="U3327" s="99"/>
    </row>
    <row r="3328" spans="20:21" x14ac:dyDescent="0.25">
      <c r="T3328" s="98"/>
      <c r="U3328" s="99"/>
    </row>
    <row r="3329" spans="20:21" x14ac:dyDescent="0.25">
      <c r="T3329" s="98"/>
      <c r="U3329" s="99"/>
    </row>
    <row r="3330" spans="20:21" x14ac:dyDescent="0.25">
      <c r="T3330" s="98"/>
      <c r="U3330" s="99"/>
    </row>
    <row r="3331" spans="20:21" x14ac:dyDescent="0.25">
      <c r="T3331" s="98"/>
      <c r="U3331" s="99"/>
    </row>
    <row r="3332" spans="20:21" x14ac:dyDescent="0.25">
      <c r="T3332" s="98"/>
      <c r="U3332" s="99"/>
    </row>
    <row r="3333" spans="20:21" x14ac:dyDescent="0.25">
      <c r="T3333" s="98"/>
      <c r="U3333" s="99"/>
    </row>
    <row r="3334" spans="20:21" x14ac:dyDescent="0.25">
      <c r="T3334" s="98"/>
      <c r="U3334" s="99"/>
    </row>
    <row r="3335" spans="20:21" x14ac:dyDescent="0.25">
      <c r="T3335" s="98"/>
      <c r="U3335" s="99"/>
    </row>
    <row r="3336" spans="20:21" x14ac:dyDescent="0.25">
      <c r="T3336" s="98"/>
      <c r="U3336" s="99"/>
    </row>
    <row r="3337" spans="20:21" x14ac:dyDescent="0.25">
      <c r="T3337" s="98"/>
      <c r="U3337" s="99"/>
    </row>
    <row r="3338" spans="20:21" x14ac:dyDescent="0.25">
      <c r="T3338" s="98"/>
      <c r="U3338" s="99"/>
    </row>
    <row r="3339" spans="20:21" x14ac:dyDescent="0.25">
      <c r="T3339" s="98"/>
      <c r="U3339" s="99"/>
    </row>
    <row r="3340" spans="20:21" x14ac:dyDescent="0.25">
      <c r="T3340" s="98"/>
      <c r="U3340" s="99"/>
    </row>
    <row r="3341" spans="20:21" x14ac:dyDescent="0.25">
      <c r="T3341" s="98"/>
      <c r="U3341" s="99"/>
    </row>
    <row r="3342" spans="20:21" x14ac:dyDescent="0.25">
      <c r="T3342" s="98"/>
      <c r="U3342" s="99"/>
    </row>
    <row r="3343" spans="20:21" x14ac:dyDescent="0.25">
      <c r="T3343" s="98"/>
      <c r="U3343" s="99"/>
    </row>
    <row r="3344" spans="20:21" x14ac:dyDescent="0.25">
      <c r="T3344" s="98"/>
      <c r="U3344" s="99"/>
    </row>
    <row r="3345" spans="20:21" x14ac:dyDescent="0.25">
      <c r="T3345" s="98"/>
      <c r="U3345" s="99"/>
    </row>
    <row r="3346" spans="20:21" x14ac:dyDescent="0.25">
      <c r="T3346" s="98"/>
      <c r="U3346" s="99"/>
    </row>
    <row r="3347" spans="20:21" x14ac:dyDescent="0.25">
      <c r="T3347" s="98"/>
      <c r="U3347" s="99"/>
    </row>
    <row r="3348" spans="20:21" x14ac:dyDescent="0.25">
      <c r="T3348" s="98"/>
      <c r="U3348" s="99"/>
    </row>
    <row r="3349" spans="20:21" x14ac:dyDescent="0.25">
      <c r="T3349" s="98"/>
      <c r="U3349" s="99"/>
    </row>
    <row r="3350" spans="20:21" x14ac:dyDescent="0.25">
      <c r="T3350" s="98"/>
      <c r="U3350" s="99"/>
    </row>
    <row r="3351" spans="20:21" x14ac:dyDescent="0.25">
      <c r="T3351" s="98"/>
      <c r="U3351" s="99"/>
    </row>
    <row r="3352" spans="20:21" x14ac:dyDescent="0.25">
      <c r="T3352" s="98"/>
      <c r="U3352" s="99"/>
    </row>
    <row r="3353" spans="20:21" x14ac:dyDescent="0.25">
      <c r="T3353" s="98"/>
      <c r="U3353" s="99"/>
    </row>
    <row r="3354" spans="20:21" x14ac:dyDescent="0.25">
      <c r="T3354" s="98"/>
      <c r="U3354" s="99"/>
    </row>
    <row r="3355" spans="20:21" x14ac:dyDescent="0.25">
      <c r="T3355" s="98"/>
      <c r="U3355" s="99"/>
    </row>
    <row r="3356" spans="20:21" x14ac:dyDescent="0.25">
      <c r="T3356" s="98"/>
      <c r="U3356" s="99"/>
    </row>
    <row r="3357" spans="20:21" x14ac:dyDescent="0.25">
      <c r="T3357" s="98"/>
      <c r="U3357" s="99"/>
    </row>
    <row r="3358" spans="20:21" x14ac:dyDescent="0.25">
      <c r="T3358" s="98"/>
      <c r="U3358" s="99"/>
    </row>
    <row r="3359" spans="20:21" x14ac:dyDescent="0.25">
      <c r="T3359" s="98"/>
      <c r="U3359" s="99"/>
    </row>
    <row r="3360" spans="20:21" x14ac:dyDescent="0.25">
      <c r="T3360" s="98"/>
      <c r="U3360" s="99"/>
    </row>
    <row r="3361" spans="20:21" x14ac:dyDescent="0.25">
      <c r="T3361" s="98"/>
      <c r="U3361" s="99"/>
    </row>
    <row r="3362" spans="20:21" x14ac:dyDescent="0.25">
      <c r="T3362" s="98"/>
      <c r="U3362" s="99"/>
    </row>
    <row r="3363" spans="20:21" x14ac:dyDescent="0.25">
      <c r="T3363" s="98"/>
      <c r="U3363" s="99"/>
    </row>
    <row r="3364" spans="20:21" x14ac:dyDescent="0.25">
      <c r="T3364" s="98"/>
      <c r="U3364" s="99"/>
    </row>
    <row r="3365" spans="20:21" x14ac:dyDescent="0.25">
      <c r="T3365" s="98"/>
      <c r="U3365" s="99"/>
    </row>
    <row r="3366" spans="20:21" x14ac:dyDescent="0.25">
      <c r="T3366" s="98"/>
      <c r="U3366" s="99"/>
    </row>
    <row r="3367" spans="20:21" x14ac:dyDescent="0.25">
      <c r="T3367" s="98"/>
      <c r="U3367" s="99"/>
    </row>
    <row r="3368" spans="20:21" x14ac:dyDescent="0.25">
      <c r="T3368" s="98"/>
      <c r="U3368" s="99"/>
    </row>
    <row r="3369" spans="20:21" x14ac:dyDescent="0.25">
      <c r="T3369" s="98"/>
      <c r="U3369" s="99"/>
    </row>
    <row r="3370" spans="20:21" x14ac:dyDescent="0.25">
      <c r="T3370" s="98"/>
      <c r="U3370" s="99"/>
    </row>
    <row r="3371" spans="20:21" x14ac:dyDescent="0.25">
      <c r="T3371" s="98"/>
      <c r="U3371" s="99"/>
    </row>
    <row r="3372" spans="20:21" x14ac:dyDescent="0.25">
      <c r="T3372" s="98"/>
      <c r="U3372" s="99"/>
    </row>
    <row r="3373" spans="20:21" x14ac:dyDescent="0.25">
      <c r="T3373" s="98"/>
      <c r="U3373" s="99"/>
    </row>
    <row r="3374" spans="20:21" x14ac:dyDescent="0.25">
      <c r="T3374" s="98"/>
      <c r="U3374" s="99"/>
    </row>
    <row r="3375" spans="20:21" x14ac:dyDescent="0.25">
      <c r="T3375" s="98"/>
      <c r="U3375" s="99"/>
    </row>
    <row r="3376" spans="20:21" x14ac:dyDescent="0.25">
      <c r="T3376" s="98"/>
      <c r="U3376" s="99"/>
    </row>
    <row r="3377" spans="20:21" x14ac:dyDescent="0.25">
      <c r="T3377" s="98"/>
      <c r="U3377" s="99"/>
    </row>
    <row r="3378" spans="20:21" x14ac:dyDescent="0.25">
      <c r="T3378" s="98"/>
      <c r="U3378" s="99"/>
    </row>
    <row r="3379" spans="20:21" x14ac:dyDescent="0.25">
      <c r="T3379" s="98"/>
      <c r="U3379" s="99"/>
    </row>
    <row r="3380" spans="20:21" x14ac:dyDescent="0.25">
      <c r="T3380" s="98"/>
      <c r="U3380" s="99"/>
    </row>
    <row r="3381" spans="20:21" x14ac:dyDescent="0.25">
      <c r="T3381" s="98"/>
      <c r="U3381" s="99"/>
    </row>
    <row r="3382" spans="20:21" x14ac:dyDescent="0.25">
      <c r="T3382" s="98"/>
      <c r="U3382" s="99"/>
    </row>
    <row r="3383" spans="20:21" x14ac:dyDescent="0.25">
      <c r="T3383" s="98"/>
      <c r="U3383" s="99"/>
    </row>
    <row r="3384" spans="20:21" x14ac:dyDescent="0.25">
      <c r="T3384" s="98"/>
      <c r="U3384" s="99"/>
    </row>
    <row r="3385" spans="20:21" x14ac:dyDescent="0.25">
      <c r="T3385" s="98"/>
      <c r="U3385" s="99"/>
    </row>
    <row r="3386" spans="20:21" x14ac:dyDescent="0.25">
      <c r="T3386" s="98"/>
      <c r="U3386" s="99"/>
    </row>
    <row r="3387" spans="20:21" x14ac:dyDescent="0.25">
      <c r="T3387" s="98"/>
      <c r="U3387" s="99"/>
    </row>
    <row r="3388" spans="20:21" x14ac:dyDescent="0.25">
      <c r="T3388" s="98"/>
      <c r="U3388" s="99"/>
    </row>
    <row r="3389" spans="20:21" x14ac:dyDescent="0.25">
      <c r="T3389" s="98"/>
      <c r="U3389" s="99"/>
    </row>
    <row r="3390" spans="20:21" x14ac:dyDescent="0.25">
      <c r="T3390" s="98"/>
      <c r="U3390" s="99"/>
    </row>
    <row r="3391" spans="20:21" x14ac:dyDescent="0.25">
      <c r="T3391" s="98"/>
      <c r="U3391" s="99"/>
    </row>
    <row r="3392" spans="20:21" x14ac:dyDescent="0.25">
      <c r="T3392" s="98"/>
      <c r="U3392" s="99"/>
    </row>
    <row r="3393" spans="20:21" x14ac:dyDescent="0.25">
      <c r="T3393" s="98"/>
      <c r="U3393" s="99"/>
    </row>
    <row r="3394" spans="20:21" x14ac:dyDescent="0.25">
      <c r="T3394" s="98"/>
      <c r="U3394" s="99"/>
    </row>
    <row r="3395" spans="20:21" x14ac:dyDescent="0.25">
      <c r="T3395" s="98"/>
      <c r="U3395" s="99"/>
    </row>
    <row r="3396" spans="20:21" x14ac:dyDescent="0.25">
      <c r="T3396" s="98"/>
      <c r="U3396" s="99"/>
    </row>
    <row r="3397" spans="20:21" x14ac:dyDescent="0.25">
      <c r="T3397" s="98"/>
      <c r="U3397" s="99"/>
    </row>
    <row r="3398" spans="20:21" x14ac:dyDescent="0.25">
      <c r="T3398" s="98"/>
      <c r="U3398" s="99"/>
    </row>
    <row r="3399" spans="20:21" x14ac:dyDescent="0.25">
      <c r="T3399" s="98"/>
      <c r="U3399" s="99"/>
    </row>
    <row r="3400" spans="20:21" x14ac:dyDescent="0.25">
      <c r="T3400" s="98"/>
      <c r="U3400" s="99"/>
    </row>
    <row r="3401" spans="20:21" x14ac:dyDescent="0.25">
      <c r="T3401" s="98"/>
      <c r="U3401" s="99"/>
    </row>
    <row r="3402" spans="20:21" x14ac:dyDescent="0.25">
      <c r="T3402" s="98"/>
      <c r="U3402" s="99"/>
    </row>
    <row r="3403" spans="20:21" x14ac:dyDescent="0.25">
      <c r="T3403" s="98"/>
      <c r="U3403" s="99"/>
    </row>
    <row r="3404" spans="20:21" x14ac:dyDescent="0.25">
      <c r="T3404" s="98"/>
      <c r="U3404" s="99"/>
    </row>
    <row r="3405" spans="20:21" x14ac:dyDescent="0.25">
      <c r="T3405" s="98"/>
      <c r="U3405" s="99"/>
    </row>
    <row r="3406" spans="20:21" x14ac:dyDescent="0.25">
      <c r="T3406" s="98"/>
      <c r="U3406" s="99"/>
    </row>
    <row r="3407" spans="20:21" x14ac:dyDescent="0.25">
      <c r="T3407" s="98"/>
      <c r="U3407" s="99"/>
    </row>
    <row r="3408" spans="20:21" x14ac:dyDescent="0.25">
      <c r="T3408" s="98"/>
      <c r="U3408" s="99"/>
    </row>
    <row r="3409" spans="20:21" x14ac:dyDescent="0.25">
      <c r="T3409" s="98"/>
      <c r="U3409" s="99"/>
    </row>
    <row r="3410" spans="20:21" x14ac:dyDescent="0.25">
      <c r="T3410" s="98"/>
      <c r="U3410" s="99"/>
    </row>
    <row r="3411" spans="20:21" x14ac:dyDescent="0.25">
      <c r="T3411" s="98"/>
      <c r="U3411" s="99"/>
    </row>
    <row r="3412" spans="20:21" x14ac:dyDescent="0.25">
      <c r="T3412" s="98"/>
      <c r="U3412" s="99"/>
    </row>
    <row r="3413" spans="20:21" x14ac:dyDescent="0.25">
      <c r="T3413" s="98"/>
      <c r="U3413" s="99"/>
    </row>
    <row r="3414" spans="20:21" x14ac:dyDescent="0.25">
      <c r="T3414" s="98"/>
      <c r="U3414" s="99"/>
    </row>
    <row r="3415" spans="20:21" x14ac:dyDescent="0.25">
      <c r="T3415" s="98"/>
      <c r="U3415" s="99"/>
    </row>
    <row r="3416" spans="20:21" x14ac:dyDescent="0.25">
      <c r="T3416" s="98"/>
      <c r="U3416" s="99"/>
    </row>
    <row r="3417" spans="20:21" x14ac:dyDescent="0.25">
      <c r="T3417" s="98"/>
      <c r="U3417" s="99"/>
    </row>
    <row r="3418" spans="20:21" x14ac:dyDescent="0.25">
      <c r="T3418" s="98"/>
      <c r="U3418" s="99"/>
    </row>
    <row r="3419" spans="20:21" x14ac:dyDescent="0.25">
      <c r="T3419" s="98"/>
      <c r="U3419" s="99"/>
    </row>
    <row r="3420" spans="20:21" x14ac:dyDescent="0.25">
      <c r="T3420" s="98"/>
      <c r="U3420" s="99"/>
    </row>
    <row r="3421" spans="20:21" x14ac:dyDescent="0.25">
      <c r="T3421" s="98"/>
      <c r="U3421" s="99"/>
    </row>
    <row r="3422" spans="20:21" x14ac:dyDescent="0.25">
      <c r="T3422" s="98"/>
      <c r="U3422" s="99"/>
    </row>
    <row r="3423" spans="20:21" x14ac:dyDescent="0.25">
      <c r="T3423" s="98"/>
      <c r="U3423" s="99"/>
    </row>
    <row r="3424" spans="20:21" x14ac:dyDescent="0.25">
      <c r="T3424" s="98"/>
      <c r="U3424" s="99"/>
    </row>
    <row r="3425" spans="20:21" x14ac:dyDescent="0.25">
      <c r="T3425" s="98"/>
      <c r="U3425" s="99"/>
    </row>
    <row r="3426" spans="20:21" x14ac:dyDescent="0.25">
      <c r="T3426" s="98"/>
      <c r="U3426" s="99"/>
    </row>
    <row r="3427" spans="20:21" x14ac:dyDescent="0.25">
      <c r="T3427" s="98"/>
      <c r="U3427" s="99"/>
    </row>
    <row r="3428" spans="20:21" x14ac:dyDescent="0.25">
      <c r="T3428" s="98"/>
      <c r="U3428" s="99"/>
    </row>
    <row r="3429" spans="20:21" x14ac:dyDescent="0.25">
      <c r="T3429" s="98"/>
      <c r="U3429" s="99"/>
    </row>
    <row r="3430" spans="20:21" x14ac:dyDescent="0.25">
      <c r="T3430" s="98"/>
      <c r="U3430" s="99"/>
    </row>
    <row r="3431" spans="20:21" x14ac:dyDescent="0.25">
      <c r="T3431" s="98"/>
      <c r="U3431" s="99"/>
    </row>
    <row r="3432" spans="20:21" x14ac:dyDescent="0.25">
      <c r="T3432" s="98"/>
      <c r="U3432" s="99"/>
    </row>
    <row r="3433" spans="20:21" x14ac:dyDescent="0.25">
      <c r="T3433" s="98"/>
      <c r="U3433" s="99"/>
    </row>
    <row r="3434" spans="20:21" x14ac:dyDescent="0.25">
      <c r="T3434" s="98"/>
      <c r="U3434" s="99"/>
    </row>
    <row r="3435" spans="20:21" x14ac:dyDescent="0.25">
      <c r="T3435" s="98"/>
      <c r="U3435" s="99"/>
    </row>
    <row r="3436" spans="20:21" x14ac:dyDescent="0.25">
      <c r="T3436" s="98"/>
      <c r="U3436" s="99"/>
    </row>
    <row r="3437" spans="20:21" x14ac:dyDescent="0.25">
      <c r="T3437" s="98"/>
      <c r="U3437" s="99"/>
    </row>
    <row r="3438" spans="20:21" x14ac:dyDescent="0.25">
      <c r="T3438" s="98"/>
      <c r="U3438" s="99"/>
    </row>
    <row r="3439" spans="20:21" x14ac:dyDescent="0.25">
      <c r="T3439" s="98"/>
      <c r="U3439" s="99"/>
    </row>
    <row r="3440" spans="20:21" x14ac:dyDescent="0.25">
      <c r="T3440" s="98"/>
      <c r="U3440" s="99"/>
    </row>
    <row r="3441" spans="20:21" x14ac:dyDescent="0.25">
      <c r="T3441" s="98"/>
      <c r="U3441" s="99"/>
    </row>
    <row r="3442" spans="20:21" x14ac:dyDescent="0.25">
      <c r="T3442" s="98"/>
      <c r="U3442" s="99"/>
    </row>
    <row r="3443" spans="20:21" x14ac:dyDescent="0.25">
      <c r="T3443" s="98"/>
      <c r="U3443" s="99"/>
    </row>
    <row r="3444" spans="20:21" x14ac:dyDescent="0.25">
      <c r="T3444" s="98"/>
      <c r="U3444" s="99"/>
    </row>
    <row r="3445" spans="20:21" x14ac:dyDescent="0.25">
      <c r="T3445" s="98"/>
      <c r="U3445" s="99"/>
    </row>
    <row r="3446" spans="20:21" x14ac:dyDescent="0.25">
      <c r="T3446" s="98"/>
      <c r="U3446" s="99"/>
    </row>
    <row r="3447" spans="20:21" x14ac:dyDescent="0.25">
      <c r="T3447" s="98"/>
      <c r="U3447" s="99"/>
    </row>
    <row r="3448" spans="20:21" x14ac:dyDescent="0.25">
      <c r="T3448" s="98"/>
      <c r="U3448" s="99"/>
    </row>
    <row r="3449" spans="20:21" x14ac:dyDescent="0.25">
      <c r="T3449" s="98"/>
      <c r="U3449" s="99"/>
    </row>
    <row r="3450" spans="20:21" x14ac:dyDescent="0.25">
      <c r="T3450" s="98"/>
      <c r="U3450" s="99"/>
    </row>
    <row r="3451" spans="20:21" x14ac:dyDescent="0.25">
      <c r="T3451" s="98"/>
      <c r="U3451" s="99"/>
    </row>
    <row r="3452" spans="20:21" x14ac:dyDescent="0.25">
      <c r="T3452" s="98"/>
      <c r="U3452" s="99"/>
    </row>
    <row r="3453" spans="20:21" x14ac:dyDescent="0.25">
      <c r="T3453" s="98"/>
      <c r="U3453" s="99"/>
    </row>
    <row r="3454" spans="20:21" x14ac:dyDescent="0.25">
      <c r="T3454" s="98"/>
      <c r="U3454" s="99"/>
    </row>
    <row r="3455" spans="20:21" x14ac:dyDescent="0.25">
      <c r="T3455" s="98"/>
      <c r="U3455" s="99"/>
    </row>
    <row r="3456" spans="20:21" x14ac:dyDescent="0.25">
      <c r="T3456" s="98"/>
      <c r="U3456" s="99"/>
    </row>
    <row r="3457" spans="20:21" x14ac:dyDescent="0.25">
      <c r="T3457" s="98"/>
      <c r="U3457" s="99"/>
    </row>
    <row r="3458" spans="20:21" x14ac:dyDescent="0.25">
      <c r="T3458" s="98"/>
      <c r="U3458" s="99"/>
    </row>
    <row r="3459" spans="20:21" x14ac:dyDescent="0.25">
      <c r="T3459" s="98"/>
      <c r="U3459" s="99"/>
    </row>
    <row r="3460" spans="20:21" x14ac:dyDescent="0.25">
      <c r="T3460" s="98"/>
      <c r="U3460" s="99"/>
    </row>
    <row r="3461" spans="20:21" x14ac:dyDescent="0.25">
      <c r="T3461" s="98"/>
      <c r="U3461" s="99"/>
    </row>
    <row r="3462" spans="20:21" x14ac:dyDescent="0.25">
      <c r="T3462" s="98"/>
      <c r="U3462" s="99"/>
    </row>
    <row r="3463" spans="20:21" x14ac:dyDescent="0.25">
      <c r="T3463" s="98"/>
      <c r="U3463" s="99"/>
    </row>
    <row r="3464" spans="20:21" x14ac:dyDescent="0.25">
      <c r="T3464" s="98"/>
      <c r="U3464" s="99"/>
    </row>
    <row r="3465" spans="20:21" x14ac:dyDescent="0.25">
      <c r="T3465" s="98"/>
      <c r="U3465" s="99"/>
    </row>
    <row r="3466" spans="20:21" x14ac:dyDescent="0.25">
      <c r="T3466" s="98"/>
      <c r="U3466" s="99"/>
    </row>
    <row r="3467" spans="20:21" x14ac:dyDescent="0.25">
      <c r="T3467" s="98"/>
      <c r="U3467" s="99"/>
    </row>
    <row r="3468" spans="20:21" x14ac:dyDescent="0.25">
      <c r="T3468" s="98"/>
      <c r="U3468" s="99"/>
    </row>
    <row r="3469" spans="20:21" x14ac:dyDescent="0.25">
      <c r="T3469" s="98"/>
      <c r="U3469" s="99"/>
    </row>
    <row r="3470" spans="20:21" x14ac:dyDescent="0.25">
      <c r="T3470" s="98"/>
      <c r="U3470" s="99"/>
    </row>
    <row r="3471" spans="20:21" x14ac:dyDescent="0.25">
      <c r="T3471" s="98"/>
      <c r="U3471" s="99"/>
    </row>
    <row r="3472" spans="20:21" x14ac:dyDescent="0.25">
      <c r="T3472" s="98"/>
      <c r="U3472" s="99"/>
    </row>
    <row r="3473" spans="20:21" x14ac:dyDescent="0.25">
      <c r="T3473" s="98"/>
      <c r="U3473" s="99"/>
    </row>
    <row r="3474" spans="20:21" x14ac:dyDescent="0.25">
      <c r="T3474" s="98"/>
      <c r="U3474" s="99"/>
    </row>
    <row r="3475" spans="20:21" x14ac:dyDescent="0.25">
      <c r="T3475" s="98"/>
      <c r="U3475" s="99"/>
    </row>
    <row r="3476" spans="20:21" x14ac:dyDescent="0.25">
      <c r="T3476" s="98"/>
      <c r="U3476" s="99"/>
    </row>
    <row r="3477" spans="20:21" x14ac:dyDescent="0.25">
      <c r="T3477" s="98"/>
      <c r="U3477" s="99"/>
    </row>
    <row r="3478" spans="20:21" x14ac:dyDescent="0.25">
      <c r="T3478" s="98"/>
      <c r="U3478" s="99"/>
    </row>
    <row r="3479" spans="20:21" x14ac:dyDescent="0.25">
      <c r="T3479" s="98"/>
      <c r="U3479" s="99"/>
    </row>
    <row r="3480" spans="20:21" x14ac:dyDescent="0.25">
      <c r="T3480" s="98"/>
      <c r="U3480" s="99"/>
    </row>
    <row r="3481" spans="20:21" x14ac:dyDescent="0.25">
      <c r="T3481" s="98"/>
      <c r="U3481" s="99"/>
    </row>
    <row r="3482" spans="20:21" x14ac:dyDescent="0.25">
      <c r="T3482" s="98"/>
      <c r="U3482" s="99"/>
    </row>
    <row r="3483" spans="20:21" x14ac:dyDescent="0.25">
      <c r="T3483" s="98"/>
      <c r="U3483" s="99"/>
    </row>
    <row r="3484" spans="20:21" x14ac:dyDescent="0.25">
      <c r="T3484" s="98"/>
      <c r="U3484" s="99"/>
    </row>
    <row r="3485" spans="20:21" x14ac:dyDescent="0.25">
      <c r="T3485" s="98"/>
      <c r="U3485" s="99"/>
    </row>
    <row r="3486" spans="20:21" x14ac:dyDescent="0.25">
      <c r="T3486" s="98"/>
      <c r="U3486" s="99"/>
    </row>
    <row r="3487" spans="20:21" x14ac:dyDescent="0.25">
      <c r="T3487" s="98"/>
      <c r="U3487" s="99"/>
    </row>
    <row r="3488" spans="20:21" x14ac:dyDescent="0.25">
      <c r="T3488" s="98"/>
      <c r="U3488" s="99"/>
    </row>
    <row r="3489" spans="20:21" x14ac:dyDescent="0.25">
      <c r="T3489" s="98"/>
      <c r="U3489" s="99"/>
    </row>
    <row r="3490" spans="20:21" x14ac:dyDescent="0.25">
      <c r="T3490" s="98"/>
      <c r="U3490" s="99"/>
    </row>
    <row r="3491" spans="20:21" x14ac:dyDescent="0.25">
      <c r="T3491" s="98"/>
      <c r="U3491" s="99"/>
    </row>
    <row r="3492" spans="20:21" x14ac:dyDescent="0.25">
      <c r="T3492" s="98"/>
      <c r="U3492" s="99"/>
    </row>
    <row r="3493" spans="20:21" x14ac:dyDescent="0.25">
      <c r="T3493" s="98"/>
      <c r="U3493" s="99"/>
    </row>
    <row r="3494" spans="20:21" x14ac:dyDescent="0.25">
      <c r="T3494" s="98"/>
      <c r="U3494" s="99"/>
    </row>
    <row r="3495" spans="20:21" x14ac:dyDescent="0.25">
      <c r="T3495" s="98"/>
      <c r="U3495" s="99"/>
    </row>
    <row r="3496" spans="20:21" x14ac:dyDescent="0.25">
      <c r="T3496" s="98"/>
      <c r="U3496" s="99"/>
    </row>
    <row r="3497" spans="20:21" x14ac:dyDescent="0.25">
      <c r="T3497" s="98"/>
      <c r="U3497" s="99"/>
    </row>
    <row r="3498" spans="20:21" x14ac:dyDescent="0.25">
      <c r="T3498" s="98"/>
      <c r="U3498" s="99"/>
    </row>
    <row r="3499" spans="20:21" x14ac:dyDescent="0.25">
      <c r="T3499" s="98"/>
      <c r="U3499" s="99"/>
    </row>
    <row r="3500" spans="20:21" x14ac:dyDescent="0.25">
      <c r="T3500" s="98"/>
      <c r="U3500" s="99"/>
    </row>
    <row r="3501" spans="20:21" x14ac:dyDescent="0.25">
      <c r="T3501" s="98"/>
      <c r="U3501" s="99"/>
    </row>
    <row r="3502" spans="20:21" x14ac:dyDescent="0.25">
      <c r="T3502" s="98"/>
      <c r="U3502" s="99"/>
    </row>
    <row r="3503" spans="20:21" x14ac:dyDescent="0.25">
      <c r="T3503" s="98"/>
      <c r="U3503" s="99"/>
    </row>
    <row r="3504" spans="20:21" x14ac:dyDescent="0.25">
      <c r="T3504" s="98"/>
      <c r="U3504" s="99"/>
    </row>
    <row r="3505" spans="20:21" x14ac:dyDescent="0.25">
      <c r="T3505" s="98"/>
      <c r="U3505" s="99"/>
    </row>
    <row r="3506" spans="20:21" x14ac:dyDescent="0.25">
      <c r="T3506" s="98"/>
      <c r="U3506" s="99"/>
    </row>
    <row r="3507" spans="20:21" x14ac:dyDescent="0.25">
      <c r="T3507" s="98"/>
      <c r="U3507" s="99"/>
    </row>
    <row r="3508" spans="20:21" x14ac:dyDescent="0.25">
      <c r="T3508" s="98"/>
      <c r="U3508" s="99"/>
    </row>
    <row r="3509" spans="20:21" x14ac:dyDescent="0.25">
      <c r="T3509" s="98"/>
      <c r="U3509" s="99"/>
    </row>
    <row r="3510" spans="20:21" x14ac:dyDescent="0.25">
      <c r="T3510" s="98"/>
      <c r="U3510" s="99"/>
    </row>
    <row r="3511" spans="20:21" x14ac:dyDescent="0.25">
      <c r="T3511" s="98"/>
      <c r="U3511" s="99"/>
    </row>
    <row r="3512" spans="20:21" x14ac:dyDescent="0.25">
      <c r="T3512" s="98"/>
      <c r="U3512" s="99"/>
    </row>
    <row r="3513" spans="20:21" x14ac:dyDescent="0.25">
      <c r="T3513" s="98"/>
      <c r="U3513" s="99"/>
    </row>
    <row r="3514" spans="20:21" x14ac:dyDescent="0.25">
      <c r="T3514" s="98"/>
      <c r="U3514" s="99"/>
    </row>
    <row r="3515" spans="20:21" x14ac:dyDescent="0.25">
      <c r="T3515" s="98"/>
      <c r="U3515" s="99"/>
    </row>
    <row r="3516" spans="20:21" x14ac:dyDescent="0.25">
      <c r="T3516" s="98"/>
      <c r="U3516" s="99"/>
    </row>
    <row r="3517" spans="20:21" x14ac:dyDescent="0.25">
      <c r="T3517" s="98"/>
      <c r="U3517" s="99"/>
    </row>
    <row r="3518" spans="20:21" x14ac:dyDescent="0.25">
      <c r="T3518" s="98"/>
      <c r="U3518" s="99"/>
    </row>
    <row r="3519" spans="20:21" x14ac:dyDescent="0.25">
      <c r="T3519" s="98"/>
      <c r="U3519" s="99"/>
    </row>
    <row r="3520" spans="20:21" x14ac:dyDescent="0.25">
      <c r="T3520" s="98"/>
      <c r="U3520" s="99"/>
    </row>
    <row r="3521" spans="20:21" x14ac:dyDescent="0.25">
      <c r="T3521" s="98"/>
      <c r="U3521" s="99"/>
    </row>
    <row r="3522" spans="20:21" x14ac:dyDescent="0.25">
      <c r="T3522" s="98"/>
      <c r="U3522" s="99"/>
    </row>
    <row r="3523" spans="20:21" x14ac:dyDescent="0.25">
      <c r="T3523" s="98"/>
      <c r="U3523" s="99"/>
    </row>
    <row r="3524" spans="20:21" x14ac:dyDescent="0.25">
      <c r="T3524" s="98"/>
      <c r="U3524" s="99"/>
    </row>
    <row r="3525" spans="20:21" x14ac:dyDescent="0.25">
      <c r="T3525" s="98"/>
      <c r="U3525" s="99"/>
    </row>
    <row r="3526" spans="20:21" x14ac:dyDescent="0.25">
      <c r="T3526" s="98"/>
      <c r="U3526" s="99"/>
    </row>
    <row r="3527" spans="20:21" x14ac:dyDescent="0.25">
      <c r="T3527" s="98"/>
      <c r="U3527" s="99"/>
    </row>
    <row r="3528" spans="20:21" x14ac:dyDescent="0.25">
      <c r="T3528" s="98"/>
      <c r="U3528" s="99"/>
    </row>
    <row r="3529" spans="20:21" x14ac:dyDescent="0.25">
      <c r="T3529" s="98"/>
      <c r="U3529" s="99"/>
    </row>
    <row r="3530" spans="20:21" x14ac:dyDescent="0.25">
      <c r="T3530" s="98"/>
      <c r="U3530" s="99"/>
    </row>
    <row r="3531" spans="20:21" x14ac:dyDescent="0.25">
      <c r="T3531" s="98"/>
      <c r="U3531" s="99"/>
    </row>
    <row r="3532" spans="20:21" x14ac:dyDescent="0.25">
      <c r="T3532" s="98"/>
      <c r="U3532" s="99"/>
    </row>
    <row r="3533" spans="20:21" x14ac:dyDescent="0.25">
      <c r="T3533" s="98"/>
      <c r="U3533" s="99"/>
    </row>
    <row r="3534" spans="20:21" x14ac:dyDescent="0.25">
      <c r="T3534" s="98"/>
      <c r="U3534" s="99"/>
    </row>
    <row r="3535" spans="20:21" x14ac:dyDescent="0.25">
      <c r="T3535" s="98"/>
      <c r="U3535" s="99"/>
    </row>
    <row r="3536" spans="20:21" x14ac:dyDescent="0.25">
      <c r="T3536" s="98"/>
      <c r="U3536" s="99"/>
    </row>
    <row r="3537" spans="20:21" x14ac:dyDescent="0.25">
      <c r="T3537" s="98"/>
      <c r="U3537" s="99"/>
    </row>
    <row r="3538" spans="20:21" x14ac:dyDescent="0.25">
      <c r="T3538" s="98"/>
      <c r="U3538" s="99"/>
    </row>
    <row r="3539" spans="20:21" x14ac:dyDescent="0.25">
      <c r="T3539" s="98"/>
      <c r="U3539" s="99"/>
    </row>
    <row r="3540" spans="20:21" x14ac:dyDescent="0.25">
      <c r="T3540" s="98"/>
      <c r="U3540" s="99"/>
    </row>
    <row r="3541" spans="20:21" x14ac:dyDescent="0.25">
      <c r="T3541" s="98"/>
      <c r="U3541" s="99"/>
    </row>
    <row r="3542" spans="20:21" x14ac:dyDescent="0.25">
      <c r="T3542" s="98"/>
      <c r="U3542" s="99"/>
    </row>
    <row r="3543" spans="20:21" x14ac:dyDescent="0.25">
      <c r="T3543" s="98"/>
      <c r="U3543" s="99"/>
    </row>
    <row r="3544" spans="20:21" x14ac:dyDescent="0.25">
      <c r="T3544" s="98"/>
      <c r="U3544" s="99"/>
    </row>
    <row r="3545" spans="20:21" x14ac:dyDescent="0.25">
      <c r="T3545" s="98"/>
      <c r="U3545" s="99"/>
    </row>
    <row r="3546" spans="20:21" x14ac:dyDescent="0.25">
      <c r="T3546" s="98"/>
      <c r="U3546" s="99"/>
    </row>
    <row r="3547" spans="20:21" x14ac:dyDescent="0.25">
      <c r="T3547" s="98"/>
      <c r="U3547" s="99"/>
    </row>
    <row r="3548" spans="20:21" x14ac:dyDescent="0.25">
      <c r="T3548" s="98"/>
      <c r="U3548" s="99"/>
    </row>
    <row r="3549" spans="20:21" x14ac:dyDescent="0.25">
      <c r="T3549" s="98"/>
      <c r="U3549" s="99"/>
    </row>
    <row r="3550" spans="20:21" x14ac:dyDescent="0.25">
      <c r="T3550" s="98"/>
      <c r="U3550" s="99"/>
    </row>
    <row r="3551" spans="20:21" x14ac:dyDescent="0.25">
      <c r="T3551" s="98"/>
      <c r="U3551" s="99"/>
    </row>
    <row r="3552" spans="20:21" x14ac:dyDescent="0.25">
      <c r="T3552" s="98"/>
      <c r="U3552" s="99"/>
    </row>
    <row r="3553" spans="20:21" x14ac:dyDescent="0.25">
      <c r="T3553" s="98"/>
      <c r="U3553" s="99"/>
    </row>
    <row r="3554" spans="20:21" x14ac:dyDescent="0.25">
      <c r="T3554" s="98"/>
      <c r="U3554" s="99"/>
    </row>
    <row r="3555" spans="20:21" x14ac:dyDescent="0.25">
      <c r="T3555" s="98"/>
      <c r="U3555" s="99"/>
    </row>
    <row r="3556" spans="20:21" x14ac:dyDescent="0.25">
      <c r="T3556" s="98"/>
      <c r="U3556" s="99"/>
    </row>
    <row r="3557" spans="20:21" x14ac:dyDescent="0.25">
      <c r="T3557" s="98"/>
      <c r="U3557" s="99"/>
    </row>
    <row r="3558" spans="20:21" x14ac:dyDescent="0.25">
      <c r="T3558" s="98"/>
      <c r="U3558" s="99"/>
    </row>
    <row r="3559" spans="20:21" x14ac:dyDescent="0.25">
      <c r="T3559" s="98"/>
      <c r="U3559" s="99"/>
    </row>
    <row r="3560" spans="20:21" x14ac:dyDescent="0.25">
      <c r="T3560" s="98"/>
      <c r="U3560" s="99"/>
    </row>
    <row r="3561" spans="20:21" x14ac:dyDescent="0.25">
      <c r="T3561" s="98"/>
      <c r="U3561" s="99"/>
    </row>
    <row r="3562" spans="20:21" x14ac:dyDescent="0.25">
      <c r="T3562" s="98"/>
      <c r="U3562" s="99"/>
    </row>
    <row r="3563" spans="20:21" x14ac:dyDescent="0.25">
      <c r="T3563" s="98"/>
      <c r="U3563" s="99"/>
    </row>
    <row r="3564" spans="20:21" x14ac:dyDescent="0.25">
      <c r="T3564" s="98"/>
      <c r="U3564" s="99"/>
    </row>
    <row r="3565" spans="20:21" x14ac:dyDescent="0.25">
      <c r="T3565" s="98"/>
      <c r="U3565" s="99"/>
    </row>
    <row r="3566" spans="20:21" x14ac:dyDescent="0.25">
      <c r="T3566" s="98"/>
      <c r="U3566" s="99"/>
    </row>
    <row r="3567" spans="20:21" x14ac:dyDescent="0.25">
      <c r="T3567" s="98"/>
      <c r="U3567" s="99"/>
    </row>
    <row r="3568" spans="20:21" x14ac:dyDescent="0.25">
      <c r="T3568" s="98"/>
      <c r="U3568" s="99"/>
    </row>
    <row r="3569" spans="20:21" x14ac:dyDescent="0.25">
      <c r="T3569" s="98"/>
      <c r="U3569" s="99"/>
    </row>
    <row r="3570" spans="20:21" x14ac:dyDescent="0.25">
      <c r="T3570" s="98"/>
      <c r="U3570" s="99"/>
    </row>
    <row r="3571" spans="20:21" x14ac:dyDescent="0.25">
      <c r="T3571" s="98"/>
      <c r="U3571" s="99"/>
    </row>
    <row r="3572" spans="20:21" x14ac:dyDescent="0.25">
      <c r="T3572" s="98"/>
      <c r="U3572" s="99"/>
    </row>
    <row r="3573" spans="20:21" x14ac:dyDescent="0.25">
      <c r="T3573" s="98"/>
      <c r="U3573" s="99"/>
    </row>
    <row r="3574" spans="20:21" x14ac:dyDescent="0.25">
      <c r="T3574" s="98"/>
      <c r="U3574" s="99"/>
    </row>
    <row r="3575" spans="20:21" x14ac:dyDescent="0.25">
      <c r="T3575" s="98"/>
      <c r="U3575" s="99"/>
    </row>
    <row r="3576" spans="20:21" x14ac:dyDescent="0.25">
      <c r="T3576" s="98"/>
      <c r="U3576" s="99"/>
    </row>
    <row r="3577" spans="20:21" x14ac:dyDescent="0.25">
      <c r="T3577" s="98"/>
      <c r="U3577" s="99"/>
    </row>
    <row r="3578" spans="20:21" x14ac:dyDescent="0.25">
      <c r="T3578" s="98"/>
      <c r="U3578" s="99"/>
    </row>
    <row r="3579" spans="20:21" x14ac:dyDescent="0.25">
      <c r="T3579" s="98"/>
      <c r="U3579" s="99"/>
    </row>
    <row r="3580" spans="20:21" x14ac:dyDescent="0.25">
      <c r="T3580" s="98"/>
      <c r="U3580" s="99"/>
    </row>
    <row r="3581" spans="20:21" x14ac:dyDescent="0.25">
      <c r="T3581" s="98"/>
      <c r="U3581" s="99"/>
    </row>
    <row r="3582" spans="20:21" x14ac:dyDescent="0.25">
      <c r="T3582" s="98"/>
      <c r="U3582" s="99"/>
    </row>
    <row r="3583" spans="20:21" x14ac:dyDescent="0.25">
      <c r="T3583" s="98"/>
      <c r="U3583" s="99"/>
    </row>
    <row r="3584" spans="20:21" x14ac:dyDescent="0.25">
      <c r="T3584" s="98"/>
      <c r="U3584" s="99"/>
    </row>
    <row r="3585" spans="20:21" x14ac:dyDescent="0.25">
      <c r="T3585" s="98"/>
      <c r="U3585" s="99"/>
    </row>
    <row r="3586" spans="20:21" x14ac:dyDescent="0.25">
      <c r="T3586" s="98"/>
      <c r="U3586" s="99"/>
    </row>
    <row r="3587" spans="20:21" x14ac:dyDescent="0.25">
      <c r="T3587" s="98"/>
      <c r="U3587" s="99"/>
    </row>
    <row r="3588" spans="20:21" x14ac:dyDescent="0.25">
      <c r="T3588" s="98"/>
      <c r="U3588" s="99"/>
    </row>
    <row r="3589" spans="20:21" x14ac:dyDescent="0.25">
      <c r="T3589" s="98"/>
      <c r="U3589" s="99"/>
    </row>
    <row r="3590" spans="20:21" x14ac:dyDescent="0.25">
      <c r="T3590" s="98"/>
      <c r="U3590" s="99"/>
    </row>
    <row r="3591" spans="20:21" x14ac:dyDescent="0.25">
      <c r="T3591" s="98"/>
      <c r="U3591" s="99"/>
    </row>
    <row r="3592" spans="20:21" x14ac:dyDescent="0.25">
      <c r="T3592" s="98"/>
      <c r="U3592" s="99"/>
    </row>
    <row r="3593" spans="20:21" x14ac:dyDescent="0.25">
      <c r="T3593" s="98"/>
      <c r="U3593" s="99"/>
    </row>
    <row r="3594" spans="20:21" x14ac:dyDescent="0.25">
      <c r="T3594" s="98"/>
      <c r="U3594" s="99"/>
    </row>
    <row r="3595" spans="20:21" x14ac:dyDescent="0.25">
      <c r="T3595" s="98"/>
      <c r="U3595" s="99"/>
    </row>
    <row r="3596" spans="20:21" x14ac:dyDescent="0.25">
      <c r="T3596" s="98"/>
      <c r="U3596" s="99"/>
    </row>
    <row r="3597" spans="20:21" x14ac:dyDescent="0.25">
      <c r="T3597" s="98"/>
      <c r="U3597" s="99"/>
    </row>
    <row r="3598" spans="20:21" x14ac:dyDescent="0.25">
      <c r="T3598" s="98"/>
      <c r="U3598" s="99"/>
    </row>
    <row r="3599" spans="20:21" x14ac:dyDescent="0.25">
      <c r="T3599" s="98"/>
      <c r="U3599" s="99"/>
    </row>
    <row r="3600" spans="20:21" x14ac:dyDescent="0.25">
      <c r="T3600" s="98"/>
      <c r="U3600" s="99"/>
    </row>
    <row r="3601" spans="20:21" x14ac:dyDescent="0.25">
      <c r="T3601" s="98"/>
      <c r="U3601" s="99"/>
    </row>
    <row r="3602" spans="20:21" x14ac:dyDescent="0.25">
      <c r="T3602" s="98"/>
      <c r="U3602" s="99"/>
    </row>
    <row r="3603" spans="20:21" x14ac:dyDescent="0.25">
      <c r="T3603" s="98"/>
      <c r="U3603" s="99"/>
    </row>
    <row r="3604" spans="20:21" x14ac:dyDescent="0.25">
      <c r="T3604" s="98"/>
      <c r="U3604" s="99"/>
    </row>
    <row r="3605" spans="20:21" x14ac:dyDescent="0.25">
      <c r="T3605" s="98"/>
      <c r="U3605" s="99"/>
    </row>
    <row r="3606" spans="20:21" x14ac:dyDescent="0.25">
      <c r="T3606" s="98"/>
      <c r="U3606" s="99"/>
    </row>
    <row r="3607" spans="20:21" x14ac:dyDescent="0.25">
      <c r="T3607" s="98"/>
      <c r="U3607" s="99"/>
    </row>
    <row r="3608" spans="20:21" x14ac:dyDescent="0.25">
      <c r="T3608" s="98"/>
      <c r="U3608" s="99"/>
    </row>
    <row r="3609" spans="20:21" x14ac:dyDescent="0.25">
      <c r="T3609" s="98"/>
      <c r="U3609" s="99"/>
    </row>
    <row r="3610" spans="20:21" x14ac:dyDescent="0.25">
      <c r="T3610" s="98"/>
      <c r="U3610" s="99"/>
    </row>
    <row r="3611" spans="20:21" x14ac:dyDescent="0.25">
      <c r="T3611" s="98"/>
      <c r="U3611" s="99"/>
    </row>
    <row r="3612" spans="20:21" x14ac:dyDescent="0.25">
      <c r="T3612" s="98"/>
      <c r="U3612" s="99"/>
    </row>
    <row r="3613" spans="20:21" x14ac:dyDescent="0.25">
      <c r="T3613" s="98"/>
      <c r="U3613" s="99"/>
    </row>
    <row r="3614" spans="20:21" x14ac:dyDescent="0.25">
      <c r="T3614" s="98"/>
      <c r="U3614" s="99"/>
    </row>
    <row r="3615" spans="20:21" x14ac:dyDescent="0.25">
      <c r="T3615" s="98"/>
      <c r="U3615" s="99"/>
    </row>
    <row r="3616" spans="20:21" x14ac:dyDescent="0.25">
      <c r="T3616" s="98"/>
      <c r="U3616" s="99"/>
    </row>
    <row r="3617" spans="20:21" x14ac:dyDescent="0.25">
      <c r="T3617" s="98"/>
      <c r="U3617" s="99"/>
    </row>
    <row r="3618" spans="20:21" x14ac:dyDescent="0.25">
      <c r="T3618" s="98"/>
      <c r="U3618" s="99"/>
    </row>
    <row r="3619" spans="20:21" x14ac:dyDescent="0.25">
      <c r="T3619" s="98"/>
      <c r="U3619" s="99"/>
    </row>
    <row r="3620" spans="20:21" x14ac:dyDescent="0.25">
      <c r="T3620" s="98"/>
      <c r="U3620" s="99"/>
    </row>
    <row r="3621" spans="20:21" x14ac:dyDescent="0.25">
      <c r="T3621" s="98"/>
      <c r="U3621" s="99"/>
    </row>
    <row r="3622" spans="20:21" x14ac:dyDescent="0.25">
      <c r="T3622" s="98"/>
      <c r="U3622" s="99"/>
    </row>
    <row r="3623" spans="20:21" x14ac:dyDescent="0.25">
      <c r="T3623" s="98"/>
      <c r="U3623" s="99"/>
    </row>
    <row r="3624" spans="20:21" x14ac:dyDescent="0.25">
      <c r="T3624" s="98"/>
      <c r="U3624" s="99"/>
    </row>
    <row r="3625" spans="20:21" x14ac:dyDescent="0.25">
      <c r="T3625" s="98"/>
      <c r="U3625" s="99"/>
    </row>
    <row r="3626" spans="20:21" x14ac:dyDescent="0.25">
      <c r="T3626" s="98"/>
      <c r="U3626" s="99"/>
    </row>
    <row r="3627" spans="20:21" x14ac:dyDescent="0.25">
      <c r="T3627" s="98"/>
      <c r="U3627" s="99"/>
    </row>
    <row r="3628" spans="20:21" x14ac:dyDescent="0.25">
      <c r="T3628" s="98"/>
      <c r="U3628" s="99"/>
    </row>
    <row r="3629" spans="20:21" x14ac:dyDescent="0.25">
      <c r="T3629" s="98"/>
      <c r="U3629" s="99"/>
    </row>
    <row r="3630" spans="20:21" x14ac:dyDescent="0.25">
      <c r="T3630" s="98"/>
      <c r="U3630" s="99"/>
    </row>
    <row r="3631" spans="20:21" x14ac:dyDescent="0.25">
      <c r="T3631" s="98"/>
      <c r="U3631" s="99"/>
    </row>
    <row r="3632" spans="20:21" x14ac:dyDescent="0.25">
      <c r="T3632" s="98"/>
      <c r="U3632" s="99"/>
    </row>
    <row r="3633" spans="20:21" x14ac:dyDescent="0.25">
      <c r="T3633" s="98"/>
      <c r="U3633" s="99"/>
    </row>
    <row r="3634" spans="20:21" x14ac:dyDescent="0.25">
      <c r="T3634" s="98"/>
      <c r="U3634" s="99"/>
    </row>
    <row r="3635" spans="20:21" x14ac:dyDescent="0.25">
      <c r="T3635" s="98"/>
      <c r="U3635" s="99"/>
    </row>
    <row r="3636" spans="20:21" x14ac:dyDescent="0.25">
      <c r="T3636" s="98"/>
      <c r="U3636" s="99"/>
    </row>
    <row r="3637" spans="20:21" x14ac:dyDescent="0.25">
      <c r="T3637" s="98"/>
      <c r="U3637" s="99"/>
    </row>
    <row r="3638" spans="20:21" x14ac:dyDescent="0.25">
      <c r="T3638" s="98"/>
      <c r="U3638" s="99"/>
    </row>
    <row r="3639" spans="20:21" x14ac:dyDescent="0.25">
      <c r="T3639" s="98"/>
      <c r="U3639" s="99"/>
    </row>
    <row r="3640" spans="20:21" x14ac:dyDescent="0.25">
      <c r="T3640" s="98"/>
      <c r="U3640" s="99"/>
    </row>
    <row r="3641" spans="20:21" x14ac:dyDescent="0.25">
      <c r="T3641" s="98"/>
      <c r="U3641" s="99"/>
    </row>
    <row r="3642" spans="20:21" x14ac:dyDescent="0.25">
      <c r="T3642" s="98"/>
      <c r="U3642" s="99"/>
    </row>
    <row r="3643" spans="20:21" x14ac:dyDescent="0.25">
      <c r="T3643" s="98"/>
      <c r="U3643" s="99"/>
    </row>
    <row r="3644" spans="20:21" x14ac:dyDescent="0.25">
      <c r="T3644" s="98"/>
      <c r="U3644" s="99"/>
    </row>
    <row r="3645" spans="20:21" x14ac:dyDescent="0.25">
      <c r="T3645" s="98"/>
      <c r="U3645" s="99"/>
    </row>
    <row r="3646" spans="20:21" x14ac:dyDescent="0.25">
      <c r="T3646" s="98"/>
      <c r="U3646" s="99"/>
    </row>
    <row r="3647" spans="20:21" x14ac:dyDescent="0.25">
      <c r="T3647" s="98"/>
      <c r="U3647" s="99"/>
    </row>
    <row r="3648" spans="20:21" x14ac:dyDescent="0.25">
      <c r="T3648" s="98"/>
      <c r="U3648" s="99"/>
    </row>
    <row r="3649" spans="20:21" x14ac:dyDescent="0.25">
      <c r="T3649" s="98"/>
      <c r="U3649" s="99"/>
    </row>
    <row r="3650" spans="20:21" x14ac:dyDescent="0.25">
      <c r="T3650" s="98"/>
      <c r="U3650" s="99"/>
    </row>
    <row r="3651" spans="20:21" x14ac:dyDescent="0.25">
      <c r="T3651" s="98"/>
      <c r="U3651" s="99"/>
    </row>
    <row r="3652" spans="20:21" x14ac:dyDescent="0.25">
      <c r="T3652" s="98"/>
      <c r="U3652" s="99"/>
    </row>
    <row r="3653" spans="20:21" x14ac:dyDescent="0.25">
      <c r="T3653" s="98"/>
      <c r="U3653" s="99"/>
    </row>
    <row r="3654" spans="20:21" x14ac:dyDescent="0.25">
      <c r="T3654" s="98"/>
      <c r="U3654" s="99"/>
    </row>
    <row r="3655" spans="20:21" x14ac:dyDescent="0.25">
      <c r="T3655" s="98"/>
      <c r="U3655" s="99"/>
    </row>
    <row r="3656" spans="20:21" x14ac:dyDescent="0.25">
      <c r="T3656" s="98"/>
      <c r="U3656" s="99"/>
    </row>
    <row r="3657" spans="20:21" x14ac:dyDescent="0.25">
      <c r="T3657" s="98"/>
      <c r="U3657" s="99"/>
    </row>
    <row r="3658" spans="20:21" x14ac:dyDescent="0.25">
      <c r="T3658" s="98"/>
      <c r="U3658" s="99"/>
    </row>
    <row r="3659" spans="20:21" x14ac:dyDescent="0.25">
      <c r="T3659" s="98"/>
      <c r="U3659" s="99"/>
    </row>
    <row r="3660" spans="20:21" x14ac:dyDescent="0.25">
      <c r="T3660" s="98"/>
      <c r="U3660" s="99"/>
    </row>
    <row r="3661" spans="20:21" x14ac:dyDescent="0.25">
      <c r="T3661" s="98"/>
      <c r="U3661" s="99"/>
    </row>
    <row r="3662" spans="20:21" x14ac:dyDescent="0.25">
      <c r="T3662" s="98"/>
      <c r="U3662" s="99"/>
    </row>
    <row r="3663" spans="20:21" x14ac:dyDescent="0.25">
      <c r="T3663" s="98"/>
      <c r="U3663" s="99"/>
    </row>
    <row r="3664" spans="20:21" x14ac:dyDescent="0.25">
      <c r="T3664" s="98"/>
      <c r="U3664" s="99"/>
    </row>
    <row r="3665" spans="20:21" x14ac:dyDescent="0.25">
      <c r="T3665" s="98"/>
      <c r="U3665" s="99"/>
    </row>
    <row r="3666" spans="20:21" x14ac:dyDescent="0.25">
      <c r="T3666" s="98"/>
      <c r="U3666" s="99"/>
    </row>
    <row r="3667" spans="20:21" x14ac:dyDescent="0.25">
      <c r="T3667" s="98"/>
      <c r="U3667" s="99"/>
    </row>
    <row r="3668" spans="20:21" x14ac:dyDescent="0.25">
      <c r="T3668" s="98"/>
      <c r="U3668" s="99"/>
    </row>
    <row r="3669" spans="20:21" x14ac:dyDescent="0.25">
      <c r="T3669" s="98"/>
      <c r="U3669" s="99"/>
    </row>
    <row r="3670" spans="20:21" x14ac:dyDescent="0.25">
      <c r="T3670" s="98"/>
      <c r="U3670" s="99"/>
    </row>
    <row r="3671" spans="20:21" x14ac:dyDescent="0.25">
      <c r="T3671" s="98"/>
      <c r="U3671" s="99"/>
    </row>
    <row r="3672" spans="20:21" x14ac:dyDescent="0.25">
      <c r="T3672" s="98"/>
      <c r="U3672" s="99"/>
    </row>
    <row r="3673" spans="20:21" x14ac:dyDescent="0.25">
      <c r="T3673" s="98"/>
      <c r="U3673" s="99"/>
    </row>
    <row r="3674" spans="20:21" x14ac:dyDescent="0.25">
      <c r="T3674" s="98"/>
      <c r="U3674" s="99"/>
    </row>
    <row r="3675" spans="20:21" x14ac:dyDescent="0.25">
      <c r="T3675" s="98"/>
      <c r="U3675" s="99"/>
    </row>
    <row r="3676" spans="20:21" x14ac:dyDescent="0.25">
      <c r="T3676" s="98"/>
      <c r="U3676" s="99"/>
    </row>
    <row r="3677" spans="20:21" x14ac:dyDescent="0.25">
      <c r="T3677" s="98"/>
      <c r="U3677" s="99"/>
    </row>
    <row r="3678" spans="20:21" x14ac:dyDescent="0.25">
      <c r="T3678" s="98"/>
      <c r="U3678" s="99"/>
    </row>
    <row r="3679" spans="20:21" x14ac:dyDescent="0.25">
      <c r="T3679" s="98"/>
      <c r="U3679" s="99"/>
    </row>
    <row r="3680" spans="20:21" x14ac:dyDescent="0.25">
      <c r="T3680" s="98"/>
      <c r="U3680" s="99"/>
    </row>
    <row r="3681" spans="20:21" x14ac:dyDescent="0.25">
      <c r="T3681" s="98"/>
      <c r="U3681" s="99"/>
    </row>
    <row r="3682" spans="20:21" x14ac:dyDescent="0.25">
      <c r="T3682" s="98"/>
      <c r="U3682" s="99"/>
    </row>
    <row r="3683" spans="20:21" x14ac:dyDescent="0.25">
      <c r="T3683" s="98"/>
      <c r="U3683" s="99"/>
    </row>
    <row r="3684" spans="20:21" x14ac:dyDescent="0.25">
      <c r="T3684" s="98"/>
      <c r="U3684" s="99"/>
    </row>
    <row r="3685" spans="20:21" x14ac:dyDescent="0.25">
      <c r="T3685" s="98"/>
      <c r="U3685" s="99"/>
    </row>
    <row r="3686" spans="20:21" x14ac:dyDescent="0.25">
      <c r="T3686" s="98"/>
      <c r="U3686" s="99"/>
    </row>
    <row r="3687" spans="20:21" x14ac:dyDescent="0.25">
      <c r="T3687" s="98"/>
      <c r="U3687" s="99"/>
    </row>
    <row r="3688" spans="20:21" x14ac:dyDescent="0.25">
      <c r="T3688" s="98"/>
      <c r="U3688" s="99"/>
    </row>
    <row r="3689" spans="20:21" x14ac:dyDescent="0.25">
      <c r="T3689" s="98"/>
      <c r="U3689" s="99"/>
    </row>
    <row r="3690" spans="20:21" x14ac:dyDescent="0.25">
      <c r="T3690" s="98"/>
      <c r="U3690" s="99"/>
    </row>
    <row r="3691" spans="20:21" x14ac:dyDescent="0.25">
      <c r="T3691" s="98"/>
      <c r="U3691" s="99"/>
    </row>
    <row r="3692" spans="20:21" x14ac:dyDescent="0.25">
      <c r="T3692" s="98"/>
      <c r="U3692" s="99"/>
    </row>
    <row r="3693" spans="20:21" x14ac:dyDescent="0.25">
      <c r="T3693" s="98"/>
      <c r="U3693" s="99"/>
    </row>
    <row r="3694" spans="20:21" x14ac:dyDescent="0.25">
      <c r="T3694" s="98"/>
      <c r="U3694" s="99"/>
    </row>
    <row r="3695" spans="20:21" x14ac:dyDescent="0.25">
      <c r="T3695" s="98"/>
      <c r="U3695" s="99"/>
    </row>
    <row r="3696" spans="20:21" x14ac:dyDescent="0.25">
      <c r="T3696" s="98"/>
      <c r="U3696" s="99"/>
    </row>
    <row r="3697" spans="20:21" x14ac:dyDescent="0.25">
      <c r="T3697" s="98"/>
      <c r="U3697" s="99"/>
    </row>
    <row r="3698" spans="20:21" x14ac:dyDescent="0.25">
      <c r="T3698" s="98"/>
      <c r="U3698" s="99"/>
    </row>
    <row r="3699" spans="20:21" x14ac:dyDescent="0.25">
      <c r="T3699" s="98"/>
      <c r="U3699" s="99"/>
    </row>
    <row r="3700" spans="20:21" x14ac:dyDescent="0.25">
      <c r="T3700" s="98"/>
      <c r="U3700" s="99"/>
    </row>
    <row r="3701" spans="20:21" x14ac:dyDescent="0.25">
      <c r="T3701" s="98"/>
      <c r="U3701" s="99"/>
    </row>
    <row r="3702" spans="20:21" x14ac:dyDescent="0.25">
      <c r="T3702" s="98"/>
      <c r="U3702" s="99"/>
    </row>
    <row r="3703" spans="20:21" x14ac:dyDescent="0.25">
      <c r="T3703" s="98"/>
      <c r="U3703" s="99"/>
    </row>
    <row r="3704" spans="20:21" x14ac:dyDescent="0.25">
      <c r="T3704" s="98"/>
      <c r="U3704" s="99"/>
    </row>
    <row r="3705" spans="20:21" x14ac:dyDescent="0.25">
      <c r="T3705" s="98"/>
      <c r="U3705" s="99"/>
    </row>
    <row r="3706" spans="20:21" x14ac:dyDescent="0.25">
      <c r="T3706" s="98"/>
      <c r="U3706" s="99"/>
    </row>
    <row r="3707" spans="20:21" x14ac:dyDescent="0.25">
      <c r="T3707" s="98"/>
      <c r="U3707" s="99"/>
    </row>
    <row r="3708" spans="20:21" x14ac:dyDescent="0.25">
      <c r="T3708" s="98"/>
      <c r="U3708" s="99"/>
    </row>
    <row r="3709" spans="20:21" x14ac:dyDescent="0.25">
      <c r="T3709" s="98"/>
      <c r="U3709" s="99"/>
    </row>
    <row r="3710" spans="20:21" x14ac:dyDescent="0.25">
      <c r="T3710" s="98"/>
      <c r="U3710" s="99"/>
    </row>
    <row r="3711" spans="20:21" x14ac:dyDescent="0.25">
      <c r="T3711" s="98"/>
      <c r="U3711" s="99"/>
    </row>
    <row r="3712" spans="20:21" x14ac:dyDescent="0.25">
      <c r="T3712" s="98"/>
      <c r="U3712" s="99"/>
    </row>
    <row r="3713" spans="20:21" x14ac:dyDescent="0.25">
      <c r="T3713" s="98"/>
      <c r="U3713" s="99"/>
    </row>
    <row r="3714" spans="20:21" x14ac:dyDescent="0.25">
      <c r="T3714" s="98"/>
      <c r="U3714" s="99"/>
    </row>
    <row r="3715" spans="20:21" x14ac:dyDescent="0.25">
      <c r="T3715" s="98"/>
      <c r="U3715" s="99"/>
    </row>
    <row r="3716" spans="20:21" x14ac:dyDescent="0.25">
      <c r="T3716" s="98"/>
      <c r="U3716" s="99"/>
    </row>
    <row r="3717" spans="20:21" x14ac:dyDescent="0.25">
      <c r="T3717" s="98"/>
      <c r="U3717" s="99"/>
    </row>
    <row r="3718" spans="20:21" x14ac:dyDescent="0.25">
      <c r="T3718" s="98"/>
      <c r="U3718" s="99"/>
    </row>
    <row r="3719" spans="20:21" x14ac:dyDescent="0.25">
      <c r="T3719" s="98"/>
      <c r="U3719" s="99"/>
    </row>
    <row r="3720" spans="20:21" x14ac:dyDescent="0.25">
      <c r="T3720" s="98"/>
      <c r="U3720" s="99"/>
    </row>
    <row r="3721" spans="20:21" x14ac:dyDescent="0.25">
      <c r="T3721" s="98"/>
      <c r="U3721" s="99"/>
    </row>
    <row r="3722" spans="20:21" x14ac:dyDescent="0.25">
      <c r="T3722" s="98"/>
      <c r="U3722" s="99"/>
    </row>
    <row r="3723" spans="20:21" x14ac:dyDescent="0.25">
      <c r="T3723" s="98"/>
      <c r="U3723" s="99"/>
    </row>
    <row r="3724" spans="20:21" x14ac:dyDescent="0.25">
      <c r="T3724" s="98"/>
      <c r="U3724" s="99"/>
    </row>
    <row r="3725" spans="20:21" x14ac:dyDescent="0.25">
      <c r="T3725" s="98"/>
      <c r="U3725" s="99"/>
    </row>
    <row r="3726" spans="20:21" x14ac:dyDescent="0.25">
      <c r="T3726" s="98"/>
      <c r="U3726" s="99"/>
    </row>
    <row r="3727" spans="20:21" x14ac:dyDescent="0.25">
      <c r="T3727" s="98"/>
      <c r="U3727" s="99"/>
    </row>
    <row r="3728" spans="20:21" x14ac:dyDescent="0.25">
      <c r="T3728" s="98"/>
      <c r="U3728" s="99"/>
    </row>
    <row r="3729" spans="20:21" x14ac:dyDescent="0.25">
      <c r="T3729" s="98"/>
      <c r="U3729" s="99"/>
    </row>
    <row r="3730" spans="20:21" x14ac:dyDescent="0.25">
      <c r="T3730" s="98"/>
      <c r="U3730" s="99"/>
    </row>
    <row r="3731" spans="20:21" x14ac:dyDescent="0.25">
      <c r="T3731" s="98"/>
      <c r="U3731" s="99"/>
    </row>
    <row r="3732" spans="20:21" x14ac:dyDescent="0.25">
      <c r="T3732" s="98"/>
      <c r="U3732" s="99"/>
    </row>
    <row r="3733" spans="20:21" x14ac:dyDescent="0.25">
      <c r="T3733" s="98"/>
      <c r="U3733" s="99"/>
    </row>
    <row r="3734" spans="20:21" x14ac:dyDescent="0.25">
      <c r="T3734" s="98"/>
      <c r="U3734" s="99"/>
    </row>
    <row r="3735" spans="20:21" x14ac:dyDescent="0.25">
      <c r="T3735" s="98"/>
      <c r="U3735" s="99"/>
    </row>
    <row r="3736" spans="20:21" x14ac:dyDescent="0.25">
      <c r="T3736" s="98"/>
      <c r="U3736" s="99"/>
    </row>
    <row r="3737" spans="20:21" x14ac:dyDescent="0.25">
      <c r="T3737" s="98"/>
      <c r="U3737" s="99"/>
    </row>
    <row r="3738" spans="20:21" x14ac:dyDescent="0.25">
      <c r="T3738" s="98"/>
      <c r="U3738" s="99"/>
    </row>
    <row r="3739" spans="20:21" x14ac:dyDescent="0.25">
      <c r="T3739" s="98"/>
      <c r="U3739" s="99"/>
    </row>
    <row r="3740" spans="20:21" x14ac:dyDescent="0.25">
      <c r="T3740" s="98"/>
      <c r="U3740" s="99"/>
    </row>
    <row r="3741" spans="20:21" x14ac:dyDescent="0.25">
      <c r="T3741" s="98"/>
      <c r="U3741" s="99"/>
    </row>
    <row r="3742" spans="20:21" x14ac:dyDescent="0.25">
      <c r="T3742" s="98"/>
      <c r="U3742" s="99"/>
    </row>
    <row r="3743" spans="20:21" x14ac:dyDescent="0.25">
      <c r="T3743" s="98"/>
      <c r="U3743" s="99"/>
    </row>
    <row r="3744" spans="20:21" x14ac:dyDescent="0.25">
      <c r="T3744" s="98"/>
      <c r="U3744" s="99"/>
    </row>
    <row r="3745" spans="20:21" x14ac:dyDescent="0.25">
      <c r="T3745" s="98"/>
      <c r="U3745" s="99"/>
    </row>
    <row r="3746" spans="20:21" x14ac:dyDescent="0.25">
      <c r="T3746" s="98"/>
      <c r="U3746" s="99"/>
    </row>
    <row r="3747" spans="20:21" x14ac:dyDescent="0.25">
      <c r="T3747" s="98"/>
      <c r="U3747" s="99"/>
    </row>
    <row r="3748" spans="20:21" x14ac:dyDescent="0.25">
      <c r="T3748" s="98"/>
      <c r="U3748" s="99"/>
    </row>
    <row r="3749" spans="20:21" x14ac:dyDescent="0.25">
      <c r="T3749" s="98"/>
      <c r="U3749" s="99"/>
    </row>
    <row r="3750" spans="20:21" x14ac:dyDescent="0.25">
      <c r="T3750" s="98"/>
      <c r="U3750" s="99"/>
    </row>
    <row r="3751" spans="20:21" x14ac:dyDescent="0.25">
      <c r="T3751" s="98"/>
      <c r="U3751" s="99"/>
    </row>
    <row r="3752" spans="20:21" x14ac:dyDescent="0.25">
      <c r="T3752" s="98"/>
      <c r="U3752" s="99"/>
    </row>
    <row r="3753" spans="20:21" x14ac:dyDescent="0.25">
      <c r="T3753" s="98"/>
      <c r="U3753" s="99"/>
    </row>
    <row r="3754" spans="20:21" x14ac:dyDescent="0.25">
      <c r="T3754" s="98"/>
      <c r="U3754" s="99"/>
    </row>
    <row r="3755" spans="20:21" x14ac:dyDescent="0.25">
      <c r="T3755" s="98"/>
      <c r="U3755" s="99"/>
    </row>
    <row r="3756" spans="20:21" x14ac:dyDescent="0.25">
      <c r="T3756" s="98"/>
      <c r="U3756" s="99"/>
    </row>
    <row r="3757" spans="20:21" x14ac:dyDescent="0.25">
      <c r="T3757" s="98"/>
      <c r="U3757" s="99"/>
    </row>
    <row r="3758" spans="20:21" x14ac:dyDescent="0.25">
      <c r="T3758" s="98"/>
      <c r="U3758" s="99"/>
    </row>
    <row r="3759" spans="20:21" x14ac:dyDescent="0.25">
      <c r="T3759" s="98"/>
      <c r="U3759" s="99"/>
    </row>
    <row r="3760" spans="20:21" x14ac:dyDescent="0.25">
      <c r="T3760" s="98"/>
      <c r="U3760" s="99"/>
    </row>
    <row r="3761" spans="20:21" x14ac:dyDescent="0.25">
      <c r="T3761" s="98"/>
      <c r="U3761" s="99"/>
    </row>
    <row r="3762" spans="20:21" x14ac:dyDescent="0.25">
      <c r="T3762" s="98"/>
      <c r="U3762" s="99"/>
    </row>
    <row r="3763" spans="20:21" x14ac:dyDescent="0.25">
      <c r="T3763" s="98"/>
      <c r="U3763" s="99"/>
    </row>
    <row r="3764" spans="20:21" x14ac:dyDescent="0.25">
      <c r="T3764" s="98"/>
      <c r="U3764" s="99"/>
    </row>
    <row r="3765" spans="20:21" x14ac:dyDescent="0.25">
      <c r="T3765" s="98"/>
      <c r="U3765" s="99"/>
    </row>
    <row r="3766" spans="20:21" x14ac:dyDescent="0.25">
      <c r="T3766" s="98"/>
      <c r="U3766" s="99"/>
    </row>
    <row r="3767" spans="20:21" x14ac:dyDescent="0.25">
      <c r="T3767" s="98"/>
      <c r="U3767" s="99"/>
    </row>
    <row r="3768" spans="20:21" x14ac:dyDescent="0.25">
      <c r="T3768" s="98"/>
      <c r="U3768" s="99"/>
    </row>
    <row r="3769" spans="20:21" x14ac:dyDescent="0.25">
      <c r="T3769" s="98"/>
      <c r="U3769" s="99"/>
    </row>
    <row r="3770" spans="20:21" x14ac:dyDescent="0.25">
      <c r="T3770" s="98"/>
      <c r="U3770" s="99"/>
    </row>
    <row r="3771" spans="20:21" x14ac:dyDescent="0.25">
      <c r="T3771" s="98"/>
      <c r="U3771" s="99"/>
    </row>
    <row r="3772" spans="20:21" x14ac:dyDescent="0.25">
      <c r="T3772" s="98"/>
      <c r="U3772" s="99"/>
    </row>
    <row r="3773" spans="20:21" x14ac:dyDescent="0.25">
      <c r="T3773" s="98"/>
      <c r="U3773" s="99"/>
    </row>
    <row r="3774" spans="20:21" x14ac:dyDescent="0.25">
      <c r="T3774" s="98"/>
      <c r="U3774" s="99"/>
    </row>
    <row r="3775" spans="20:21" x14ac:dyDescent="0.25">
      <c r="T3775" s="98"/>
      <c r="U3775" s="99"/>
    </row>
    <row r="3776" spans="20:21" x14ac:dyDescent="0.25">
      <c r="T3776" s="98"/>
      <c r="U3776" s="99"/>
    </row>
    <row r="3777" spans="20:21" x14ac:dyDescent="0.25">
      <c r="T3777" s="98"/>
      <c r="U3777" s="99"/>
    </row>
    <row r="3778" spans="20:21" x14ac:dyDescent="0.25">
      <c r="T3778" s="98"/>
      <c r="U3778" s="99"/>
    </row>
    <row r="3779" spans="20:21" x14ac:dyDescent="0.25">
      <c r="T3779" s="98"/>
      <c r="U3779" s="99"/>
    </row>
    <row r="3780" spans="20:21" x14ac:dyDescent="0.25">
      <c r="T3780" s="98"/>
      <c r="U3780" s="99"/>
    </row>
    <row r="3781" spans="20:21" x14ac:dyDescent="0.25">
      <c r="T3781" s="98"/>
      <c r="U3781" s="99"/>
    </row>
    <row r="3782" spans="20:21" x14ac:dyDescent="0.25">
      <c r="T3782" s="98"/>
      <c r="U3782" s="99"/>
    </row>
    <row r="3783" spans="20:21" x14ac:dyDescent="0.25">
      <c r="T3783" s="98"/>
      <c r="U3783" s="99"/>
    </row>
    <row r="3784" spans="20:21" x14ac:dyDescent="0.25">
      <c r="T3784" s="98"/>
      <c r="U3784" s="99"/>
    </row>
    <row r="3785" spans="20:21" x14ac:dyDescent="0.25">
      <c r="T3785" s="98"/>
      <c r="U3785" s="99"/>
    </row>
    <row r="3786" spans="20:21" x14ac:dyDescent="0.25">
      <c r="T3786" s="98"/>
      <c r="U3786" s="99"/>
    </row>
    <row r="3787" spans="20:21" x14ac:dyDescent="0.25">
      <c r="T3787" s="98"/>
      <c r="U3787" s="99"/>
    </row>
    <row r="3788" spans="20:21" x14ac:dyDescent="0.25">
      <c r="T3788" s="98"/>
      <c r="U3788" s="99"/>
    </row>
    <row r="3789" spans="20:21" x14ac:dyDescent="0.25">
      <c r="T3789" s="98"/>
      <c r="U3789" s="99"/>
    </row>
    <row r="3790" spans="20:21" x14ac:dyDescent="0.25">
      <c r="T3790" s="98"/>
      <c r="U3790" s="99"/>
    </row>
    <row r="3791" spans="20:21" x14ac:dyDescent="0.25">
      <c r="T3791" s="98"/>
      <c r="U3791" s="99"/>
    </row>
    <row r="3792" spans="20:21" x14ac:dyDescent="0.25">
      <c r="T3792" s="98"/>
      <c r="U3792" s="99"/>
    </row>
    <row r="3793" spans="20:21" x14ac:dyDescent="0.25">
      <c r="T3793" s="98"/>
      <c r="U3793" s="99"/>
    </row>
    <row r="3794" spans="20:21" x14ac:dyDescent="0.25">
      <c r="T3794" s="98"/>
      <c r="U3794" s="99"/>
    </row>
    <row r="3795" spans="20:21" x14ac:dyDescent="0.25">
      <c r="T3795" s="98"/>
      <c r="U3795" s="99"/>
    </row>
    <row r="3796" spans="20:21" x14ac:dyDescent="0.25">
      <c r="T3796" s="98"/>
      <c r="U3796" s="99"/>
    </row>
    <row r="3797" spans="20:21" x14ac:dyDescent="0.25">
      <c r="T3797" s="98"/>
      <c r="U3797" s="99"/>
    </row>
    <row r="3798" spans="20:21" x14ac:dyDescent="0.25">
      <c r="T3798" s="98"/>
      <c r="U3798" s="99"/>
    </row>
    <row r="3799" spans="20:21" x14ac:dyDescent="0.25">
      <c r="T3799" s="98"/>
      <c r="U3799" s="99"/>
    </row>
    <row r="3800" spans="20:21" x14ac:dyDescent="0.25">
      <c r="T3800" s="98"/>
      <c r="U3800" s="99"/>
    </row>
    <row r="3801" spans="20:21" x14ac:dyDescent="0.25">
      <c r="T3801" s="98"/>
      <c r="U3801" s="99"/>
    </row>
    <row r="3802" spans="20:21" x14ac:dyDescent="0.25">
      <c r="T3802" s="98"/>
      <c r="U3802" s="99"/>
    </row>
    <row r="3803" spans="20:21" x14ac:dyDescent="0.25">
      <c r="T3803" s="98"/>
      <c r="U3803" s="99"/>
    </row>
    <row r="3804" spans="20:21" x14ac:dyDescent="0.25">
      <c r="T3804" s="98"/>
      <c r="U3804" s="99"/>
    </row>
    <row r="3805" spans="20:21" x14ac:dyDescent="0.25">
      <c r="T3805" s="98"/>
      <c r="U3805" s="99"/>
    </row>
    <row r="3806" spans="20:21" x14ac:dyDescent="0.25">
      <c r="T3806" s="98"/>
      <c r="U3806" s="99"/>
    </row>
    <row r="3807" spans="20:21" x14ac:dyDescent="0.25">
      <c r="T3807" s="98"/>
      <c r="U3807" s="99"/>
    </row>
    <row r="3808" spans="20:21" x14ac:dyDescent="0.25">
      <c r="T3808" s="98"/>
      <c r="U3808" s="99"/>
    </row>
    <row r="3809" spans="20:21" x14ac:dyDescent="0.25">
      <c r="T3809" s="98"/>
      <c r="U3809" s="99"/>
    </row>
    <row r="3810" spans="20:21" x14ac:dyDescent="0.25">
      <c r="T3810" s="98"/>
      <c r="U3810" s="99"/>
    </row>
    <row r="3811" spans="20:21" x14ac:dyDescent="0.25">
      <c r="T3811" s="98"/>
      <c r="U3811" s="99"/>
    </row>
    <row r="3812" spans="20:21" x14ac:dyDescent="0.25">
      <c r="T3812" s="98"/>
      <c r="U3812" s="99"/>
    </row>
    <row r="3813" spans="20:21" x14ac:dyDescent="0.25">
      <c r="T3813" s="98"/>
      <c r="U3813" s="99"/>
    </row>
    <row r="3814" spans="20:21" x14ac:dyDescent="0.25">
      <c r="T3814" s="98"/>
      <c r="U3814" s="99"/>
    </row>
    <row r="3815" spans="20:21" x14ac:dyDescent="0.25">
      <c r="T3815" s="98"/>
      <c r="U3815" s="99"/>
    </row>
    <row r="3816" spans="20:21" x14ac:dyDescent="0.25">
      <c r="T3816" s="98"/>
      <c r="U3816" s="99"/>
    </row>
    <row r="3817" spans="20:21" x14ac:dyDescent="0.25">
      <c r="T3817" s="98"/>
      <c r="U3817" s="99"/>
    </row>
    <row r="3818" spans="20:21" x14ac:dyDescent="0.25">
      <c r="T3818" s="98"/>
      <c r="U3818" s="99"/>
    </row>
    <row r="3819" spans="20:21" x14ac:dyDescent="0.25">
      <c r="T3819" s="98"/>
      <c r="U3819" s="99"/>
    </row>
    <row r="3820" spans="20:21" x14ac:dyDescent="0.25">
      <c r="T3820" s="98"/>
      <c r="U3820" s="99"/>
    </row>
    <row r="3821" spans="20:21" x14ac:dyDescent="0.25">
      <c r="T3821" s="98"/>
      <c r="U3821" s="99"/>
    </row>
    <row r="3822" spans="20:21" x14ac:dyDescent="0.25">
      <c r="T3822" s="98"/>
      <c r="U3822" s="99"/>
    </row>
    <row r="3823" spans="20:21" x14ac:dyDescent="0.25">
      <c r="T3823" s="98"/>
      <c r="U3823" s="99"/>
    </row>
    <row r="3824" spans="20:21" x14ac:dyDescent="0.25">
      <c r="T3824" s="98"/>
      <c r="U3824" s="99"/>
    </row>
    <row r="3825" spans="20:21" x14ac:dyDescent="0.25">
      <c r="T3825" s="98"/>
      <c r="U3825" s="99"/>
    </row>
    <row r="3826" spans="20:21" x14ac:dyDescent="0.25">
      <c r="T3826" s="98"/>
      <c r="U3826" s="99"/>
    </row>
    <row r="3827" spans="20:21" x14ac:dyDescent="0.25">
      <c r="T3827" s="98"/>
      <c r="U3827" s="99"/>
    </row>
    <row r="3828" spans="20:21" x14ac:dyDescent="0.25">
      <c r="T3828" s="98"/>
      <c r="U3828" s="99"/>
    </row>
    <row r="3829" spans="20:21" x14ac:dyDescent="0.25">
      <c r="T3829" s="98"/>
      <c r="U3829" s="99"/>
    </row>
    <row r="3830" spans="20:21" x14ac:dyDescent="0.25">
      <c r="T3830" s="98"/>
      <c r="U3830" s="99"/>
    </row>
    <row r="3831" spans="20:21" x14ac:dyDescent="0.25">
      <c r="T3831" s="98"/>
      <c r="U3831" s="99"/>
    </row>
    <row r="3832" spans="20:21" x14ac:dyDescent="0.25">
      <c r="T3832" s="98"/>
      <c r="U3832" s="99"/>
    </row>
    <row r="3833" spans="20:21" x14ac:dyDescent="0.25">
      <c r="T3833" s="98"/>
      <c r="U3833" s="99"/>
    </row>
    <row r="3834" spans="20:21" x14ac:dyDescent="0.25">
      <c r="T3834" s="98"/>
      <c r="U3834" s="99"/>
    </row>
    <row r="3835" spans="20:21" x14ac:dyDescent="0.25">
      <c r="T3835" s="98"/>
      <c r="U3835" s="99"/>
    </row>
    <row r="3836" spans="20:21" x14ac:dyDescent="0.25">
      <c r="T3836" s="98"/>
      <c r="U3836" s="99"/>
    </row>
    <row r="3837" spans="20:21" x14ac:dyDescent="0.25">
      <c r="T3837" s="98"/>
      <c r="U3837" s="99"/>
    </row>
    <row r="3838" spans="20:21" x14ac:dyDescent="0.25">
      <c r="T3838" s="98"/>
      <c r="U3838" s="99"/>
    </row>
    <row r="3839" spans="20:21" x14ac:dyDescent="0.25">
      <c r="T3839" s="98"/>
      <c r="U3839" s="99"/>
    </row>
    <row r="3840" spans="20:21" x14ac:dyDescent="0.25">
      <c r="T3840" s="98"/>
      <c r="U3840" s="99"/>
    </row>
    <row r="3841" spans="20:21" x14ac:dyDescent="0.25">
      <c r="T3841" s="98"/>
      <c r="U3841" s="99"/>
    </row>
    <row r="3842" spans="20:21" x14ac:dyDescent="0.25">
      <c r="T3842" s="98"/>
      <c r="U3842" s="99"/>
    </row>
    <row r="3843" spans="20:21" x14ac:dyDescent="0.25">
      <c r="T3843" s="98"/>
      <c r="U3843" s="99"/>
    </row>
    <row r="3844" spans="20:21" x14ac:dyDescent="0.25">
      <c r="T3844" s="98"/>
      <c r="U3844" s="99"/>
    </row>
    <row r="3845" spans="20:21" x14ac:dyDescent="0.25">
      <c r="T3845" s="98"/>
      <c r="U3845" s="99"/>
    </row>
    <row r="3846" spans="20:21" x14ac:dyDescent="0.25">
      <c r="T3846" s="98"/>
      <c r="U3846" s="99"/>
    </row>
    <row r="3847" spans="20:21" x14ac:dyDescent="0.25">
      <c r="T3847" s="98"/>
      <c r="U3847" s="99"/>
    </row>
    <row r="3848" spans="20:21" x14ac:dyDescent="0.25">
      <c r="T3848" s="98"/>
      <c r="U3848" s="99"/>
    </row>
    <row r="3849" spans="20:21" x14ac:dyDescent="0.25">
      <c r="T3849" s="98"/>
      <c r="U3849" s="99"/>
    </row>
    <row r="3850" spans="20:21" x14ac:dyDescent="0.25">
      <c r="T3850" s="98"/>
      <c r="U3850" s="99"/>
    </row>
    <row r="3851" spans="20:21" x14ac:dyDescent="0.25">
      <c r="T3851" s="98"/>
      <c r="U3851" s="99"/>
    </row>
    <row r="3852" spans="20:21" x14ac:dyDescent="0.25">
      <c r="T3852" s="98"/>
      <c r="U3852" s="99"/>
    </row>
    <row r="3853" spans="20:21" x14ac:dyDescent="0.25">
      <c r="T3853" s="98"/>
      <c r="U3853" s="99"/>
    </row>
    <row r="3854" spans="20:21" x14ac:dyDescent="0.25">
      <c r="T3854" s="98"/>
      <c r="U3854" s="99"/>
    </row>
    <row r="3855" spans="20:21" x14ac:dyDescent="0.25">
      <c r="T3855" s="98"/>
      <c r="U3855" s="99"/>
    </row>
    <row r="3856" spans="20:21" x14ac:dyDescent="0.25">
      <c r="T3856" s="98"/>
      <c r="U3856" s="99"/>
    </row>
    <row r="3857" spans="20:21" x14ac:dyDescent="0.25">
      <c r="T3857" s="98"/>
      <c r="U3857" s="99"/>
    </row>
    <row r="3858" spans="20:21" x14ac:dyDescent="0.25">
      <c r="T3858" s="98"/>
      <c r="U3858" s="99"/>
    </row>
    <row r="3859" spans="20:21" x14ac:dyDescent="0.25">
      <c r="T3859" s="98"/>
      <c r="U3859" s="99"/>
    </row>
    <row r="3860" spans="20:21" x14ac:dyDescent="0.25">
      <c r="T3860" s="98"/>
      <c r="U3860" s="99"/>
    </row>
    <row r="3861" spans="20:21" x14ac:dyDescent="0.25">
      <c r="T3861" s="98"/>
      <c r="U3861" s="99"/>
    </row>
    <row r="3862" spans="20:21" x14ac:dyDescent="0.25">
      <c r="T3862" s="98"/>
      <c r="U3862" s="99"/>
    </row>
    <row r="3863" spans="20:21" x14ac:dyDescent="0.25">
      <c r="T3863" s="98"/>
      <c r="U3863" s="99"/>
    </row>
    <row r="3864" spans="20:21" x14ac:dyDescent="0.25">
      <c r="T3864" s="98"/>
      <c r="U3864" s="99"/>
    </row>
    <row r="3865" spans="20:21" x14ac:dyDescent="0.25">
      <c r="T3865" s="98"/>
      <c r="U3865" s="99"/>
    </row>
    <row r="3866" spans="20:21" x14ac:dyDescent="0.25">
      <c r="T3866" s="98"/>
      <c r="U3866" s="99"/>
    </row>
    <row r="3867" spans="20:21" x14ac:dyDescent="0.25">
      <c r="T3867" s="98"/>
      <c r="U3867" s="99"/>
    </row>
    <row r="3868" spans="20:21" x14ac:dyDescent="0.25">
      <c r="T3868" s="98"/>
      <c r="U3868" s="99"/>
    </row>
    <row r="3869" spans="20:21" x14ac:dyDescent="0.25">
      <c r="T3869" s="98"/>
      <c r="U3869" s="99"/>
    </row>
    <row r="3870" spans="20:21" x14ac:dyDescent="0.25">
      <c r="T3870" s="98"/>
      <c r="U3870" s="99"/>
    </row>
    <row r="3871" spans="20:21" x14ac:dyDescent="0.25">
      <c r="T3871" s="98"/>
      <c r="U3871" s="99"/>
    </row>
    <row r="3872" spans="20:21" x14ac:dyDescent="0.25">
      <c r="T3872" s="98"/>
      <c r="U3872" s="99"/>
    </row>
    <row r="3873" spans="20:21" x14ac:dyDescent="0.25">
      <c r="T3873" s="98"/>
      <c r="U3873" s="99"/>
    </row>
    <row r="3874" spans="20:21" x14ac:dyDescent="0.25">
      <c r="T3874" s="98"/>
      <c r="U3874" s="99"/>
    </row>
    <row r="3875" spans="20:21" x14ac:dyDescent="0.25">
      <c r="T3875" s="98"/>
      <c r="U3875" s="99"/>
    </row>
    <row r="3876" spans="20:21" x14ac:dyDescent="0.25">
      <c r="T3876" s="98"/>
      <c r="U3876" s="99"/>
    </row>
    <row r="3877" spans="20:21" x14ac:dyDescent="0.25">
      <c r="T3877" s="98"/>
      <c r="U3877" s="99"/>
    </row>
    <row r="3878" spans="20:21" x14ac:dyDescent="0.25">
      <c r="T3878" s="98"/>
      <c r="U3878" s="99"/>
    </row>
    <row r="3879" spans="20:21" x14ac:dyDescent="0.25">
      <c r="T3879" s="98"/>
      <c r="U3879" s="99"/>
    </row>
    <row r="3880" spans="20:21" x14ac:dyDescent="0.25">
      <c r="T3880" s="98"/>
      <c r="U3880" s="99"/>
    </row>
    <row r="3881" spans="20:21" x14ac:dyDescent="0.25">
      <c r="T3881" s="98"/>
      <c r="U3881" s="99"/>
    </row>
    <row r="3882" spans="20:21" x14ac:dyDescent="0.25">
      <c r="T3882" s="98"/>
      <c r="U3882" s="99"/>
    </row>
    <row r="3883" spans="20:21" x14ac:dyDescent="0.25">
      <c r="T3883" s="98"/>
      <c r="U3883" s="99"/>
    </row>
    <row r="3884" spans="20:21" x14ac:dyDescent="0.25">
      <c r="T3884" s="98"/>
      <c r="U3884" s="99"/>
    </row>
    <row r="3885" spans="20:21" x14ac:dyDescent="0.25">
      <c r="T3885" s="98"/>
      <c r="U3885" s="99"/>
    </row>
    <row r="3886" spans="20:21" x14ac:dyDescent="0.25">
      <c r="T3886" s="98"/>
      <c r="U3886" s="99"/>
    </row>
    <row r="3887" spans="20:21" x14ac:dyDescent="0.25">
      <c r="T3887" s="98"/>
      <c r="U3887" s="99"/>
    </row>
    <row r="3888" spans="20:21" x14ac:dyDescent="0.25">
      <c r="T3888" s="98"/>
      <c r="U3888" s="99"/>
    </row>
    <row r="3889" spans="20:21" x14ac:dyDescent="0.25">
      <c r="T3889" s="98"/>
      <c r="U3889" s="99"/>
    </row>
    <row r="3890" spans="20:21" x14ac:dyDescent="0.25">
      <c r="T3890" s="98"/>
      <c r="U3890" s="99"/>
    </row>
    <row r="3891" spans="20:21" x14ac:dyDescent="0.25">
      <c r="T3891" s="98"/>
      <c r="U3891" s="99"/>
    </row>
    <row r="3892" spans="20:21" x14ac:dyDescent="0.25">
      <c r="T3892" s="98"/>
      <c r="U3892" s="99"/>
    </row>
    <row r="3893" spans="20:21" x14ac:dyDescent="0.25">
      <c r="T3893" s="98"/>
      <c r="U3893" s="99"/>
    </row>
    <row r="3894" spans="20:21" x14ac:dyDescent="0.25">
      <c r="T3894" s="98"/>
      <c r="U3894" s="99"/>
    </row>
    <row r="3895" spans="20:21" x14ac:dyDescent="0.25">
      <c r="T3895" s="98"/>
      <c r="U3895" s="99"/>
    </row>
    <row r="3896" spans="20:21" x14ac:dyDescent="0.25">
      <c r="T3896" s="98"/>
      <c r="U3896" s="99"/>
    </row>
    <row r="3897" spans="20:21" x14ac:dyDescent="0.25">
      <c r="T3897" s="98"/>
      <c r="U3897" s="99"/>
    </row>
    <row r="3898" spans="20:21" x14ac:dyDescent="0.25">
      <c r="T3898" s="98"/>
      <c r="U3898" s="99"/>
    </row>
    <row r="3899" spans="20:21" x14ac:dyDescent="0.25">
      <c r="T3899" s="98"/>
      <c r="U3899" s="99"/>
    </row>
    <row r="3900" spans="20:21" x14ac:dyDescent="0.25">
      <c r="T3900" s="98"/>
      <c r="U3900" s="99"/>
    </row>
    <row r="3901" spans="20:21" x14ac:dyDescent="0.25">
      <c r="T3901" s="98"/>
      <c r="U3901" s="99"/>
    </row>
    <row r="3902" spans="20:21" x14ac:dyDescent="0.25">
      <c r="T3902" s="98"/>
      <c r="U3902" s="99"/>
    </row>
    <row r="3903" spans="20:21" x14ac:dyDescent="0.25">
      <c r="T3903" s="98"/>
      <c r="U3903" s="99"/>
    </row>
    <row r="3904" spans="20:21" x14ac:dyDescent="0.25">
      <c r="T3904" s="98"/>
      <c r="U3904" s="99"/>
    </row>
    <row r="3905" spans="20:21" x14ac:dyDescent="0.25">
      <c r="T3905" s="98"/>
      <c r="U3905" s="99"/>
    </row>
    <row r="3906" spans="20:21" x14ac:dyDescent="0.25">
      <c r="T3906" s="98"/>
      <c r="U3906" s="99"/>
    </row>
    <row r="3907" spans="20:21" x14ac:dyDescent="0.25">
      <c r="T3907" s="98"/>
      <c r="U3907" s="99"/>
    </row>
    <row r="3908" spans="20:21" x14ac:dyDescent="0.25">
      <c r="T3908" s="98"/>
      <c r="U3908" s="99"/>
    </row>
    <row r="3909" spans="20:21" x14ac:dyDescent="0.25">
      <c r="T3909" s="98"/>
      <c r="U3909" s="99"/>
    </row>
    <row r="3910" spans="20:21" x14ac:dyDescent="0.25">
      <c r="T3910" s="98"/>
      <c r="U3910" s="99"/>
    </row>
    <row r="3911" spans="20:21" x14ac:dyDescent="0.25">
      <c r="T3911" s="98"/>
      <c r="U3911" s="99"/>
    </row>
    <row r="3912" spans="20:21" x14ac:dyDescent="0.25">
      <c r="T3912" s="98"/>
      <c r="U3912" s="99"/>
    </row>
    <row r="3913" spans="20:21" x14ac:dyDescent="0.25">
      <c r="T3913" s="98"/>
      <c r="U3913" s="99"/>
    </row>
    <row r="3914" spans="20:21" x14ac:dyDescent="0.25">
      <c r="T3914" s="98"/>
      <c r="U3914" s="99"/>
    </row>
    <row r="3915" spans="20:21" x14ac:dyDescent="0.25">
      <c r="T3915" s="98"/>
      <c r="U3915" s="99"/>
    </row>
    <row r="3916" spans="20:21" x14ac:dyDescent="0.25">
      <c r="T3916" s="98"/>
      <c r="U3916" s="99"/>
    </row>
    <row r="3917" spans="20:21" x14ac:dyDescent="0.25">
      <c r="T3917" s="98"/>
      <c r="U3917" s="99"/>
    </row>
    <row r="3918" spans="20:21" x14ac:dyDescent="0.25">
      <c r="T3918" s="98"/>
      <c r="U3918" s="99"/>
    </row>
    <row r="3919" spans="20:21" x14ac:dyDescent="0.25">
      <c r="T3919" s="98"/>
      <c r="U3919" s="99"/>
    </row>
    <row r="3920" spans="20:21" x14ac:dyDescent="0.25">
      <c r="T3920" s="98"/>
      <c r="U3920" s="99"/>
    </row>
    <row r="3921" spans="20:21" x14ac:dyDescent="0.25">
      <c r="T3921" s="98"/>
      <c r="U3921" s="99"/>
    </row>
    <row r="3922" spans="20:21" x14ac:dyDescent="0.25">
      <c r="T3922" s="98"/>
      <c r="U3922" s="99"/>
    </row>
    <row r="3923" spans="20:21" x14ac:dyDescent="0.25">
      <c r="T3923" s="98"/>
      <c r="U3923" s="99"/>
    </row>
    <row r="3924" spans="20:21" x14ac:dyDescent="0.25">
      <c r="T3924" s="98"/>
      <c r="U3924" s="99"/>
    </row>
    <row r="3925" spans="20:21" x14ac:dyDescent="0.25">
      <c r="T3925" s="98"/>
      <c r="U3925" s="99"/>
    </row>
    <row r="3926" spans="20:21" x14ac:dyDescent="0.25">
      <c r="T3926" s="98"/>
      <c r="U3926" s="99"/>
    </row>
    <row r="3927" spans="20:21" x14ac:dyDescent="0.25">
      <c r="T3927" s="98"/>
      <c r="U3927" s="99"/>
    </row>
    <row r="3928" spans="20:21" x14ac:dyDescent="0.25">
      <c r="T3928" s="98"/>
      <c r="U3928" s="99"/>
    </row>
    <row r="3929" spans="20:21" x14ac:dyDescent="0.25">
      <c r="T3929" s="98"/>
      <c r="U3929" s="99"/>
    </row>
    <row r="3930" spans="20:21" x14ac:dyDescent="0.25">
      <c r="T3930" s="98"/>
      <c r="U3930" s="99"/>
    </row>
    <row r="3931" spans="20:21" x14ac:dyDescent="0.25">
      <c r="T3931" s="98"/>
      <c r="U3931" s="99"/>
    </row>
    <row r="3932" spans="20:21" x14ac:dyDescent="0.25">
      <c r="T3932" s="98"/>
      <c r="U3932" s="99"/>
    </row>
    <row r="3933" spans="20:21" x14ac:dyDescent="0.25">
      <c r="T3933" s="98"/>
      <c r="U3933" s="99"/>
    </row>
    <row r="3934" spans="20:21" x14ac:dyDescent="0.25">
      <c r="T3934" s="98"/>
      <c r="U3934" s="99"/>
    </row>
    <row r="3935" spans="20:21" x14ac:dyDescent="0.25">
      <c r="T3935" s="98"/>
      <c r="U3935" s="99"/>
    </row>
    <row r="3936" spans="20:21" x14ac:dyDescent="0.25">
      <c r="T3936" s="98"/>
      <c r="U3936" s="99"/>
    </row>
    <row r="3937" spans="20:21" x14ac:dyDescent="0.25">
      <c r="T3937" s="98"/>
      <c r="U3937" s="99"/>
    </row>
    <row r="3938" spans="20:21" x14ac:dyDescent="0.25">
      <c r="T3938" s="98"/>
      <c r="U3938" s="99"/>
    </row>
    <row r="3939" spans="20:21" x14ac:dyDescent="0.25">
      <c r="T3939" s="98"/>
      <c r="U3939" s="99"/>
    </row>
    <row r="3940" spans="20:21" x14ac:dyDescent="0.25">
      <c r="T3940" s="98"/>
      <c r="U3940" s="99"/>
    </row>
    <row r="3941" spans="20:21" x14ac:dyDescent="0.25">
      <c r="T3941" s="98"/>
      <c r="U3941" s="99"/>
    </row>
    <row r="3942" spans="20:21" x14ac:dyDescent="0.25">
      <c r="T3942" s="98"/>
      <c r="U3942" s="99"/>
    </row>
    <row r="3943" spans="20:21" x14ac:dyDescent="0.25">
      <c r="T3943" s="98"/>
      <c r="U3943" s="99"/>
    </row>
    <row r="3944" spans="20:21" x14ac:dyDescent="0.25">
      <c r="T3944" s="98"/>
      <c r="U3944" s="99"/>
    </row>
    <row r="3945" spans="20:21" x14ac:dyDescent="0.25">
      <c r="T3945" s="98"/>
      <c r="U3945" s="99"/>
    </row>
    <row r="3946" spans="20:21" x14ac:dyDescent="0.25">
      <c r="T3946" s="98"/>
      <c r="U3946" s="99"/>
    </row>
    <row r="3947" spans="20:21" x14ac:dyDescent="0.25">
      <c r="T3947" s="98"/>
      <c r="U3947" s="99"/>
    </row>
    <row r="3948" spans="20:21" x14ac:dyDescent="0.25">
      <c r="T3948" s="98"/>
      <c r="U3948" s="99"/>
    </row>
    <row r="3949" spans="20:21" x14ac:dyDescent="0.25">
      <c r="T3949" s="98"/>
      <c r="U3949" s="99"/>
    </row>
    <row r="3950" spans="20:21" x14ac:dyDescent="0.25">
      <c r="T3950" s="98"/>
      <c r="U3950" s="99"/>
    </row>
    <row r="3951" spans="20:21" x14ac:dyDescent="0.25">
      <c r="T3951" s="98"/>
      <c r="U3951" s="99"/>
    </row>
    <row r="3952" spans="20:21" x14ac:dyDescent="0.25">
      <c r="T3952" s="98"/>
      <c r="U3952" s="99"/>
    </row>
    <row r="3953" spans="20:21" x14ac:dyDescent="0.25">
      <c r="T3953" s="98"/>
      <c r="U3953" s="99"/>
    </row>
    <row r="3954" spans="20:21" x14ac:dyDescent="0.25">
      <c r="T3954" s="98"/>
      <c r="U3954" s="99"/>
    </row>
    <row r="3955" spans="20:21" x14ac:dyDescent="0.25">
      <c r="T3955" s="98"/>
      <c r="U3955" s="99"/>
    </row>
    <row r="3956" spans="20:21" x14ac:dyDescent="0.25">
      <c r="T3956" s="98"/>
      <c r="U3956" s="99"/>
    </row>
    <row r="3957" spans="20:21" x14ac:dyDescent="0.25">
      <c r="T3957" s="98"/>
      <c r="U3957" s="99"/>
    </row>
    <row r="3958" spans="20:21" x14ac:dyDescent="0.25">
      <c r="T3958" s="98"/>
      <c r="U3958" s="99"/>
    </row>
    <row r="3959" spans="20:21" x14ac:dyDescent="0.25">
      <c r="T3959" s="98"/>
      <c r="U3959" s="99"/>
    </row>
    <row r="3960" spans="20:21" x14ac:dyDescent="0.25">
      <c r="T3960" s="98"/>
      <c r="U3960" s="99"/>
    </row>
    <row r="3961" spans="20:21" x14ac:dyDescent="0.25">
      <c r="T3961" s="98"/>
      <c r="U3961" s="99"/>
    </row>
    <row r="3962" spans="20:21" x14ac:dyDescent="0.25">
      <c r="T3962" s="98"/>
      <c r="U3962" s="99"/>
    </row>
    <row r="3963" spans="20:21" x14ac:dyDescent="0.25">
      <c r="T3963" s="98"/>
      <c r="U3963" s="99"/>
    </row>
    <row r="3964" spans="20:21" x14ac:dyDescent="0.25">
      <c r="T3964" s="98"/>
      <c r="U3964" s="99"/>
    </row>
    <row r="3965" spans="20:21" x14ac:dyDescent="0.25">
      <c r="T3965" s="98"/>
      <c r="U3965" s="99"/>
    </row>
    <row r="3966" spans="20:21" x14ac:dyDescent="0.25">
      <c r="T3966" s="98"/>
      <c r="U3966" s="99"/>
    </row>
    <row r="3967" spans="20:21" x14ac:dyDescent="0.25">
      <c r="T3967" s="98"/>
      <c r="U3967" s="99"/>
    </row>
    <row r="3968" spans="20:21" x14ac:dyDescent="0.25">
      <c r="T3968" s="98"/>
      <c r="U3968" s="99"/>
    </row>
    <row r="3969" spans="20:21" x14ac:dyDescent="0.25">
      <c r="T3969" s="98"/>
      <c r="U3969" s="99"/>
    </row>
    <row r="3970" spans="20:21" x14ac:dyDescent="0.25">
      <c r="T3970" s="98"/>
      <c r="U3970" s="99"/>
    </row>
    <row r="3971" spans="20:21" x14ac:dyDescent="0.25">
      <c r="T3971" s="98"/>
      <c r="U3971" s="99"/>
    </row>
    <row r="3972" spans="20:21" x14ac:dyDescent="0.25">
      <c r="T3972" s="98"/>
      <c r="U3972" s="99"/>
    </row>
    <row r="3973" spans="20:21" x14ac:dyDescent="0.25">
      <c r="T3973" s="98"/>
      <c r="U3973" s="99"/>
    </row>
    <row r="3974" spans="20:21" x14ac:dyDescent="0.25">
      <c r="T3974" s="98"/>
      <c r="U3974" s="99"/>
    </row>
    <row r="3975" spans="20:21" x14ac:dyDescent="0.25">
      <c r="T3975" s="98"/>
      <c r="U3975" s="99"/>
    </row>
    <row r="3976" spans="20:21" x14ac:dyDescent="0.25">
      <c r="T3976" s="98"/>
      <c r="U3976" s="99"/>
    </row>
    <row r="3977" spans="20:21" x14ac:dyDescent="0.25">
      <c r="T3977" s="98"/>
      <c r="U3977" s="99"/>
    </row>
    <row r="3978" spans="20:21" x14ac:dyDescent="0.25">
      <c r="T3978" s="98"/>
      <c r="U3978" s="99"/>
    </row>
    <row r="3979" spans="20:21" x14ac:dyDescent="0.25">
      <c r="T3979" s="98"/>
      <c r="U3979" s="99"/>
    </row>
    <row r="3980" spans="20:21" x14ac:dyDescent="0.25">
      <c r="T3980" s="98"/>
      <c r="U3980" s="99"/>
    </row>
    <row r="3981" spans="20:21" x14ac:dyDescent="0.25">
      <c r="T3981" s="98"/>
      <c r="U3981" s="99"/>
    </row>
    <row r="3982" spans="20:21" x14ac:dyDescent="0.25">
      <c r="T3982" s="98"/>
      <c r="U3982" s="99"/>
    </row>
    <row r="3983" spans="20:21" x14ac:dyDescent="0.25">
      <c r="T3983" s="98"/>
      <c r="U3983" s="99"/>
    </row>
    <row r="3984" spans="20:21" x14ac:dyDescent="0.25">
      <c r="T3984" s="98"/>
      <c r="U3984" s="99"/>
    </row>
    <row r="3985" spans="20:21" x14ac:dyDescent="0.25">
      <c r="T3985" s="98"/>
      <c r="U3985" s="99"/>
    </row>
    <row r="3986" spans="20:21" x14ac:dyDescent="0.25">
      <c r="T3986" s="98"/>
      <c r="U3986" s="99"/>
    </row>
    <row r="3987" spans="20:21" x14ac:dyDescent="0.25">
      <c r="T3987" s="98"/>
      <c r="U3987" s="99"/>
    </row>
    <row r="3988" spans="20:21" x14ac:dyDescent="0.25">
      <c r="T3988" s="98"/>
      <c r="U3988" s="99"/>
    </row>
    <row r="3989" spans="20:21" x14ac:dyDescent="0.25">
      <c r="T3989" s="98"/>
      <c r="U3989" s="99"/>
    </row>
    <row r="3990" spans="20:21" x14ac:dyDescent="0.25">
      <c r="T3990" s="98"/>
      <c r="U3990" s="99"/>
    </row>
    <row r="3991" spans="20:21" x14ac:dyDescent="0.25">
      <c r="T3991" s="98"/>
      <c r="U3991" s="99"/>
    </row>
    <row r="3992" spans="20:21" x14ac:dyDescent="0.25">
      <c r="T3992" s="98"/>
      <c r="U3992" s="99"/>
    </row>
    <row r="3993" spans="20:21" x14ac:dyDescent="0.25">
      <c r="T3993" s="98"/>
      <c r="U3993" s="99"/>
    </row>
    <row r="3994" spans="20:21" x14ac:dyDescent="0.25">
      <c r="T3994" s="98"/>
      <c r="U3994" s="99"/>
    </row>
    <row r="3995" spans="20:21" x14ac:dyDescent="0.25">
      <c r="T3995" s="98"/>
      <c r="U3995" s="99"/>
    </row>
    <row r="3996" spans="20:21" x14ac:dyDescent="0.25">
      <c r="T3996" s="98"/>
      <c r="U3996" s="99"/>
    </row>
    <row r="3997" spans="20:21" x14ac:dyDescent="0.25">
      <c r="T3997" s="98"/>
      <c r="U3997" s="99"/>
    </row>
    <row r="3998" spans="20:21" x14ac:dyDescent="0.25">
      <c r="T3998" s="98"/>
      <c r="U3998" s="99"/>
    </row>
    <row r="3999" spans="20:21" x14ac:dyDescent="0.25">
      <c r="T3999" s="98"/>
      <c r="U3999" s="99"/>
    </row>
    <row r="4000" spans="20:21" x14ac:dyDescent="0.25">
      <c r="T4000" s="98"/>
      <c r="U4000" s="99"/>
    </row>
    <row r="4001" spans="20:21" x14ac:dyDescent="0.25">
      <c r="T4001" s="98"/>
      <c r="U4001" s="99"/>
    </row>
    <row r="4002" spans="20:21" x14ac:dyDescent="0.25">
      <c r="T4002" s="98"/>
      <c r="U4002" s="99"/>
    </row>
    <row r="4003" spans="20:21" x14ac:dyDescent="0.25">
      <c r="T4003" s="98"/>
      <c r="U4003" s="99"/>
    </row>
    <row r="4004" spans="20:21" x14ac:dyDescent="0.25">
      <c r="T4004" s="98"/>
      <c r="U4004" s="99"/>
    </row>
    <row r="4005" spans="20:21" x14ac:dyDescent="0.25">
      <c r="T4005" s="98"/>
      <c r="U4005" s="99"/>
    </row>
    <row r="4006" spans="20:21" x14ac:dyDescent="0.25">
      <c r="T4006" s="98"/>
      <c r="U4006" s="99"/>
    </row>
    <row r="4007" spans="20:21" x14ac:dyDescent="0.25">
      <c r="T4007" s="98"/>
      <c r="U4007" s="99"/>
    </row>
    <row r="4008" spans="20:21" x14ac:dyDescent="0.25">
      <c r="T4008" s="98"/>
      <c r="U4008" s="99"/>
    </row>
    <row r="4009" spans="20:21" x14ac:dyDescent="0.25">
      <c r="T4009" s="98"/>
      <c r="U4009" s="99"/>
    </row>
    <row r="4010" spans="20:21" x14ac:dyDescent="0.25">
      <c r="T4010" s="98"/>
      <c r="U4010" s="99"/>
    </row>
    <row r="4011" spans="20:21" x14ac:dyDescent="0.25">
      <c r="T4011" s="98"/>
      <c r="U4011" s="99"/>
    </row>
    <row r="4012" spans="20:21" x14ac:dyDescent="0.25">
      <c r="T4012" s="98"/>
      <c r="U4012" s="99"/>
    </row>
    <row r="4013" spans="20:21" x14ac:dyDescent="0.25">
      <c r="T4013" s="98"/>
      <c r="U4013" s="99"/>
    </row>
    <row r="4014" spans="20:21" x14ac:dyDescent="0.25">
      <c r="T4014" s="98"/>
      <c r="U4014" s="99"/>
    </row>
    <row r="4015" spans="20:21" x14ac:dyDescent="0.25">
      <c r="T4015" s="98"/>
      <c r="U4015" s="99"/>
    </row>
    <row r="4016" spans="20:21" x14ac:dyDescent="0.25">
      <c r="T4016" s="98"/>
      <c r="U4016" s="99"/>
    </row>
    <row r="4017" spans="20:21" x14ac:dyDescent="0.25">
      <c r="T4017" s="98"/>
      <c r="U4017" s="99"/>
    </row>
    <row r="4018" spans="20:21" x14ac:dyDescent="0.25">
      <c r="T4018" s="98"/>
      <c r="U4018" s="99"/>
    </row>
    <row r="4019" spans="20:21" x14ac:dyDescent="0.25">
      <c r="T4019" s="98"/>
      <c r="U4019" s="99"/>
    </row>
    <row r="4020" spans="20:21" x14ac:dyDescent="0.25">
      <c r="T4020" s="98"/>
      <c r="U4020" s="99"/>
    </row>
    <row r="4021" spans="20:21" x14ac:dyDescent="0.25">
      <c r="T4021" s="98"/>
      <c r="U4021" s="99"/>
    </row>
    <row r="4022" spans="20:21" x14ac:dyDescent="0.25">
      <c r="T4022" s="98"/>
      <c r="U4022" s="99"/>
    </row>
    <row r="4023" spans="20:21" x14ac:dyDescent="0.25">
      <c r="T4023" s="98"/>
      <c r="U4023" s="99"/>
    </row>
    <row r="4024" spans="20:21" x14ac:dyDescent="0.25">
      <c r="T4024" s="98"/>
      <c r="U4024" s="99"/>
    </row>
    <row r="4025" spans="20:21" x14ac:dyDescent="0.25">
      <c r="T4025" s="98"/>
      <c r="U4025" s="99"/>
    </row>
    <row r="4026" spans="20:21" x14ac:dyDescent="0.25">
      <c r="T4026" s="98"/>
      <c r="U4026" s="99"/>
    </row>
    <row r="4027" spans="20:21" x14ac:dyDescent="0.25">
      <c r="T4027" s="98"/>
      <c r="U4027" s="99"/>
    </row>
    <row r="4028" spans="20:21" x14ac:dyDescent="0.25">
      <c r="T4028" s="98"/>
      <c r="U4028" s="99"/>
    </row>
    <row r="4029" spans="20:21" x14ac:dyDescent="0.25">
      <c r="T4029" s="98"/>
      <c r="U4029" s="99"/>
    </row>
    <row r="4030" spans="20:21" x14ac:dyDescent="0.25">
      <c r="T4030" s="98"/>
      <c r="U4030" s="99"/>
    </row>
    <row r="4031" spans="20:21" x14ac:dyDescent="0.25">
      <c r="T4031" s="98"/>
      <c r="U4031" s="99"/>
    </row>
    <row r="4032" spans="20:21" x14ac:dyDescent="0.25">
      <c r="T4032" s="98"/>
      <c r="U4032" s="99"/>
    </row>
    <row r="4033" spans="20:21" x14ac:dyDescent="0.25">
      <c r="T4033" s="98"/>
      <c r="U4033" s="99"/>
    </row>
    <row r="4034" spans="20:21" x14ac:dyDescent="0.25">
      <c r="T4034" s="98"/>
      <c r="U4034" s="99"/>
    </row>
    <row r="4035" spans="20:21" x14ac:dyDescent="0.25">
      <c r="T4035" s="98"/>
      <c r="U4035" s="99"/>
    </row>
    <row r="4036" spans="20:21" x14ac:dyDescent="0.25">
      <c r="T4036" s="98"/>
      <c r="U4036" s="99"/>
    </row>
    <row r="4037" spans="20:21" x14ac:dyDescent="0.25">
      <c r="T4037" s="98"/>
      <c r="U4037" s="99"/>
    </row>
    <row r="4038" spans="20:21" x14ac:dyDescent="0.25">
      <c r="T4038" s="98"/>
      <c r="U4038" s="99"/>
    </row>
    <row r="4039" spans="20:21" x14ac:dyDescent="0.25">
      <c r="T4039" s="98"/>
      <c r="U4039" s="99"/>
    </row>
    <row r="4040" spans="20:21" x14ac:dyDescent="0.25">
      <c r="T4040" s="98"/>
      <c r="U4040" s="99"/>
    </row>
    <row r="4041" spans="20:21" x14ac:dyDescent="0.25">
      <c r="T4041" s="98"/>
      <c r="U4041" s="99"/>
    </row>
    <row r="4042" spans="20:21" x14ac:dyDescent="0.25">
      <c r="T4042" s="98"/>
      <c r="U4042" s="99"/>
    </row>
    <row r="4043" spans="20:21" x14ac:dyDescent="0.25">
      <c r="T4043" s="98"/>
      <c r="U4043" s="99"/>
    </row>
    <row r="4044" spans="20:21" x14ac:dyDescent="0.25">
      <c r="T4044" s="98"/>
      <c r="U4044" s="99"/>
    </row>
    <row r="4045" spans="20:21" x14ac:dyDescent="0.25">
      <c r="T4045" s="98"/>
      <c r="U4045" s="99"/>
    </row>
    <row r="4046" spans="20:21" x14ac:dyDescent="0.25">
      <c r="T4046" s="98"/>
      <c r="U4046" s="99"/>
    </row>
    <row r="4047" spans="20:21" x14ac:dyDescent="0.25">
      <c r="T4047" s="98"/>
      <c r="U4047" s="99"/>
    </row>
    <row r="4048" spans="20:21" x14ac:dyDescent="0.25">
      <c r="T4048" s="98"/>
      <c r="U4048" s="99"/>
    </row>
    <row r="4049" spans="20:21" x14ac:dyDescent="0.25">
      <c r="T4049" s="98"/>
      <c r="U4049" s="99"/>
    </row>
    <row r="4050" spans="20:21" x14ac:dyDescent="0.25">
      <c r="T4050" s="98"/>
      <c r="U4050" s="99"/>
    </row>
    <row r="4051" spans="20:21" x14ac:dyDescent="0.25">
      <c r="T4051" s="98"/>
      <c r="U4051" s="99"/>
    </row>
    <row r="4052" spans="20:21" x14ac:dyDescent="0.25">
      <c r="T4052" s="98"/>
      <c r="U4052" s="99"/>
    </row>
    <row r="4053" spans="20:21" x14ac:dyDescent="0.25">
      <c r="T4053" s="98"/>
      <c r="U4053" s="99"/>
    </row>
    <row r="4054" spans="20:21" x14ac:dyDescent="0.25">
      <c r="T4054" s="98"/>
      <c r="U4054" s="99"/>
    </row>
    <row r="4055" spans="20:21" x14ac:dyDescent="0.25">
      <c r="T4055" s="98"/>
      <c r="U4055" s="99"/>
    </row>
    <row r="4056" spans="20:21" x14ac:dyDescent="0.25">
      <c r="T4056" s="98"/>
      <c r="U4056" s="99"/>
    </row>
    <row r="4057" spans="20:21" x14ac:dyDescent="0.25">
      <c r="T4057" s="98"/>
      <c r="U4057" s="99"/>
    </row>
    <row r="4058" spans="20:21" x14ac:dyDescent="0.25">
      <c r="T4058" s="98"/>
      <c r="U4058" s="99"/>
    </row>
    <row r="4059" spans="20:21" x14ac:dyDescent="0.25">
      <c r="T4059" s="98"/>
      <c r="U4059" s="99"/>
    </row>
    <row r="4060" spans="20:21" x14ac:dyDescent="0.25">
      <c r="T4060" s="98"/>
      <c r="U4060" s="99"/>
    </row>
    <row r="4061" spans="20:21" x14ac:dyDescent="0.25">
      <c r="T4061" s="98"/>
      <c r="U4061" s="99"/>
    </row>
    <row r="4062" spans="20:21" x14ac:dyDescent="0.25">
      <c r="T4062" s="98"/>
      <c r="U4062" s="99"/>
    </row>
    <row r="4063" spans="20:21" x14ac:dyDescent="0.25">
      <c r="T4063" s="98"/>
      <c r="U4063" s="99"/>
    </row>
    <row r="4064" spans="20:21" x14ac:dyDescent="0.25">
      <c r="T4064" s="98"/>
      <c r="U4064" s="99"/>
    </row>
    <row r="4065" spans="20:21" x14ac:dyDescent="0.25">
      <c r="T4065" s="98"/>
      <c r="U4065" s="99"/>
    </row>
    <row r="4066" spans="20:21" x14ac:dyDescent="0.25">
      <c r="T4066" s="98"/>
      <c r="U4066" s="99"/>
    </row>
    <row r="4067" spans="20:21" x14ac:dyDescent="0.25">
      <c r="T4067" s="98"/>
      <c r="U4067" s="99"/>
    </row>
    <row r="4068" spans="20:21" x14ac:dyDescent="0.25">
      <c r="T4068" s="98"/>
      <c r="U4068" s="99"/>
    </row>
    <row r="4069" spans="20:21" x14ac:dyDescent="0.25">
      <c r="T4069" s="98"/>
      <c r="U4069" s="99"/>
    </row>
    <row r="4070" spans="20:21" x14ac:dyDescent="0.25">
      <c r="T4070" s="98"/>
      <c r="U4070" s="99"/>
    </row>
    <row r="4071" spans="20:21" x14ac:dyDescent="0.25">
      <c r="T4071" s="98"/>
      <c r="U4071" s="99"/>
    </row>
    <row r="4072" spans="20:21" x14ac:dyDescent="0.25">
      <c r="T4072" s="98"/>
      <c r="U4072" s="99"/>
    </row>
    <row r="4073" spans="20:21" x14ac:dyDescent="0.25">
      <c r="T4073" s="98"/>
      <c r="U4073" s="99"/>
    </row>
    <row r="4074" spans="20:21" x14ac:dyDescent="0.25">
      <c r="T4074" s="98"/>
      <c r="U4074" s="99"/>
    </row>
    <row r="4075" spans="20:21" x14ac:dyDescent="0.25">
      <c r="T4075" s="98"/>
      <c r="U4075" s="99"/>
    </row>
    <row r="4076" spans="20:21" x14ac:dyDescent="0.25">
      <c r="T4076" s="98"/>
      <c r="U4076" s="99"/>
    </row>
    <row r="4077" spans="20:21" x14ac:dyDescent="0.25">
      <c r="T4077" s="98"/>
      <c r="U4077" s="99"/>
    </row>
    <row r="4078" spans="20:21" x14ac:dyDescent="0.25">
      <c r="T4078" s="98"/>
      <c r="U4078" s="99"/>
    </row>
    <row r="4079" spans="20:21" x14ac:dyDescent="0.25">
      <c r="T4079" s="98"/>
      <c r="U4079" s="99"/>
    </row>
    <row r="4080" spans="20:21" x14ac:dyDescent="0.25">
      <c r="T4080" s="98"/>
      <c r="U4080" s="99"/>
    </row>
    <row r="4081" spans="20:21" x14ac:dyDescent="0.25">
      <c r="T4081" s="98"/>
      <c r="U4081" s="99"/>
    </row>
    <row r="4082" spans="20:21" x14ac:dyDescent="0.25">
      <c r="T4082" s="98"/>
      <c r="U4082" s="99"/>
    </row>
    <row r="4083" spans="20:21" x14ac:dyDescent="0.25">
      <c r="T4083" s="98"/>
      <c r="U4083" s="99"/>
    </row>
    <row r="4084" spans="20:21" x14ac:dyDescent="0.25">
      <c r="T4084" s="98"/>
      <c r="U4084" s="99"/>
    </row>
    <row r="4085" spans="20:21" x14ac:dyDescent="0.25">
      <c r="T4085" s="98"/>
      <c r="U4085" s="99"/>
    </row>
    <row r="4086" spans="20:21" x14ac:dyDescent="0.25">
      <c r="T4086" s="98"/>
      <c r="U4086" s="99"/>
    </row>
    <row r="4087" spans="20:21" x14ac:dyDescent="0.25">
      <c r="T4087" s="98"/>
      <c r="U4087" s="99"/>
    </row>
    <row r="4088" spans="20:21" x14ac:dyDescent="0.25">
      <c r="T4088" s="98"/>
      <c r="U4088" s="99"/>
    </row>
    <row r="4089" spans="20:21" x14ac:dyDescent="0.25">
      <c r="T4089" s="98"/>
      <c r="U4089" s="99"/>
    </row>
    <row r="4090" spans="20:21" x14ac:dyDescent="0.25">
      <c r="T4090" s="98"/>
      <c r="U4090" s="99"/>
    </row>
    <row r="4091" spans="20:21" x14ac:dyDescent="0.25">
      <c r="T4091" s="98"/>
      <c r="U4091" s="99"/>
    </row>
    <row r="4092" spans="20:21" x14ac:dyDescent="0.25">
      <c r="T4092" s="98"/>
      <c r="U4092" s="99"/>
    </row>
    <row r="4093" spans="20:21" x14ac:dyDescent="0.25">
      <c r="T4093" s="98"/>
      <c r="U4093" s="99"/>
    </row>
    <row r="4094" spans="20:21" x14ac:dyDescent="0.25">
      <c r="T4094" s="98"/>
      <c r="U4094" s="99"/>
    </row>
    <row r="4095" spans="20:21" x14ac:dyDescent="0.25">
      <c r="T4095" s="98"/>
      <c r="U4095" s="99"/>
    </row>
    <row r="4096" spans="20:21" x14ac:dyDescent="0.25">
      <c r="T4096" s="98"/>
      <c r="U4096" s="99"/>
    </row>
    <row r="4097" spans="20:21" x14ac:dyDescent="0.25">
      <c r="T4097" s="98"/>
      <c r="U4097" s="99"/>
    </row>
    <row r="4098" spans="20:21" x14ac:dyDescent="0.25">
      <c r="T4098" s="98"/>
      <c r="U4098" s="99"/>
    </row>
    <row r="4099" spans="20:21" x14ac:dyDescent="0.25">
      <c r="T4099" s="98"/>
      <c r="U4099" s="99"/>
    </row>
    <row r="4100" spans="20:21" x14ac:dyDescent="0.25">
      <c r="T4100" s="98"/>
      <c r="U4100" s="99"/>
    </row>
    <row r="4101" spans="20:21" x14ac:dyDescent="0.25">
      <c r="T4101" s="98"/>
      <c r="U4101" s="99"/>
    </row>
    <row r="4102" spans="20:21" x14ac:dyDescent="0.25">
      <c r="T4102" s="98"/>
      <c r="U4102" s="99"/>
    </row>
    <row r="4103" spans="20:21" x14ac:dyDescent="0.25">
      <c r="T4103" s="98"/>
      <c r="U4103" s="99"/>
    </row>
    <row r="4104" spans="20:21" x14ac:dyDescent="0.25">
      <c r="T4104" s="98"/>
      <c r="U4104" s="99"/>
    </row>
    <row r="4105" spans="20:21" x14ac:dyDescent="0.25">
      <c r="T4105" s="98"/>
      <c r="U4105" s="99"/>
    </row>
    <row r="4106" spans="20:21" x14ac:dyDescent="0.25">
      <c r="T4106" s="98"/>
      <c r="U4106" s="99"/>
    </row>
    <row r="4107" spans="20:21" x14ac:dyDescent="0.25">
      <c r="T4107" s="98"/>
      <c r="U4107" s="99"/>
    </row>
    <row r="4108" spans="20:21" x14ac:dyDescent="0.25">
      <c r="T4108" s="98"/>
      <c r="U4108" s="99"/>
    </row>
    <row r="4109" spans="20:21" x14ac:dyDescent="0.25">
      <c r="T4109" s="98"/>
      <c r="U4109" s="99"/>
    </row>
    <row r="4110" spans="20:21" x14ac:dyDescent="0.25">
      <c r="T4110" s="98"/>
      <c r="U4110" s="99"/>
    </row>
    <row r="4111" spans="20:21" x14ac:dyDescent="0.25">
      <c r="T4111" s="98"/>
      <c r="U4111" s="99"/>
    </row>
    <row r="4112" spans="20:21" x14ac:dyDescent="0.25">
      <c r="T4112" s="98"/>
      <c r="U4112" s="99"/>
    </row>
    <row r="4113" spans="20:21" x14ac:dyDescent="0.25">
      <c r="T4113" s="98"/>
      <c r="U4113" s="99"/>
    </row>
    <row r="4114" spans="20:21" x14ac:dyDescent="0.25">
      <c r="T4114" s="98"/>
      <c r="U4114" s="99"/>
    </row>
    <row r="4115" spans="20:21" x14ac:dyDescent="0.25">
      <c r="T4115" s="98"/>
      <c r="U4115" s="99"/>
    </row>
    <row r="4116" spans="20:21" x14ac:dyDescent="0.25">
      <c r="T4116" s="98"/>
      <c r="U4116" s="99"/>
    </row>
    <row r="4117" spans="20:21" x14ac:dyDescent="0.25">
      <c r="T4117" s="98"/>
      <c r="U4117" s="99"/>
    </row>
    <row r="4118" spans="20:21" x14ac:dyDescent="0.25">
      <c r="T4118" s="98"/>
      <c r="U4118" s="99"/>
    </row>
    <row r="4119" spans="20:21" x14ac:dyDescent="0.25">
      <c r="T4119" s="98"/>
      <c r="U4119" s="99"/>
    </row>
    <row r="4120" spans="20:21" x14ac:dyDescent="0.25">
      <c r="T4120" s="98"/>
      <c r="U4120" s="99"/>
    </row>
    <row r="4121" spans="20:21" x14ac:dyDescent="0.25">
      <c r="T4121" s="98"/>
      <c r="U4121" s="99"/>
    </row>
    <row r="4122" spans="20:21" x14ac:dyDescent="0.25">
      <c r="T4122" s="98"/>
      <c r="U4122" s="99"/>
    </row>
    <row r="4123" spans="20:21" x14ac:dyDescent="0.25">
      <c r="T4123" s="98"/>
      <c r="U4123" s="99"/>
    </row>
    <row r="4124" spans="20:21" x14ac:dyDescent="0.25">
      <c r="T4124" s="98"/>
      <c r="U4124" s="99"/>
    </row>
    <row r="4125" spans="20:21" x14ac:dyDescent="0.25">
      <c r="T4125" s="98"/>
      <c r="U4125" s="99"/>
    </row>
    <row r="4126" spans="20:21" x14ac:dyDescent="0.25">
      <c r="T4126" s="98"/>
      <c r="U4126" s="99"/>
    </row>
    <row r="4127" spans="20:21" x14ac:dyDescent="0.25">
      <c r="T4127" s="98"/>
      <c r="U4127" s="99"/>
    </row>
    <row r="4128" spans="20:21" x14ac:dyDescent="0.25">
      <c r="T4128" s="98"/>
      <c r="U4128" s="99"/>
    </row>
    <row r="4129" spans="20:21" x14ac:dyDescent="0.25">
      <c r="T4129" s="98"/>
      <c r="U4129" s="99"/>
    </row>
    <row r="4130" spans="20:21" x14ac:dyDescent="0.25">
      <c r="T4130" s="98"/>
      <c r="U4130" s="99"/>
    </row>
    <row r="4131" spans="20:21" x14ac:dyDescent="0.25">
      <c r="T4131" s="98"/>
      <c r="U4131" s="99"/>
    </row>
    <row r="4132" spans="20:21" x14ac:dyDescent="0.25">
      <c r="T4132" s="98"/>
      <c r="U4132" s="99"/>
    </row>
    <row r="4133" spans="20:21" x14ac:dyDescent="0.25">
      <c r="T4133" s="98"/>
      <c r="U4133" s="99"/>
    </row>
    <row r="4134" spans="20:21" x14ac:dyDescent="0.25">
      <c r="T4134" s="98"/>
      <c r="U4134" s="99"/>
    </row>
    <row r="4135" spans="20:21" x14ac:dyDescent="0.25">
      <c r="T4135" s="98"/>
      <c r="U4135" s="99"/>
    </row>
    <row r="4136" spans="20:21" x14ac:dyDescent="0.25">
      <c r="T4136" s="98"/>
      <c r="U4136" s="99"/>
    </row>
    <row r="4137" spans="20:21" x14ac:dyDescent="0.25">
      <c r="T4137" s="98"/>
      <c r="U4137" s="99"/>
    </row>
    <row r="4138" spans="20:21" x14ac:dyDescent="0.25">
      <c r="T4138" s="98"/>
      <c r="U4138" s="99"/>
    </row>
    <row r="4139" spans="20:21" x14ac:dyDescent="0.25">
      <c r="T4139" s="98"/>
      <c r="U4139" s="99"/>
    </row>
    <row r="4140" spans="20:21" x14ac:dyDescent="0.25">
      <c r="T4140" s="98"/>
      <c r="U4140" s="99"/>
    </row>
    <row r="4141" spans="20:21" x14ac:dyDescent="0.25">
      <c r="T4141" s="98"/>
      <c r="U4141" s="99"/>
    </row>
    <row r="4142" spans="20:21" x14ac:dyDescent="0.25">
      <c r="T4142" s="98"/>
      <c r="U4142" s="99"/>
    </row>
    <row r="4143" spans="20:21" x14ac:dyDescent="0.25">
      <c r="T4143" s="98"/>
      <c r="U4143" s="99"/>
    </row>
    <row r="4144" spans="20:21" x14ac:dyDescent="0.25">
      <c r="T4144" s="98"/>
      <c r="U4144" s="99"/>
    </row>
    <row r="4145" spans="20:21" x14ac:dyDescent="0.25">
      <c r="T4145" s="98"/>
      <c r="U4145" s="99"/>
    </row>
    <row r="4146" spans="20:21" x14ac:dyDescent="0.25">
      <c r="T4146" s="98"/>
      <c r="U4146" s="99"/>
    </row>
    <row r="4147" spans="20:21" x14ac:dyDescent="0.25">
      <c r="T4147" s="98"/>
      <c r="U4147" s="99"/>
    </row>
    <row r="4148" spans="20:21" x14ac:dyDescent="0.25">
      <c r="T4148" s="98"/>
      <c r="U4148" s="99"/>
    </row>
    <row r="4149" spans="20:21" x14ac:dyDescent="0.25">
      <c r="T4149" s="98"/>
      <c r="U4149" s="99"/>
    </row>
    <row r="4150" spans="20:21" x14ac:dyDescent="0.25">
      <c r="T4150" s="98"/>
      <c r="U4150" s="99"/>
    </row>
    <row r="4151" spans="20:21" x14ac:dyDescent="0.25">
      <c r="T4151" s="98"/>
      <c r="U4151" s="99"/>
    </row>
    <row r="4152" spans="20:21" x14ac:dyDescent="0.25">
      <c r="T4152" s="98"/>
      <c r="U4152" s="99"/>
    </row>
    <row r="4153" spans="20:21" x14ac:dyDescent="0.25">
      <c r="T4153" s="98"/>
      <c r="U4153" s="99"/>
    </row>
    <row r="4154" spans="20:21" x14ac:dyDescent="0.25">
      <c r="T4154" s="98"/>
      <c r="U4154" s="99"/>
    </row>
    <row r="4155" spans="20:21" x14ac:dyDescent="0.25">
      <c r="T4155" s="98"/>
      <c r="U4155" s="99"/>
    </row>
    <row r="4156" spans="20:21" x14ac:dyDescent="0.25">
      <c r="T4156" s="98"/>
      <c r="U4156" s="99"/>
    </row>
    <row r="4157" spans="20:21" x14ac:dyDescent="0.25">
      <c r="T4157" s="98"/>
      <c r="U4157" s="99"/>
    </row>
    <row r="4158" spans="20:21" x14ac:dyDescent="0.25">
      <c r="T4158" s="98"/>
      <c r="U4158" s="99"/>
    </row>
    <row r="4159" spans="20:21" x14ac:dyDescent="0.25">
      <c r="T4159" s="98"/>
      <c r="U4159" s="99"/>
    </row>
    <row r="4160" spans="20:21" x14ac:dyDescent="0.25">
      <c r="T4160" s="98"/>
      <c r="U4160" s="99"/>
    </row>
    <row r="4161" spans="20:21" x14ac:dyDescent="0.25">
      <c r="T4161" s="98"/>
      <c r="U4161" s="99"/>
    </row>
    <row r="4162" spans="20:21" x14ac:dyDescent="0.25">
      <c r="T4162" s="98"/>
      <c r="U4162" s="99"/>
    </row>
    <row r="4163" spans="20:21" x14ac:dyDescent="0.25">
      <c r="T4163" s="98"/>
      <c r="U4163" s="99"/>
    </row>
    <row r="4164" spans="20:21" x14ac:dyDescent="0.25">
      <c r="T4164" s="98"/>
      <c r="U4164" s="99"/>
    </row>
    <row r="4165" spans="20:21" x14ac:dyDescent="0.25">
      <c r="T4165" s="98"/>
      <c r="U4165" s="99"/>
    </row>
    <row r="4166" spans="20:21" x14ac:dyDescent="0.25">
      <c r="T4166" s="98"/>
      <c r="U4166" s="99"/>
    </row>
    <row r="4167" spans="20:21" x14ac:dyDescent="0.25">
      <c r="T4167" s="98"/>
      <c r="U4167" s="99"/>
    </row>
    <row r="4168" spans="20:21" x14ac:dyDescent="0.25">
      <c r="T4168" s="98"/>
      <c r="U4168" s="99"/>
    </row>
    <row r="4169" spans="20:21" x14ac:dyDescent="0.25">
      <c r="T4169" s="98"/>
      <c r="U4169" s="99"/>
    </row>
    <row r="4170" spans="20:21" x14ac:dyDescent="0.25">
      <c r="T4170" s="98"/>
      <c r="U4170" s="99"/>
    </row>
    <row r="4171" spans="20:21" x14ac:dyDescent="0.25">
      <c r="T4171" s="98"/>
      <c r="U4171" s="99"/>
    </row>
    <row r="4172" spans="20:21" x14ac:dyDescent="0.25">
      <c r="T4172" s="98"/>
      <c r="U4172" s="99"/>
    </row>
    <row r="4173" spans="20:21" x14ac:dyDescent="0.25">
      <c r="T4173" s="98"/>
      <c r="U4173" s="99"/>
    </row>
    <row r="4174" spans="20:21" x14ac:dyDescent="0.25">
      <c r="T4174" s="98"/>
      <c r="U4174" s="99"/>
    </row>
    <row r="4175" spans="20:21" x14ac:dyDescent="0.25">
      <c r="T4175" s="98"/>
      <c r="U4175" s="99"/>
    </row>
    <row r="4176" spans="20:21" x14ac:dyDescent="0.25">
      <c r="T4176" s="98"/>
      <c r="U4176" s="99"/>
    </row>
    <row r="4177" spans="20:21" x14ac:dyDescent="0.25">
      <c r="T4177" s="98"/>
      <c r="U4177" s="99"/>
    </row>
    <row r="4178" spans="20:21" x14ac:dyDescent="0.25">
      <c r="T4178" s="98"/>
      <c r="U4178" s="99"/>
    </row>
    <row r="4179" spans="20:21" x14ac:dyDescent="0.25">
      <c r="T4179" s="98"/>
      <c r="U4179" s="99"/>
    </row>
    <row r="4180" spans="20:21" x14ac:dyDescent="0.25">
      <c r="T4180" s="98"/>
      <c r="U4180" s="99"/>
    </row>
    <row r="4181" spans="20:21" x14ac:dyDescent="0.25">
      <c r="T4181" s="98"/>
      <c r="U4181" s="99"/>
    </row>
    <row r="4182" spans="20:21" x14ac:dyDescent="0.25">
      <c r="T4182" s="98"/>
      <c r="U4182" s="99"/>
    </row>
    <row r="4183" spans="20:21" x14ac:dyDescent="0.25">
      <c r="T4183" s="98"/>
      <c r="U4183" s="99"/>
    </row>
    <row r="4184" spans="20:21" x14ac:dyDescent="0.25">
      <c r="T4184" s="98"/>
      <c r="U4184" s="99"/>
    </row>
    <row r="4185" spans="20:21" x14ac:dyDescent="0.25">
      <c r="T4185" s="98"/>
      <c r="U4185" s="99"/>
    </row>
    <row r="4186" spans="20:21" x14ac:dyDescent="0.25">
      <c r="T4186" s="98"/>
      <c r="U4186" s="99"/>
    </row>
    <row r="4187" spans="20:21" x14ac:dyDescent="0.25">
      <c r="T4187" s="98"/>
      <c r="U4187" s="99"/>
    </row>
    <row r="4188" spans="20:21" x14ac:dyDescent="0.25">
      <c r="T4188" s="98"/>
      <c r="U4188" s="99"/>
    </row>
    <row r="4189" spans="20:21" x14ac:dyDescent="0.25">
      <c r="T4189" s="98"/>
      <c r="U4189" s="99"/>
    </row>
    <row r="4190" spans="20:21" x14ac:dyDescent="0.25">
      <c r="T4190" s="98"/>
      <c r="U4190" s="99"/>
    </row>
    <row r="4191" spans="20:21" x14ac:dyDescent="0.25">
      <c r="T4191" s="98"/>
      <c r="U4191" s="99"/>
    </row>
    <row r="4192" spans="20:21" x14ac:dyDescent="0.25">
      <c r="T4192" s="98"/>
      <c r="U4192" s="99"/>
    </row>
    <row r="4193" spans="20:21" x14ac:dyDescent="0.25">
      <c r="T4193" s="98"/>
      <c r="U4193" s="99"/>
    </row>
    <row r="4194" spans="20:21" x14ac:dyDescent="0.25">
      <c r="T4194" s="98"/>
      <c r="U4194" s="99"/>
    </row>
    <row r="4195" spans="20:21" x14ac:dyDescent="0.25">
      <c r="T4195" s="98"/>
      <c r="U4195" s="99"/>
    </row>
    <row r="4196" spans="20:21" x14ac:dyDescent="0.25">
      <c r="T4196" s="98"/>
      <c r="U4196" s="99"/>
    </row>
    <row r="4197" spans="20:21" x14ac:dyDescent="0.25">
      <c r="T4197" s="98"/>
      <c r="U4197" s="99"/>
    </row>
    <row r="4198" spans="20:21" x14ac:dyDescent="0.25">
      <c r="T4198" s="98"/>
      <c r="U4198" s="99"/>
    </row>
    <row r="4199" spans="20:21" x14ac:dyDescent="0.25">
      <c r="T4199" s="98"/>
      <c r="U4199" s="99"/>
    </row>
    <row r="4200" spans="20:21" x14ac:dyDescent="0.25">
      <c r="T4200" s="98"/>
      <c r="U4200" s="99"/>
    </row>
    <row r="4201" spans="20:21" x14ac:dyDescent="0.25">
      <c r="T4201" s="98"/>
      <c r="U4201" s="99"/>
    </row>
    <row r="4202" spans="20:21" x14ac:dyDescent="0.25">
      <c r="T4202" s="98"/>
      <c r="U4202" s="99"/>
    </row>
    <row r="4203" spans="20:21" x14ac:dyDescent="0.25">
      <c r="T4203" s="98"/>
      <c r="U4203" s="99"/>
    </row>
    <row r="4204" spans="20:21" x14ac:dyDescent="0.25">
      <c r="T4204" s="98"/>
      <c r="U4204" s="99"/>
    </row>
    <row r="4205" spans="20:21" x14ac:dyDescent="0.25">
      <c r="T4205" s="98"/>
      <c r="U4205" s="99"/>
    </row>
    <row r="4206" spans="20:21" x14ac:dyDescent="0.25">
      <c r="T4206" s="98"/>
      <c r="U4206" s="99"/>
    </row>
    <row r="4207" spans="20:21" x14ac:dyDescent="0.25">
      <c r="T4207" s="98"/>
      <c r="U4207" s="99"/>
    </row>
    <row r="4208" spans="20:21" x14ac:dyDescent="0.25">
      <c r="T4208" s="98"/>
      <c r="U4208" s="99"/>
    </row>
    <row r="4209" spans="20:21" x14ac:dyDescent="0.25">
      <c r="T4209" s="98"/>
      <c r="U4209" s="99"/>
    </row>
    <row r="4210" spans="20:21" x14ac:dyDescent="0.25">
      <c r="T4210" s="98"/>
      <c r="U4210" s="99"/>
    </row>
    <row r="4211" spans="20:21" x14ac:dyDescent="0.25">
      <c r="T4211" s="98"/>
      <c r="U4211" s="99"/>
    </row>
    <row r="4212" spans="20:21" x14ac:dyDescent="0.25">
      <c r="T4212" s="98"/>
      <c r="U4212" s="99"/>
    </row>
    <row r="4213" spans="20:21" x14ac:dyDescent="0.25">
      <c r="T4213" s="98"/>
      <c r="U4213" s="99"/>
    </row>
    <row r="4214" spans="20:21" x14ac:dyDescent="0.25">
      <c r="T4214" s="98"/>
      <c r="U4214" s="99"/>
    </row>
    <row r="4215" spans="20:21" x14ac:dyDescent="0.25">
      <c r="T4215" s="98"/>
      <c r="U4215" s="99"/>
    </row>
    <row r="4216" spans="20:21" x14ac:dyDescent="0.25">
      <c r="T4216" s="98"/>
      <c r="U4216" s="99"/>
    </row>
    <row r="4217" spans="20:21" x14ac:dyDescent="0.25">
      <c r="T4217" s="98"/>
      <c r="U4217" s="99"/>
    </row>
    <row r="4218" spans="20:21" x14ac:dyDescent="0.25">
      <c r="T4218" s="98"/>
      <c r="U4218" s="99"/>
    </row>
    <row r="4219" spans="20:21" x14ac:dyDescent="0.25">
      <c r="T4219" s="98"/>
      <c r="U4219" s="99"/>
    </row>
    <row r="4220" spans="20:21" x14ac:dyDescent="0.25">
      <c r="T4220" s="98"/>
      <c r="U4220" s="99"/>
    </row>
    <row r="4221" spans="20:21" x14ac:dyDescent="0.25">
      <c r="T4221" s="98"/>
      <c r="U4221" s="99"/>
    </row>
    <row r="4222" spans="20:21" x14ac:dyDescent="0.25">
      <c r="T4222" s="98"/>
      <c r="U4222" s="99"/>
    </row>
    <row r="4223" spans="20:21" x14ac:dyDescent="0.25">
      <c r="T4223" s="98"/>
      <c r="U4223" s="99"/>
    </row>
    <row r="4224" spans="20:21" x14ac:dyDescent="0.25">
      <c r="T4224" s="98"/>
      <c r="U4224" s="99"/>
    </row>
    <row r="4225" spans="20:21" x14ac:dyDescent="0.25">
      <c r="T4225" s="98"/>
      <c r="U4225" s="99"/>
    </row>
    <row r="4226" spans="20:21" x14ac:dyDescent="0.25">
      <c r="T4226" s="98"/>
      <c r="U4226" s="99"/>
    </row>
    <row r="4227" spans="20:21" x14ac:dyDescent="0.25">
      <c r="T4227" s="98"/>
      <c r="U4227" s="99"/>
    </row>
    <row r="4228" spans="20:21" x14ac:dyDescent="0.25">
      <c r="T4228" s="98"/>
      <c r="U4228" s="99"/>
    </row>
    <row r="4229" spans="20:21" x14ac:dyDescent="0.25">
      <c r="T4229" s="98"/>
      <c r="U4229" s="99"/>
    </row>
    <row r="4230" spans="20:21" x14ac:dyDescent="0.25">
      <c r="T4230" s="98"/>
      <c r="U4230" s="99"/>
    </row>
    <row r="4231" spans="20:21" x14ac:dyDescent="0.25">
      <c r="T4231" s="98"/>
      <c r="U4231" s="99"/>
    </row>
    <row r="4232" spans="20:21" x14ac:dyDescent="0.25">
      <c r="T4232" s="98"/>
      <c r="U4232" s="99"/>
    </row>
    <row r="4233" spans="20:21" x14ac:dyDescent="0.25">
      <c r="T4233" s="98"/>
      <c r="U4233" s="99"/>
    </row>
    <row r="4234" spans="20:21" x14ac:dyDescent="0.25">
      <c r="T4234" s="98"/>
      <c r="U4234" s="99"/>
    </row>
    <row r="4235" spans="20:21" x14ac:dyDescent="0.25">
      <c r="T4235" s="98"/>
      <c r="U4235" s="99"/>
    </row>
    <row r="4236" spans="20:21" x14ac:dyDescent="0.25">
      <c r="T4236" s="98"/>
      <c r="U4236" s="99"/>
    </row>
    <row r="4237" spans="20:21" x14ac:dyDescent="0.25">
      <c r="T4237" s="98"/>
      <c r="U4237" s="99"/>
    </row>
    <row r="4238" spans="20:21" x14ac:dyDescent="0.25">
      <c r="T4238" s="98"/>
      <c r="U4238" s="99"/>
    </row>
    <row r="4239" spans="20:21" x14ac:dyDescent="0.25">
      <c r="T4239" s="98"/>
      <c r="U4239" s="99"/>
    </row>
    <row r="4240" spans="20:21" x14ac:dyDescent="0.25">
      <c r="T4240" s="98"/>
      <c r="U4240" s="99"/>
    </row>
    <row r="4241" spans="20:21" x14ac:dyDescent="0.25">
      <c r="T4241" s="98"/>
      <c r="U4241" s="99"/>
    </row>
    <row r="4242" spans="20:21" x14ac:dyDescent="0.25">
      <c r="T4242" s="98"/>
      <c r="U4242" s="99"/>
    </row>
    <row r="4243" spans="20:21" x14ac:dyDescent="0.25">
      <c r="T4243" s="98"/>
      <c r="U4243" s="99"/>
    </row>
    <row r="4244" spans="20:21" x14ac:dyDescent="0.25">
      <c r="T4244" s="98"/>
      <c r="U4244" s="99"/>
    </row>
    <row r="4245" spans="20:21" x14ac:dyDescent="0.25">
      <c r="T4245" s="98"/>
      <c r="U4245" s="99"/>
    </row>
    <row r="4246" spans="20:21" x14ac:dyDescent="0.25">
      <c r="T4246" s="98"/>
      <c r="U4246" s="99"/>
    </row>
    <row r="4247" spans="20:21" x14ac:dyDescent="0.25">
      <c r="T4247" s="98"/>
      <c r="U4247" s="99"/>
    </row>
    <row r="4248" spans="20:21" x14ac:dyDescent="0.25">
      <c r="T4248" s="98"/>
      <c r="U4248" s="99"/>
    </row>
    <row r="4249" spans="20:21" x14ac:dyDescent="0.25">
      <c r="T4249" s="98"/>
      <c r="U4249" s="99"/>
    </row>
    <row r="4250" spans="20:21" x14ac:dyDescent="0.25">
      <c r="T4250" s="98"/>
      <c r="U4250" s="99"/>
    </row>
    <row r="4251" spans="20:21" x14ac:dyDescent="0.25">
      <c r="T4251" s="98"/>
      <c r="U4251" s="99"/>
    </row>
    <row r="4252" spans="20:21" x14ac:dyDescent="0.25">
      <c r="T4252" s="98"/>
      <c r="U4252" s="99"/>
    </row>
    <row r="4253" spans="20:21" x14ac:dyDescent="0.25">
      <c r="T4253" s="98"/>
      <c r="U4253" s="99"/>
    </row>
    <row r="4254" spans="20:21" x14ac:dyDescent="0.25">
      <c r="T4254" s="98"/>
      <c r="U4254" s="99"/>
    </row>
    <row r="4255" spans="20:21" x14ac:dyDescent="0.25">
      <c r="T4255" s="98"/>
      <c r="U4255" s="99"/>
    </row>
    <row r="4256" spans="20:21" x14ac:dyDescent="0.25">
      <c r="T4256" s="98"/>
      <c r="U4256" s="99"/>
    </row>
    <row r="4257" spans="20:21" x14ac:dyDescent="0.25">
      <c r="T4257" s="98"/>
      <c r="U4257" s="99"/>
    </row>
    <row r="4258" spans="20:21" x14ac:dyDescent="0.25">
      <c r="T4258" s="98"/>
      <c r="U4258" s="99"/>
    </row>
    <row r="4259" spans="20:21" x14ac:dyDescent="0.25">
      <c r="T4259" s="98"/>
      <c r="U4259" s="99"/>
    </row>
    <row r="4260" spans="20:21" x14ac:dyDescent="0.25">
      <c r="T4260" s="98"/>
      <c r="U4260" s="99"/>
    </row>
    <row r="4261" spans="20:21" x14ac:dyDescent="0.25">
      <c r="T4261" s="98"/>
      <c r="U4261" s="99"/>
    </row>
    <row r="4262" spans="20:21" x14ac:dyDescent="0.25">
      <c r="T4262" s="98"/>
      <c r="U4262" s="99"/>
    </row>
    <row r="4263" spans="20:21" x14ac:dyDescent="0.25">
      <c r="T4263" s="98"/>
      <c r="U4263" s="99"/>
    </row>
    <row r="4264" spans="20:21" x14ac:dyDescent="0.25">
      <c r="T4264" s="98"/>
      <c r="U4264" s="99"/>
    </row>
    <row r="4265" spans="20:21" x14ac:dyDescent="0.25">
      <c r="T4265" s="98"/>
      <c r="U4265" s="99"/>
    </row>
    <row r="4266" spans="20:21" x14ac:dyDescent="0.25">
      <c r="T4266" s="98"/>
      <c r="U4266" s="99"/>
    </row>
    <row r="4267" spans="20:21" x14ac:dyDescent="0.25">
      <c r="T4267" s="98"/>
      <c r="U4267" s="99"/>
    </row>
    <row r="4268" spans="20:21" x14ac:dyDescent="0.25">
      <c r="T4268" s="98"/>
      <c r="U4268" s="99"/>
    </row>
    <row r="4269" spans="20:21" x14ac:dyDescent="0.25">
      <c r="T4269" s="98"/>
      <c r="U4269" s="99"/>
    </row>
    <row r="4270" spans="20:21" x14ac:dyDescent="0.25">
      <c r="T4270" s="98"/>
      <c r="U4270" s="99"/>
    </row>
    <row r="4271" spans="20:21" x14ac:dyDescent="0.25">
      <c r="T4271" s="98"/>
      <c r="U4271" s="99"/>
    </row>
    <row r="4272" spans="20:21" x14ac:dyDescent="0.25">
      <c r="T4272" s="98"/>
      <c r="U4272" s="99"/>
    </row>
    <row r="4273" spans="20:21" x14ac:dyDescent="0.25">
      <c r="T4273" s="98"/>
      <c r="U4273" s="99"/>
    </row>
    <row r="4274" spans="20:21" x14ac:dyDescent="0.25">
      <c r="T4274" s="98"/>
      <c r="U4274" s="99"/>
    </row>
    <row r="4275" spans="20:21" x14ac:dyDescent="0.25">
      <c r="T4275" s="98"/>
      <c r="U4275" s="99"/>
    </row>
    <row r="4276" spans="20:21" x14ac:dyDescent="0.25">
      <c r="T4276" s="98"/>
      <c r="U4276" s="99"/>
    </row>
    <row r="4277" spans="20:21" x14ac:dyDescent="0.25">
      <c r="T4277" s="98"/>
      <c r="U4277" s="99"/>
    </row>
    <row r="4278" spans="20:21" x14ac:dyDescent="0.25">
      <c r="T4278" s="98"/>
      <c r="U4278" s="99"/>
    </row>
    <row r="4279" spans="20:21" x14ac:dyDescent="0.25">
      <c r="T4279" s="98"/>
      <c r="U4279" s="99"/>
    </row>
    <row r="4280" spans="20:21" x14ac:dyDescent="0.25">
      <c r="T4280" s="98"/>
      <c r="U4280" s="99"/>
    </row>
    <row r="4281" spans="20:21" x14ac:dyDescent="0.25">
      <c r="T4281" s="98"/>
      <c r="U4281" s="99"/>
    </row>
    <row r="4282" spans="20:21" x14ac:dyDescent="0.25">
      <c r="T4282" s="98"/>
      <c r="U4282" s="99"/>
    </row>
    <row r="4283" spans="20:21" x14ac:dyDescent="0.25">
      <c r="T4283" s="98"/>
      <c r="U4283" s="99"/>
    </row>
    <row r="4284" spans="20:21" x14ac:dyDescent="0.25">
      <c r="T4284" s="98"/>
      <c r="U4284" s="99"/>
    </row>
    <row r="4285" spans="20:21" x14ac:dyDescent="0.25">
      <c r="T4285" s="98"/>
      <c r="U4285" s="99"/>
    </row>
    <row r="4286" spans="20:21" x14ac:dyDescent="0.25">
      <c r="T4286" s="98"/>
      <c r="U4286" s="99"/>
    </row>
    <row r="4287" spans="20:21" x14ac:dyDescent="0.25">
      <c r="T4287" s="98"/>
      <c r="U4287" s="99"/>
    </row>
    <row r="4288" spans="20:21" x14ac:dyDescent="0.25">
      <c r="T4288" s="98"/>
      <c r="U4288" s="99"/>
    </row>
    <row r="4289" spans="20:21" x14ac:dyDescent="0.25">
      <c r="T4289" s="98"/>
      <c r="U4289" s="99"/>
    </row>
    <row r="4290" spans="20:21" x14ac:dyDescent="0.25">
      <c r="T4290" s="98"/>
      <c r="U4290" s="99"/>
    </row>
    <row r="4291" spans="20:21" x14ac:dyDescent="0.25">
      <c r="T4291" s="98"/>
      <c r="U4291" s="99"/>
    </row>
    <row r="4292" spans="20:21" x14ac:dyDescent="0.25">
      <c r="T4292" s="98"/>
      <c r="U4292" s="99"/>
    </row>
    <row r="4293" spans="20:21" x14ac:dyDescent="0.25">
      <c r="T4293" s="98"/>
      <c r="U4293" s="99"/>
    </row>
    <row r="4294" spans="20:21" x14ac:dyDescent="0.25">
      <c r="T4294" s="98"/>
      <c r="U4294" s="99"/>
    </row>
    <row r="4295" spans="20:21" x14ac:dyDescent="0.25">
      <c r="T4295" s="98"/>
      <c r="U4295" s="99"/>
    </row>
    <row r="4296" spans="20:21" x14ac:dyDescent="0.25">
      <c r="T4296" s="98"/>
      <c r="U4296" s="99"/>
    </row>
    <row r="4297" spans="20:21" x14ac:dyDescent="0.25">
      <c r="T4297" s="98"/>
      <c r="U4297" s="99"/>
    </row>
    <row r="4298" spans="20:21" x14ac:dyDescent="0.25">
      <c r="T4298" s="98"/>
      <c r="U4298" s="99"/>
    </row>
    <row r="4299" spans="20:21" x14ac:dyDescent="0.25">
      <c r="T4299" s="98"/>
      <c r="U4299" s="99"/>
    </row>
    <row r="4300" spans="20:21" x14ac:dyDescent="0.25">
      <c r="T4300" s="98"/>
      <c r="U4300" s="99"/>
    </row>
    <row r="4301" spans="20:21" x14ac:dyDescent="0.25">
      <c r="T4301" s="98"/>
      <c r="U4301" s="99"/>
    </row>
    <row r="4302" spans="20:21" x14ac:dyDescent="0.25">
      <c r="T4302" s="98"/>
      <c r="U4302" s="99"/>
    </row>
    <row r="4303" spans="20:21" x14ac:dyDescent="0.25">
      <c r="T4303" s="98"/>
      <c r="U4303" s="99"/>
    </row>
    <row r="4304" spans="20:21" x14ac:dyDescent="0.25">
      <c r="T4304" s="98"/>
      <c r="U4304" s="99"/>
    </row>
    <row r="4305" spans="20:21" x14ac:dyDescent="0.25">
      <c r="T4305" s="98"/>
      <c r="U4305" s="99"/>
    </row>
    <row r="4306" spans="20:21" x14ac:dyDescent="0.25">
      <c r="T4306" s="98"/>
      <c r="U4306" s="99"/>
    </row>
    <row r="4307" spans="20:21" x14ac:dyDescent="0.25">
      <c r="T4307" s="98"/>
      <c r="U4307" s="99"/>
    </row>
    <row r="4308" spans="20:21" x14ac:dyDescent="0.25">
      <c r="T4308" s="98"/>
      <c r="U4308" s="99"/>
    </row>
    <row r="4309" spans="20:21" x14ac:dyDescent="0.25">
      <c r="T4309" s="98"/>
      <c r="U4309" s="99"/>
    </row>
    <row r="4310" spans="20:21" x14ac:dyDescent="0.25">
      <c r="T4310" s="98"/>
      <c r="U4310" s="99"/>
    </row>
    <row r="4311" spans="20:21" x14ac:dyDescent="0.25">
      <c r="T4311" s="98"/>
      <c r="U4311" s="99"/>
    </row>
    <row r="4312" spans="20:21" x14ac:dyDescent="0.25">
      <c r="T4312" s="98"/>
      <c r="U4312" s="99"/>
    </row>
    <row r="4313" spans="20:21" x14ac:dyDescent="0.25">
      <c r="T4313" s="98"/>
      <c r="U4313" s="99"/>
    </row>
    <row r="4314" spans="20:21" x14ac:dyDescent="0.25">
      <c r="T4314" s="98"/>
      <c r="U4314" s="99"/>
    </row>
    <row r="4315" spans="20:21" x14ac:dyDescent="0.25">
      <c r="T4315" s="98"/>
      <c r="U4315" s="99"/>
    </row>
    <row r="4316" spans="20:21" x14ac:dyDescent="0.25">
      <c r="T4316" s="98"/>
      <c r="U4316" s="99"/>
    </row>
    <row r="4317" spans="20:21" x14ac:dyDescent="0.25">
      <c r="T4317" s="98"/>
      <c r="U4317" s="99"/>
    </row>
    <row r="4318" spans="20:21" x14ac:dyDescent="0.25">
      <c r="T4318" s="98"/>
      <c r="U4318" s="99"/>
    </row>
    <row r="4319" spans="20:21" x14ac:dyDescent="0.25">
      <c r="T4319" s="98"/>
      <c r="U4319" s="99"/>
    </row>
    <row r="4320" spans="20:21" x14ac:dyDescent="0.25">
      <c r="T4320" s="98"/>
      <c r="U4320" s="99"/>
    </row>
    <row r="4321" spans="20:21" x14ac:dyDescent="0.25">
      <c r="T4321" s="98"/>
      <c r="U4321" s="99"/>
    </row>
    <row r="4322" spans="20:21" x14ac:dyDescent="0.25">
      <c r="T4322" s="98"/>
      <c r="U4322" s="99"/>
    </row>
    <row r="4323" spans="20:21" x14ac:dyDescent="0.25">
      <c r="T4323" s="98"/>
      <c r="U4323" s="99"/>
    </row>
    <row r="4324" spans="20:21" x14ac:dyDescent="0.25">
      <c r="T4324" s="98"/>
      <c r="U4324" s="99"/>
    </row>
    <row r="4325" spans="20:21" x14ac:dyDescent="0.25">
      <c r="T4325" s="98"/>
      <c r="U4325" s="99"/>
    </row>
    <row r="4326" spans="20:21" x14ac:dyDescent="0.25">
      <c r="T4326" s="98"/>
      <c r="U4326" s="99"/>
    </row>
    <row r="4327" spans="20:21" x14ac:dyDescent="0.25">
      <c r="T4327" s="98"/>
      <c r="U4327" s="99"/>
    </row>
    <row r="4328" spans="20:21" x14ac:dyDescent="0.25">
      <c r="T4328" s="98"/>
      <c r="U4328" s="99"/>
    </row>
    <row r="4329" spans="20:21" x14ac:dyDescent="0.25">
      <c r="T4329" s="98"/>
      <c r="U4329" s="99"/>
    </row>
    <row r="4330" spans="20:21" x14ac:dyDescent="0.25">
      <c r="T4330" s="98"/>
      <c r="U4330" s="99"/>
    </row>
    <row r="4331" spans="20:21" x14ac:dyDescent="0.25">
      <c r="T4331" s="98"/>
      <c r="U4331" s="99"/>
    </row>
    <row r="4332" spans="20:21" x14ac:dyDescent="0.25">
      <c r="T4332" s="98"/>
      <c r="U4332" s="99"/>
    </row>
    <row r="4333" spans="20:21" x14ac:dyDescent="0.25">
      <c r="T4333" s="98"/>
      <c r="U4333" s="99"/>
    </row>
    <row r="4334" spans="20:21" x14ac:dyDescent="0.25">
      <c r="T4334" s="98"/>
      <c r="U4334" s="99"/>
    </row>
    <row r="4335" spans="20:21" x14ac:dyDescent="0.25">
      <c r="T4335" s="98"/>
      <c r="U4335" s="99"/>
    </row>
    <row r="4336" spans="20:21" x14ac:dyDescent="0.25">
      <c r="T4336" s="98"/>
      <c r="U4336" s="99"/>
    </row>
    <row r="4337" spans="20:21" x14ac:dyDescent="0.25">
      <c r="T4337" s="98"/>
      <c r="U4337" s="99"/>
    </row>
    <row r="4338" spans="20:21" x14ac:dyDescent="0.25">
      <c r="T4338" s="98"/>
      <c r="U4338" s="99"/>
    </row>
    <row r="4339" spans="20:21" x14ac:dyDescent="0.25">
      <c r="T4339" s="98"/>
      <c r="U4339" s="99"/>
    </row>
    <row r="4340" spans="20:21" x14ac:dyDescent="0.25">
      <c r="T4340" s="98"/>
      <c r="U4340" s="99"/>
    </row>
    <row r="4341" spans="20:21" x14ac:dyDescent="0.25">
      <c r="T4341" s="98"/>
      <c r="U4341" s="99"/>
    </row>
    <row r="4342" spans="20:21" x14ac:dyDescent="0.25">
      <c r="T4342" s="98"/>
      <c r="U4342" s="99"/>
    </row>
    <row r="4343" spans="20:21" x14ac:dyDescent="0.25">
      <c r="T4343" s="98"/>
      <c r="U4343" s="99"/>
    </row>
    <row r="4344" spans="20:21" x14ac:dyDescent="0.25">
      <c r="T4344" s="98"/>
      <c r="U4344" s="99"/>
    </row>
    <row r="4345" spans="20:21" x14ac:dyDescent="0.25">
      <c r="T4345" s="98"/>
      <c r="U4345" s="99"/>
    </row>
    <row r="4346" spans="20:21" x14ac:dyDescent="0.25">
      <c r="T4346" s="98"/>
      <c r="U4346" s="99"/>
    </row>
    <row r="4347" spans="20:21" x14ac:dyDescent="0.25">
      <c r="T4347" s="98"/>
      <c r="U4347" s="99"/>
    </row>
    <row r="4348" spans="20:21" x14ac:dyDescent="0.25">
      <c r="T4348" s="98"/>
      <c r="U4348" s="99"/>
    </row>
    <row r="4349" spans="20:21" x14ac:dyDescent="0.25">
      <c r="T4349" s="98"/>
      <c r="U4349" s="99"/>
    </row>
    <row r="4350" spans="20:21" x14ac:dyDescent="0.25">
      <c r="T4350" s="98"/>
      <c r="U4350" s="99"/>
    </row>
    <row r="4351" spans="20:21" x14ac:dyDescent="0.25">
      <c r="T4351" s="98"/>
      <c r="U4351" s="99"/>
    </row>
    <row r="4352" spans="20:21" x14ac:dyDescent="0.25">
      <c r="T4352" s="98"/>
      <c r="U4352" s="99"/>
    </row>
    <row r="4353" spans="20:21" x14ac:dyDescent="0.25">
      <c r="T4353" s="98"/>
      <c r="U4353" s="99"/>
    </row>
    <row r="4354" spans="20:21" x14ac:dyDescent="0.25">
      <c r="T4354" s="98"/>
      <c r="U4354" s="99"/>
    </row>
    <row r="4355" spans="20:21" x14ac:dyDescent="0.25">
      <c r="T4355" s="98"/>
      <c r="U4355" s="99"/>
    </row>
    <row r="4356" spans="20:21" x14ac:dyDescent="0.25">
      <c r="T4356" s="98"/>
      <c r="U4356" s="99"/>
    </row>
    <row r="4357" spans="20:21" x14ac:dyDescent="0.25">
      <c r="T4357" s="98"/>
      <c r="U4357" s="99"/>
    </row>
    <row r="4358" spans="20:21" x14ac:dyDescent="0.25">
      <c r="T4358" s="98"/>
      <c r="U4358" s="99"/>
    </row>
    <row r="4359" spans="20:21" x14ac:dyDescent="0.25">
      <c r="T4359" s="98"/>
      <c r="U4359" s="99"/>
    </row>
    <row r="4360" spans="20:21" x14ac:dyDescent="0.25">
      <c r="T4360" s="98"/>
      <c r="U4360" s="99"/>
    </row>
    <row r="4361" spans="20:21" x14ac:dyDescent="0.25">
      <c r="T4361" s="98"/>
      <c r="U4361" s="99"/>
    </row>
    <row r="4362" spans="20:21" x14ac:dyDescent="0.25">
      <c r="T4362" s="98"/>
      <c r="U4362" s="99"/>
    </row>
    <row r="4363" spans="20:21" x14ac:dyDescent="0.25">
      <c r="T4363" s="98"/>
      <c r="U4363" s="99"/>
    </row>
    <row r="4364" spans="20:21" x14ac:dyDescent="0.25">
      <c r="T4364" s="98"/>
      <c r="U4364" s="99"/>
    </row>
    <row r="4365" spans="20:21" x14ac:dyDescent="0.25">
      <c r="T4365" s="98"/>
      <c r="U4365" s="99"/>
    </row>
    <row r="4366" spans="20:21" x14ac:dyDescent="0.25">
      <c r="T4366" s="98"/>
      <c r="U4366" s="99"/>
    </row>
    <row r="4367" spans="20:21" x14ac:dyDescent="0.25">
      <c r="T4367" s="98"/>
      <c r="U4367" s="99"/>
    </row>
    <row r="4368" spans="20:21" x14ac:dyDescent="0.25">
      <c r="T4368" s="98"/>
      <c r="U4368" s="99"/>
    </row>
    <row r="4369" spans="20:21" x14ac:dyDescent="0.25">
      <c r="T4369" s="98"/>
      <c r="U4369" s="99"/>
    </row>
    <row r="4370" spans="20:21" x14ac:dyDescent="0.25">
      <c r="T4370" s="98"/>
      <c r="U4370" s="99"/>
    </row>
    <row r="4371" spans="20:21" x14ac:dyDescent="0.25">
      <c r="T4371" s="98"/>
      <c r="U4371" s="99"/>
    </row>
    <row r="4372" spans="20:21" x14ac:dyDescent="0.25">
      <c r="T4372" s="98"/>
      <c r="U4372" s="99"/>
    </row>
    <row r="4373" spans="20:21" x14ac:dyDescent="0.25">
      <c r="T4373" s="98"/>
      <c r="U4373" s="99"/>
    </row>
    <row r="4374" spans="20:21" x14ac:dyDescent="0.25">
      <c r="T4374" s="98"/>
      <c r="U4374" s="99"/>
    </row>
    <row r="4375" spans="20:21" x14ac:dyDescent="0.25">
      <c r="T4375" s="98"/>
      <c r="U4375" s="99"/>
    </row>
    <row r="4376" spans="20:21" x14ac:dyDescent="0.25">
      <c r="T4376" s="98"/>
      <c r="U4376" s="99"/>
    </row>
    <row r="4377" spans="20:21" x14ac:dyDescent="0.25">
      <c r="T4377" s="98"/>
      <c r="U4377" s="99"/>
    </row>
    <row r="4378" spans="20:21" x14ac:dyDescent="0.25">
      <c r="T4378" s="98"/>
      <c r="U4378" s="99"/>
    </row>
    <row r="4379" spans="20:21" x14ac:dyDescent="0.25">
      <c r="T4379" s="98"/>
      <c r="U4379" s="99"/>
    </row>
    <row r="4380" spans="20:21" x14ac:dyDescent="0.25">
      <c r="T4380" s="98"/>
      <c r="U4380" s="99"/>
    </row>
    <row r="4381" spans="20:21" x14ac:dyDescent="0.25">
      <c r="T4381" s="98"/>
      <c r="U4381" s="99"/>
    </row>
    <row r="4382" spans="20:21" x14ac:dyDescent="0.25">
      <c r="T4382" s="98"/>
      <c r="U4382" s="99"/>
    </row>
    <row r="4383" spans="20:21" x14ac:dyDescent="0.25">
      <c r="T4383" s="98"/>
      <c r="U4383" s="99"/>
    </row>
    <row r="4384" spans="20:21" x14ac:dyDescent="0.25">
      <c r="T4384" s="98"/>
      <c r="U4384" s="99"/>
    </row>
    <row r="4385" spans="20:21" x14ac:dyDescent="0.25">
      <c r="T4385" s="98"/>
      <c r="U4385" s="99"/>
    </row>
    <row r="4386" spans="20:21" x14ac:dyDescent="0.25">
      <c r="T4386" s="98"/>
      <c r="U4386" s="99"/>
    </row>
    <row r="4387" spans="20:21" x14ac:dyDescent="0.25">
      <c r="T4387" s="98"/>
      <c r="U4387" s="99"/>
    </row>
    <row r="4388" spans="20:21" x14ac:dyDescent="0.25">
      <c r="T4388" s="98"/>
      <c r="U4388" s="99"/>
    </row>
    <row r="4389" spans="20:21" x14ac:dyDescent="0.25">
      <c r="T4389" s="98"/>
      <c r="U4389" s="99"/>
    </row>
    <row r="4390" spans="20:21" x14ac:dyDescent="0.25">
      <c r="T4390" s="98"/>
      <c r="U4390" s="99"/>
    </row>
    <row r="4391" spans="20:21" x14ac:dyDescent="0.25">
      <c r="T4391" s="98"/>
      <c r="U4391" s="99"/>
    </row>
    <row r="4392" spans="20:21" x14ac:dyDescent="0.25">
      <c r="T4392" s="98"/>
      <c r="U4392" s="99"/>
    </row>
    <row r="4393" spans="20:21" x14ac:dyDescent="0.25">
      <c r="T4393" s="98"/>
      <c r="U4393" s="99"/>
    </row>
    <row r="4394" spans="20:21" x14ac:dyDescent="0.25">
      <c r="T4394" s="98"/>
      <c r="U4394" s="99"/>
    </row>
    <row r="4395" spans="20:21" x14ac:dyDescent="0.25">
      <c r="T4395" s="98"/>
      <c r="U4395" s="99"/>
    </row>
    <row r="4396" spans="20:21" x14ac:dyDescent="0.25">
      <c r="T4396" s="98"/>
      <c r="U4396" s="99"/>
    </row>
    <row r="4397" spans="20:21" x14ac:dyDescent="0.25">
      <c r="T4397" s="98"/>
      <c r="U4397" s="99"/>
    </row>
    <row r="4398" spans="20:21" x14ac:dyDescent="0.25">
      <c r="T4398" s="98"/>
      <c r="U4398" s="99"/>
    </row>
    <row r="4399" spans="20:21" x14ac:dyDescent="0.25">
      <c r="T4399" s="98"/>
      <c r="U4399" s="99"/>
    </row>
    <row r="4400" spans="20:21" x14ac:dyDescent="0.25">
      <c r="T4400" s="98"/>
      <c r="U4400" s="99"/>
    </row>
    <row r="4401" spans="20:21" x14ac:dyDescent="0.25">
      <c r="T4401" s="98"/>
      <c r="U4401" s="99"/>
    </row>
    <row r="4402" spans="20:21" x14ac:dyDescent="0.25">
      <c r="T4402" s="98"/>
      <c r="U4402" s="99"/>
    </row>
    <row r="4403" spans="20:21" x14ac:dyDescent="0.25">
      <c r="T4403" s="98"/>
      <c r="U4403" s="99"/>
    </row>
    <row r="4404" spans="20:21" x14ac:dyDescent="0.25">
      <c r="T4404" s="98"/>
      <c r="U4404" s="99"/>
    </row>
    <row r="4405" spans="20:21" x14ac:dyDescent="0.25">
      <c r="T4405" s="98"/>
      <c r="U4405" s="99"/>
    </row>
    <row r="4406" spans="20:21" x14ac:dyDescent="0.25">
      <c r="T4406" s="98"/>
      <c r="U4406" s="99"/>
    </row>
    <row r="4407" spans="20:21" x14ac:dyDescent="0.25">
      <c r="T4407" s="98"/>
      <c r="U4407" s="99"/>
    </row>
    <row r="4408" spans="20:21" x14ac:dyDescent="0.25">
      <c r="T4408" s="98"/>
      <c r="U4408" s="99"/>
    </row>
    <row r="4409" spans="20:21" x14ac:dyDescent="0.25">
      <c r="T4409" s="98"/>
      <c r="U4409" s="99"/>
    </row>
    <row r="4410" spans="20:21" x14ac:dyDescent="0.25">
      <c r="T4410" s="98"/>
      <c r="U4410" s="99"/>
    </row>
    <row r="4411" spans="20:21" x14ac:dyDescent="0.25">
      <c r="T4411" s="98"/>
      <c r="U4411" s="99"/>
    </row>
    <row r="4412" spans="20:21" x14ac:dyDescent="0.25">
      <c r="T4412" s="98"/>
      <c r="U4412" s="99"/>
    </row>
    <row r="4413" spans="20:21" x14ac:dyDescent="0.25">
      <c r="T4413" s="98"/>
      <c r="U4413" s="99"/>
    </row>
    <row r="4414" spans="20:21" x14ac:dyDescent="0.25">
      <c r="T4414" s="98"/>
      <c r="U4414" s="99"/>
    </row>
    <row r="4415" spans="20:21" x14ac:dyDescent="0.25">
      <c r="T4415" s="98"/>
      <c r="U4415" s="99"/>
    </row>
    <row r="4416" spans="20:21" x14ac:dyDescent="0.25">
      <c r="T4416" s="98"/>
      <c r="U4416" s="99"/>
    </row>
    <row r="4417" spans="20:21" x14ac:dyDescent="0.25">
      <c r="T4417" s="98"/>
      <c r="U4417" s="99"/>
    </row>
    <row r="4418" spans="20:21" x14ac:dyDescent="0.25">
      <c r="T4418" s="98"/>
      <c r="U4418" s="99"/>
    </row>
    <row r="4419" spans="20:21" x14ac:dyDescent="0.25">
      <c r="T4419" s="98"/>
      <c r="U4419" s="99"/>
    </row>
    <row r="4420" spans="20:21" x14ac:dyDescent="0.25">
      <c r="T4420" s="98"/>
      <c r="U4420" s="99"/>
    </row>
    <row r="4421" spans="20:21" x14ac:dyDescent="0.25">
      <c r="T4421" s="98"/>
      <c r="U4421" s="99"/>
    </row>
    <row r="4422" spans="20:21" x14ac:dyDescent="0.25">
      <c r="T4422" s="98"/>
      <c r="U4422" s="99"/>
    </row>
    <row r="4423" spans="20:21" x14ac:dyDescent="0.25">
      <c r="T4423" s="98"/>
      <c r="U4423" s="99"/>
    </row>
    <row r="4424" spans="20:21" x14ac:dyDescent="0.25">
      <c r="T4424" s="98"/>
      <c r="U4424" s="99"/>
    </row>
    <row r="4425" spans="20:21" x14ac:dyDescent="0.25">
      <c r="T4425" s="98"/>
      <c r="U4425" s="99"/>
    </row>
    <row r="4426" spans="20:21" x14ac:dyDescent="0.25">
      <c r="T4426" s="98"/>
      <c r="U4426" s="99"/>
    </row>
    <row r="4427" spans="20:21" x14ac:dyDescent="0.25">
      <c r="T4427" s="98"/>
      <c r="U4427" s="99"/>
    </row>
    <row r="4428" spans="20:21" x14ac:dyDescent="0.25">
      <c r="T4428" s="98"/>
      <c r="U4428" s="99"/>
    </row>
    <row r="4429" spans="20:21" x14ac:dyDescent="0.25">
      <c r="T4429" s="98"/>
      <c r="U4429" s="99"/>
    </row>
    <row r="4430" spans="20:21" x14ac:dyDescent="0.25">
      <c r="T4430" s="98"/>
      <c r="U4430" s="99"/>
    </row>
    <row r="4431" spans="20:21" x14ac:dyDescent="0.25">
      <c r="T4431" s="98"/>
      <c r="U4431" s="99"/>
    </row>
    <row r="4432" spans="20:21" x14ac:dyDescent="0.25">
      <c r="T4432" s="98"/>
      <c r="U4432" s="99"/>
    </row>
    <row r="4433" spans="20:21" x14ac:dyDescent="0.25">
      <c r="T4433" s="98"/>
      <c r="U4433" s="99"/>
    </row>
    <row r="4434" spans="20:21" x14ac:dyDescent="0.25">
      <c r="T4434" s="98"/>
      <c r="U4434" s="99"/>
    </row>
    <row r="4435" spans="20:21" x14ac:dyDescent="0.25">
      <c r="T4435" s="98"/>
      <c r="U4435" s="99"/>
    </row>
    <row r="4436" spans="20:21" x14ac:dyDescent="0.25">
      <c r="T4436" s="98"/>
      <c r="U4436" s="99"/>
    </row>
    <row r="4437" spans="20:21" x14ac:dyDescent="0.25">
      <c r="T4437" s="98"/>
      <c r="U4437" s="99"/>
    </row>
    <row r="4438" spans="20:21" x14ac:dyDescent="0.25">
      <c r="T4438" s="98"/>
      <c r="U4438" s="99"/>
    </row>
    <row r="4439" spans="20:21" x14ac:dyDescent="0.25">
      <c r="T4439" s="98"/>
      <c r="U4439" s="99"/>
    </row>
    <row r="4440" spans="20:21" x14ac:dyDescent="0.25">
      <c r="T4440" s="98"/>
      <c r="U4440" s="99"/>
    </row>
    <row r="4441" spans="20:21" x14ac:dyDescent="0.25">
      <c r="T4441" s="98"/>
      <c r="U4441" s="99"/>
    </row>
    <row r="4442" spans="20:21" x14ac:dyDescent="0.25">
      <c r="T4442" s="98"/>
      <c r="U4442" s="99"/>
    </row>
    <row r="4443" spans="20:21" x14ac:dyDescent="0.25">
      <c r="T4443" s="98"/>
      <c r="U4443" s="99"/>
    </row>
    <row r="4444" spans="20:21" x14ac:dyDescent="0.25">
      <c r="T4444" s="98"/>
      <c r="U4444" s="99"/>
    </row>
    <row r="4445" spans="20:21" x14ac:dyDescent="0.25">
      <c r="T4445" s="98"/>
      <c r="U4445" s="99"/>
    </row>
    <row r="4446" spans="20:21" x14ac:dyDescent="0.25">
      <c r="T4446" s="98"/>
      <c r="U4446" s="99"/>
    </row>
    <row r="4447" spans="20:21" x14ac:dyDescent="0.25">
      <c r="T4447" s="98"/>
      <c r="U4447" s="99"/>
    </row>
    <row r="4448" spans="20:21" x14ac:dyDescent="0.25">
      <c r="T4448" s="98"/>
      <c r="U4448" s="99"/>
    </row>
    <row r="4449" spans="20:21" x14ac:dyDescent="0.25">
      <c r="T4449" s="98"/>
      <c r="U4449" s="99"/>
    </row>
    <row r="4450" spans="20:21" x14ac:dyDescent="0.25">
      <c r="T4450" s="98"/>
      <c r="U4450" s="99"/>
    </row>
    <row r="4451" spans="20:21" x14ac:dyDescent="0.25">
      <c r="T4451" s="98"/>
      <c r="U4451" s="99"/>
    </row>
    <row r="4452" spans="20:21" x14ac:dyDescent="0.25">
      <c r="T4452" s="98"/>
      <c r="U4452" s="99"/>
    </row>
    <row r="4453" spans="20:21" x14ac:dyDescent="0.25">
      <c r="T4453" s="98"/>
      <c r="U4453" s="99"/>
    </row>
    <row r="4454" spans="20:21" x14ac:dyDescent="0.25">
      <c r="T4454" s="98"/>
      <c r="U4454" s="99"/>
    </row>
    <row r="4455" spans="20:21" x14ac:dyDescent="0.25">
      <c r="T4455" s="98"/>
      <c r="U4455" s="99"/>
    </row>
    <row r="4456" spans="20:21" x14ac:dyDescent="0.25">
      <c r="T4456" s="98"/>
      <c r="U4456" s="99"/>
    </row>
    <row r="4457" spans="20:21" x14ac:dyDescent="0.25">
      <c r="T4457" s="98"/>
      <c r="U4457" s="99"/>
    </row>
    <row r="4458" spans="20:21" x14ac:dyDescent="0.25">
      <c r="T4458" s="98"/>
      <c r="U4458" s="99"/>
    </row>
    <row r="4459" spans="20:21" x14ac:dyDescent="0.25">
      <c r="T4459" s="98"/>
      <c r="U4459" s="99"/>
    </row>
    <row r="4460" spans="20:21" x14ac:dyDescent="0.25">
      <c r="T4460" s="98"/>
      <c r="U4460" s="99"/>
    </row>
    <row r="4461" spans="20:21" x14ac:dyDescent="0.25">
      <c r="T4461" s="98"/>
      <c r="U4461" s="99"/>
    </row>
    <row r="4462" spans="20:21" x14ac:dyDescent="0.25">
      <c r="T4462" s="98"/>
      <c r="U4462" s="99"/>
    </row>
    <row r="4463" spans="20:21" x14ac:dyDescent="0.25">
      <c r="T4463" s="98"/>
      <c r="U4463" s="99"/>
    </row>
    <row r="4464" spans="20:21" x14ac:dyDescent="0.25">
      <c r="T4464" s="98"/>
      <c r="U4464" s="99"/>
    </row>
    <row r="4465" spans="20:21" x14ac:dyDescent="0.25">
      <c r="T4465" s="98"/>
      <c r="U4465" s="99"/>
    </row>
    <row r="4466" spans="20:21" x14ac:dyDescent="0.25">
      <c r="T4466" s="98"/>
      <c r="U4466" s="99"/>
    </row>
    <row r="4467" spans="20:21" x14ac:dyDescent="0.25">
      <c r="T4467" s="98"/>
      <c r="U4467" s="99"/>
    </row>
    <row r="4468" spans="20:21" x14ac:dyDescent="0.25">
      <c r="T4468" s="98"/>
      <c r="U4468" s="99"/>
    </row>
    <row r="4469" spans="20:21" x14ac:dyDescent="0.25">
      <c r="T4469" s="98"/>
      <c r="U4469" s="99"/>
    </row>
    <row r="4470" spans="20:21" x14ac:dyDescent="0.25">
      <c r="T4470" s="98"/>
      <c r="U4470" s="99"/>
    </row>
    <row r="4471" spans="20:21" x14ac:dyDescent="0.25">
      <c r="T4471" s="98"/>
      <c r="U4471" s="99"/>
    </row>
    <row r="4472" spans="20:21" x14ac:dyDescent="0.25">
      <c r="T4472" s="98"/>
      <c r="U4472" s="99"/>
    </row>
    <row r="4473" spans="20:21" x14ac:dyDescent="0.25">
      <c r="T4473" s="98"/>
      <c r="U4473" s="99"/>
    </row>
    <row r="4474" spans="20:21" x14ac:dyDescent="0.25">
      <c r="T4474" s="98"/>
      <c r="U4474" s="99"/>
    </row>
    <row r="4475" spans="20:21" x14ac:dyDescent="0.25">
      <c r="T4475" s="98"/>
      <c r="U4475" s="99"/>
    </row>
    <row r="4476" spans="20:21" x14ac:dyDescent="0.25">
      <c r="T4476" s="98"/>
      <c r="U4476" s="99"/>
    </row>
    <row r="4477" spans="20:21" x14ac:dyDescent="0.25">
      <c r="T4477" s="98"/>
      <c r="U4477" s="99"/>
    </row>
    <row r="4478" spans="20:21" x14ac:dyDescent="0.25">
      <c r="T4478" s="98"/>
      <c r="U4478" s="99"/>
    </row>
    <row r="4479" spans="20:21" x14ac:dyDescent="0.25">
      <c r="T4479" s="98"/>
      <c r="U4479" s="99"/>
    </row>
    <row r="4480" spans="20:21" x14ac:dyDescent="0.25">
      <c r="T4480" s="98"/>
      <c r="U4480" s="99"/>
    </row>
    <row r="4481" spans="20:21" x14ac:dyDescent="0.25">
      <c r="T4481" s="98"/>
      <c r="U4481" s="99"/>
    </row>
    <row r="4482" spans="20:21" x14ac:dyDescent="0.25">
      <c r="T4482" s="98"/>
      <c r="U4482" s="99"/>
    </row>
    <row r="4483" spans="20:21" x14ac:dyDescent="0.25">
      <c r="T4483" s="98"/>
      <c r="U4483" s="99"/>
    </row>
    <row r="4484" spans="20:21" x14ac:dyDescent="0.25">
      <c r="T4484" s="98"/>
      <c r="U4484" s="99"/>
    </row>
    <row r="4485" spans="20:21" x14ac:dyDescent="0.25">
      <c r="T4485" s="98"/>
      <c r="U4485" s="99"/>
    </row>
    <row r="4486" spans="20:21" x14ac:dyDescent="0.25">
      <c r="T4486" s="98"/>
      <c r="U4486" s="99"/>
    </row>
    <row r="4487" spans="20:21" x14ac:dyDescent="0.25">
      <c r="T4487" s="98"/>
      <c r="U4487" s="99"/>
    </row>
    <row r="4488" spans="20:21" x14ac:dyDescent="0.25">
      <c r="T4488" s="98"/>
      <c r="U4488" s="99"/>
    </row>
    <row r="4489" spans="20:21" x14ac:dyDescent="0.25">
      <c r="T4489" s="98"/>
      <c r="U4489" s="99"/>
    </row>
    <row r="4490" spans="20:21" x14ac:dyDescent="0.25">
      <c r="T4490" s="98"/>
      <c r="U4490" s="99"/>
    </row>
    <row r="4491" spans="20:21" x14ac:dyDescent="0.25">
      <c r="T4491" s="98"/>
      <c r="U4491" s="99"/>
    </row>
    <row r="4492" spans="20:21" x14ac:dyDescent="0.25">
      <c r="T4492" s="98"/>
      <c r="U4492" s="99"/>
    </row>
    <row r="4493" spans="20:21" x14ac:dyDescent="0.25">
      <c r="T4493" s="98"/>
      <c r="U4493" s="99"/>
    </row>
    <row r="4494" spans="20:21" x14ac:dyDescent="0.25">
      <c r="T4494" s="98"/>
      <c r="U4494" s="99"/>
    </row>
    <row r="4495" spans="20:21" x14ac:dyDescent="0.25">
      <c r="T4495" s="98"/>
      <c r="U4495" s="99"/>
    </row>
    <row r="4496" spans="20:21" x14ac:dyDescent="0.25">
      <c r="T4496" s="98"/>
      <c r="U4496" s="99"/>
    </row>
    <row r="4497" spans="20:21" x14ac:dyDescent="0.25">
      <c r="T4497" s="98"/>
      <c r="U4497" s="99"/>
    </row>
    <row r="4498" spans="20:21" x14ac:dyDescent="0.25">
      <c r="T4498" s="98"/>
      <c r="U4498" s="99"/>
    </row>
    <row r="4499" spans="20:21" x14ac:dyDescent="0.25">
      <c r="T4499" s="98"/>
      <c r="U4499" s="99"/>
    </row>
    <row r="4500" spans="20:21" x14ac:dyDescent="0.25">
      <c r="T4500" s="98"/>
      <c r="U4500" s="99"/>
    </row>
    <row r="4501" spans="20:21" x14ac:dyDescent="0.25">
      <c r="T4501" s="98"/>
      <c r="U4501" s="99"/>
    </row>
    <row r="4502" spans="20:21" x14ac:dyDescent="0.25">
      <c r="T4502" s="98"/>
      <c r="U4502" s="99"/>
    </row>
    <row r="4503" spans="20:21" x14ac:dyDescent="0.25">
      <c r="T4503" s="98"/>
      <c r="U4503" s="99"/>
    </row>
    <row r="4504" spans="20:21" x14ac:dyDescent="0.25">
      <c r="T4504" s="98"/>
      <c r="U4504" s="99"/>
    </row>
    <row r="4505" spans="20:21" x14ac:dyDescent="0.25">
      <c r="T4505" s="98"/>
      <c r="U4505" s="99"/>
    </row>
    <row r="4506" spans="20:21" x14ac:dyDescent="0.25">
      <c r="T4506" s="98"/>
      <c r="U4506" s="99"/>
    </row>
    <row r="4507" spans="20:21" x14ac:dyDescent="0.25">
      <c r="T4507" s="98"/>
      <c r="U4507" s="99"/>
    </row>
    <row r="4508" spans="20:21" x14ac:dyDescent="0.25">
      <c r="T4508" s="98"/>
      <c r="U4508" s="99"/>
    </row>
    <row r="4509" spans="20:21" x14ac:dyDescent="0.25">
      <c r="T4509" s="98"/>
      <c r="U4509" s="99"/>
    </row>
    <row r="4510" spans="20:21" x14ac:dyDescent="0.25">
      <c r="T4510" s="98"/>
      <c r="U4510" s="99"/>
    </row>
    <row r="4511" spans="20:21" x14ac:dyDescent="0.25">
      <c r="T4511" s="98"/>
      <c r="U4511" s="99"/>
    </row>
    <row r="4512" spans="20:21" x14ac:dyDescent="0.25">
      <c r="T4512" s="98"/>
      <c r="U4512" s="99"/>
    </row>
    <row r="4513" spans="20:21" x14ac:dyDescent="0.25">
      <c r="T4513" s="98"/>
      <c r="U4513" s="99"/>
    </row>
    <row r="4514" spans="20:21" x14ac:dyDescent="0.25">
      <c r="T4514" s="98"/>
      <c r="U4514" s="99"/>
    </row>
    <row r="4515" spans="20:21" x14ac:dyDescent="0.25">
      <c r="T4515" s="98"/>
      <c r="U4515" s="99"/>
    </row>
    <row r="4516" spans="20:21" x14ac:dyDescent="0.25">
      <c r="T4516" s="98"/>
      <c r="U4516" s="99"/>
    </row>
    <row r="4517" spans="20:21" x14ac:dyDescent="0.25">
      <c r="T4517" s="98"/>
      <c r="U4517" s="99"/>
    </row>
    <row r="4518" spans="20:21" x14ac:dyDescent="0.25">
      <c r="T4518" s="98"/>
      <c r="U4518" s="99"/>
    </row>
    <row r="4519" spans="20:21" x14ac:dyDescent="0.25">
      <c r="T4519" s="98"/>
      <c r="U4519" s="99"/>
    </row>
    <row r="4520" spans="20:21" x14ac:dyDescent="0.25">
      <c r="T4520" s="98"/>
      <c r="U4520" s="99"/>
    </row>
    <row r="4521" spans="20:21" x14ac:dyDescent="0.25">
      <c r="T4521" s="98"/>
      <c r="U4521" s="99"/>
    </row>
    <row r="4522" spans="20:21" x14ac:dyDescent="0.25">
      <c r="T4522" s="98"/>
      <c r="U4522" s="99"/>
    </row>
    <row r="4523" spans="20:21" x14ac:dyDescent="0.25">
      <c r="T4523" s="98"/>
      <c r="U4523" s="99"/>
    </row>
    <row r="4524" spans="20:21" x14ac:dyDescent="0.25">
      <c r="T4524" s="98"/>
      <c r="U4524" s="99"/>
    </row>
    <row r="4525" spans="20:21" x14ac:dyDescent="0.25">
      <c r="T4525" s="98"/>
      <c r="U4525" s="99"/>
    </row>
    <row r="4526" spans="20:21" x14ac:dyDescent="0.25">
      <c r="T4526" s="98"/>
      <c r="U4526" s="99"/>
    </row>
    <row r="4527" spans="20:21" x14ac:dyDescent="0.25">
      <c r="T4527" s="98"/>
      <c r="U4527" s="99"/>
    </row>
    <row r="4528" spans="20:21" x14ac:dyDescent="0.25">
      <c r="T4528" s="98"/>
      <c r="U4528" s="99"/>
    </row>
    <row r="4529" spans="20:21" x14ac:dyDescent="0.25">
      <c r="T4529" s="98"/>
      <c r="U4529" s="99"/>
    </row>
    <row r="4530" spans="20:21" x14ac:dyDescent="0.25">
      <c r="T4530" s="98"/>
      <c r="U4530" s="99"/>
    </row>
    <row r="4531" spans="20:21" x14ac:dyDescent="0.25">
      <c r="T4531" s="98"/>
      <c r="U4531" s="99"/>
    </row>
    <row r="4532" spans="20:21" x14ac:dyDescent="0.25">
      <c r="T4532" s="98"/>
      <c r="U4532" s="99"/>
    </row>
    <row r="4533" spans="20:21" x14ac:dyDescent="0.25">
      <c r="T4533" s="98"/>
      <c r="U4533" s="99"/>
    </row>
    <row r="4534" spans="20:21" x14ac:dyDescent="0.25">
      <c r="T4534" s="98"/>
      <c r="U4534" s="99"/>
    </row>
    <row r="4535" spans="20:21" x14ac:dyDescent="0.25">
      <c r="T4535" s="98"/>
      <c r="U4535" s="99"/>
    </row>
    <row r="4536" spans="20:21" x14ac:dyDescent="0.25">
      <c r="T4536" s="98"/>
      <c r="U4536" s="99"/>
    </row>
    <row r="4537" spans="20:21" x14ac:dyDescent="0.25">
      <c r="T4537" s="98"/>
      <c r="U4537" s="99"/>
    </row>
    <row r="4538" spans="20:21" x14ac:dyDescent="0.25">
      <c r="T4538" s="98"/>
      <c r="U4538" s="99"/>
    </row>
    <row r="4539" spans="20:21" x14ac:dyDescent="0.25">
      <c r="T4539" s="98"/>
      <c r="U4539" s="99"/>
    </row>
    <row r="4540" spans="20:21" x14ac:dyDescent="0.25">
      <c r="T4540" s="98"/>
      <c r="U4540" s="99"/>
    </row>
    <row r="4541" spans="20:21" x14ac:dyDescent="0.25">
      <c r="T4541" s="98"/>
      <c r="U4541" s="99"/>
    </row>
    <row r="4542" spans="20:21" x14ac:dyDescent="0.25">
      <c r="T4542" s="98"/>
      <c r="U4542" s="99"/>
    </row>
    <row r="4543" spans="20:21" x14ac:dyDescent="0.25">
      <c r="T4543" s="98"/>
      <c r="U4543" s="99"/>
    </row>
    <row r="4544" spans="20:21" x14ac:dyDescent="0.25">
      <c r="T4544" s="98"/>
      <c r="U4544" s="99"/>
    </row>
    <row r="4545" spans="20:21" x14ac:dyDescent="0.25">
      <c r="T4545" s="98"/>
      <c r="U4545" s="99"/>
    </row>
    <row r="4546" spans="20:21" x14ac:dyDescent="0.25">
      <c r="T4546" s="98"/>
      <c r="U4546" s="99"/>
    </row>
    <row r="4547" spans="20:21" x14ac:dyDescent="0.25">
      <c r="T4547" s="98"/>
      <c r="U4547" s="99"/>
    </row>
    <row r="4548" spans="20:21" x14ac:dyDescent="0.25">
      <c r="T4548" s="98"/>
      <c r="U4548" s="99"/>
    </row>
    <row r="4549" spans="20:21" x14ac:dyDescent="0.25">
      <c r="T4549" s="98"/>
      <c r="U4549" s="99"/>
    </row>
    <row r="4550" spans="20:21" x14ac:dyDescent="0.25">
      <c r="T4550" s="98"/>
      <c r="U4550" s="99"/>
    </row>
    <row r="4551" spans="20:21" x14ac:dyDescent="0.25">
      <c r="T4551" s="98"/>
      <c r="U4551" s="99"/>
    </row>
    <row r="4552" spans="20:21" x14ac:dyDescent="0.25">
      <c r="T4552" s="98"/>
      <c r="U4552" s="99"/>
    </row>
    <row r="4553" spans="20:21" x14ac:dyDescent="0.25">
      <c r="T4553" s="98"/>
      <c r="U4553" s="99"/>
    </row>
    <row r="4554" spans="20:21" x14ac:dyDescent="0.25">
      <c r="T4554" s="98"/>
      <c r="U4554" s="99"/>
    </row>
    <row r="4555" spans="20:21" x14ac:dyDescent="0.25">
      <c r="T4555" s="98"/>
      <c r="U4555" s="99"/>
    </row>
    <row r="4556" spans="20:21" x14ac:dyDescent="0.25">
      <c r="T4556" s="98"/>
      <c r="U4556" s="99"/>
    </row>
    <row r="4557" spans="20:21" x14ac:dyDescent="0.25">
      <c r="T4557" s="98"/>
      <c r="U4557" s="99"/>
    </row>
    <row r="4558" spans="20:21" x14ac:dyDescent="0.25">
      <c r="T4558" s="98"/>
      <c r="U4558" s="99"/>
    </row>
    <row r="4559" spans="20:21" x14ac:dyDescent="0.25">
      <c r="T4559" s="98"/>
      <c r="U4559" s="99"/>
    </row>
    <row r="4560" spans="20:21" x14ac:dyDescent="0.25">
      <c r="T4560" s="98"/>
      <c r="U4560" s="99"/>
    </row>
    <row r="4561" spans="20:21" x14ac:dyDescent="0.25">
      <c r="T4561" s="98"/>
      <c r="U4561" s="99"/>
    </row>
    <row r="4562" spans="20:21" x14ac:dyDescent="0.25">
      <c r="T4562" s="98"/>
      <c r="U4562" s="99"/>
    </row>
    <row r="4563" spans="20:21" x14ac:dyDescent="0.25">
      <c r="T4563" s="98"/>
      <c r="U4563" s="99"/>
    </row>
    <row r="4564" spans="20:21" x14ac:dyDescent="0.25">
      <c r="T4564" s="98"/>
      <c r="U4564" s="99"/>
    </row>
    <row r="4565" spans="20:21" x14ac:dyDescent="0.25">
      <c r="T4565" s="98"/>
      <c r="U4565" s="99"/>
    </row>
    <row r="4566" spans="20:21" x14ac:dyDescent="0.25">
      <c r="T4566" s="98"/>
      <c r="U4566" s="99"/>
    </row>
    <row r="4567" spans="20:21" x14ac:dyDescent="0.25">
      <c r="T4567" s="98"/>
      <c r="U4567" s="99"/>
    </row>
    <row r="4568" spans="20:21" x14ac:dyDescent="0.25">
      <c r="T4568" s="98"/>
      <c r="U4568" s="99"/>
    </row>
    <row r="4569" spans="20:21" x14ac:dyDescent="0.25">
      <c r="T4569" s="98"/>
      <c r="U4569" s="99"/>
    </row>
    <row r="4570" spans="20:21" x14ac:dyDescent="0.25">
      <c r="T4570" s="98"/>
      <c r="U4570" s="99"/>
    </row>
    <row r="4571" spans="20:21" x14ac:dyDescent="0.25">
      <c r="T4571" s="98"/>
      <c r="U4571" s="99"/>
    </row>
    <row r="4572" spans="20:21" x14ac:dyDescent="0.25">
      <c r="T4572" s="98"/>
      <c r="U4572" s="99"/>
    </row>
    <row r="4573" spans="20:21" x14ac:dyDescent="0.25">
      <c r="T4573" s="98"/>
      <c r="U4573" s="99"/>
    </row>
    <row r="4574" spans="20:21" x14ac:dyDescent="0.25">
      <c r="T4574" s="98"/>
      <c r="U4574" s="99"/>
    </row>
    <row r="4575" spans="20:21" x14ac:dyDescent="0.25">
      <c r="T4575" s="98"/>
      <c r="U4575" s="99"/>
    </row>
    <row r="4576" spans="20:21" x14ac:dyDescent="0.25">
      <c r="T4576" s="98"/>
      <c r="U4576" s="99"/>
    </row>
    <row r="4577" spans="20:21" x14ac:dyDescent="0.25">
      <c r="T4577" s="98"/>
      <c r="U4577" s="99"/>
    </row>
    <row r="4578" spans="20:21" x14ac:dyDescent="0.25">
      <c r="T4578" s="98"/>
      <c r="U4578" s="99"/>
    </row>
    <row r="4579" spans="20:21" x14ac:dyDescent="0.25">
      <c r="T4579" s="98"/>
      <c r="U4579" s="99"/>
    </row>
    <row r="4580" spans="20:21" x14ac:dyDescent="0.25">
      <c r="T4580" s="98"/>
      <c r="U4580" s="99"/>
    </row>
    <row r="4581" spans="20:21" x14ac:dyDescent="0.25">
      <c r="T4581" s="98"/>
      <c r="U4581" s="99"/>
    </row>
    <row r="4582" spans="20:21" x14ac:dyDescent="0.25">
      <c r="T4582" s="98"/>
      <c r="U4582" s="99"/>
    </row>
    <row r="4583" spans="20:21" x14ac:dyDescent="0.25">
      <c r="T4583" s="98"/>
      <c r="U4583" s="99"/>
    </row>
    <row r="4584" spans="20:21" x14ac:dyDescent="0.25">
      <c r="T4584" s="98"/>
      <c r="U4584" s="99"/>
    </row>
    <row r="4585" spans="20:21" x14ac:dyDescent="0.25">
      <c r="T4585" s="98"/>
      <c r="U4585" s="99"/>
    </row>
    <row r="4586" spans="20:21" x14ac:dyDescent="0.25">
      <c r="T4586" s="98"/>
      <c r="U4586" s="99"/>
    </row>
    <row r="4587" spans="20:21" x14ac:dyDescent="0.25">
      <c r="T4587" s="98"/>
      <c r="U4587" s="99"/>
    </row>
    <row r="4588" spans="20:21" x14ac:dyDescent="0.25">
      <c r="T4588" s="98"/>
      <c r="U4588" s="99"/>
    </row>
    <row r="4589" spans="20:21" x14ac:dyDescent="0.25">
      <c r="T4589" s="98"/>
      <c r="U4589" s="99"/>
    </row>
    <row r="4590" spans="20:21" x14ac:dyDescent="0.25">
      <c r="T4590" s="98"/>
      <c r="U4590" s="99"/>
    </row>
    <row r="4591" spans="20:21" x14ac:dyDescent="0.25">
      <c r="T4591" s="98"/>
      <c r="U4591" s="99"/>
    </row>
    <row r="4592" spans="20:21" x14ac:dyDescent="0.25">
      <c r="T4592" s="98"/>
      <c r="U4592" s="99"/>
    </row>
    <row r="4593" spans="20:21" x14ac:dyDescent="0.25">
      <c r="T4593" s="98"/>
      <c r="U4593" s="99"/>
    </row>
    <row r="4594" spans="20:21" x14ac:dyDescent="0.25">
      <c r="T4594" s="98"/>
      <c r="U4594" s="99"/>
    </row>
    <row r="4595" spans="20:21" x14ac:dyDescent="0.25">
      <c r="T4595" s="98"/>
      <c r="U4595" s="99"/>
    </row>
    <row r="4596" spans="20:21" x14ac:dyDescent="0.25">
      <c r="T4596" s="98"/>
      <c r="U4596" s="99"/>
    </row>
    <row r="4597" spans="20:21" x14ac:dyDescent="0.25">
      <c r="T4597" s="98"/>
      <c r="U4597" s="99"/>
    </row>
    <row r="4598" spans="20:21" x14ac:dyDescent="0.25">
      <c r="T4598" s="98"/>
      <c r="U4598" s="99"/>
    </row>
    <row r="4599" spans="20:21" x14ac:dyDescent="0.25">
      <c r="T4599" s="98"/>
      <c r="U4599" s="99"/>
    </row>
    <row r="4600" spans="20:21" x14ac:dyDescent="0.25">
      <c r="T4600" s="98"/>
      <c r="U4600" s="99"/>
    </row>
    <row r="4601" spans="20:21" x14ac:dyDescent="0.25">
      <c r="T4601" s="98"/>
      <c r="U4601" s="99"/>
    </row>
    <row r="4602" spans="20:21" x14ac:dyDescent="0.25">
      <c r="T4602" s="98"/>
      <c r="U4602" s="99"/>
    </row>
    <row r="4603" spans="20:21" x14ac:dyDescent="0.25">
      <c r="T4603" s="98"/>
      <c r="U4603" s="99"/>
    </row>
    <row r="4604" spans="20:21" x14ac:dyDescent="0.25">
      <c r="T4604" s="98"/>
      <c r="U4604" s="99"/>
    </row>
    <row r="4605" spans="20:21" x14ac:dyDescent="0.25">
      <c r="T4605" s="98"/>
      <c r="U4605" s="99"/>
    </row>
    <row r="4606" spans="20:21" x14ac:dyDescent="0.25">
      <c r="T4606" s="98"/>
      <c r="U4606" s="99"/>
    </row>
    <row r="4607" spans="20:21" x14ac:dyDescent="0.25">
      <c r="T4607" s="98"/>
      <c r="U4607" s="99"/>
    </row>
    <row r="4608" spans="20:21" x14ac:dyDescent="0.25">
      <c r="T4608" s="98"/>
      <c r="U4608" s="99"/>
    </row>
    <row r="4609" spans="20:21" x14ac:dyDescent="0.25">
      <c r="T4609" s="98"/>
      <c r="U4609" s="99"/>
    </row>
    <row r="4610" spans="20:21" x14ac:dyDescent="0.25">
      <c r="T4610" s="98"/>
      <c r="U4610" s="99"/>
    </row>
    <row r="4611" spans="20:21" x14ac:dyDescent="0.25">
      <c r="T4611" s="98"/>
      <c r="U4611" s="99"/>
    </row>
    <row r="4612" spans="20:21" x14ac:dyDescent="0.25">
      <c r="T4612" s="98"/>
      <c r="U4612" s="99"/>
    </row>
    <row r="4613" spans="20:21" x14ac:dyDescent="0.25">
      <c r="T4613" s="98"/>
      <c r="U4613" s="99"/>
    </row>
    <row r="4614" spans="20:21" x14ac:dyDescent="0.25">
      <c r="T4614" s="98"/>
      <c r="U4614" s="99"/>
    </row>
    <row r="4615" spans="20:21" x14ac:dyDescent="0.25">
      <c r="T4615" s="98"/>
      <c r="U4615" s="99"/>
    </row>
    <row r="4616" spans="20:21" x14ac:dyDescent="0.25">
      <c r="T4616" s="98"/>
      <c r="U4616" s="99"/>
    </row>
    <row r="4617" spans="20:21" x14ac:dyDescent="0.25">
      <c r="T4617" s="98"/>
      <c r="U4617" s="99"/>
    </row>
    <row r="4618" spans="20:21" x14ac:dyDescent="0.25">
      <c r="T4618" s="98"/>
      <c r="U4618" s="99"/>
    </row>
    <row r="4619" spans="20:21" x14ac:dyDescent="0.25">
      <c r="T4619" s="98"/>
      <c r="U4619" s="99"/>
    </row>
    <row r="4620" spans="20:21" x14ac:dyDescent="0.25">
      <c r="T4620" s="98"/>
      <c r="U4620" s="99"/>
    </row>
    <row r="4621" spans="20:21" x14ac:dyDescent="0.25">
      <c r="T4621" s="98"/>
      <c r="U4621" s="99"/>
    </row>
    <row r="4622" spans="20:21" x14ac:dyDescent="0.25">
      <c r="T4622" s="98"/>
      <c r="U4622" s="99"/>
    </row>
    <row r="4623" spans="20:21" x14ac:dyDescent="0.25">
      <c r="T4623" s="98"/>
      <c r="U4623" s="99"/>
    </row>
    <row r="4624" spans="20:21" x14ac:dyDescent="0.25">
      <c r="T4624" s="98"/>
      <c r="U4624" s="99"/>
    </row>
    <row r="4625" spans="20:21" x14ac:dyDescent="0.25">
      <c r="T4625" s="98"/>
      <c r="U4625" s="99"/>
    </row>
    <row r="4626" spans="20:21" x14ac:dyDescent="0.25">
      <c r="T4626" s="98"/>
      <c r="U4626" s="99"/>
    </row>
    <row r="4627" spans="20:21" x14ac:dyDescent="0.25">
      <c r="T4627" s="98"/>
      <c r="U4627" s="99"/>
    </row>
    <row r="4628" spans="20:21" x14ac:dyDescent="0.25">
      <c r="T4628" s="98"/>
      <c r="U4628" s="99"/>
    </row>
    <row r="4629" spans="20:21" x14ac:dyDescent="0.25">
      <c r="T4629" s="98"/>
      <c r="U4629" s="99"/>
    </row>
    <row r="4630" spans="20:21" x14ac:dyDescent="0.25">
      <c r="T4630" s="98"/>
      <c r="U4630" s="99"/>
    </row>
    <row r="4631" spans="20:21" x14ac:dyDescent="0.25">
      <c r="T4631" s="98"/>
      <c r="U4631" s="99"/>
    </row>
    <row r="4632" spans="20:21" x14ac:dyDescent="0.25">
      <c r="T4632" s="98"/>
      <c r="U4632" s="99"/>
    </row>
    <row r="4633" spans="20:21" x14ac:dyDescent="0.25">
      <c r="T4633" s="98"/>
      <c r="U4633" s="99"/>
    </row>
    <row r="4634" spans="20:21" x14ac:dyDescent="0.25">
      <c r="T4634" s="98"/>
      <c r="U4634" s="99"/>
    </row>
    <row r="4635" spans="20:21" x14ac:dyDescent="0.25">
      <c r="T4635" s="98"/>
      <c r="U4635" s="99"/>
    </row>
    <row r="4636" spans="20:21" x14ac:dyDescent="0.25">
      <c r="T4636" s="98"/>
      <c r="U4636" s="99"/>
    </row>
    <row r="4637" spans="20:21" x14ac:dyDescent="0.25">
      <c r="T4637" s="98"/>
      <c r="U4637" s="99"/>
    </row>
    <row r="4638" spans="20:21" x14ac:dyDescent="0.25">
      <c r="T4638" s="98"/>
      <c r="U4638" s="99"/>
    </row>
    <row r="4639" spans="20:21" x14ac:dyDescent="0.25">
      <c r="T4639" s="98"/>
      <c r="U4639" s="99"/>
    </row>
    <row r="4640" spans="20:21" x14ac:dyDescent="0.25">
      <c r="T4640" s="98"/>
      <c r="U4640" s="99"/>
    </row>
    <row r="4641" spans="20:21" x14ac:dyDescent="0.25">
      <c r="T4641" s="98"/>
      <c r="U4641" s="99"/>
    </row>
    <row r="4642" spans="20:21" x14ac:dyDescent="0.25">
      <c r="T4642" s="98"/>
      <c r="U4642" s="99"/>
    </row>
    <row r="4643" spans="20:21" x14ac:dyDescent="0.25">
      <c r="T4643" s="98"/>
      <c r="U4643" s="99"/>
    </row>
    <row r="4644" spans="20:21" x14ac:dyDescent="0.25">
      <c r="T4644" s="98"/>
      <c r="U4644" s="99"/>
    </row>
    <row r="4645" spans="20:21" x14ac:dyDescent="0.25">
      <c r="T4645" s="98"/>
      <c r="U4645" s="99"/>
    </row>
    <row r="4646" spans="20:21" x14ac:dyDescent="0.25">
      <c r="T4646" s="98"/>
      <c r="U4646" s="99"/>
    </row>
    <row r="4647" spans="20:21" x14ac:dyDescent="0.25">
      <c r="T4647" s="98"/>
      <c r="U4647" s="99"/>
    </row>
    <row r="4648" spans="20:21" x14ac:dyDescent="0.25">
      <c r="T4648" s="98"/>
      <c r="U4648" s="99"/>
    </row>
    <row r="4649" spans="20:21" x14ac:dyDescent="0.25">
      <c r="T4649" s="98"/>
      <c r="U4649" s="99"/>
    </row>
    <row r="4650" spans="20:21" x14ac:dyDescent="0.25">
      <c r="T4650" s="98"/>
      <c r="U4650" s="99"/>
    </row>
    <row r="4651" spans="20:21" x14ac:dyDescent="0.25">
      <c r="T4651" s="98"/>
      <c r="U4651" s="99"/>
    </row>
    <row r="4652" spans="20:21" x14ac:dyDescent="0.25">
      <c r="T4652" s="98"/>
      <c r="U4652" s="99"/>
    </row>
    <row r="4653" spans="20:21" x14ac:dyDescent="0.25">
      <c r="T4653" s="98"/>
      <c r="U4653" s="99"/>
    </row>
    <row r="4654" spans="20:21" x14ac:dyDescent="0.25">
      <c r="T4654" s="98"/>
      <c r="U4654" s="99"/>
    </row>
    <row r="4655" spans="20:21" x14ac:dyDescent="0.25">
      <c r="T4655" s="98"/>
      <c r="U4655" s="99"/>
    </row>
    <row r="4656" spans="20:21" x14ac:dyDescent="0.25">
      <c r="T4656" s="98"/>
      <c r="U4656" s="99"/>
    </row>
    <row r="4657" spans="20:21" x14ac:dyDescent="0.25">
      <c r="T4657" s="98"/>
      <c r="U4657" s="99"/>
    </row>
    <row r="4658" spans="20:21" x14ac:dyDescent="0.25">
      <c r="T4658" s="98"/>
      <c r="U4658" s="99"/>
    </row>
    <row r="4659" spans="20:21" x14ac:dyDescent="0.25">
      <c r="T4659" s="98"/>
      <c r="U4659" s="99"/>
    </row>
    <row r="4660" spans="20:21" x14ac:dyDescent="0.25">
      <c r="T4660" s="98"/>
      <c r="U4660" s="99"/>
    </row>
    <row r="4661" spans="20:21" x14ac:dyDescent="0.25">
      <c r="T4661" s="98"/>
      <c r="U4661" s="99"/>
    </row>
    <row r="4662" spans="20:21" x14ac:dyDescent="0.25">
      <c r="T4662" s="98"/>
      <c r="U4662" s="99"/>
    </row>
    <row r="4663" spans="20:21" x14ac:dyDescent="0.25">
      <c r="T4663" s="98"/>
      <c r="U4663" s="99"/>
    </row>
    <row r="4664" spans="20:21" x14ac:dyDescent="0.25">
      <c r="T4664" s="98"/>
      <c r="U4664" s="99"/>
    </row>
    <row r="4665" spans="20:21" x14ac:dyDescent="0.25">
      <c r="T4665" s="98"/>
      <c r="U4665" s="99"/>
    </row>
    <row r="4666" spans="20:21" x14ac:dyDescent="0.25">
      <c r="T4666" s="98"/>
      <c r="U4666" s="99"/>
    </row>
    <row r="4667" spans="20:21" x14ac:dyDescent="0.25">
      <c r="T4667" s="98"/>
      <c r="U4667" s="99"/>
    </row>
    <row r="4668" spans="20:21" x14ac:dyDescent="0.25">
      <c r="T4668" s="98"/>
      <c r="U4668" s="99"/>
    </row>
    <row r="4669" spans="20:21" x14ac:dyDescent="0.25">
      <c r="T4669" s="98"/>
      <c r="U4669" s="99"/>
    </row>
    <row r="4670" spans="20:21" x14ac:dyDescent="0.25">
      <c r="T4670" s="98"/>
      <c r="U4670" s="99"/>
    </row>
    <row r="4671" spans="20:21" x14ac:dyDescent="0.25">
      <c r="T4671" s="98"/>
      <c r="U4671" s="99"/>
    </row>
    <row r="4672" spans="20:21" x14ac:dyDescent="0.25">
      <c r="T4672" s="98"/>
      <c r="U4672" s="99"/>
    </row>
    <row r="4673" spans="20:21" x14ac:dyDescent="0.25">
      <c r="T4673" s="98"/>
      <c r="U4673" s="99"/>
    </row>
    <row r="4674" spans="20:21" x14ac:dyDescent="0.25">
      <c r="T4674" s="98"/>
      <c r="U4674" s="99"/>
    </row>
    <row r="4675" spans="20:21" x14ac:dyDescent="0.25">
      <c r="T4675" s="98"/>
      <c r="U4675" s="99"/>
    </row>
    <row r="4676" spans="20:21" x14ac:dyDescent="0.25">
      <c r="T4676" s="98"/>
      <c r="U4676" s="99"/>
    </row>
    <row r="4677" spans="20:21" x14ac:dyDescent="0.25">
      <c r="T4677" s="98"/>
      <c r="U4677" s="99"/>
    </row>
    <row r="4678" spans="20:21" x14ac:dyDescent="0.25">
      <c r="T4678" s="98"/>
      <c r="U4678" s="99"/>
    </row>
    <row r="4679" spans="20:21" x14ac:dyDescent="0.25">
      <c r="T4679" s="98"/>
      <c r="U4679" s="99"/>
    </row>
    <row r="4680" spans="20:21" x14ac:dyDescent="0.25">
      <c r="T4680" s="98"/>
      <c r="U4680" s="99"/>
    </row>
    <row r="4681" spans="20:21" x14ac:dyDescent="0.25">
      <c r="T4681" s="98"/>
      <c r="U4681" s="99"/>
    </row>
    <row r="4682" spans="20:21" x14ac:dyDescent="0.25">
      <c r="T4682" s="98"/>
      <c r="U4682" s="99"/>
    </row>
    <row r="4683" spans="20:21" x14ac:dyDescent="0.25">
      <c r="T4683" s="98"/>
      <c r="U4683" s="99"/>
    </row>
    <row r="4684" spans="20:21" x14ac:dyDescent="0.25">
      <c r="T4684" s="98"/>
      <c r="U4684" s="99"/>
    </row>
    <row r="4685" spans="20:21" x14ac:dyDescent="0.25">
      <c r="T4685" s="98"/>
      <c r="U4685" s="99"/>
    </row>
    <row r="4686" spans="20:21" x14ac:dyDescent="0.25">
      <c r="T4686" s="98"/>
      <c r="U4686" s="99"/>
    </row>
    <row r="4687" spans="20:21" x14ac:dyDescent="0.25">
      <c r="T4687" s="98"/>
      <c r="U4687" s="99"/>
    </row>
    <row r="4688" spans="20:21" x14ac:dyDescent="0.25">
      <c r="T4688" s="98"/>
      <c r="U4688" s="99"/>
    </row>
    <row r="4689" spans="20:21" x14ac:dyDescent="0.25">
      <c r="T4689" s="98"/>
      <c r="U4689" s="99"/>
    </row>
    <row r="4690" spans="20:21" x14ac:dyDescent="0.25">
      <c r="T4690" s="98"/>
      <c r="U4690" s="99"/>
    </row>
    <row r="4691" spans="20:21" x14ac:dyDescent="0.25">
      <c r="T4691" s="98"/>
      <c r="U4691" s="99"/>
    </row>
    <row r="4692" spans="20:21" x14ac:dyDescent="0.25">
      <c r="T4692" s="98"/>
      <c r="U4692" s="99"/>
    </row>
    <row r="4693" spans="20:21" x14ac:dyDescent="0.25">
      <c r="T4693" s="98"/>
      <c r="U4693" s="99"/>
    </row>
    <row r="4694" spans="20:21" x14ac:dyDescent="0.25">
      <c r="T4694" s="98"/>
      <c r="U4694" s="99"/>
    </row>
    <row r="4695" spans="20:21" x14ac:dyDescent="0.25">
      <c r="T4695" s="98"/>
      <c r="U4695" s="99"/>
    </row>
    <row r="4696" spans="20:21" x14ac:dyDescent="0.25">
      <c r="T4696" s="98"/>
      <c r="U4696" s="99"/>
    </row>
    <row r="4697" spans="20:21" x14ac:dyDescent="0.25">
      <c r="T4697" s="98"/>
      <c r="U4697" s="99"/>
    </row>
    <row r="4698" spans="20:21" x14ac:dyDescent="0.25">
      <c r="T4698" s="98"/>
      <c r="U4698" s="99"/>
    </row>
    <row r="4699" spans="20:21" x14ac:dyDescent="0.25">
      <c r="T4699" s="98"/>
      <c r="U4699" s="99"/>
    </row>
    <row r="4700" spans="20:21" x14ac:dyDescent="0.25">
      <c r="T4700" s="98"/>
      <c r="U4700" s="99"/>
    </row>
    <row r="4701" spans="20:21" x14ac:dyDescent="0.25">
      <c r="T4701" s="98"/>
      <c r="U4701" s="99"/>
    </row>
    <row r="4702" spans="20:21" x14ac:dyDescent="0.25">
      <c r="T4702" s="98"/>
      <c r="U4702" s="99"/>
    </row>
    <row r="4703" spans="20:21" x14ac:dyDescent="0.25">
      <c r="T4703" s="98"/>
      <c r="U4703" s="99"/>
    </row>
    <row r="4704" spans="20:21" x14ac:dyDescent="0.25">
      <c r="T4704" s="98"/>
      <c r="U4704" s="99"/>
    </row>
    <row r="4705" spans="20:21" x14ac:dyDescent="0.25">
      <c r="T4705" s="98"/>
      <c r="U4705" s="99"/>
    </row>
    <row r="4706" spans="20:21" x14ac:dyDescent="0.25">
      <c r="T4706" s="98"/>
      <c r="U4706" s="99"/>
    </row>
    <row r="4707" spans="20:21" x14ac:dyDescent="0.25">
      <c r="T4707" s="98"/>
      <c r="U4707" s="99"/>
    </row>
    <row r="4708" spans="20:21" x14ac:dyDescent="0.25">
      <c r="T4708" s="98"/>
      <c r="U4708" s="99"/>
    </row>
    <row r="4709" spans="20:21" x14ac:dyDescent="0.25">
      <c r="T4709" s="98"/>
      <c r="U4709" s="99"/>
    </row>
    <row r="4710" spans="20:21" x14ac:dyDescent="0.25">
      <c r="T4710" s="98"/>
      <c r="U4710" s="99"/>
    </row>
    <row r="4711" spans="20:21" x14ac:dyDescent="0.25">
      <c r="T4711" s="98"/>
      <c r="U4711" s="99"/>
    </row>
    <row r="4712" spans="20:21" x14ac:dyDescent="0.25">
      <c r="T4712" s="98"/>
      <c r="U4712" s="99"/>
    </row>
    <row r="4713" spans="20:21" x14ac:dyDescent="0.25">
      <c r="T4713" s="98"/>
      <c r="U4713" s="99"/>
    </row>
    <row r="4714" spans="20:21" x14ac:dyDescent="0.25">
      <c r="T4714" s="98"/>
      <c r="U4714" s="99"/>
    </row>
    <row r="4715" spans="20:21" x14ac:dyDescent="0.25">
      <c r="T4715" s="98"/>
      <c r="U4715" s="99"/>
    </row>
    <row r="4716" spans="20:21" x14ac:dyDescent="0.25">
      <c r="T4716" s="98"/>
      <c r="U4716" s="99"/>
    </row>
    <row r="4717" spans="20:21" x14ac:dyDescent="0.25">
      <c r="T4717" s="98"/>
      <c r="U4717" s="99"/>
    </row>
    <row r="4718" spans="20:21" x14ac:dyDescent="0.25">
      <c r="T4718" s="98"/>
      <c r="U4718" s="99"/>
    </row>
    <row r="4719" spans="20:21" x14ac:dyDescent="0.25">
      <c r="T4719" s="98"/>
      <c r="U4719" s="99"/>
    </row>
    <row r="4720" spans="20:21" x14ac:dyDescent="0.25">
      <c r="T4720" s="98"/>
      <c r="U4720" s="99"/>
    </row>
    <row r="4721" spans="20:21" x14ac:dyDescent="0.25">
      <c r="T4721" s="98"/>
      <c r="U4721" s="99"/>
    </row>
    <row r="4722" spans="20:21" x14ac:dyDescent="0.25">
      <c r="T4722" s="98"/>
      <c r="U4722" s="99"/>
    </row>
    <row r="4723" spans="20:21" x14ac:dyDescent="0.25">
      <c r="T4723" s="98"/>
      <c r="U4723" s="99"/>
    </row>
    <row r="4724" spans="20:21" x14ac:dyDescent="0.25">
      <c r="T4724" s="98"/>
      <c r="U4724" s="99"/>
    </row>
    <row r="4725" spans="20:21" x14ac:dyDescent="0.25">
      <c r="T4725" s="98"/>
      <c r="U4725" s="99"/>
    </row>
    <row r="4726" spans="20:21" x14ac:dyDescent="0.25">
      <c r="T4726" s="98"/>
      <c r="U4726" s="99"/>
    </row>
    <row r="4727" spans="20:21" x14ac:dyDescent="0.25">
      <c r="T4727" s="98"/>
      <c r="U4727" s="99"/>
    </row>
    <row r="4728" spans="20:21" x14ac:dyDescent="0.25">
      <c r="T4728" s="98"/>
      <c r="U4728" s="99"/>
    </row>
    <row r="4729" spans="20:21" x14ac:dyDescent="0.25">
      <c r="T4729" s="98"/>
      <c r="U4729" s="99"/>
    </row>
    <row r="4730" spans="20:21" x14ac:dyDescent="0.25">
      <c r="T4730" s="98"/>
      <c r="U4730" s="99"/>
    </row>
    <row r="4731" spans="20:21" x14ac:dyDescent="0.25">
      <c r="T4731" s="98"/>
      <c r="U4731" s="99"/>
    </row>
    <row r="4732" spans="20:21" x14ac:dyDescent="0.25">
      <c r="T4732" s="98"/>
      <c r="U4732" s="99"/>
    </row>
    <row r="4733" spans="20:21" x14ac:dyDescent="0.25">
      <c r="T4733" s="98"/>
      <c r="U4733" s="99"/>
    </row>
    <row r="4734" spans="20:21" x14ac:dyDescent="0.25">
      <c r="T4734" s="98"/>
      <c r="U4734" s="99"/>
    </row>
    <row r="4735" spans="20:21" x14ac:dyDescent="0.25">
      <c r="T4735" s="98"/>
      <c r="U4735" s="99"/>
    </row>
    <row r="4736" spans="20:21" x14ac:dyDescent="0.25">
      <c r="T4736" s="98"/>
      <c r="U4736" s="99"/>
    </row>
    <row r="4737" spans="20:21" x14ac:dyDescent="0.25">
      <c r="T4737" s="98"/>
      <c r="U4737" s="99"/>
    </row>
    <row r="4738" spans="20:21" x14ac:dyDescent="0.25">
      <c r="T4738" s="98"/>
      <c r="U4738" s="99"/>
    </row>
    <row r="4739" spans="20:21" x14ac:dyDescent="0.25">
      <c r="T4739" s="98"/>
      <c r="U4739" s="99"/>
    </row>
    <row r="4740" spans="20:21" x14ac:dyDescent="0.25">
      <c r="T4740" s="98"/>
      <c r="U4740" s="99"/>
    </row>
    <row r="4741" spans="20:21" x14ac:dyDescent="0.25">
      <c r="T4741" s="98"/>
      <c r="U4741" s="99"/>
    </row>
    <row r="4742" spans="20:21" x14ac:dyDescent="0.25">
      <c r="T4742" s="98"/>
      <c r="U4742" s="99"/>
    </row>
    <row r="4743" spans="20:21" x14ac:dyDescent="0.25">
      <c r="T4743" s="98"/>
      <c r="U4743" s="99"/>
    </row>
    <row r="4744" spans="20:21" x14ac:dyDescent="0.25">
      <c r="T4744" s="98"/>
      <c r="U4744" s="99"/>
    </row>
    <row r="4745" spans="20:21" x14ac:dyDescent="0.25">
      <c r="T4745" s="98"/>
      <c r="U4745" s="99"/>
    </row>
    <row r="4746" spans="20:21" x14ac:dyDescent="0.25">
      <c r="T4746" s="98"/>
      <c r="U4746" s="99"/>
    </row>
    <row r="4747" spans="20:21" x14ac:dyDescent="0.25">
      <c r="T4747" s="98"/>
      <c r="U4747" s="99"/>
    </row>
    <row r="4748" spans="20:21" x14ac:dyDescent="0.25">
      <c r="T4748" s="98"/>
      <c r="U4748" s="99"/>
    </row>
    <row r="4749" spans="20:21" x14ac:dyDescent="0.25">
      <c r="T4749" s="98"/>
      <c r="U4749" s="99"/>
    </row>
    <row r="4750" spans="20:21" x14ac:dyDescent="0.25">
      <c r="T4750" s="98"/>
      <c r="U4750" s="99"/>
    </row>
    <row r="4751" spans="20:21" x14ac:dyDescent="0.25">
      <c r="T4751" s="98"/>
      <c r="U4751" s="99"/>
    </row>
    <row r="4752" spans="20:21" x14ac:dyDescent="0.25">
      <c r="T4752" s="98"/>
      <c r="U4752" s="99"/>
    </row>
    <row r="4753" spans="20:21" x14ac:dyDescent="0.25">
      <c r="T4753" s="98"/>
      <c r="U4753" s="99"/>
    </row>
    <row r="4754" spans="20:21" x14ac:dyDescent="0.25">
      <c r="T4754" s="98"/>
      <c r="U4754" s="99"/>
    </row>
    <row r="4755" spans="20:21" x14ac:dyDescent="0.25">
      <c r="T4755" s="98"/>
      <c r="U4755" s="99"/>
    </row>
    <row r="4756" spans="20:21" x14ac:dyDescent="0.25">
      <c r="T4756" s="98"/>
      <c r="U4756" s="99"/>
    </row>
    <row r="4757" spans="20:21" x14ac:dyDescent="0.25">
      <c r="T4757" s="98"/>
      <c r="U4757" s="99"/>
    </row>
    <row r="4758" spans="20:21" x14ac:dyDescent="0.25">
      <c r="T4758" s="98"/>
      <c r="U4758" s="99"/>
    </row>
    <row r="4759" spans="20:21" x14ac:dyDescent="0.25">
      <c r="T4759" s="98"/>
      <c r="U4759" s="99"/>
    </row>
    <row r="4760" spans="20:21" x14ac:dyDescent="0.25">
      <c r="T4760" s="98"/>
      <c r="U4760" s="99"/>
    </row>
    <row r="4761" spans="20:21" x14ac:dyDescent="0.25">
      <c r="T4761" s="98"/>
      <c r="U4761" s="99"/>
    </row>
    <row r="4762" spans="20:21" x14ac:dyDescent="0.25">
      <c r="T4762" s="98"/>
      <c r="U4762" s="99"/>
    </row>
    <row r="4763" spans="20:21" x14ac:dyDescent="0.25">
      <c r="T4763" s="98"/>
      <c r="U4763" s="99"/>
    </row>
    <row r="4764" spans="20:21" x14ac:dyDescent="0.25">
      <c r="T4764" s="98"/>
      <c r="U4764" s="99"/>
    </row>
    <row r="4765" spans="20:21" x14ac:dyDescent="0.25">
      <c r="T4765" s="98"/>
      <c r="U4765" s="99"/>
    </row>
    <row r="4766" spans="20:21" x14ac:dyDescent="0.25">
      <c r="T4766" s="98"/>
      <c r="U4766" s="99"/>
    </row>
    <row r="4767" spans="20:21" x14ac:dyDescent="0.25">
      <c r="T4767" s="98"/>
      <c r="U4767" s="99"/>
    </row>
    <row r="4768" spans="20:21" x14ac:dyDescent="0.25">
      <c r="T4768" s="98"/>
      <c r="U4768" s="99"/>
    </row>
    <row r="4769" spans="20:21" x14ac:dyDescent="0.25">
      <c r="T4769" s="98"/>
      <c r="U4769" s="99"/>
    </row>
    <row r="4770" spans="20:21" x14ac:dyDescent="0.25">
      <c r="T4770" s="98"/>
      <c r="U4770" s="99"/>
    </row>
    <row r="4771" spans="20:21" x14ac:dyDescent="0.25">
      <c r="T4771" s="98"/>
      <c r="U4771" s="99"/>
    </row>
    <row r="4772" spans="20:21" x14ac:dyDescent="0.25">
      <c r="T4772" s="98"/>
      <c r="U4772" s="99"/>
    </row>
    <row r="4773" spans="20:21" x14ac:dyDescent="0.25">
      <c r="T4773" s="98"/>
      <c r="U4773" s="99"/>
    </row>
    <row r="4774" spans="20:21" x14ac:dyDescent="0.25">
      <c r="T4774" s="98"/>
      <c r="U4774" s="99"/>
    </row>
    <row r="4775" spans="20:21" x14ac:dyDescent="0.25">
      <c r="T4775" s="98"/>
      <c r="U4775" s="99"/>
    </row>
    <row r="4776" spans="20:21" x14ac:dyDescent="0.25">
      <c r="T4776" s="98"/>
      <c r="U4776" s="99"/>
    </row>
    <row r="4777" spans="20:21" x14ac:dyDescent="0.25">
      <c r="T4777" s="98"/>
      <c r="U4777" s="99"/>
    </row>
    <row r="4778" spans="20:21" x14ac:dyDescent="0.25">
      <c r="T4778" s="98"/>
      <c r="U4778" s="99"/>
    </row>
    <row r="4779" spans="20:21" x14ac:dyDescent="0.25">
      <c r="T4779" s="98"/>
      <c r="U4779" s="99"/>
    </row>
    <row r="4780" spans="20:21" x14ac:dyDescent="0.25">
      <c r="T4780" s="98"/>
      <c r="U4780" s="99"/>
    </row>
    <row r="4781" spans="20:21" x14ac:dyDescent="0.25">
      <c r="T4781" s="98"/>
      <c r="U4781" s="99"/>
    </row>
    <row r="4782" spans="20:21" x14ac:dyDescent="0.25">
      <c r="T4782" s="98"/>
      <c r="U4782" s="99"/>
    </row>
    <row r="4783" spans="20:21" x14ac:dyDescent="0.25">
      <c r="T4783" s="98"/>
      <c r="U4783" s="99"/>
    </row>
    <row r="4784" spans="20:21" x14ac:dyDescent="0.25">
      <c r="T4784" s="98"/>
      <c r="U4784" s="99"/>
    </row>
    <row r="4785" spans="20:21" x14ac:dyDescent="0.25">
      <c r="T4785" s="98"/>
      <c r="U4785" s="99"/>
    </row>
    <row r="4786" spans="20:21" x14ac:dyDescent="0.25">
      <c r="T4786" s="98"/>
      <c r="U4786" s="99"/>
    </row>
    <row r="4787" spans="20:21" x14ac:dyDescent="0.25">
      <c r="T4787" s="98"/>
      <c r="U4787" s="99"/>
    </row>
    <row r="4788" spans="20:21" x14ac:dyDescent="0.25">
      <c r="T4788" s="98"/>
      <c r="U4788" s="99"/>
    </row>
    <row r="4789" spans="20:21" x14ac:dyDescent="0.25">
      <c r="T4789" s="98"/>
      <c r="U4789" s="99"/>
    </row>
    <row r="4790" spans="20:21" x14ac:dyDescent="0.25">
      <c r="T4790" s="98"/>
      <c r="U4790" s="99"/>
    </row>
    <row r="4791" spans="20:21" x14ac:dyDescent="0.25">
      <c r="T4791" s="98"/>
      <c r="U4791" s="99"/>
    </row>
    <row r="4792" spans="20:21" x14ac:dyDescent="0.25">
      <c r="T4792" s="98"/>
      <c r="U4792" s="99"/>
    </row>
    <row r="4793" spans="20:21" x14ac:dyDescent="0.25">
      <c r="T4793" s="98"/>
      <c r="U4793" s="99"/>
    </row>
    <row r="4794" spans="20:21" x14ac:dyDescent="0.25">
      <c r="T4794" s="98"/>
      <c r="U4794" s="99"/>
    </row>
    <row r="4795" spans="20:21" x14ac:dyDescent="0.25">
      <c r="T4795" s="98"/>
      <c r="U4795" s="99"/>
    </row>
    <row r="4796" spans="20:21" x14ac:dyDescent="0.25">
      <c r="T4796" s="98"/>
      <c r="U4796" s="99"/>
    </row>
    <row r="4797" spans="20:21" x14ac:dyDescent="0.25">
      <c r="T4797" s="98"/>
      <c r="U4797" s="99"/>
    </row>
    <row r="4798" spans="20:21" x14ac:dyDescent="0.25">
      <c r="T4798" s="98"/>
      <c r="U4798" s="99"/>
    </row>
    <row r="4799" spans="20:21" x14ac:dyDescent="0.25">
      <c r="T4799" s="98"/>
      <c r="U4799" s="99"/>
    </row>
    <row r="4800" spans="20:21" x14ac:dyDescent="0.25">
      <c r="T4800" s="98"/>
      <c r="U4800" s="99"/>
    </row>
    <row r="4801" spans="20:21" x14ac:dyDescent="0.25">
      <c r="T4801" s="98"/>
      <c r="U4801" s="99"/>
    </row>
    <row r="4802" spans="20:21" x14ac:dyDescent="0.25">
      <c r="T4802" s="98"/>
      <c r="U4802" s="99"/>
    </row>
    <row r="4803" spans="20:21" x14ac:dyDescent="0.25">
      <c r="T4803" s="98"/>
      <c r="U4803" s="99"/>
    </row>
    <row r="4804" spans="20:21" x14ac:dyDescent="0.25">
      <c r="T4804" s="98"/>
      <c r="U4804" s="99"/>
    </row>
    <row r="4805" spans="20:21" x14ac:dyDescent="0.25">
      <c r="T4805" s="98"/>
      <c r="U4805" s="99"/>
    </row>
    <row r="4806" spans="20:21" x14ac:dyDescent="0.25">
      <c r="T4806" s="98"/>
      <c r="U4806" s="99"/>
    </row>
    <row r="4807" spans="20:21" x14ac:dyDescent="0.25">
      <c r="T4807" s="98"/>
      <c r="U4807" s="99"/>
    </row>
    <row r="4808" spans="20:21" x14ac:dyDescent="0.25">
      <c r="T4808" s="98"/>
      <c r="U4808" s="99"/>
    </row>
    <row r="4809" spans="20:21" x14ac:dyDescent="0.25">
      <c r="T4809" s="98"/>
      <c r="U4809" s="99"/>
    </row>
    <row r="4810" spans="20:21" x14ac:dyDescent="0.25">
      <c r="T4810" s="98"/>
      <c r="U4810" s="99"/>
    </row>
    <row r="4811" spans="20:21" x14ac:dyDescent="0.25">
      <c r="T4811" s="98"/>
      <c r="U4811" s="99"/>
    </row>
    <row r="4812" spans="20:21" x14ac:dyDescent="0.25">
      <c r="T4812" s="98"/>
      <c r="U4812" s="99"/>
    </row>
    <row r="4813" spans="20:21" x14ac:dyDescent="0.25">
      <c r="T4813" s="98"/>
      <c r="U4813" s="99"/>
    </row>
    <row r="4814" spans="20:21" x14ac:dyDescent="0.25">
      <c r="T4814" s="98"/>
      <c r="U4814" s="99"/>
    </row>
    <row r="4815" spans="20:21" x14ac:dyDescent="0.25">
      <c r="T4815" s="98"/>
      <c r="U4815" s="99"/>
    </row>
    <row r="4816" spans="20:21" x14ac:dyDescent="0.25">
      <c r="T4816" s="98"/>
      <c r="U4816" s="99"/>
    </row>
    <row r="4817" spans="20:21" x14ac:dyDescent="0.25">
      <c r="T4817" s="98"/>
      <c r="U4817" s="99"/>
    </row>
    <row r="4818" spans="20:21" x14ac:dyDescent="0.25">
      <c r="T4818" s="98"/>
      <c r="U4818" s="99"/>
    </row>
    <row r="4819" spans="20:21" x14ac:dyDescent="0.25">
      <c r="T4819" s="98"/>
      <c r="U4819" s="99"/>
    </row>
    <row r="4820" spans="20:21" x14ac:dyDescent="0.25">
      <c r="T4820" s="98"/>
      <c r="U4820" s="99"/>
    </row>
    <row r="4821" spans="20:21" x14ac:dyDescent="0.25">
      <c r="T4821" s="98"/>
      <c r="U4821" s="99"/>
    </row>
    <row r="4822" spans="20:21" x14ac:dyDescent="0.25">
      <c r="T4822" s="98"/>
      <c r="U4822" s="99"/>
    </row>
    <row r="4823" spans="20:21" x14ac:dyDescent="0.25">
      <c r="T4823" s="98"/>
      <c r="U4823" s="99"/>
    </row>
    <row r="4824" spans="20:21" x14ac:dyDescent="0.25">
      <c r="T4824" s="98"/>
      <c r="U4824" s="99"/>
    </row>
    <row r="4825" spans="20:21" x14ac:dyDescent="0.25">
      <c r="T4825" s="98"/>
      <c r="U4825" s="99"/>
    </row>
    <row r="4826" spans="20:21" x14ac:dyDescent="0.25">
      <c r="T4826" s="98"/>
      <c r="U4826" s="99"/>
    </row>
    <row r="4827" spans="20:21" x14ac:dyDescent="0.25">
      <c r="T4827" s="98"/>
      <c r="U4827" s="99"/>
    </row>
    <row r="4828" spans="20:21" x14ac:dyDescent="0.25">
      <c r="T4828" s="98"/>
      <c r="U4828" s="99"/>
    </row>
    <row r="4829" spans="20:21" x14ac:dyDescent="0.25">
      <c r="T4829" s="98"/>
      <c r="U4829" s="99"/>
    </row>
    <row r="4830" spans="20:21" x14ac:dyDescent="0.25">
      <c r="T4830" s="98"/>
      <c r="U4830" s="99"/>
    </row>
    <row r="4831" spans="20:21" x14ac:dyDescent="0.25">
      <c r="T4831" s="98"/>
      <c r="U4831" s="99"/>
    </row>
    <row r="4832" spans="20:21" x14ac:dyDescent="0.25">
      <c r="T4832" s="98"/>
      <c r="U4832" s="99"/>
    </row>
    <row r="4833" spans="20:21" x14ac:dyDescent="0.25">
      <c r="T4833" s="98"/>
      <c r="U4833" s="99"/>
    </row>
    <row r="4834" spans="20:21" x14ac:dyDescent="0.25">
      <c r="T4834" s="98"/>
      <c r="U4834" s="99"/>
    </row>
    <row r="4835" spans="20:21" x14ac:dyDescent="0.25">
      <c r="T4835" s="98"/>
      <c r="U4835" s="99"/>
    </row>
    <row r="4836" spans="20:21" x14ac:dyDescent="0.25">
      <c r="T4836" s="98"/>
      <c r="U4836" s="99"/>
    </row>
    <row r="4837" spans="20:21" x14ac:dyDescent="0.25">
      <c r="T4837" s="98"/>
      <c r="U4837" s="99"/>
    </row>
    <row r="4838" spans="20:21" x14ac:dyDescent="0.25">
      <c r="T4838" s="98"/>
      <c r="U4838" s="99"/>
    </row>
    <row r="4839" spans="20:21" x14ac:dyDescent="0.25">
      <c r="T4839" s="98"/>
      <c r="U4839" s="99"/>
    </row>
    <row r="4840" spans="20:21" x14ac:dyDescent="0.25">
      <c r="T4840" s="98"/>
      <c r="U4840" s="99"/>
    </row>
    <row r="4841" spans="20:21" x14ac:dyDescent="0.25">
      <c r="T4841" s="98"/>
      <c r="U4841" s="99"/>
    </row>
    <row r="4842" spans="20:21" x14ac:dyDescent="0.25">
      <c r="T4842" s="98"/>
      <c r="U4842" s="99"/>
    </row>
    <row r="4843" spans="20:21" x14ac:dyDescent="0.25">
      <c r="T4843" s="98"/>
      <c r="U4843" s="99"/>
    </row>
    <row r="4844" spans="20:21" x14ac:dyDescent="0.25">
      <c r="T4844" s="98"/>
      <c r="U4844" s="99"/>
    </row>
    <row r="4845" spans="20:21" x14ac:dyDescent="0.25">
      <c r="T4845" s="98"/>
      <c r="U4845" s="99"/>
    </row>
    <row r="4846" spans="20:21" x14ac:dyDescent="0.25">
      <c r="T4846" s="98"/>
      <c r="U4846" s="99"/>
    </row>
    <row r="4847" spans="20:21" x14ac:dyDescent="0.25">
      <c r="T4847" s="98"/>
      <c r="U4847" s="99"/>
    </row>
    <row r="4848" spans="20:21" x14ac:dyDescent="0.25">
      <c r="T4848" s="98"/>
      <c r="U4848" s="99"/>
    </row>
    <row r="4849" spans="20:21" x14ac:dyDescent="0.25">
      <c r="T4849" s="98"/>
      <c r="U4849" s="99"/>
    </row>
    <row r="4850" spans="20:21" x14ac:dyDescent="0.25">
      <c r="T4850" s="98"/>
      <c r="U4850" s="99"/>
    </row>
    <row r="4851" spans="20:21" x14ac:dyDescent="0.25">
      <c r="T4851" s="98"/>
      <c r="U4851" s="99"/>
    </row>
    <row r="4852" spans="20:21" x14ac:dyDescent="0.25">
      <c r="T4852" s="98"/>
      <c r="U4852" s="99"/>
    </row>
    <row r="4853" spans="20:21" x14ac:dyDescent="0.25">
      <c r="T4853" s="98"/>
      <c r="U4853" s="99"/>
    </row>
    <row r="4854" spans="20:21" x14ac:dyDescent="0.25">
      <c r="T4854" s="98"/>
      <c r="U4854" s="99"/>
    </row>
    <row r="4855" spans="20:21" x14ac:dyDescent="0.25">
      <c r="T4855" s="98"/>
      <c r="U4855" s="99"/>
    </row>
    <row r="4856" spans="20:21" x14ac:dyDescent="0.25">
      <c r="T4856" s="98"/>
      <c r="U4856" s="99"/>
    </row>
    <row r="4857" spans="20:21" x14ac:dyDescent="0.25">
      <c r="T4857" s="98"/>
      <c r="U4857" s="99"/>
    </row>
    <row r="4858" spans="20:21" x14ac:dyDescent="0.25">
      <c r="T4858" s="98"/>
      <c r="U4858" s="99"/>
    </row>
    <row r="4859" spans="20:21" x14ac:dyDescent="0.25">
      <c r="T4859" s="98"/>
      <c r="U4859" s="99"/>
    </row>
    <row r="4860" spans="20:21" x14ac:dyDescent="0.25">
      <c r="T4860" s="98"/>
      <c r="U4860" s="99"/>
    </row>
    <row r="4861" spans="20:21" x14ac:dyDescent="0.25">
      <c r="T4861" s="98"/>
      <c r="U4861" s="99"/>
    </row>
    <row r="4862" spans="20:21" x14ac:dyDescent="0.25">
      <c r="T4862" s="98"/>
      <c r="U4862" s="99"/>
    </row>
    <row r="4863" spans="20:21" x14ac:dyDescent="0.25">
      <c r="T4863" s="98"/>
      <c r="U4863" s="99"/>
    </row>
    <row r="4864" spans="20:21" x14ac:dyDescent="0.25">
      <c r="T4864" s="98"/>
      <c r="U4864" s="99"/>
    </row>
    <row r="4865" spans="20:21" x14ac:dyDescent="0.25">
      <c r="T4865" s="98"/>
      <c r="U4865" s="99"/>
    </row>
    <row r="4866" spans="20:21" x14ac:dyDescent="0.25">
      <c r="T4866" s="98"/>
      <c r="U4866" s="99"/>
    </row>
    <row r="4867" spans="20:21" x14ac:dyDescent="0.25">
      <c r="T4867" s="98"/>
      <c r="U4867" s="99"/>
    </row>
    <row r="4868" spans="20:21" x14ac:dyDescent="0.25">
      <c r="T4868" s="98"/>
      <c r="U4868" s="99"/>
    </row>
    <row r="4869" spans="20:21" x14ac:dyDescent="0.25">
      <c r="T4869" s="98"/>
      <c r="U4869" s="99"/>
    </row>
    <row r="4870" spans="20:21" x14ac:dyDescent="0.25">
      <c r="T4870" s="98"/>
      <c r="U4870" s="99"/>
    </row>
    <row r="4871" spans="20:21" x14ac:dyDescent="0.25">
      <c r="T4871" s="98"/>
      <c r="U4871" s="99"/>
    </row>
    <row r="4872" spans="20:21" x14ac:dyDescent="0.25">
      <c r="T4872" s="98"/>
      <c r="U4872" s="99"/>
    </row>
    <row r="4873" spans="20:21" x14ac:dyDescent="0.25">
      <c r="T4873" s="98"/>
      <c r="U4873" s="99"/>
    </row>
    <row r="4874" spans="20:21" x14ac:dyDescent="0.25">
      <c r="T4874" s="98"/>
      <c r="U4874" s="99"/>
    </row>
    <row r="4875" spans="20:21" x14ac:dyDescent="0.25">
      <c r="T4875" s="98"/>
      <c r="U4875" s="99"/>
    </row>
    <row r="4876" spans="20:21" x14ac:dyDescent="0.25">
      <c r="T4876" s="98"/>
      <c r="U4876" s="99"/>
    </row>
    <row r="4877" spans="20:21" x14ac:dyDescent="0.25">
      <c r="T4877" s="98"/>
      <c r="U4877" s="99"/>
    </row>
    <row r="4878" spans="20:21" x14ac:dyDescent="0.25">
      <c r="T4878" s="98"/>
      <c r="U4878" s="99"/>
    </row>
    <row r="4879" spans="20:21" x14ac:dyDescent="0.25">
      <c r="T4879" s="98"/>
      <c r="U4879" s="99"/>
    </row>
    <row r="4880" spans="20:21" x14ac:dyDescent="0.25">
      <c r="T4880" s="98"/>
      <c r="U4880" s="99"/>
    </row>
    <row r="4881" spans="20:21" x14ac:dyDescent="0.25">
      <c r="T4881" s="98"/>
      <c r="U4881" s="99"/>
    </row>
    <row r="4882" spans="20:21" x14ac:dyDescent="0.25">
      <c r="T4882" s="98"/>
      <c r="U4882" s="99"/>
    </row>
    <row r="4883" spans="20:21" x14ac:dyDescent="0.25">
      <c r="T4883" s="98"/>
      <c r="U4883" s="99"/>
    </row>
    <row r="4884" spans="20:21" x14ac:dyDescent="0.25">
      <c r="T4884" s="98"/>
      <c r="U4884" s="99"/>
    </row>
    <row r="4885" spans="20:21" x14ac:dyDescent="0.25">
      <c r="T4885" s="98"/>
      <c r="U4885" s="99"/>
    </row>
    <row r="4886" spans="20:21" x14ac:dyDescent="0.25">
      <c r="T4886" s="98"/>
      <c r="U4886" s="99"/>
    </row>
    <row r="4887" spans="20:21" x14ac:dyDescent="0.25">
      <c r="T4887" s="98"/>
      <c r="U4887" s="99"/>
    </row>
    <row r="4888" spans="20:21" x14ac:dyDescent="0.25">
      <c r="T4888" s="98"/>
      <c r="U4888" s="99"/>
    </row>
    <row r="4889" spans="20:21" x14ac:dyDescent="0.25">
      <c r="T4889" s="98"/>
      <c r="U4889" s="99"/>
    </row>
    <row r="4890" spans="20:21" x14ac:dyDescent="0.25">
      <c r="T4890" s="98"/>
      <c r="U4890" s="99"/>
    </row>
    <row r="4891" spans="20:21" x14ac:dyDescent="0.25">
      <c r="T4891" s="98"/>
      <c r="U4891" s="99"/>
    </row>
    <row r="4892" spans="20:21" x14ac:dyDescent="0.25">
      <c r="T4892" s="98"/>
      <c r="U4892" s="99"/>
    </row>
    <row r="4893" spans="20:21" x14ac:dyDescent="0.25">
      <c r="T4893" s="98"/>
      <c r="U4893" s="99"/>
    </row>
    <row r="4894" spans="20:21" x14ac:dyDescent="0.25">
      <c r="T4894" s="98"/>
      <c r="U4894" s="99"/>
    </row>
    <row r="4895" spans="20:21" x14ac:dyDescent="0.25">
      <c r="T4895" s="98"/>
      <c r="U4895" s="99"/>
    </row>
    <row r="4896" spans="20:21" x14ac:dyDescent="0.25">
      <c r="T4896" s="98"/>
      <c r="U4896" s="99"/>
    </row>
    <row r="4897" spans="20:21" x14ac:dyDescent="0.25">
      <c r="T4897" s="98"/>
      <c r="U4897" s="99"/>
    </row>
    <row r="4898" spans="20:21" x14ac:dyDescent="0.25">
      <c r="T4898" s="98"/>
      <c r="U4898" s="99"/>
    </row>
    <row r="4899" spans="20:21" x14ac:dyDescent="0.25">
      <c r="T4899" s="98"/>
      <c r="U4899" s="99"/>
    </row>
    <row r="4900" spans="20:21" x14ac:dyDescent="0.25">
      <c r="T4900" s="98"/>
      <c r="U4900" s="99"/>
    </row>
    <row r="4901" spans="20:21" x14ac:dyDescent="0.25">
      <c r="T4901" s="98"/>
      <c r="U4901" s="99"/>
    </row>
    <row r="4902" spans="20:21" x14ac:dyDescent="0.25">
      <c r="T4902" s="98"/>
      <c r="U4902" s="99"/>
    </row>
    <row r="4903" spans="20:21" x14ac:dyDescent="0.25">
      <c r="T4903" s="98"/>
      <c r="U4903" s="99"/>
    </row>
    <row r="4904" spans="20:21" x14ac:dyDescent="0.25">
      <c r="T4904" s="98"/>
      <c r="U4904" s="99"/>
    </row>
    <row r="4905" spans="20:21" x14ac:dyDescent="0.25">
      <c r="T4905" s="98"/>
      <c r="U4905" s="99"/>
    </row>
    <row r="4906" spans="20:21" x14ac:dyDescent="0.25">
      <c r="T4906" s="98"/>
      <c r="U4906" s="99"/>
    </row>
    <row r="4907" spans="20:21" x14ac:dyDescent="0.25">
      <c r="T4907" s="98"/>
      <c r="U4907" s="99"/>
    </row>
    <row r="4908" spans="20:21" x14ac:dyDescent="0.25">
      <c r="T4908" s="98"/>
      <c r="U4908" s="99"/>
    </row>
    <row r="4909" spans="20:21" x14ac:dyDescent="0.25">
      <c r="T4909" s="98"/>
      <c r="U4909" s="99"/>
    </row>
    <row r="4910" spans="20:21" x14ac:dyDescent="0.25">
      <c r="T4910" s="98"/>
      <c r="U4910" s="99"/>
    </row>
    <row r="4911" spans="20:21" x14ac:dyDescent="0.25">
      <c r="T4911" s="98"/>
      <c r="U4911" s="99"/>
    </row>
    <row r="4912" spans="20:21" x14ac:dyDescent="0.25">
      <c r="T4912" s="98"/>
      <c r="U4912" s="99"/>
    </row>
    <row r="4913" spans="20:21" x14ac:dyDescent="0.25">
      <c r="T4913" s="98"/>
      <c r="U4913" s="99"/>
    </row>
    <row r="4914" spans="20:21" x14ac:dyDescent="0.25">
      <c r="T4914" s="98"/>
      <c r="U4914" s="99"/>
    </row>
    <row r="4915" spans="20:21" x14ac:dyDescent="0.25">
      <c r="T4915" s="98"/>
      <c r="U4915" s="99"/>
    </row>
    <row r="4916" spans="20:21" x14ac:dyDescent="0.25">
      <c r="T4916" s="98"/>
      <c r="U4916" s="99"/>
    </row>
    <row r="4917" spans="20:21" x14ac:dyDescent="0.25">
      <c r="T4917" s="98"/>
      <c r="U4917" s="99"/>
    </row>
    <row r="4918" spans="20:21" x14ac:dyDescent="0.25">
      <c r="T4918" s="98"/>
      <c r="U4918" s="99"/>
    </row>
    <row r="4919" spans="20:21" x14ac:dyDescent="0.25">
      <c r="T4919" s="98"/>
      <c r="U4919" s="99"/>
    </row>
    <row r="4920" spans="20:21" x14ac:dyDescent="0.25">
      <c r="T4920" s="98"/>
      <c r="U4920" s="99"/>
    </row>
    <row r="4921" spans="20:21" x14ac:dyDescent="0.25">
      <c r="T4921" s="98"/>
      <c r="U4921" s="99"/>
    </row>
    <row r="4922" spans="20:21" x14ac:dyDescent="0.25">
      <c r="T4922" s="98"/>
      <c r="U4922" s="99"/>
    </row>
    <row r="4923" spans="20:21" x14ac:dyDescent="0.25">
      <c r="T4923" s="98"/>
      <c r="U4923" s="99"/>
    </row>
    <row r="4924" spans="20:21" x14ac:dyDescent="0.25">
      <c r="T4924" s="98"/>
      <c r="U4924" s="99"/>
    </row>
    <row r="4925" spans="20:21" x14ac:dyDescent="0.25">
      <c r="T4925" s="98"/>
      <c r="U4925" s="99"/>
    </row>
    <row r="4926" spans="20:21" x14ac:dyDescent="0.25">
      <c r="T4926" s="98"/>
      <c r="U4926" s="99"/>
    </row>
    <row r="4927" spans="20:21" x14ac:dyDescent="0.25">
      <c r="T4927" s="98"/>
      <c r="U4927" s="99"/>
    </row>
    <row r="4928" spans="20:21" x14ac:dyDescent="0.25">
      <c r="T4928" s="98"/>
      <c r="U4928" s="99"/>
    </row>
    <row r="4929" spans="20:21" x14ac:dyDescent="0.25">
      <c r="T4929" s="98"/>
      <c r="U4929" s="99"/>
    </row>
    <row r="4930" spans="20:21" x14ac:dyDescent="0.25">
      <c r="T4930" s="98"/>
      <c r="U4930" s="99"/>
    </row>
    <row r="4931" spans="20:21" x14ac:dyDescent="0.25">
      <c r="T4931" s="98"/>
      <c r="U4931" s="99"/>
    </row>
    <row r="4932" spans="20:21" x14ac:dyDescent="0.25">
      <c r="T4932" s="98"/>
      <c r="U4932" s="99"/>
    </row>
    <row r="4933" spans="20:21" x14ac:dyDescent="0.25">
      <c r="T4933" s="98"/>
      <c r="U4933" s="99"/>
    </row>
    <row r="4934" spans="20:21" x14ac:dyDescent="0.25">
      <c r="T4934" s="98"/>
      <c r="U4934" s="99"/>
    </row>
    <row r="4935" spans="20:21" x14ac:dyDescent="0.25">
      <c r="T4935" s="98"/>
      <c r="U4935" s="99"/>
    </row>
    <row r="4936" spans="20:21" x14ac:dyDescent="0.25">
      <c r="T4936" s="98"/>
      <c r="U4936" s="99"/>
    </row>
    <row r="4937" spans="20:21" x14ac:dyDescent="0.25">
      <c r="T4937" s="98"/>
      <c r="U4937" s="99"/>
    </row>
    <row r="4938" spans="20:21" x14ac:dyDescent="0.25">
      <c r="T4938" s="98"/>
      <c r="U4938" s="99"/>
    </row>
    <row r="4939" spans="20:21" x14ac:dyDescent="0.25">
      <c r="T4939" s="98"/>
      <c r="U4939" s="99"/>
    </row>
    <row r="4940" spans="20:21" x14ac:dyDescent="0.25">
      <c r="T4940" s="98"/>
      <c r="U4940" s="99"/>
    </row>
    <row r="4941" spans="20:21" x14ac:dyDescent="0.25">
      <c r="T4941" s="98"/>
      <c r="U4941" s="99"/>
    </row>
    <row r="4942" spans="20:21" x14ac:dyDescent="0.25">
      <c r="T4942" s="98"/>
      <c r="U4942" s="99"/>
    </row>
    <row r="4943" spans="20:21" x14ac:dyDescent="0.25">
      <c r="T4943" s="98"/>
      <c r="U4943" s="99"/>
    </row>
    <row r="4944" spans="20:21" x14ac:dyDescent="0.25">
      <c r="T4944" s="98"/>
      <c r="U4944" s="99"/>
    </row>
    <row r="4945" spans="20:21" x14ac:dyDescent="0.25">
      <c r="T4945" s="98"/>
      <c r="U4945" s="99"/>
    </row>
    <row r="4946" spans="20:21" x14ac:dyDescent="0.25">
      <c r="T4946" s="98"/>
      <c r="U4946" s="99"/>
    </row>
    <row r="4947" spans="20:21" x14ac:dyDescent="0.25">
      <c r="T4947" s="98"/>
      <c r="U4947" s="99"/>
    </row>
    <row r="4948" spans="20:21" x14ac:dyDescent="0.25">
      <c r="T4948" s="98"/>
      <c r="U4948" s="99"/>
    </row>
    <row r="4949" spans="20:21" x14ac:dyDescent="0.25">
      <c r="T4949" s="98"/>
      <c r="U4949" s="99"/>
    </row>
    <row r="4950" spans="20:21" x14ac:dyDescent="0.25">
      <c r="T4950" s="98"/>
      <c r="U4950" s="99"/>
    </row>
    <row r="4951" spans="20:21" x14ac:dyDescent="0.25">
      <c r="T4951" s="98"/>
      <c r="U4951" s="99"/>
    </row>
    <row r="4952" spans="20:21" x14ac:dyDescent="0.25">
      <c r="T4952" s="98"/>
      <c r="U4952" s="99"/>
    </row>
    <row r="4953" spans="20:21" x14ac:dyDescent="0.25">
      <c r="T4953" s="98"/>
      <c r="U4953" s="99"/>
    </row>
    <row r="4954" spans="20:21" x14ac:dyDescent="0.25">
      <c r="T4954" s="98"/>
      <c r="U4954" s="99"/>
    </row>
    <row r="4955" spans="20:21" x14ac:dyDescent="0.25">
      <c r="T4955" s="98"/>
      <c r="U4955" s="99"/>
    </row>
    <row r="4956" spans="20:21" x14ac:dyDescent="0.25">
      <c r="T4956" s="98"/>
      <c r="U4956" s="99"/>
    </row>
    <row r="4957" spans="20:21" x14ac:dyDescent="0.25">
      <c r="T4957" s="98"/>
      <c r="U4957" s="99"/>
    </row>
    <row r="4958" spans="20:21" x14ac:dyDescent="0.25">
      <c r="T4958" s="98"/>
      <c r="U4958" s="99"/>
    </row>
    <row r="4959" spans="20:21" x14ac:dyDescent="0.25">
      <c r="T4959" s="98"/>
      <c r="U4959" s="99"/>
    </row>
    <row r="4960" spans="20:21" x14ac:dyDescent="0.25">
      <c r="T4960" s="98"/>
      <c r="U4960" s="99"/>
    </row>
    <row r="4961" spans="20:21" x14ac:dyDescent="0.25">
      <c r="T4961" s="98"/>
      <c r="U4961" s="99"/>
    </row>
    <row r="4962" spans="20:21" x14ac:dyDescent="0.25">
      <c r="T4962" s="98"/>
      <c r="U4962" s="99"/>
    </row>
    <row r="4963" spans="20:21" x14ac:dyDescent="0.25">
      <c r="T4963" s="98"/>
      <c r="U4963" s="99"/>
    </row>
    <row r="4964" spans="20:21" x14ac:dyDescent="0.25">
      <c r="T4964" s="98"/>
      <c r="U4964" s="99"/>
    </row>
    <row r="4965" spans="20:21" x14ac:dyDescent="0.25">
      <c r="T4965" s="98"/>
      <c r="U4965" s="99"/>
    </row>
    <row r="4966" spans="20:21" x14ac:dyDescent="0.25">
      <c r="T4966" s="98"/>
      <c r="U4966" s="99"/>
    </row>
    <row r="4967" spans="20:21" x14ac:dyDescent="0.25">
      <c r="T4967" s="98"/>
      <c r="U4967" s="99"/>
    </row>
    <row r="4968" spans="20:21" x14ac:dyDescent="0.25">
      <c r="T4968" s="98"/>
      <c r="U4968" s="99"/>
    </row>
    <row r="4969" spans="20:21" x14ac:dyDescent="0.25">
      <c r="T4969" s="98"/>
      <c r="U4969" s="99"/>
    </row>
    <row r="4970" spans="20:21" x14ac:dyDescent="0.25">
      <c r="T4970" s="98"/>
      <c r="U4970" s="99"/>
    </row>
    <row r="4971" spans="20:21" x14ac:dyDescent="0.25">
      <c r="T4971" s="98"/>
      <c r="U4971" s="99"/>
    </row>
    <row r="4972" spans="20:21" x14ac:dyDescent="0.25">
      <c r="T4972" s="98"/>
      <c r="U4972" s="99"/>
    </row>
    <row r="4973" spans="20:21" x14ac:dyDescent="0.25">
      <c r="T4973" s="98"/>
      <c r="U4973" s="99"/>
    </row>
    <row r="4974" spans="20:21" x14ac:dyDescent="0.25">
      <c r="T4974" s="98"/>
      <c r="U4974" s="99"/>
    </row>
    <row r="4975" spans="20:21" x14ac:dyDescent="0.25">
      <c r="T4975" s="98"/>
      <c r="U4975" s="99"/>
    </row>
    <row r="4976" spans="20:21" x14ac:dyDescent="0.25">
      <c r="T4976" s="98"/>
      <c r="U4976" s="99"/>
    </row>
    <row r="4977" spans="20:21" x14ac:dyDescent="0.25">
      <c r="T4977" s="98"/>
      <c r="U4977" s="99"/>
    </row>
    <row r="4978" spans="20:21" x14ac:dyDescent="0.25">
      <c r="T4978" s="98"/>
      <c r="U4978" s="99"/>
    </row>
    <row r="4979" spans="20:21" x14ac:dyDescent="0.25">
      <c r="T4979" s="98"/>
      <c r="U4979" s="99"/>
    </row>
    <row r="4980" spans="20:21" x14ac:dyDescent="0.25">
      <c r="T4980" s="98"/>
      <c r="U4980" s="99"/>
    </row>
    <row r="4981" spans="20:21" x14ac:dyDescent="0.25">
      <c r="T4981" s="98"/>
      <c r="U4981" s="99"/>
    </row>
    <row r="4982" spans="20:21" x14ac:dyDescent="0.25">
      <c r="T4982" s="98"/>
      <c r="U4982" s="99"/>
    </row>
    <row r="4983" spans="20:21" x14ac:dyDescent="0.25">
      <c r="T4983" s="98"/>
      <c r="U4983" s="99"/>
    </row>
    <row r="4984" spans="20:21" x14ac:dyDescent="0.25">
      <c r="T4984" s="98"/>
      <c r="U4984" s="99"/>
    </row>
    <row r="4985" spans="20:21" x14ac:dyDescent="0.25">
      <c r="T4985" s="98"/>
      <c r="U4985" s="99"/>
    </row>
    <row r="4986" spans="20:21" x14ac:dyDescent="0.25">
      <c r="T4986" s="98"/>
      <c r="U4986" s="99"/>
    </row>
    <row r="4987" spans="20:21" x14ac:dyDescent="0.25">
      <c r="T4987" s="98"/>
      <c r="U4987" s="99"/>
    </row>
    <row r="4988" spans="20:21" x14ac:dyDescent="0.25">
      <c r="T4988" s="98"/>
      <c r="U4988" s="99"/>
    </row>
    <row r="4989" spans="20:21" x14ac:dyDescent="0.25">
      <c r="T4989" s="98"/>
      <c r="U4989" s="99"/>
    </row>
    <row r="4990" spans="20:21" x14ac:dyDescent="0.25">
      <c r="T4990" s="98"/>
      <c r="U4990" s="99"/>
    </row>
    <row r="4991" spans="20:21" x14ac:dyDescent="0.25">
      <c r="T4991" s="98"/>
      <c r="U4991" s="99"/>
    </row>
    <row r="4992" spans="20:21" x14ac:dyDescent="0.25">
      <c r="T4992" s="98"/>
      <c r="U4992" s="99"/>
    </row>
    <row r="4993" spans="20:21" x14ac:dyDescent="0.25">
      <c r="T4993" s="98"/>
      <c r="U4993" s="99"/>
    </row>
    <row r="4994" spans="20:21" x14ac:dyDescent="0.25">
      <c r="T4994" s="98"/>
      <c r="U4994" s="99"/>
    </row>
    <row r="4995" spans="20:21" x14ac:dyDescent="0.25">
      <c r="T4995" s="98"/>
      <c r="U4995" s="99"/>
    </row>
    <row r="4996" spans="20:21" x14ac:dyDescent="0.25">
      <c r="T4996" s="98"/>
      <c r="U4996" s="99"/>
    </row>
    <row r="4997" spans="20:21" x14ac:dyDescent="0.25">
      <c r="T4997" s="98"/>
      <c r="U4997" s="99"/>
    </row>
    <row r="4998" spans="20:21" x14ac:dyDescent="0.25">
      <c r="T4998" s="98"/>
      <c r="U4998" s="99"/>
    </row>
    <row r="4999" spans="20:21" x14ac:dyDescent="0.25">
      <c r="T4999" s="98"/>
      <c r="U4999" s="99"/>
    </row>
    <row r="5000" spans="20:21" x14ac:dyDescent="0.25">
      <c r="T5000" s="98"/>
      <c r="U5000" s="99"/>
    </row>
    <row r="5001" spans="20:21" x14ac:dyDescent="0.25">
      <c r="T5001" s="98"/>
      <c r="U5001" s="99"/>
    </row>
    <row r="5002" spans="20:21" x14ac:dyDescent="0.25">
      <c r="T5002" s="98"/>
      <c r="U5002" s="99"/>
    </row>
    <row r="5003" spans="20:21" x14ac:dyDescent="0.25">
      <c r="T5003" s="98"/>
      <c r="U5003" s="99"/>
    </row>
    <row r="5004" spans="20:21" x14ac:dyDescent="0.25">
      <c r="T5004" s="98"/>
      <c r="U5004" s="99"/>
    </row>
    <row r="5005" spans="20:21" x14ac:dyDescent="0.25">
      <c r="T5005" s="98"/>
      <c r="U5005" s="99"/>
    </row>
    <row r="5006" spans="20:21" x14ac:dyDescent="0.25">
      <c r="T5006" s="98"/>
      <c r="U5006" s="99"/>
    </row>
    <row r="5007" spans="20:21" x14ac:dyDescent="0.25">
      <c r="T5007" s="98"/>
      <c r="U5007" s="99"/>
    </row>
    <row r="5008" spans="20:21" x14ac:dyDescent="0.25">
      <c r="T5008" s="98"/>
      <c r="U5008" s="99"/>
    </row>
    <row r="5009" spans="20:21" x14ac:dyDescent="0.25">
      <c r="T5009" s="98"/>
      <c r="U5009" s="99"/>
    </row>
    <row r="5010" spans="20:21" x14ac:dyDescent="0.25">
      <c r="T5010" s="98"/>
      <c r="U5010" s="99"/>
    </row>
    <row r="5011" spans="20:21" x14ac:dyDescent="0.25">
      <c r="T5011" s="98"/>
      <c r="U5011" s="99"/>
    </row>
    <row r="5012" spans="20:21" x14ac:dyDescent="0.25">
      <c r="T5012" s="98"/>
    </row>
    <row r="5013" spans="20:21" x14ac:dyDescent="0.25">
      <c r="T5013" s="98"/>
    </row>
    <row r="5014" spans="20:21" x14ac:dyDescent="0.25">
      <c r="T5014" s="98"/>
    </row>
    <row r="5015" spans="20:21" x14ac:dyDescent="0.25">
      <c r="T5015" s="98"/>
    </row>
    <row r="5016" spans="20:21" x14ac:dyDescent="0.25">
      <c r="T5016" s="98"/>
    </row>
    <row r="5017" spans="20:21" x14ac:dyDescent="0.25">
      <c r="T5017" s="98"/>
    </row>
    <row r="5018" spans="20:21" x14ac:dyDescent="0.25">
      <c r="T5018" s="98"/>
    </row>
    <row r="5019" spans="20:21" x14ac:dyDescent="0.25">
      <c r="T5019" s="98"/>
    </row>
    <row r="5020" spans="20:21" x14ac:dyDescent="0.25">
      <c r="T5020" s="98"/>
    </row>
    <row r="5021" spans="20:21" x14ac:dyDescent="0.25">
      <c r="T5021" s="98"/>
    </row>
    <row r="5022" spans="20:21" x14ac:dyDescent="0.25">
      <c r="T5022" s="98"/>
    </row>
    <row r="5023" spans="20:21" x14ac:dyDescent="0.25">
      <c r="T5023" s="98"/>
    </row>
    <row r="5024" spans="20:21" x14ac:dyDescent="0.25">
      <c r="T5024" s="98"/>
    </row>
    <row r="5025" spans="20:20" x14ac:dyDescent="0.25">
      <c r="T5025" s="98"/>
    </row>
    <row r="5026" spans="20:20" x14ac:dyDescent="0.25">
      <c r="T5026" s="98"/>
    </row>
    <row r="5027" spans="20:20" x14ac:dyDescent="0.25">
      <c r="T5027" s="98"/>
    </row>
    <row r="5028" spans="20:20" x14ac:dyDescent="0.25">
      <c r="T5028" s="98"/>
    </row>
    <row r="5029" spans="20:20" x14ac:dyDescent="0.25">
      <c r="T5029" s="98"/>
    </row>
    <row r="5030" spans="20:20" x14ac:dyDescent="0.25">
      <c r="T5030" s="98"/>
    </row>
    <row r="5031" spans="20:20" x14ac:dyDescent="0.25">
      <c r="T5031" s="98"/>
    </row>
    <row r="5032" spans="20:20" x14ac:dyDescent="0.25">
      <c r="T5032" s="98"/>
    </row>
    <row r="5033" spans="20:20" x14ac:dyDescent="0.25">
      <c r="T5033" s="98"/>
    </row>
    <row r="5034" spans="20:20" x14ac:dyDescent="0.25">
      <c r="T5034" s="98"/>
    </row>
    <row r="5035" spans="20:20" x14ac:dyDescent="0.25">
      <c r="T5035" s="98"/>
    </row>
    <row r="5036" spans="20:20" x14ac:dyDescent="0.25">
      <c r="T5036" s="98"/>
    </row>
    <row r="5037" spans="20:20" x14ac:dyDescent="0.25">
      <c r="T5037" s="98"/>
    </row>
    <row r="5038" spans="20:20" x14ac:dyDescent="0.25">
      <c r="T5038" s="98"/>
    </row>
    <row r="5039" spans="20:20" x14ac:dyDescent="0.25">
      <c r="T5039" s="98"/>
    </row>
    <row r="5040" spans="20:20" x14ac:dyDescent="0.25">
      <c r="T5040" s="98"/>
    </row>
    <row r="5041" spans="20:20" x14ac:dyDescent="0.25">
      <c r="T5041" s="98"/>
    </row>
    <row r="5042" spans="20:20" x14ac:dyDescent="0.25">
      <c r="T5042" s="98"/>
    </row>
    <row r="5043" spans="20:20" x14ac:dyDescent="0.25">
      <c r="T5043" s="98"/>
    </row>
    <row r="5044" spans="20:20" x14ac:dyDescent="0.25">
      <c r="T5044" s="98"/>
    </row>
    <row r="5045" spans="20:20" x14ac:dyDescent="0.25">
      <c r="T5045" s="98"/>
    </row>
    <row r="5046" spans="20:20" x14ac:dyDescent="0.25">
      <c r="T5046" s="98"/>
    </row>
    <row r="5047" spans="20:20" x14ac:dyDescent="0.25">
      <c r="T5047" s="98"/>
    </row>
    <row r="5048" spans="20:20" x14ac:dyDescent="0.25">
      <c r="T5048" s="98"/>
    </row>
    <row r="5049" spans="20:20" x14ac:dyDescent="0.25">
      <c r="T5049" s="98"/>
    </row>
    <row r="5050" spans="20:20" x14ac:dyDescent="0.25">
      <c r="T5050" s="98"/>
    </row>
    <row r="5051" spans="20:20" x14ac:dyDescent="0.25">
      <c r="T5051" s="98"/>
    </row>
    <row r="5052" spans="20:20" x14ac:dyDescent="0.25">
      <c r="T5052" s="98"/>
    </row>
    <row r="5053" spans="20:20" x14ac:dyDescent="0.25">
      <c r="T5053" s="98"/>
    </row>
    <row r="5054" spans="20:20" x14ac:dyDescent="0.25">
      <c r="T5054" s="98"/>
    </row>
    <row r="5055" spans="20:20" x14ac:dyDescent="0.25">
      <c r="T5055" s="98"/>
    </row>
    <row r="5056" spans="20:20" x14ac:dyDescent="0.25">
      <c r="T5056" s="98"/>
    </row>
    <row r="5057" spans="20:20" x14ac:dyDescent="0.25">
      <c r="T5057" s="98"/>
    </row>
    <row r="5058" spans="20:20" x14ac:dyDescent="0.25">
      <c r="T5058" s="98"/>
    </row>
    <row r="5059" spans="20:20" x14ac:dyDescent="0.25">
      <c r="T5059" s="98"/>
    </row>
    <row r="5060" spans="20:20" x14ac:dyDescent="0.25">
      <c r="T5060" s="98"/>
    </row>
    <row r="5061" spans="20:20" x14ac:dyDescent="0.25">
      <c r="T5061" s="98"/>
    </row>
    <row r="5062" spans="20:20" x14ac:dyDescent="0.25">
      <c r="T5062" s="98"/>
    </row>
    <row r="5063" spans="20:20" x14ac:dyDescent="0.25">
      <c r="T5063" s="98"/>
    </row>
    <row r="5064" spans="20:20" x14ac:dyDescent="0.25">
      <c r="T5064" s="98"/>
    </row>
    <row r="5065" spans="20:20" x14ac:dyDescent="0.25">
      <c r="T5065" s="98"/>
    </row>
    <row r="5066" spans="20:20" x14ac:dyDescent="0.25">
      <c r="T5066" s="98"/>
    </row>
    <row r="5067" spans="20:20" x14ac:dyDescent="0.25">
      <c r="T5067" s="98"/>
    </row>
    <row r="5068" spans="20:20" x14ac:dyDescent="0.25">
      <c r="T5068" s="98"/>
    </row>
    <row r="5069" spans="20:20" x14ac:dyDescent="0.25">
      <c r="T5069" s="98"/>
    </row>
    <row r="5070" spans="20:20" x14ac:dyDescent="0.25">
      <c r="T5070" s="98"/>
    </row>
    <row r="5071" spans="20:20" x14ac:dyDescent="0.25">
      <c r="T5071" s="98"/>
    </row>
    <row r="5072" spans="20:20" x14ac:dyDescent="0.25">
      <c r="T5072" s="98"/>
    </row>
    <row r="5073" spans="20:20" x14ac:dyDescent="0.25">
      <c r="T5073" s="98"/>
    </row>
    <row r="5074" spans="20:20" x14ac:dyDescent="0.25">
      <c r="T5074" s="98"/>
    </row>
    <row r="5075" spans="20:20" x14ac:dyDescent="0.25">
      <c r="T5075" s="98"/>
    </row>
    <row r="5076" spans="20:20" x14ac:dyDescent="0.25">
      <c r="T5076" s="98"/>
    </row>
    <row r="5077" spans="20:20" x14ac:dyDescent="0.25">
      <c r="T5077" s="98"/>
    </row>
    <row r="5078" spans="20:20" x14ac:dyDescent="0.25">
      <c r="T5078" s="98"/>
    </row>
    <row r="5079" spans="20:20" x14ac:dyDescent="0.25">
      <c r="T5079" s="98"/>
    </row>
    <row r="5080" spans="20:20" x14ac:dyDescent="0.25">
      <c r="T5080" s="98"/>
    </row>
    <row r="5081" spans="20:20" x14ac:dyDescent="0.25">
      <c r="T5081" s="98"/>
    </row>
    <row r="5082" spans="20:20" x14ac:dyDescent="0.25">
      <c r="T5082" s="98"/>
    </row>
    <row r="5083" spans="20:20" x14ac:dyDescent="0.25">
      <c r="T5083" s="98"/>
    </row>
    <row r="5084" spans="20:20" x14ac:dyDescent="0.25">
      <c r="T5084" s="98"/>
    </row>
    <row r="5085" spans="20:20" x14ac:dyDescent="0.25">
      <c r="T5085" s="98"/>
    </row>
    <row r="5086" spans="20:20" x14ac:dyDescent="0.25">
      <c r="T5086" s="98"/>
    </row>
    <row r="5087" spans="20:20" x14ac:dyDescent="0.25">
      <c r="T5087" s="98"/>
    </row>
    <row r="5088" spans="20:20" x14ac:dyDescent="0.25">
      <c r="T5088" s="98"/>
    </row>
    <row r="5089" spans="20:20" x14ac:dyDescent="0.25">
      <c r="T5089" s="98"/>
    </row>
    <row r="5090" spans="20:20" x14ac:dyDescent="0.25">
      <c r="T5090" s="98"/>
    </row>
    <row r="5091" spans="20:20" x14ac:dyDescent="0.25">
      <c r="T5091" s="98"/>
    </row>
    <row r="5092" spans="20:20" x14ac:dyDescent="0.25">
      <c r="T5092" s="98"/>
    </row>
    <row r="5093" spans="20:20" x14ac:dyDescent="0.25">
      <c r="T5093" s="98"/>
    </row>
    <row r="5094" spans="20:20" x14ac:dyDescent="0.25">
      <c r="T5094" s="98"/>
    </row>
    <row r="5095" spans="20:20" x14ac:dyDescent="0.25">
      <c r="T5095" s="98"/>
    </row>
    <row r="5096" spans="20:20" x14ac:dyDescent="0.25">
      <c r="T5096" s="98"/>
    </row>
    <row r="5097" spans="20:20" x14ac:dyDescent="0.25">
      <c r="T5097" s="98"/>
    </row>
    <row r="5098" spans="20:20" x14ac:dyDescent="0.25">
      <c r="T5098" s="98"/>
    </row>
    <row r="5099" spans="20:20" x14ac:dyDescent="0.25">
      <c r="T5099" s="98"/>
    </row>
    <row r="5100" spans="20:20" x14ac:dyDescent="0.25">
      <c r="T5100" s="98"/>
    </row>
    <row r="5101" spans="20:20" x14ac:dyDescent="0.25">
      <c r="T5101" s="98"/>
    </row>
    <row r="5102" spans="20:20" x14ac:dyDescent="0.25">
      <c r="T5102" s="98"/>
    </row>
    <row r="5103" spans="20:20" x14ac:dyDescent="0.25">
      <c r="T5103" s="98"/>
    </row>
    <row r="5104" spans="20:20" x14ac:dyDescent="0.25">
      <c r="T5104" s="98"/>
    </row>
    <row r="5105" spans="20:20" x14ac:dyDescent="0.25">
      <c r="T5105" s="98"/>
    </row>
    <row r="5106" spans="20:20" x14ac:dyDescent="0.25">
      <c r="T5106" s="98"/>
    </row>
    <row r="5107" spans="20:20" x14ac:dyDescent="0.25">
      <c r="T5107" s="98"/>
    </row>
    <row r="5108" spans="20:20" x14ac:dyDescent="0.25">
      <c r="T5108" s="98"/>
    </row>
    <row r="5109" spans="20:20" x14ac:dyDescent="0.25">
      <c r="T5109" s="98"/>
    </row>
    <row r="5110" spans="20:20" x14ac:dyDescent="0.25">
      <c r="T5110" s="98"/>
    </row>
    <row r="5111" spans="20:20" x14ac:dyDescent="0.25">
      <c r="T5111" s="98"/>
    </row>
    <row r="5112" spans="20:20" x14ac:dyDescent="0.25">
      <c r="T5112" s="98"/>
    </row>
    <row r="5113" spans="20:20" x14ac:dyDescent="0.25">
      <c r="T5113" s="98"/>
    </row>
    <row r="5114" spans="20:20" x14ac:dyDescent="0.25">
      <c r="T5114" s="98"/>
    </row>
    <row r="5115" spans="20:20" x14ac:dyDescent="0.25">
      <c r="T5115" s="98"/>
    </row>
    <row r="5116" spans="20:20" x14ac:dyDescent="0.25">
      <c r="T5116" s="98"/>
    </row>
    <row r="5117" spans="20:20" x14ac:dyDescent="0.25">
      <c r="T5117" s="98"/>
    </row>
    <row r="5118" spans="20:20" x14ac:dyDescent="0.25">
      <c r="T5118" s="98"/>
    </row>
    <row r="5119" spans="20:20" x14ac:dyDescent="0.25">
      <c r="T5119" s="98"/>
    </row>
    <row r="5120" spans="20:20" x14ac:dyDescent="0.25">
      <c r="T5120" s="98"/>
    </row>
    <row r="5121" spans="20:20" x14ac:dyDescent="0.25">
      <c r="T5121" s="98"/>
    </row>
    <row r="5122" spans="20:20" x14ac:dyDescent="0.25">
      <c r="T5122" s="98"/>
    </row>
    <row r="5123" spans="20:20" x14ac:dyDescent="0.25">
      <c r="T5123" s="98"/>
    </row>
    <row r="5124" spans="20:20" x14ac:dyDescent="0.25">
      <c r="T5124" s="98"/>
    </row>
    <row r="5125" spans="20:20" x14ac:dyDescent="0.25">
      <c r="T5125" s="98"/>
    </row>
    <row r="5126" spans="20:20" x14ac:dyDescent="0.25">
      <c r="T5126" s="98"/>
    </row>
    <row r="5127" spans="20:20" x14ac:dyDescent="0.25">
      <c r="T5127" s="98"/>
    </row>
    <row r="5128" spans="20:20" x14ac:dyDescent="0.25">
      <c r="T5128" s="98"/>
    </row>
    <row r="5129" spans="20:20" x14ac:dyDescent="0.25">
      <c r="T5129" s="98"/>
    </row>
    <row r="5130" spans="20:20" x14ac:dyDescent="0.25">
      <c r="T5130" s="98"/>
    </row>
    <row r="5131" spans="20:20" x14ac:dyDescent="0.25">
      <c r="T5131" s="98"/>
    </row>
    <row r="5132" spans="20:20" x14ac:dyDescent="0.25">
      <c r="T5132" s="98"/>
    </row>
    <row r="5133" spans="20:20" x14ac:dyDescent="0.25">
      <c r="T5133" s="98"/>
    </row>
    <row r="5134" spans="20:20" x14ac:dyDescent="0.25">
      <c r="T5134" s="98"/>
    </row>
    <row r="5135" spans="20:20" x14ac:dyDescent="0.25">
      <c r="T5135" s="98"/>
    </row>
    <row r="5136" spans="20:20" x14ac:dyDescent="0.25">
      <c r="T5136" s="98"/>
    </row>
    <row r="5137" spans="20:20" x14ac:dyDescent="0.25">
      <c r="T5137" s="98"/>
    </row>
    <row r="5138" spans="20:20" x14ac:dyDescent="0.25">
      <c r="T5138" s="98"/>
    </row>
    <row r="5139" spans="20:20" x14ac:dyDescent="0.25">
      <c r="T5139" s="98"/>
    </row>
    <row r="5140" spans="20:20" x14ac:dyDescent="0.25">
      <c r="T5140" s="98"/>
    </row>
    <row r="5141" spans="20:20" x14ac:dyDescent="0.25">
      <c r="T5141" s="98"/>
    </row>
    <row r="5142" spans="20:20" x14ac:dyDescent="0.25">
      <c r="T5142" s="98"/>
    </row>
    <row r="5143" spans="20:20" x14ac:dyDescent="0.25">
      <c r="T5143" s="98"/>
    </row>
    <row r="5144" spans="20:20" x14ac:dyDescent="0.25">
      <c r="T5144" s="98"/>
    </row>
    <row r="5145" spans="20:20" x14ac:dyDescent="0.25">
      <c r="T5145" s="98"/>
    </row>
    <row r="5146" spans="20:20" x14ac:dyDescent="0.25">
      <c r="T5146" s="98"/>
    </row>
    <row r="5147" spans="20:20" x14ac:dyDescent="0.25">
      <c r="T5147" s="98"/>
    </row>
    <row r="5148" spans="20:20" x14ac:dyDescent="0.25">
      <c r="T5148" s="98"/>
    </row>
    <row r="5149" spans="20:20" x14ac:dyDescent="0.25">
      <c r="T5149" s="98"/>
    </row>
    <row r="5150" spans="20:20" x14ac:dyDescent="0.25">
      <c r="T5150" s="98"/>
    </row>
    <row r="5151" spans="20:20" x14ac:dyDescent="0.25">
      <c r="T5151" s="98"/>
    </row>
    <row r="5152" spans="20:20" x14ac:dyDescent="0.25">
      <c r="T5152" s="98"/>
    </row>
    <row r="5153" spans="20:20" x14ac:dyDescent="0.25">
      <c r="T5153" s="98"/>
    </row>
    <row r="5154" spans="20:20" x14ac:dyDescent="0.25">
      <c r="T5154" s="98"/>
    </row>
    <row r="5155" spans="20:20" x14ac:dyDescent="0.25">
      <c r="T5155" s="98"/>
    </row>
    <row r="5156" spans="20:20" x14ac:dyDescent="0.25">
      <c r="T5156" s="98"/>
    </row>
    <row r="5157" spans="20:20" x14ac:dyDescent="0.25">
      <c r="T5157" s="98"/>
    </row>
    <row r="5158" spans="20:20" x14ac:dyDescent="0.25">
      <c r="T5158" s="98"/>
    </row>
    <row r="5159" spans="20:20" x14ac:dyDescent="0.25">
      <c r="T5159" s="98"/>
    </row>
    <row r="5160" spans="20:20" x14ac:dyDescent="0.25">
      <c r="T5160" s="98"/>
    </row>
    <row r="5161" spans="20:20" x14ac:dyDescent="0.25">
      <c r="T5161" s="98"/>
    </row>
    <row r="5162" spans="20:20" x14ac:dyDescent="0.25">
      <c r="T5162" s="98"/>
    </row>
    <row r="5163" spans="20:20" x14ac:dyDescent="0.25">
      <c r="T5163" s="98"/>
    </row>
    <row r="5164" spans="20:20" x14ac:dyDescent="0.25">
      <c r="T5164" s="98"/>
    </row>
    <row r="5165" spans="20:20" x14ac:dyDescent="0.25">
      <c r="T5165" s="98"/>
    </row>
    <row r="5166" spans="20:20" x14ac:dyDescent="0.25">
      <c r="T5166" s="98"/>
    </row>
    <row r="5167" spans="20:20" x14ac:dyDescent="0.25">
      <c r="T5167" s="98"/>
    </row>
    <row r="5168" spans="20:20" x14ac:dyDescent="0.25">
      <c r="T5168" s="98"/>
    </row>
    <row r="5169" spans="20:20" x14ac:dyDescent="0.25">
      <c r="T5169" s="98"/>
    </row>
    <row r="5170" spans="20:20" x14ac:dyDescent="0.25">
      <c r="T5170" s="98"/>
    </row>
    <row r="5171" spans="20:20" x14ac:dyDescent="0.25">
      <c r="T5171" s="98"/>
    </row>
    <row r="5172" spans="20:20" x14ac:dyDescent="0.25">
      <c r="T5172" s="98"/>
    </row>
    <row r="5173" spans="20:20" x14ac:dyDescent="0.25">
      <c r="T5173" s="98"/>
    </row>
    <row r="5174" spans="20:20" x14ac:dyDescent="0.25">
      <c r="T5174" s="98"/>
    </row>
    <row r="5175" spans="20:20" x14ac:dyDescent="0.25">
      <c r="T5175" s="98"/>
    </row>
    <row r="5176" spans="20:20" x14ac:dyDescent="0.25">
      <c r="T5176" s="98"/>
    </row>
    <row r="5177" spans="20:20" x14ac:dyDescent="0.25">
      <c r="T5177" s="98"/>
    </row>
    <row r="5178" spans="20:20" x14ac:dyDescent="0.25">
      <c r="T5178" s="98"/>
    </row>
    <row r="5179" spans="20:20" x14ac:dyDescent="0.25">
      <c r="T5179" s="98"/>
    </row>
    <row r="5180" spans="20:20" x14ac:dyDescent="0.25">
      <c r="T5180" s="98"/>
    </row>
    <row r="5181" spans="20:20" x14ac:dyDescent="0.25">
      <c r="T5181" s="98"/>
    </row>
    <row r="5182" spans="20:20" x14ac:dyDescent="0.25">
      <c r="T5182" s="98"/>
    </row>
    <row r="5183" spans="20:20" x14ac:dyDescent="0.25">
      <c r="T5183" s="98"/>
    </row>
    <row r="5184" spans="20:20" x14ac:dyDescent="0.25">
      <c r="T5184" s="98"/>
    </row>
    <row r="5185" spans="20:20" x14ac:dyDescent="0.25">
      <c r="T5185" s="98"/>
    </row>
    <row r="5186" spans="20:20" x14ac:dyDescent="0.25">
      <c r="T5186" s="98"/>
    </row>
    <row r="5187" spans="20:20" x14ac:dyDescent="0.25">
      <c r="T5187" s="98"/>
    </row>
    <row r="5188" spans="20:20" x14ac:dyDescent="0.25">
      <c r="T5188" s="98"/>
    </row>
    <row r="5189" spans="20:20" x14ac:dyDescent="0.25">
      <c r="T5189" s="98"/>
    </row>
    <row r="5190" spans="20:20" x14ac:dyDescent="0.25">
      <c r="T5190" s="98"/>
    </row>
    <row r="5191" spans="20:20" x14ac:dyDescent="0.25">
      <c r="T5191" s="98"/>
    </row>
    <row r="5192" spans="20:20" x14ac:dyDescent="0.25">
      <c r="T5192" s="98"/>
    </row>
    <row r="5193" spans="20:20" x14ac:dyDescent="0.25">
      <c r="T5193" s="98"/>
    </row>
    <row r="5194" spans="20:20" x14ac:dyDescent="0.25">
      <c r="T5194" s="98"/>
    </row>
    <row r="5195" spans="20:20" x14ac:dyDescent="0.25">
      <c r="T5195" s="98"/>
    </row>
    <row r="5196" spans="20:20" x14ac:dyDescent="0.25">
      <c r="T5196" s="98"/>
    </row>
    <row r="5197" spans="20:20" x14ac:dyDescent="0.25">
      <c r="T5197" s="98"/>
    </row>
    <row r="5198" spans="20:20" x14ac:dyDescent="0.25">
      <c r="T5198" s="98"/>
    </row>
    <row r="5199" spans="20:20" x14ac:dyDescent="0.25">
      <c r="T5199" s="98"/>
    </row>
    <row r="5200" spans="20:20" x14ac:dyDescent="0.25">
      <c r="T5200" s="98"/>
    </row>
    <row r="5201" spans="20:20" x14ac:dyDescent="0.25">
      <c r="T5201" s="98"/>
    </row>
    <row r="5202" spans="20:20" x14ac:dyDescent="0.25">
      <c r="T5202" s="98"/>
    </row>
    <row r="5203" spans="20:20" x14ac:dyDescent="0.25">
      <c r="T5203" s="98"/>
    </row>
    <row r="5204" spans="20:20" x14ac:dyDescent="0.25">
      <c r="T5204" s="98"/>
    </row>
    <row r="5205" spans="20:20" x14ac:dyDescent="0.25">
      <c r="T5205" s="98"/>
    </row>
    <row r="5206" spans="20:20" x14ac:dyDescent="0.25">
      <c r="T5206" s="98"/>
    </row>
    <row r="5207" spans="20:20" x14ac:dyDescent="0.25">
      <c r="T5207" s="98"/>
    </row>
    <row r="5208" spans="20:20" x14ac:dyDescent="0.25">
      <c r="T5208" s="98"/>
    </row>
    <row r="5209" spans="20:20" x14ac:dyDescent="0.25">
      <c r="T5209" s="98"/>
    </row>
    <row r="5210" spans="20:20" x14ac:dyDescent="0.25">
      <c r="T5210" s="98"/>
    </row>
    <row r="5211" spans="20:20" x14ac:dyDescent="0.25">
      <c r="T5211" s="98"/>
    </row>
    <row r="5212" spans="20:20" x14ac:dyDescent="0.25">
      <c r="T5212" s="98"/>
    </row>
    <row r="5213" spans="20:20" x14ac:dyDescent="0.25">
      <c r="T5213" s="98"/>
    </row>
    <row r="5214" spans="20:20" x14ac:dyDescent="0.25">
      <c r="T5214" s="98"/>
    </row>
    <row r="5215" spans="20:20" x14ac:dyDescent="0.25">
      <c r="T5215" s="98"/>
    </row>
    <row r="5216" spans="20:20" x14ac:dyDescent="0.25">
      <c r="T5216" s="98"/>
    </row>
    <row r="5217" spans="20:20" x14ac:dyDescent="0.25">
      <c r="T5217" s="98"/>
    </row>
    <row r="5218" spans="20:20" x14ac:dyDescent="0.25">
      <c r="T5218" s="98"/>
    </row>
    <row r="5219" spans="20:20" x14ac:dyDescent="0.25">
      <c r="T5219" s="98"/>
    </row>
    <row r="5220" spans="20:20" x14ac:dyDescent="0.25">
      <c r="T5220" s="98"/>
    </row>
    <row r="5221" spans="20:20" x14ac:dyDescent="0.25">
      <c r="T5221" s="98"/>
    </row>
    <row r="5222" spans="20:20" x14ac:dyDescent="0.25">
      <c r="T5222" s="98"/>
    </row>
    <row r="5223" spans="20:20" x14ac:dyDescent="0.25">
      <c r="T5223" s="98"/>
    </row>
    <row r="5224" spans="20:20" x14ac:dyDescent="0.25">
      <c r="T5224" s="98"/>
    </row>
    <row r="5225" spans="20:20" x14ac:dyDescent="0.25">
      <c r="T5225" s="98"/>
    </row>
    <row r="5226" spans="20:20" x14ac:dyDescent="0.25">
      <c r="T5226" s="98"/>
    </row>
    <row r="5227" spans="20:20" x14ac:dyDescent="0.25">
      <c r="T5227" s="98"/>
    </row>
    <row r="5228" spans="20:20" x14ac:dyDescent="0.25">
      <c r="T5228" s="98"/>
    </row>
    <row r="5229" spans="20:20" x14ac:dyDescent="0.25">
      <c r="T5229" s="98"/>
    </row>
    <row r="5230" spans="20:20" x14ac:dyDescent="0.25">
      <c r="T5230" s="98"/>
    </row>
    <row r="5231" spans="20:20" x14ac:dyDescent="0.25">
      <c r="T5231" s="98"/>
    </row>
    <row r="5232" spans="20:20" x14ac:dyDescent="0.25">
      <c r="T5232" s="98"/>
    </row>
    <row r="5233" spans="20:20" x14ac:dyDescent="0.25">
      <c r="T5233" s="98"/>
    </row>
    <row r="5234" spans="20:20" x14ac:dyDescent="0.25">
      <c r="T5234" s="98"/>
    </row>
    <row r="5235" spans="20:20" x14ac:dyDescent="0.25">
      <c r="T5235" s="98"/>
    </row>
    <row r="5236" spans="20:20" x14ac:dyDescent="0.25">
      <c r="T5236" s="98"/>
    </row>
    <row r="5237" spans="20:20" x14ac:dyDescent="0.25">
      <c r="T5237" s="98"/>
    </row>
    <row r="5238" spans="20:20" x14ac:dyDescent="0.25">
      <c r="T5238" s="98"/>
    </row>
    <row r="5239" spans="20:20" x14ac:dyDescent="0.25">
      <c r="T5239" s="98"/>
    </row>
    <row r="5240" spans="20:20" x14ac:dyDescent="0.25">
      <c r="T5240" s="98"/>
    </row>
    <row r="5241" spans="20:20" x14ac:dyDescent="0.25">
      <c r="T5241" s="98"/>
    </row>
    <row r="5242" spans="20:20" x14ac:dyDescent="0.25">
      <c r="T5242" s="98"/>
    </row>
    <row r="5243" spans="20:20" x14ac:dyDescent="0.25">
      <c r="T5243" s="98"/>
    </row>
    <row r="5244" spans="20:20" x14ac:dyDescent="0.25">
      <c r="T5244" s="98"/>
    </row>
    <row r="5245" spans="20:20" x14ac:dyDescent="0.25">
      <c r="T5245" s="98"/>
    </row>
    <row r="5246" spans="20:20" x14ac:dyDescent="0.25">
      <c r="T5246" s="98"/>
    </row>
    <row r="5247" spans="20:20" x14ac:dyDescent="0.25">
      <c r="T5247" s="98"/>
    </row>
    <row r="5248" spans="20:20" x14ac:dyDescent="0.25">
      <c r="T5248" s="98"/>
    </row>
    <row r="5249" spans="20:20" x14ac:dyDescent="0.25">
      <c r="T5249" s="98"/>
    </row>
    <row r="5250" spans="20:20" x14ac:dyDescent="0.25">
      <c r="T5250" s="98"/>
    </row>
    <row r="5251" spans="20:20" x14ac:dyDescent="0.25">
      <c r="T5251" s="98"/>
    </row>
    <row r="5252" spans="20:20" x14ac:dyDescent="0.25">
      <c r="T5252" s="98"/>
    </row>
    <row r="5253" spans="20:20" x14ac:dyDescent="0.25">
      <c r="T5253" s="98"/>
    </row>
    <row r="5254" spans="20:20" x14ac:dyDescent="0.25">
      <c r="T5254" s="98"/>
    </row>
    <row r="5255" spans="20:20" x14ac:dyDescent="0.25">
      <c r="T5255" s="98"/>
    </row>
    <row r="5256" spans="20:20" x14ac:dyDescent="0.25">
      <c r="T5256" s="98"/>
    </row>
    <row r="5257" spans="20:20" x14ac:dyDescent="0.25">
      <c r="T5257" s="98"/>
    </row>
    <row r="5258" spans="20:20" x14ac:dyDescent="0.25">
      <c r="T5258" s="98"/>
    </row>
    <row r="5259" spans="20:20" x14ac:dyDescent="0.25">
      <c r="T5259" s="98"/>
    </row>
    <row r="5260" spans="20:20" x14ac:dyDescent="0.25">
      <c r="T5260" s="98"/>
    </row>
    <row r="5261" spans="20:20" x14ac:dyDescent="0.25">
      <c r="T5261" s="98"/>
    </row>
    <row r="5262" spans="20:20" x14ac:dyDescent="0.25">
      <c r="T5262" s="98"/>
    </row>
    <row r="5263" spans="20:20" x14ac:dyDescent="0.25">
      <c r="T5263" s="98"/>
    </row>
    <row r="5264" spans="20:20" x14ac:dyDescent="0.25">
      <c r="T5264" s="98"/>
    </row>
    <row r="5265" spans="20:20" x14ac:dyDescent="0.25">
      <c r="T5265" s="98"/>
    </row>
    <row r="5266" spans="20:20" x14ac:dyDescent="0.25">
      <c r="T5266" s="98"/>
    </row>
    <row r="5267" spans="20:20" x14ac:dyDescent="0.25">
      <c r="T5267" s="98"/>
    </row>
    <row r="5268" spans="20:20" x14ac:dyDescent="0.25">
      <c r="T5268" s="98"/>
    </row>
    <row r="5269" spans="20:20" x14ac:dyDescent="0.25">
      <c r="T5269" s="98"/>
    </row>
    <row r="5270" spans="20:20" x14ac:dyDescent="0.25">
      <c r="T5270" s="98"/>
    </row>
    <row r="5271" spans="20:20" x14ac:dyDescent="0.25">
      <c r="T5271" s="98"/>
    </row>
    <row r="5272" spans="20:20" x14ac:dyDescent="0.25">
      <c r="T5272" s="98"/>
    </row>
    <row r="5273" spans="20:20" x14ac:dyDescent="0.25">
      <c r="T5273" s="98"/>
    </row>
    <row r="5274" spans="20:20" x14ac:dyDescent="0.25">
      <c r="T5274" s="98"/>
    </row>
    <row r="5275" spans="20:20" x14ac:dyDescent="0.25">
      <c r="T5275" s="98"/>
    </row>
    <row r="5276" spans="20:20" x14ac:dyDescent="0.25">
      <c r="T5276" s="98"/>
    </row>
    <row r="5277" spans="20:20" x14ac:dyDescent="0.25">
      <c r="T5277" s="98"/>
    </row>
    <row r="5278" spans="20:20" x14ac:dyDescent="0.25">
      <c r="T5278" s="98"/>
    </row>
    <row r="5279" spans="20:20" x14ac:dyDescent="0.25">
      <c r="T5279" s="98"/>
    </row>
    <row r="5280" spans="20:20" x14ac:dyDescent="0.25">
      <c r="T5280" s="98"/>
    </row>
    <row r="5281" spans="20:20" x14ac:dyDescent="0.25">
      <c r="T5281" s="98"/>
    </row>
    <row r="5282" spans="20:20" x14ac:dyDescent="0.25">
      <c r="T5282" s="98"/>
    </row>
    <row r="5283" spans="20:20" x14ac:dyDescent="0.25">
      <c r="T5283" s="98"/>
    </row>
    <row r="5284" spans="20:20" x14ac:dyDescent="0.25">
      <c r="T5284" s="98"/>
    </row>
    <row r="5285" spans="20:20" x14ac:dyDescent="0.25">
      <c r="T5285" s="98"/>
    </row>
    <row r="5286" spans="20:20" x14ac:dyDescent="0.25">
      <c r="T5286" s="98"/>
    </row>
    <row r="5287" spans="20:20" x14ac:dyDescent="0.25">
      <c r="T5287" s="98"/>
    </row>
    <row r="5288" spans="20:20" x14ac:dyDescent="0.25">
      <c r="T5288" s="98"/>
    </row>
    <row r="5289" spans="20:20" x14ac:dyDescent="0.25">
      <c r="T5289" s="98"/>
    </row>
    <row r="5290" spans="20:20" x14ac:dyDescent="0.25">
      <c r="T5290" s="98"/>
    </row>
    <row r="5291" spans="20:20" x14ac:dyDescent="0.25">
      <c r="T5291" s="98"/>
    </row>
    <row r="5292" spans="20:20" x14ac:dyDescent="0.25">
      <c r="T5292" s="98"/>
    </row>
    <row r="5293" spans="20:20" x14ac:dyDescent="0.25">
      <c r="T5293" s="98"/>
    </row>
    <row r="5294" spans="20:20" x14ac:dyDescent="0.25">
      <c r="T5294" s="98"/>
    </row>
    <row r="5295" spans="20:20" x14ac:dyDescent="0.25">
      <c r="T5295" s="98"/>
    </row>
    <row r="5296" spans="20:20" x14ac:dyDescent="0.25">
      <c r="T5296" s="98"/>
    </row>
    <row r="5297" spans="20:20" x14ac:dyDescent="0.25">
      <c r="T5297" s="98"/>
    </row>
    <row r="5298" spans="20:20" x14ac:dyDescent="0.25">
      <c r="T5298" s="98"/>
    </row>
    <row r="5299" spans="20:20" x14ac:dyDescent="0.25">
      <c r="T5299" s="98"/>
    </row>
    <row r="5300" spans="20:20" x14ac:dyDescent="0.25">
      <c r="T5300" s="98"/>
    </row>
    <row r="5301" spans="20:20" x14ac:dyDescent="0.25">
      <c r="T5301" s="98"/>
    </row>
    <row r="5302" spans="20:20" x14ac:dyDescent="0.25">
      <c r="T5302" s="98"/>
    </row>
    <row r="5303" spans="20:20" x14ac:dyDescent="0.25">
      <c r="T5303" s="98"/>
    </row>
    <row r="5304" spans="20:20" x14ac:dyDescent="0.25">
      <c r="T5304" s="98"/>
    </row>
    <row r="5305" spans="20:20" x14ac:dyDescent="0.25">
      <c r="T5305" s="98"/>
    </row>
    <row r="5306" spans="20:20" x14ac:dyDescent="0.25">
      <c r="T5306" s="98"/>
    </row>
    <row r="5307" spans="20:20" x14ac:dyDescent="0.25">
      <c r="T5307" s="98"/>
    </row>
    <row r="5308" spans="20:20" x14ac:dyDescent="0.25">
      <c r="T5308" s="98"/>
    </row>
    <row r="5309" spans="20:20" x14ac:dyDescent="0.25">
      <c r="T5309" s="98"/>
    </row>
    <row r="5310" spans="20:20" x14ac:dyDescent="0.25">
      <c r="T5310" s="98"/>
    </row>
    <row r="5311" spans="20:20" x14ac:dyDescent="0.25">
      <c r="T5311" s="98"/>
    </row>
    <row r="5312" spans="20:20" x14ac:dyDescent="0.25">
      <c r="T5312" s="98"/>
    </row>
    <row r="5313" spans="20:20" x14ac:dyDescent="0.25">
      <c r="T5313" s="98"/>
    </row>
    <row r="5314" spans="20:20" x14ac:dyDescent="0.25">
      <c r="T5314" s="98"/>
    </row>
    <row r="5315" spans="20:20" x14ac:dyDescent="0.25">
      <c r="T5315" s="98"/>
    </row>
    <row r="5316" spans="20:20" x14ac:dyDescent="0.25">
      <c r="T5316" s="98"/>
    </row>
    <row r="5317" spans="20:20" x14ac:dyDescent="0.25">
      <c r="T5317" s="98"/>
    </row>
    <row r="5318" spans="20:20" x14ac:dyDescent="0.25">
      <c r="T5318" s="98"/>
    </row>
    <row r="5319" spans="20:20" x14ac:dyDescent="0.25">
      <c r="T5319" s="98"/>
    </row>
    <row r="5320" spans="20:20" x14ac:dyDescent="0.25">
      <c r="T5320" s="98"/>
    </row>
    <row r="5321" spans="20:20" x14ac:dyDescent="0.25">
      <c r="T5321" s="98"/>
    </row>
    <row r="5322" spans="20:20" x14ac:dyDescent="0.25">
      <c r="T5322" s="98"/>
    </row>
    <row r="5323" spans="20:20" x14ac:dyDescent="0.25">
      <c r="T5323" s="98"/>
    </row>
    <row r="5324" spans="20:20" x14ac:dyDescent="0.25">
      <c r="T5324" s="98"/>
    </row>
    <row r="5325" spans="20:20" x14ac:dyDescent="0.25">
      <c r="T5325" s="98"/>
    </row>
    <row r="5326" spans="20:20" x14ac:dyDescent="0.25">
      <c r="T5326" s="98"/>
    </row>
    <row r="5327" spans="20:20" x14ac:dyDescent="0.25">
      <c r="T5327" s="98"/>
    </row>
    <row r="5328" spans="20:20" x14ac:dyDescent="0.25">
      <c r="T5328" s="98"/>
    </row>
    <row r="5329" spans="20:20" x14ac:dyDescent="0.25">
      <c r="T5329" s="98"/>
    </row>
    <row r="5330" spans="20:20" x14ac:dyDescent="0.25">
      <c r="T5330" s="98"/>
    </row>
    <row r="5331" spans="20:20" x14ac:dyDescent="0.25">
      <c r="T5331" s="98"/>
    </row>
    <row r="5332" spans="20:20" x14ac:dyDescent="0.25">
      <c r="T5332" s="98"/>
    </row>
    <row r="5333" spans="20:20" x14ac:dyDescent="0.25">
      <c r="T5333" s="98"/>
    </row>
    <row r="5334" spans="20:20" x14ac:dyDescent="0.25">
      <c r="T5334" s="98"/>
    </row>
    <row r="5335" spans="20:20" x14ac:dyDescent="0.25">
      <c r="T5335" s="98"/>
    </row>
    <row r="5336" spans="20:20" x14ac:dyDescent="0.25">
      <c r="T5336" s="98"/>
    </row>
    <row r="5337" spans="20:20" x14ac:dyDescent="0.25">
      <c r="T5337" s="98"/>
    </row>
    <row r="5338" spans="20:20" x14ac:dyDescent="0.25">
      <c r="T5338" s="98"/>
    </row>
    <row r="5339" spans="20:20" x14ac:dyDescent="0.25">
      <c r="T5339" s="98"/>
    </row>
    <row r="5340" spans="20:20" x14ac:dyDescent="0.25">
      <c r="T5340" s="98"/>
    </row>
    <row r="5341" spans="20:20" x14ac:dyDescent="0.25">
      <c r="T5341" s="98"/>
    </row>
    <row r="5342" spans="20:20" x14ac:dyDescent="0.25">
      <c r="T5342" s="98"/>
    </row>
    <row r="5343" spans="20:20" x14ac:dyDescent="0.25">
      <c r="T5343" s="98"/>
    </row>
    <row r="5344" spans="20:20" x14ac:dyDescent="0.25">
      <c r="T5344" s="98"/>
    </row>
    <row r="5345" spans="20:20" x14ac:dyDescent="0.25">
      <c r="T5345" s="98"/>
    </row>
    <row r="5346" spans="20:20" x14ac:dyDescent="0.25">
      <c r="T5346" s="98"/>
    </row>
    <row r="5347" spans="20:20" x14ac:dyDescent="0.25">
      <c r="T5347" s="98"/>
    </row>
    <row r="5348" spans="20:20" x14ac:dyDescent="0.25">
      <c r="T5348" s="98"/>
    </row>
    <row r="5349" spans="20:20" x14ac:dyDescent="0.25">
      <c r="T5349" s="98"/>
    </row>
    <row r="5350" spans="20:20" x14ac:dyDescent="0.25">
      <c r="T5350" s="98"/>
    </row>
    <row r="5351" spans="20:20" x14ac:dyDescent="0.25">
      <c r="T5351" s="98"/>
    </row>
    <row r="5352" spans="20:20" x14ac:dyDescent="0.25">
      <c r="T5352" s="98"/>
    </row>
    <row r="5353" spans="20:20" x14ac:dyDescent="0.25">
      <c r="T5353" s="98"/>
    </row>
    <row r="5354" spans="20:20" x14ac:dyDescent="0.25">
      <c r="T5354" s="98"/>
    </row>
    <row r="5355" spans="20:20" x14ac:dyDescent="0.25">
      <c r="T5355" s="98"/>
    </row>
    <row r="5356" spans="20:20" x14ac:dyDescent="0.25">
      <c r="T5356" s="98"/>
    </row>
    <row r="5357" spans="20:20" x14ac:dyDescent="0.25">
      <c r="T5357" s="98"/>
    </row>
    <row r="5358" spans="20:20" x14ac:dyDescent="0.25">
      <c r="T5358" s="98"/>
    </row>
    <row r="5359" spans="20:20" x14ac:dyDescent="0.25">
      <c r="T5359" s="98"/>
    </row>
    <row r="5360" spans="20:20" x14ac:dyDescent="0.25">
      <c r="T5360" s="98"/>
    </row>
    <row r="5361" spans="20:20" x14ac:dyDescent="0.25">
      <c r="T5361" s="98"/>
    </row>
    <row r="5362" spans="20:20" x14ac:dyDescent="0.25">
      <c r="T5362" s="98"/>
    </row>
    <row r="5363" spans="20:20" x14ac:dyDescent="0.25">
      <c r="T5363" s="98"/>
    </row>
    <row r="5364" spans="20:20" x14ac:dyDescent="0.25">
      <c r="T5364" s="98"/>
    </row>
    <row r="5365" spans="20:20" x14ac:dyDescent="0.25">
      <c r="T5365" s="98"/>
    </row>
    <row r="5366" spans="20:20" x14ac:dyDescent="0.25">
      <c r="T5366" s="98"/>
    </row>
    <row r="5367" spans="20:20" x14ac:dyDescent="0.25">
      <c r="T5367" s="98"/>
    </row>
    <row r="5368" spans="20:20" x14ac:dyDescent="0.25">
      <c r="T5368" s="98"/>
    </row>
    <row r="5369" spans="20:20" x14ac:dyDescent="0.25">
      <c r="T5369" s="98"/>
    </row>
    <row r="5370" spans="20:20" x14ac:dyDescent="0.25">
      <c r="T5370" s="98"/>
    </row>
    <row r="5371" spans="20:20" x14ac:dyDescent="0.25">
      <c r="T5371" s="98"/>
    </row>
    <row r="5372" spans="20:20" x14ac:dyDescent="0.25">
      <c r="T5372" s="98"/>
    </row>
    <row r="5373" spans="20:20" x14ac:dyDescent="0.25">
      <c r="T5373" s="98"/>
    </row>
    <row r="5374" spans="20:20" x14ac:dyDescent="0.25">
      <c r="T5374" s="98"/>
    </row>
    <row r="5375" spans="20:20" x14ac:dyDescent="0.25">
      <c r="T5375" s="98"/>
    </row>
    <row r="5376" spans="20:20" x14ac:dyDescent="0.25">
      <c r="T5376" s="98"/>
    </row>
    <row r="5377" spans="20:20" x14ac:dyDescent="0.25">
      <c r="T5377" s="98"/>
    </row>
    <row r="5378" spans="20:20" x14ac:dyDescent="0.25">
      <c r="T5378" s="98"/>
    </row>
    <row r="5379" spans="20:20" x14ac:dyDescent="0.25">
      <c r="T5379" s="98"/>
    </row>
    <row r="5380" spans="20:20" x14ac:dyDescent="0.25">
      <c r="T5380" s="98"/>
    </row>
    <row r="5381" spans="20:20" x14ac:dyDescent="0.25">
      <c r="T5381" s="98"/>
    </row>
    <row r="5382" spans="20:20" x14ac:dyDescent="0.25">
      <c r="T5382" s="98"/>
    </row>
    <row r="5383" spans="20:20" x14ac:dyDescent="0.25">
      <c r="T5383" s="98"/>
    </row>
    <row r="5384" spans="20:20" x14ac:dyDescent="0.25">
      <c r="T5384" s="98"/>
    </row>
    <row r="5385" spans="20:20" x14ac:dyDescent="0.25">
      <c r="T5385" s="98"/>
    </row>
    <row r="5386" spans="20:20" x14ac:dyDescent="0.25">
      <c r="T5386" s="98"/>
    </row>
    <row r="5387" spans="20:20" x14ac:dyDescent="0.25">
      <c r="T5387" s="98"/>
    </row>
    <row r="5388" spans="20:20" x14ac:dyDescent="0.25">
      <c r="T5388" s="98"/>
    </row>
    <row r="5389" spans="20:20" x14ac:dyDescent="0.25">
      <c r="T5389" s="98"/>
    </row>
    <row r="5390" spans="20:20" x14ac:dyDescent="0.25">
      <c r="T5390" s="98"/>
    </row>
    <row r="5391" spans="20:20" x14ac:dyDescent="0.25">
      <c r="T5391" s="98"/>
    </row>
    <row r="5392" spans="20:20" x14ac:dyDescent="0.25">
      <c r="T5392" s="98"/>
    </row>
    <row r="5393" spans="20:20" x14ac:dyDescent="0.25">
      <c r="T5393" s="98"/>
    </row>
    <row r="5394" spans="20:20" x14ac:dyDescent="0.25">
      <c r="T5394" s="98"/>
    </row>
    <row r="5395" spans="20:20" x14ac:dyDescent="0.25">
      <c r="T5395" s="98"/>
    </row>
    <row r="5396" spans="20:20" x14ac:dyDescent="0.25">
      <c r="T5396" s="98"/>
    </row>
    <row r="5397" spans="20:20" x14ac:dyDescent="0.25">
      <c r="T5397" s="98"/>
    </row>
    <row r="5398" spans="20:20" x14ac:dyDescent="0.25">
      <c r="T5398" s="98"/>
    </row>
    <row r="5399" spans="20:20" x14ac:dyDescent="0.25">
      <c r="T5399" s="98"/>
    </row>
    <row r="5400" spans="20:20" x14ac:dyDescent="0.25">
      <c r="T5400" s="98"/>
    </row>
    <row r="5401" spans="20:20" x14ac:dyDescent="0.25">
      <c r="T5401" s="98"/>
    </row>
    <row r="5402" spans="20:20" x14ac:dyDescent="0.25">
      <c r="T5402" s="98"/>
    </row>
    <row r="5403" spans="20:20" x14ac:dyDescent="0.25">
      <c r="T5403" s="98"/>
    </row>
    <row r="5404" spans="20:20" x14ac:dyDescent="0.25">
      <c r="T5404" s="98"/>
    </row>
    <row r="5405" spans="20:20" x14ac:dyDescent="0.25">
      <c r="T5405" s="98"/>
    </row>
    <row r="5406" spans="20:20" x14ac:dyDescent="0.25">
      <c r="T5406" s="98"/>
    </row>
    <row r="5407" spans="20:20" x14ac:dyDescent="0.25">
      <c r="T5407" s="98"/>
    </row>
    <row r="5408" spans="20:20" x14ac:dyDescent="0.25">
      <c r="T5408" s="98"/>
    </row>
    <row r="5409" spans="20:20" x14ac:dyDescent="0.25">
      <c r="T5409" s="98"/>
    </row>
    <row r="5410" spans="20:20" x14ac:dyDescent="0.25">
      <c r="T5410" s="98"/>
    </row>
    <row r="5411" spans="20:20" x14ac:dyDescent="0.25">
      <c r="T5411" s="98"/>
    </row>
    <row r="5412" spans="20:20" x14ac:dyDescent="0.25">
      <c r="T5412" s="98"/>
    </row>
    <row r="5413" spans="20:20" x14ac:dyDescent="0.25">
      <c r="T5413" s="98"/>
    </row>
    <row r="5414" spans="20:20" x14ac:dyDescent="0.25">
      <c r="T5414" s="98"/>
    </row>
    <row r="5415" spans="20:20" x14ac:dyDescent="0.25">
      <c r="T5415" s="98"/>
    </row>
    <row r="5416" spans="20:20" x14ac:dyDescent="0.25">
      <c r="T5416" s="98"/>
    </row>
    <row r="5417" spans="20:20" x14ac:dyDescent="0.25">
      <c r="T5417" s="98"/>
    </row>
    <row r="5418" spans="20:20" x14ac:dyDescent="0.25">
      <c r="T5418" s="98"/>
    </row>
    <row r="5419" spans="20:20" x14ac:dyDescent="0.25">
      <c r="T5419" s="98"/>
    </row>
    <row r="5420" spans="20:20" x14ac:dyDescent="0.25">
      <c r="T5420" s="98"/>
    </row>
    <row r="5421" spans="20:20" x14ac:dyDescent="0.25">
      <c r="T5421" s="98"/>
    </row>
    <row r="5422" spans="20:20" x14ac:dyDescent="0.25">
      <c r="T5422" s="98"/>
    </row>
    <row r="5423" spans="20:20" x14ac:dyDescent="0.25">
      <c r="T5423" s="98"/>
    </row>
    <row r="5424" spans="20:20" x14ac:dyDescent="0.25">
      <c r="T5424" s="98"/>
    </row>
    <row r="5425" spans="20:20" x14ac:dyDescent="0.25">
      <c r="T5425" s="98"/>
    </row>
    <row r="5426" spans="20:20" x14ac:dyDescent="0.25">
      <c r="T5426" s="98"/>
    </row>
    <row r="5427" spans="20:20" x14ac:dyDescent="0.25">
      <c r="T5427" s="98"/>
    </row>
    <row r="5428" spans="20:20" x14ac:dyDescent="0.25">
      <c r="T5428" s="98"/>
    </row>
    <row r="5429" spans="20:20" x14ac:dyDescent="0.25">
      <c r="T5429" s="98"/>
    </row>
    <row r="5430" spans="20:20" x14ac:dyDescent="0.25">
      <c r="T5430" s="98"/>
    </row>
    <row r="5431" spans="20:20" x14ac:dyDescent="0.25">
      <c r="T5431" s="98"/>
    </row>
    <row r="5432" spans="20:20" x14ac:dyDescent="0.25">
      <c r="T5432" s="98"/>
    </row>
    <row r="5433" spans="20:20" x14ac:dyDescent="0.25">
      <c r="T5433" s="98"/>
    </row>
    <row r="5434" spans="20:20" x14ac:dyDescent="0.25">
      <c r="T5434" s="98"/>
    </row>
    <row r="5435" spans="20:20" x14ac:dyDescent="0.25">
      <c r="T5435" s="98"/>
    </row>
    <row r="5436" spans="20:20" x14ac:dyDescent="0.25">
      <c r="T5436" s="98"/>
    </row>
    <row r="5437" spans="20:20" x14ac:dyDescent="0.25">
      <c r="T5437" s="98"/>
    </row>
    <row r="5438" spans="20:20" x14ac:dyDescent="0.25">
      <c r="T5438" s="98"/>
    </row>
    <row r="5439" spans="20:20" x14ac:dyDescent="0.25">
      <c r="T5439" s="98"/>
    </row>
    <row r="5440" spans="20:20" x14ac:dyDescent="0.25">
      <c r="T5440" s="98"/>
    </row>
    <row r="5441" spans="20:20" x14ac:dyDescent="0.25">
      <c r="T5441" s="98"/>
    </row>
    <row r="5442" spans="20:20" x14ac:dyDescent="0.25">
      <c r="T5442" s="98"/>
    </row>
    <row r="5443" spans="20:20" x14ac:dyDescent="0.25">
      <c r="T5443" s="98"/>
    </row>
    <row r="5444" spans="20:20" x14ac:dyDescent="0.25">
      <c r="T5444" s="98"/>
    </row>
    <row r="5445" spans="20:20" x14ac:dyDescent="0.25">
      <c r="T5445" s="98"/>
    </row>
    <row r="5446" spans="20:20" x14ac:dyDescent="0.25">
      <c r="T5446" s="98"/>
    </row>
    <row r="5447" spans="20:20" x14ac:dyDescent="0.25">
      <c r="T5447" s="98"/>
    </row>
    <row r="5448" spans="20:20" x14ac:dyDescent="0.25">
      <c r="T5448" s="98"/>
    </row>
    <row r="5449" spans="20:20" x14ac:dyDescent="0.25">
      <c r="T5449" s="98"/>
    </row>
    <row r="5450" spans="20:20" x14ac:dyDescent="0.25">
      <c r="T5450" s="98"/>
    </row>
    <row r="5451" spans="20:20" x14ac:dyDescent="0.25">
      <c r="T5451" s="98"/>
    </row>
    <row r="5452" spans="20:20" x14ac:dyDescent="0.25">
      <c r="T5452" s="98"/>
    </row>
    <row r="5453" spans="20:20" x14ac:dyDescent="0.25">
      <c r="T5453" s="98"/>
    </row>
    <row r="5454" spans="20:20" x14ac:dyDescent="0.25">
      <c r="T5454" s="98"/>
    </row>
    <row r="5455" spans="20:20" x14ac:dyDescent="0.25">
      <c r="T5455" s="98"/>
    </row>
    <row r="5456" spans="20:20" x14ac:dyDescent="0.25">
      <c r="T5456" s="98"/>
    </row>
    <row r="5457" spans="20:20" x14ac:dyDescent="0.25">
      <c r="T5457" s="98"/>
    </row>
    <row r="5458" spans="20:20" x14ac:dyDescent="0.25">
      <c r="T5458" s="98"/>
    </row>
    <row r="5459" spans="20:20" x14ac:dyDescent="0.25">
      <c r="T5459" s="98"/>
    </row>
    <row r="5460" spans="20:20" x14ac:dyDescent="0.25">
      <c r="T5460" s="98"/>
    </row>
    <row r="5461" spans="20:20" x14ac:dyDescent="0.25">
      <c r="T5461" s="98"/>
    </row>
    <row r="5462" spans="20:20" x14ac:dyDescent="0.25">
      <c r="T5462" s="98"/>
    </row>
    <row r="5463" spans="20:20" x14ac:dyDescent="0.25">
      <c r="T5463" s="98"/>
    </row>
    <row r="5464" spans="20:20" x14ac:dyDescent="0.25">
      <c r="T5464" s="98"/>
    </row>
    <row r="5465" spans="20:20" x14ac:dyDescent="0.25">
      <c r="T5465" s="98"/>
    </row>
    <row r="5466" spans="20:20" x14ac:dyDescent="0.25">
      <c r="T5466" s="98"/>
    </row>
    <row r="5467" spans="20:20" x14ac:dyDescent="0.25">
      <c r="T5467" s="98"/>
    </row>
    <row r="5468" spans="20:20" x14ac:dyDescent="0.25">
      <c r="T5468" s="98"/>
    </row>
    <row r="5469" spans="20:20" x14ac:dyDescent="0.25">
      <c r="T5469" s="98"/>
    </row>
    <row r="5470" spans="20:20" x14ac:dyDescent="0.25">
      <c r="T5470" s="98"/>
    </row>
    <row r="5471" spans="20:20" x14ac:dyDescent="0.25">
      <c r="T5471" s="98"/>
    </row>
    <row r="5472" spans="20:20" x14ac:dyDescent="0.25">
      <c r="T5472" s="98"/>
    </row>
    <row r="5473" spans="20:20" x14ac:dyDescent="0.25">
      <c r="T5473" s="98"/>
    </row>
    <row r="5474" spans="20:20" x14ac:dyDescent="0.25">
      <c r="T5474" s="98"/>
    </row>
    <row r="5475" spans="20:20" x14ac:dyDescent="0.25">
      <c r="T5475" s="98"/>
    </row>
    <row r="5476" spans="20:20" x14ac:dyDescent="0.25">
      <c r="T5476" s="98"/>
    </row>
    <row r="5477" spans="20:20" x14ac:dyDescent="0.25">
      <c r="T5477" s="98"/>
    </row>
    <row r="5478" spans="20:20" x14ac:dyDescent="0.25">
      <c r="T5478" s="98"/>
    </row>
    <row r="5479" spans="20:20" x14ac:dyDescent="0.25">
      <c r="T5479" s="98"/>
    </row>
    <row r="5480" spans="20:20" x14ac:dyDescent="0.25">
      <c r="T5480" s="98"/>
    </row>
    <row r="5481" spans="20:20" x14ac:dyDescent="0.25">
      <c r="T5481" s="98"/>
    </row>
    <row r="5482" spans="20:20" x14ac:dyDescent="0.25">
      <c r="T5482" s="98"/>
    </row>
    <row r="5483" spans="20:20" x14ac:dyDescent="0.25">
      <c r="T5483" s="98"/>
    </row>
    <row r="5484" spans="20:20" x14ac:dyDescent="0.25">
      <c r="T5484" s="98"/>
    </row>
    <row r="5485" spans="20:20" x14ac:dyDescent="0.25">
      <c r="T5485" s="98"/>
    </row>
    <row r="5486" spans="20:20" x14ac:dyDescent="0.25">
      <c r="T5486" s="98"/>
    </row>
    <row r="5487" spans="20:20" x14ac:dyDescent="0.25">
      <c r="T5487" s="98"/>
    </row>
    <row r="5488" spans="20:20" x14ac:dyDescent="0.25">
      <c r="T5488" s="98"/>
    </row>
    <row r="5489" spans="20:20" x14ac:dyDescent="0.25">
      <c r="T5489" s="98"/>
    </row>
    <row r="5490" spans="20:20" x14ac:dyDescent="0.25">
      <c r="T5490" s="98"/>
    </row>
    <row r="5491" spans="20:20" x14ac:dyDescent="0.25">
      <c r="T5491" s="98"/>
    </row>
    <row r="5492" spans="20:20" x14ac:dyDescent="0.25">
      <c r="T5492" s="98"/>
    </row>
    <row r="5493" spans="20:20" x14ac:dyDescent="0.25">
      <c r="T5493" s="98"/>
    </row>
    <row r="5494" spans="20:20" x14ac:dyDescent="0.25">
      <c r="T5494" s="98"/>
    </row>
    <row r="5495" spans="20:20" x14ac:dyDescent="0.25">
      <c r="T5495" s="98"/>
    </row>
    <row r="5496" spans="20:20" x14ac:dyDescent="0.25">
      <c r="T5496" s="98"/>
    </row>
    <row r="5497" spans="20:20" x14ac:dyDescent="0.25">
      <c r="T5497" s="98"/>
    </row>
    <row r="5498" spans="20:20" x14ac:dyDescent="0.25">
      <c r="T5498" s="98"/>
    </row>
    <row r="5499" spans="20:20" x14ac:dyDescent="0.25">
      <c r="T5499" s="98"/>
    </row>
    <row r="5500" spans="20:20" x14ac:dyDescent="0.25">
      <c r="T5500" s="98"/>
    </row>
    <row r="5501" spans="20:20" x14ac:dyDescent="0.25">
      <c r="T5501" s="98"/>
    </row>
    <row r="5502" spans="20:20" x14ac:dyDescent="0.25">
      <c r="T5502" s="98"/>
    </row>
    <row r="5503" spans="20:20" x14ac:dyDescent="0.25">
      <c r="T5503" s="98"/>
    </row>
    <row r="5504" spans="20:20" x14ac:dyDescent="0.25">
      <c r="T5504" s="98"/>
    </row>
    <row r="5505" spans="20:20" x14ac:dyDescent="0.25">
      <c r="T5505" s="98"/>
    </row>
    <row r="5506" spans="20:20" x14ac:dyDescent="0.25">
      <c r="T5506" s="98"/>
    </row>
    <row r="5507" spans="20:20" x14ac:dyDescent="0.25">
      <c r="T5507" s="98"/>
    </row>
    <row r="5508" spans="20:20" x14ac:dyDescent="0.25">
      <c r="T5508" s="98"/>
    </row>
    <row r="5509" spans="20:20" x14ac:dyDescent="0.25">
      <c r="T5509" s="98"/>
    </row>
    <row r="5510" spans="20:20" x14ac:dyDescent="0.25">
      <c r="T5510" s="98"/>
    </row>
    <row r="5511" spans="20:20" x14ac:dyDescent="0.25">
      <c r="T5511" s="98"/>
    </row>
    <row r="5512" spans="20:20" x14ac:dyDescent="0.25">
      <c r="T5512" s="98"/>
    </row>
    <row r="5513" spans="20:20" x14ac:dyDescent="0.25">
      <c r="T5513" s="98"/>
    </row>
    <row r="5514" spans="20:20" x14ac:dyDescent="0.25">
      <c r="T5514" s="98"/>
    </row>
    <row r="5515" spans="20:20" x14ac:dyDescent="0.25">
      <c r="T5515" s="98"/>
    </row>
    <row r="5516" spans="20:20" x14ac:dyDescent="0.25">
      <c r="T5516" s="98"/>
    </row>
    <row r="5517" spans="20:20" x14ac:dyDescent="0.25">
      <c r="T5517" s="98"/>
    </row>
    <row r="5518" spans="20:20" x14ac:dyDescent="0.25">
      <c r="T5518" s="98"/>
    </row>
    <row r="5519" spans="20:20" x14ac:dyDescent="0.25">
      <c r="T5519" s="98"/>
    </row>
    <row r="5520" spans="20:20" x14ac:dyDescent="0.25">
      <c r="T5520" s="98"/>
    </row>
    <row r="5521" spans="20:20" x14ac:dyDescent="0.25">
      <c r="T5521" s="98"/>
    </row>
    <row r="5522" spans="20:20" x14ac:dyDescent="0.25">
      <c r="T5522" s="98"/>
    </row>
    <row r="5523" spans="20:20" x14ac:dyDescent="0.25">
      <c r="T5523" s="98"/>
    </row>
    <row r="5524" spans="20:20" x14ac:dyDescent="0.25">
      <c r="T5524" s="98"/>
    </row>
    <row r="5525" spans="20:20" x14ac:dyDescent="0.25">
      <c r="T5525" s="98"/>
    </row>
    <row r="5526" spans="20:20" x14ac:dyDescent="0.25">
      <c r="T5526" s="98"/>
    </row>
    <row r="5527" spans="20:20" x14ac:dyDescent="0.25">
      <c r="T5527" s="98"/>
    </row>
    <row r="5528" spans="20:20" x14ac:dyDescent="0.25">
      <c r="T5528" s="98"/>
    </row>
    <row r="5529" spans="20:20" x14ac:dyDescent="0.25">
      <c r="T5529" s="98"/>
    </row>
    <row r="5530" spans="20:20" x14ac:dyDescent="0.25">
      <c r="T5530" s="98"/>
    </row>
    <row r="5531" spans="20:20" x14ac:dyDescent="0.25">
      <c r="T5531" s="98"/>
    </row>
    <row r="5532" spans="20:20" x14ac:dyDescent="0.25">
      <c r="T5532" s="98"/>
    </row>
    <row r="5533" spans="20:20" x14ac:dyDescent="0.25">
      <c r="T5533" s="98"/>
    </row>
    <row r="5534" spans="20:20" x14ac:dyDescent="0.25">
      <c r="T5534" s="98"/>
    </row>
    <row r="5535" spans="20:20" x14ac:dyDescent="0.25">
      <c r="T5535" s="98"/>
    </row>
    <row r="5536" spans="20:20" x14ac:dyDescent="0.25">
      <c r="T5536" s="98"/>
    </row>
    <row r="5537" spans="20:20" x14ac:dyDescent="0.25">
      <c r="T5537" s="98"/>
    </row>
    <row r="5538" spans="20:20" x14ac:dyDescent="0.25">
      <c r="T5538" s="98"/>
    </row>
    <row r="5539" spans="20:20" x14ac:dyDescent="0.25">
      <c r="T5539" s="98"/>
    </row>
    <row r="5540" spans="20:20" x14ac:dyDescent="0.25">
      <c r="T5540" s="98"/>
    </row>
    <row r="5541" spans="20:20" x14ac:dyDescent="0.25">
      <c r="T5541" s="98"/>
    </row>
    <row r="5542" spans="20:20" x14ac:dyDescent="0.25">
      <c r="T5542" s="98"/>
    </row>
    <row r="5543" spans="20:20" x14ac:dyDescent="0.25">
      <c r="T5543" s="98"/>
    </row>
    <row r="5544" spans="20:20" x14ac:dyDescent="0.25">
      <c r="T5544" s="98"/>
    </row>
    <row r="5545" spans="20:20" x14ac:dyDescent="0.25">
      <c r="T5545" s="98"/>
    </row>
    <row r="5546" spans="20:20" x14ac:dyDescent="0.25">
      <c r="T5546" s="98"/>
    </row>
    <row r="5547" spans="20:20" x14ac:dyDescent="0.25">
      <c r="T5547" s="98"/>
    </row>
    <row r="5548" spans="20:20" x14ac:dyDescent="0.25">
      <c r="T5548" s="98"/>
    </row>
    <row r="5549" spans="20:20" x14ac:dyDescent="0.25">
      <c r="T5549" s="98"/>
    </row>
    <row r="5550" spans="20:20" x14ac:dyDescent="0.25">
      <c r="T5550" s="98"/>
    </row>
    <row r="5551" spans="20:20" x14ac:dyDescent="0.25">
      <c r="T5551" s="98"/>
    </row>
    <row r="5552" spans="20:20" x14ac:dyDescent="0.25">
      <c r="T5552" s="98"/>
    </row>
    <row r="5553" spans="20:20" x14ac:dyDescent="0.25">
      <c r="T5553" s="98"/>
    </row>
    <row r="5554" spans="20:20" x14ac:dyDescent="0.25">
      <c r="T5554" s="98"/>
    </row>
    <row r="5555" spans="20:20" x14ac:dyDescent="0.25">
      <c r="T5555" s="98"/>
    </row>
    <row r="5556" spans="20:20" x14ac:dyDescent="0.25">
      <c r="T5556" s="98"/>
    </row>
    <row r="5557" spans="20:20" x14ac:dyDescent="0.25">
      <c r="T5557" s="98"/>
    </row>
    <row r="5558" spans="20:20" x14ac:dyDescent="0.25">
      <c r="T5558" s="98"/>
    </row>
    <row r="5559" spans="20:20" x14ac:dyDescent="0.25">
      <c r="T5559" s="98"/>
    </row>
    <row r="5560" spans="20:20" x14ac:dyDescent="0.25">
      <c r="T5560" s="98"/>
    </row>
    <row r="5561" spans="20:20" x14ac:dyDescent="0.25">
      <c r="T5561" s="98"/>
    </row>
    <row r="5562" spans="20:20" x14ac:dyDescent="0.25">
      <c r="T5562" s="98"/>
    </row>
    <row r="5563" spans="20:20" x14ac:dyDescent="0.25">
      <c r="T5563" s="98"/>
    </row>
    <row r="5564" spans="20:20" x14ac:dyDescent="0.25">
      <c r="T5564" s="98"/>
    </row>
    <row r="5565" spans="20:20" x14ac:dyDescent="0.25">
      <c r="T5565" s="98"/>
    </row>
    <row r="5566" spans="20:20" x14ac:dyDescent="0.25">
      <c r="T5566" s="98"/>
    </row>
    <row r="5567" spans="20:20" x14ac:dyDescent="0.25">
      <c r="T5567" s="98"/>
    </row>
    <row r="5568" spans="20:20" x14ac:dyDescent="0.25">
      <c r="T5568" s="98"/>
    </row>
    <row r="5569" spans="20:20" x14ac:dyDescent="0.25">
      <c r="T5569" s="98"/>
    </row>
    <row r="5570" spans="20:20" x14ac:dyDescent="0.25">
      <c r="T5570" s="98"/>
    </row>
    <row r="5571" spans="20:20" x14ac:dyDescent="0.25">
      <c r="T5571" s="98"/>
    </row>
    <row r="5572" spans="20:20" x14ac:dyDescent="0.25">
      <c r="T5572" s="98"/>
    </row>
    <row r="5573" spans="20:20" x14ac:dyDescent="0.25">
      <c r="T5573" s="98"/>
    </row>
    <row r="5574" spans="20:20" x14ac:dyDescent="0.25">
      <c r="T5574" s="98"/>
    </row>
    <row r="5575" spans="20:20" x14ac:dyDescent="0.25">
      <c r="T5575" s="98"/>
    </row>
    <row r="5576" spans="20:20" x14ac:dyDescent="0.25">
      <c r="T5576" s="98"/>
    </row>
    <row r="5577" spans="20:20" x14ac:dyDescent="0.25">
      <c r="T5577" s="98"/>
    </row>
    <row r="5578" spans="20:20" x14ac:dyDescent="0.25">
      <c r="T5578" s="98"/>
    </row>
    <row r="5579" spans="20:20" x14ac:dyDescent="0.25">
      <c r="T5579" s="98"/>
    </row>
    <row r="5580" spans="20:20" x14ac:dyDescent="0.25">
      <c r="T5580" s="98"/>
    </row>
    <row r="5581" spans="20:20" x14ac:dyDescent="0.25">
      <c r="T5581" s="98"/>
    </row>
    <row r="5582" spans="20:20" x14ac:dyDescent="0.25">
      <c r="T5582" s="98"/>
    </row>
    <row r="5583" spans="20:20" x14ac:dyDescent="0.25">
      <c r="T5583" s="98"/>
    </row>
    <row r="5584" spans="20:20" x14ac:dyDescent="0.25">
      <c r="T5584" s="98"/>
    </row>
    <row r="5585" spans="20:20" x14ac:dyDescent="0.25">
      <c r="T5585" s="98"/>
    </row>
    <row r="5586" spans="20:20" x14ac:dyDescent="0.25">
      <c r="T5586" s="98"/>
    </row>
    <row r="5587" spans="20:20" x14ac:dyDescent="0.25">
      <c r="T5587" s="98"/>
    </row>
    <row r="5588" spans="20:20" x14ac:dyDescent="0.25">
      <c r="T5588" s="98"/>
    </row>
    <row r="5589" spans="20:20" x14ac:dyDescent="0.25">
      <c r="T5589" s="98"/>
    </row>
    <row r="5590" spans="20:20" x14ac:dyDescent="0.25">
      <c r="T5590" s="98"/>
    </row>
    <row r="5591" spans="20:20" x14ac:dyDescent="0.25">
      <c r="T5591" s="98"/>
    </row>
    <row r="5592" spans="20:20" x14ac:dyDescent="0.25">
      <c r="T5592" s="98"/>
    </row>
    <row r="5593" spans="20:20" x14ac:dyDescent="0.25">
      <c r="T5593" s="98"/>
    </row>
    <row r="5594" spans="20:20" x14ac:dyDescent="0.25">
      <c r="T5594" s="98"/>
    </row>
    <row r="5595" spans="20:20" x14ac:dyDescent="0.25">
      <c r="T5595" s="98"/>
    </row>
    <row r="5596" spans="20:20" x14ac:dyDescent="0.25">
      <c r="T5596" s="98"/>
    </row>
    <row r="5597" spans="20:20" x14ac:dyDescent="0.25">
      <c r="T5597" s="98"/>
    </row>
    <row r="5598" spans="20:20" x14ac:dyDescent="0.25">
      <c r="T5598" s="98"/>
    </row>
    <row r="5599" spans="20:20" x14ac:dyDescent="0.25">
      <c r="T5599" s="98"/>
    </row>
    <row r="5600" spans="20:20" x14ac:dyDescent="0.25">
      <c r="T5600" s="98"/>
    </row>
    <row r="5601" spans="20:20" x14ac:dyDescent="0.25">
      <c r="T5601" s="98"/>
    </row>
    <row r="5602" spans="20:20" x14ac:dyDescent="0.25">
      <c r="T5602" s="98"/>
    </row>
    <row r="5603" spans="20:20" x14ac:dyDescent="0.25">
      <c r="T5603" s="98"/>
    </row>
    <row r="5604" spans="20:20" x14ac:dyDescent="0.25">
      <c r="T5604" s="98"/>
    </row>
    <row r="5605" spans="20:20" x14ac:dyDescent="0.25">
      <c r="T5605" s="98"/>
    </row>
    <row r="5606" spans="20:20" x14ac:dyDescent="0.25">
      <c r="T5606" s="98"/>
    </row>
    <row r="5607" spans="20:20" x14ac:dyDescent="0.25">
      <c r="T5607" s="98"/>
    </row>
    <row r="5608" spans="20:20" x14ac:dyDescent="0.25">
      <c r="T5608" s="98"/>
    </row>
    <row r="5609" spans="20:20" x14ac:dyDescent="0.25">
      <c r="T5609" s="98"/>
    </row>
    <row r="5610" spans="20:20" x14ac:dyDescent="0.25">
      <c r="T5610" s="98"/>
    </row>
    <row r="5611" spans="20:20" x14ac:dyDescent="0.25">
      <c r="T5611" s="98"/>
    </row>
    <row r="5612" spans="20:20" x14ac:dyDescent="0.25">
      <c r="T5612" s="98"/>
    </row>
    <row r="5613" spans="20:20" x14ac:dyDescent="0.25">
      <c r="T5613" s="98"/>
    </row>
    <row r="5614" spans="20:20" x14ac:dyDescent="0.25">
      <c r="T5614" s="98"/>
    </row>
    <row r="5615" spans="20:20" x14ac:dyDescent="0.25">
      <c r="T5615" s="98"/>
    </row>
    <row r="5616" spans="20:20" x14ac:dyDescent="0.25">
      <c r="T5616" s="98"/>
    </row>
    <row r="5617" spans="20:20" x14ac:dyDescent="0.25">
      <c r="T5617" s="98"/>
    </row>
    <row r="5618" spans="20:20" x14ac:dyDescent="0.25">
      <c r="T5618" s="98"/>
    </row>
    <row r="5619" spans="20:20" x14ac:dyDescent="0.25">
      <c r="T5619" s="98"/>
    </row>
    <row r="5620" spans="20:20" x14ac:dyDescent="0.25">
      <c r="T5620" s="98"/>
    </row>
    <row r="5621" spans="20:20" x14ac:dyDescent="0.25">
      <c r="T5621" s="98"/>
    </row>
    <row r="5622" spans="20:20" x14ac:dyDescent="0.25">
      <c r="T5622" s="98"/>
    </row>
    <row r="5623" spans="20:20" x14ac:dyDescent="0.25">
      <c r="T5623" s="98"/>
    </row>
    <row r="5624" spans="20:20" x14ac:dyDescent="0.25">
      <c r="T5624" s="98"/>
    </row>
    <row r="5625" spans="20:20" x14ac:dyDescent="0.25">
      <c r="T5625" s="98"/>
    </row>
    <row r="5626" spans="20:20" x14ac:dyDescent="0.25">
      <c r="T5626" s="98"/>
    </row>
    <row r="5627" spans="20:20" x14ac:dyDescent="0.25">
      <c r="T5627" s="98"/>
    </row>
    <row r="5628" spans="20:20" x14ac:dyDescent="0.25">
      <c r="T5628" s="98"/>
    </row>
    <row r="5629" spans="20:20" x14ac:dyDescent="0.25">
      <c r="T5629" s="98"/>
    </row>
    <row r="5630" spans="20:20" x14ac:dyDescent="0.25">
      <c r="T5630" s="98"/>
    </row>
    <row r="5631" spans="20:20" x14ac:dyDescent="0.25">
      <c r="T5631" s="98"/>
    </row>
    <row r="5632" spans="20:20" x14ac:dyDescent="0.25">
      <c r="T5632" s="98"/>
    </row>
    <row r="5633" spans="20:20" x14ac:dyDescent="0.25">
      <c r="T5633" s="98"/>
    </row>
    <row r="5634" spans="20:20" x14ac:dyDescent="0.25">
      <c r="T5634" s="98"/>
    </row>
    <row r="5635" spans="20:20" x14ac:dyDescent="0.25">
      <c r="T5635" s="98"/>
    </row>
    <row r="5636" spans="20:20" x14ac:dyDescent="0.25">
      <c r="T5636" s="98"/>
    </row>
    <row r="5637" spans="20:20" x14ac:dyDescent="0.25">
      <c r="T5637" s="98"/>
    </row>
    <row r="5638" spans="20:20" x14ac:dyDescent="0.25">
      <c r="T5638" s="98"/>
    </row>
    <row r="5639" spans="20:20" x14ac:dyDescent="0.25">
      <c r="T5639" s="98"/>
    </row>
    <row r="5640" spans="20:20" x14ac:dyDescent="0.25">
      <c r="T5640" s="98"/>
    </row>
    <row r="5641" spans="20:20" x14ac:dyDescent="0.25">
      <c r="T5641" s="98"/>
    </row>
    <row r="5642" spans="20:20" x14ac:dyDescent="0.25">
      <c r="T5642" s="98"/>
    </row>
    <row r="5643" spans="20:20" x14ac:dyDescent="0.25">
      <c r="T5643" s="98"/>
    </row>
    <row r="5644" spans="20:20" x14ac:dyDescent="0.25">
      <c r="T5644" s="98"/>
    </row>
    <row r="5645" spans="20:20" x14ac:dyDescent="0.25">
      <c r="T5645" s="98"/>
    </row>
    <row r="5646" spans="20:20" x14ac:dyDescent="0.25">
      <c r="T5646" s="98"/>
    </row>
    <row r="5647" spans="20:20" x14ac:dyDescent="0.25">
      <c r="T5647" s="98"/>
    </row>
    <row r="5648" spans="20:20" x14ac:dyDescent="0.25">
      <c r="T5648" s="98"/>
    </row>
    <row r="5649" spans="20:20" x14ac:dyDescent="0.25">
      <c r="T5649" s="98"/>
    </row>
    <row r="5650" spans="20:20" x14ac:dyDescent="0.25">
      <c r="T5650" s="98"/>
    </row>
    <row r="5651" spans="20:20" x14ac:dyDescent="0.25">
      <c r="T5651" s="98"/>
    </row>
    <row r="5652" spans="20:20" x14ac:dyDescent="0.25">
      <c r="T5652" s="98"/>
    </row>
    <row r="5653" spans="20:20" x14ac:dyDescent="0.25">
      <c r="T5653" s="98"/>
    </row>
    <row r="5654" spans="20:20" x14ac:dyDescent="0.25">
      <c r="T5654" s="98"/>
    </row>
    <row r="5655" spans="20:20" x14ac:dyDescent="0.25">
      <c r="T5655" s="98"/>
    </row>
    <row r="5656" spans="20:20" x14ac:dyDescent="0.25">
      <c r="T5656" s="98"/>
    </row>
    <row r="5657" spans="20:20" x14ac:dyDescent="0.25">
      <c r="T5657" s="98"/>
    </row>
    <row r="5658" spans="20:20" x14ac:dyDescent="0.25">
      <c r="T5658" s="98"/>
    </row>
    <row r="5659" spans="20:20" x14ac:dyDescent="0.25">
      <c r="T5659" s="98"/>
    </row>
    <row r="5660" spans="20:20" x14ac:dyDescent="0.25">
      <c r="T5660" s="98"/>
    </row>
    <row r="5661" spans="20:20" x14ac:dyDescent="0.25">
      <c r="T5661" s="98"/>
    </row>
    <row r="5662" spans="20:20" x14ac:dyDescent="0.25">
      <c r="T5662" s="98"/>
    </row>
    <row r="5663" spans="20:20" x14ac:dyDescent="0.25">
      <c r="T5663" s="98"/>
    </row>
    <row r="5664" spans="20:20" x14ac:dyDescent="0.25">
      <c r="T5664" s="98"/>
    </row>
    <row r="5665" spans="20:20" x14ac:dyDescent="0.25">
      <c r="T5665" s="98"/>
    </row>
    <row r="5666" spans="20:20" x14ac:dyDescent="0.25">
      <c r="T5666" s="98"/>
    </row>
    <row r="5667" spans="20:20" x14ac:dyDescent="0.25">
      <c r="T5667" s="98"/>
    </row>
    <row r="5668" spans="20:20" x14ac:dyDescent="0.25">
      <c r="T5668" s="98"/>
    </row>
    <row r="5669" spans="20:20" x14ac:dyDescent="0.25">
      <c r="T5669" s="98"/>
    </row>
    <row r="5670" spans="20:20" x14ac:dyDescent="0.25">
      <c r="T5670" s="98"/>
    </row>
    <row r="5671" spans="20:20" x14ac:dyDescent="0.25">
      <c r="T5671" s="98"/>
    </row>
    <row r="5672" spans="20:20" x14ac:dyDescent="0.25">
      <c r="T5672" s="98"/>
    </row>
    <row r="5673" spans="20:20" x14ac:dyDescent="0.25">
      <c r="T5673" s="98"/>
    </row>
    <row r="5674" spans="20:20" x14ac:dyDescent="0.25">
      <c r="T5674" s="98"/>
    </row>
    <row r="5675" spans="20:20" x14ac:dyDescent="0.25">
      <c r="T5675" s="98"/>
    </row>
    <row r="5676" spans="20:20" x14ac:dyDescent="0.25">
      <c r="T5676" s="98"/>
    </row>
    <row r="5677" spans="20:20" x14ac:dyDescent="0.25">
      <c r="T5677" s="98"/>
    </row>
    <row r="5678" spans="20:20" x14ac:dyDescent="0.25">
      <c r="T5678" s="98"/>
    </row>
    <row r="5679" spans="20:20" x14ac:dyDescent="0.25">
      <c r="T5679" s="98"/>
    </row>
    <row r="5680" spans="20:20" x14ac:dyDescent="0.25">
      <c r="T5680" s="98"/>
    </row>
    <row r="5681" spans="20:20" x14ac:dyDescent="0.25">
      <c r="T5681" s="98"/>
    </row>
    <row r="5682" spans="20:20" x14ac:dyDescent="0.25">
      <c r="T5682" s="98"/>
    </row>
    <row r="5683" spans="20:20" x14ac:dyDescent="0.25">
      <c r="T5683" s="98"/>
    </row>
    <row r="5684" spans="20:20" x14ac:dyDescent="0.25">
      <c r="T5684" s="98"/>
    </row>
    <row r="5685" spans="20:20" x14ac:dyDescent="0.25">
      <c r="T5685" s="98"/>
    </row>
    <row r="5686" spans="20:20" x14ac:dyDescent="0.25">
      <c r="T5686" s="98"/>
    </row>
    <row r="5687" spans="20:20" x14ac:dyDescent="0.25">
      <c r="T5687" s="98"/>
    </row>
    <row r="5688" spans="20:20" x14ac:dyDescent="0.25">
      <c r="T5688" s="98"/>
    </row>
    <row r="5689" spans="20:20" x14ac:dyDescent="0.25">
      <c r="T5689" s="98"/>
    </row>
    <row r="5690" spans="20:20" x14ac:dyDescent="0.25">
      <c r="T5690" s="98"/>
    </row>
    <row r="5691" spans="20:20" x14ac:dyDescent="0.25">
      <c r="T5691" s="98"/>
    </row>
    <row r="5692" spans="20:20" x14ac:dyDescent="0.25">
      <c r="T5692" s="98"/>
    </row>
    <row r="5693" spans="20:20" x14ac:dyDescent="0.25">
      <c r="T5693" s="98"/>
    </row>
    <row r="5694" spans="20:20" x14ac:dyDescent="0.25">
      <c r="T5694" s="98"/>
    </row>
    <row r="5695" spans="20:20" x14ac:dyDescent="0.25">
      <c r="T5695" s="98"/>
    </row>
    <row r="5696" spans="20:20" x14ac:dyDescent="0.25">
      <c r="T5696" s="98"/>
    </row>
    <row r="5697" spans="20:20" x14ac:dyDescent="0.25">
      <c r="T5697" s="98"/>
    </row>
    <row r="5698" spans="20:20" x14ac:dyDescent="0.25">
      <c r="T5698" s="98"/>
    </row>
    <row r="5699" spans="20:20" x14ac:dyDescent="0.25">
      <c r="T5699" s="98"/>
    </row>
    <row r="5700" spans="20:20" x14ac:dyDescent="0.25">
      <c r="T5700" s="98"/>
    </row>
    <row r="5701" spans="20:20" x14ac:dyDescent="0.25">
      <c r="T5701" s="98"/>
    </row>
    <row r="5702" spans="20:20" x14ac:dyDescent="0.25">
      <c r="T5702" s="98"/>
    </row>
    <row r="5703" spans="20:20" x14ac:dyDescent="0.25">
      <c r="T5703" s="98"/>
    </row>
    <row r="5704" spans="20:20" x14ac:dyDescent="0.25">
      <c r="T5704" s="98"/>
    </row>
    <row r="5705" spans="20:20" x14ac:dyDescent="0.25">
      <c r="T5705" s="98"/>
    </row>
    <row r="5706" spans="20:20" x14ac:dyDescent="0.25">
      <c r="T5706" s="98"/>
    </row>
    <row r="5707" spans="20:20" x14ac:dyDescent="0.25">
      <c r="T5707" s="98"/>
    </row>
    <row r="5708" spans="20:20" x14ac:dyDescent="0.25">
      <c r="T5708" s="98"/>
    </row>
    <row r="5709" spans="20:20" x14ac:dyDescent="0.25">
      <c r="T5709" s="98"/>
    </row>
    <row r="5710" spans="20:20" x14ac:dyDescent="0.25">
      <c r="T5710" s="98"/>
    </row>
    <row r="5711" spans="20:20" x14ac:dyDescent="0.25">
      <c r="T5711" s="98"/>
    </row>
    <row r="5712" spans="20:20" x14ac:dyDescent="0.25">
      <c r="T5712" s="98"/>
    </row>
    <row r="5713" spans="20:20" x14ac:dyDescent="0.25">
      <c r="T5713" s="98"/>
    </row>
    <row r="5714" spans="20:20" x14ac:dyDescent="0.25">
      <c r="T5714" s="98"/>
    </row>
    <row r="5715" spans="20:20" x14ac:dyDescent="0.25">
      <c r="T5715" s="98"/>
    </row>
    <row r="5716" spans="20:20" x14ac:dyDescent="0.25">
      <c r="T5716" s="98"/>
    </row>
    <row r="5717" spans="20:20" x14ac:dyDescent="0.25">
      <c r="T5717" s="98"/>
    </row>
    <row r="5718" spans="20:20" x14ac:dyDescent="0.25">
      <c r="T5718" s="98"/>
    </row>
    <row r="5719" spans="20:20" x14ac:dyDescent="0.25">
      <c r="T5719" s="98"/>
    </row>
    <row r="5720" spans="20:20" x14ac:dyDescent="0.25">
      <c r="T5720" s="98"/>
    </row>
    <row r="5721" spans="20:20" x14ac:dyDescent="0.25">
      <c r="T5721" s="98"/>
    </row>
    <row r="5722" spans="20:20" x14ac:dyDescent="0.25">
      <c r="T5722" s="98"/>
    </row>
    <row r="5723" spans="20:20" x14ac:dyDescent="0.25">
      <c r="T5723" s="98"/>
    </row>
    <row r="5724" spans="20:20" x14ac:dyDescent="0.25">
      <c r="T5724" s="98"/>
    </row>
    <row r="5725" spans="20:20" x14ac:dyDescent="0.25">
      <c r="T5725" s="98"/>
    </row>
    <row r="5726" spans="20:20" x14ac:dyDescent="0.25">
      <c r="T5726" s="98"/>
    </row>
    <row r="5727" spans="20:20" x14ac:dyDescent="0.25">
      <c r="T5727" s="98"/>
    </row>
    <row r="5728" spans="20:20" x14ac:dyDescent="0.25">
      <c r="T5728" s="98"/>
    </row>
    <row r="5729" spans="20:20" x14ac:dyDescent="0.25">
      <c r="T5729" s="98"/>
    </row>
    <row r="5730" spans="20:20" x14ac:dyDescent="0.25">
      <c r="T5730" s="98"/>
    </row>
    <row r="5731" spans="20:20" x14ac:dyDescent="0.25">
      <c r="T5731" s="98"/>
    </row>
    <row r="5732" spans="20:20" x14ac:dyDescent="0.25">
      <c r="T5732" s="98"/>
    </row>
    <row r="5733" spans="20:20" x14ac:dyDescent="0.25">
      <c r="T5733" s="98"/>
    </row>
    <row r="5734" spans="20:20" x14ac:dyDescent="0.25">
      <c r="T5734" s="98"/>
    </row>
    <row r="5735" spans="20:20" x14ac:dyDescent="0.25">
      <c r="T5735" s="98"/>
    </row>
    <row r="5736" spans="20:20" x14ac:dyDescent="0.25">
      <c r="T5736" s="98"/>
    </row>
    <row r="5737" spans="20:20" x14ac:dyDescent="0.25">
      <c r="T5737" s="98"/>
    </row>
    <row r="5738" spans="20:20" x14ac:dyDescent="0.25">
      <c r="T5738" s="98"/>
    </row>
    <row r="5739" spans="20:20" x14ac:dyDescent="0.25">
      <c r="T5739" s="98"/>
    </row>
    <row r="5740" spans="20:20" x14ac:dyDescent="0.25">
      <c r="T5740" s="98"/>
    </row>
    <row r="5741" spans="20:20" x14ac:dyDescent="0.25">
      <c r="T5741" s="98"/>
    </row>
    <row r="5742" spans="20:20" x14ac:dyDescent="0.25">
      <c r="T5742" s="98"/>
    </row>
    <row r="5743" spans="20:20" x14ac:dyDescent="0.25">
      <c r="T5743" s="98"/>
    </row>
    <row r="5744" spans="20:20" x14ac:dyDescent="0.25">
      <c r="T5744" s="98"/>
    </row>
    <row r="5745" spans="20:20" x14ac:dyDescent="0.25">
      <c r="T5745" s="98"/>
    </row>
    <row r="5746" spans="20:20" x14ac:dyDescent="0.25">
      <c r="T5746" s="98"/>
    </row>
    <row r="5747" spans="20:20" x14ac:dyDescent="0.25">
      <c r="T5747" s="98"/>
    </row>
    <row r="5748" spans="20:20" x14ac:dyDescent="0.25">
      <c r="T5748" s="98"/>
    </row>
    <row r="5749" spans="20:20" x14ac:dyDescent="0.25">
      <c r="T5749" s="98"/>
    </row>
    <row r="5750" spans="20:20" x14ac:dyDescent="0.25">
      <c r="T5750" s="98"/>
    </row>
    <row r="5751" spans="20:20" x14ac:dyDescent="0.25">
      <c r="T5751" s="98"/>
    </row>
    <row r="5752" spans="20:20" x14ac:dyDescent="0.25">
      <c r="T5752" s="98"/>
    </row>
    <row r="5753" spans="20:20" x14ac:dyDescent="0.25">
      <c r="T5753" s="98"/>
    </row>
    <row r="5754" spans="20:20" x14ac:dyDescent="0.25">
      <c r="T5754" s="98"/>
    </row>
    <row r="5755" spans="20:20" x14ac:dyDescent="0.25">
      <c r="T5755" s="98"/>
    </row>
    <row r="5756" spans="20:20" x14ac:dyDescent="0.25">
      <c r="T5756" s="98"/>
    </row>
    <row r="5757" spans="20:20" x14ac:dyDescent="0.25">
      <c r="T5757" s="98"/>
    </row>
    <row r="5758" spans="20:20" x14ac:dyDescent="0.25">
      <c r="T5758" s="98"/>
    </row>
    <row r="5759" spans="20:20" x14ac:dyDescent="0.25">
      <c r="T5759" s="98"/>
    </row>
    <row r="5760" spans="20:20" x14ac:dyDescent="0.25">
      <c r="T5760" s="98"/>
    </row>
    <row r="5761" spans="20:20" x14ac:dyDescent="0.25">
      <c r="T5761" s="98"/>
    </row>
    <row r="5762" spans="20:20" x14ac:dyDescent="0.25">
      <c r="T5762" s="98"/>
    </row>
    <row r="5763" spans="20:20" x14ac:dyDescent="0.25">
      <c r="T5763" s="98"/>
    </row>
    <row r="5764" spans="20:20" x14ac:dyDescent="0.25">
      <c r="T5764" s="98"/>
    </row>
    <row r="5765" spans="20:20" x14ac:dyDescent="0.25">
      <c r="T5765" s="98"/>
    </row>
    <row r="5766" spans="20:20" x14ac:dyDescent="0.25">
      <c r="T5766" s="98"/>
    </row>
    <row r="5767" spans="20:20" x14ac:dyDescent="0.25">
      <c r="T5767" s="98"/>
    </row>
    <row r="5768" spans="20:20" x14ac:dyDescent="0.25">
      <c r="T5768" s="98"/>
    </row>
    <row r="5769" spans="20:20" x14ac:dyDescent="0.25">
      <c r="T5769" s="98"/>
    </row>
    <row r="5770" spans="20:20" x14ac:dyDescent="0.25">
      <c r="T5770" s="98"/>
    </row>
    <row r="5771" spans="20:20" x14ac:dyDescent="0.25">
      <c r="T5771" s="98"/>
    </row>
    <row r="5772" spans="20:20" x14ac:dyDescent="0.25">
      <c r="T5772" s="98"/>
    </row>
    <row r="5773" spans="20:20" x14ac:dyDescent="0.25">
      <c r="T5773" s="98"/>
    </row>
    <row r="5774" spans="20:20" x14ac:dyDescent="0.25">
      <c r="T5774" s="98"/>
    </row>
    <row r="5775" spans="20:20" x14ac:dyDescent="0.25">
      <c r="T5775" s="98"/>
    </row>
    <row r="5776" spans="20:20" x14ac:dyDescent="0.25">
      <c r="T5776" s="98"/>
    </row>
    <row r="5777" spans="20:20" x14ac:dyDescent="0.25">
      <c r="T5777" s="98"/>
    </row>
    <row r="5778" spans="20:20" x14ac:dyDescent="0.25">
      <c r="T5778" s="98"/>
    </row>
    <row r="5779" spans="20:20" x14ac:dyDescent="0.25">
      <c r="T5779" s="98"/>
    </row>
    <row r="5780" spans="20:20" x14ac:dyDescent="0.25">
      <c r="T5780" s="98"/>
    </row>
    <row r="5781" spans="20:20" x14ac:dyDescent="0.25">
      <c r="T5781" s="98"/>
    </row>
    <row r="5782" spans="20:20" x14ac:dyDescent="0.25">
      <c r="T5782" s="98"/>
    </row>
    <row r="5783" spans="20:20" x14ac:dyDescent="0.25">
      <c r="T5783" s="98"/>
    </row>
    <row r="5784" spans="20:20" x14ac:dyDescent="0.25">
      <c r="T5784" s="98"/>
    </row>
    <row r="5785" spans="20:20" x14ac:dyDescent="0.25">
      <c r="T5785" s="98"/>
    </row>
    <row r="5786" spans="20:20" x14ac:dyDescent="0.25">
      <c r="T5786" s="98"/>
    </row>
    <row r="5787" spans="20:20" x14ac:dyDescent="0.25">
      <c r="T5787" s="98"/>
    </row>
    <row r="5788" spans="20:20" x14ac:dyDescent="0.25">
      <c r="T5788" s="98"/>
    </row>
    <row r="5789" spans="20:20" x14ac:dyDescent="0.25">
      <c r="T5789" s="98"/>
    </row>
    <row r="5790" spans="20:20" x14ac:dyDescent="0.25">
      <c r="T5790" s="98"/>
    </row>
    <row r="5791" spans="20:20" x14ac:dyDescent="0.25">
      <c r="T5791" s="98"/>
    </row>
    <row r="5792" spans="20:20" x14ac:dyDescent="0.25">
      <c r="T5792" s="98"/>
    </row>
    <row r="5793" spans="20:20" x14ac:dyDescent="0.25">
      <c r="T5793" s="98"/>
    </row>
    <row r="5794" spans="20:20" x14ac:dyDescent="0.25">
      <c r="T5794" s="98"/>
    </row>
    <row r="5795" spans="20:20" x14ac:dyDescent="0.25">
      <c r="T5795" s="98"/>
    </row>
    <row r="5796" spans="20:20" x14ac:dyDescent="0.25">
      <c r="T5796" s="98"/>
    </row>
    <row r="5797" spans="20:20" x14ac:dyDescent="0.25">
      <c r="T5797" s="98"/>
    </row>
    <row r="5798" spans="20:20" x14ac:dyDescent="0.25">
      <c r="T5798" s="98"/>
    </row>
    <row r="5799" spans="20:20" x14ac:dyDescent="0.25">
      <c r="T5799" s="98"/>
    </row>
    <row r="5800" spans="20:20" x14ac:dyDescent="0.25">
      <c r="T5800" s="98"/>
    </row>
    <row r="5801" spans="20:20" x14ac:dyDescent="0.25">
      <c r="T5801" s="98"/>
    </row>
    <row r="5802" spans="20:20" x14ac:dyDescent="0.25">
      <c r="T5802" s="98"/>
    </row>
    <row r="5803" spans="20:20" x14ac:dyDescent="0.25">
      <c r="T5803" s="98"/>
    </row>
    <row r="5804" spans="20:20" x14ac:dyDescent="0.25">
      <c r="T5804" s="98"/>
    </row>
    <row r="5805" spans="20:20" x14ac:dyDescent="0.25">
      <c r="T5805" s="98"/>
    </row>
    <row r="5806" spans="20:20" x14ac:dyDescent="0.25">
      <c r="T5806" s="98"/>
    </row>
    <row r="5807" spans="20:20" x14ac:dyDescent="0.25">
      <c r="T5807" s="98"/>
    </row>
    <row r="5808" spans="20:20" x14ac:dyDescent="0.25">
      <c r="T5808" s="98"/>
    </row>
    <row r="5809" spans="20:20" x14ac:dyDescent="0.25">
      <c r="T5809" s="98"/>
    </row>
    <row r="5810" spans="20:20" x14ac:dyDescent="0.25">
      <c r="T5810" s="98"/>
    </row>
    <row r="5811" spans="20:20" x14ac:dyDescent="0.25">
      <c r="T5811" s="98"/>
    </row>
    <row r="5812" spans="20:20" x14ac:dyDescent="0.25">
      <c r="T5812" s="98"/>
    </row>
    <row r="5813" spans="20:20" x14ac:dyDescent="0.25">
      <c r="T5813" s="98"/>
    </row>
    <row r="5814" spans="20:20" x14ac:dyDescent="0.25">
      <c r="T5814" s="98"/>
    </row>
    <row r="5815" spans="20:20" x14ac:dyDescent="0.25">
      <c r="T5815" s="98"/>
    </row>
    <row r="5816" spans="20:20" x14ac:dyDescent="0.25">
      <c r="T5816" s="98"/>
    </row>
    <row r="5817" spans="20:20" x14ac:dyDescent="0.25">
      <c r="T5817" s="98"/>
    </row>
    <row r="5818" spans="20:20" x14ac:dyDescent="0.25">
      <c r="T5818" s="98"/>
    </row>
    <row r="5819" spans="20:20" x14ac:dyDescent="0.25">
      <c r="T5819" s="98"/>
    </row>
    <row r="5820" spans="20:20" x14ac:dyDescent="0.25">
      <c r="T5820" s="98"/>
    </row>
    <row r="5821" spans="20:20" x14ac:dyDescent="0.25">
      <c r="T5821" s="98"/>
    </row>
    <row r="5822" spans="20:20" x14ac:dyDescent="0.25">
      <c r="T5822" s="98"/>
    </row>
    <row r="5823" spans="20:20" x14ac:dyDescent="0.25">
      <c r="T5823" s="98"/>
    </row>
    <row r="5824" spans="20:20" x14ac:dyDescent="0.25">
      <c r="T5824" s="98"/>
    </row>
    <row r="5825" spans="20:20" x14ac:dyDescent="0.25">
      <c r="T5825" s="98"/>
    </row>
    <row r="5826" spans="20:20" x14ac:dyDescent="0.25">
      <c r="T5826" s="98"/>
    </row>
    <row r="5827" spans="20:20" x14ac:dyDescent="0.25">
      <c r="T5827" s="98"/>
    </row>
    <row r="5828" spans="20:20" x14ac:dyDescent="0.25">
      <c r="T5828" s="98"/>
    </row>
    <row r="5829" spans="20:20" x14ac:dyDescent="0.25">
      <c r="T5829" s="98"/>
    </row>
    <row r="5830" spans="20:20" x14ac:dyDescent="0.25">
      <c r="T5830" s="98"/>
    </row>
    <row r="5831" spans="20:20" x14ac:dyDescent="0.25">
      <c r="T5831" s="98"/>
    </row>
    <row r="5832" spans="20:20" x14ac:dyDescent="0.25">
      <c r="T5832" s="98"/>
    </row>
    <row r="5833" spans="20:20" x14ac:dyDescent="0.25">
      <c r="T5833" s="98"/>
    </row>
    <row r="5834" spans="20:20" x14ac:dyDescent="0.25">
      <c r="T5834" s="98"/>
    </row>
    <row r="5835" spans="20:20" x14ac:dyDescent="0.25">
      <c r="T5835" s="98"/>
    </row>
    <row r="5836" spans="20:20" x14ac:dyDescent="0.25">
      <c r="T5836" s="98"/>
    </row>
    <row r="5837" spans="20:20" x14ac:dyDescent="0.25">
      <c r="T5837" s="98"/>
    </row>
    <row r="5838" spans="20:20" x14ac:dyDescent="0.25">
      <c r="T5838" s="98"/>
    </row>
    <row r="5839" spans="20:20" x14ac:dyDescent="0.25">
      <c r="T5839" s="98"/>
    </row>
    <row r="5840" spans="20:20" x14ac:dyDescent="0.25">
      <c r="T5840" s="98"/>
    </row>
    <row r="5841" spans="20:20" x14ac:dyDescent="0.25">
      <c r="T5841" s="98"/>
    </row>
    <row r="5842" spans="20:20" x14ac:dyDescent="0.25">
      <c r="T5842" s="98"/>
    </row>
    <row r="5843" spans="20:20" x14ac:dyDescent="0.25">
      <c r="T5843" s="98"/>
    </row>
    <row r="5844" spans="20:20" x14ac:dyDescent="0.25">
      <c r="T5844" s="98"/>
    </row>
    <row r="5845" spans="20:20" x14ac:dyDescent="0.25">
      <c r="T5845" s="98"/>
    </row>
    <row r="5846" spans="20:20" x14ac:dyDescent="0.25">
      <c r="T5846" s="98"/>
    </row>
    <row r="5847" spans="20:20" x14ac:dyDescent="0.25">
      <c r="T5847" s="98"/>
    </row>
    <row r="5848" spans="20:20" x14ac:dyDescent="0.25">
      <c r="T5848" s="98"/>
    </row>
    <row r="5849" spans="20:20" x14ac:dyDescent="0.25">
      <c r="T5849" s="98"/>
    </row>
    <row r="5850" spans="20:20" x14ac:dyDescent="0.25">
      <c r="T5850" s="98"/>
    </row>
    <row r="5851" spans="20:20" x14ac:dyDescent="0.25">
      <c r="T5851" s="98"/>
    </row>
    <row r="5852" spans="20:20" x14ac:dyDescent="0.25">
      <c r="T5852" s="98"/>
    </row>
    <row r="5853" spans="20:20" x14ac:dyDescent="0.25">
      <c r="T5853" s="98"/>
    </row>
    <row r="5854" spans="20:20" x14ac:dyDescent="0.25">
      <c r="T5854" s="98"/>
    </row>
    <row r="5855" spans="20:20" x14ac:dyDescent="0.25">
      <c r="T5855" s="98"/>
    </row>
    <row r="5856" spans="20:20" x14ac:dyDescent="0.25">
      <c r="T5856" s="98"/>
    </row>
    <row r="5857" spans="20:20" x14ac:dyDescent="0.25">
      <c r="T5857" s="98"/>
    </row>
    <row r="5858" spans="20:20" x14ac:dyDescent="0.25">
      <c r="T5858" s="98"/>
    </row>
    <row r="5859" spans="20:20" x14ac:dyDescent="0.25">
      <c r="T5859" s="98"/>
    </row>
    <row r="5860" spans="20:20" x14ac:dyDescent="0.25">
      <c r="T5860" s="98"/>
    </row>
    <row r="5861" spans="20:20" x14ac:dyDescent="0.25">
      <c r="T5861" s="98"/>
    </row>
    <row r="5862" spans="20:20" x14ac:dyDescent="0.25">
      <c r="T5862" s="98"/>
    </row>
    <row r="5863" spans="20:20" x14ac:dyDescent="0.25">
      <c r="T5863" s="98"/>
    </row>
    <row r="5864" spans="20:20" x14ac:dyDescent="0.25">
      <c r="T5864" s="98"/>
    </row>
    <row r="5865" spans="20:20" x14ac:dyDescent="0.25">
      <c r="T5865" s="98"/>
    </row>
    <row r="5866" spans="20:20" x14ac:dyDescent="0.25">
      <c r="T5866" s="98"/>
    </row>
    <row r="5867" spans="20:20" x14ac:dyDescent="0.25">
      <c r="T5867" s="98"/>
    </row>
    <row r="5868" spans="20:20" x14ac:dyDescent="0.25">
      <c r="T5868" s="98"/>
    </row>
    <row r="5869" spans="20:20" x14ac:dyDescent="0.25">
      <c r="T5869" s="98"/>
    </row>
    <row r="5870" spans="20:20" x14ac:dyDescent="0.25">
      <c r="T5870" s="98"/>
    </row>
    <row r="5871" spans="20:20" x14ac:dyDescent="0.25">
      <c r="T5871" s="98"/>
    </row>
    <row r="5872" spans="20:20" x14ac:dyDescent="0.25">
      <c r="T5872" s="98"/>
    </row>
    <row r="5873" spans="20:20" x14ac:dyDescent="0.25">
      <c r="T5873" s="98"/>
    </row>
    <row r="5874" spans="20:20" x14ac:dyDescent="0.25">
      <c r="T5874" s="98"/>
    </row>
    <row r="5875" spans="20:20" x14ac:dyDescent="0.25">
      <c r="T5875" s="98"/>
    </row>
    <row r="5876" spans="20:20" x14ac:dyDescent="0.25">
      <c r="T5876" s="98"/>
    </row>
    <row r="5877" spans="20:20" x14ac:dyDescent="0.25">
      <c r="T5877" s="98"/>
    </row>
    <row r="5878" spans="20:20" x14ac:dyDescent="0.25">
      <c r="T5878" s="98"/>
    </row>
    <row r="5879" spans="20:20" x14ac:dyDescent="0.25">
      <c r="T5879" s="98"/>
    </row>
    <row r="5880" spans="20:20" x14ac:dyDescent="0.25">
      <c r="T5880" s="98"/>
    </row>
    <row r="5881" spans="20:20" x14ac:dyDescent="0.25">
      <c r="T5881" s="98"/>
    </row>
    <row r="5882" spans="20:20" x14ac:dyDescent="0.25">
      <c r="T5882" s="98"/>
    </row>
    <row r="5883" spans="20:20" x14ac:dyDescent="0.25">
      <c r="T5883" s="98"/>
    </row>
    <row r="5884" spans="20:20" x14ac:dyDescent="0.25">
      <c r="T5884" s="98"/>
    </row>
    <row r="5885" spans="20:20" x14ac:dyDescent="0.25">
      <c r="T5885" s="98"/>
    </row>
    <row r="5886" spans="20:20" x14ac:dyDescent="0.25">
      <c r="T5886" s="98"/>
    </row>
    <row r="5887" spans="20:20" x14ac:dyDescent="0.25">
      <c r="T5887" s="98"/>
    </row>
    <row r="5888" spans="20:20" x14ac:dyDescent="0.25">
      <c r="T5888" s="98"/>
    </row>
    <row r="5889" spans="20:20" x14ac:dyDescent="0.25">
      <c r="T5889" s="98"/>
    </row>
    <row r="5890" spans="20:20" x14ac:dyDescent="0.25">
      <c r="T5890" s="98"/>
    </row>
    <row r="5891" spans="20:20" x14ac:dyDescent="0.25">
      <c r="T5891" s="98"/>
    </row>
    <row r="5892" spans="20:20" x14ac:dyDescent="0.25">
      <c r="T5892" s="98"/>
    </row>
    <row r="5893" spans="20:20" x14ac:dyDescent="0.25">
      <c r="T5893" s="98"/>
    </row>
    <row r="5894" spans="20:20" x14ac:dyDescent="0.25">
      <c r="T5894" s="98"/>
    </row>
    <row r="5895" spans="20:20" x14ac:dyDescent="0.25">
      <c r="T5895" s="98"/>
    </row>
    <row r="5896" spans="20:20" x14ac:dyDescent="0.25">
      <c r="T5896" s="98"/>
    </row>
    <row r="5897" spans="20:20" x14ac:dyDescent="0.25">
      <c r="T5897" s="98"/>
    </row>
    <row r="5898" spans="20:20" x14ac:dyDescent="0.25">
      <c r="T5898" s="98"/>
    </row>
    <row r="5899" spans="20:20" x14ac:dyDescent="0.25">
      <c r="T5899" s="98"/>
    </row>
    <row r="5900" spans="20:20" x14ac:dyDescent="0.25">
      <c r="T5900" s="98"/>
    </row>
    <row r="5901" spans="20:20" x14ac:dyDescent="0.25">
      <c r="T5901" s="98"/>
    </row>
    <row r="5902" spans="20:20" x14ac:dyDescent="0.25">
      <c r="T5902" s="98"/>
    </row>
    <row r="5903" spans="20:20" x14ac:dyDescent="0.25">
      <c r="T5903" s="98"/>
    </row>
    <row r="5904" spans="20:20" x14ac:dyDescent="0.25">
      <c r="T5904" s="98"/>
    </row>
    <row r="5905" spans="20:20" x14ac:dyDescent="0.25">
      <c r="T5905" s="98"/>
    </row>
    <row r="5906" spans="20:20" x14ac:dyDescent="0.25">
      <c r="T5906" s="98"/>
    </row>
    <row r="5907" spans="20:20" x14ac:dyDescent="0.25">
      <c r="T5907" s="98"/>
    </row>
    <row r="5908" spans="20:20" x14ac:dyDescent="0.25">
      <c r="T5908" s="98"/>
    </row>
    <row r="5909" spans="20:20" x14ac:dyDescent="0.25">
      <c r="T5909" s="98"/>
    </row>
    <row r="5910" spans="20:20" x14ac:dyDescent="0.25">
      <c r="T5910" s="98"/>
    </row>
    <row r="5911" spans="20:20" x14ac:dyDescent="0.25">
      <c r="T5911" s="98"/>
    </row>
    <row r="5912" spans="20:20" x14ac:dyDescent="0.25">
      <c r="T5912" s="98"/>
    </row>
    <row r="5913" spans="20:20" x14ac:dyDescent="0.25">
      <c r="T5913" s="98"/>
    </row>
    <row r="5914" spans="20:20" x14ac:dyDescent="0.25">
      <c r="T5914" s="98"/>
    </row>
    <row r="5915" spans="20:20" x14ac:dyDescent="0.25">
      <c r="T5915" s="98"/>
    </row>
    <row r="5916" spans="20:20" x14ac:dyDescent="0.25">
      <c r="T5916" s="98"/>
    </row>
    <row r="5917" spans="20:20" x14ac:dyDescent="0.25">
      <c r="T5917" s="98"/>
    </row>
    <row r="5918" spans="20:20" x14ac:dyDescent="0.25">
      <c r="T5918" s="98"/>
    </row>
    <row r="5919" spans="20:20" x14ac:dyDescent="0.25">
      <c r="T5919" s="98"/>
    </row>
    <row r="5920" spans="20:20" x14ac:dyDescent="0.25">
      <c r="T5920" s="98"/>
    </row>
    <row r="5921" spans="20:20" x14ac:dyDescent="0.25">
      <c r="T5921" s="98"/>
    </row>
    <row r="5922" spans="20:20" x14ac:dyDescent="0.25">
      <c r="T5922" s="98"/>
    </row>
    <row r="5923" spans="20:20" x14ac:dyDescent="0.25">
      <c r="T5923" s="98"/>
    </row>
    <row r="5924" spans="20:20" x14ac:dyDescent="0.25">
      <c r="T5924" s="98"/>
    </row>
    <row r="5925" spans="20:20" x14ac:dyDescent="0.25">
      <c r="T5925" s="98"/>
    </row>
    <row r="5926" spans="20:20" x14ac:dyDescent="0.25">
      <c r="T5926" s="98"/>
    </row>
    <row r="5927" spans="20:20" x14ac:dyDescent="0.25">
      <c r="T5927" s="98"/>
    </row>
    <row r="5928" spans="20:20" x14ac:dyDescent="0.25">
      <c r="T5928" s="98"/>
    </row>
    <row r="5929" spans="20:20" x14ac:dyDescent="0.25">
      <c r="T5929" s="98"/>
    </row>
    <row r="5930" spans="20:20" x14ac:dyDescent="0.25">
      <c r="T5930" s="98"/>
    </row>
    <row r="5931" spans="20:20" x14ac:dyDescent="0.25">
      <c r="T5931" s="98"/>
    </row>
    <row r="5932" spans="20:20" x14ac:dyDescent="0.25">
      <c r="T5932" s="98"/>
    </row>
    <row r="5933" spans="20:20" x14ac:dyDescent="0.25">
      <c r="T5933" s="98"/>
    </row>
    <row r="5934" spans="20:20" x14ac:dyDescent="0.25">
      <c r="T5934" s="98"/>
    </row>
    <row r="5935" spans="20:20" x14ac:dyDescent="0.25">
      <c r="T5935" s="98"/>
    </row>
    <row r="5936" spans="20:20" x14ac:dyDescent="0.25">
      <c r="T5936" s="98"/>
    </row>
    <row r="5937" spans="20:20" x14ac:dyDescent="0.25">
      <c r="T5937" s="98"/>
    </row>
    <row r="5938" spans="20:20" x14ac:dyDescent="0.25">
      <c r="T5938" s="98"/>
    </row>
    <row r="5939" spans="20:20" x14ac:dyDescent="0.25">
      <c r="T5939" s="98"/>
    </row>
    <row r="5940" spans="20:20" x14ac:dyDescent="0.25">
      <c r="T5940" s="98"/>
    </row>
    <row r="5941" spans="20:20" x14ac:dyDescent="0.25">
      <c r="T5941" s="98"/>
    </row>
    <row r="5942" spans="20:20" x14ac:dyDescent="0.25">
      <c r="T5942" s="98"/>
    </row>
    <row r="5943" spans="20:20" x14ac:dyDescent="0.25">
      <c r="T5943" s="98"/>
    </row>
    <row r="5944" spans="20:20" x14ac:dyDescent="0.25">
      <c r="T5944" s="98"/>
    </row>
    <row r="5945" spans="20:20" x14ac:dyDescent="0.25">
      <c r="T5945" s="98"/>
    </row>
    <row r="5946" spans="20:20" x14ac:dyDescent="0.25">
      <c r="T5946" s="98"/>
    </row>
    <row r="5947" spans="20:20" x14ac:dyDescent="0.25">
      <c r="T5947" s="98"/>
    </row>
    <row r="5948" spans="20:20" x14ac:dyDescent="0.25">
      <c r="T5948" s="98"/>
    </row>
    <row r="5949" spans="20:20" x14ac:dyDescent="0.25">
      <c r="T5949" s="98"/>
    </row>
    <row r="5950" spans="20:20" x14ac:dyDescent="0.25">
      <c r="T5950" s="98"/>
    </row>
    <row r="5951" spans="20:20" x14ac:dyDescent="0.25">
      <c r="T5951" s="98"/>
    </row>
    <row r="5952" spans="20:20" x14ac:dyDescent="0.25">
      <c r="T5952" s="98"/>
    </row>
    <row r="5953" spans="20:20" x14ac:dyDescent="0.25">
      <c r="T5953" s="98"/>
    </row>
    <row r="5954" spans="20:20" x14ac:dyDescent="0.25">
      <c r="T5954" s="98"/>
    </row>
    <row r="5955" spans="20:20" x14ac:dyDescent="0.25">
      <c r="T5955" s="98"/>
    </row>
    <row r="5956" spans="20:20" x14ac:dyDescent="0.25">
      <c r="T5956" s="98"/>
    </row>
    <row r="5957" spans="20:20" x14ac:dyDescent="0.25">
      <c r="T5957" s="98"/>
    </row>
    <row r="5958" spans="20:20" x14ac:dyDescent="0.25">
      <c r="T5958" s="98"/>
    </row>
    <row r="5959" spans="20:20" x14ac:dyDescent="0.25">
      <c r="T5959" s="98"/>
    </row>
    <row r="5960" spans="20:20" x14ac:dyDescent="0.25">
      <c r="T5960" s="98"/>
    </row>
    <row r="5961" spans="20:20" x14ac:dyDescent="0.25">
      <c r="T5961" s="98"/>
    </row>
    <row r="5962" spans="20:20" x14ac:dyDescent="0.25">
      <c r="T5962" s="98"/>
    </row>
    <row r="5963" spans="20:20" x14ac:dyDescent="0.25">
      <c r="T5963" s="98"/>
    </row>
    <row r="5964" spans="20:20" x14ac:dyDescent="0.25">
      <c r="T5964" s="98"/>
    </row>
    <row r="5965" spans="20:20" x14ac:dyDescent="0.25">
      <c r="T5965" s="98"/>
    </row>
    <row r="5966" spans="20:20" x14ac:dyDescent="0.25">
      <c r="T5966" s="98"/>
    </row>
    <row r="5967" spans="20:20" x14ac:dyDescent="0.25">
      <c r="T5967" s="98"/>
    </row>
    <row r="5968" spans="20:20" x14ac:dyDescent="0.25">
      <c r="T5968" s="98"/>
    </row>
    <row r="5969" spans="20:20" x14ac:dyDescent="0.25">
      <c r="T5969" s="98"/>
    </row>
    <row r="5970" spans="20:20" x14ac:dyDescent="0.25">
      <c r="T5970" s="98"/>
    </row>
    <row r="5971" spans="20:20" x14ac:dyDescent="0.25">
      <c r="T5971" s="98"/>
    </row>
    <row r="5972" spans="20:20" x14ac:dyDescent="0.25">
      <c r="T5972" s="98"/>
    </row>
    <row r="5973" spans="20:20" x14ac:dyDescent="0.25">
      <c r="T5973" s="98"/>
    </row>
    <row r="5974" spans="20:20" x14ac:dyDescent="0.25">
      <c r="T5974" s="98"/>
    </row>
    <row r="5975" spans="20:20" x14ac:dyDescent="0.25">
      <c r="T5975" s="98"/>
    </row>
    <row r="5976" spans="20:20" x14ac:dyDescent="0.25">
      <c r="T5976" s="98"/>
    </row>
    <row r="5977" spans="20:20" x14ac:dyDescent="0.25">
      <c r="T5977" s="98"/>
    </row>
    <row r="5978" spans="20:20" x14ac:dyDescent="0.25">
      <c r="T5978" s="98"/>
    </row>
    <row r="5979" spans="20:20" x14ac:dyDescent="0.25">
      <c r="T5979" s="98"/>
    </row>
    <row r="5980" spans="20:20" x14ac:dyDescent="0.25">
      <c r="T5980" s="98"/>
    </row>
    <row r="5981" spans="20:20" x14ac:dyDescent="0.25">
      <c r="T5981" s="98"/>
    </row>
    <row r="5982" spans="20:20" x14ac:dyDescent="0.25">
      <c r="T5982" s="98"/>
    </row>
    <row r="5983" spans="20:20" x14ac:dyDescent="0.25">
      <c r="T5983" s="98"/>
    </row>
    <row r="5984" spans="20:20" x14ac:dyDescent="0.25">
      <c r="T5984" s="98"/>
    </row>
    <row r="5985" spans="20:20" x14ac:dyDescent="0.25">
      <c r="T5985" s="98"/>
    </row>
    <row r="5986" spans="20:20" x14ac:dyDescent="0.25">
      <c r="T5986" s="98"/>
    </row>
    <row r="5987" spans="20:20" x14ac:dyDescent="0.25">
      <c r="T5987" s="98"/>
    </row>
    <row r="5988" spans="20:20" x14ac:dyDescent="0.25">
      <c r="T5988" s="98"/>
    </row>
    <row r="5989" spans="20:20" x14ac:dyDescent="0.25">
      <c r="T5989" s="98"/>
    </row>
    <row r="5990" spans="20:20" x14ac:dyDescent="0.25">
      <c r="T5990" s="98"/>
    </row>
    <row r="5991" spans="20:20" x14ac:dyDescent="0.25">
      <c r="T5991" s="98"/>
    </row>
    <row r="5992" spans="20:20" x14ac:dyDescent="0.25">
      <c r="T5992" s="98"/>
    </row>
    <row r="5993" spans="20:20" x14ac:dyDescent="0.25">
      <c r="T5993" s="98"/>
    </row>
    <row r="5994" spans="20:20" x14ac:dyDescent="0.25">
      <c r="T5994" s="98"/>
    </row>
    <row r="5995" spans="20:20" x14ac:dyDescent="0.25">
      <c r="T5995" s="98"/>
    </row>
    <row r="5996" spans="20:20" x14ac:dyDescent="0.25">
      <c r="T5996" s="98"/>
    </row>
    <row r="5997" spans="20:20" x14ac:dyDescent="0.25">
      <c r="T5997" s="98"/>
    </row>
    <row r="5998" spans="20:20" x14ac:dyDescent="0.25">
      <c r="T5998" s="98"/>
    </row>
    <row r="5999" spans="20:20" x14ac:dyDescent="0.25">
      <c r="T5999" s="98"/>
    </row>
    <row r="6000" spans="20:20" x14ac:dyDescent="0.25">
      <c r="T6000" s="98"/>
    </row>
    <row r="6001" spans="20:20" x14ac:dyDescent="0.25">
      <c r="T6001" s="98"/>
    </row>
    <row r="6002" spans="20:20" x14ac:dyDescent="0.25">
      <c r="T6002" s="98"/>
    </row>
    <row r="6003" spans="20:20" x14ac:dyDescent="0.25">
      <c r="T6003" s="98"/>
    </row>
    <row r="6004" spans="20:20" x14ac:dyDescent="0.25">
      <c r="T6004" s="98"/>
    </row>
    <row r="6005" spans="20:20" x14ac:dyDescent="0.25">
      <c r="T6005" s="98"/>
    </row>
    <row r="6006" spans="20:20" x14ac:dyDescent="0.25">
      <c r="T6006" s="98"/>
    </row>
    <row r="6007" spans="20:20" x14ac:dyDescent="0.25">
      <c r="T6007" s="98"/>
    </row>
    <row r="6008" spans="20:20" x14ac:dyDescent="0.25">
      <c r="T6008" s="98"/>
    </row>
    <row r="6009" spans="20:20" x14ac:dyDescent="0.25">
      <c r="T6009" s="98"/>
    </row>
    <row r="6010" spans="20:20" x14ac:dyDescent="0.25">
      <c r="T6010" s="98"/>
    </row>
    <row r="6011" spans="20:20" x14ac:dyDescent="0.25">
      <c r="T6011" s="98"/>
    </row>
    <row r="6012" spans="20:20" x14ac:dyDescent="0.25">
      <c r="T6012" s="98"/>
    </row>
    <row r="6013" spans="20:20" x14ac:dyDescent="0.25">
      <c r="T6013" s="98"/>
    </row>
    <row r="6014" spans="20:20" x14ac:dyDescent="0.25">
      <c r="T6014" s="98"/>
    </row>
    <row r="6015" spans="20:20" x14ac:dyDescent="0.25">
      <c r="T6015" s="98"/>
    </row>
    <row r="6016" spans="20:20" x14ac:dyDescent="0.25">
      <c r="T6016" s="98"/>
    </row>
    <row r="6017" spans="20:20" x14ac:dyDescent="0.25">
      <c r="T6017" s="98"/>
    </row>
    <row r="6018" spans="20:20" x14ac:dyDescent="0.25">
      <c r="T6018" s="98"/>
    </row>
    <row r="6019" spans="20:20" x14ac:dyDescent="0.25">
      <c r="T6019" s="98"/>
    </row>
    <row r="6020" spans="20:20" x14ac:dyDescent="0.25">
      <c r="T6020" s="98"/>
    </row>
    <row r="6021" spans="20:20" x14ac:dyDescent="0.25">
      <c r="T6021" s="98"/>
    </row>
    <row r="6022" spans="20:20" x14ac:dyDescent="0.25">
      <c r="T6022" s="98"/>
    </row>
    <row r="6023" spans="20:20" x14ac:dyDescent="0.25">
      <c r="T6023" s="98"/>
    </row>
    <row r="6024" spans="20:20" x14ac:dyDescent="0.25">
      <c r="T6024" s="98"/>
    </row>
    <row r="6025" spans="20:20" x14ac:dyDescent="0.25">
      <c r="T6025" s="98"/>
    </row>
    <row r="6026" spans="20:20" x14ac:dyDescent="0.25">
      <c r="T6026" s="98"/>
    </row>
    <row r="6027" spans="20:20" x14ac:dyDescent="0.25">
      <c r="T6027" s="98"/>
    </row>
    <row r="6028" spans="20:20" x14ac:dyDescent="0.25">
      <c r="T6028" s="98"/>
    </row>
    <row r="6029" spans="20:20" x14ac:dyDescent="0.25">
      <c r="T6029" s="98"/>
    </row>
    <row r="6030" spans="20:20" x14ac:dyDescent="0.25">
      <c r="T6030" s="98"/>
    </row>
    <row r="6031" spans="20:20" x14ac:dyDescent="0.25">
      <c r="T6031" s="98"/>
    </row>
    <row r="6032" spans="20:20" x14ac:dyDescent="0.25">
      <c r="T6032" s="98"/>
    </row>
    <row r="6033" spans="20:20" x14ac:dyDescent="0.25">
      <c r="T6033" s="98"/>
    </row>
    <row r="6034" spans="20:20" x14ac:dyDescent="0.25">
      <c r="T6034" s="98"/>
    </row>
    <row r="6035" spans="20:20" x14ac:dyDescent="0.25">
      <c r="T6035" s="98"/>
    </row>
    <row r="6036" spans="20:20" x14ac:dyDescent="0.25">
      <c r="T6036" s="98"/>
    </row>
    <row r="6037" spans="20:20" x14ac:dyDescent="0.25">
      <c r="T6037" s="98"/>
    </row>
    <row r="6038" spans="20:20" x14ac:dyDescent="0.25">
      <c r="T6038" s="98"/>
    </row>
    <row r="6039" spans="20:20" x14ac:dyDescent="0.25">
      <c r="T6039" s="98"/>
    </row>
    <row r="6040" spans="20:20" x14ac:dyDescent="0.25">
      <c r="T6040" s="98"/>
    </row>
    <row r="6041" spans="20:20" x14ac:dyDescent="0.25">
      <c r="T6041" s="98"/>
    </row>
    <row r="6042" spans="20:20" x14ac:dyDescent="0.25">
      <c r="T6042" s="98"/>
    </row>
    <row r="6043" spans="20:20" x14ac:dyDescent="0.25">
      <c r="T6043" s="98"/>
    </row>
    <row r="6044" spans="20:20" x14ac:dyDescent="0.25">
      <c r="T6044" s="98"/>
    </row>
    <row r="6045" spans="20:20" x14ac:dyDescent="0.25">
      <c r="T6045" s="98"/>
    </row>
    <row r="6046" spans="20:20" x14ac:dyDescent="0.25">
      <c r="T6046" s="98"/>
    </row>
    <row r="6047" spans="20:20" x14ac:dyDescent="0.25">
      <c r="T6047" s="98"/>
    </row>
    <row r="6048" spans="20:20" x14ac:dyDescent="0.25">
      <c r="T6048" s="98"/>
    </row>
    <row r="6049" spans="20:20" x14ac:dyDescent="0.25">
      <c r="T6049" s="98"/>
    </row>
    <row r="6050" spans="20:20" x14ac:dyDescent="0.25">
      <c r="T6050" s="98"/>
    </row>
    <row r="6051" spans="20:20" x14ac:dyDescent="0.25">
      <c r="T6051" s="98"/>
    </row>
    <row r="6052" spans="20:20" x14ac:dyDescent="0.25">
      <c r="T6052" s="98"/>
    </row>
    <row r="6053" spans="20:20" x14ac:dyDescent="0.25">
      <c r="T6053" s="98"/>
    </row>
    <row r="6054" spans="20:20" x14ac:dyDescent="0.25">
      <c r="T6054" s="98"/>
    </row>
    <row r="6055" spans="20:20" x14ac:dyDescent="0.25">
      <c r="T6055" s="98"/>
    </row>
    <row r="6056" spans="20:20" x14ac:dyDescent="0.25">
      <c r="T6056" s="98"/>
    </row>
    <row r="6057" spans="20:20" x14ac:dyDescent="0.25">
      <c r="T6057" s="98"/>
    </row>
    <row r="6058" spans="20:20" x14ac:dyDescent="0.25">
      <c r="T6058" s="98"/>
    </row>
    <row r="6059" spans="20:20" x14ac:dyDescent="0.25">
      <c r="T6059" s="98"/>
    </row>
    <row r="6060" spans="20:20" x14ac:dyDescent="0.25">
      <c r="T6060" s="98"/>
    </row>
    <row r="6061" spans="20:20" x14ac:dyDescent="0.25">
      <c r="T6061" s="98"/>
    </row>
    <row r="6062" spans="20:20" x14ac:dyDescent="0.25">
      <c r="T6062" s="98"/>
    </row>
    <row r="6063" spans="20:20" x14ac:dyDescent="0.25">
      <c r="T6063" s="98"/>
    </row>
    <row r="6064" spans="20:20" x14ac:dyDescent="0.25">
      <c r="T6064" s="98"/>
    </row>
    <row r="6065" spans="20:20" x14ac:dyDescent="0.25">
      <c r="T6065" s="98"/>
    </row>
    <row r="6066" spans="20:20" x14ac:dyDescent="0.25">
      <c r="T6066" s="98"/>
    </row>
    <row r="6067" spans="20:20" x14ac:dyDescent="0.25">
      <c r="T6067" s="98"/>
    </row>
    <row r="6068" spans="20:20" x14ac:dyDescent="0.25">
      <c r="T6068" s="98"/>
    </row>
    <row r="6069" spans="20:20" x14ac:dyDescent="0.25">
      <c r="T6069" s="98"/>
    </row>
    <row r="6070" spans="20:20" x14ac:dyDescent="0.25">
      <c r="T6070" s="98"/>
    </row>
    <row r="6071" spans="20:20" x14ac:dyDescent="0.25">
      <c r="T6071" s="98"/>
    </row>
    <row r="6072" spans="20:20" x14ac:dyDescent="0.25">
      <c r="T6072" s="98"/>
    </row>
    <row r="6073" spans="20:20" x14ac:dyDescent="0.25">
      <c r="T6073" s="98"/>
    </row>
    <row r="6074" spans="20:20" x14ac:dyDescent="0.25">
      <c r="T6074" s="98"/>
    </row>
    <row r="6075" spans="20:20" x14ac:dyDescent="0.25">
      <c r="T6075" s="98"/>
    </row>
    <row r="6076" spans="20:20" x14ac:dyDescent="0.25">
      <c r="T6076" s="98"/>
    </row>
    <row r="6077" spans="20:20" x14ac:dyDescent="0.25">
      <c r="T6077" s="98"/>
    </row>
    <row r="6078" spans="20:20" x14ac:dyDescent="0.25">
      <c r="T6078" s="98"/>
    </row>
    <row r="6079" spans="20:20" x14ac:dyDescent="0.25">
      <c r="T6079" s="98"/>
    </row>
    <row r="6080" spans="20:20" x14ac:dyDescent="0.25">
      <c r="T6080" s="98"/>
    </row>
    <row r="6081" spans="20:20" x14ac:dyDescent="0.25">
      <c r="T6081" s="98"/>
    </row>
    <row r="6082" spans="20:20" x14ac:dyDescent="0.25">
      <c r="T6082" s="98"/>
    </row>
    <row r="6083" spans="20:20" x14ac:dyDescent="0.25">
      <c r="T6083" s="98"/>
    </row>
    <row r="6084" spans="20:20" x14ac:dyDescent="0.25">
      <c r="T6084" s="98"/>
    </row>
    <row r="6085" spans="20:20" x14ac:dyDescent="0.25">
      <c r="T6085" s="98"/>
    </row>
    <row r="6086" spans="20:20" x14ac:dyDescent="0.25">
      <c r="T6086" s="98"/>
    </row>
    <row r="6087" spans="20:20" x14ac:dyDescent="0.25">
      <c r="T6087" s="98"/>
    </row>
    <row r="6088" spans="20:20" x14ac:dyDescent="0.25">
      <c r="T6088" s="98"/>
    </row>
    <row r="6089" spans="20:20" x14ac:dyDescent="0.25">
      <c r="T6089" s="98"/>
    </row>
    <row r="6090" spans="20:20" x14ac:dyDescent="0.25">
      <c r="T6090" s="98"/>
    </row>
    <row r="6091" spans="20:20" x14ac:dyDescent="0.25">
      <c r="T6091" s="98"/>
    </row>
    <row r="6092" spans="20:20" x14ac:dyDescent="0.25">
      <c r="T6092" s="98"/>
    </row>
    <row r="6093" spans="20:20" x14ac:dyDescent="0.25">
      <c r="T6093" s="98"/>
    </row>
    <row r="6094" spans="20:20" x14ac:dyDescent="0.25">
      <c r="T6094" s="98"/>
    </row>
    <row r="6095" spans="20:20" x14ac:dyDescent="0.25">
      <c r="T6095" s="98"/>
    </row>
    <row r="6096" spans="20:20" x14ac:dyDescent="0.25">
      <c r="T6096" s="98"/>
    </row>
    <row r="6097" spans="20:20" x14ac:dyDescent="0.25">
      <c r="T6097" s="98"/>
    </row>
    <row r="6098" spans="20:20" x14ac:dyDescent="0.25">
      <c r="T6098" s="98"/>
    </row>
    <row r="6099" spans="20:20" x14ac:dyDescent="0.25">
      <c r="T6099" s="98"/>
    </row>
    <row r="6100" spans="20:20" x14ac:dyDescent="0.25">
      <c r="T6100" s="98"/>
    </row>
    <row r="6101" spans="20:20" x14ac:dyDescent="0.25">
      <c r="T6101" s="98"/>
    </row>
    <row r="6102" spans="20:20" x14ac:dyDescent="0.25">
      <c r="T6102" s="98"/>
    </row>
    <row r="6103" spans="20:20" x14ac:dyDescent="0.25">
      <c r="T6103" s="98"/>
    </row>
    <row r="6104" spans="20:20" x14ac:dyDescent="0.25">
      <c r="T6104" s="98"/>
    </row>
    <row r="6105" spans="20:20" x14ac:dyDescent="0.25">
      <c r="T6105" s="98"/>
    </row>
    <row r="6106" spans="20:20" x14ac:dyDescent="0.25">
      <c r="T6106" s="98"/>
    </row>
    <row r="6107" spans="20:20" x14ac:dyDescent="0.25">
      <c r="T6107" s="98"/>
    </row>
    <row r="6108" spans="20:20" x14ac:dyDescent="0.25">
      <c r="T6108" s="98"/>
    </row>
    <row r="6109" spans="20:20" x14ac:dyDescent="0.25">
      <c r="T6109" s="98"/>
    </row>
    <row r="6110" spans="20:20" x14ac:dyDescent="0.25">
      <c r="T6110" s="98"/>
    </row>
    <row r="6111" spans="20:20" x14ac:dyDescent="0.25">
      <c r="T6111" s="98"/>
    </row>
    <row r="6112" spans="20:20" x14ac:dyDescent="0.25">
      <c r="T6112" s="98"/>
    </row>
    <row r="6113" spans="20:20" x14ac:dyDescent="0.25">
      <c r="T6113" s="98"/>
    </row>
    <row r="6114" spans="20:20" x14ac:dyDescent="0.25">
      <c r="T6114" s="98"/>
    </row>
    <row r="6115" spans="20:20" x14ac:dyDescent="0.25">
      <c r="T6115" s="98"/>
    </row>
    <row r="6116" spans="20:20" x14ac:dyDescent="0.25">
      <c r="T6116" s="98"/>
    </row>
    <row r="6117" spans="20:20" x14ac:dyDescent="0.25">
      <c r="T6117" s="98"/>
    </row>
    <row r="6118" spans="20:20" x14ac:dyDescent="0.25">
      <c r="T6118" s="98"/>
    </row>
    <row r="6119" spans="20:20" x14ac:dyDescent="0.25">
      <c r="T6119" s="98"/>
    </row>
    <row r="6120" spans="20:20" x14ac:dyDescent="0.25">
      <c r="T6120" s="98"/>
    </row>
    <row r="6121" spans="20:20" x14ac:dyDescent="0.25">
      <c r="T6121" s="98"/>
    </row>
    <row r="6122" spans="20:20" x14ac:dyDescent="0.25">
      <c r="T6122" s="98"/>
    </row>
    <row r="6123" spans="20:20" x14ac:dyDescent="0.25">
      <c r="T6123" s="98"/>
    </row>
    <row r="6124" spans="20:20" x14ac:dyDescent="0.25">
      <c r="T6124" s="98"/>
    </row>
    <row r="6125" spans="20:20" x14ac:dyDescent="0.25">
      <c r="T6125" s="98"/>
    </row>
    <row r="6126" spans="20:20" x14ac:dyDescent="0.25">
      <c r="T6126" s="98"/>
    </row>
    <row r="6127" spans="20:20" x14ac:dyDescent="0.25">
      <c r="T6127" s="98"/>
    </row>
    <row r="6128" spans="20:20" x14ac:dyDescent="0.25">
      <c r="T6128" s="98"/>
    </row>
    <row r="6129" spans="20:20" x14ac:dyDescent="0.25">
      <c r="T6129" s="98"/>
    </row>
    <row r="6130" spans="20:20" x14ac:dyDescent="0.25">
      <c r="T6130" s="98"/>
    </row>
    <row r="6131" spans="20:20" x14ac:dyDescent="0.25">
      <c r="T6131" s="98"/>
    </row>
    <row r="6132" spans="20:20" x14ac:dyDescent="0.25">
      <c r="T6132" s="98"/>
    </row>
    <row r="6133" spans="20:20" x14ac:dyDescent="0.25">
      <c r="T6133" s="98"/>
    </row>
    <row r="6134" spans="20:20" x14ac:dyDescent="0.25">
      <c r="T6134" s="98"/>
    </row>
    <row r="6135" spans="20:20" x14ac:dyDescent="0.25">
      <c r="T6135" s="98"/>
    </row>
    <row r="6136" spans="20:20" x14ac:dyDescent="0.25">
      <c r="T6136" s="98"/>
    </row>
    <row r="6137" spans="20:20" x14ac:dyDescent="0.25">
      <c r="T6137" s="98"/>
    </row>
    <row r="6138" spans="20:20" x14ac:dyDescent="0.25">
      <c r="T6138" s="98"/>
    </row>
    <row r="6139" spans="20:20" x14ac:dyDescent="0.25">
      <c r="T6139" s="98"/>
    </row>
    <row r="6140" spans="20:20" x14ac:dyDescent="0.25">
      <c r="T6140" s="98"/>
    </row>
    <row r="6141" spans="20:20" x14ac:dyDescent="0.25">
      <c r="T6141" s="98"/>
    </row>
    <row r="6142" spans="20:20" x14ac:dyDescent="0.25">
      <c r="T6142" s="98"/>
    </row>
    <row r="6143" spans="20:20" x14ac:dyDescent="0.25">
      <c r="T6143" s="98"/>
    </row>
    <row r="6144" spans="20:20" x14ac:dyDescent="0.25">
      <c r="T6144" s="98"/>
    </row>
    <row r="6145" spans="20:20" x14ac:dyDescent="0.25">
      <c r="T6145" s="98"/>
    </row>
    <row r="6146" spans="20:20" x14ac:dyDescent="0.25">
      <c r="T6146" s="98"/>
    </row>
    <row r="6147" spans="20:20" x14ac:dyDescent="0.25">
      <c r="T6147" s="98"/>
    </row>
    <row r="6148" spans="20:20" x14ac:dyDescent="0.25">
      <c r="T6148" s="98"/>
    </row>
    <row r="6149" spans="20:20" x14ac:dyDescent="0.25">
      <c r="T6149" s="98"/>
    </row>
    <row r="6150" spans="20:20" x14ac:dyDescent="0.25">
      <c r="T6150" s="98"/>
    </row>
    <row r="6151" spans="20:20" x14ac:dyDescent="0.25">
      <c r="T6151" s="98"/>
    </row>
    <row r="6152" spans="20:20" x14ac:dyDescent="0.25">
      <c r="T6152" s="98"/>
    </row>
    <row r="6153" spans="20:20" x14ac:dyDescent="0.25">
      <c r="T6153" s="98"/>
    </row>
    <row r="6154" spans="20:20" x14ac:dyDescent="0.25">
      <c r="T6154" s="98"/>
    </row>
    <row r="6155" spans="20:20" x14ac:dyDescent="0.25">
      <c r="T6155" s="98"/>
    </row>
    <row r="6156" spans="20:20" x14ac:dyDescent="0.25">
      <c r="T6156" s="98"/>
    </row>
    <row r="6157" spans="20:20" x14ac:dyDescent="0.25">
      <c r="T6157" s="98"/>
    </row>
    <row r="6158" spans="20:20" x14ac:dyDescent="0.25">
      <c r="T6158" s="98"/>
    </row>
    <row r="6159" spans="20:20" x14ac:dyDescent="0.25">
      <c r="T6159" s="98"/>
    </row>
    <row r="6160" spans="20:20" x14ac:dyDescent="0.25">
      <c r="T6160" s="98"/>
    </row>
    <row r="6161" spans="20:20" x14ac:dyDescent="0.25">
      <c r="T6161" s="98"/>
    </row>
    <row r="6162" spans="20:20" x14ac:dyDescent="0.25">
      <c r="T6162" s="98"/>
    </row>
    <row r="6163" spans="20:20" x14ac:dyDescent="0.25">
      <c r="T6163" s="98"/>
    </row>
    <row r="6164" spans="20:20" x14ac:dyDescent="0.25">
      <c r="T6164" s="98"/>
    </row>
    <row r="6165" spans="20:20" x14ac:dyDescent="0.25">
      <c r="T6165" s="98"/>
    </row>
    <row r="6166" spans="20:20" x14ac:dyDescent="0.25">
      <c r="T6166" s="98"/>
    </row>
    <row r="6167" spans="20:20" x14ac:dyDescent="0.25">
      <c r="T6167" s="98"/>
    </row>
    <row r="6168" spans="20:20" x14ac:dyDescent="0.25">
      <c r="T6168" s="98"/>
    </row>
    <row r="6169" spans="20:20" x14ac:dyDescent="0.25">
      <c r="T6169" s="98"/>
    </row>
    <row r="6170" spans="20:20" x14ac:dyDescent="0.25">
      <c r="T6170" s="98"/>
    </row>
    <row r="6171" spans="20:20" x14ac:dyDescent="0.25">
      <c r="T6171" s="98"/>
    </row>
    <row r="6172" spans="20:20" x14ac:dyDescent="0.25">
      <c r="T6172" s="98"/>
    </row>
    <row r="6173" spans="20:20" x14ac:dyDescent="0.25">
      <c r="T6173" s="98"/>
    </row>
    <row r="6174" spans="20:20" x14ac:dyDescent="0.25">
      <c r="T6174" s="98"/>
    </row>
    <row r="6175" spans="20:20" x14ac:dyDescent="0.25">
      <c r="T6175" s="98"/>
    </row>
    <row r="6176" spans="20:20" x14ac:dyDescent="0.25">
      <c r="T6176" s="98"/>
    </row>
    <row r="6177" spans="20:20" x14ac:dyDescent="0.25">
      <c r="T6177" s="98"/>
    </row>
    <row r="6178" spans="20:20" x14ac:dyDescent="0.25">
      <c r="T6178" s="98"/>
    </row>
    <row r="6179" spans="20:20" x14ac:dyDescent="0.25">
      <c r="T6179" s="98"/>
    </row>
    <row r="6180" spans="20:20" x14ac:dyDescent="0.25">
      <c r="T6180" s="98"/>
    </row>
    <row r="6181" spans="20:20" x14ac:dyDescent="0.25">
      <c r="T6181" s="98"/>
    </row>
    <row r="6182" spans="20:20" x14ac:dyDescent="0.25">
      <c r="T6182" s="98"/>
    </row>
    <row r="6183" spans="20:20" x14ac:dyDescent="0.25">
      <c r="T6183" s="98"/>
    </row>
    <row r="6184" spans="20:20" x14ac:dyDescent="0.25">
      <c r="T6184" s="98"/>
    </row>
    <row r="6185" spans="20:20" x14ac:dyDescent="0.25">
      <c r="T6185" s="98"/>
    </row>
    <row r="6186" spans="20:20" x14ac:dyDescent="0.25">
      <c r="T6186" s="98"/>
    </row>
    <row r="6187" spans="20:20" x14ac:dyDescent="0.25">
      <c r="T6187" s="98"/>
    </row>
    <row r="6188" spans="20:20" x14ac:dyDescent="0.25">
      <c r="T6188" s="98"/>
    </row>
    <row r="6189" spans="20:20" x14ac:dyDescent="0.25">
      <c r="T6189" s="98"/>
    </row>
    <row r="6190" spans="20:20" x14ac:dyDescent="0.25">
      <c r="T6190" s="98"/>
    </row>
    <row r="6191" spans="20:20" x14ac:dyDescent="0.25">
      <c r="T6191" s="98"/>
    </row>
    <row r="6192" spans="20:20" x14ac:dyDescent="0.25">
      <c r="T6192" s="98"/>
    </row>
    <row r="6193" spans="20:20" x14ac:dyDescent="0.25">
      <c r="T6193" s="98"/>
    </row>
    <row r="6194" spans="20:20" x14ac:dyDescent="0.25">
      <c r="T6194" s="98"/>
    </row>
    <row r="6195" spans="20:20" x14ac:dyDescent="0.25">
      <c r="T6195" s="98"/>
    </row>
    <row r="6196" spans="20:20" x14ac:dyDescent="0.25">
      <c r="T6196" s="98"/>
    </row>
    <row r="6197" spans="20:20" x14ac:dyDescent="0.25">
      <c r="T6197" s="98"/>
    </row>
    <row r="6198" spans="20:20" x14ac:dyDescent="0.25">
      <c r="T6198" s="98"/>
    </row>
    <row r="6199" spans="20:20" x14ac:dyDescent="0.25">
      <c r="T6199" s="98"/>
    </row>
    <row r="6200" spans="20:20" x14ac:dyDescent="0.25">
      <c r="T6200" s="98"/>
    </row>
    <row r="6201" spans="20:20" x14ac:dyDescent="0.25">
      <c r="T6201" s="98"/>
    </row>
    <row r="6202" spans="20:20" x14ac:dyDescent="0.25">
      <c r="T6202" s="98"/>
    </row>
    <row r="6203" spans="20:20" x14ac:dyDescent="0.25">
      <c r="T6203" s="98"/>
    </row>
    <row r="6204" spans="20:20" x14ac:dyDescent="0.25">
      <c r="T6204" s="98"/>
    </row>
    <row r="6205" spans="20:20" x14ac:dyDescent="0.25">
      <c r="T6205" s="98"/>
    </row>
    <row r="6206" spans="20:20" x14ac:dyDescent="0.25">
      <c r="T6206" s="98"/>
    </row>
    <row r="6207" spans="20:20" x14ac:dyDescent="0.25">
      <c r="T6207" s="98"/>
    </row>
    <row r="6208" spans="20:20" x14ac:dyDescent="0.25">
      <c r="T6208" s="98"/>
    </row>
    <row r="6209" spans="20:20" x14ac:dyDescent="0.25">
      <c r="T6209" s="98"/>
    </row>
    <row r="6210" spans="20:20" x14ac:dyDescent="0.25">
      <c r="T6210" s="98"/>
    </row>
    <row r="6211" spans="20:20" x14ac:dyDescent="0.25">
      <c r="T6211" s="98"/>
    </row>
    <row r="6212" spans="20:20" x14ac:dyDescent="0.25">
      <c r="T6212" s="98"/>
    </row>
    <row r="6213" spans="20:20" x14ac:dyDescent="0.25">
      <c r="T6213" s="98"/>
    </row>
    <row r="6214" spans="20:20" x14ac:dyDescent="0.25">
      <c r="T6214" s="98"/>
    </row>
    <row r="6215" spans="20:20" x14ac:dyDescent="0.25">
      <c r="T6215" s="98"/>
    </row>
    <row r="6216" spans="20:20" x14ac:dyDescent="0.25">
      <c r="T6216" s="98"/>
    </row>
    <row r="6217" spans="20:20" x14ac:dyDescent="0.25">
      <c r="T6217" s="98"/>
    </row>
    <row r="6218" spans="20:20" x14ac:dyDescent="0.25">
      <c r="T6218" s="98"/>
    </row>
    <row r="6219" spans="20:20" x14ac:dyDescent="0.25">
      <c r="T6219" s="98"/>
    </row>
    <row r="6220" spans="20:20" x14ac:dyDescent="0.25">
      <c r="T6220" s="98"/>
    </row>
    <row r="6221" spans="20:20" x14ac:dyDescent="0.25">
      <c r="T6221" s="98"/>
    </row>
    <row r="6222" spans="20:20" x14ac:dyDescent="0.25">
      <c r="T6222" s="98"/>
    </row>
    <row r="6223" spans="20:20" x14ac:dyDescent="0.25">
      <c r="T6223" s="98"/>
    </row>
    <row r="6224" spans="20:20" x14ac:dyDescent="0.25">
      <c r="T6224" s="98"/>
    </row>
    <row r="6225" spans="20:20" x14ac:dyDescent="0.25">
      <c r="T6225" s="98"/>
    </row>
    <row r="6226" spans="20:20" x14ac:dyDescent="0.25">
      <c r="T6226" s="98"/>
    </row>
    <row r="6227" spans="20:20" x14ac:dyDescent="0.25">
      <c r="T6227" s="98"/>
    </row>
    <row r="6228" spans="20:20" x14ac:dyDescent="0.25">
      <c r="T6228" s="98"/>
    </row>
    <row r="6229" spans="20:20" x14ac:dyDescent="0.25">
      <c r="T6229" s="98"/>
    </row>
    <row r="6230" spans="20:20" x14ac:dyDescent="0.25">
      <c r="T6230" s="98"/>
    </row>
    <row r="6231" spans="20:20" x14ac:dyDescent="0.25">
      <c r="T6231" s="98"/>
    </row>
    <row r="6232" spans="20:20" x14ac:dyDescent="0.25">
      <c r="T6232" s="98"/>
    </row>
    <row r="6233" spans="20:20" x14ac:dyDescent="0.25">
      <c r="T6233" s="98"/>
    </row>
    <row r="6234" spans="20:20" x14ac:dyDescent="0.25">
      <c r="T6234" s="98"/>
    </row>
    <row r="6235" spans="20:20" x14ac:dyDescent="0.25">
      <c r="T6235" s="98"/>
    </row>
    <row r="6236" spans="20:20" x14ac:dyDescent="0.25">
      <c r="T6236" s="98"/>
    </row>
    <row r="6237" spans="20:20" x14ac:dyDescent="0.25">
      <c r="T6237" s="98"/>
    </row>
    <row r="6238" spans="20:20" x14ac:dyDescent="0.25">
      <c r="T6238" s="98"/>
    </row>
    <row r="6239" spans="20:20" x14ac:dyDescent="0.25">
      <c r="T6239" s="98"/>
    </row>
    <row r="6240" spans="20:20" x14ac:dyDescent="0.25">
      <c r="T6240" s="98"/>
    </row>
    <row r="6241" spans="20:20" x14ac:dyDescent="0.25">
      <c r="T6241" s="98"/>
    </row>
    <row r="6242" spans="20:20" x14ac:dyDescent="0.25">
      <c r="T6242" s="98"/>
    </row>
    <row r="6243" spans="20:20" x14ac:dyDescent="0.25">
      <c r="T6243" s="98"/>
    </row>
    <row r="6244" spans="20:20" x14ac:dyDescent="0.25">
      <c r="T6244" s="98"/>
    </row>
    <row r="6245" spans="20:20" x14ac:dyDescent="0.25">
      <c r="T6245" s="98"/>
    </row>
    <row r="6246" spans="20:20" x14ac:dyDescent="0.25">
      <c r="T6246" s="98"/>
    </row>
    <row r="6247" spans="20:20" x14ac:dyDescent="0.25">
      <c r="T6247" s="98"/>
    </row>
    <row r="6248" spans="20:20" x14ac:dyDescent="0.25">
      <c r="T6248" s="98"/>
    </row>
    <row r="6249" spans="20:20" x14ac:dyDescent="0.25">
      <c r="T6249" s="98"/>
    </row>
    <row r="6250" spans="20:20" x14ac:dyDescent="0.25">
      <c r="T6250" s="98"/>
    </row>
    <row r="6251" spans="20:20" x14ac:dyDescent="0.25">
      <c r="T6251" s="98"/>
    </row>
    <row r="6252" spans="20:20" x14ac:dyDescent="0.25">
      <c r="T6252" s="98"/>
    </row>
    <row r="6253" spans="20:20" x14ac:dyDescent="0.25">
      <c r="T6253" s="98"/>
    </row>
    <row r="6254" spans="20:20" x14ac:dyDescent="0.25">
      <c r="T6254" s="98"/>
    </row>
    <row r="6255" spans="20:20" x14ac:dyDescent="0.25">
      <c r="T6255" s="98"/>
    </row>
    <row r="6256" spans="20:20" x14ac:dyDescent="0.25">
      <c r="T6256" s="98"/>
    </row>
    <row r="6257" spans="20:20" x14ac:dyDescent="0.25">
      <c r="T6257" s="98"/>
    </row>
    <row r="6258" spans="20:20" x14ac:dyDescent="0.25">
      <c r="T6258" s="98"/>
    </row>
    <row r="6259" spans="20:20" x14ac:dyDescent="0.25">
      <c r="T6259" s="98"/>
    </row>
    <row r="6260" spans="20:20" x14ac:dyDescent="0.25">
      <c r="T6260" s="98"/>
    </row>
    <row r="6261" spans="20:20" x14ac:dyDescent="0.25">
      <c r="T6261" s="98"/>
    </row>
    <row r="6262" spans="20:20" x14ac:dyDescent="0.25">
      <c r="T6262" s="98"/>
    </row>
    <row r="6263" spans="20:20" x14ac:dyDescent="0.25">
      <c r="T6263" s="98"/>
    </row>
    <row r="6264" spans="20:20" x14ac:dyDescent="0.25">
      <c r="T6264" s="98"/>
    </row>
    <row r="6265" spans="20:20" x14ac:dyDescent="0.25">
      <c r="T6265" s="98"/>
    </row>
    <row r="6266" spans="20:20" x14ac:dyDescent="0.25">
      <c r="T6266" s="98"/>
    </row>
    <row r="6267" spans="20:20" x14ac:dyDescent="0.25">
      <c r="T6267" s="98"/>
    </row>
    <row r="6268" spans="20:20" x14ac:dyDescent="0.25">
      <c r="T6268" s="98"/>
    </row>
    <row r="6269" spans="20:20" x14ac:dyDescent="0.25">
      <c r="T6269" s="98"/>
    </row>
    <row r="6270" spans="20:20" x14ac:dyDescent="0.25">
      <c r="T6270" s="98"/>
    </row>
    <row r="6271" spans="20:20" x14ac:dyDescent="0.25">
      <c r="T6271" s="98"/>
    </row>
    <row r="6272" spans="20:20" x14ac:dyDescent="0.25">
      <c r="T6272" s="98"/>
    </row>
    <row r="6273" spans="20:20" x14ac:dyDescent="0.25">
      <c r="T6273" s="98"/>
    </row>
    <row r="6274" spans="20:20" x14ac:dyDescent="0.25">
      <c r="T6274" s="98"/>
    </row>
    <row r="6275" spans="20:20" x14ac:dyDescent="0.25">
      <c r="T6275" s="98"/>
    </row>
    <row r="6276" spans="20:20" x14ac:dyDescent="0.25">
      <c r="T6276" s="98"/>
    </row>
    <row r="6277" spans="20:20" x14ac:dyDescent="0.25">
      <c r="T6277" s="98"/>
    </row>
    <row r="6278" spans="20:20" x14ac:dyDescent="0.25">
      <c r="T6278" s="98"/>
    </row>
    <row r="6279" spans="20:20" x14ac:dyDescent="0.25">
      <c r="T6279" s="98"/>
    </row>
    <row r="6280" spans="20:20" x14ac:dyDescent="0.25">
      <c r="T6280" s="98"/>
    </row>
    <row r="6281" spans="20:20" x14ac:dyDescent="0.25">
      <c r="T6281" s="98"/>
    </row>
    <row r="6282" spans="20:20" x14ac:dyDescent="0.25">
      <c r="T6282" s="98"/>
    </row>
    <row r="6283" spans="20:20" x14ac:dyDescent="0.25">
      <c r="T6283" s="98"/>
    </row>
    <row r="6284" spans="20:20" x14ac:dyDescent="0.25">
      <c r="T6284" s="98"/>
    </row>
    <row r="6285" spans="20:20" x14ac:dyDescent="0.25">
      <c r="T6285" s="98"/>
    </row>
    <row r="6286" spans="20:20" x14ac:dyDescent="0.25">
      <c r="T6286" s="98"/>
    </row>
    <row r="6287" spans="20:20" x14ac:dyDescent="0.25">
      <c r="T6287" s="98"/>
    </row>
    <row r="6288" spans="20:20" x14ac:dyDescent="0.25">
      <c r="T6288" s="98"/>
    </row>
    <row r="6289" spans="20:20" x14ac:dyDescent="0.25">
      <c r="T6289" s="98"/>
    </row>
    <row r="6290" spans="20:20" x14ac:dyDescent="0.25">
      <c r="T6290" s="98"/>
    </row>
    <row r="6291" spans="20:20" x14ac:dyDescent="0.25">
      <c r="T6291" s="98"/>
    </row>
    <row r="6292" spans="20:20" x14ac:dyDescent="0.25">
      <c r="T6292" s="98"/>
    </row>
    <row r="6293" spans="20:20" x14ac:dyDescent="0.25">
      <c r="T6293" s="98"/>
    </row>
    <row r="6294" spans="20:20" x14ac:dyDescent="0.25">
      <c r="T6294" s="98"/>
    </row>
    <row r="6295" spans="20:20" x14ac:dyDescent="0.25">
      <c r="T6295" s="98"/>
    </row>
    <row r="6296" spans="20:20" x14ac:dyDescent="0.25">
      <c r="T6296" s="98"/>
    </row>
    <row r="6297" spans="20:20" x14ac:dyDescent="0.25">
      <c r="T6297" s="98"/>
    </row>
    <row r="6298" spans="20:20" x14ac:dyDescent="0.25">
      <c r="T6298" s="98"/>
    </row>
    <row r="6299" spans="20:20" x14ac:dyDescent="0.25">
      <c r="T6299" s="98"/>
    </row>
    <row r="6300" spans="20:20" x14ac:dyDescent="0.25">
      <c r="T6300" s="98"/>
    </row>
    <row r="6301" spans="20:20" x14ac:dyDescent="0.25">
      <c r="T6301" s="98"/>
    </row>
    <row r="6302" spans="20:20" x14ac:dyDescent="0.25">
      <c r="T6302" s="98"/>
    </row>
    <row r="6303" spans="20:20" x14ac:dyDescent="0.25">
      <c r="T6303" s="98"/>
    </row>
    <row r="6304" spans="20:20" x14ac:dyDescent="0.25">
      <c r="T6304" s="98"/>
    </row>
    <row r="6305" spans="20:20" x14ac:dyDescent="0.25">
      <c r="T6305" s="98"/>
    </row>
    <row r="6306" spans="20:20" x14ac:dyDescent="0.25">
      <c r="T6306" s="98"/>
    </row>
    <row r="6307" spans="20:20" x14ac:dyDescent="0.25">
      <c r="T6307" s="98"/>
    </row>
    <row r="6308" spans="20:20" x14ac:dyDescent="0.25">
      <c r="T6308" s="98"/>
    </row>
    <row r="6309" spans="20:20" x14ac:dyDescent="0.25">
      <c r="T6309" s="98"/>
    </row>
    <row r="6310" spans="20:20" x14ac:dyDescent="0.25">
      <c r="T6310" s="98"/>
    </row>
    <row r="6311" spans="20:20" x14ac:dyDescent="0.25">
      <c r="T6311" s="98"/>
    </row>
    <row r="6312" spans="20:20" x14ac:dyDescent="0.25">
      <c r="T6312" s="98"/>
    </row>
    <row r="6313" spans="20:20" x14ac:dyDescent="0.25">
      <c r="T6313" s="98"/>
    </row>
    <row r="6314" spans="20:20" x14ac:dyDescent="0.25">
      <c r="T6314" s="98"/>
    </row>
    <row r="6315" spans="20:20" x14ac:dyDescent="0.25">
      <c r="T6315" s="98"/>
    </row>
    <row r="6316" spans="20:20" x14ac:dyDescent="0.25">
      <c r="T6316" s="98"/>
    </row>
    <row r="6317" spans="20:20" x14ac:dyDescent="0.25">
      <c r="T6317" s="98"/>
    </row>
    <row r="6318" spans="20:20" x14ac:dyDescent="0.25">
      <c r="T6318" s="98"/>
    </row>
    <row r="6319" spans="20:20" x14ac:dyDescent="0.25">
      <c r="T6319" s="98"/>
    </row>
    <row r="6320" spans="20:20" x14ac:dyDescent="0.25">
      <c r="T6320" s="98"/>
    </row>
    <row r="6321" spans="20:20" x14ac:dyDescent="0.25">
      <c r="T6321" s="98"/>
    </row>
    <row r="6322" spans="20:20" x14ac:dyDescent="0.25">
      <c r="T6322" s="98"/>
    </row>
    <row r="6323" spans="20:20" x14ac:dyDescent="0.25">
      <c r="T6323" s="98"/>
    </row>
    <row r="6324" spans="20:20" x14ac:dyDescent="0.25">
      <c r="T6324" s="98"/>
    </row>
    <row r="6325" spans="20:20" x14ac:dyDescent="0.25">
      <c r="T6325" s="98"/>
    </row>
    <row r="6326" spans="20:20" x14ac:dyDescent="0.25">
      <c r="T6326" s="98"/>
    </row>
    <row r="6327" spans="20:20" x14ac:dyDescent="0.25">
      <c r="T6327" s="98"/>
    </row>
    <row r="6328" spans="20:20" x14ac:dyDescent="0.25">
      <c r="T6328" s="98"/>
    </row>
    <row r="6329" spans="20:20" x14ac:dyDescent="0.25">
      <c r="T6329" s="98"/>
    </row>
    <row r="6330" spans="20:20" x14ac:dyDescent="0.25">
      <c r="T6330" s="98"/>
    </row>
    <row r="6331" spans="20:20" x14ac:dyDescent="0.25">
      <c r="T6331" s="98"/>
    </row>
    <row r="6332" spans="20:20" x14ac:dyDescent="0.25">
      <c r="T6332" s="98"/>
    </row>
    <row r="6333" spans="20:20" x14ac:dyDescent="0.25">
      <c r="T6333" s="98"/>
    </row>
    <row r="6334" spans="20:20" x14ac:dyDescent="0.25">
      <c r="T6334" s="98"/>
    </row>
    <row r="6335" spans="20:20" x14ac:dyDescent="0.25">
      <c r="T6335" s="98"/>
    </row>
    <row r="6336" spans="20:20" x14ac:dyDescent="0.25">
      <c r="T6336" s="98"/>
    </row>
    <row r="6337" spans="20:20" x14ac:dyDescent="0.25">
      <c r="T6337" s="98"/>
    </row>
    <row r="6338" spans="20:20" x14ac:dyDescent="0.25">
      <c r="T6338" s="98"/>
    </row>
    <row r="6339" spans="20:20" x14ac:dyDescent="0.25">
      <c r="T6339" s="98"/>
    </row>
    <row r="6340" spans="20:20" x14ac:dyDescent="0.25">
      <c r="T6340" s="98"/>
    </row>
    <row r="6341" spans="20:20" x14ac:dyDescent="0.25">
      <c r="T6341" s="98"/>
    </row>
    <row r="6342" spans="20:20" x14ac:dyDescent="0.25">
      <c r="T6342" s="98"/>
    </row>
    <row r="6343" spans="20:20" x14ac:dyDescent="0.25">
      <c r="T6343" s="98"/>
    </row>
    <row r="6344" spans="20:20" x14ac:dyDescent="0.25">
      <c r="T6344" s="98"/>
    </row>
    <row r="6345" spans="20:20" x14ac:dyDescent="0.25">
      <c r="T6345" s="98"/>
    </row>
    <row r="6346" spans="20:20" x14ac:dyDescent="0.25">
      <c r="T6346" s="98"/>
    </row>
    <row r="6347" spans="20:20" x14ac:dyDescent="0.25">
      <c r="T6347" s="98"/>
    </row>
    <row r="6348" spans="20:20" x14ac:dyDescent="0.25">
      <c r="T6348" s="98"/>
    </row>
    <row r="6349" spans="20:20" x14ac:dyDescent="0.25">
      <c r="T6349" s="98"/>
    </row>
    <row r="6350" spans="20:20" x14ac:dyDescent="0.25">
      <c r="T6350" s="98"/>
    </row>
    <row r="6351" spans="20:20" x14ac:dyDescent="0.25">
      <c r="T6351" s="98"/>
    </row>
    <row r="6352" spans="20:20" x14ac:dyDescent="0.25">
      <c r="T6352" s="98"/>
    </row>
    <row r="6353" spans="20:20" x14ac:dyDescent="0.25">
      <c r="T6353" s="98"/>
    </row>
    <row r="6354" spans="20:20" x14ac:dyDescent="0.25">
      <c r="T6354" s="98"/>
    </row>
    <row r="6355" spans="20:20" x14ac:dyDescent="0.25">
      <c r="T6355" s="98"/>
    </row>
    <row r="6356" spans="20:20" x14ac:dyDescent="0.25">
      <c r="T6356" s="98"/>
    </row>
    <row r="6357" spans="20:20" x14ac:dyDescent="0.25">
      <c r="T6357" s="98"/>
    </row>
    <row r="6358" spans="20:20" x14ac:dyDescent="0.25">
      <c r="T6358" s="98"/>
    </row>
    <row r="6359" spans="20:20" x14ac:dyDescent="0.25">
      <c r="T6359" s="98"/>
    </row>
    <row r="6360" spans="20:20" x14ac:dyDescent="0.25">
      <c r="T6360" s="98"/>
    </row>
    <row r="6361" spans="20:20" x14ac:dyDescent="0.25">
      <c r="T6361" s="98"/>
    </row>
    <row r="6362" spans="20:20" x14ac:dyDescent="0.25">
      <c r="T6362" s="98"/>
    </row>
    <row r="6363" spans="20:20" x14ac:dyDescent="0.25">
      <c r="T6363" s="98"/>
    </row>
    <row r="6364" spans="20:20" x14ac:dyDescent="0.25">
      <c r="T6364" s="98"/>
    </row>
    <row r="6365" spans="20:20" x14ac:dyDescent="0.25">
      <c r="T6365" s="98"/>
    </row>
    <row r="6366" spans="20:20" x14ac:dyDescent="0.25">
      <c r="T6366" s="98"/>
    </row>
    <row r="6367" spans="20:20" x14ac:dyDescent="0.25">
      <c r="T6367" s="98"/>
    </row>
    <row r="6368" spans="20:20" x14ac:dyDescent="0.25">
      <c r="T6368" s="98"/>
    </row>
    <row r="6369" spans="20:20" x14ac:dyDescent="0.25">
      <c r="T6369" s="98"/>
    </row>
    <row r="6370" spans="20:20" x14ac:dyDescent="0.25">
      <c r="T6370" s="98"/>
    </row>
    <row r="6371" spans="20:20" x14ac:dyDescent="0.25">
      <c r="T6371" s="98"/>
    </row>
    <row r="6372" spans="20:20" x14ac:dyDescent="0.25">
      <c r="T6372" s="98"/>
    </row>
    <row r="6373" spans="20:20" x14ac:dyDescent="0.25">
      <c r="T6373" s="98"/>
    </row>
    <row r="6374" spans="20:20" x14ac:dyDescent="0.25">
      <c r="T6374" s="98"/>
    </row>
    <row r="6375" spans="20:20" x14ac:dyDescent="0.25">
      <c r="T6375" s="98"/>
    </row>
    <row r="6376" spans="20:20" x14ac:dyDescent="0.25">
      <c r="T6376" s="98"/>
    </row>
    <row r="6377" spans="20:20" x14ac:dyDescent="0.25">
      <c r="T6377" s="98"/>
    </row>
    <row r="6378" spans="20:20" x14ac:dyDescent="0.25">
      <c r="T6378" s="98"/>
    </row>
    <row r="6379" spans="20:20" x14ac:dyDescent="0.25">
      <c r="T6379" s="98"/>
    </row>
    <row r="6380" spans="20:20" x14ac:dyDescent="0.25">
      <c r="T6380" s="98"/>
    </row>
    <row r="6381" spans="20:20" x14ac:dyDescent="0.25">
      <c r="T6381" s="98"/>
    </row>
    <row r="6382" spans="20:20" x14ac:dyDescent="0.25">
      <c r="T6382" s="98"/>
    </row>
    <row r="6383" spans="20:20" x14ac:dyDescent="0.25">
      <c r="T6383" s="98"/>
    </row>
    <row r="6384" spans="20:20" x14ac:dyDescent="0.25">
      <c r="T6384" s="98"/>
    </row>
    <row r="6385" spans="20:20" x14ac:dyDescent="0.25">
      <c r="T6385" s="98"/>
    </row>
    <row r="6386" spans="20:20" x14ac:dyDescent="0.25">
      <c r="T6386" s="98"/>
    </row>
    <row r="6387" spans="20:20" x14ac:dyDescent="0.25">
      <c r="T6387" s="98"/>
    </row>
    <row r="6388" spans="20:20" x14ac:dyDescent="0.25">
      <c r="T6388" s="98"/>
    </row>
    <row r="6389" spans="20:20" x14ac:dyDescent="0.25">
      <c r="T6389" s="98"/>
    </row>
    <row r="6390" spans="20:20" x14ac:dyDescent="0.25">
      <c r="T6390" s="98"/>
    </row>
    <row r="6391" spans="20:20" x14ac:dyDescent="0.25">
      <c r="T6391" s="98"/>
    </row>
    <row r="6392" spans="20:20" x14ac:dyDescent="0.25">
      <c r="T6392" s="98"/>
    </row>
    <row r="6393" spans="20:20" x14ac:dyDescent="0.25">
      <c r="T6393" s="98"/>
    </row>
    <row r="6394" spans="20:20" x14ac:dyDescent="0.25">
      <c r="T6394" s="98"/>
    </row>
    <row r="6395" spans="20:20" x14ac:dyDescent="0.25">
      <c r="T6395" s="98"/>
    </row>
    <row r="6396" spans="20:20" x14ac:dyDescent="0.25">
      <c r="T6396" s="98"/>
    </row>
    <row r="6397" spans="20:20" x14ac:dyDescent="0.25">
      <c r="T6397" s="98"/>
    </row>
    <row r="6398" spans="20:20" x14ac:dyDescent="0.25">
      <c r="T6398" s="98"/>
    </row>
    <row r="6399" spans="20:20" x14ac:dyDescent="0.25">
      <c r="T6399" s="98"/>
    </row>
    <row r="6400" spans="20:20" x14ac:dyDescent="0.25">
      <c r="T6400" s="98"/>
    </row>
    <row r="6401" spans="20:20" x14ac:dyDescent="0.25">
      <c r="T6401" s="98"/>
    </row>
    <row r="6402" spans="20:20" x14ac:dyDescent="0.25">
      <c r="T6402" s="98"/>
    </row>
    <row r="6403" spans="20:20" x14ac:dyDescent="0.25">
      <c r="T6403" s="98"/>
    </row>
    <row r="6404" spans="20:20" x14ac:dyDescent="0.25">
      <c r="T6404" s="98"/>
    </row>
    <row r="6405" spans="20:20" x14ac:dyDescent="0.25">
      <c r="T6405" s="98"/>
    </row>
    <row r="6406" spans="20:20" x14ac:dyDescent="0.25">
      <c r="T6406" s="98"/>
    </row>
    <row r="6407" spans="20:20" x14ac:dyDescent="0.25">
      <c r="T6407" s="98"/>
    </row>
    <row r="6408" spans="20:20" x14ac:dyDescent="0.25">
      <c r="T6408" s="98"/>
    </row>
    <row r="6409" spans="20:20" x14ac:dyDescent="0.25">
      <c r="T6409" s="98"/>
    </row>
    <row r="6410" spans="20:20" x14ac:dyDescent="0.25">
      <c r="T6410" s="98"/>
    </row>
    <row r="6411" spans="20:20" x14ac:dyDescent="0.25">
      <c r="T6411" s="98"/>
    </row>
    <row r="6412" spans="20:20" x14ac:dyDescent="0.25">
      <c r="T6412" s="98"/>
    </row>
    <row r="6413" spans="20:20" x14ac:dyDescent="0.25">
      <c r="T6413" s="98"/>
    </row>
    <row r="6414" spans="20:20" x14ac:dyDescent="0.25">
      <c r="T6414" s="98"/>
    </row>
    <row r="6415" spans="20:20" x14ac:dyDescent="0.25">
      <c r="T6415" s="98"/>
    </row>
    <row r="6416" spans="20:20" x14ac:dyDescent="0.25">
      <c r="T6416" s="98"/>
    </row>
    <row r="6417" spans="20:20" x14ac:dyDescent="0.25">
      <c r="T6417" s="98"/>
    </row>
    <row r="6418" spans="20:20" x14ac:dyDescent="0.25">
      <c r="T6418" s="98"/>
    </row>
    <row r="6419" spans="20:20" x14ac:dyDescent="0.25">
      <c r="T6419" s="98"/>
    </row>
    <row r="6420" spans="20:20" x14ac:dyDescent="0.25">
      <c r="T6420" s="98"/>
    </row>
    <row r="6421" spans="20:20" x14ac:dyDescent="0.25">
      <c r="T6421" s="98"/>
    </row>
    <row r="6422" spans="20:20" x14ac:dyDescent="0.25">
      <c r="T6422" s="98"/>
    </row>
    <row r="6423" spans="20:20" x14ac:dyDescent="0.25">
      <c r="T6423" s="98"/>
    </row>
    <row r="6424" spans="20:20" x14ac:dyDescent="0.25">
      <c r="T6424" s="98"/>
    </row>
    <row r="6425" spans="20:20" x14ac:dyDescent="0.25">
      <c r="T6425" s="98"/>
    </row>
    <row r="6426" spans="20:20" x14ac:dyDescent="0.25">
      <c r="T6426" s="98"/>
    </row>
    <row r="6427" spans="20:20" x14ac:dyDescent="0.25">
      <c r="T6427" s="98"/>
    </row>
    <row r="6428" spans="20:20" x14ac:dyDescent="0.25">
      <c r="T6428" s="98"/>
    </row>
    <row r="6429" spans="20:20" x14ac:dyDescent="0.25">
      <c r="T6429" s="98"/>
    </row>
    <row r="6430" spans="20:20" x14ac:dyDescent="0.25">
      <c r="T6430" s="98"/>
    </row>
    <row r="6431" spans="20:20" x14ac:dyDescent="0.25">
      <c r="T6431" s="98"/>
    </row>
    <row r="6432" spans="20:20" x14ac:dyDescent="0.25">
      <c r="T6432" s="98"/>
    </row>
    <row r="6433" spans="20:20" x14ac:dyDescent="0.25">
      <c r="T6433" s="98"/>
    </row>
    <row r="6434" spans="20:20" x14ac:dyDescent="0.25">
      <c r="T6434" s="98"/>
    </row>
    <row r="6435" spans="20:20" x14ac:dyDescent="0.25">
      <c r="T6435" s="98"/>
    </row>
    <row r="6436" spans="20:20" x14ac:dyDescent="0.25">
      <c r="T6436" s="98"/>
    </row>
    <row r="6437" spans="20:20" x14ac:dyDescent="0.25">
      <c r="T6437" s="98"/>
    </row>
    <row r="6438" spans="20:20" x14ac:dyDescent="0.25">
      <c r="T6438" s="98"/>
    </row>
    <row r="6439" spans="20:20" x14ac:dyDescent="0.25">
      <c r="T6439" s="98"/>
    </row>
    <row r="6440" spans="20:20" x14ac:dyDescent="0.25">
      <c r="T6440" s="98"/>
    </row>
    <row r="6441" spans="20:20" x14ac:dyDescent="0.25">
      <c r="T6441" s="98"/>
    </row>
    <row r="6442" spans="20:20" x14ac:dyDescent="0.25">
      <c r="T6442" s="98"/>
    </row>
    <row r="6443" spans="20:20" x14ac:dyDescent="0.25">
      <c r="T6443" s="98"/>
    </row>
    <row r="6444" spans="20:20" x14ac:dyDescent="0.25">
      <c r="T6444" s="98"/>
    </row>
    <row r="6445" spans="20:20" x14ac:dyDescent="0.25">
      <c r="T6445" s="98"/>
    </row>
    <row r="6446" spans="20:20" x14ac:dyDescent="0.25">
      <c r="T6446" s="98"/>
    </row>
    <row r="6447" spans="20:20" x14ac:dyDescent="0.25">
      <c r="T6447" s="98"/>
    </row>
    <row r="6448" spans="20:20" x14ac:dyDescent="0.25">
      <c r="T6448" s="98"/>
    </row>
    <row r="6449" spans="20:20" x14ac:dyDescent="0.25">
      <c r="T6449" s="98"/>
    </row>
    <row r="6450" spans="20:20" x14ac:dyDescent="0.25">
      <c r="T6450" s="98"/>
    </row>
    <row r="6451" spans="20:20" x14ac:dyDescent="0.25">
      <c r="T6451" s="98"/>
    </row>
    <row r="6452" spans="20:20" x14ac:dyDescent="0.25">
      <c r="T6452" s="98"/>
    </row>
    <row r="6453" spans="20:20" x14ac:dyDescent="0.25">
      <c r="T6453" s="98"/>
    </row>
    <row r="6454" spans="20:20" x14ac:dyDescent="0.25">
      <c r="T6454" s="98"/>
    </row>
    <row r="6455" spans="20:20" x14ac:dyDescent="0.25">
      <c r="T6455" s="98"/>
    </row>
    <row r="6456" spans="20:20" x14ac:dyDescent="0.25">
      <c r="T6456" s="98"/>
    </row>
    <row r="6457" spans="20:20" x14ac:dyDescent="0.25">
      <c r="T6457" s="98"/>
    </row>
    <row r="6458" spans="20:20" x14ac:dyDescent="0.25">
      <c r="T6458" s="98"/>
    </row>
    <row r="6459" spans="20:20" x14ac:dyDescent="0.25">
      <c r="T6459" s="98"/>
    </row>
    <row r="6460" spans="20:20" x14ac:dyDescent="0.25">
      <c r="T6460" s="98"/>
    </row>
    <row r="6461" spans="20:20" x14ac:dyDescent="0.25">
      <c r="T6461" s="98"/>
    </row>
    <row r="6462" spans="20:20" x14ac:dyDescent="0.25">
      <c r="T6462" s="98"/>
    </row>
    <row r="6463" spans="20:20" x14ac:dyDescent="0.25">
      <c r="T6463" s="98"/>
    </row>
    <row r="6464" spans="20:20" x14ac:dyDescent="0.25">
      <c r="T6464" s="98"/>
    </row>
    <row r="6465" spans="20:20" x14ac:dyDescent="0.25">
      <c r="T6465" s="98"/>
    </row>
    <row r="6466" spans="20:20" x14ac:dyDescent="0.25">
      <c r="T6466" s="98"/>
    </row>
    <row r="6467" spans="20:20" x14ac:dyDescent="0.25">
      <c r="T6467" s="98"/>
    </row>
    <row r="6468" spans="20:20" x14ac:dyDescent="0.25">
      <c r="T6468" s="98"/>
    </row>
    <row r="6469" spans="20:20" x14ac:dyDescent="0.25">
      <c r="T6469" s="98"/>
    </row>
    <row r="6470" spans="20:20" x14ac:dyDescent="0.25">
      <c r="T6470" s="98"/>
    </row>
    <row r="6471" spans="20:20" x14ac:dyDescent="0.25">
      <c r="T6471" s="98"/>
    </row>
    <row r="6472" spans="20:20" x14ac:dyDescent="0.25">
      <c r="T6472" s="98"/>
    </row>
    <row r="6473" spans="20:20" x14ac:dyDescent="0.25">
      <c r="T6473" s="98"/>
    </row>
    <row r="6474" spans="20:20" x14ac:dyDescent="0.25">
      <c r="T6474" s="98"/>
    </row>
    <row r="6475" spans="20:20" x14ac:dyDescent="0.25">
      <c r="T6475" s="98"/>
    </row>
    <row r="6476" spans="20:20" x14ac:dyDescent="0.25">
      <c r="T6476" s="98"/>
    </row>
    <row r="6477" spans="20:20" x14ac:dyDescent="0.25">
      <c r="T6477" s="98"/>
    </row>
    <row r="6478" spans="20:20" x14ac:dyDescent="0.25">
      <c r="T6478" s="98"/>
    </row>
    <row r="6479" spans="20:20" x14ac:dyDescent="0.25">
      <c r="T6479" s="98"/>
    </row>
    <row r="6480" spans="20:20" x14ac:dyDescent="0.25">
      <c r="T6480" s="98"/>
    </row>
    <row r="6481" spans="20:20" x14ac:dyDescent="0.25">
      <c r="T6481" s="98"/>
    </row>
    <row r="6482" spans="20:20" x14ac:dyDescent="0.25">
      <c r="T6482" s="98"/>
    </row>
    <row r="6483" spans="20:20" x14ac:dyDescent="0.25">
      <c r="T6483" s="98"/>
    </row>
    <row r="6484" spans="20:20" x14ac:dyDescent="0.25">
      <c r="T6484" s="98"/>
    </row>
    <row r="6485" spans="20:20" x14ac:dyDescent="0.25">
      <c r="T6485" s="98"/>
    </row>
    <row r="6486" spans="20:20" x14ac:dyDescent="0.25">
      <c r="T6486" s="98"/>
    </row>
    <row r="6487" spans="20:20" x14ac:dyDescent="0.25">
      <c r="T6487" s="98"/>
    </row>
    <row r="6488" spans="20:20" x14ac:dyDescent="0.25">
      <c r="T6488" s="98"/>
    </row>
    <row r="6489" spans="20:20" x14ac:dyDescent="0.25">
      <c r="T6489" s="98"/>
    </row>
    <row r="6490" spans="20:20" x14ac:dyDescent="0.25">
      <c r="T6490" s="98"/>
    </row>
    <row r="6491" spans="20:20" x14ac:dyDescent="0.25">
      <c r="T6491" s="98"/>
    </row>
    <row r="6492" spans="20:20" x14ac:dyDescent="0.25">
      <c r="T6492" s="98"/>
    </row>
    <row r="6493" spans="20:20" x14ac:dyDescent="0.25">
      <c r="T6493" s="98"/>
    </row>
    <row r="6494" spans="20:20" x14ac:dyDescent="0.25">
      <c r="T6494" s="98"/>
    </row>
    <row r="6495" spans="20:20" x14ac:dyDescent="0.25">
      <c r="T6495" s="98"/>
    </row>
    <row r="6496" spans="20:20" x14ac:dyDescent="0.25">
      <c r="T6496" s="98"/>
    </row>
    <row r="6497" spans="20:20" x14ac:dyDescent="0.25">
      <c r="T6497" s="98"/>
    </row>
    <row r="6498" spans="20:20" x14ac:dyDescent="0.25">
      <c r="T6498" s="98"/>
    </row>
    <row r="6499" spans="20:20" x14ac:dyDescent="0.25">
      <c r="T6499" s="98"/>
    </row>
    <row r="6500" spans="20:20" x14ac:dyDescent="0.25">
      <c r="T6500" s="98"/>
    </row>
    <row r="6501" spans="20:20" x14ac:dyDescent="0.25">
      <c r="T6501" s="98"/>
    </row>
    <row r="6502" spans="20:20" x14ac:dyDescent="0.25">
      <c r="T6502" s="98"/>
    </row>
    <row r="6503" spans="20:20" x14ac:dyDescent="0.25">
      <c r="T6503" s="98"/>
    </row>
    <row r="6504" spans="20:20" x14ac:dyDescent="0.25">
      <c r="T6504" s="98"/>
    </row>
    <row r="6505" spans="20:20" x14ac:dyDescent="0.25">
      <c r="T6505" s="98"/>
    </row>
    <row r="6506" spans="20:20" x14ac:dyDescent="0.25">
      <c r="T6506" s="98"/>
    </row>
    <row r="6507" spans="20:20" x14ac:dyDescent="0.25">
      <c r="T6507" s="98"/>
    </row>
    <row r="6508" spans="20:20" x14ac:dyDescent="0.25">
      <c r="T6508" s="98"/>
    </row>
    <row r="6509" spans="20:20" x14ac:dyDescent="0.25">
      <c r="T6509" s="98"/>
    </row>
    <row r="6510" spans="20:20" x14ac:dyDescent="0.25">
      <c r="T6510" s="98"/>
    </row>
    <row r="6511" spans="20:20" x14ac:dyDescent="0.25">
      <c r="T6511" s="98"/>
    </row>
    <row r="6512" spans="20:20" x14ac:dyDescent="0.25">
      <c r="T6512" s="98"/>
    </row>
    <row r="6513" spans="20:20" x14ac:dyDescent="0.25">
      <c r="T6513" s="98"/>
    </row>
    <row r="6514" spans="20:20" x14ac:dyDescent="0.25">
      <c r="T6514" s="98"/>
    </row>
    <row r="6515" spans="20:20" x14ac:dyDescent="0.25">
      <c r="T6515" s="98"/>
    </row>
    <row r="6516" spans="20:20" x14ac:dyDescent="0.25">
      <c r="T6516" s="98"/>
    </row>
    <row r="6517" spans="20:20" x14ac:dyDescent="0.25">
      <c r="T6517" s="98"/>
    </row>
    <row r="6518" spans="20:20" x14ac:dyDescent="0.25">
      <c r="T6518" s="98"/>
    </row>
    <row r="6519" spans="20:20" x14ac:dyDescent="0.25">
      <c r="T6519" s="98"/>
    </row>
    <row r="6520" spans="20:20" x14ac:dyDescent="0.25">
      <c r="T6520" s="98"/>
    </row>
    <row r="6521" spans="20:20" x14ac:dyDescent="0.25">
      <c r="T6521" s="98"/>
    </row>
    <row r="6522" spans="20:20" x14ac:dyDescent="0.25">
      <c r="T6522" s="98"/>
    </row>
    <row r="6523" spans="20:20" x14ac:dyDescent="0.25">
      <c r="T6523" s="98"/>
    </row>
    <row r="6524" spans="20:20" x14ac:dyDescent="0.25">
      <c r="T6524" s="98"/>
    </row>
    <row r="6525" spans="20:20" x14ac:dyDescent="0.25">
      <c r="T6525" s="98"/>
    </row>
    <row r="6526" spans="20:20" x14ac:dyDescent="0.25">
      <c r="T6526" s="98"/>
    </row>
    <row r="6527" spans="20:20" x14ac:dyDescent="0.25">
      <c r="T6527" s="98"/>
    </row>
    <row r="6528" spans="20:20" x14ac:dyDescent="0.25">
      <c r="T6528" s="98"/>
    </row>
    <row r="6529" spans="20:20" x14ac:dyDescent="0.25">
      <c r="T6529" s="98"/>
    </row>
    <row r="6530" spans="20:20" x14ac:dyDescent="0.25">
      <c r="T6530" s="98"/>
    </row>
    <row r="6531" spans="20:20" x14ac:dyDescent="0.25">
      <c r="T6531" s="98"/>
    </row>
    <row r="6532" spans="20:20" x14ac:dyDescent="0.25">
      <c r="T6532" s="98"/>
    </row>
    <row r="6533" spans="20:20" x14ac:dyDescent="0.25">
      <c r="T6533" s="98"/>
    </row>
    <row r="6534" spans="20:20" x14ac:dyDescent="0.25">
      <c r="T6534" s="98"/>
    </row>
    <row r="6535" spans="20:20" x14ac:dyDescent="0.25">
      <c r="T6535" s="98"/>
    </row>
    <row r="6536" spans="20:20" x14ac:dyDescent="0.25">
      <c r="T6536" s="98"/>
    </row>
    <row r="6537" spans="20:20" x14ac:dyDescent="0.25">
      <c r="T6537" s="98"/>
    </row>
    <row r="6538" spans="20:20" x14ac:dyDescent="0.25">
      <c r="T6538" s="98"/>
    </row>
    <row r="6539" spans="20:20" x14ac:dyDescent="0.25">
      <c r="T6539" s="98"/>
    </row>
    <row r="6540" spans="20:20" x14ac:dyDescent="0.25">
      <c r="T6540" s="98"/>
    </row>
    <row r="6541" spans="20:20" x14ac:dyDescent="0.25">
      <c r="T6541" s="98"/>
    </row>
    <row r="6542" spans="20:20" x14ac:dyDescent="0.25">
      <c r="T6542" s="98"/>
    </row>
    <row r="6543" spans="20:20" x14ac:dyDescent="0.25">
      <c r="T6543" s="98"/>
    </row>
    <row r="6544" spans="20:20" x14ac:dyDescent="0.25">
      <c r="T6544" s="98"/>
    </row>
    <row r="6545" spans="20:20" x14ac:dyDescent="0.25">
      <c r="T6545" s="98"/>
    </row>
    <row r="6546" spans="20:20" x14ac:dyDescent="0.25">
      <c r="T6546" s="98"/>
    </row>
    <row r="6547" spans="20:20" x14ac:dyDescent="0.25">
      <c r="T6547" s="98"/>
    </row>
    <row r="6548" spans="20:20" x14ac:dyDescent="0.25">
      <c r="T6548" s="98"/>
    </row>
    <row r="6549" spans="20:20" x14ac:dyDescent="0.25">
      <c r="T6549" s="98"/>
    </row>
    <row r="6550" spans="20:20" x14ac:dyDescent="0.25">
      <c r="T6550" s="98"/>
    </row>
    <row r="6551" spans="20:20" x14ac:dyDescent="0.25">
      <c r="T6551" s="98"/>
    </row>
    <row r="6552" spans="20:20" x14ac:dyDescent="0.25">
      <c r="T6552" s="98"/>
    </row>
    <row r="6553" spans="20:20" x14ac:dyDescent="0.25">
      <c r="T6553" s="98"/>
    </row>
    <row r="6554" spans="20:20" x14ac:dyDescent="0.25">
      <c r="T6554" s="98"/>
    </row>
    <row r="6555" spans="20:20" x14ac:dyDescent="0.25">
      <c r="T6555" s="98"/>
    </row>
    <row r="6556" spans="20:20" x14ac:dyDescent="0.25">
      <c r="T6556" s="98"/>
    </row>
    <row r="6557" spans="20:20" x14ac:dyDescent="0.25">
      <c r="T6557" s="98"/>
    </row>
    <row r="6558" spans="20:20" x14ac:dyDescent="0.25">
      <c r="T6558" s="98"/>
    </row>
    <row r="6559" spans="20:20" x14ac:dyDescent="0.25">
      <c r="T6559" s="98"/>
    </row>
    <row r="6560" spans="20:20" x14ac:dyDescent="0.25">
      <c r="T6560" s="98"/>
    </row>
    <row r="6561" spans="20:20" x14ac:dyDescent="0.25">
      <c r="T6561" s="98"/>
    </row>
    <row r="6562" spans="20:20" x14ac:dyDescent="0.25">
      <c r="T6562" s="98"/>
    </row>
    <row r="6563" spans="20:20" x14ac:dyDescent="0.25">
      <c r="T6563" s="98"/>
    </row>
    <row r="6564" spans="20:20" x14ac:dyDescent="0.25">
      <c r="T6564" s="98"/>
    </row>
    <row r="6565" spans="20:20" x14ac:dyDescent="0.25">
      <c r="T6565" s="98"/>
    </row>
    <row r="6566" spans="20:20" x14ac:dyDescent="0.25">
      <c r="T6566" s="98"/>
    </row>
    <row r="6567" spans="20:20" x14ac:dyDescent="0.25">
      <c r="T6567" s="98"/>
    </row>
    <row r="6568" spans="20:20" x14ac:dyDescent="0.25">
      <c r="T6568" s="98"/>
    </row>
    <row r="6569" spans="20:20" x14ac:dyDescent="0.25">
      <c r="T6569" s="98"/>
    </row>
    <row r="6570" spans="20:20" x14ac:dyDescent="0.25">
      <c r="T6570" s="98"/>
    </row>
    <row r="6571" spans="20:20" x14ac:dyDescent="0.25">
      <c r="T6571" s="98"/>
    </row>
    <row r="6572" spans="20:20" x14ac:dyDescent="0.25">
      <c r="T6572" s="98"/>
    </row>
    <row r="6573" spans="20:20" x14ac:dyDescent="0.25">
      <c r="T6573" s="98"/>
    </row>
    <row r="6574" spans="20:20" x14ac:dyDescent="0.25">
      <c r="T6574" s="98"/>
    </row>
    <row r="6575" spans="20:20" x14ac:dyDescent="0.25">
      <c r="T6575" s="98"/>
    </row>
    <row r="6576" spans="20:20" x14ac:dyDescent="0.25">
      <c r="T6576" s="98"/>
    </row>
    <row r="6577" spans="20:20" x14ac:dyDescent="0.25">
      <c r="T6577" s="98"/>
    </row>
    <row r="6578" spans="20:20" x14ac:dyDescent="0.25">
      <c r="T6578" s="98"/>
    </row>
    <row r="6579" spans="20:20" x14ac:dyDescent="0.25">
      <c r="T6579" s="98"/>
    </row>
    <row r="6580" spans="20:20" x14ac:dyDescent="0.25">
      <c r="T6580" s="98"/>
    </row>
    <row r="6581" spans="20:20" x14ac:dyDescent="0.25">
      <c r="T6581" s="98"/>
    </row>
    <row r="6582" spans="20:20" x14ac:dyDescent="0.25">
      <c r="T6582" s="98"/>
    </row>
    <row r="6583" spans="20:20" x14ac:dyDescent="0.25">
      <c r="T6583" s="98"/>
    </row>
    <row r="6584" spans="20:20" x14ac:dyDescent="0.25">
      <c r="T6584" s="98"/>
    </row>
    <row r="6585" spans="20:20" x14ac:dyDescent="0.25">
      <c r="T6585" s="98"/>
    </row>
    <row r="6586" spans="20:20" x14ac:dyDescent="0.25">
      <c r="T6586" s="98"/>
    </row>
    <row r="6587" spans="20:20" x14ac:dyDescent="0.25">
      <c r="T6587" s="98"/>
    </row>
    <row r="6588" spans="20:20" x14ac:dyDescent="0.25">
      <c r="T6588" s="98"/>
    </row>
    <row r="6589" spans="20:20" x14ac:dyDescent="0.25">
      <c r="T6589" s="98"/>
    </row>
    <row r="6590" spans="20:20" x14ac:dyDescent="0.25">
      <c r="T6590" s="98"/>
    </row>
    <row r="6591" spans="20:20" x14ac:dyDescent="0.25">
      <c r="T6591" s="98"/>
    </row>
    <row r="6592" spans="20:20" x14ac:dyDescent="0.25">
      <c r="T6592" s="98"/>
    </row>
    <row r="6593" spans="20:20" x14ac:dyDescent="0.25">
      <c r="T6593" s="98"/>
    </row>
    <row r="6594" spans="20:20" x14ac:dyDescent="0.25">
      <c r="T6594" s="98"/>
    </row>
    <row r="6595" spans="20:20" x14ac:dyDescent="0.25">
      <c r="T6595" s="98"/>
    </row>
    <row r="6596" spans="20:20" x14ac:dyDescent="0.25">
      <c r="T6596" s="98"/>
    </row>
    <row r="6597" spans="20:20" x14ac:dyDescent="0.25">
      <c r="T6597" s="98"/>
    </row>
    <row r="6598" spans="20:20" x14ac:dyDescent="0.25">
      <c r="T6598" s="98"/>
    </row>
    <row r="6599" spans="20:20" x14ac:dyDescent="0.25">
      <c r="T6599" s="98"/>
    </row>
    <row r="6600" spans="20:20" x14ac:dyDescent="0.25">
      <c r="T6600" s="98"/>
    </row>
    <row r="6601" spans="20:20" x14ac:dyDescent="0.25">
      <c r="T6601" s="98"/>
    </row>
    <row r="6602" spans="20:20" x14ac:dyDescent="0.25">
      <c r="T6602" s="98"/>
    </row>
    <row r="6603" spans="20:20" x14ac:dyDescent="0.25">
      <c r="T6603" s="98"/>
    </row>
    <row r="6604" spans="20:20" x14ac:dyDescent="0.25">
      <c r="T6604" s="98"/>
    </row>
    <row r="6605" spans="20:20" x14ac:dyDescent="0.25">
      <c r="T6605" s="98"/>
    </row>
    <row r="6606" spans="20:20" x14ac:dyDescent="0.25">
      <c r="T6606" s="98"/>
    </row>
    <row r="6607" spans="20:20" x14ac:dyDescent="0.25">
      <c r="T6607" s="98"/>
    </row>
    <row r="6608" spans="20:20" x14ac:dyDescent="0.25">
      <c r="T6608" s="98"/>
    </row>
    <row r="6609" spans="20:20" x14ac:dyDescent="0.25">
      <c r="T6609" s="98"/>
    </row>
    <row r="6610" spans="20:20" x14ac:dyDescent="0.25">
      <c r="T6610" s="98"/>
    </row>
    <row r="6611" spans="20:20" x14ac:dyDescent="0.25">
      <c r="T6611" s="98"/>
    </row>
    <row r="6612" spans="20:20" x14ac:dyDescent="0.25">
      <c r="T6612" s="98"/>
    </row>
    <row r="6613" spans="20:20" x14ac:dyDescent="0.25">
      <c r="T6613" s="98"/>
    </row>
    <row r="6614" spans="20:20" x14ac:dyDescent="0.25">
      <c r="T6614" s="98"/>
    </row>
    <row r="6615" spans="20:20" x14ac:dyDescent="0.25">
      <c r="T6615" s="98"/>
    </row>
    <row r="6616" spans="20:20" x14ac:dyDescent="0.25">
      <c r="T6616" s="98"/>
    </row>
    <row r="6617" spans="20:20" x14ac:dyDescent="0.25">
      <c r="T6617" s="98"/>
    </row>
    <row r="6618" spans="20:20" x14ac:dyDescent="0.25">
      <c r="T6618" s="98"/>
    </row>
    <row r="6619" spans="20:20" x14ac:dyDescent="0.25">
      <c r="T6619" s="98"/>
    </row>
    <row r="6620" spans="20:20" x14ac:dyDescent="0.25">
      <c r="T6620" s="98"/>
    </row>
    <row r="6621" spans="20:20" x14ac:dyDescent="0.25">
      <c r="T6621" s="98"/>
    </row>
    <row r="6622" spans="20:20" x14ac:dyDescent="0.25">
      <c r="T6622" s="98"/>
    </row>
    <row r="6623" spans="20:20" x14ac:dyDescent="0.25">
      <c r="T6623" s="98"/>
    </row>
    <row r="6624" spans="20:20" x14ac:dyDescent="0.25">
      <c r="T6624" s="98"/>
    </row>
    <row r="6625" spans="20:20" x14ac:dyDescent="0.25">
      <c r="T6625" s="98"/>
    </row>
    <row r="6626" spans="20:20" x14ac:dyDescent="0.25">
      <c r="T6626" s="98"/>
    </row>
    <row r="6627" spans="20:20" x14ac:dyDescent="0.25">
      <c r="T6627" s="98"/>
    </row>
    <row r="6628" spans="20:20" x14ac:dyDescent="0.25">
      <c r="T6628" s="98"/>
    </row>
    <row r="6629" spans="20:20" x14ac:dyDescent="0.25">
      <c r="T6629" s="98"/>
    </row>
    <row r="6630" spans="20:20" x14ac:dyDescent="0.25">
      <c r="T6630" s="98"/>
    </row>
    <row r="6631" spans="20:20" x14ac:dyDescent="0.25">
      <c r="T6631" s="98"/>
    </row>
    <row r="6632" spans="20:20" x14ac:dyDescent="0.25">
      <c r="T6632" s="98"/>
    </row>
    <row r="6633" spans="20:20" x14ac:dyDescent="0.25">
      <c r="T6633" s="98"/>
    </row>
    <row r="6634" spans="20:20" x14ac:dyDescent="0.25">
      <c r="T6634" s="98"/>
    </row>
    <row r="6635" spans="20:20" x14ac:dyDescent="0.25">
      <c r="T6635" s="98"/>
    </row>
    <row r="6636" spans="20:20" x14ac:dyDescent="0.25">
      <c r="T6636" s="98"/>
    </row>
    <row r="6637" spans="20:20" x14ac:dyDescent="0.25">
      <c r="T6637" s="98"/>
    </row>
    <row r="6638" spans="20:20" x14ac:dyDescent="0.25">
      <c r="T6638" s="98"/>
    </row>
    <row r="6639" spans="20:20" x14ac:dyDescent="0.25">
      <c r="T6639" s="98"/>
    </row>
    <row r="6640" spans="20:20" x14ac:dyDescent="0.25">
      <c r="T6640" s="98"/>
    </row>
    <row r="6641" spans="20:20" x14ac:dyDescent="0.25">
      <c r="T6641" s="98"/>
    </row>
    <row r="6642" spans="20:20" x14ac:dyDescent="0.25">
      <c r="T6642" s="98"/>
    </row>
    <row r="6643" spans="20:20" x14ac:dyDescent="0.25">
      <c r="T6643" s="98"/>
    </row>
    <row r="6644" spans="20:20" x14ac:dyDescent="0.25">
      <c r="T6644" s="98"/>
    </row>
    <row r="6645" spans="20:20" x14ac:dyDescent="0.25">
      <c r="T6645" s="98"/>
    </row>
    <row r="6646" spans="20:20" x14ac:dyDescent="0.25">
      <c r="T6646" s="98"/>
    </row>
    <row r="6647" spans="20:20" x14ac:dyDescent="0.25">
      <c r="T6647" s="98"/>
    </row>
    <row r="6648" spans="20:20" x14ac:dyDescent="0.25">
      <c r="T6648" s="98"/>
    </row>
    <row r="6649" spans="20:20" x14ac:dyDescent="0.25">
      <c r="T6649" s="98"/>
    </row>
    <row r="6650" spans="20:20" x14ac:dyDescent="0.25">
      <c r="T6650" s="98"/>
    </row>
    <row r="6651" spans="20:20" x14ac:dyDescent="0.25">
      <c r="T6651" s="98"/>
    </row>
    <row r="6652" spans="20:20" x14ac:dyDescent="0.25">
      <c r="T6652" s="98"/>
    </row>
    <row r="6653" spans="20:20" x14ac:dyDescent="0.25">
      <c r="T6653" s="98"/>
    </row>
    <row r="6654" spans="20:20" x14ac:dyDescent="0.25">
      <c r="T6654" s="98"/>
    </row>
    <row r="6655" spans="20:20" x14ac:dyDescent="0.25">
      <c r="T6655" s="98"/>
    </row>
    <row r="6656" spans="20:20" x14ac:dyDescent="0.25">
      <c r="T6656" s="98"/>
    </row>
    <row r="6657" spans="20:20" x14ac:dyDescent="0.25">
      <c r="T6657" s="98"/>
    </row>
    <row r="6658" spans="20:20" x14ac:dyDescent="0.25">
      <c r="T6658" s="98"/>
    </row>
    <row r="6659" spans="20:20" x14ac:dyDescent="0.25">
      <c r="T6659" s="98"/>
    </row>
    <row r="6660" spans="20:20" x14ac:dyDescent="0.25">
      <c r="T6660" s="98"/>
    </row>
    <row r="6661" spans="20:20" x14ac:dyDescent="0.25">
      <c r="T6661" s="98"/>
    </row>
    <row r="6662" spans="20:20" x14ac:dyDescent="0.25">
      <c r="T6662" s="98"/>
    </row>
    <row r="6663" spans="20:20" x14ac:dyDescent="0.25">
      <c r="T6663" s="98"/>
    </row>
    <row r="6664" spans="20:20" x14ac:dyDescent="0.25">
      <c r="T6664" s="98"/>
    </row>
    <row r="6665" spans="20:20" x14ac:dyDescent="0.25">
      <c r="T6665" s="98"/>
    </row>
    <row r="6666" spans="20:20" x14ac:dyDescent="0.25">
      <c r="T6666" s="98"/>
    </row>
    <row r="6667" spans="20:20" x14ac:dyDescent="0.25">
      <c r="T6667" s="98"/>
    </row>
    <row r="6668" spans="20:20" x14ac:dyDescent="0.25">
      <c r="T6668" s="98"/>
    </row>
    <row r="6669" spans="20:20" x14ac:dyDescent="0.25">
      <c r="T6669" s="98"/>
    </row>
    <row r="6670" spans="20:20" x14ac:dyDescent="0.25">
      <c r="T6670" s="98"/>
    </row>
    <row r="6671" spans="20:20" x14ac:dyDescent="0.25">
      <c r="T6671" s="98"/>
    </row>
    <row r="6672" spans="20:20" x14ac:dyDescent="0.25">
      <c r="T6672" s="98"/>
    </row>
    <row r="6673" spans="20:20" x14ac:dyDescent="0.25">
      <c r="T6673" s="98"/>
    </row>
    <row r="6674" spans="20:20" x14ac:dyDescent="0.25">
      <c r="T6674" s="98"/>
    </row>
    <row r="6675" spans="20:20" x14ac:dyDescent="0.25">
      <c r="T6675" s="98"/>
    </row>
    <row r="6676" spans="20:20" x14ac:dyDescent="0.25">
      <c r="T6676" s="98"/>
    </row>
    <row r="6677" spans="20:20" x14ac:dyDescent="0.25">
      <c r="T6677" s="98"/>
    </row>
    <row r="6678" spans="20:20" x14ac:dyDescent="0.25">
      <c r="T6678" s="98"/>
    </row>
    <row r="6679" spans="20:20" x14ac:dyDescent="0.25">
      <c r="T6679" s="98"/>
    </row>
    <row r="6680" spans="20:20" x14ac:dyDescent="0.25">
      <c r="T6680" s="98"/>
    </row>
    <row r="6681" spans="20:20" x14ac:dyDescent="0.25">
      <c r="T6681" s="98"/>
    </row>
    <row r="6682" spans="20:20" x14ac:dyDescent="0.25">
      <c r="T6682" s="98"/>
    </row>
    <row r="6683" spans="20:20" x14ac:dyDescent="0.25">
      <c r="T6683" s="98"/>
    </row>
    <row r="6684" spans="20:20" x14ac:dyDescent="0.25">
      <c r="T6684" s="98"/>
    </row>
    <row r="6685" spans="20:20" x14ac:dyDescent="0.25">
      <c r="T6685" s="98"/>
    </row>
    <row r="6686" spans="20:20" x14ac:dyDescent="0.25">
      <c r="T6686" s="98"/>
    </row>
    <row r="6687" spans="20:20" x14ac:dyDescent="0.25">
      <c r="T6687" s="98"/>
    </row>
    <row r="6688" spans="20:20" x14ac:dyDescent="0.25">
      <c r="T6688" s="98"/>
    </row>
    <row r="6689" spans="20:20" x14ac:dyDescent="0.25">
      <c r="T6689" s="98"/>
    </row>
    <row r="6690" spans="20:20" x14ac:dyDescent="0.25">
      <c r="T6690" s="98"/>
    </row>
    <row r="6691" spans="20:20" x14ac:dyDescent="0.25">
      <c r="T6691" s="98"/>
    </row>
    <row r="6692" spans="20:20" x14ac:dyDescent="0.25">
      <c r="T6692" s="98"/>
    </row>
    <row r="6693" spans="20:20" x14ac:dyDescent="0.25">
      <c r="T6693" s="98"/>
    </row>
    <row r="6694" spans="20:20" x14ac:dyDescent="0.25">
      <c r="T6694" s="98"/>
    </row>
    <row r="6695" spans="20:20" x14ac:dyDescent="0.25">
      <c r="T6695" s="98"/>
    </row>
    <row r="6696" spans="20:20" x14ac:dyDescent="0.25">
      <c r="T6696" s="98"/>
    </row>
    <row r="6697" spans="20:20" x14ac:dyDescent="0.25">
      <c r="T6697" s="98"/>
    </row>
    <row r="6698" spans="20:20" x14ac:dyDescent="0.25">
      <c r="T6698" s="98"/>
    </row>
    <row r="6699" spans="20:20" x14ac:dyDescent="0.25">
      <c r="T6699" s="98"/>
    </row>
    <row r="6700" spans="20:20" x14ac:dyDescent="0.25">
      <c r="T6700" s="98"/>
    </row>
    <row r="6701" spans="20:20" x14ac:dyDescent="0.25">
      <c r="T6701" s="98"/>
    </row>
    <row r="6702" spans="20:20" x14ac:dyDescent="0.25">
      <c r="T6702" s="98"/>
    </row>
    <row r="6703" spans="20:20" x14ac:dyDescent="0.25">
      <c r="T6703" s="98"/>
    </row>
    <row r="6704" spans="20:20" x14ac:dyDescent="0.25">
      <c r="T6704" s="98"/>
    </row>
    <row r="6705" spans="20:20" x14ac:dyDescent="0.25">
      <c r="T6705" s="98"/>
    </row>
    <row r="6706" spans="20:20" x14ac:dyDescent="0.25">
      <c r="T6706" s="98"/>
    </row>
    <row r="6707" spans="20:20" x14ac:dyDescent="0.25">
      <c r="T6707" s="98"/>
    </row>
    <row r="6708" spans="20:20" x14ac:dyDescent="0.25">
      <c r="T6708" s="98"/>
    </row>
    <row r="6709" spans="20:20" x14ac:dyDescent="0.25">
      <c r="T6709" s="98"/>
    </row>
    <row r="6710" spans="20:20" x14ac:dyDescent="0.25">
      <c r="T6710" s="98"/>
    </row>
    <row r="6711" spans="20:20" x14ac:dyDescent="0.25">
      <c r="T6711" s="98"/>
    </row>
    <row r="6712" spans="20:20" x14ac:dyDescent="0.25">
      <c r="T6712" s="98"/>
    </row>
    <row r="6713" spans="20:20" x14ac:dyDescent="0.25">
      <c r="T6713" s="98"/>
    </row>
    <row r="6714" spans="20:20" x14ac:dyDescent="0.25">
      <c r="T6714" s="98"/>
    </row>
    <row r="6715" spans="20:20" x14ac:dyDescent="0.25">
      <c r="T6715" s="98"/>
    </row>
    <row r="6716" spans="20:20" x14ac:dyDescent="0.25">
      <c r="T6716" s="98"/>
    </row>
    <row r="6717" spans="20:20" x14ac:dyDescent="0.25">
      <c r="T6717" s="98"/>
    </row>
    <row r="6718" spans="20:20" x14ac:dyDescent="0.25">
      <c r="T6718" s="98"/>
    </row>
    <row r="6719" spans="20:20" x14ac:dyDescent="0.25">
      <c r="T6719" s="98"/>
    </row>
    <row r="6720" spans="20:20" x14ac:dyDescent="0.25">
      <c r="T6720" s="98"/>
    </row>
    <row r="6721" spans="20:20" x14ac:dyDescent="0.25">
      <c r="T6721" s="98"/>
    </row>
    <row r="6722" spans="20:20" x14ac:dyDescent="0.25">
      <c r="T6722" s="98"/>
    </row>
    <row r="6723" spans="20:20" x14ac:dyDescent="0.25">
      <c r="T6723" s="98"/>
    </row>
    <row r="6724" spans="20:20" x14ac:dyDescent="0.25">
      <c r="T6724" s="98"/>
    </row>
    <row r="6725" spans="20:20" x14ac:dyDescent="0.25">
      <c r="T6725" s="98"/>
    </row>
    <row r="6726" spans="20:20" x14ac:dyDescent="0.25">
      <c r="T6726" s="98"/>
    </row>
    <row r="6727" spans="20:20" x14ac:dyDescent="0.25">
      <c r="T6727" s="98"/>
    </row>
    <row r="6728" spans="20:20" x14ac:dyDescent="0.25">
      <c r="T6728" s="98"/>
    </row>
    <row r="6729" spans="20:20" x14ac:dyDescent="0.25">
      <c r="T6729" s="98"/>
    </row>
    <row r="6730" spans="20:20" x14ac:dyDescent="0.25">
      <c r="T6730" s="98"/>
    </row>
    <row r="6731" spans="20:20" x14ac:dyDescent="0.25">
      <c r="T6731" s="98"/>
    </row>
    <row r="6732" spans="20:20" x14ac:dyDescent="0.25">
      <c r="T6732" s="98"/>
    </row>
    <row r="6733" spans="20:20" x14ac:dyDescent="0.25">
      <c r="T6733" s="98"/>
    </row>
    <row r="6734" spans="20:20" x14ac:dyDescent="0.25">
      <c r="T6734" s="98"/>
    </row>
    <row r="6735" spans="20:20" x14ac:dyDescent="0.25">
      <c r="T6735" s="98"/>
    </row>
    <row r="6736" spans="20:20" x14ac:dyDescent="0.25">
      <c r="T6736" s="98"/>
    </row>
    <row r="6737" spans="20:20" x14ac:dyDescent="0.25">
      <c r="T6737" s="98"/>
    </row>
    <row r="6738" spans="20:20" x14ac:dyDescent="0.25">
      <c r="T6738" s="98"/>
    </row>
    <row r="6739" spans="20:20" x14ac:dyDescent="0.25">
      <c r="T6739" s="98"/>
    </row>
    <row r="6740" spans="20:20" x14ac:dyDescent="0.25">
      <c r="T6740" s="98"/>
    </row>
    <row r="6741" spans="20:20" x14ac:dyDescent="0.25">
      <c r="T6741" s="98"/>
    </row>
    <row r="6742" spans="20:20" x14ac:dyDescent="0.25">
      <c r="T6742" s="98"/>
    </row>
    <row r="6743" spans="20:20" x14ac:dyDescent="0.25">
      <c r="T6743" s="98"/>
    </row>
    <row r="6744" spans="20:20" x14ac:dyDescent="0.25">
      <c r="T6744" s="98"/>
    </row>
    <row r="6745" spans="20:20" x14ac:dyDescent="0.25">
      <c r="T6745" s="98"/>
    </row>
    <row r="6746" spans="20:20" x14ac:dyDescent="0.25">
      <c r="T6746" s="98"/>
    </row>
    <row r="6747" spans="20:20" x14ac:dyDescent="0.25">
      <c r="T6747" s="98"/>
    </row>
    <row r="6748" spans="20:20" x14ac:dyDescent="0.25">
      <c r="T6748" s="98"/>
    </row>
    <row r="6749" spans="20:20" x14ac:dyDescent="0.25">
      <c r="T6749" s="98"/>
    </row>
    <row r="6750" spans="20:20" x14ac:dyDescent="0.25">
      <c r="T6750" s="98"/>
    </row>
    <row r="6751" spans="20:20" x14ac:dyDescent="0.25">
      <c r="T6751" s="98"/>
    </row>
    <row r="6752" spans="20:20" x14ac:dyDescent="0.25">
      <c r="T6752" s="98"/>
    </row>
    <row r="6753" spans="20:20" x14ac:dyDescent="0.25">
      <c r="T6753" s="98"/>
    </row>
    <row r="6754" spans="20:20" x14ac:dyDescent="0.25">
      <c r="T6754" s="98"/>
    </row>
    <row r="6755" spans="20:20" x14ac:dyDescent="0.25">
      <c r="T6755" s="98"/>
    </row>
    <row r="6756" spans="20:20" x14ac:dyDescent="0.25">
      <c r="T6756" s="98"/>
    </row>
    <row r="6757" spans="20:20" x14ac:dyDescent="0.25">
      <c r="T6757" s="98"/>
    </row>
    <row r="6758" spans="20:20" x14ac:dyDescent="0.25">
      <c r="T6758" s="98"/>
    </row>
    <row r="6759" spans="20:20" x14ac:dyDescent="0.25">
      <c r="T6759" s="98"/>
    </row>
    <row r="6760" spans="20:20" x14ac:dyDescent="0.25">
      <c r="T6760" s="98"/>
    </row>
    <row r="6761" spans="20:20" x14ac:dyDescent="0.25">
      <c r="T6761" s="98"/>
    </row>
    <row r="6762" spans="20:20" x14ac:dyDescent="0.25">
      <c r="T6762" s="98"/>
    </row>
    <row r="6763" spans="20:20" x14ac:dyDescent="0.25">
      <c r="T6763" s="98"/>
    </row>
    <row r="6764" spans="20:20" x14ac:dyDescent="0.25">
      <c r="T6764" s="98"/>
    </row>
    <row r="6765" spans="20:20" x14ac:dyDescent="0.25">
      <c r="T6765" s="98"/>
    </row>
    <row r="6766" spans="20:20" x14ac:dyDescent="0.25">
      <c r="T6766" s="98"/>
    </row>
    <row r="6767" spans="20:20" x14ac:dyDescent="0.25">
      <c r="T6767" s="98"/>
    </row>
    <row r="6768" spans="20:20" x14ac:dyDescent="0.25">
      <c r="T6768" s="98"/>
    </row>
    <row r="6769" spans="20:20" x14ac:dyDescent="0.25">
      <c r="T6769" s="98"/>
    </row>
    <row r="6770" spans="20:20" x14ac:dyDescent="0.25">
      <c r="T6770" s="98"/>
    </row>
    <row r="6771" spans="20:20" x14ac:dyDescent="0.25">
      <c r="T6771" s="98"/>
    </row>
    <row r="6772" spans="20:20" x14ac:dyDescent="0.25">
      <c r="T6772" s="98"/>
    </row>
    <row r="6773" spans="20:20" x14ac:dyDescent="0.25">
      <c r="T6773" s="98"/>
    </row>
    <row r="6774" spans="20:20" x14ac:dyDescent="0.25">
      <c r="T6774" s="98"/>
    </row>
    <row r="6775" spans="20:20" x14ac:dyDescent="0.25">
      <c r="T6775" s="98"/>
    </row>
    <row r="6776" spans="20:20" x14ac:dyDescent="0.25">
      <c r="T6776" s="98"/>
    </row>
    <row r="6777" spans="20:20" x14ac:dyDescent="0.25">
      <c r="T6777" s="98"/>
    </row>
    <row r="6778" spans="20:20" x14ac:dyDescent="0.25">
      <c r="T6778" s="98"/>
    </row>
    <row r="6779" spans="20:20" x14ac:dyDescent="0.25">
      <c r="T6779" s="98"/>
    </row>
    <row r="6780" spans="20:20" x14ac:dyDescent="0.25">
      <c r="T6780" s="98"/>
    </row>
    <row r="6781" spans="20:20" x14ac:dyDescent="0.25">
      <c r="T6781" s="98"/>
    </row>
    <row r="6782" spans="20:20" x14ac:dyDescent="0.25">
      <c r="T6782" s="98"/>
    </row>
    <row r="6783" spans="20:20" x14ac:dyDescent="0.25">
      <c r="T6783" s="98"/>
    </row>
    <row r="6784" spans="20:20" x14ac:dyDescent="0.25">
      <c r="T6784" s="98"/>
    </row>
    <row r="6785" spans="20:20" x14ac:dyDescent="0.25">
      <c r="T6785" s="98"/>
    </row>
    <row r="6786" spans="20:20" x14ac:dyDescent="0.25">
      <c r="T6786" s="98"/>
    </row>
    <row r="6787" spans="20:20" x14ac:dyDescent="0.25">
      <c r="T6787" s="98"/>
    </row>
    <row r="6788" spans="20:20" x14ac:dyDescent="0.25">
      <c r="T6788" s="98"/>
    </row>
    <row r="6789" spans="20:20" x14ac:dyDescent="0.25">
      <c r="T6789" s="98"/>
    </row>
    <row r="6790" spans="20:20" x14ac:dyDescent="0.25">
      <c r="T6790" s="98"/>
    </row>
    <row r="6791" spans="20:20" x14ac:dyDescent="0.25">
      <c r="T6791" s="98"/>
    </row>
    <row r="6792" spans="20:20" x14ac:dyDescent="0.25">
      <c r="T6792" s="98"/>
    </row>
    <row r="6793" spans="20:20" x14ac:dyDescent="0.25">
      <c r="T6793" s="98"/>
    </row>
    <row r="6794" spans="20:20" x14ac:dyDescent="0.25">
      <c r="T6794" s="98"/>
    </row>
    <row r="6795" spans="20:20" x14ac:dyDescent="0.25">
      <c r="T6795" s="98"/>
    </row>
    <row r="6796" spans="20:20" x14ac:dyDescent="0.25">
      <c r="T6796" s="98"/>
    </row>
    <row r="6797" spans="20:20" x14ac:dyDescent="0.25">
      <c r="T6797" s="98"/>
    </row>
    <row r="6798" spans="20:20" x14ac:dyDescent="0.25">
      <c r="T6798" s="98"/>
    </row>
    <row r="6799" spans="20:20" x14ac:dyDescent="0.25">
      <c r="T6799" s="98"/>
    </row>
    <row r="6800" spans="20:20" x14ac:dyDescent="0.25">
      <c r="T6800" s="98"/>
    </row>
    <row r="6801" spans="20:20" x14ac:dyDescent="0.25">
      <c r="T6801" s="98"/>
    </row>
    <row r="6802" spans="20:20" x14ac:dyDescent="0.25">
      <c r="T6802" s="98"/>
    </row>
    <row r="6803" spans="20:20" x14ac:dyDescent="0.25">
      <c r="T6803" s="98"/>
    </row>
    <row r="6804" spans="20:20" x14ac:dyDescent="0.25">
      <c r="T6804" s="98"/>
    </row>
    <row r="6805" spans="20:20" x14ac:dyDescent="0.25">
      <c r="T6805" s="98"/>
    </row>
    <row r="6806" spans="20:20" x14ac:dyDescent="0.25">
      <c r="T6806" s="98"/>
    </row>
    <row r="6807" spans="20:20" x14ac:dyDescent="0.25">
      <c r="T6807" s="98"/>
    </row>
    <row r="6808" spans="20:20" x14ac:dyDescent="0.25">
      <c r="T6808" s="98"/>
    </row>
    <row r="6809" spans="20:20" x14ac:dyDescent="0.25">
      <c r="T6809" s="98"/>
    </row>
    <row r="6810" spans="20:20" x14ac:dyDescent="0.25">
      <c r="T6810" s="98"/>
    </row>
    <row r="6811" spans="20:20" x14ac:dyDescent="0.25">
      <c r="T6811" s="98"/>
    </row>
    <row r="6812" spans="20:20" x14ac:dyDescent="0.25">
      <c r="T6812" s="98"/>
    </row>
    <row r="6813" spans="20:20" x14ac:dyDescent="0.25">
      <c r="T6813" s="98"/>
    </row>
    <row r="6814" spans="20:20" x14ac:dyDescent="0.25">
      <c r="T6814" s="98"/>
    </row>
    <row r="6815" spans="20:20" x14ac:dyDescent="0.25">
      <c r="T6815" s="98"/>
    </row>
    <row r="6816" spans="20:20" x14ac:dyDescent="0.25">
      <c r="T6816" s="98"/>
    </row>
    <row r="6817" spans="20:20" x14ac:dyDescent="0.25">
      <c r="T6817" s="98"/>
    </row>
    <row r="6818" spans="20:20" x14ac:dyDescent="0.25">
      <c r="T6818" s="98"/>
    </row>
    <row r="6819" spans="20:20" x14ac:dyDescent="0.25">
      <c r="T6819" s="98"/>
    </row>
    <row r="6820" spans="20:20" x14ac:dyDescent="0.25">
      <c r="T6820" s="98"/>
    </row>
    <row r="6821" spans="20:20" x14ac:dyDescent="0.25">
      <c r="T6821" s="98"/>
    </row>
    <row r="6822" spans="20:20" x14ac:dyDescent="0.25">
      <c r="T6822" s="98"/>
    </row>
    <row r="6823" spans="20:20" x14ac:dyDescent="0.25">
      <c r="T6823" s="98"/>
    </row>
    <row r="6824" spans="20:20" x14ac:dyDescent="0.25">
      <c r="T6824" s="98"/>
    </row>
    <row r="6825" spans="20:20" x14ac:dyDescent="0.25">
      <c r="T6825" s="98"/>
    </row>
    <row r="6826" spans="20:20" x14ac:dyDescent="0.25">
      <c r="T6826" s="98"/>
    </row>
    <row r="6827" spans="20:20" x14ac:dyDescent="0.25">
      <c r="T6827" s="98"/>
    </row>
    <row r="6828" spans="20:20" x14ac:dyDescent="0.25">
      <c r="T6828" s="98"/>
    </row>
    <row r="6829" spans="20:20" x14ac:dyDescent="0.25">
      <c r="T6829" s="98"/>
    </row>
    <row r="6830" spans="20:20" x14ac:dyDescent="0.25">
      <c r="T6830" s="98"/>
    </row>
    <row r="6831" spans="20:20" x14ac:dyDescent="0.25">
      <c r="T6831" s="98"/>
    </row>
    <row r="6832" spans="20:20" x14ac:dyDescent="0.25">
      <c r="T6832" s="98"/>
    </row>
    <row r="6833" spans="20:20" x14ac:dyDescent="0.25">
      <c r="T6833" s="98"/>
    </row>
    <row r="6834" spans="20:20" x14ac:dyDescent="0.25">
      <c r="T6834" s="98"/>
    </row>
    <row r="6835" spans="20:20" x14ac:dyDescent="0.25">
      <c r="T6835" s="98"/>
    </row>
    <row r="6836" spans="20:20" x14ac:dyDescent="0.25">
      <c r="T6836" s="98"/>
    </row>
    <row r="6837" spans="20:20" x14ac:dyDescent="0.25">
      <c r="T6837" s="98"/>
    </row>
    <row r="6838" spans="20:20" x14ac:dyDescent="0.25">
      <c r="T6838" s="98"/>
    </row>
    <row r="6839" spans="20:20" x14ac:dyDescent="0.25">
      <c r="T6839" s="98"/>
    </row>
    <row r="6840" spans="20:20" x14ac:dyDescent="0.25">
      <c r="T6840" s="98"/>
    </row>
    <row r="6841" spans="20:20" x14ac:dyDescent="0.25">
      <c r="T6841" s="98"/>
    </row>
    <row r="6842" spans="20:20" x14ac:dyDescent="0.25">
      <c r="T6842" s="98"/>
    </row>
    <row r="6843" spans="20:20" x14ac:dyDescent="0.25">
      <c r="T6843" s="98"/>
    </row>
    <row r="6844" spans="20:20" x14ac:dyDescent="0.25">
      <c r="T6844" s="98"/>
    </row>
    <row r="6845" spans="20:20" x14ac:dyDescent="0.25">
      <c r="T6845" s="98"/>
    </row>
    <row r="6846" spans="20:20" x14ac:dyDescent="0.25">
      <c r="T6846" s="98"/>
    </row>
    <row r="6847" spans="20:20" x14ac:dyDescent="0.25">
      <c r="T6847" s="98"/>
    </row>
    <row r="6848" spans="20:20" x14ac:dyDescent="0.25">
      <c r="T6848" s="98"/>
    </row>
    <row r="6849" spans="20:20" x14ac:dyDescent="0.25">
      <c r="T6849" s="98"/>
    </row>
    <row r="6850" spans="20:20" x14ac:dyDescent="0.25">
      <c r="T6850" s="98"/>
    </row>
    <row r="6851" spans="20:20" x14ac:dyDescent="0.25">
      <c r="T6851" s="98"/>
    </row>
    <row r="6852" spans="20:20" x14ac:dyDescent="0.25">
      <c r="T6852" s="98"/>
    </row>
    <row r="6853" spans="20:20" x14ac:dyDescent="0.25">
      <c r="T6853" s="98"/>
    </row>
    <row r="6854" spans="20:20" x14ac:dyDescent="0.25">
      <c r="T6854" s="98"/>
    </row>
    <row r="6855" spans="20:20" x14ac:dyDescent="0.25">
      <c r="T6855" s="98"/>
    </row>
    <row r="6856" spans="20:20" x14ac:dyDescent="0.25">
      <c r="T6856" s="98"/>
    </row>
    <row r="6857" spans="20:20" x14ac:dyDescent="0.25">
      <c r="T6857" s="98"/>
    </row>
    <row r="6858" spans="20:20" x14ac:dyDescent="0.25">
      <c r="T6858" s="98"/>
    </row>
    <row r="6859" spans="20:20" x14ac:dyDescent="0.25">
      <c r="T6859" s="98"/>
    </row>
    <row r="6860" spans="20:20" x14ac:dyDescent="0.25">
      <c r="T6860" s="98"/>
    </row>
    <row r="6861" spans="20:20" x14ac:dyDescent="0.25">
      <c r="T6861" s="98"/>
    </row>
    <row r="6862" spans="20:20" x14ac:dyDescent="0.25">
      <c r="T6862" s="98"/>
    </row>
    <row r="6863" spans="20:20" x14ac:dyDescent="0.25">
      <c r="T6863" s="98"/>
    </row>
    <row r="6864" spans="20:20" x14ac:dyDescent="0.25">
      <c r="T6864" s="98"/>
    </row>
    <row r="6865" spans="20:20" x14ac:dyDescent="0.25">
      <c r="T6865" s="98"/>
    </row>
    <row r="6866" spans="20:20" x14ac:dyDescent="0.25">
      <c r="T6866" s="98"/>
    </row>
    <row r="6867" spans="20:20" x14ac:dyDescent="0.25">
      <c r="T6867" s="98"/>
    </row>
    <row r="6868" spans="20:20" x14ac:dyDescent="0.25">
      <c r="T6868" s="98"/>
    </row>
    <row r="6869" spans="20:20" x14ac:dyDescent="0.25">
      <c r="T6869" s="98"/>
    </row>
    <row r="6870" spans="20:20" x14ac:dyDescent="0.25">
      <c r="T6870" s="98"/>
    </row>
    <row r="6871" spans="20:20" x14ac:dyDescent="0.25">
      <c r="T6871" s="98"/>
    </row>
    <row r="6872" spans="20:20" x14ac:dyDescent="0.25">
      <c r="T6872" s="98"/>
    </row>
    <row r="6873" spans="20:20" x14ac:dyDescent="0.25">
      <c r="T6873" s="98"/>
    </row>
    <row r="6874" spans="20:20" x14ac:dyDescent="0.25">
      <c r="T6874" s="98"/>
    </row>
    <row r="6875" spans="20:20" x14ac:dyDescent="0.25">
      <c r="T6875" s="98"/>
    </row>
    <row r="6876" spans="20:20" x14ac:dyDescent="0.25">
      <c r="T6876" s="98"/>
    </row>
    <row r="6877" spans="20:20" x14ac:dyDescent="0.25">
      <c r="T6877" s="98"/>
    </row>
    <row r="6878" spans="20:20" x14ac:dyDescent="0.25">
      <c r="T6878" s="98"/>
    </row>
    <row r="6879" spans="20:20" x14ac:dyDescent="0.25">
      <c r="T6879" s="98"/>
    </row>
    <row r="6880" spans="20:20" x14ac:dyDescent="0.25">
      <c r="T6880" s="98"/>
    </row>
    <row r="6881" spans="20:20" x14ac:dyDescent="0.25">
      <c r="T6881" s="98"/>
    </row>
    <row r="6882" spans="20:20" x14ac:dyDescent="0.25">
      <c r="T6882" s="98"/>
    </row>
    <row r="6883" spans="20:20" x14ac:dyDescent="0.25">
      <c r="T6883" s="98"/>
    </row>
    <row r="6884" spans="20:20" x14ac:dyDescent="0.25">
      <c r="T6884" s="98"/>
    </row>
    <row r="6885" spans="20:20" x14ac:dyDescent="0.25">
      <c r="T6885" s="98"/>
    </row>
    <row r="6886" spans="20:20" x14ac:dyDescent="0.25">
      <c r="T6886" s="98"/>
    </row>
    <row r="6887" spans="20:20" x14ac:dyDescent="0.25">
      <c r="T6887" s="98"/>
    </row>
    <row r="6888" spans="20:20" x14ac:dyDescent="0.25">
      <c r="T6888" s="98"/>
    </row>
    <row r="6889" spans="20:20" x14ac:dyDescent="0.25">
      <c r="T6889" s="98"/>
    </row>
    <row r="6890" spans="20:20" x14ac:dyDescent="0.25">
      <c r="T6890" s="98"/>
    </row>
    <row r="6891" spans="20:20" x14ac:dyDescent="0.25">
      <c r="T6891" s="98"/>
    </row>
    <row r="6892" spans="20:20" x14ac:dyDescent="0.25">
      <c r="T6892" s="98"/>
    </row>
    <row r="6893" spans="20:20" x14ac:dyDescent="0.25">
      <c r="T6893" s="98"/>
    </row>
    <row r="6894" spans="20:20" x14ac:dyDescent="0.25">
      <c r="T6894" s="98"/>
    </row>
    <row r="6895" spans="20:20" x14ac:dyDescent="0.25">
      <c r="T6895" s="98"/>
    </row>
    <row r="6896" spans="20:20" x14ac:dyDescent="0.25">
      <c r="T6896" s="98"/>
    </row>
    <row r="6897" spans="20:20" x14ac:dyDescent="0.25">
      <c r="T6897" s="98"/>
    </row>
    <row r="6898" spans="20:20" x14ac:dyDescent="0.25">
      <c r="T6898" s="98"/>
    </row>
    <row r="6899" spans="20:20" x14ac:dyDescent="0.25">
      <c r="T6899" s="98"/>
    </row>
    <row r="6900" spans="20:20" x14ac:dyDescent="0.25">
      <c r="T6900" s="98"/>
    </row>
    <row r="6901" spans="20:20" x14ac:dyDescent="0.25">
      <c r="T6901" s="98"/>
    </row>
    <row r="6902" spans="20:20" x14ac:dyDescent="0.25">
      <c r="T6902" s="98"/>
    </row>
    <row r="6903" spans="20:20" x14ac:dyDescent="0.25">
      <c r="T6903" s="98"/>
    </row>
    <row r="6904" spans="20:20" x14ac:dyDescent="0.25">
      <c r="T6904" s="98"/>
    </row>
    <row r="6905" spans="20:20" x14ac:dyDescent="0.25">
      <c r="T6905" s="98"/>
    </row>
    <row r="6906" spans="20:20" x14ac:dyDescent="0.25">
      <c r="T6906" s="98"/>
    </row>
    <row r="6907" spans="20:20" x14ac:dyDescent="0.25">
      <c r="T6907" s="98"/>
    </row>
    <row r="6908" spans="20:20" x14ac:dyDescent="0.25">
      <c r="T6908" s="98"/>
    </row>
    <row r="6909" spans="20:20" x14ac:dyDescent="0.25">
      <c r="T6909" s="98"/>
    </row>
    <row r="6910" spans="20:20" x14ac:dyDescent="0.25">
      <c r="T6910" s="98"/>
    </row>
    <row r="6911" spans="20:20" x14ac:dyDescent="0.25">
      <c r="T6911" s="98"/>
    </row>
    <row r="6912" spans="20:20" x14ac:dyDescent="0.25">
      <c r="T6912" s="98"/>
    </row>
    <row r="6913" spans="20:20" x14ac:dyDescent="0.25">
      <c r="T6913" s="98"/>
    </row>
    <row r="6914" spans="20:20" x14ac:dyDescent="0.25">
      <c r="T6914" s="98"/>
    </row>
    <row r="6915" spans="20:20" x14ac:dyDescent="0.25">
      <c r="T6915" s="98"/>
    </row>
    <row r="6916" spans="20:20" x14ac:dyDescent="0.25">
      <c r="T6916" s="98"/>
    </row>
    <row r="6917" spans="20:20" x14ac:dyDescent="0.25">
      <c r="T6917" s="98"/>
    </row>
    <row r="6918" spans="20:20" x14ac:dyDescent="0.25">
      <c r="T6918" s="98"/>
    </row>
    <row r="6919" spans="20:20" x14ac:dyDescent="0.25">
      <c r="T6919" s="98"/>
    </row>
    <row r="6920" spans="20:20" x14ac:dyDescent="0.25">
      <c r="T6920" s="98"/>
    </row>
    <row r="6921" spans="20:20" x14ac:dyDescent="0.25">
      <c r="T6921" s="98"/>
    </row>
    <row r="6922" spans="20:20" x14ac:dyDescent="0.25">
      <c r="T6922" s="98"/>
    </row>
    <row r="6923" spans="20:20" x14ac:dyDescent="0.25">
      <c r="T6923" s="98"/>
    </row>
    <row r="6924" spans="20:20" x14ac:dyDescent="0.25">
      <c r="T6924" s="98"/>
    </row>
    <row r="6925" spans="20:20" x14ac:dyDescent="0.25">
      <c r="T6925" s="98"/>
    </row>
    <row r="6926" spans="20:20" x14ac:dyDescent="0.25">
      <c r="T6926" s="98"/>
    </row>
    <row r="6927" spans="20:20" x14ac:dyDescent="0.25">
      <c r="T6927" s="98"/>
    </row>
    <row r="6928" spans="20:20" x14ac:dyDescent="0.25">
      <c r="T6928" s="98"/>
    </row>
    <row r="6929" spans="20:20" x14ac:dyDescent="0.25">
      <c r="T6929" s="98"/>
    </row>
    <row r="6930" spans="20:20" x14ac:dyDescent="0.25">
      <c r="T6930" s="98"/>
    </row>
    <row r="6931" spans="20:20" x14ac:dyDescent="0.25">
      <c r="T6931" s="98"/>
    </row>
    <row r="6932" spans="20:20" x14ac:dyDescent="0.25">
      <c r="T6932" s="98"/>
    </row>
    <row r="6933" spans="20:20" x14ac:dyDescent="0.25">
      <c r="T6933" s="98"/>
    </row>
    <row r="6934" spans="20:20" x14ac:dyDescent="0.25">
      <c r="T6934" s="98"/>
    </row>
    <row r="6935" spans="20:20" x14ac:dyDescent="0.25">
      <c r="T6935" s="98"/>
    </row>
    <row r="6936" spans="20:20" x14ac:dyDescent="0.25">
      <c r="T6936" s="98"/>
    </row>
    <row r="6937" spans="20:20" x14ac:dyDescent="0.25">
      <c r="T6937" s="98"/>
    </row>
    <row r="6938" spans="20:20" x14ac:dyDescent="0.25">
      <c r="T6938" s="98"/>
    </row>
    <row r="6939" spans="20:20" x14ac:dyDescent="0.25">
      <c r="T6939" s="98"/>
    </row>
    <row r="6940" spans="20:20" x14ac:dyDescent="0.25">
      <c r="T6940" s="98"/>
    </row>
    <row r="6941" spans="20:20" x14ac:dyDescent="0.25">
      <c r="T6941" s="98"/>
    </row>
    <row r="6942" spans="20:20" x14ac:dyDescent="0.25">
      <c r="T6942" s="98"/>
    </row>
    <row r="6943" spans="20:20" x14ac:dyDescent="0.25">
      <c r="T6943" s="98"/>
    </row>
    <row r="6944" spans="20:20" x14ac:dyDescent="0.25">
      <c r="T6944" s="98"/>
    </row>
    <row r="6945" spans="20:20" x14ac:dyDescent="0.25">
      <c r="T6945" s="98"/>
    </row>
    <row r="6946" spans="20:20" x14ac:dyDescent="0.25">
      <c r="T6946" s="98"/>
    </row>
    <row r="6947" spans="20:20" x14ac:dyDescent="0.25">
      <c r="T6947" s="98"/>
    </row>
    <row r="6948" spans="20:20" x14ac:dyDescent="0.25">
      <c r="T6948" s="98"/>
    </row>
    <row r="6949" spans="20:20" x14ac:dyDescent="0.25">
      <c r="T6949" s="98"/>
    </row>
    <row r="6950" spans="20:20" x14ac:dyDescent="0.25">
      <c r="T6950" s="98"/>
    </row>
    <row r="6951" spans="20:20" x14ac:dyDescent="0.25">
      <c r="T6951" s="98"/>
    </row>
    <row r="6952" spans="20:20" x14ac:dyDescent="0.25">
      <c r="T6952" s="98"/>
    </row>
    <row r="6953" spans="20:20" x14ac:dyDescent="0.25">
      <c r="T6953" s="98"/>
    </row>
    <row r="6954" spans="20:20" x14ac:dyDescent="0.25">
      <c r="T6954" s="98"/>
    </row>
    <row r="6955" spans="20:20" x14ac:dyDescent="0.25">
      <c r="T6955" s="98"/>
    </row>
    <row r="6956" spans="20:20" x14ac:dyDescent="0.25">
      <c r="T6956" s="98"/>
    </row>
    <row r="6957" spans="20:20" x14ac:dyDescent="0.25">
      <c r="T6957" s="98"/>
    </row>
    <row r="6958" spans="20:20" x14ac:dyDescent="0.25">
      <c r="T6958" s="98"/>
    </row>
    <row r="6959" spans="20:20" x14ac:dyDescent="0.25">
      <c r="T6959" s="98"/>
    </row>
    <row r="6960" spans="20:20" x14ac:dyDescent="0.25">
      <c r="T6960" s="98"/>
    </row>
    <row r="6961" spans="20:20" x14ac:dyDescent="0.25">
      <c r="T6961" s="98"/>
    </row>
    <row r="6962" spans="20:20" x14ac:dyDescent="0.25">
      <c r="T6962" s="98"/>
    </row>
    <row r="6963" spans="20:20" x14ac:dyDescent="0.25">
      <c r="T6963" s="98"/>
    </row>
    <row r="6964" spans="20:20" x14ac:dyDescent="0.25">
      <c r="T6964" s="98"/>
    </row>
    <row r="6965" spans="20:20" x14ac:dyDescent="0.25">
      <c r="T6965" s="98"/>
    </row>
    <row r="6966" spans="20:20" x14ac:dyDescent="0.25">
      <c r="T6966" s="98"/>
    </row>
    <row r="6967" spans="20:20" x14ac:dyDescent="0.25">
      <c r="T6967" s="98"/>
    </row>
    <row r="6968" spans="20:20" x14ac:dyDescent="0.25">
      <c r="T6968" s="98"/>
    </row>
    <row r="6969" spans="20:20" x14ac:dyDescent="0.25">
      <c r="T6969" s="98"/>
    </row>
    <row r="6970" spans="20:20" x14ac:dyDescent="0.25">
      <c r="T6970" s="98"/>
    </row>
    <row r="6971" spans="20:20" x14ac:dyDescent="0.25">
      <c r="T6971" s="98"/>
    </row>
    <row r="6972" spans="20:20" x14ac:dyDescent="0.25">
      <c r="T6972" s="98"/>
    </row>
    <row r="6973" spans="20:20" x14ac:dyDescent="0.25">
      <c r="T6973" s="98"/>
    </row>
    <row r="6974" spans="20:20" x14ac:dyDescent="0.25">
      <c r="T6974" s="98"/>
    </row>
    <row r="6975" spans="20:20" x14ac:dyDescent="0.25">
      <c r="T6975" s="98"/>
    </row>
    <row r="6976" spans="20:20" x14ac:dyDescent="0.25">
      <c r="T6976" s="98"/>
    </row>
    <row r="6977" spans="20:20" x14ac:dyDescent="0.25">
      <c r="T6977" s="98"/>
    </row>
    <row r="6978" spans="20:20" x14ac:dyDescent="0.25">
      <c r="T6978" s="98"/>
    </row>
    <row r="6979" spans="20:20" x14ac:dyDescent="0.25">
      <c r="T6979" s="98"/>
    </row>
    <row r="6980" spans="20:20" x14ac:dyDescent="0.25">
      <c r="T6980" s="98"/>
    </row>
    <row r="6981" spans="20:20" x14ac:dyDescent="0.25">
      <c r="T6981" s="98"/>
    </row>
    <row r="6982" spans="20:20" x14ac:dyDescent="0.25">
      <c r="T6982" s="98"/>
    </row>
    <row r="6983" spans="20:20" x14ac:dyDescent="0.25">
      <c r="T6983" s="98"/>
    </row>
    <row r="6984" spans="20:20" x14ac:dyDescent="0.25">
      <c r="T6984" s="98"/>
    </row>
    <row r="6985" spans="20:20" x14ac:dyDescent="0.25">
      <c r="T6985" s="98"/>
    </row>
    <row r="6986" spans="20:20" x14ac:dyDescent="0.25">
      <c r="T6986" s="98"/>
    </row>
    <row r="6987" spans="20:20" x14ac:dyDescent="0.25">
      <c r="T6987" s="98"/>
    </row>
    <row r="6988" spans="20:20" x14ac:dyDescent="0.25">
      <c r="T6988" s="98"/>
    </row>
    <row r="6989" spans="20:20" x14ac:dyDescent="0.25">
      <c r="T6989" s="98"/>
    </row>
    <row r="6990" spans="20:20" x14ac:dyDescent="0.25">
      <c r="T6990" s="98"/>
    </row>
    <row r="6991" spans="20:20" x14ac:dyDescent="0.25">
      <c r="T6991" s="98"/>
    </row>
    <row r="6992" spans="20:20" x14ac:dyDescent="0.25">
      <c r="T6992" s="98"/>
    </row>
    <row r="6993" spans="20:20" x14ac:dyDescent="0.25">
      <c r="T6993" s="98"/>
    </row>
    <row r="6994" spans="20:20" x14ac:dyDescent="0.25">
      <c r="T6994" s="98"/>
    </row>
    <row r="6995" spans="20:20" x14ac:dyDescent="0.25">
      <c r="T6995" s="98"/>
    </row>
    <row r="6996" spans="20:20" x14ac:dyDescent="0.25">
      <c r="T6996" s="98"/>
    </row>
    <row r="6997" spans="20:20" x14ac:dyDescent="0.25">
      <c r="T6997" s="98"/>
    </row>
    <row r="6998" spans="20:20" x14ac:dyDescent="0.25">
      <c r="T6998" s="98"/>
    </row>
    <row r="6999" spans="20:20" x14ac:dyDescent="0.25">
      <c r="T6999" s="98"/>
    </row>
    <row r="7000" spans="20:20" x14ac:dyDescent="0.25">
      <c r="T7000" s="98"/>
    </row>
    <row r="7001" spans="20:20" x14ac:dyDescent="0.25">
      <c r="T7001" s="98"/>
    </row>
    <row r="7002" spans="20:20" x14ac:dyDescent="0.25">
      <c r="T7002" s="98"/>
    </row>
    <row r="7003" spans="20:20" x14ac:dyDescent="0.25">
      <c r="T7003" s="98"/>
    </row>
    <row r="7004" spans="20:20" x14ac:dyDescent="0.25">
      <c r="T7004" s="98"/>
    </row>
    <row r="7005" spans="20:20" x14ac:dyDescent="0.25">
      <c r="T7005" s="98"/>
    </row>
    <row r="7006" spans="20:20" x14ac:dyDescent="0.25">
      <c r="T7006" s="98"/>
    </row>
    <row r="7007" spans="20:20" x14ac:dyDescent="0.25">
      <c r="T7007" s="98"/>
    </row>
    <row r="7008" spans="20:20" x14ac:dyDescent="0.25">
      <c r="T7008" s="98"/>
    </row>
    <row r="7009" spans="20:20" x14ac:dyDescent="0.25">
      <c r="T7009" s="98"/>
    </row>
    <row r="7010" spans="20:20" x14ac:dyDescent="0.25">
      <c r="T7010" s="98"/>
    </row>
    <row r="7011" spans="20:20" x14ac:dyDescent="0.25">
      <c r="T7011" s="98"/>
    </row>
    <row r="7012" spans="20:20" x14ac:dyDescent="0.25">
      <c r="T7012" s="98"/>
    </row>
    <row r="7013" spans="20:20" x14ac:dyDescent="0.25">
      <c r="T7013" s="98"/>
    </row>
    <row r="7014" spans="20:20" x14ac:dyDescent="0.25">
      <c r="T7014" s="98"/>
    </row>
    <row r="7015" spans="20:20" x14ac:dyDescent="0.25">
      <c r="T7015" s="98"/>
    </row>
    <row r="7016" spans="20:20" x14ac:dyDescent="0.25">
      <c r="T7016" s="98"/>
    </row>
    <row r="7017" spans="20:20" x14ac:dyDescent="0.25">
      <c r="T7017" s="98"/>
    </row>
    <row r="7018" spans="20:20" x14ac:dyDescent="0.25">
      <c r="T7018" s="98"/>
    </row>
    <row r="7019" spans="20:20" x14ac:dyDescent="0.25">
      <c r="T7019" s="98"/>
    </row>
    <row r="7020" spans="20:20" x14ac:dyDescent="0.25">
      <c r="T7020" s="98"/>
    </row>
    <row r="7021" spans="20:20" x14ac:dyDescent="0.25">
      <c r="T7021" s="98"/>
    </row>
    <row r="7022" spans="20:20" x14ac:dyDescent="0.25">
      <c r="T7022" s="98"/>
    </row>
    <row r="7023" spans="20:20" x14ac:dyDescent="0.25">
      <c r="T7023" s="98"/>
    </row>
    <row r="7024" spans="20:20" x14ac:dyDescent="0.25">
      <c r="T7024" s="98"/>
    </row>
    <row r="7025" spans="20:20" x14ac:dyDescent="0.25">
      <c r="T7025" s="98"/>
    </row>
    <row r="7026" spans="20:20" x14ac:dyDescent="0.25">
      <c r="T7026" s="98"/>
    </row>
    <row r="7027" spans="20:20" x14ac:dyDescent="0.25">
      <c r="T7027" s="98"/>
    </row>
    <row r="7028" spans="20:20" x14ac:dyDescent="0.25">
      <c r="T7028" s="98"/>
    </row>
    <row r="7029" spans="20:20" x14ac:dyDescent="0.25">
      <c r="T7029" s="98"/>
    </row>
    <row r="7030" spans="20:20" x14ac:dyDescent="0.25">
      <c r="T7030" s="98"/>
    </row>
    <row r="7031" spans="20:20" x14ac:dyDescent="0.25">
      <c r="T7031" s="98"/>
    </row>
    <row r="7032" spans="20:20" x14ac:dyDescent="0.25">
      <c r="T7032" s="98"/>
    </row>
    <row r="7033" spans="20:20" x14ac:dyDescent="0.25">
      <c r="T7033" s="98"/>
    </row>
    <row r="7034" spans="20:20" x14ac:dyDescent="0.25">
      <c r="T7034" s="98"/>
    </row>
    <row r="7035" spans="20:20" x14ac:dyDescent="0.25">
      <c r="T7035" s="98"/>
    </row>
    <row r="7036" spans="20:20" x14ac:dyDescent="0.25">
      <c r="T7036" s="98"/>
    </row>
    <row r="7037" spans="20:20" x14ac:dyDescent="0.25">
      <c r="T7037" s="98"/>
    </row>
    <row r="7038" spans="20:20" x14ac:dyDescent="0.25">
      <c r="T7038" s="98"/>
    </row>
    <row r="7039" spans="20:20" x14ac:dyDescent="0.25">
      <c r="T7039" s="98"/>
    </row>
    <row r="7040" spans="20:20" x14ac:dyDescent="0.25">
      <c r="T7040" s="98"/>
    </row>
    <row r="7041" spans="20:20" x14ac:dyDescent="0.25">
      <c r="T7041" s="98"/>
    </row>
    <row r="7042" spans="20:20" x14ac:dyDescent="0.25">
      <c r="T7042" s="98"/>
    </row>
    <row r="7043" spans="20:20" x14ac:dyDescent="0.25">
      <c r="T7043" s="98"/>
    </row>
    <row r="7044" spans="20:20" x14ac:dyDescent="0.25">
      <c r="T7044" s="98"/>
    </row>
    <row r="7045" spans="20:20" x14ac:dyDescent="0.25">
      <c r="T7045" s="98"/>
    </row>
    <row r="7046" spans="20:20" x14ac:dyDescent="0.25">
      <c r="T7046" s="98"/>
    </row>
    <row r="7047" spans="20:20" x14ac:dyDescent="0.25">
      <c r="T7047" s="98"/>
    </row>
    <row r="7048" spans="20:20" x14ac:dyDescent="0.25">
      <c r="T7048" s="98"/>
    </row>
    <row r="7049" spans="20:20" x14ac:dyDescent="0.25">
      <c r="T7049" s="98"/>
    </row>
    <row r="7050" spans="20:20" x14ac:dyDescent="0.25">
      <c r="T7050" s="98"/>
    </row>
    <row r="7051" spans="20:20" x14ac:dyDescent="0.25">
      <c r="T7051" s="98"/>
    </row>
    <row r="7052" spans="20:20" x14ac:dyDescent="0.25">
      <c r="T7052" s="98"/>
    </row>
    <row r="7053" spans="20:20" x14ac:dyDescent="0.25">
      <c r="T7053" s="98"/>
    </row>
    <row r="7054" spans="20:20" x14ac:dyDescent="0.25">
      <c r="T7054" s="98"/>
    </row>
    <row r="7055" spans="20:20" x14ac:dyDescent="0.25">
      <c r="T7055" s="98"/>
    </row>
    <row r="7056" spans="20:20" x14ac:dyDescent="0.25">
      <c r="T7056" s="98"/>
    </row>
    <row r="7057" spans="20:20" x14ac:dyDescent="0.25">
      <c r="T7057" s="98"/>
    </row>
    <row r="7058" spans="20:20" x14ac:dyDescent="0.25">
      <c r="T7058" s="98"/>
    </row>
    <row r="7059" spans="20:20" x14ac:dyDescent="0.25">
      <c r="T7059" s="98"/>
    </row>
    <row r="7060" spans="20:20" x14ac:dyDescent="0.25">
      <c r="T7060" s="98"/>
    </row>
    <row r="7061" spans="20:20" x14ac:dyDescent="0.25">
      <c r="T7061" s="98"/>
    </row>
    <row r="7062" spans="20:20" x14ac:dyDescent="0.25">
      <c r="T7062" s="98"/>
    </row>
    <row r="7063" spans="20:20" x14ac:dyDescent="0.25">
      <c r="T7063" s="98"/>
    </row>
    <row r="7064" spans="20:20" x14ac:dyDescent="0.25">
      <c r="T7064" s="98"/>
    </row>
    <row r="7065" spans="20:20" x14ac:dyDescent="0.25">
      <c r="T7065" s="98"/>
    </row>
    <row r="7066" spans="20:20" x14ac:dyDescent="0.25">
      <c r="T7066" s="98"/>
    </row>
    <row r="7067" spans="20:20" x14ac:dyDescent="0.25">
      <c r="T7067" s="98"/>
    </row>
    <row r="7068" spans="20:20" x14ac:dyDescent="0.25">
      <c r="T7068" s="98"/>
    </row>
    <row r="7069" spans="20:20" x14ac:dyDescent="0.25">
      <c r="T7069" s="98"/>
    </row>
    <row r="7070" spans="20:20" x14ac:dyDescent="0.25">
      <c r="T7070" s="98"/>
    </row>
    <row r="7071" spans="20:20" x14ac:dyDescent="0.25">
      <c r="T7071" s="98"/>
    </row>
    <row r="7072" spans="20:20" x14ac:dyDescent="0.25">
      <c r="T7072" s="98"/>
    </row>
    <row r="7073" spans="20:20" x14ac:dyDescent="0.25">
      <c r="T7073" s="98"/>
    </row>
    <row r="7074" spans="20:20" x14ac:dyDescent="0.25">
      <c r="T7074" s="98"/>
    </row>
    <row r="7075" spans="20:20" x14ac:dyDescent="0.25">
      <c r="T7075" s="98"/>
    </row>
    <row r="7076" spans="20:20" x14ac:dyDescent="0.25">
      <c r="T7076" s="98"/>
    </row>
    <row r="7077" spans="20:20" x14ac:dyDescent="0.25">
      <c r="T7077" s="98"/>
    </row>
    <row r="7078" spans="20:20" x14ac:dyDescent="0.25">
      <c r="T7078" s="98"/>
    </row>
    <row r="7079" spans="20:20" x14ac:dyDescent="0.25">
      <c r="T7079" s="98"/>
    </row>
    <row r="7080" spans="20:20" x14ac:dyDescent="0.25">
      <c r="T7080" s="98"/>
    </row>
    <row r="7081" spans="20:20" x14ac:dyDescent="0.25">
      <c r="T7081" s="98"/>
    </row>
    <row r="7082" spans="20:20" x14ac:dyDescent="0.25">
      <c r="T7082" s="98"/>
    </row>
    <row r="7083" spans="20:20" x14ac:dyDescent="0.25">
      <c r="T7083" s="98"/>
    </row>
    <row r="7084" spans="20:20" x14ac:dyDescent="0.25">
      <c r="T7084" s="98"/>
    </row>
    <row r="7085" spans="20:20" x14ac:dyDescent="0.25">
      <c r="T7085" s="98"/>
    </row>
    <row r="7086" spans="20:20" x14ac:dyDescent="0.25">
      <c r="T7086" s="98"/>
    </row>
    <row r="7087" spans="20:20" x14ac:dyDescent="0.25">
      <c r="T7087" s="98"/>
    </row>
    <row r="7088" spans="20:20" x14ac:dyDescent="0.25">
      <c r="T7088" s="98"/>
    </row>
    <row r="7089" spans="20:20" x14ac:dyDescent="0.25">
      <c r="T7089" s="98"/>
    </row>
    <row r="7090" spans="20:20" x14ac:dyDescent="0.25">
      <c r="T7090" s="98"/>
    </row>
    <row r="7091" spans="20:20" x14ac:dyDescent="0.25">
      <c r="T7091" s="98"/>
    </row>
    <row r="7092" spans="20:20" x14ac:dyDescent="0.25">
      <c r="T7092" s="98"/>
    </row>
    <row r="7093" spans="20:20" x14ac:dyDescent="0.25">
      <c r="T7093" s="98"/>
    </row>
    <row r="7094" spans="20:20" x14ac:dyDescent="0.25">
      <c r="T7094" s="98"/>
    </row>
    <row r="7095" spans="20:20" x14ac:dyDescent="0.25">
      <c r="T7095" s="98"/>
    </row>
    <row r="7096" spans="20:20" x14ac:dyDescent="0.25">
      <c r="T7096" s="98"/>
    </row>
    <row r="7097" spans="20:20" x14ac:dyDescent="0.25">
      <c r="T7097" s="98"/>
    </row>
    <row r="7098" spans="20:20" x14ac:dyDescent="0.25">
      <c r="T7098" s="98"/>
    </row>
    <row r="7099" spans="20:20" x14ac:dyDescent="0.25">
      <c r="T7099" s="98"/>
    </row>
    <row r="7100" spans="20:20" x14ac:dyDescent="0.25">
      <c r="T7100" s="98"/>
    </row>
    <row r="7101" spans="20:20" x14ac:dyDescent="0.25">
      <c r="T7101" s="98"/>
    </row>
    <row r="7102" spans="20:20" x14ac:dyDescent="0.25">
      <c r="T7102" s="98"/>
    </row>
    <row r="7103" spans="20:20" x14ac:dyDescent="0.25">
      <c r="T7103" s="98"/>
    </row>
    <row r="7104" spans="20:20" x14ac:dyDescent="0.25">
      <c r="T7104" s="98"/>
    </row>
    <row r="7105" spans="20:20" x14ac:dyDescent="0.25">
      <c r="T7105" s="98"/>
    </row>
    <row r="7106" spans="20:20" x14ac:dyDescent="0.25">
      <c r="T7106" s="98"/>
    </row>
    <row r="7107" spans="20:20" x14ac:dyDescent="0.25">
      <c r="T7107" s="98"/>
    </row>
    <row r="7108" spans="20:20" x14ac:dyDescent="0.25">
      <c r="T7108" s="98"/>
    </row>
    <row r="7109" spans="20:20" x14ac:dyDescent="0.25">
      <c r="T7109" s="98"/>
    </row>
    <row r="7110" spans="20:20" x14ac:dyDescent="0.25">
      <c r="T7110" s="98"/>
    </row>
    <row r="7111" spans="20:20" x14ac:dyDescent="0.25">
      <c r="T7111" s="98"/>
    </row>
    <row r="7112" spans="20:20" x14ac:dyDescent="0.25">
      <c r="T7112" s="98"/>
    </row>
    <row r="7113" spans="20:20" x14ac:dyDescent="0.25">
      <c r="T7113" s="98"/>
    </row>
    <row r="7114" spans="20:20" x14ac:dyDescent="0.25">
      <c r="T7114" s="98"/>
    </row>
    <row r="7115" spans="20:20" x14ac:dyDescent="0.25">
      <c r="T7115" s="98"/>
    </row>
    <row r="7116" spans="20:20" x14ac:dyDescent="0.25">
      <c r="T7116" s="98"/>
    </row>
    <row r="7117" spans="20:20" x14ac:dyDescent="0.25">
      <c r="T7117" s="98"/>
    </row>
    <row r="7118" spans="20:20" x14ac:dyDescent="0.25">
      <c r="T7118" s="98"/>
    </row>
    <row r="7119" spans="20:20" x14ac:dyDescent="0.25">
      <c r="T7119" s="98"/>
    </row>
    <row r="7120" spans="20:20" x14ac:dyDescent="0.25">
      <c r="T7120" s="98"/>
    </row>
    <row r="7121" spans="20:20" x14ac:dyDescent="0.25">
      <c r="T7121" s="98"/>
    </row>
    <row r="7122" spans="20:20" x14ac:dyDescent="0.25">
      <c r="T7122" s="98"/>
    </row>
    <row r="7123" spans="20:20" x14ac:dyDescent="0.25">
      <c r="T7123" s="98"/>
    </row>
    <row r="7124" spans="20:20" x14ac:dyDescent="0.25">
      <c r="T7124" s="98"/>
    </row>
    <row r="7125" spans="20:20" x14ac:dyDescent="0.25">
      <c r="T7125" s="98"/>
    </row>
    <row r="7126" spans="20:20" x14ac:dyDescent="0.25">
      <c r="T7126" s="98"/>
    </row>
    <row r="7127" spans="20:20" x14ac:dyDescent="0.25">
      <c r="T7127" s="98"/>
    </row>
    <row r="7128" spans="20:20" x14ac:dyDescent="0.25">
      <c r="T7128" s="98"/>
    </row>
    <row r="7129" spans="20:20" x14ac:dyDescent="0.25">
      <c r="T7129" s="98"/>
    </row>
    <row r="7130" spans="20:20" x14ac:dyDescent="0.25">
      <c r="T7130" s="98"/>
    </row>
    <row r="7131" spans="20:20" x14ac:dyDescent="0.25">
      <c r="T7131" s="98"/>
    </row>
    <row r="7132" spans="20:20" x14ac:dyDescent="0.25">
      <c r="T7132" s="98"/>
    </row>
    <row r="7133" spans="20:20" x14ac:dyDescent="0.25">
      <c r="T7133" s="98"/>
    </row>
    <row r="7134" spans="20:20" x14ac:dyDescent="0.25">
      <c r="T7134" s="98"/>
    </row>
    <row r="7135" spans="20:20" x14ac:dyDescent="0.25">
      <c r="T7135" s="98"/>
    </row>
    <row r="7136" spans="20:20" x14ac:dyDescent="0.25">
      <c r="T7136" s="98"/>
    </row>
    <row r="7137" spans="20:20" x14ac:dyDescent="0.25">
      <c r="T7137" s="98"/>
    </row>
    <row r="7138" spans="20:20" x14ac:dyDescent="0.25">
      <c r="T7138" s="98"/>
    </row>
    <row r="7139" spans="20:20" x14ac:dyDescent="0.25">
      <c r="T7139" s="98"/>
    </row>
    <row r="7140" spans="20:20" x14ac:dyDescent="0.25">
      <c r="T7140" s="98"/>
    </row>
    <row r="7141" spans="20:20" x14ac:dyDescent="0.25">
      <c r="T7141" s="98"/>
    </row>
    <row r="7142" spans="20:20" x14ac:dyDescent="0.25">
      <c r="T7142" s="98"/>
    </row>
    <row r="7143" spans="20:20" x14ac:dyDescent="0.25">
      <c r="T7143" s="98"/>
    </row>
    <row r="7144" spans="20:20" x14ac:dyDescent="0.25">
      <c r="T7144" s="98"/>
    </row>
    <row r="7145" spans="20:20" x14ac:dyDescent="0.25">
      <c r="T7145" s="98"/>
    </row>
    <row r="7146" spans="20:20" x14ac:dyDescent="0.25">
      <c r="T7146" s="98"/>
    </row>
    <row r="7147" spans="20:20" x14ac:dyDescent="0.25">
      <c r="T7147" s="98"/>
    </row>
    <row r="7148" spans="20:20" x14ac:dyDescent="0.25">
      <c r="T7148" s="98"/>
    </row>
    <row r="7149" spans="20:20" x14ac:dyDescent="0.25">
      <c r="T7149" s="98"/>
    </row>
    <row r="7150" spans="20:20" x14ac:dyDescent="0.25">
      <c r="T7150" s="98"/>
    </row>
    <row r="7151" spans="20:20" x14ac:dyDescent="0.25">
      <c r="T7151" s="98"/>
    </row>
    <row r="7152" spans="20:20" x14ac:dyDescent="0.25">
      <c r="T7152" s="98"/>
    </row>
    <row r="7153" spans="20:20" x14ac:dyDescent="0.25">
      <c r="T7153" s="98"/>
    </row>
    <row r="7154" spans="20:20" x14ac:dyDescent="0.25">
      <c r="T7154" s="98"/>
    </row>
    <row r="7155" spans="20:20" x14ac:dyDescent="0.25">
      <c r="T7155" s="98"/>
    </row>
    <row r="7156" spans="20:20" x14ac:dyDescent="0.25">
      <c r="T7156" s="98"/>
    </row>
    <row r="7157" spans="20:20" x14ac:dyDescent="0.25">
      <c r="T7157" s="98"/>
    </row>
    <row r="7158" spans="20:20" x14ac:dyDescent="0.25">
      <c r="T7158" s="98"/>
    </row>
    <row r="7159" spans="20:20" x14ac:dyDescent="0.25">
      <c r="T7159" s="98"/>
    </row>
    <row r="7160" spans="20:20" x14ac:dyDescent="0.25">
      <c r="T7160" s="98"/>
    </row>
    <row r="7161" spans="20:20" x14ac:dyDescent="0.25">
      <c r="T7161" s="98"/>
    </row>
    <row r="7162" spans="20:20" x14ac:dyDescent="0.25">
      <c r="T7162" s="98"/>
    </row>
    <row r="7163" spans="20:20" x14ac:dyDescent="0.25">
      <c r="T7163" s="98"/>
    </row>
    <row r="7164" spans="20:20" x14ac:dyDescent="0.25">
      <c r="T7164" s="98"/>
    </row>
    <row r="7165" spans="20:20" x14ac:dyDescent="0.25">
      <c r="T7165" s="98"/>
    </row>
    <row r="7166" spans="20:20" x14ac:dyDescent="0.25">
      <c r="T7166" s="98"/>
    </row>
    <row r="7167" spans="20:20" x14ac:dyDescent="0.25">
      <c r="T7167" s="98"/>
    </row>
    <row r="7168" spans="20:20" x14ac:dyDescent="0.25">
      <c r="T7168" s="98"/>
    </row>
    <row r="7169" spans="20:20" x14ac:dyDescent="0.25">
      <c r="T7169" s="98"/>
    </row>
    <row r="7170" spans="20:20" x14ac:dyDescent="0.25">
      <c r="T7170" s="98"/>
    </row>
    <row r="7171" spans="20:20" x14ac:dyDescent="0.25">
      <c r="T7171" s="98"/>
    </row>
    <row r="7172" spans="20:20" x14ac:dyDescent="0.25">
      <c r="T7172" s="98"/>
    </row>
    <row r="7173" spans="20:20" x14ac:dyDescent="0.25">
      <c r="T7173" s="98"/>
    </row>
    <row r="7174" spans="20:20" x14ac:dyDescent="0.25">
      <c r="T7174" s="98"/>
    </row>
    <row r="7175" spans="20:20" x14ac:dyDescent="0.25">
      <c r="T7175" s="98"/>
    </row>
    <row r="7176" spans="20:20" x14ac:dyDescent="0.25">
      <c r="T7176" s="98"/>
    </row>
    <row r="7177" spans="20:20" x14ac:dyDescent="0.25">
      <c r="T7177" s="98"/>
    </row>
    <row r="7178" spans="20:20" x14ac:dyDescent="0.25">
      <c r="T7178" s="98"/>
    </row>
    <row r="7179" spans="20:20" x14ac:dyDescent="0.25">
      <c r="T7179" s="98"/>
    </row>
    <row r="7180" spans="20:20" x14ac:dyDescent="0.25">
      <c r="T7180" s="98"/>
    </row>
    <row r="7181" spans="20:20" x14ac:dyDescent="0.25">
      <c r="T7181" s="98"/>
    </row>
    <row r="7182" spans="20:20" x14ac:dyDescent="0.25">
      <c r="T7182" s="98"/>
    </row>
    <row r="7183" spans="20:20" x14ac:dyDescent="0.25">
      <c r="T7183" s="98"/>
    </row>
    <row r="7184" spans="20:20" x14ac:dyDescent="0.25">
      <c r="T7184" s="98"/>
    </row>
    <row r="7185" spans="20:20" x14ac:dyDescent="0.25">
      <c r="T7185" s="98"/>
    </row>
    <row r="7186" spans="20:20" x14ac:dyDescent="0.25">
      <c r="T7186" s="98"/>
    </row>
    <row r="7187" spans="20:20" x14ac:dyDescent="0.25">
      <c r="T7187" s="98"/>
    </row>
    <row r="7188" spans="20:20" x14ac:dyDescent="0.25">
      <c r="T7188" s="98"/>
    </row>
    <row r="7189" spans="20:20" x14ac:dyDescent="0.25">
      <c r="T7189" s="98"/>
    </row>
    <row r="7190" spans="20:20" x14ac:dyDescent="0.25">
      <c r="T7190" s="98"/>
    </row>
    <row r="7191" spans="20:20" x14ac:dyDescent="0.25">
      <c r="T7191" s="98"/>
    </row>
    <row r="7192" spans="20:20" x14ac:dyDescent="0.25">
      <c r="T7192" s="98"/>
    </row>
    <row r="7193" spans="20:20" x14ac:dyDescent="0.25">
      <c r="T7193" s="98"/>
    </row>
    <row r="7194" spans="20:20" x14ac:dyDescent="0.25">
      <c r="T7194" s="98"/>
    </row>
    <row r="7195" spans="20:20" x14ac:dyDescent="0.25">
      <c r="T7195" s="98"/>
    </row>
    <row r="7196" spans="20:20" x14ac:dyDescent="0.25">
      <c r="T7196" s="98"/>
    </row>
    <row r="7197" spans="20:20" x14ac:dyDescent="0.25">
      <c r="T7197" s="98"/>
    </row>
    <row r="7198" spans="20:20" x14ac:dyDescent="0.25">
      <c r="T7198" s="98"/>
    </row>
    <row r="7199" spans="20:20" x14ac:dyDescent="0.25">
      <c r="T7199" s="98"/>
    </row>
    <row r="7200" spans="20:20" x14ac:dyDescent="0.25">
      <c r="T7200" s="98"/>
    </row>
    <row r="7201" spans="20:20" x14ac:dyDescent="0.25">
      <c r="T7201" s="98"/>
    </row>
    <row r="7202" spans="20:20" x14ac:dyDescent="0.25">
      <c r="T7202" s="98"/>
    </row>
    <row r="7203" spans="20:20" x14ac:dyDescent="0.25">
      <c r="T7203" s="98"/>
    </row>
    <row r="7204" spans="20:20" x14ac:dyDescent="0.25">
      <c r="T7204" s="98"/>
    </row>
    <row r="7205" spans="20:20" x14ac:dyDescent="0.25">
      <c r="T7205" s="98"/>
    </row>
    <row r="7206" spans="20:20" x14ac:dyDescent="0.25">
      <c r="T7206" s="98"/>
    </row>
    <row r="7207" spans="20:20" x14ac:dyDescent="0.25">
      <c r="T7207" s="98"/>
    </row>
    <row r="7208" spans="20:20" x14ac:dyDescent="0.25">
      <c r="T7208" s="98"/>
    </row>
    <row r="7209" spans="20:20" x14ac:dyDescent="0.25">
      <c r="T7209" s="98"/>
    </row>
    <row r="7210" spans="20:20" x14ac:dyDescent="0.25">
      <c r="T7210" s="98"/>
    </row>
    <row r="7211" spans="20:20" x14ac:dyDescent="0.25">
      <c r="T7211" s="98"/>
    </row>
    <row r="7212" spans="20:20" x14ac:dyDescent="0.25">
      <c r="T7212" s="98"/>
    </row>
    <row r="7213" spans="20:20" x14ac:dyDescent="0.25">
      <c r="T7213" s="98"/>
    </row>
    <row r="7214" spans="20:20" x14ac:dyDescent="0.25">
      <c r="T7214" s="98"/>
    </row>
    <row r="7215" spans="20:20" x14ac:dyDescent="0.25">
      <c r="T7215" s="98"/>
    </row>
    <row r="7216" spans="20:20" x14ac:dyDescent="0.25">
      <c r="T7216" s="98"/>
    </row>
    <row r="7217" spans="20:20" x14ac:dyDescent="0.25">
      <c r="T7217" s="98"/>
    </row>
    <row r="7218" spans="20:20" x14ac:dyDescent="0.25">
      <c r="T7218" s="98"/>
    </row>
    <row r="7219" spans="20:20" x14ac:dyDescent="0.25">
      <c r="T7219" s="98"/>
    </row>
    <row r="7220" spans="20:20" x14ac:dyDescent="0.25">
      <c r="T7220" s="98"/>
    </row>
    <row r="7221" spans="20:20" x14ac:dyDescent="0.25">
      <c r="T7221" s="98"/>
    </row>
    <row r="7222" spans="20:20" x14ac:dyDescent="0.25">
      <c r="T7222" s="98"/>
    </row>
    <row r="7223" spans="20:20" x14ac:dyDescent="0.25">
      <c r="T7223" s="98"/>
    </row>
    <row r="7224" spans="20:20" x14ac:dyDescent="0.25">
      <c r="T7224" s="98"/>
    </row>
    <row r="7225" spans="20:20" x14ac:dyDescent="0.25">
      <c r="T7225" s="98"/>
    </row>
    <row r="7226" spans="20:20" x14ac:dyDescent="0.25">
      <c r="T7226" s="98"/>
    </row>
    <row r="7227" spans="20:20" x14ac:dyDescent="0.25">
      <c r="T7227" s="98"/>
    </row>
    <row r="7228" spans="20:20" x14ac:dyDescent="0.25">
      <c r="T7228" s="98"/>
    </row>
    <row r="7229" spans="20:20" x14ac:dyDescent="0.25">
      <c r="T7229" s="98"/>
    </row>
    <row r="7230" spans="20:20" x14ac:dyDescent="0.25">
      <c r="T7230" s="98"/>
    </row>
    <row r="7231" spans="20:20" x14ac:dyDescent="0.25">
      <c r="T7231" s="98"/>
    </row>
    <row r="7232" spans="20:20" x14ac:dyDescent="0.25">
      <c r="T7232" s="98"/>
    </row>
    <row r="7233" spans="20:20" x14ac:dyDescent="0.25">
      <c r="T7233" s="98"/>
    </row>
    <row r="7234" spans="20:20" x14ac:dyDescent="0.25">
      <c r="T7234" s="98"/>
    </row>
    <row r="7235" spans="20:20" x14ac:dyDescent="0.25">
      <c r="T7235" s="98"/>
    </row>
    <row r="7236" spans="20:20" x14ac:dyDescent="0.25">
      <c r="T7236" s="98"/>
    </row>
    <row r="7237" spans="20:20" x14ac:dyDescent="0.25">
      <c r="T7237" s="98"/>
    </row>
    <row r="7238" spans="20:20" x14ac:dyDescent="0.25">
      <c r="T7238" s="98"/>
    </row>
    <row r="7239" spans="20:20" x14ac:dyDescent="0.25">
      <c r="T7239" s="98"/>
    </row>
    <row r="7240" spans="20:20" x14ac:dyDescent="0.25">
      <c r="T7240" s="98"/>
    </row>
    <row r="7241" spans="20:20" x14ac:dyDescent="0.25">
      <c r="T7241" s="98"/>
    </row>
    <row r="7242" spans="20:20" x14ac:dyDescent="0.25">
      <c r="T7242" s="98"/>
    </row>
    <row r="7243" spans="20:20" x14ac:dyDescent="0.25">
      <c r="T7243" s="98"/>
    </row>
    <row r="7244" spans="20:20" x14ac:dyDescent="0.25">
      <c r="T7244" s="98"/>
    </row>
    <row r="7245" spans="20:20" x14ac:dyDescent="0.25">
      <c r="T7245" s="98"/>
    </row>
    <row r="7246" spans="20:20" x14ac:dyDescent="0.25">
      <c r="T7246" s="98"/>
    </row>
    <row r="7247" spans="20:20" x14ac:dyDescent="0.25">
      <c r="T7247" s="98"/>
    </row>
    <row r="7248" spans="20:20" x14ac:dyDescent="0.25">
      <c r="T7248" s="98"/>
    </row>
    <row r="7249" spans="20:20" x14ac:dyDescent="0.25">
      <c r="T7249" s="98"/>
    </row>
    <row r="7250" spans="20:20" x14ac:dyDescent="0.25">
      <c r="T7250" s="98"/>
    </row>
    <row r="7251" spans="20:20" x14ac:dyDescent="0.25">
      <c r="T7251" s="98"/>
    </row>
    <row r="7252" spans="20:20" x14ac:dyDescent="0.25">
      <c r="T7252" s="98"/>
    </row>
    <row r="7253" spans="20:20" x14ac:dyDescent="0.25">
      <c r="T7253" s="98"/>
    </row>
    <row r="7254" spans="20:20" x14ac:dyDescent="0.25">
      <c r="T7254" s="98"/>
    </row>
    <row r="7255" spans="20:20" x14ac:dyDescent="0.25">
      <c r="T7255" s="98"/>
    </row>
    <row r="7256" spans="20:20" x14ac:dyDescent="0.25">
      <c r="T7256" s="98"/>
    </row>
    <row r="7257" spans="20:20" x14ac:dyDescent="0.25">
      <c r="T7257" s="98"/>
    </row>
    <row r="7258" spans="20:20" x14ac:dyDescent="0.25">
      <c r="T7258" s="98"/>
    </row>
    <row r="7259" spans="20:20" x14ac:dyDescent="0.25">
      <c r="T7259" s="98"/>
    </row>
    <row r="7260" spans="20:20" x14ac:dyDescent="0.25">
      <c r="T7260" s="98"/>
    </row>
    <row r="7261" spans="20:20" x14ac:dyDescent="0.25">
      <c r="T7261" s="98"/>
    </row>
    <row r="7262" spans="20:20" x14ac:dyDescent="0.25">
      <c r="T7262" s="98"/>
    </row>
    <row r="7263" spans="20:20" x14ac:dyDescent="0.25">
      <c r="T7263" s="98"/>
    </row>
    <row r="7264" spans="20:20" x14ac:dyDescent="0.25">
      <c r="T7264" s="98"/>
    </row>
    <row r="7265" spans="20:20" x14ac:dyDescent="0.25">
      <c r="T7265" s="98"/>
    </row>
    <row r="7266" spans="20:20" x14ac:dyDescent="0.25">
      <c r="T7266" s="98"/>
    </row>
    <row r="7267" spans="20:20" x14ac:dyDescent="0.25">
      <c r="T7267" s="98"/>
    </row>
    <row r="7268" spans="20:20" x14ac:dyDescent="0.25">
      <c r="T7268" s="98"/>
    </row>
    <row r="7269" spans="20:20" x14ac:dyDescent="0.25">
      <c r="T7269" s="98"/>
    </row>
    <row r="7270" spans="20:20" x14ac:dyDescent="0.25">
      <c r="T7270" s="98"/>
    </row>
    <row r="7271" spans="20:20" x14ac:dyDescent="0.25">
      <c r="T7271" s="98"/>
    </row>
    <row r="7272" spans="20:20" x14ac:dyDescent="0.25">
      <c r="T7272" s="98"/>
    </row>
    <row r="7273" spans="20:20" x14ac:dyDescent="0.25">
      <c r="T7273" s="98"/>
    </row>
    <row r="7274" spans="20:20" x14ac:dyDescent="0.25">
      <c r="T7274" s="98"/>
    </row>
    <row r="7275" spans="20:20" x14ac:dyDescent="0.25">
      <c r="T7275" s="98"/>
    </row>
    <row r="7276" spans="20:20" x14ac:dyDescent="0.25">
      <c r="T7276" s="98"/>
    </row>
    <row r="7277" spans="20:20" x14ac:dyDescent="0.25">
      <c r="T7277" s="98"/>
    </row>
    <row r="7278" spans="20:20" x14ac:dyDescent="0.25">
      <c r="T7278" s="98"/>
    </row>
    <row r="7279" spans="20:20" x14ac:dyDescent="0.25">
      <c r="T7279" s="98"/>
    </row>
    <row r="7280" spans="20:20" x14ac:dyDescent="0.25">
      <c r="T7280" s="98"/>
    </row>
    <row r="7281" spans="20:20" x14ac:dyDescent="0.25">
      <c r="T7281" s="98"/>
    </row>
    <row r="7282" spans="20:20" x14ac:dyDescent="0.25">
      <c r="T7282" s="98"/>
    </row>
    <row r="7283" spans="20:20" x14ac:dyDescent="0.25">
      <c r="T7283" s="98"/>
    </row>
    <row r="7284" spans="20:20" x14ac:dyDescent="0.25">
      <c r="T7284" s="98"/>
    </row>
    <row r="7285" spans="20:20" x14ac:dyDescent="0.25">
      <c r="T7285" s="98"/>
    </row>
    <row r="7286" spans="20:20" x14ac:dyDescent="0.25">
      <c r="T7286" s="98"/>
    </row>
    <row r="7287" spans="20:20" x14ac:dyDescent="0.25">
      <c r="T7287" s="98"/>
    </row>
    <row r="7288" spans="20:20" x14ac:dyDescent="0.25">
      <c r="T7288" s="98"/>
    </row>
    <row r="7289" spans="20:20" x14ac:dyDescent="0.25">
      <c r="T7289" s="98"/>
    </row>
    <row r="7290" spans="20:20" x14ac:dyDescent="0.25">
      <c r="T7290" s="98"/>
    </row>
    <row r="7291" spans="20:20" x14ac:dyDescent="0.25">
      <c r="T7291" s="98"/>
    </row>
    <row r="7292" spans="20:20" x14ac:dyDescent="0.25">
      <c r="T7292" s="98"/>
    </row>
    <row r="7293" spans="20:20" x14ac:dyDescent="0.25">
      <c r="T7293" s="98"/>
    </row>
    <row r="7294" spans="20:20" x14ac:dyDescent="0.25">
      <c r="T7294" s="98"/>
    </row>
    <row r="7295" spans="20:20" x14ac:dyDescent="0.25">
      <c r="T7295" s="98"/>
    </row>
    <row r="7296" spans="20:20" x14ac:dyDescent="0.25">
      <c r="T7296" s="98"/>
    </row>
    <row r="7297" spans="20:20" x14ac:dyDescent="0.25">
      <c r="T7297" s="98"/>
    </row>
    <row r="7298" spans="20:20" x14ac:dyDescent="0.25">
      <c r="T7298" s="98"/>
    </row>
    <row r="7299" spans="20:20" x14ac:dyDescent="0.25">
      <c r="T7299" s="98"/>
    </row>
    <row r="7300" spans="20:20" x14ac:dyDescent="0.25">
      <c r="T7300" s="98"/>
    </row>
    <row r="7301" spans="20:20" x14ac:dyDescent="0.25">
      <c r="T7301" s="98"/>
    </row>
    <row r="7302" spans="20:20" x14ac:dyDescent="0.25">
      <c r="T7302" s="98"/>
    </row>
    <row r="7303" spans="20:20" x14ac:dyDescent="0.25">
      <c r="T7303" s="98"/>
    </row>
    <row r="7304" spans="20:20" x14ac:dyDescent="0.25">
      <c r="T7304" s="98"/>
    </row>
    <row r="7305" spans="20:20" x14ac:dyDescent="0.25">
      <c r="T7305" s="98"/>
    </row>
    <row r="7306" spans="20:20" x14ac:dyDescent="0.25">
      <c r="T7306" s="98"/>
    </row>
    <row r="7307" spans="20:20" x14ac:dyDescent="0.25">
      <c r="T7307" s="98"/>
    </row>
    <row r="7308" spans="20:20" x14ac:dyDescent="0.25">
      <c r="T7308" s="98"/>
    </row>
    <row r="7309" spans="20:20" x14ac:dyDescent="0.25">
      <c r="T7309" s="98"/>
    </row>
    <row r="7310" spans="20:20" x14ac:dyDescent="0.25">
      <c r="T7310" s="98"/>
    </row>
    <row r="7311" spans="20:20" x14ac:dyDescent="0.25">
      <c r="T7311" s="98"/>
    </row>
    <row r="7312" spans="20:20" x14ac:dyDescent="0.25">
      <c r="T7312" s="98"/>
    </row>
    <row r="7313" spans="20:20" x14ac:dyDescent="0.25">
      <c r="T7313" s="98"/>
    </row>
    <row r="7314" spans="20:20" x14ac:dyDescent="0.25">
      <c r="T7314" s="98"/>
    </row>
    <row r="7315" spans="20:20" x14ac:dyDescent="0.25">
      <c r="T7315" s="98"/>
    </row>
    <row r="7316" spans="20:20" x14ac:dyDescent="0.25">
      <c r="T7316" s="98"/>
    </row>
    <row r="7317" spans="20:20" x14ac:dyDescent="0.25">
      <c r="T7317" s="98"/>
    </row>
    <row r="7318" spans="20:20" x14ac:dyDescent="0.25">
      <c r="T7318" s="98"/>
    </row>
    <row r="7319" spans="20:20" x14ac:dyDescent="0.25">
      <c r="T7319" s="98"/>
    </row>
    <row r="7320" spans="20:20" x14ac:dyDescent="0.25">
      <c r="T7320" s="98"/>
    </row>
    <row r="7321" spans="20:20" x14ac:dyDescent="0.25">
      <c r="T7321" s="98"/>
    </row>
    <row r="7322" spans="20:20" x14ac:dyDescent="0.25">
      <c r="T7322" s="98"/>
    </row>
    <row r="7323" spans="20:20" x14ac:dyDescent="0.25">
      <c r="T7323" s="98"/>
    </row>
    <row r="7324" spans="20:20" x14ac:dyDescent="0.25">
      <c r="T7324" s="98"/>
    </row>
    <row r="7325" spans="20:20" x14ac:dyDescent="0.25">
      <c r="T7325" s="98"/>
    </row>
    <row r="7326" spans="20:20" x14ac:dyDescent="0.25">
      <c r="T7326" s="98"/>
    </row>
    <row r="7327" spans="20:20" x14ac:dyDescent="0.25">
      <c r="T7327" s="98"/>
    </row>
    <row r="7328" spans="20:20" x14ac:dyDescent="0.25">
      <c r="T7328" s="98"/>
    </row>
    <row r="7329" spans="20:20" x14ac:dyDescent="0.25">
      <c r="T7329" s="98"/>
    </row>
    <row r="7330" spans="20:20" x14ac:dyDescent="0.25">
      <c r="T7330" s="98"/>
    </row>
    <row r="7331" spans="20:20" x14ac:dyDescent="0.25">
      <c r="T7331" s="98"/>
    </row>
    <row r="7332" spans="20:20" x14ac:dyDescent="0.25">
      <c r="T7332" s="98"/>
    </row>
    <row r="7333" spans="20:20" x14ac:dyDescent="0.25">
      <c r="T7333" s="98"/>
    </row>
    <row r="7334" spans="20:20" x14ac:dyDescent="0.25">
      <c r="T7334" s="98"/>
    </row>
    <row r="7335" spans="20:20" x14ac:dyDescent="0.25">
      <c r="T7335" s="98"/>
    </row>
    <row r="7336" spans="20:20" x14ac:dyDescent="0.25">
      <c r="T7336" s="98"/>
    </row>
    <row r="7337" spans="20:20" x14ac:dyDescent="0.25">
      <c r="T7337" s="98"/>
    </row>
    <row r="7338" spans="20:20" x14ac:dyDescent="0.25">
      <c r="T7338" s="98"/>
    </row>
    <row r="7339" spans="20:20" x14ac:dyDescent="0.25">
      <c r="T7339" s="98"/>
    </row>
    <row r="7340" spans="20:20" x14ac:dyDescent="0.25">
      <c r="T7340" s="98"/>
    </row>
    <row r="7341" spans="20:20" x14ac:dyDescent="0.25">
      <c r="T7341" s="98"/>
    </row>
    <row r="7342" spans="20:20" x14ac:dyDescent="0.25">
      <c r="T7342" s="98"/>
    </row>
    <row r="7343" spans="20:20" x14ac:dyDescent="0.25">
      <c r="T7343" s="98"/>
    </row>
    <row r="7344" spans="20:20" x14ac:dyDescent="0.25">
      <c r="T7344" s="98"/>
    </row>
    <row r="7345" spans="20:20" x14ac:dyDescent="0.25">
      <c r="T7345" s="98"/>
    </row>
    <row r="7346" spans="20:20" x14ac:dyDescent="0.25">
      <c r="T7346" s="98"/>
    </row>
    <row r="7347" spans="20:20" x14ac:dyDescent="0.25">
      <c r="T7347" s="98"/>
    </row>
    <row r="7348" spans="20:20" x14ac:dyDescent="0.25">
      <c r="T7348" s="98"/>
    </row>
    <row r="7349" spans="20:20" x14ac:dyDescent="0.25">
      <c r="T7349" s="98"/>
    </row>
    <row r="7350" spans="20:20" x14ac:dyDescent="0.25">
      <c r="T7350" s="98"/>
    </row>
    <row r="7351" spans="20:20" x14ac:dyDescent="0.25">
      <c r="T7351" s="98"/>
    </row>
    <row r="7352" spans="20:20" x14ac:dyDescent="0.25">
      <c r="T7352" s="98"/>
    </row>
    <row r="7353" spans="20:20" x14ac:dyDescent="0.25">
      <c r="T7353" s="98"/>
    </row>
    <row r="7354" spans="20:20" x14ac:dyDescent="0.25">
      <c r="T7354" s="98"/>
    </row>
    <row r="7355" spans="20:20" x14ac:dyDescent="0.25">
      <c r="T7355" s="98"/>
    </row>
    <row r="7356" spans="20:20" x14ac:dyDescent="0.25">
      <c r="T7356" s="98"/>
    </row>
    <row r="7357" spans="20:20" x14ac:dyDescent="0.25">
      <c r="T7357" s="98"/>
    </row>
    <row r="7358" spans="20:20" x14ac:dyDescent="0.25">
      <c r="T7358" s="98"/>
    </row>
    <row r="7359" spans="20:20" x14ac:dyDescent="0.25">
      <c r="T7359" s="98"/>
    </row>
    <row r="7360" spans="20:20" x14ac:dyDescent="0.25">
      <c r="T7360" s="98"/>
    </row>
    <row r="7361" spans="20:20" x14ac:dyDescent="0.25">
      <c r="T7361" s="98"/>
    </row>
    <row r="7362" spans="20:20" x14ac:dyDescent="0.25">
      <c r="T7362" s="98"/>
    </row>
    <row r="7363" spans="20:20" x14ac:dyDescent="0.25">
      <c r="T7363" s="98"/>
    </row>
    <row r="7364" spans="20:20" x14ac:dyDescent="0.25">
      <c r="T7364" s="98"/>
    </row>
    <row r="7365" spans="20:20" x14ac:dyDescent="0.25">
      <c r="T7365" s="98"/>
    </row>
    <row r="7366" spans="20:20" x14ac:dyDescent="0.25">
      <c r="T7366" s="98"/>
    </row>
    <row r="7367" spans="20:20" x14ac:dyDescent="0.25">
      <c r="T7367" s="98"/>
    </row>
    <row r="7368" spans="20:20" x14ac:dyDescent="0.25">
      <c r="T7368" s="98"/>
    </row>
    <row r="7369" spans="20:20" x14ac:dyDescent="0.25">
      <c r="T7369" s="98"/>
    </row>
    <row r="7370" spans="20:20" x14ac:dyDescent="0.25">
      <c r="T7370" s="98"/>
    </row>
    <row r="7371" spans="20:20" x14ac:dyDescent="0.25">
      <c r="T7371" s="98"/>
    </row>
    <row r="7372" spans="20:20" x14ac:dyDescent="0.25">
      <c r="T7372" s="98"/>
    </row>
    <row r="7373" spans="20:20" x14ac:dyDescent="0.25">
      <c r="T7373" s="98"/>
    </row>
    <row r="7374" spans="20:20" x14ac:dyDescent="0.25">
      <c r="T7374" s="98"/>
    </row>
    <row r="7375" spans="20:20" x14ac:dyDescent="0.25">
      <c r="T7375" s="98"/>
    </row>
    <row r="7376" spans="20:20" x14ac:dyDescent="0.25">
      <c r="T7376" s="98"/>
    </row>
    <row r="7377" spans="20:20" x14ac:dyDescent="0.25">
      <c r="T7377" s="98"/>
    </row>
    <row r="7378" spans="20:20" x14ac:dyDescent="0.25">
      <c r="T7378" s="98"/>
    </row>
    <row r="7379" spans="20:20" x14ac:dyDescent="0.25">
      <c r="T7379" s="98"/>
    </row>
    <row r="7380" spans="20:20" x14ac:dyDescent="0.25">
      <c r="T7380" s="98"/>
    </row>
    <row r="7381" spans="20:20" x14ac:dyDescent="0.25">
      <c r="T7381" s="98"/>
    </row>
    <row r="7382" spans="20:20" x14ac:dyDescent="0.25">
      <c r="T7382" s="98"/>
    </row>
    <row r="7383" spans="20:20" x14ac:dyDescent="0.25">
      <c r="T7383" s="98"/>
    </row>
    <row r="7384" spans="20:20" x14ac:dyDescent="0.25">
      <c r="T7384" s="98"/>
    </row>
    <row r="7385" spans="20:20" x14ac:dyDescent="0.25">
      <c r="T7385" s="98"/>
    </row>
    <row r="7386" spans="20:20" x14ac:dyDescent="0.25">
      <c r="T7386" s="98"/>
    </row>
    <row r="7387" spans="20:20" x14ac:dyDescent="0.25">
      <c r="T7387" s="98"/>
    </row>
    <row r="7388" spans="20:20" x14ac:dyDescent="0.25">
      <c r="T7388" s="98"/>
    </row>
    <row r="7389" spans="20:20" x14ac:dyDescent="0.25">
      <c r="T7389" s="98"/>
    </row>
    <row r="7390" spans="20:20" x14ac:dyDescent="0.25">
      <c r="T7390" s="98"/>
    </row>
    <row r="7391" spans="20:20" x14ac:dyDescent="0.25">
      <c r="T7391" s="98"/>
    </row>
    <row r="7392" spans="20:20" x14ac:dyDescent="0.25">
      <c r="T7392" s="98"/>
    </row>
    <row r="7393" spans="20:20" x14ac:dyDescent="0.25">
      <c r="T7393" s="98"/>
    </row>
    <row r="7394" spans="20:20" x14ac:dyDescent="0.25">
      <c r="T7394" s="98"/>
    </row>
    <row r="7395" spans="20:20" x14ac:dyDescent="0.25">
      <c r="T7395" s="98"/>
    </row>
    <row r="7396" spans="20:20" x14ac:dyDescent="0.25">
      <c r="T7396" s="98"/>
    </row>
    <row r="7397" spans="20:20" x14ac:dyDescent="0.25">
      <c r="T7397" s="98"/>
    </row>
    <row r="7398" spans="20:20" x14ac:dyDescent="0.25">
      <c r="T7398" s="98"/>
    </row>
    <row r="7399" spans="20:20" x14ac:dyDescent="0.25">
      <c r="T7399" s="98"/>
    </row>
    <row r="7400" spans="20:20" x14ac:dyDescent="0.25">
      <c r="T7400" s="98"/>
    </row>
    <row r="7401" spans="20:20" x14ac:dyDescent="0.25">
      <c r="T7401" s="98"/>
    </row>
    <row r="7402" spans="20:20" x14ac:dyDescent="0.25">
      <c r="T7402" s="98"/>
    </row>
    <row r="7403" spans="20:20" x14ac:dyDescent="0.25">
      <c r="T7403" s="98"/>
    </row>
    <row r="7404" spans="20:20" x14ac:dyDescent="0.25">
      <c r="T7404" s="98"/>
    </row>
    <row r="7405" spans="20:20" x14ac:dyDescent="0.25">
      <c r="T7405" s="98"/>
    </row>
    <row r="7406" spans="20:20" x14ac:dyDescent="0.25">
      <c r="T7406" s="98"/>
    </row>
    <row r="7407" spans="20:20" x14ac:dyDescent="0.25">
      <c r="T7407" s="98"/>
    </row>
    <row r="7408" spans="20:20" x14ac:dyDescent="0.25">
      <c r="T7408" s="98"/>
    </row>
    <row r="7409" spans="20:20" x14ac:dyDescent="0.25">
      <c r="T7409" s="98"/>
    </row>
    <row r="7410" spans="20:20" x14ac:dyDescent="0.25">
      <c r="T7410" s="98"/>
    </row>
    <row r="7411" spans="20:20" x14ac:dyDescent="0.25">
      <c r="T7411" s="98"/>
    </row>
    <row r="7412" spans="20:20" x14ac:dyDescent="0.25">
      <c r="T7412" s="98"/>
    </row>
    <row r="7413" spans="20:20" x14ac:dyDescent="0.25">
      <c r="T7413" s="98"/>
    </row>
    <row r="7414" spans="20:20" x14ac:dyDescent="0.25">
      <c r="T7414" s="98"/>
    </row>
    <row r="7415" spans="20:20" x14ac:dyDescent="0.25">
      <c r="T7415" s="98"/>
    </row>
    <row r="7416" spans="20:20" x14ac:dyDescent="0.25">
      <c r="T7416" s="98"/>
    </row>
    <row r="7417" spans="20:20" x14ac:dyDescent="0.25">
      <c r="T7417" s="98"/>
    </row>
    <row r="7418" spans="20:20" x14ac:dyDescent="0.25">
      <c r="T7418" s="98"/>
    </row>
    <row r="7419" spans="20:20" x14ac:dyDescent="0.25">
      <c r="T7419" s="98"/>
    </row>
    <row r="7420" spans="20:20" x14ac:dyDescent="0.25">
      <c r="T7420" s="98"/>
    </row>
    <row r="7421" spans="20:20" x14ac:dyDescent="0.25">
      <c r="T7421" s="98"/>
    </row>
    <row r="7422" spans="20:20" x14ac:dyDescent="0.25">
      <c r="T7422" s="98"/>
    </row>
    <row r="7423" spans="20:20" x14ac:dyDescent="0.25">
      <c r="T7423" s="98"/>
    </row>
    <row r="7424" spans="20:20" x14ac:dyDescent="0.25">
      <c r="T7424" s="98"/>
    </row>
    <row r="7425" spans="20:20" x14ac:dyDescent="0.25">
      <c r="T7425" s="98"/>
    </row>
    <row r="7426" spans="20:20" x14ac:dyDescent="0.25">
      <c r="T7426" s="98"/>
    </row>
    <row r="7427" spans="20:20" x14ac:dyDescent="0.25">
      <c r="T7427" s="98"/>
    </row>
    <row r="7428" spans="20:20" x14ac:dyDescent="0.25">
      <c r="T7428" s="98"/>
    </row>
    <row r="7429" spans="20:20" x14ac:dyDescent="0.25">
      <c r="T7429" s="98"/>
    </row>
    <row r="7430" spans="20:20" x14ac:dyDescent="0.25">
      <c r="T7430" s="98"/>
    </row>
    <row r="7431" spans="20:20" x14ac:dyDescent="0.25">
      <c r="T7431" s="98"/>
    </row>
    <row r="7432" spans="20:20" x14ac:dyDescent="0.25">
      <c r="T7432" s="98"/>
    </row>
    <row r="7433" spans="20:20" x14ac:dyDescent="0.25">
      <c r="T7433" s="98"/>
    </row>
    <row r="7434" spans="20:20" x14ac:dyDescent="0.25">
      <c r="T7434" s="98"/>
    </row>
    <row r="7435" spans="20:20" x14ac:dyDescent="0.25">
      <c r="T7435" s="98"/>
    </row>
    <row r="7436" spans="20:20" x14ac:dyDescent="0.25">
      <c r="T7436" s="98"/>
    </row>
    <row r="7437" spans="20:20" x14ac:dyDescent="0.25">
      <c r="T7437" s="98"/>
    </row>
    <row r="7438" spans="20:20" x14ac:dyDescent="0.25">
      <c r="T7438" s="98"/>
    </row>
    <row r="7439" spans="20:20" x14ac:dyDescent="0.25">
      <c r="T7439" s="98"/>
    </row>
    <row r="7440" spans="20:20" x14ac:dyDescent="0.25">
      <c r="T7440" s="98"/>
    </row>
    <row r="7441" spans="20:20" x14ac:dyDescent="0.25">
      <c r="T7441" s="98"/>
    </row>
    <row r="7442" spans="20:20" x14ac:dyDescent="0.25">
      <c r="T7442" s="98"/>
    </row>
    <row r="7443" spans="20:20" x14ac:dyDescent="0.25">
      <c r="T7443" s="98"/>
    </row>
    <row r="7444" spans="20:20" x14ac:dyDescent="0.25">
      <c r="T7444" s="98"/>
    </row>
    <row r="7445" spans="20:20" x14ac:dyDescent="0.25">
      <c r="T7445" s="98"/>
    </row>
    <row r="7446" spans="20:20" x14ac:dyDescent="0.25">
      <c r="T7446" s="98"/>
    </row>
    <row r="7447" spans="20:20" x14ac:dyDescent="0.25">
      <c r="T7447" s="98"/>
    </row>
    <row r="7448" spans="20:20" x14ac:dyDescent="0.25">
      <c r="T7448" s="98"/>
    </row>
    <row r="7449" spans="20:20" x14ac:dyDescent="0.25">
      <c r="T7449" s="98"/>
    </row>
    <row r="7450" spans="20:20" x14ac:dyDescent="0.25">
      <c r="T7450" s="98"/>
    </row>
    <row r="7451" spans="20:20" x14ac:dyDescent="0.25">
      <c r="T7451" s="98"/>
    </row>
    <row r="7452" spans="20:20" x14ac:dyDescent="0.25">
      <c r="T7452" s="98"/>
    </row>
    <row r="7453" spans="20:20" x14ac:dyDescent="0.25">
      <c r="T7453" s="98"/>
    </row>
    <row r="7454" spans="20:20" x14ac:dyDescent="0.25">
      <c r="T7454" s="98"/>
    </row>
    <row r="7455" spans="20:20" x14ac:dyDescent="0.25">
      <c r="T7455" s="98"/>
    </row>
    <row r="7456" spans="20:20" x14ac:dyDescent="0.25">
      <c r="T7456" s="98"/>
    </row>
    <row r="7457" spans="20:20" x14ac:dyDescent="0.25">
      <c r="T7457" s="98"/>
    </row>
    <row r="7458" spans="20:20" x14ac:dyDescent="0.25">
      <c r="T7458" s="98"/>
    </row>
    <row r="7459" spans="20:20" x14ac:dyDescent="0.25">
      <c r="T7459" s="98"/>
    </row>
    <row r="7460" spans="20:20" x14ac:dyDescent="0.25">
      <c r="T7460" s="98"/>
    </row>
    <row r="7461" spans="20:20" x14ac:dyDescent="0.25">
      <c r="T7461" s="98"/>
    </row>
    <row r="7462" spans="20:20" x14ac:dyDescent="0.25">
      <c r="T7462" s="98"/>
    </row>
    <row r="7463" spans="20:20" x14ac:dyDescent="0.25">
      <c r="T7463" s="98"/>
    </row>
    <row r="7464" spans="20:20" x14ac:dyDescent="0.25">
      <c r="T7464" s="98"/>
    </row>
    <row r="7465" spans="20:20" x14ac:dyDescent="0.25">
      <c r="T7465" s="98"/>
    </row>
    <row r="7466" spans="20:20" x14ac:dyDescent="0.25">
      <c r="T7466" s="98"/>
    </row>
    <row r="7467" spans="20:20" x14ac:dyDescent="0.25">
      <c r="T7467" s="98"/>
    </row>
    <row r="7468" spans="20:20" x14ac:dyDescent="0.25">
      <c r="T7468" s="98"/>
    </row>
    <row r="7469" spans="20:20" x14ac:dyDescent="0.25">
      <c r="T7469" s="98"/>
    </row>
    <row r="7470" spans="20:20" x14ac:dyDescent="0.25">
      <c r="T7470" s="98"/>
    </row>
    <row r="7471" spans="20:20" x14ac:dyDescent="0.25">
      <c r="T7471" s="98"/>
    </row>
    <row r="7472" spans="20:20" x14ac:dyDescent="0.25">
      <c r="T7472" s="98"/>
    </row>
    <row r="7473" spans="20:20" x14ac:dyDescent="0.25">
      <c r="T7473" s="98"/>
    </row>
    <row r="7474" spans="20:20" x14ac:dyDescent="0.25">
      <c r="T7474" s="98"/>
    </row>
    <row r="7475" spans="20:20" x14ac:dyDescent="0.25">
      <c r="T7475" s="98"/>
    </row>
    <row r="7476" spans="20:20" x14ac:dyDescent="0.25">
      <c r="T7476" s="98"/>
    </row>
    <row r="7477" spans="20:20" x14ac:dyDescent="0.25">
      <c r="T7477" s="98"/>
    </row>
    <row r="7478" spans="20:20" x14ac:dyDescent="0.25">
      <c r="T7478" s="98"/>
    </row>
    <row r="7479" spans="20:20" x14ac:dyDescent="0.25">
      <c r="T7479" s="98"/>
    </row>
    <row r="7480" spans="20:20" x14ac:dyDescent="0.25">
      <c r="T7480" s="98"/>
    </row>
    <row r="7481" spans="20:20" x14ac:dyDescent="0.25">
      <c r="T7481" s="98"/>
    </row>
    <row r="7482" spans="20:20" x14ac:dyDescent="0.25">
      <c r="T7482" s="98"/>
    </row>
    <row r="7483" spans="20:20" x14ac:dyDescent="0.25">
      <c r="T7483" s="98"/>
    </row>
    <row r="7484" spans="20:20" x14ac:dyDescent="0.25">
      <c r="T7484" s="98"/>
    </row>
    <row r="7485" spans="20:20" x14ac:dyDescent="0.25">
      <c r="T7485" s="98"/>
    </row>
    <row r="7486" spans="20:20" x14ac:dyDescent="0.25">
      <c r="T7486" s="98"/>
    </row>
    <row r="7487" spans="20:20" x14ac:dyDescent="0.25">
      <c r="T7487" s="98"/>
    </row>
    <row r="7488" spans="20:20" x14ac:dyDescent="0.25">
      <c r="T7488" s="98"/>
    </row>
    <row r="7489" spans="20:20" x14ac:dyDescent="0.25">
      <c r="T7489" s="98"/>
    </row>
    <row r="7490" spans="20:20" x14ac:dyDescent="0.25">
      <c r="T7490" s="98"/>
    </row>
    <row r="7491" spans="20:20" x14ac:dyDescent="0.25">
      <c r="T7491" s="98"/>
    </row>
    <row r="7492" spans="20:20" x14ac:dyDescent="0.25">
      <c r="T7492" s="98"/>
    </row>
    <row r="7493" spans="20:20" x14ac:dyDescent="0.25">
      <c r="T7493" s="98"/>
    </row>
    <row r="7494" spans="20:20" x14ac:dyDescent="0.25">
      <c r="T7494" s="98"/>
    </row>
    <row r="7495" spans="20:20" x14ac:dyDescent="0.25">
      <c r="T7495" s="98"/>
    </row>
    <row r="7496" spans="20:20" x14ac:dyDescent="0.25">
      <c r="T7496" s="98"/>
    </row>
    <row r="7497" spans="20:20" x14ac:dyDescent="0.25">
      <c r="T7497" s="98"/>
    </row>
    <row r="7498" spans="20:20" x14ac:dyDescent="0.25">
      <c r="T7498" s="98"/>
    </row>
    <row r="7499" spans="20:20" x14ac:dyDescent="0.25">
      <c r="T7499" s="98"/>
    </row>
    <row r="7500" spans="20:20" x14ac:dyDescent="0.25">
      <c r="T7500" s="98"/>
    </row>
    <row r="7501" spans="20:20" x14ac:dyDescent="0.25">
      <c r="T7501" s="98"/>
    </row>
    <row r="7502" spans="20:20" x14ac:dyDescent="0.25">
      <c r="T7502" s="98"/>
    </row>
    <row r="7503" spans="20:20" x14ac:dyDescent="0.25">
      <c r="T7503" s="98"/>
    </row>
    <row r="7504" spans="20:20" x14ac:dyDescent="0.25">
      <c r="T7504" s="98"/>
    </row>
    <row r="7505" spans="20:20" x14ac:dyDescent="0.25">
      <c r="T7505" s="98"/>
    </row>
    <row r="7506" spans="20:20" x14ac:dyDescent="0.25">
      <c r="T7506" s="98"/>
    </row>
    <row r="7507" spans="20:20" x14ac:dyDescent="0.25">
      <c r="T7507" s="98"/>
    </row>
    <row r="7508" spans="20:20" x14ac:dyDescent="0.25">
      <c r="T7508" s="98"/>
    </row>
    <row r="7509" spans="20:20" x14ac:dyDescent="0.25">
      <c r="T7509" s="98"/>
    </row>
    <row r="7510" spans="20:20" x14ac:dyDescent="0.25">
      <c r="T7510" s="98"/>
    </row>
    <row r="7511" spans="20:20" x14ac:dyDescent="0.25">
      <c r="T7511" s="98"/>
    </row>
    <row r="7512" spans="20:20" x14ac:dyDescent="0.25">
      <c r="T7512" s="98"/>
    </row>
    <row r="7513" spans="20:20" x14ac:dyDescent="0.25">
      <c r="T7513" s="98"/>
    </row>
    <row r="7514" spans="20:20" x14ac:dyDescent="0.25">
      <c r="T7514" s="98"/>
    </row>
    <row r="7515" spans="20:20" x14ac:dyDescent="0.25">
      <c r="T7515" s="98"/>
    </row>
    <row r="7516" spans="20:20" x14ac:dyDescent="0.25">
      <c r="T7516" s="98"/>
    </row>
    <row r="7517" spans="20:20" x14ac:dyDescent="0.25">
      <c r="T7517" s="98"/>
    </row>
    <row r="7518" spans="20:20" x14ac:dyDescent="0.25">
      <c r="T7518" s="98"/>
    </row>
    <row r="7519" spans="20:20" x14ac:dyDescent="0.25">
      <c r="T7519" s="98"/>
    </row>
    <row r="7520" spans="20:20" x14ac:dyDescent="0.25">
      <c r="T7520" s="98"/>
    </row>
    <row r="7521" spans="20:20" x14ac:dyDescent="0.25">
      <c r="T7521" s="98"/>
    </row>
    <row r="7522" spans="20:20" x14ac:dyDescent="0.25">
      <c r="T7522" s="98"/>
    </row>
    <row r="7523" spans="20:20" x14ac:dyDescent="0.25">
      <c r="T7523" s="98"/>
    </row>
    <row r="7524" spans="20:20" x14ac:dyDescent="0.25">
      <c r="T7524" s="98"/>
    </row>
    <row r="7525" spans="20:20" x14ac:dyDescent="0.25">
      <c r="T7525" s="98"/>
    </row>
    <row r="7526" spans="20:20" x14ac:dyDescent="0.25">
      <c r="T7526" s="98"/>
    </row>
    <row r="7527" spans="20:20" x14ac:dyDescent="0.25">
      <c r="T7527" s="98"/>
    </row>
    <row r="7528" spans="20:20" x14ac:dyDescent="0.25">
      <c r="T7528" s="98"/>
    </row>
    <row r="7529" spans="20:20" x14ac:dyDescent="0.25">
      <c r="T7529" s="98"/>
    </row>
    <row r="7530" spans="20:20" x14ac:dyDescent="0.25">
      <c r="T7530" s="98"/>
    </row>
    <row r="7531" spans="20:20" x14ac:dyDescent="0.25">
      <c r="T7531" s="98"/>
    </row>
    <row r="7532" spans="20:20" x14ac:dyDescent="0.25">
      <c r="T7532" s="98"/>
    </row>
    <row r="7533" spans="20:20" x14ac:dyDescent="0.25">
      <c r="T7533" s="98"/>
    </row>
    <row r="7534" spans="20:20" x14ac:dyDescent="0.25">
      <c r="T7534" s="98"/>
    </row>
    <row r="7535" spans="20:20" x14ac:dyDescent="0.25">
      <c r="T7535" s="98"/>
    </row>
    <row r="7536" spans="20:20" x14ac:dyDescent="0.25">
      <c r="T7536" s="98"/>
    </row>
    <row r="7537" spans="20:20" x14ac:dyDescent="0.25">
      <c r="T7537" s="98"/>
    </row>
    <row r="7538" spans="20:20" x14ac:dyDescent="0.25">
      <c r="T7538" s="98"/>
    </row>
    <row r="7539" spans="20:20" x14ac:dyDescent="0.25">
      <c r="T7539" s="98"/>
    </row>
    <row r="7540" spans="20:20" x14ac:dyDescent="0.25">
      <c r="T7540" s="98"/>
    </row>
    <row r="7541" spans="20:20" x14ac:dyDescent="0.25">
      <c r="T7541" s="98"/>
    </row>
    <row r="7542" spans="20:20" x14ac:dyDescent="0.25">
      <c r="T7542" s="98"/>
    </row>
    <row r="7543" spans="20:20" x14ac:dyDescent="0.25">
      <c r="T7543" s="98"/>
    </row>
    <row r="7544" spans="20:20" x14ac:dyDescent="0.25">
      <c r="T7544" s="98"/>
    </row>
    <row r="7545" spans="20:20" x14ac:dyDescent="0.25">
      <c r="T7545" s="98"/>
    </row>
    <row r="7546" spans="20:20" x14ac:dyDescent="0.25">
      <c r="T7546" s="98"/>
    </row>
    <row r="7547" spans="20:20" x14ac:dyDescent="0.25">
      <c r="T7547" s="98"/>
    </row>
    <row r="7548" spans="20:20" x14ac:dyDescent="0.25">
      <c r="T7548" s="98"/>
    </row>
    <row r="7549" spans="20:20" x14ac:dyDescent="0.25">
      <c r="T7549" s="98"/>
    </row>
    <row r="7550" spans="20:20" x14ac:dyDescent="0.25">
      <c r="T7550" s="98"/>
    </row>
    <row r="7551" spans="20:20" x14ac:dyDescent="0.25">
      <c r="T7551" s="98"/>
    </row>
    <row r="7552" spans="20:20" x14ac:dyDescent="0.25">
      <c r="T7552" s="98"/>
    </row>
    <row r="7553" spans="20:20" x14ac:dyDescent="0.25">
      <c r="T7553" s="98"/>
    </row>
    <row r="7554" spans="20:20" x14ac:dyDescent="0.25">
      <c r="T7554" s="98"/>
    </row>
    <row r="7555" spans="20:20" x14ac:dyDescent="0.25">
      <c r="T7555" s="98"/>
    </row>
    <row r="7556" spans="20:20" x14ac:dyDescent="0.25">
      <c r="T7556" s="98"/>
    </row>
    <row r="7557" spans="20:20" x14ac:dyDescent="0.25">
      <c r="T7557" s="98"/>
    </row>
    <row r="7558" spans="20:20" x14ac:dyDescent="0.25">
      <c r="T7558" s="98"/>
    </row>
    <row r="7559" spans="20:20" x14ac:dyDescent="0.25">
      <c r="T7559" s="98"/>
    </row>
    <row r="7560" spans="20:20" x14ac:dyDescent="0.25">
      <c r="T7560" s="98"/>
    </row>
    <row r="7561" spans="20:20" x14ac:dyDescent="0.25">
      <c r="T7561" s="98"/>
    </row>
    <row r="7562" spans="20:20" x14ac:dyDescent="0.25">
      <c r="T7562" s="98"/>
    </row>
    <row r="7563" spans="20:20" x14ac:dyDescent="0.25">
      <c r="T7563" s="98"/>
    </row>
    <row r="7564" spans="20:20" x14ac:dyDescent="0.25">
      <c r="T7564" s="98"/>
    </row>
    <row r="7565" spans="20:20" x14ac:dyDescent="0.25">
      <c r="T7565" s="98"/>
    </row>
    <row r="7566" spans="20:20" x14ac:dyDescent="0.25">
      <c r="T7566" s="98"/>
    </row>
    <row r="7567" spans="20:20" x14ac:dyDescent="0.25">
      <c r="T7567" s="98"/>
    </row>
    <row r="7568" spans="20:20" x14ac:dyDescent="0.25">
      <c r="T7568" s="98"/>
    </row>
    <row r="7569" spans="20:20" x14ac:dyDescent="0.25">
      <c r="T7569" s="98"/>
    </row>
    <row r="7570" spans="20:20" x14ac:dyDescent="0.25">
      <c r="T7570" s="98"/>
    </row>
    <row r="7571" spans="20:20" x14ac:dyDescent="0.25">
      <c r="T7571" s="98"/>
    </row>
    <row r="7572" spans="20:20" x14ac:dyDescent="0.25">
      <c r="T7572" s="98"/>
    </row>
    <row r="7573" spans="20:20" x14ac:dyDescent="0.25">
      <c r="T7573" s="98"/>
    </row>
    <row r="7574" spans="20:20" x14ac:dyDescent="0.25">
      <c r="T7574" s="98"/>
    </row>
    <row r="7575" spans="20:20" x14ac:dyDescent="0.25">
      <c r="T7575" s="98"/>
    </row>
    <row r="7576" spans="20:20" x14ac:dyDescent="0.25">
      <c r="T7576" s="98"/>
    </row>
    <row r="7577" spans="20:20" x14ac:dyDescent="0.25">
      <c r="T7577" s="98"/>
    </row>
    <row r="7578" spans="20:20" x14ac:dyDescent="0.25">
      <c r="T7578" s="98"/>
    </row>
    <row r="7579" spans="20:20" x14ac:dyDescent="0.25">
      <c r="T7579" s="98"/>
    </row>
    <row r="7580" spans="20:20" x14ac:dyDescent="0.25">
      <c r="T7580" s="98"/>
    </row>
    <row r="7581" spans="20:20" x14ac:dyDescent="0.25">
      <c r="T7581" s="98"/>
    </row>
    <row r="7582" spans="20:20" x14ac:dyDescent="0.25">
      <c r="T7582" s="98"/>
    </row>
    <row r="7583" spans="20:20" x14ac:dyDescent="0.25">
      <c r="T7583" s="98"/>
    </row>
    <row r="7584" spans="20:20" x14ac:dyDescent="0.25">
      <c r="T7584" s="98"/>
    </row>
    <row r="7585" spans="20:20" x14ac:dyDescent="0.25">
      <c r="T7585" s="98"/>
    </row>
    <row r="7586" spans="20:20" x14ac:dyDescent="0.25">
      <c r="T7586" s="98"/>
    </row>
    <row r="7587" spans="20:20" x14ac:dyDescent="0.25">
      <c r="T7587" s="98"/>
    </row>
    <row r="7588" spans="20:20" x14ac:dyDescent="0.25">
      <c r="T7588" s="98"/>
    </row>
    <row r="7589" spans="20:20" x14ac:dyDescent="0.25">
      <c r="T7589" s="98"/>
    </row>
    <row r="7590" spans="20:20" x14ac:dyDescent="0.25">
      <c r="T7590" s="98"/>
    </row>
    <row r="7591" spans="20:20" x14ac:dyDescent="0.25">
      <c r="T7591" s="98"/>
    </row>
    <row r="7592" spans="20:20" x14ac:dyDescent="0.25">
      <c r="T7592" s="98"/>
    </row>
    <row r="7593" spans="20:20" x14ac:dyDescent="0.25">
      <c r="T7593" s="98"/>
    </row>
    <row r="7594" spans="20:20" x14ac:dyDescent="0.25">
      <c r="T7594" s="98"/>
    </row>
    <row r="7595" spans="20:20" x14ac:dyDescent="0.25">
      <c r="T7595" s="98"/>
    </row>
    <row r="7596" spans="20:20" x14ac:dyDescent="0.25">
      <c r="T7596" s="98"/>
    </row>
    <row r="7597" spans="20:20" x14ac:dyDescent="0.25">
      <c r="T7597" s="98"/>
    </row>
    <row r="7598" spans="20:20" x14ac:dyDescent="0.25">
      <c r="T7598" s="98"/>
    </row>
    <row r="7599" spans="20:20" x14ac:dyDescent="0.25">
      <c r="T7599" s="98"/>
    </row>
    <row r="7600" spans="20:20" x14ac:dyDescent="0.25">
      <c r="T7600" s="98"/>
    </row>
    <row r="7601" spans="20:20" x14ac:dyDescent="0.25">
      <c r="T7601" s="98"/>
    </row>
    <row r="7602" spans="20:20" x14ac:dyDescent="0.25">
      <c r="T7602" s="98"/>
    </row>
    <row r="7603" spans="20:20" x14ac:dyDescent="0.25">
      <c r="T7603" s="98"/>
    </row>
    <row r="7604" spans="20:20" x14ac:dyDescent="0.25">
      <c r="T7604" s="98"/>
    </row>
    <row r="7605" spans="20:20" x14ac:dyDescent="0.25">
      <c r="T7605" s="98"/>
    </row>
    <row r="7606" spans="20:20" x14ac:dyDescent="0.25">
      <c r="T7606" s="98"/>
    </row>
    <row r="7607" spans="20:20" x14ac:dyDescent="0.25">
      <c r="T7607" s="98"/>
    </row>
    <row r="7608" spans="20:20" x14ac:dyDescent="0.25">
      <c r="T7608" s="98"/>
    </row>
    <row r="7609" spans="20:20" x14ac:dyDescent="0.25">
      <c r="T7609" s="98"/>
    </row>
    <row r="7610" spans="20:20" x14ac:dyDescent="0.25">
      <c r="T7610" s="98"/>
    </row>
    <row r="7611" spans="20:20" x14ac:dyDescent="0.25">
      <c r="T7611" s="98"/>
    </row>
    <row r="7612" spans="20:20" x14ac:dyDescent="0.25">
      <c r="T7612" s="98"/>
    </row>
    <row r="7613" spans="20:20" x14ac:dyDescent="0.25">
      <c r="T7613" s="98"/>
    </row>
    <row r="7614" spans="20:20" x14ac:dyDescent="0.25">
      <c r="T7614" s="98"/>
    </row>
    <row r="7615" spans="20:20" x14ac:dyDescent="0.25">
      <c r="T7615" s="98"/>
    </row>
    <row r="7616" spans="20:20" x14ac:dyDescent="0.25">
      <c r="T7616" s="98"/>
    </row>
    <row r="7617" spans="20:20" x14ac:dyDescent="0.25">
      <c r="T7617" s="98"/>
    </row>
    <row r="7618" spans="20:20" x14ac:dyDescent="0.25">
      <c r="T7618" s="98"/>
    </row>
    <row r="7619" spans="20:20" x14ac:dyDescent="0.25">
      <c r="T7619" s="98"/>
    </row>
    <row r="7620" spans="20:20" x14ac:dyDescent="0.25">
      <c r="T7620" s="98"/>
    </row>
    <row r="7621" spans="20:20" x14ac:dyDescent="0.25">
      <c r="T7621" s="98"/>
    </row>
    <row r="7622" spans="20:20" x14ac:dyDescent="0.25">
      <c r="T7622" s="98"/>
    </row>
    <row r="7623" spans="20:20" x14ac:dyDescent="0.25">
      <c r="T7623" s="98"/>
    </row>
    <row r="7624" spans="20:20" x14ac:dyDescent="0.25">
      <c r="T7624" s="98"/>
    </row>
    <row r="7625" spans="20:20" x14ac:dyDescent="0.25">
      <c r="T7625" s="98"/>
    </row>
    <row r="7626" spans="20:20" x14ac:dyDescent="0.25">
      <c r="T7626" s="98"/>
    </row>
    <row r="7627" spans="20:20" x14ac:dyDescent="0.25">
      <c r="T7627" s="98"/>
    </row>
    <row r="7628" spans="20:20" x14ac:dyDescent="0.25">
      <c r="T7628" s="98"/>
    </row>
    <row r="7629" spans="20:20" x14ac:dyDescent="0.25">
      <c r="T7629" s="98"/>
    </row>
    <row r="7630" spans="20:20" x14ac:dyDescent="0.25">
      <c r="T7630" s="98"/>
    </row>
    <row r="7631" spans="20:20" x14ac:dyDescent="0.25">
      <c r="T7631" s="98"/>
    </row>
    <row r="7632" spans="20:20" x14ac:dyDescent="0.25">
      <c r="T7632" s="98"/>
    </row>
    <row r="7633" spans="20:20" x14ac:dyDescent="0.25">
      <c r="T7633" s="98"/>
    </row>
    <row r="7634" spans="20:20" x14ac:dyDescent="0.25">
      <c r="T7634" s="98"/>
    </row>
    <row r="7635" spans="20:20" x14ac:dyDescent="0.25">
      <c r="T7635" s="98"/>
    </row>
    <row r="7636" spans="20:20" x14ac:dyDescent="0.25">
      <c r="T7636" s="98"/>
    </row>
    <row r="7637" spans="20:20" x14ac:dyDescent="0.25">
      <c r="T7637" s="98"/>
    </row>
    <row r="7638" spans="20:20" x14ac:dyDescent="0.25">
      <c r="T7638" s="98"/>
    </row>
    <row r="7639" spans="20:20" x14ac:dyDescent="0.25">
      <c r="T7639" s="98"/>
    </row>
    <row r="7640" spans="20:20" x14ac:dyDescent="0.25">
      <c r="T7640" s="98"/>
    </row>
    <row r="7641" spans="20:20" x14ac:dyDescent="0.25">
      <c r="T7641" s="98"/>
    </row>
    <row r="7642" spans="20:20" x14ac:dyDescent="0.25">
      <c r="T7642" s="98"/>
    </row>
    <row r="7643" spans="20:20" x14ac:dyDescent="0.25">
      <c r="T7643" s="98"/>
    </row>
    <row r="7644" spans="20:20" x14ac:dyDescent="0.25">
      <c r="T7644" s="98"/>
    </row>
    <row r="7645" spans="20:20" x14ac:dyDescent="0.25">
      <c r="T7645" s="98"/>
    </row>
    <row r="7646" spans="20:20" x14ac:dyDescent="0.25">
      <c r="T7646" s="98"/>
    </row>
    <row r="7647" spans="20:20" x14ac:dyDescent="0.25">
      <c r="T7647" s="98"/>
    </row>
    <row r="7648" spans="20:20" x14ac:dyDescent="0.25">
      <c r="T7648" s="98"/>
    </row>
    <row r="7649" spans="20:20" x14ac:dyDescent="0.25">
      <c r="T7649" s="98"/>
    </row>
    <row r="7650" spans="20:20" x14ac:dyDescent="0.25">
      <c r="T7650" s="98"/>
    </row>
    <row r="7651" spans="20:20" x14ac:dyDescent="0.25">
      <c r="T7651" s="98"/>
    </row>
    <row r="7652" spans="20:20" x14ac:dyDescent="0.25">
      <c r="T7652" s="98"/>
    </row>
    <row r="7653" spans="20:20" x14ac:dyDescent="0.25">
      <c r="T7653" s="98"/>
    </row>
    <row r="7654" spans="20:20" x14ac:dyDescent="0.25">
      <c r="T7654" s="98"/>
    </row>
    <row r="7655" spans="20:20" x14ac:dyDescent="0.25">
      <c r="T7655" s="98"/>
    </row>
    <row r="7656" spans="20:20" x14ac:dyDescent="0.25">
      <c r="T7656" s="98"/>
    </row>
    <row r="7657" spans="20:20" x14ac:dyDescent="0.25">
      <c r="T7657" s="98"/>
    </row>
    <row r="7658" spans="20:20" x14ac:dyDescent="0.25">
      <c r="T7658" s="98"/>
    </row>
    <row r="7659" spans="20:20" x14ac:dyDescent="0.25">
      <c r="T7659" s="98"/>
    </row>
    <row r="7660" spans="20:20" x14ac:dyDescent="0.25">
      <c r="T7660" s="98"/>
    </row>
    <row r="7661" spans="20:20" x14ac:dyDescent="0.25">
      <c r="T7661" s="98"/>
    </row>
    <row r="7662" spans="20:20" x14ac:dyDescent="0.25">
      <c r="T7662" s="98"/>
    </row>
    <row r="7663" spans="20:20" x14ac:dyDescent="0.25">
      <c r="T7663" s="98"/>
    </row>
    <row r="7664" spans="20:20" x14ac:dyDescent="0.25">
      <c r="T7664" s="98"/>
    </row>
    <row r="7665" spans="20:20" x14ac:dyDescent="0.25">
      <c r="T7665" s="98"/>
    </row>
    <row r="7666" spans="20:20" x14ac:dyDescent="0.25">
      <c r="T7666" s="98"/>
    </row>
    <row r="7667" spans="20:20" x14ac:dyDescent="0.25">
      <c r="T7667" s="98"/>
    </row>
    <row r="7668" spans="20:20" x14ac:dyDescent="0.25">
      <c r="T7668" s="98"/>
    </row>
    <row r="7669" spans="20:20" x14ac:dyDescent="0.25">
      <c r="T7669" s="98"/>
    </row>
    <row r="7670" spans="20:20" x14ac:dyDescent="0.25">
      <c r="T7670" s="98"/>
    </row>
    <row r="7671" spans="20:20" x14ac:dyDescent="0.25">
      <c r="T7671" s="98"/>
    </row>
    <row r="7672" spans="20:20" x14ac:dyDescent="0.25">
      <c r="T7672" s="98"/>
    </row>
    <row r="7673" spans="20:20" x14ac:dyDescent="0.25">
      <c r="T7673" s="98"/>
    </row>
    <row r="7674" spans="20:20" x14ac:dyDescent="0.25">
      <c r="T7674" s="98"/>
    </row>
    <row r="7675" spans="20:20" x14ac:dyDescent="0.25">
      <c r="T7675" s="98"/>
    </row>
    <row r="7676" spans="20:20" x14ac:dyDescent="0.25">
      <c r="T7676" s="98"/>
    </row>
    <row r="7677" spans="20:20" x14ac:dyDescent="0.25">
      <c r="T7677" s="98"/>
    </row>
    <row r="7678" spans="20:20" x14ac:dyDescent="0.25">
      <c r="T7678" s="98"/>
    </row>
    <row r="7679" spans="20:20" x14ac:dyDescent="0.25">
      <c r="T7679" s="98"/>
    </row>
    <row r="7680" spans="20:20" x14ac:dyDescent="0.25">
      <c r="T7680" s="98"/>
    </row>
    <row r="7681" spans="20:20" x14ac:dyDescent="0.25">
      <c r="T7681" s="98"/>
    </row>
    <row r="7682" spans="20:20" x14ac:dyDescent="0.25">
      <c r="T7682" s="98"/>
    </row>
    <row r="7683" spans="20:20" x14ac:dyDescent="0.25">
      <c r="T7683" s="98"/>
    </row>
    <row r="7684" spans="20:20" x14ac:dyDescent="0.25">
      <c r="T7684" s="98"/>
    </row>
    <row r="7685" spans="20:20" x14ac:dyDescent="0.25">
      <c r="T7685" s="98"/>
    </row>
    <row r="7686" spans="20:20" x14ac:dyDescent="0.25">
      <c r="T7686" s="98"/>
    </row>
    <row r="7687" spans="20:20" x14ac:dyDescent="0.25">
      <c r="T7687" s="98"/>
    </row>
    <row r="7688" spans="20:20" x14ac:dyDescent="0.25">
      <c r="T7688" s="98"/>
    </row>
    <row r="7689" spans="20:20" x14ac:dyDescent="0.25">
      <c r="T7689" s="98"/>
    </row>
    <row r="7690" spans="20:20" x14ac:dyDescent="0.25">
      <c r="T7690" s="98"/>
    </row>
    <row r="7691" spans="20:20" x14ac:dyDescent="0.25">
      <c r="T7691" s="98"/>
    </row>
    <row r="7692" spans="20:20" x14ac:dyDescent="0.25">
      <c r="T7692" s="98"/>
    </row>
    <row r="7693" spans="20:20" x14ac:dyDescent="0.25">
      <c r="T7693" s="98"/>
    </row>
    <row r="7694" spans="20:20" x14ac:dyDescent="0.25">
      <c r="T7694" s="98"/>
    </row>
    <row r="7695" spans="20:20" x14ac:dyDescent="0.25">
      <c r="T7695" s="98"/>
    </row>
    <row r="7696" spans="20:20" x14ac:dyDescent="0.25">
      <c r="T7696" s="98"/>
    </row>
    <row r="7697" spans="20:20" x14ac:dyDescent="0.25">
      <c r="T7697" s="98"/>
    </row>
    <row r="7698" spans="20:20" x14ac:dyDescent="0.25">
      <c r="T7698" s="98"/>
    </row>
    <row r="7699" spans="20:20" x14ac:dyDescent="0.25">
      <c r="T7699" s="98"/>
    </row>
    <row r="7700" spans="20:20" x14ac:dyDescent="0.25">
      <c r="T7700" s="98"/>
    </row>
    <row r="7701" spans="20:20" x14ac:dyDescent="0.25">
      <c r="T7701" s="98"/>
    </row>
    <row r="7702" spans="20:20" x14ac:dyDescent="0.25">
      <c r="T7702" s="98"/>
    </row>
    <row r="7703" spans="20:20" x14ac:dyDescent="0.25">
      <c r="T7703" s="98"/>
    </row>
    <row r="7704" spans="20:20" x14ac:dyDescent="0.25">
      <c r="T7704" s="98"/>
    </row>
    <row r="7705" spans="20:20" x14ac:dyDescent="0.25">
      <c r="T7705" s="98"/>
    </row>
    <row r="7706" spans="20:20" x14ac:dyDescent="0.25">
      <c r="T7706" s="98"/>
    </row>
    <row r="7707" spans="20:20" x14ac:dyDescent="0.25">
      <c r="T7707" s="98"/>
    </row>
    <row r="7708" spans="20:20" x14ac:dyDescent="0.25">
      <c r="T7708" s="98"/>
    </row>
    <row r="7709" spans="20:20" x14ac:dyDescent="0.25">
      <c r="T7709" s="98"/>
    </row>
    <row r="7710" spans="20:20" x14ac:dyDescent="0.25">
      <c r="T7710" s="98"/>
    </row>
    <row r="7711" spans="20:20" x14ac:dyDescent="0.25">
      <c r="T7711" s="98"/>
    </row>
    <row r="7712" spans="20:20" x14ac:dyDescent="0.25">
      <c r="T7712" s="98"/>
    </row>
    <row r="7713" spans="20:20" x14ac:dyDescent="0.25">
      <c r="T7713" s="98"/>
    </row>
    <row r="7714" spans="20:20" x14ac:dyDescent="0.25">
      <c r="T7714" s="98"/>
    </row>
    <row r="7715" spans="20:20" x14ac:dyDescent="0.25">
      <c r="T7715" s="98"/>
    </row>
    <row r="7716" spans="20:20" x14ac:dyDescent="0.25">
      <c r="T7716" s="98"/>
    </row>
    <row r="7717" spans="20:20" x14ac:dyDescent="0.25">
      <c r="T7717" s="98"/>
    </row>
    <row r="7718" spans="20:20" x14ac:dyDescent="0.25">
      <c r="T7718" s="98"/>
    </row>
    <row r="7719" spans="20:20" x14ac:dyDescent="0.25">
      <c r="T7719" s="98"/>
    </row>
    <row r="7720" spans="20:20" x14ac:dyDescent="0.25">
      <c r="T7720" s="98"/>
    </row>
    <row r="7721" spans="20:20" x14ac:dyDescent="0.25">
      <c r="T7721" s="98"/>
    </row>
    <row r="7722" spans="20:20" x14ac:dyDescent="0.25">
      <c r="T7722" s="98"/>
    </row>
    <row r="7723" spans="20:20" x14ac:dyDescent="0.25">
      <c r="T7723" s="98"/>
    </row>
    <row r="7724" spans="20:20" x14ac:dyDescent="0.25">
      <c r="T7724" s="98"/>
    </row>
    <row r="7725" spans="20:20" x14ac:dyDescent="0.25">
      <c r="T7725" s="98"/>
    </row>
    <row r="7726" spans="20:20" x14ac:dyDescent="0.25">
      <c r="T7726" s="98"/>
    </row>
    <row r="7727" spans="20:20" x14ac:dyDescent="0.25">
      <c r="T7727" s="98"/>
    </row>
    <row r="7728" spans="20:20" x14ac:dyDescent="0.25">
      <c r="T7728" s="98"/>
    </row>
    <row r="7729" spans="20:20" x14ac:dyDescent="0.25">
      <c r="T7729" s="98"/>
    </row>
    <row r="7730" spans="20:20" x14ac:dyDescent="0.25">
      <c r="T7730" s="98"/>
    </row>
    <row r="7731" spans="20:20" x14ac:dyDescent="0.25">
      <c r="T7731" s="98"/>
    </row>
    <row r="7732" spans="20:20" x14ac:dyDescent="0.25">
      <c r="T7732" s="98"/>
    </row>
    <row r="7733" spans="20:20" x14ac:dyDescent="0.25">
      <c r="T7733" s="98"/>
    </row>
    <row r="7734" spans="20:20" x14ac:dyDescent="0.25">
      <c r="T7734" s="98"/>
    </row>
    <row r="7735" spans="20:20" x14ac:dyDescent="0.25">
      <c r="T7735" s="98"/>
    </row>
    <row r="7736" spans="20:20" x14ac:dyDescent="0.25">
      <c r="T7736" s="98"/>
    </row>
    <row r="7737" spans="20:20" x14ac:dyDescent="0.25">
      <c r="T7737" s="98"/>
    </row>
    <row r="7738" spans="20:20" x14ac:dyDescent="0.25">
      <c r="T7738" s="98"/>
    </row>
    <row r="7739" spans="20:20" x14ac:dyDescent="0.25">
      <c r="T7739" s="98"/>
    </row>
    <row r="7740" spans="20:20" x14ac:dyDescent="0.25">
      <c r="T7740" s="98"/>
    </row>
    <row r="7741" spans="20:20" x14ac:dyDescent="0.25">
      <c r="T7741" s="98"/>
    </row>
    <row r="7742" spans="20:20" x14ac:dyDescent="0.25">
      <c r="T7742" s="98"/>
    </row>
    <row r="7743" spans="20:20" x14ac:dyDescent="0.25">
      <c r="T7743" s="98"/>
    </row>
    <row r="7744" spans="20:20" x14ac:dyDescent="0.25">
      <c r="T7744" s="98"/>
    </row>
    <row r="7745" spans="20:20" x14ac:dyDescent="0.25">
      <c r="T7745" s="98"/>
    </row>
    <row r="7746" spans="20:20" x14ac:dyDescent="0.25">
      <c r="T7746" s="98"/>
    </row>
    <row r="7747" spans="20:20" x14ac:dyDescent="0.25">
      <c r="T7747" s="98"/>
    </row>
    <row r="7748" spans="20:20" x14ac:dyDescent="0.25">
      <c r="T7748" s="98"/>
    </row>
    <row r="7749" spans="20:20" x14ac:dyDescent="0.25">
      <c r="T7749" s="98"/>
    </row>
    <row r="7750" spans="20:20" x14ac:dyDescent="0.25">
      <c r="T7750" s="98"/>
    </row>
    <row r="7751" spans="20:20" x14ac:dyDescent="0.25">
      <c r="T7751" s="98"/>
    </row>
    <row r="7752" spans="20:20" x14ac:dyDescent="0.25">
      <c r="T7752" s="98"/>
    </row>
    <row r="7753" spans="20:20" x14ac:dyDescent="0.25">
      <c r="T7753" s="98"/>
    </row>
    <row r="7754" spans="20:20" x14ac:dyDescent="0.25">
      <c r="T7754" s="98"/>
    </row>
    <row r="7755" spans="20:20" x14ac:dyDescent="0.25">
      <c r="T7755" s="98"/>
    </row>
    <row r="7756" spans="20:20" x14ac:dyDescent="0.25">
      <c r="T7756" s="98"/>
    </row>
    <row r="7757" spans="20:20" x14ac:dyDescent="0.25">
      <c r="T7757" s="98"/>
    </row>
    <row r="7758" spans="20:20" x14ac:dyDescent="0.25">
      <c r="T7758" s="98"/>
    </row>
    <row r="7759" spans="20:20" x14ac:dyDescent="0.25">
      <c r="T7759" s="98"/>
    </row>
    <row r="7760" spans="20:20" x14ac:dyDescent="0.25">
      <c r="T7760" s="98"/>
    </row>
    <row r="7761" spans="20:20" x14ac:dyDescent="0.25">
      <c r="T7761" s="98"/>
    </row>
    <row r="7762" spans="20:20" x14ac:dyDescent="0.25">
      <c r="T7762" s="98"/>
    </row>
    <row r="7763" spans="20:20" x14ac:dyDescent="0.25">
      <c r="T7763" s="98"/>
    </row>
    <row r="7764" spans="20:20" x14ac:dyDescent="0.25">
      <c r="T7764" s="98"/>
    </row>
    <row r="7765" spans="20:20" x14ac:dyDescent="0.25">
      <c r="T7765" s="98"/>
    </row>
    <row r="7766" spans="20:20" x14ac:dyDescent="0.25">
      <c r="T7766" s="98"/>
    </row>
    <row r="7767" spans="20:20" x14ac:dyDescent="0.25">
      <c r="T7767" s="98"/>
    </row>
    <row r="7768" spans="20:20" x14ac:dyDescent="0.25">
      <c r="T7768" s="98"/>
    </row>
    <row r="7769" spans="20:20" x14ac:dyDescent="0.25">
      <c r="T7769" s="98"/>
    </row>
    <row r="7770" spans="20:20" x14ac:dyDescent="0.25">
      <c r="T7770" s="98"/>
    </row>
    <row r="7771" spans="20:20" x14ac:dyDescent="0.25">
      <c r="T7771" s="98"/>
    </row>
    <row r="7772" spans="20:20" x14ac:dyDescent="0.25">
      <c r="T7772" s="98"/>
    </row>
    <row r="7773" spans="20:20" x14ac:dyDescent="0.25">
      <c r="T7773" s="98"/>
    </row>
    <row r="7774" spans="20:20" x14ac:dyDescent="0.25">
      <c r="T7774" s="98"/>
    </row>
    <row r="7775" spans="20:20" x14ac:dyDescent="0.25">
      <c r="T7775" s="98"/>
    </row>
    <row r="7776" spans="20:20" x14ac:dyDescent="0.25">
      <c r="T7776" s="98"/>
    </row>
    <row r="7777" spans="20:20" x14ac:dyDescent="0.25">
      <c r="T7777" s="98"/>
    </row>
    <row r="7778" spans="20:20" x14ac:dyDescent="0.25">
      <c r="T7778" s="98"/>
    </row>
    <row r="7779" spans="20:20" x14ac:dyDescent="0.25">
      <c r="T7779" s="98"/>
    </row>
    <row r="7780" spans="20:20" x14ac:dyDescent="0.25">
      <c r="T7780" s="98"/>
    </row>
    <row r="7781" spans="20:20" x14ac:dyDescent="0.25">
      <c r="T7781" s="98"/>
    </row>
    <row r="7782" spans="20:20" x14ac:dyDescent="0.25">
      <c r="T7782" s="98"/>
    </row>
    <row r="7783" spans="20:20" x14ac:dyDescent="0.25">
      <c r="T7783" s="98"/>
    </row>
    <row r="7784" spans="20:20" x14ac:dyDescent="0.25">
      <c r="T7784" s="98"/>
    </row>
    <row r="7785" spans="20:20" x14ac:dyDescent="0.25">
      <c r="T7785" s="98"/>
    </row>
    <row r="7786" spans="20:20" x14ac:dyDescent="0.25">
      <c r="T7786" s="98"/>
    </row>
    <row r="7787" spans="20:20" x14ac:dyDescent="0.25">
      <c r="T7787" s="98"/>
    </row>
    <row r="7788" spans="20:20" x14ac:dyDescent="0.25">
      <c r="T7788" s="98"/>
    </row>
    <row r="7789" spans="20:20" x14ac:dyDescent="0.25">
      <c r="T7789" s="98"/>
    </row>
    <row r="7790" spans="20:20" x14ac:dyDescent="0.25">
      <c r="T7790" s="98"/>
    </row>
    <row r="7791" spans="20:20" x14ac:dyDescent="0.25">
      <c r="T7791" s="98"/>
    </row>
    <row r="7792" spans="20:20" x14ac:dyDescent="0.25">
      <c r="T7792" s="98"/>
    </row>
    <row r="7793" spans="20:20" x14ac:dyDescent="0.25">
      <c r="T7793" s="98"/>
    </row>
    <row r="7794" spans="20:20" x14ac:dyDescent="0.25">
      <c r="T7794" s="98"/>
    </row>
    <row r="7795" spans="20:20" x14ac:dyDescent="0.25">
      <c r="T7795" s="98"/>
    </row>
    <row r="7796" spans="20:20" x14ac:dyDescent="0.25">
      <c r="T7796" s="98"/>
    </row>
    <row r="7797" spans="20:20" x14ac:dyDescent="0.25">
      <c r="T7797" s="98"/>
    </row>
    <row r="7798" spans="20:20" x14ac:dyDescent="0.25">
      <c r="T7798" s="98"/>
    </row>
    <row r="7799" spans="20:20" x14ac:dyDescent="0.25">
      <c r="T7799" s="98"/>
    </row>
    <row r="7800" spans="20:20" x14ac:dyDescent="0.25">
      <c r="T7800" s="98"/>
    </row>
    <row r="7801" spans="20:20" x14ac:dyDescent="0.25">
      <c r="T7801" s="98"/>
    </row>
    <row r="7802" spans="20:20" x14ac:dyDescent="0.25">
      <c r="T7802" s="98"/>
    </row>
    <row r="7803" spans="20:20" x14ac:dyDescent="0.25">
      <c r="T7803" s="98"/>
    </row>
    <row r="7804" spans="20:20" x14ac:dyDescent="0.25">
      <c r="T7804" s="98"/>
    </row>
    <row r="7805" spans="20:20" x14ac:dyDescent="0.25">
      <c r="T7805" s="98"/>
    </row>
    <row r="7806" spans="20:20" x14ac:dyDescent="0.25">
      <c r="T7806" s="98"/>
    </row>
    <row r="7807" spans="20:20" x14ac:dyDescent="0.25">
      <c r="T7807" s="98"/>
    </row>
    <row r="7808" spans="20:20" x14ac:dyDescent="0.25">
      <c r="T7808" s="98"/>
    </row>
    <row r="7809" spans="20:20" x14ac:dyDescent="0.25">
      <c r="T7809" s="98"/>
    </row>
    <row r="7810" spans="20:20" x14ac:dyDescent="0.25">
      <c r="T7810" s="98"/>
    </row>
    <row r="7811" spans="20:20" x14ac:dyDescent="0.25">
      <c r="T7811" s="98"/>
    </row>
    <row r="7812" spans="20:20" x14ac:dyDescent="0.25">
      <c r="T7812" s="98"/>
    </row>
    <row r="7813" spans="20:20" x14ac:dyDescent="0.25">
      <c r="T7813" s="98"/>
    </row>
    <row r="7814" spans="20:20" x14ac:dyDescent="0.25">
      <c r="T7814" s="98"/>
    </row>
    <row r="7815" spans="20:20" x14ac:dyDescent="0.25">
      <c r="T7815" s="98"/>
    </row>
    <row r="7816" spans="20:20" x14ac:dyDescent="0.25">
      <c r="T7816" s="98"/>
    </row>
    <row r="7817" spans="20:20" x14ac:dyDescent="0.25">
      <c r="T7817" s="98"/>
    </row>
    <row r="7818" spans="20:20" x14ac:dyDescent="0.25">
      <c r="T7818" s="98"/>
    </row>
    <row r="7819" spans="20:20" x14ac:dyDescent="0.25">
      <c r="T7819" s="98"/>
    </row>
    <row r="7820" spans="20:20" x14ac:dyDescent="0.25">
      <c r="T7820" s="98"/>
    </row>
    <row r="7821" spans="20:20" x14ac:dyDescent="0.25">
      <c r="T7821" s="98"/>
    </row>
    <row r="7822" spans="20:20" x14ac:dyDescent="0.25">
      <c r="T7822" s="98"/>
    </row>
    <row r="7823" spans="20:20" x14ac:dyDescent="0.25">
      <c r="T7823" s="98"/>
    </row>
    <row r="7824" spans="20:20" x14ac:dyDescent="0.25">
      <c r="T7824" s="98"/>
    </row>
    <row r="7825" spans="20:20" x14ac:dyDescent="0.25">
      <c r="T7825" s="98"/>
    </row>
    <row r="7826" spans="20:20" x14ac:dyDescent="0.25">
      <c r="T7826" s="98"/>
    </row>
    <row r="7827" spans="20:20" x14ac:dyDescent="0.25">
      <c r="T7827" s="98"/>
    </row>
    <row r="7828" spans="20:20" x14ac:dyDescent="0.25">
      <c r="T7828" s="98"/>
    </row>
    <row r="7829" spans="20:20" x14ac:dyDescent="0.25">
      <c r="T7829" s="98"/>
    </row>
    <row r="7830" spans="20:20" x14ac:dyDescent="0.25">
      <c r="T7830" s="98"/>
    </row>
    <row r="7831" spans="20:20" x14ac:dyDescent="0.25">
      <c r="T7831" s="98"/>
    </row>
    <row r="7832" spans="20:20" x14ac:dyDescent="0.25">
      <c r="T7832" s="98"/>
    </row>
    <row r="7833" spans="20:20" x14ac:dyDescent="0.25">
      <c r="T7833" s="98"/>
    </row>
    <row r="7834" spans="20:20" x14ac:dyDescent="0.25">
      <c r="T7834" s="98"/>
    </row>
    <row r="7835" spans="20:20" x14ac:dyDescent="0.25">
      <c r="T7835" s="98"/>
    </row>
    <row r="7836" spans="20:20" x14ac:dyDescent="0.25">
      <c r="T7836" s="98"/>
    </row>
    <row r="7837" spans="20:20" x14ac:dyDescent="0.25">
      <c r="T7837" s="98"/>
    </row>
    <row r="7838" spans="20:20" x14ac:dyDescent="0.25">
      <c r="T7838" s="98"/>
    </row>
    <row r="7839" spans="20:20" x14ac:dyDescent="0.25">
      <c r="T7839" s="98"/>
    </row>
    <row r="7840" spans="20:20" x14ac:dyDescent="0.25">
      <c r="T7840" s="98"/>
    </row>
    <row r="7841" spans="20:20" x14ac:dyDescent="0.25">
      <c r="T7841" s="98"/>
    </row>
    <row r="7842" spans="20:20" x14ac:dyDescent="0.25">
      <c r="T7842" s="98"/>
    </row>
    <row r="7843" spans="20:20" x14ac:dyDescent="0.25">
      <c r="T7843" s="98"/>
    </row>
    <row r="7844" spans="20:20" x14ac:dyDescent="0.25">
      <c r="T7844" s="98"/>
    </row>
    <row r="7845" spans="20:20" x14ac:dyDescent="0.25">
      <c r="T7845" s="98"/>
    </row>
    <row r="7846" spans="20:20" x14ac:dyDescent="0.25">
      <c r="T7846" s="98"/>
    </row>
    <row r="7847" spans="20:20" x14ac:dyDescent="0.25">
      <c r="T7847" s="98"/>
    </row>
    <row r="7848" spans="20:20" x14ac:dyDescent="0.25">
      <c r="T7848" s="98"/>
    </row>
    <row r="7849" spans="20:20" x14ac:dyDescent="0.25">
      <c r="T7849" s="98"/>
    </row>
    <row r="7850" spans="20:20" x14ac:dyDescent="0.25">
      <c r="T7850" s="98"/>
    </row>
    <row r="7851" spans="20:20" x14ac:dyDescent="0.25">
      <c r="T7851" s="98"/>
    </row>
    <row r="7852" spans="20:20" x14ac:dyDescent="0.25">
      <c r="T7852" s="98"/>
    </row>
    <row r="7853" spans="20:20" x14ac:dyDescent="0.25">
      <c r="T7853" s="98"/>
    </row>
    <row r="7854" spans="20:20" x14ac:dyDescent="0.25">
      <c r="T7854" s="98"/>
    </row>
    <row r="7855" spans="20:20" x14ac:dyDescent="0.25">
      <c r="T7855" s="98"/>
    </row>
    <row r="7856" spans="20:20" x14ac:dyDescent="0.25">
      <c r="T7856" s="98"/>
    </row>
    <row r="7857" spans="20:20" x14ac:dyDescent="0.25">
      <c r="T7857" s="98"/>
    </row>
    <row r="7858" spans="20:20" x14ac:dyDescent="0.25">
      <c r="T7858" s="98"/>
    </row>
    <row r="7859" spans="20:20" x14ac:dyDescent="0.25">
      <c r="T7859" s="98"/>
    </row>
    <row r="7860" spans="20:20" x14ac:dyDescent="0.25">
      <c r="T7860" s="98"/>
    </row>
    <row r="7861" spans="20:20" x14ac:dyDescent="0.25">
      <c r="T7861" s="98"/>
    </row>
    <row r="7862" spans="20:20" x14ac:dyDescent="0.25">
      <c r="T7862" s="98"/>
    </row>
    <row r="7863" spans="20:20" x14ac:dyDescent="0.25">
      <c r="T7863" s="98"/>
    </row>
    <row r="7864" spans="20:20" x14ac:dyDescent="0.25">
      <c r="T7864" s="98"/>
    </row>
    <row r="7865" spans="20:20" x14ac:dyDescent="0.25">
      <c r="T7865" s="98"/>
    </row>
    <row r="7866" spans="20:20" x14ac:dyDescent="0.25">
      <c r="T7866" s="98"/>
    </row>
    <row r="7867" spans="20:20" x14ac:dyDescent="0.25">
      <c r="T7867" s="98"/>
    </row>
    <row r="7868" spans="20:20" x14ac:dyDescent="0.25">
      <c r="T7868" s="98"/>
    </row>
    <row r="7869" spans="20:20" x14ac:dyDescent="0.25">
      <c r="T7869" s="98"/>
    </row>
    <row r="7870" spans="20:20" x14ac:dyDescent="0.25">
      <c r="T7870" s="98"/>
    </row>
    <row r="7871" spans="20:20" x14ac:dyDescent="0.25">
      <c r="T7871" s="98"/>
    </row>
    <row r="7872" spans="20:20" x14ac:dyDescent="0.25">
      <c r="T7872" s="98"/>
    </row>
    <row r="7873" spans="20:20" x14ac:dyDescent="0.25">
      <c r="T7873" s="98"/>
    </row>
    <row r="7874" spans="20:20" x14ac:dyDescent="0.25">
      <c r="T7874" s="98"/>
    </row>
    <row r="7875" spans="20:20" x14ac:dyDescent="0.25">
      <c r="T7875" s="98"/>
    </row>
    <row r="7876" spans="20:20" x14ac:dyDescent="0.25">
      <c r="T7876" s="98"/>
    </row>
    <row r="7877" spans="20:20" x14ac:dyDescent="0.25">
      <c r="T7877" s="98"/>
    </row>
    <row r="7878" spans="20:20" x14ac:dyDescent="0.25">
      <c r="T7878" s="98"/>
    </row>
    <row r="7879" spans="20:20" x14ac:dyDescent="0.25">
      <c r="T7879" s="98"/>
    </row>
    <row r="7880" spans="20:20" x14ac:dyDescent="0.25">
      <c r="T7880" s="98"/>
    </row>
    <row r="7881" spans="20:20" x14ac:dyDescent="0.25">
      <c r="T7881" s="98"/>
    </row>
    <row r="7882" spans="20:20" x14ac:dyDescent="0.25">
      <c r="T7882" s="98"/>
    </row>
    <row r="7883" spans="20:20" x14ac:dyDescent="0.25">
      <c r="T7883" s="98"/>
    </row>
    <row r="7884" spans="20:20" x14ac:dyDescent="0.25">
      <c r="T7884" s="98"/>
    </row>
    <row r="7885" spans="20:20" x14ac:dyDescent="0.25">
      <c r="T7885" s="98"/>
    </row>
    <row r="7886" spans="20:20" x14ac:dyDescent="0.25">
      <c r="T7886" s="98"/>
    </row>
    <row r="7887" spans="20:20" x14ac:dyDescent="0.25">
      <c r="T7887" s="98"/>
    </row>
    <row r="7888" spans="20:20" x14ac:dyDescent="0.25">
      <c r="T7888" s="98"/>
    </row>
    <row r="7889" spans="20:20" x14ac:dyDescent="0.25">
      <c r="T7889" s="98"/>
    </row>
    <row r="7890" spans="20:20" x14ac:dyDescent="0.25">
      <c r="T7890" s="98"/>
    </row>
    <row r="7891" spans="20:20" x14ac:dyDescent="0.25">
      <c r="T7891" s="98"/>
    </row>
    <row r="7892" spans="20:20" x14ac:dyDescent="0.25">
      <c r="T7892" s="98"/>
    </row>
    <row r="7893" spans="20:20" x14ac:dyDescent="0.25">
      <c r="T7893" s="98"/>
    </row>
    <row r="7894" spans="20:20" x14ac:dyDescent="0.25">
      <c r="T7894" s="98"/>
    </row>
    <row r="7895" spans="20:20" x14ac:dyDescent="0.25">
      <c r="T7895" s="98"/>
    </row>
    <row r="7896" spans="20:20" x14ac:dyDescent="0.25">
      <c r="T7896" s="98"/>
    </row>
    <row r="7897" spans="20:20" x14ac:dyDescent="0.25">
      <c r="T7897" s="98"/>
    </row>
    <row r="7898" spans="20:20" x14ac:dyDescent="0.25">
      <c r="T7898" s="98"/>
    </row>
    <row r="7899" spans="20:20" x14ac:dyDescent="0.25">
      <c r="T7899" s="98"/>
    </row>
    <row r="7900" spans="20:20" x14ac:dyDescent="0.25">
      <c r="T7900" s="98"/>
    </row>
    <row r="7901" spans="20:20" x14ac:dyDescent="0.25">
      <c r="T7901" s="98"/>
    </row>
    <row r="7902" spans="20:20" x14ac:dyDescent="0.25">
      <c r="T7902" s="98"/>
    </row>
    <row r="7903" spans="20:20" x14ac:dyDescent="0.25">
      <c r="T7903" s="98"/>
    </row>
    <row r="7904" spans="20:20" x14ac:dyDescent="0.25">
      <c r="T7904" s="98"/>
    </row>
    <row r="7905" spans="20:20" x14ac:dyDescent="0.25">
      <c r="T7905" s="98"/>
    </row>
    <row r="7906" spans="20:20" x14ac:dyDescent="0.25">
      <c r="T7906" s="98"/>
    </row>
    <row r="7907" spans="20:20" x14ac:dyDescent="0.25">
      <c r="T7907" s="98"/>
    </row>
    <row r="7908" spans="20:20" x14ac:dyDescent="0.25">
      <c r="T7908" s="98"/>
    </row>
    <row r="7909" spans="20:20" x14ac:dyDescent="0.25">
      <c r="T7909" s="98"/>
    </row>
    <row r="7910" spans="20:20" x14ac:dyDescent="0.25">
      <c r="T7910" s="98"/>
    </row>
    <row r="7911" spans="20:20" x14ac:dyDescent="0.25">
      <c r="T7911" s="98"/>
    </row>
    <row r="7912" spans="20:20" x14ac:dyDescent="0.25">
      <c r="T7912" s="98"/>
    </row>
    <row r="7913" spans="20:20" x14ac:dyDescent="0.25">
      <c r="T7913" s="98"/>
    </row>
    <row r="7914" spans="20:20" x14ac:dyDescent="0.25">
      <c r="T7914" s="98"/>
    </row>
    <row r="7915" spans="20:20" x14ac:dyDescent="0.25">
      <c r="T7915" s="98"/>
    </row>
    <row r="7916" spans="20:20" x14ac:dyDescent="0.25">
      <c r="T7916" s="98"/>
    </row>
    <row r="7917" spans="20:20" x14ac:dyDescent="0.25">
      <c r="T7917" s="98"/>
    </row>
    <row r="7918" spans="20:20" x14ac:dyDescent="0.25">
      <c r="T7918" s="98"/>
    </row>
    <row r="7919" spans="20:20" x14ac:dyDescent="0.25">
      <c r="T7919" s="98"/>
    </row>
    <row r="7920" spans="20:20" x14ac:dyDescent="0.25">
      <c r="T7920" s="98"/>
    </row>
    <row r="7921" spans="20:20" x14ac:dyDescent="0.25">
      <c r="T7921" s="98"/>
    </row>
    <row r="7922" spans="20:20" x14ac:dyDescent="0.25">
      <c r="T7922" s="98"/>
    </row>
    <row r="7923" spans="20:20" x14ac:dyDescent="0.25">
      <c r="T7923" s="98"/>
    </row>
    <row r="7924" spans="20:20" x14ac:dyDescent="0.25">
      <c r="T7924" s="98"/>
    </row>
    <row r="7925" spans="20:20" x14ac:dyDescent="0.25">
      <c r="T7925" s="98"/>
    </row>
    <row r="7926" spans="20:20" x14ac:dyDescent="0.25">
      <c r="T7926" s="98"/>
    </row>
    <row r="7927" spans="20:20" x14ac:dyDescent="0.25">
      <c r="T7927" s="98"/>
    </row>
    <row r="7928" spans="20:20" x14ac:dyDescent="0.25">
      <c r="T7928" s="98"/>
    </row>
    <row r="7929" spans="20:20" x14ac:dyDescent="0.25">
      <c r="T7929" s="98"/>
    </row>
    <row r="7930" spans="20:20" x14ac:dyDescent="0.25">
      <c r="T7930" s="98"/>
    </row>
    <row r="7931" spans="20:20" x14ac:dyDescent="0.25">
      <c r="T7931" s="98"/>
    </row>
    <row r="7932" spans="20:20" x14ac:dyDescent="0.25">
      <c r="T7932" s="98"/>
    </row>
    <row r="7933" spans="20:20" x14ac:dyDescent="0.25">
      <c r="T7933" s="98"/>
    </row>
    <row r="7934" spans="20:20" x14ac:dyDescent="0.25">
      <c r="T7934" s="98"/>
    </row>
    <row r="7935" spans="20:20" x14ac:dyDescent="0.25">
      <c r="T7935" s="98"/>
    </row>
    <row r="7936" spans="20:20" x14ac:dyDescent="0.25">
      <c r="T7936" s="98"/>
    </row>
    <row r="7937" spans="20:20" x14ac:dyDescent="0.25">
      <c r="T7937" s="98"/>
    </row>
    <row r="7938" spans="20:20" x14ac:dyDescent="0.25">
      <c r="T7938" s="98"/>
    </row>
    <row r="7939" spans="20:20" x14ac:dyDescent="0.25">
      <c r="T7939" s="98"/>
    </row>
    <row r="7940" spans="20:20" x14ac:dyDescent="0.25">
      <c r="T7940" s="98"/>
    </row>
    <row r="7941" spans="20:20" x14ac:dyDescent="0.25">
      <c r="T7941" s="98"/>
    </row>
    <row r="7942" spans="20:20" x14ac:dyDescent="0.25">
      <c r="T7942" s="98"/>
    </row>
    <row r="7943" spans="20:20" x14ac:dyDescent="0.25">
      <c r="T7943" s="98"/>
    </row>
    <row r="7944" spans="20:20" x14ac:dyDescent="0.25">
      <c r="T7944" s="98"/>
    </row>
    <row r="7945" spans="20:20" x14ac:dyDescent="0.25">
      <c r="T7945" s="98"/>
    </row>
    <row r="7946" spans="20:20" x14ac:dyDescent="0.25">
      <c r="T7946" s="98"/>
    </row>
    <row r="7947" spans="20:20" x14ac:dyDescent="0.25">
      <c r="T7947" s="98"/>
    </row>
    <row r="7948" spans="20:20" x14ac:dyDescent="0.25">
      <c r="T7948" s="98"/>
    </row>
    <row r="7949" spans="20:20" x14ac:dyDescent="0.25">
      <c r="T7949" s="98"/>
    </row>
    <row r="7950" spans="20:20" x14ac:dyDescent="0.25">
      <c r="T7950" s="98"/>
    </row>
    <row r="7951" spans="20:20" x14ac:dyDescent="0.25">
      <c r="T7951" s="98"/>
    </row>
    <row r="7952" spans="20:20" x14ac:dyDescent="0.25">
      <c r="T7952" s="98"/>
    </row>
    <row r="7953" spans="20:20" x14ac:dyDescent="0.25">
      <c r="T7953" s="98"/>
    </row>
    <row r="7954" spans="20:20" x14ac:dyDescent="0.25">
      <c r="T7954" s="98"/>
    </row>
    <row r="7955" spans="20:20" x14ac:dyDescent="0.25">
      <c r="T7955" s="98"/>
    </row>
    <row r="7956" spans="20:20" x14ac:dyDescent="0.25">
      <c r="T7956" s="98"/>
    </row>
    <row r="7957" spans="20:20" x14ac:dyDescent="0.25">
      <c r="T7957" s="98"/>
    </row>
    <row r="7958" spans="20:20" x14ac:dyDescent="0.25">
      <c r="T7958" s="98"/>
    </row>
    <row r="7959" spans="20:20" x14ac:dyDescent="0.25">
      <c r="T7959" s="98"/>
    </row>
    <row r="7960" spans="20:20" x14ac:dyDescent="0.25">
      <c r="T7960" s="98"/>
    </row>
    <row r="7961" spans="20:20" x14ac:dyDescent="0.25">
      <c r="T7961" s="98"/>
    </row>
    <row r="7962" spans="20:20" x14ac:dyDescent="0.25">
      <c r="T7962" s="98"/>
    </row>
    <row r="7963" spans="20:20" x14ac:dyDescent="0.25">
      <c r="T7963" s="98"/>
    </row>
    <row r="7964" spans="20:20" x14ac:dyDescent="0.25">
      <c r="T7964" s="98"/>
    </row>
    <row r="7965" spans="20:20" x14ac:dyDescent="0.25">
      <c r="T7965" s="98"/>
    </row>
    <row r="7966" spans="20:20" x14ac:dyDescent="0.25">
      <c r="T7966" s="98"/>
    </row>
    <row r="7967" spans="20:20" x14ac:dyDescent="0.25">
      <c r="T7967" s="98"/>
    </row>
    <row r="7968" spans="20:20" x14ac:dyDescent="0.25">
      <c r="T7968" s="98"/>
    </row>
    <row r="7969" spans="20:20" x14ac:dyDescent="0.25">
      <c r="T7969" s="98"/>
    </row>
    <row r="7970" spans="20:20" x14ac:dyDescent="0.25">
      <c r="T7970" s="98"/>
    </row>
    <row r="7971" spans="20:20" x14ac:dyDescent="0.25">
      <c r="T7971" s="98"/>
    </row>
    <row r="7972" spans="20:20" x14ac:dyDescent="0.25">
      <c r="T7972" s="98"/>
    </row>
    <row r="7973" spans="20:20" x14ac:dyDescent="0.25">
      <c r="T7973" s="98"/>
    </row>
    <row r="7974" spans="20:20" x14ac:dyDescent="0.25">
      <c r="T7974" s="98"/>
    </row>
    <row r="7975" spans="20:20" x14ac:dyDescent="0.25">
      <c r="T7975" s="98"/>
    </row>
    <row r="7976" spans="20:20" x14ac:dyDescent="0.25">
      <c r="T7976" s="98"/>
    </row>
    <row r="7977" spans="20:20" x14ac:dyDescent="0.25">
      <c r="T7977" s="98"/>
    </row>
    <row r="7978" spans="20:20" x14ac:dyDescent="0.25">
      <c r="T7978" s="98"/>
    </row>
    <row r="7979" spans="20:20" x14ac:dyDescent="0.25">
      <c r="T7979" s="98"/>
    </row>
    <row r="7980" spans="20:20" x14ac:dyDescent="0.25">
      <c r="T7980" s="98"/>
    </row>
    <row r="7981" spans="20:20" x14ac:dyDescent="0.25">
      <c r="T7981" s="98"/>
    </row>
    <row r="7982" spans="20:20" x14ac:dyDescent="0.25">
      <c r="T7982" s="98"/>
    </row>
    <row r="7983" spans="20:20" x14ac:dyDescent="0.25">
      <c r="T7983" s="98"/>
    </row>
    <row r="7984" spans="20:20" x14ac:dyDescent="0.25">
      <c r="T7984" s="98"/>
    </row>
    <row r="7985" spans="20:20" x14ac:dyDescent="0.25">
      <c r="T7985" s="98"/>
    </row>
    <row r="7986" spans="20:20" x14ac:dyDescent="0.25">
      <c r="T7986" s="98"/>
    </row>
    <row r="7987" spans="20:20" x14ac:dyDescent="0.25">
      <c r="T7987" s="98"/>
    </row>
    <row r="7988" spans="20:20" x14ac:dyDescent="0.25">
      <c r="T7988" s="98"/>
    </row>
    <row r="7989" spans="20:20" x14ac:dyDescent="0.25">
      <c r="T7989" s="98"/>
    </row>
    <row r="7990" spans="20:20" x14ac:dyDescent="0.25">
      <c r="T7990" s="98"/>
    </row>
    <row r="7991" spans="20:20" x14ac:dyDescent="0.25">
      <c r="T7991" s="98"/>
    </row>
    <row r="7992" spans="20:20" x14ac:dyDescent="0.25">
      <c r="T7992" s="98"/>
    </row>
    <row r="7993" spans="20:20" x14ac:dyDescent="0.25">
      <c r="T7993" s="98"/>
    </row>
    <row r="7994" spans="20:20" x14ac:dyDescent="0.25">
      <c r="T7994" s="98"/>
    </row>
    <row r="7995" spans="20:20" x14ac:dyDescent="0.25">
      <c r="T7995" s="98"/>
    </row>
    <row r="7996" spans="20:20" x14ac:dyDescent="0.25">
      <c r="T7996" s="98"/>
    </row>
    <row r="7997" spans="20:20" x14ac:dyDescent="0.25">
      <c r="T7997" s="98"/>
    </row>
    <row r="7998" spans="20:20" x14ac:dyDescent="0.25">
      <c r="T7998" s="98"/>
    </row>
    <row r="7999" spans="20:20" x14ac:dyDescent="0.25">
      <c r="T7999" s="98"/>
    </row>
    <row r="8000" spans="20:20" x14ac:dyDescent="0.25">
      <c r="T8000" s="98"/>
    </row>
    <row r="8001" spans="20:20" x14ac:dyDescent="0.25">
      <c r="T8001" s="98"/>
    </row>
    <row r="8002" spans="20:20" x14ac:dyDescent="0.25">
      <c r="T8002" s="98"/>
    </row>
    <row r="8003" spans="20:20" x14ac:dyDescent="0.25">
      <c r="T8003" s="98"/>
    </row>
    <row r="8004" spans="20:20" x14ac:dyDescent="0.25">
      <c r="T8004" s="98"/>
    </row>
    <row r="8005" spans="20:20" x14ac:dyDescent="0.25">
      <c r="T8005" s="98"/>
    </row>
    <row r="8006" spans="20:20" x14ac:dyDescent="0.25">
      <c r="T8006" s="98"/>
    </row>
    <row r="8007" spans="20:20" x14ac:dyDescent="0.25">
      <c r="T8007" s="98"/>
    </row>
    <row r="8008" spans="20:20" x14ac:dyDescent="0.25">
      <c r="T8008" s="98"/>
    </row>
    <row r="8009" spans="20:20" x14ac:dyDescent="0.25">
      <c r="T8009" s="98"/>
    </row>
    <row r="8010" spans="20:20" x14ac:dyDescent="0.25">
      <c r="T8010" s="98"/>
    </row>
    <row r="8011" spans="20:20" x14ac:dyDescent="0.25">
      <c r="T8011" s="98"/>
    </row>
    <row r="8012" spans="20:20" x14ac:dyDescent="0.25">
      <c r="T8012" s="98"/>
    </row>
    <row r="8013" spans="20:20" x14ac:dyDescent="0.25">
      <c r="T8013" s="98"/>
    </row>
    <row r="8014" spans="20:20" x14ac:dyDescent="0.25">
      <c r="T8014" s="98"/>
    </row>
    <row r="8015" spans="20:20" x14ac:dyDescent="0.25">
      <c r="T8015" s="98"/>
    </row>
    <row r="8016" spans="20:20" x14ac:dyDescent="0.25">
      <c r="T8016" s="98"/>
    </row>
    <row r="8017" spans="20:20" x14ac:dyDescent="0.25">
      <c r="T8017" s="98"/>
    </row>
    <row r="8018" spans="20:20" x14ac:dyDescent="0.25">
      <c r="T8018" s="98"/>
    </row>
    <row r="8019" spans="20:20" x14ac:dyDescent="0.25">
      <c r="T8019" s="98"/>
    </row>
    <row r="8020" spans="20:20" x14ac:dyDescent="0.25">
      <c r="T8020" s="98"/>
    </row>
    <row r="8021" spans="20:20" x14ac:dyDescent="0.25">
      <c r="T8021" s="98"/>
    </row>
    <row r="8022" spans="20:20" x14ac:dyDescent="0.25">
      <c r="T8022" s="98"/>
    </row>
    <row r="8023" spans="20:20" x14ac:dyDescent="0.25">
      <c r="T8023" s="98"/>
    </row>
    <row r="8024" spans="20:20" x14ac:dyDescent="0.25">
      <c r="T8024" s="98"/>
    </row>
    <row r="8025" spans="20:20" x14ac:dyDescent="0.25">
      <c r="T8025" s="98"/>
    </row>
    <row r="8026" spans="20:20" x14ac:dyDescent="0.25">
      <c r="T8026" s="98"/>
    </row>
    <row r="8027" spans="20:20" x14ac:dyDescent="0.25">
      <c r="T8027" s="98"/>
    </row>
    <row r="8028" spans="20:20" x14ac:dyDescent="0.25">
      <c r="T8028" s="98"/>
    </row>
    <row r="8029" spans="20:20" x14ac:dyDescent="0.25">
      <c r="T8029" s="98"/>
    </row>
    <row r="8030" spans="20:20" x14ac:dyDescent="0.25">
      <c r="T8030" s="98"/>
    </row>
    <row r="8031" spans="20:20" x14ac:dyDescent="0.25">
      <c r="T8031" s="98"/>
    </row>
    <row r="8032" spans="20:20" x14ac:dyDescent="0.25">
      <c r="T8032" s="98"/>
    </row>
    <row r="8033" spans="20:20" x14ac:dyDescent="0.25">
      <c r="T8033" s="98"/>
    </row>
    <row r="8034" spans="20:20" x14ac:dyDescent="0.25">
      <c r="T8034" s="98"/>
    </row>
    <row r="8035" spans="20:20" x14ac:dyDescent="0.25">
      <c r="T8035" s="98"/>
    </row>
    <row r="8036" spans="20:20" x14ac:dyDescent="0.25">
      <c r="T8036" s="98"/>
    </row>
    <row r="8037" spans="20:20" x14ac:dyDescent="0.25">
      <c r="T8037" s="98"/>
    </row>
    <row r="8038" spans="20:20" x14ac:dyDescent="0.25">
      <c r="T8038" s="98"/>
    </row>
    <row r="8039" spans="20:20" x14ac:dyDescent="0.25">
      <c r="T8039" s="98"/>
    </row>
    <row r="8040" spans="20:20" x14ac:dyDescent="0.25">
      <c r="T8040" s="98"/>
    </row>
    <row r="8041" spans="20:20" x14ac:dyDescent="0.25">
      <c r="T8041" s="98"/>
    </row>
    <row r="8042" spans="20:20" x14ac:dyDescent="0.25">
      <c r="T8042" s="98"/>
    </row>
    <row r="8043" spans="20:20" x14ac:dyDescent="0.25">
      <c r="T8043" s="98"/>
    </row>
    <row r="8044" spans="20:20" x14ac:dyDescent="0.25">
      <c r="T8044" s="98"/>
    </row>
    <row r="8045" spans="20:20" x14ac:dyDescent="0.25">
      <c r="T8045" s="98"/>
    </row>
    <row r="8046" spans="20:20" x14ac:dyDescent="0.25">
      <c r="T8046" s="98"/>
    </row>
    <row r="8047" spans="20:20" x14ac:dyDescent="0.25">
      <c r="T8047" s="98"/>
    </row>
    <row r="8048" spans="20:20" x14ac:dyDescent="0.25">
      <c r="T8048" s="98"/>
    </row>
    <row r="8049" spans="20:20" x14ac:dyDescent="0.25">
      <c r="T8049" s="98"/>
    </row>
    <row r="8050" spans="20:20" x14ac:dyDescent="0.25">
      <c r="T8050" s="98"/>
    </row>
    <row r="8051" spans="20:20" x14ac:dyDescent="0.25">
      <c r="T8051" s="98"/>
    </row>
    <row r="8052" spans="20:20" x14ac:dyDescent="0.25">
      <c r="T8052" s="98"/>
    </row>
    <row r="8053" spans="20:20" x14ac:dyDescent="0.25">
      <c r="T8053" s="98"/>
    </row>
    <row r="8054" spans="20:20" x14ac:dyDescent="0.25">
      <c r="T8054" s="98"/>
    </row>
    <row r="8055" spans="20:20" x14ac:dyDescent="0.25">
      <c r="T8055" s="98"/>
    </row>
    <row r="8056" spans="20:20" x14ac:dyDescent="0.25">
      <c r="T8056" s="98"/>
    </row>
    <row r="8057" spans="20:20" x14ac:dyDescent="0.25">
      <c r="T8057" s="98"/>
    </row>
    <row r="8058" spans="20:20" x14ac:dyDescent="0.25">
      <c r="T8058" s="98"/>
    </row>
    <row r="8059" spans="20:20" x14ac:dyDescent="0.25">
      <c r="T8059" s="98"/>
    </row>
    <row r="8060" spans="20:20" x14ac:dyDescent="0.25">
      <c r="T8060" s="98"/>
    </row>
    <row r="8061" spans="20:20" x14ac:dyDescent="0.25">
      <c r="T8061" s="98"/>
    </row>
    <row r="8062" spans="20:20" x14ac:dyDescent="0.25">
      <c r="T8062" s="98"/>
    </row>
    <row r="8063" spans="20:20" x14ac:dyDescent="0.25">
      <c r="T8063" s="98"/>
    </row>
    <row r="8064" spans="20:20" x14ac:dyDescent="0.25">
      <c r="T8064" s="98"/>
    </row>
    <row r="8065" spans="20:20" x14ac:dyDescent="0.25">
      <c r="T8065" s="98"/>
    </row>
    <row r="8066" spans="20:20" x14ac:dyDescent="0.25">
      <c r="T8066" s="98"/>
    </row>
    <row r="8067" spans="20:20" x14ac:dyDescent="0.25">
      <c r="T8067" s="98"/>
    </row>
    <row r="8068" spans="20:20" x14ac:dyDescent="0.25">
      <c r="T8068" s="98"/>
    </row>
    <row r="8069" spans="20:20" x14ac:dyDescent="0.25">
      <c r="T8069" s="98"/>
    </row>
    <row r="8070" spans="20:20" x14ac:dyDescent="0.25">
      <c r="T8070" s="98"/>
    </row>
    <row r="8071" spans="20:20" x14ac:dyDescent="0.25">
      <c r="T8071" s="98"/>
    </row>
    <row r="8072" spans="20:20" x14ac:dyDescent="0.25">
      <c r="T8072" s="98"/>
    </row>
    <row r="8073" spans="20:20" x14ac:dyDescent="0.25">
      <c r="T8073" s="98"/>
    </row>
    <row r="8074" spans="20:20" x14ac:dyDescent="0.25">
      <c r="T8074" s="98"/>
    </row>
    <row r="8075" spans="20:20" x14ac:dyDescent="0.25">
      <c r="T8075" s="98"/>
    </row>
    <row r="8076" spans="20:20" x14ac:dyDescent="0.25">
      <c r="T8076" s="98"/>
    </row>
    <row r="8077" spans="20:20" x14ac:dyDescent="0.25">
      <c r="T8077" s="98"/>
    </row>
    <row r="8078" spans="20:20" x14ac:dyDescent="0.25">
      <c r="T8078" s="98"/>
    </row>
    <row r="8079" spans="20:20" x14ac:dyDescent="0.25">
      <c r="T8079" s="98"/>
    </row>
    <row r="8080" spans="20:20" x14ac:dyDescent="0.25">
      <c r="T8080" s="98"/>
    </row>
    <row r="8081" spans="20:20" x14ac:dyDescent="0.25">
      <c r="T8081" s="98"/>
    </row>
    <row r="8082" spans="20:20" x14ac:dyDescent="0.25">
      <c r="T8082" s="98"/>
    </row>
    <row r="8083" spans="20:20" x14ac:dyDescent="0.25">
      <c r="T8083" s="98"/>
    </row>
    <row r="8084" spans="20:20" x14ac:dyDescent="0.25">
      <c r="T8084" s="98"/>
    </row>
    <row r="8085" spans="20:20" x14ac:dyDescent="0.25">
      <c r="T8085" s="98"/>
    </row>
    <row r="8086" spans="20:20" x14ac:dyDescent="0.25">
      <c r="T8086" s="98"/>
    </row>
    <row r="8087" spans="20:20" x14ac:dyDescent="0.25">
      <c r="T8087" s="98"/>
    </row>
    <row r="8088" spans="20:20" x14ac:dyDescent="0.25">
      <c r="T8088" s="98"/>
    </row>
    <row r="8089" spans="20:20" x14ac:dyDescent="0.25">
      <c r="T8089" s="98"/>
    </row>
    <row r="8090" spans="20:20" x14ac:dyDescent="0.25">
      <c r="T8090" s="98"/>
    </row>
    <row r="8091" spans="20:20" x14ac:dyDescent="0.25">
      <c r="T8091" s="98"/>
    </row>
    <row r="8092" spans="20:20" x14ac:dyDescent="0.25">
      <c r="T8092" s="98"/>
    </row>
    <row r="8093" spans="20:20" x14ac:dyDescent="0.25">
      <c r="T8093" s="98"/>
    </row>
    <row r="8094" spans="20:20" x14ac:dyDescent="0.25">
      <c r="T8094" s="98"/>
    </row>
    <row r="8095" spans="20:20" x14ac:dyDescent="0.25">
      <c r="T8095" s="98"/>
    </row>
    <row r="8096" spans="20:20" x14ac:dyDescent="0.25">
      <c r="T8096" s="98"/>
    </row>
    <row r="8097" spans="20:20" x14ac:dyDescent="0.25">
      <c r="T8097" s="98"/>
    </row>
    <row r="8098" spans="20:20" x14ac:dyDescent="0.25">
      <c r="T8098" s="98"/>
    </row>
    <row r="8099" spans="20:20" x14ac:dyDescent="0.25">
      <c r="T8099" s="98"/>
    </row>
    <row r="8100" spans="20:20" x14ac:dyDescent="0.25">
      <c r="T8100" s="98"/>
    </row>
    <row r="8101" spans="20:20" x14ac:dyDescent="0.25">
      <c r="T8101" s="98"/>
    </row>
    <row r="8102" spans="20:20" x14ac:dyDescent="0.25">
      <c r="T8102" s="98"/>
    </row>
    <row r="8103" spans="20:20" x14ac:dyDescent="0.25">
      <c r="T8103" s="98"/>
    </row>
    <row r="8104" spans="20:20" x14ac:dyDescent="0.25">
      <c r="T8104" s="98"/>
    </row>
    <row r="8105" spans="20:20" x14ac:dyDescent="0.25">
      <c r="T8105" s="98"/>
    </row>
    <row r="8106" spans="20:20" x14ac:dyDescent="0.25">
      <c r="T8106" s="98"/>
    </row>
    <row r="8107" spans="20:20" x14ac:dyDescent="0.25">
      <c r="T8107" s="98"/>
    </row>
    <row r="8108" spans="20:20" x14ac:dyDescent="0.25">
      <c r="T8108" s="98"/>
    </row>
    <row r="8109" spans="20:20" x14ac:dyDescent="0.25">
      <c r="T8109" s="98"/>
    </row>
    <row r="8110" spans="20:20" x14ac:dyDescent="0.25">
      <c r="T8110" s="98"/>
    </row>
    <row r="8111" spans="20:20" x14ac:dyDescent="0.25">
      <c r="T8111" s="98"/>
    </row>
    <row r="8112" spans="20:20" x14ac:dyDescent="0.25">
      <c r="T8112" s="98"/>
    </row>
    <row r="8113" spans="20:20" x14ac:dyDescent="0.25">
      <c r="T8113" s="98"/>
    </row>
    <row r="8114" spans="20:20" x14ac:dyDescent="0.25">
      <c r="T8114" s="98"/>
    </row>
    <row r="8115" spans="20:20" x14ac:dyDescent="0.25">
      <c r="T8115" s="98"/>
    </row>
    <row r="8116" spans="20:20" x14ac:dyDescent="0.25">
      <c r="T8116" s="98"/>
    </row>
    <row r="8117" spans="20:20" x14ac:dyDescent="0.25">
      <c r="T8117" s="98"/>
    </row>
    <row r="8118" spans="20:20" x14ac:dyDescent="0.25">
      <c r="T8118" s="98"/>
    </row>
    <row r="8119" spans="20:20" x14ac:dyDescent="0.25">
      <c r="T8119" s="98"/>
    </row>
    <row r="8120" spans="20:20" x14ac:dyDescent="0.25">
      <c r="T8120" s="98"/>
    </row>
    <row r="8121" spans="20:20" x14ac:dyDescent="0.25">
      <c r="T8121" s="98"/>
    </row>
    <row r="8122" spans="20:20" x14ac:dyDescent="0.25">
      <c r="T8122" s="98"/>
    </row>
    <row r="8123" spans="20:20" x14ac:dyDescent="0.25">
      <c r="T8123" s="98"/>
    </row>
    <row r="8124" spans="20:20" x14ac:dyDescent="0.25">
      <c r="T8124" s="98"/>
    </row>
    <row r="8125" spans="20:20" x14ac:dyDescent="0.25">
      <c r="T8125" s="98"/>
    </row>
    <row r="8126" spans="20:20" x14ac:dyDescent="0.25">
      <c r="T8126" s="98"/>
    </row>
    <row r="8127" spans="20:20" x14ac:dyDescent="0.25">
      <c r="T8127" s="98"/>
    </row>
    <row r="8128" spans="20:20" x14ac:dyDescent="0.25">
      <c r="T8128" s="98"/>
    </row>
    <row r="8129" spans="20:20" x14ac:dyDescent="0.25">
      <c r="T8129" s="98"/>
    </row>
    <row r="8130" spans="20:20" x14ac:dyDescent="0.25">
      <c r="T8130" s="98"/>
    </row>
    <row r="8131" spans="20:20" x14ac:dyDescent="0.25">
      <c r="T8131" s="98"/>
    </row>
    <row r="8132" spans="20:20" x14ac:dyDescent="0.25">
      <c r="T8132" s="98"/>
    </row>
    <row r="8133" spans="20:20" x14ac:dyDescent="0.25">
      <c r="T8133" s="98"/>
    </row>
    <row r="8134" spans="20:20" x14ac:dyDescent="0.25">
      <c r="T8134" s="98"/>
    </row>
    <row r="8135" spans="20:20" x14ac:dyDescent="0.25">
      <c r="T8135" s="98"/>
    </row>
    <row r="8136" spans="20:20" x14ac:dyDescent="0.25">
      <c r="T8136" s="98"/>
    </row>
    <row r="8137" spans="20:20" x14ac:dyDescent="0.25">
      <c r="T8137" s="98"/>
    </row>
    <row r="8138" spans="20:20" x14ac:dyDescent="0.25">
      <c r="T8138" s="98"/>
    </row>
    <row r="8139" spans="20:20" x14ac:dyDescent="0.25">
      <c r="T8139" s="98"/>
    </row>
    <row r="8140" spans="20:20" x14ac:dyDescent="0.25">
      <c r="T8140" s="98"/>
    </row>
    <row r="8141" spans="20:20" x14ac:dyDescent="0.25">
      <c r="T8141" s="98"/>
    </row>
    <row r="8142" spans="20:20" x14ac:dyDescent="0.25">
      <c r="T8142" s="98"/>
    </row>
    <row r="8143" spans="20:20" x14ac:dyDescent="0.25">
      <c r="T8143" s="98"/>
    </row>
    <row r="8144" spans="20:20" x14ac:dyDescent="0.25">
      <c r="T8144" s="98"/>
    </row>
    <row r="8145" spans="20:20" x14ac:dyDescent="0.25">
      <c r="T8145" s="98"/>
    </row>
    <row r="8146" spans="20:20" x14ac:dyDescent="0.25">
      <c r="T8146" s="98"/>
    </row>
    <row r="8147" spans="20:20" x14ac:dyDescent="0.25">
      <c r="T8147" s="98"/>
    </row>
    <row r="8148" spans="20:20" x14ac:dyDescent="0.25">
      <c r="T8148" s="98"/>
    </row>
    <row r="8149" spans="20:20" x14ac:dyDescent="0.25">
      <c r="T8149" s="98"/>
    </row>
    <row r="8150" spans="20:20" x14ac:dyDescent="0.25">
      <c r="T8150" s="98"/>
    </row>
    <row r="8151" spans="20:20" x14ac:dyDescent="0.25">
      <c r="T8151" s="98"/>
    </row>
    <row r="8152" spans="20:20" x14ac:dyDescent="0.25">
      <c r="T8152" s="98"/>
    </row>
    <row r="8153" spans="20:20" x14ac:dyDescent="0.25">
      <c r="T8153" s="98"/>
    </row>
    <row r="8154" spans="20:20" x14ac:dyDescent="0.25">
      <c r="T8154" s="98"/>
    </row>
    <row r="8155" spans="20:20" x14ac:dyDescent="0.25">
      <c r="T8155" s="98"/>
    </row>
    <row r="8156" spans="20:20" x14ac:dyDescent="0.25">
      <c r="T8156" s="98"/>
    </row>
    <row r="8157" spans="20:20" x14ac:dyDescent="0.25">
      <c r="T8157" s="98"/>
    </row>
    <row r="8158" spans="20:20" x14ac:dyDescent="0.25">
      <c r="T8158" s="98"/>
    </row>
    <row r="8159" spans="20:20" x14ac:dyDescent="0.25">
      <c r="T8159" s="98"/>
    </row>
    <row r="8160" spans="20:20" x14ac:dyDescent="0.25">
      <c r="T8160" s="98"/>
    </row>
    <row r="8161" spans="20:20" x14ac:dyDescent="0.25">
      <c r="T8161" s="98"/>
    </row>
    <row r="8162" spans="20:20" x14ac:dyDescent="0.25">
      <c r="T8162" s="98"/>
    </row>
    <row r="8163" spans="20:20" x14ac:dyDescent="0.25">
      <c r="T8163" s="98"/>
    </row>
    <row r="8164" spans="20:20" x14ac:dyDescent="0.25">
      <c r="T8164" s="98"/>
    </row>
    <row r="8165" spans="20:20" x14ac:dyDescent="0.25">
      <c r="T8165" s="98"/>
    </row>
    <row r="8166" spans="20:20" x14ac:dyDescent="0.25">
      <c r="T8166" s="98"/>
    </row>
    <row r="8167" spans="20:20" x14ac:dyDescent="0.25">
      <c r="T8167" s="98"/>
    </row>
    <row r="8168" spans="20:20" x14ac:dyDescent="0.25">
      <c r="T8168" s="98"/>
    </row>
    <row r="8169" spans="20:20" x14ac:dyDescent="0.25">
      <c r="T8169" s="98"/>
    </row>
    <row r="8170" spans="20:20" x14ac:dyDescent="0.25">
      <c r="T8170" s="98"/>
    </row>
    <row r="8171" spans="20:20" x14ac:dyDescent="0.25">
      <c r="T8171" s="98"/>
    </row>
    <row r="8172" spans="20:20" x14ac:dyDescent="0.25">
      <c r="T8172" s="98"/>
    </row>
    <row r="8173" spans="20:20" x14ac:dyDescent="0.25">
      <c r="T8173" s="98"/>
    </row>
    <row r="8174" spans="20:20" x14ac:dyDescent="0.25">
      <c r="T8174" s="98"/>
    </row>
    <row r="8175" spans="20:20" x14ac:dyDescent="0.25">
      <c r="T8175" s="98"/>
    </row>
    <row r="8176" spans="20:20" x14ac:dyDescent="0.25">
      <c r="T8176" s="98"/>
    </row>
    <row r="8177" spans="20:20" x14ac:dyDescent="0.25">
      <c r="T8177" s="98"/>
    </row>
    <row r="8178" spans="20:20" x14ac:dyDescent="0.25">
      <c r="T8178" s="98"/>
    </row>
    <row r="8179" spans="20:20" x14ac:dyDescent="0.25">
      <c r="T8179" s="98"/>
    </row>
    <row r="8180" spans="20:20" x14ac:dyDescent="0.25">
      <c r="T8180" s="98"/>
    </row>
    <row r="8181" spans="20:20" x14ac:dyDescent="0.25">
      <c r="T8181" s="98"/>
    </row>
    <row r="8182" spans="20:20" x14ac:dyDescent="0.25">
      <c r="T8182" s="98"/>
    </row>
    <row r="8183" spans="20:20" x14ac:dyDescent="0.25">
      <c r="T8183" s="98"/>
    </row>
    <row r="8184" spans="20:20" x14ac:dyDescent="0.25">
      <c r="T8184" s="98"/>
    </row>
    <row r="8185" spans="20:20" x14ac:dyDescent="0.25">
      <c r="T8185" s="98"/>
    </row>
    <row r="8186" spans="20:20" x14ac:dyDescent="0.25">
      <c r="T8186" s="98"/>
    </row>
    <row r="8187" spans="20:20" x14ac:dyDescent="0.25">
      <c r="T8187" s="98"/>
    </row>
    <row r="8188" spans="20:20" x14ac:dyDescent="0.25">
      <c r="T8188" s="98"/>
    </row>
    <row r="8189" spans="20:20" x14ac:dyDescent="0.25">
      <c r="T8189" s="98"/>
    </row>
    <row r="8190" spans="20:20" x14ac:dyDescent="0.25">
      <c r="T8190" s="98"/>
    </row>
    <row r="8191" spans="20:20" x14ac:dyDescent="0.25">
      <c r="T8191" s="98"/>
    </row>
    <row r="8192" spans="20:20" x14ac:dyDescent="0.25">
      <c r="T8192" s="98"/>
    </row>
    <row r="8193" spans="20:20" x14ac:dyDescent="0.25">
      <c r="T8193" s="98"/>
    </row>
    <row r="8194" spans="20:20" x14ac:dyDescent="0.25">
      <c r="T8194" s="98"/>
    </row>
    <row r="8195" spans="20:20" x14ac:dyDescent="0.25">
      <c r="T8195" s="98"/>
    </row>
    <row r="8196" spans="20:20" x14ac:dyDescent="0.25">
      <c r="T8196" s="98"/>
    </row>
    <row r="8197" spans="20:20" x14ac:dyDescent="0.25">
      <c r="T8197" s="98"/>
    </row>
    <row r="8198" spans="20:20" x14ac:dyDescent="0.25">
      <c r="T8198" s="98"/>
    </row>
    <row r="8199" spans="20:20" x14ac:dyDescent="0.25">
      <c r="T8199" s="98"/>
    </row>
    <row r="8200" spans="20:20" x14ac:dyDescent="0.25">
      <c r="T8200" s="98"/>
    </row>
    <row r="8201" spans="20:20" x14ac:dyDescent="0.25">
      <c r="T8201" s="98"/>
    </row>
    <row r="8202" spans="20:20" x14ac:dyDescent="0.25">
      <c r="T8202" s="98"/>
    </row>
    <row r="8203" spans="20:20" x14ac:dyDescent="0.25">
      <c r="T8203" s="98"/>
    </row>
    <row r="8204" spans="20:20" x14ac:dyDescent="0.25">
      <c r="T8204" s="98"/>
    </row>
    <row r="8205" spans="20:20" x14ac:dyDescent="0.25">
      <c r="T8205" s="98"/>
    </row>
    <row r="8206" spans="20:20" x14ac:dyDescent="0.25">
      <c r="T8206" s="98"/>
    </row>
    <row r="8207" spans="20:20" x14ac:dyDescent="0.25">
      <c r="T8207" s="98"/>
    </row>
    <row r="8208" spans="20:20" x14ac:dyDescent="0.25">
      <c r="T8208" s="98"/>
    </row>
    <row r="8209" spans="20:20" x14ac:dyDescent="0.25">
      <c r="T8209" s="98"/>
    </row>
    <row r="8210" spans="20:20" x14ac:dyDescent="0.25">
      <c r="T8210" s="98"/>
    </row>
    <row r="8211" spans="20:20" x14ac:dyDescent="0.25">
      <c r="T8211" s="98"/>
    </row>
    <row r="8212" spans="20:20" x14ac:dyDescent="0.25">
      <c r="T8212" s="98"/>
    </row>
    <row r="8213" spans="20:20" x14ac:dyDescent="0.25">
      <c r="T8213" s="98"/>
    </row>
    <row r="8214" spans="20:20" x14ac:dyDescent="0.25">
      <c r="T8214" s="98"/>
    </row>
    <row r="8215" spans="20:20" x14ac:dyDescent="0.25">
      <c r="T8215" s="98"/>
    </row>
    <row r="8216" spans="20:20" x14ac:dyDescent="0.25">
      <c r="T8216" s="98"/>
    </row>
    <row r="8217" spans="20:20" x14ac:dyDescent="0.25">
      <c r="T8217" s="98"/>
    </row>
    <row r="8218" spans="20:20" x14ac:dyDescent="0.25">
      <c r="T8218" s="98"/>
    </row>
    <row r="8219" spans="20:20" x14ac:dyDescent="0.25">
      <c r="T8219" s="98"/>
    </row>
    <row r="8220" spans="20:20" x14ac:dyDescent="0.25">
      <c r="T8220" s="98"/>
    </row>
    <row r="8221" spans="20:20" x14ac:dyDescent="0.25">
      <c r="T8221" s="98"/>
    </row>
    <row r="8222" spans="20:20" x14ac:dyDescent="0.25">
      <c r="T8222" s="98"/>
    </row>
    <row r="8223" spans="20:20" x14ac:dyDescent="0.25">
      <c r="T8223" s="98"/>
    </row>
    <row r="8224" spans="20:20" x14ac:dyDescent="0.25">
      <c r="T8224" s="98"/>
    </row>
    <row r="8225" spans="20:20" x14ac:dyDescent="0.25">
      <c r="T8225" s="98"/>
    </row>
    <row r="8226" spans="20:20" x14ac:dyDescent="0.25">
      <c r="T8226" s="98"/>
    </row>
    <row r="8227" spans="20:20" x14ac:dyDescent="0.25">
      <c r="T8227" s="98"/>
    </row>
    <row r="8228" spans="20:20" x14ac:dyDescent="0.25">
      <c r="T8228" s="98"/>
    </row>
    <row r="8229" spans="20:20" x14ac:dyDescent="0.25">
      <c r="T8229" s="98"/>
    </row>
    <row r="8230" spans="20:20" x14ac:dyDescent="0.25">
      <c r="T8230" s="98"/>
    </row>
    <row r="8231" spans="20:20" x14ac:dyDescent="0.25">
      <c r="T8231" s="98"/>
    </row>
    <row r="8232" spans="20:20" x14ac:dyDescent="0.25">
      <c r="T8232" s="98"/>
    </row>
    <row r="8233" spans="20:20" x14ac:dyDescent="0.25">
      <c r="T8233" s="98"/>
    </row>
    <row r="8234" spans="20:20" x14ac:dyDescent="0.25">
      <c r="T8234" s="98"/>
    </row>
    <row r="8235" spans="20:20" x14ac:dyDescent="0.25">
      <c r="T8235" s="98"/>
    </row>
    <row r="8236" spans="20:20" x14ac:dyDescent="0.25">
      <c r="T8236" s="98"/>
    </row>
    <row r="8237" spans="20:20" x14ac:dyDescent="0.25">
      <c r="T8237" s="98"/>
    </row>
    <row r="8238" spans="20:20" x14ac:dyDescent="0.25">
      <c r="T8238" s="98"/>
    </row>
    <row r="8239" spans="20:20" x14ac:dyDescent="0.25">
      <c r="T8239" s="98"/>
    </row>
    <row r="8240" spans="20:20" x14ac:dyDescent="0.25">
      <c r="T8240" s="98"/>
    </row>
    <row r="8241" spans="20:20" x14ac:dyDescent="0.25">
      <c r="T8241" s="98"/>
    </row>
    <row r="8242" spans="20:20" x14ac:dyDescent="0.25">
      <c r="T8242" s="98"/>
    </row>
    <row r="8243" spans="20:20" x14ac:dyDescent="0.25">
      <c r="T8243" s="98"/>
    </row>
    <row r="8244" spans="20:20" x14ac:dyDescent="0.25">
      <c r="T8244" s="98"/>
    </row>
    <row r="8245" spans="20:20" x14ac:dyDescent="0.25">
      <c r="T8245" s="98"/>
    </row>
    <row r="8246" spans="20:20" x14ac:dyDescent="0.25">
      <c r="T8246" s="98"/>
    </row>
    <row r="8247" spans="20:20" x14ac:dyDescent="0.25">
      <c r="T8247" s="98"/>
    </row>
    <row r="8248" spans="20:20" x14ac:dyDescent="0.25">
      <c r="T8248" s="98"/>
    </row>
    <row r="8249" spans="20:20" x14ac:dyDescent="0.25">
      <c r="T8249" s="98"/>
    </row>
    <row r="8250" spans="20:20" x14ac:dyDescent="0.25">
      <c r="T8250" s="98"/>
    </row>
    <row r="8251" spans="20:20" x14ac:dyDescent="0.25">
      <c r="T8251" s="98"/>
    </row>
    <row r="8252" spans="20:20" x14ac:dyDescent="0.25">
      <c r="T8252" s="98"/>
    </row>
    <row r="8253" spans="20:20" x14ac:dyDescent="0.25">
      <c r="T8253" s="98"/>
    </row>
    <row r="8254" spans="20:20" x14ac:dyDescent="0.25">
      <c r="T8254" s="98"/>
    </row>
    <row r="8255" spans="20:20" x14ac:dyDescent="0.25">
      <c r="T8255" s="98"/>
    </row>
    <row r="8256" spans="20:20" x14ac:dyDescent="0.25">
      <c r="T8256" s="98"/>
    </row>
    <row r="8257" spans="20:20" x14ac:dyDescent="0.25">
      <c r="T8257" s="98"/>
    </row>
    <row r="8258" spans="20:20" x14ac:dyDescent="0.25">
      <c r="T8258" s="98"/>
    </row>
    <row r="8259" spans="20:20" x14ac:dyDescent="0.25">
      <c r="T8259" s="98"/>
    </row>
    <row r="8260" spans="20:20" x14ac:dyDescent="0.25">
      <c r="T8260" s="98"/>
    </row>
    <row r="8261" spans="20:20" x14ac:dyDescent="0.25">
      <c r="T8261" s="98"/>
    </row>
    <row r="8262" spans="20:20" x14ac:dyDescent="0.25">
      <c r="T8262" s="98"/>
    </row>
    <row r="8263" spans="20:20" x14ac:dyDescent="0.25">
      <c r="T8263" s="98"/>
    </row>
    <row r="8264" spans="20:20" x14ac:dyDescent="0.25">
      <c r="T8264" s="98"/>
    </row>
    <row r="8265" spans="20:20" x14ac:dyDescent="0.25">
      <c r="T8265" s="98"/>
    </row>
    <row r="8266" spans="20:20" x14ac:dyDescent="0.25">
      <c r="T8266" s="98"/>
    </row>
    <row r="8267" spans="20:20" x14ac:dyDescent="0.25">
      <c r="T8267" s="98"/>
    </row>
    <row r="8268" spans="20:20" x14ac:dyDescent="0.25">
      <c r="T8268" s="98"/>
    </row>
    <row r="8269" spans="20:20" x14ac:dyDescent="0.25">
      <c r="T8269" s="98"/>
    </row>
    <row r="8270" spans="20:20" x14ac:dyDescent="0.25">
      <c r="T8270" s="98"/>
    </row>
    <row r="8271" spans="20:20" x14ac:dyDescent="0.25">
      <c r="T8271" s="98"/>
    </row>
    <row r="8272" spans="20:20" x14ac:dyDescent="0.25">
      <c r="T8272" s="98"/>
    </row>
    <row r="8273" spans="20:20" x14ac:dyDescent="0.25">
      <c r="T8273" s="98"/>
    </row>
    <row r="8274" spans="20:20" x14ac:dyDescent="0.25">
      <c r="T8274" s="98"/>
    </row>
    <row r="8275" spans="20:20" x14ac:dyDescent="0.25">
      <c r="T8275" s="98"/>
    </row>
    <row r="8276" spans="20:20" x14ac:dyDescent="0.25">
      <c r="T8276" s="98"/>
    </row>
    <row r="8277" spans="20:20" x14ac:dyDescent="0.25">
      <c r="T8277" s="98"/>
    </row>
    <row r="8278" spans="20:20" x14ac:dyDescent="0.25">
      <c r="T8278" s="98"/>
    </row>
    <row r="8279" spans="20:20" x14ac:dyDescent="0.25">
      <c r="T8279" s="98"/>
    </row>
    <row r="8280" spans="20:20" x14ac:dyDescent="0.25">
      <c r="T8280" s="98"/>
    </row>
    <row r="8281" spans="20:20" x14ac:dyDescent="0.25">
      <c r="T8281" s="98"/>
    </row>
    <row r="8282" spans="20:20" x14ac:dyDescent="0.25">
      <c r="T8282" s="98"/>
    </row>
    <row r="8283" spans="20:20" x14ac:dyDescent="0.25">
      <c r="T8283" s="98"/>
    </row>
    <row r="8284" spans="20:20" x14ac:dyDescent="0.25">
      <c r="T8284" s="98"/>
    </row>
    <row r="8285" spans="20:20" x14ac:dyDescent="0.25">
      <c r="T8285" s="98"/>
    </row>
    <row r="8286" spans="20:20" x14ac:dyDescent="0.25">
      <c r="T8286" s="98"/>
    </row>
    <row r="8287" spans="20:20" x14ac:dyDescent="0.25">
      <c r="T8287" s="98"/>
    </row>
    <row r="8288" spans="20:20" x14ac:dyDescent="0.25">
      <c r="T8288" s="98"/>
    </row>
    <row r="8289" spans="20:20" x14ac:dyDescent="0.25">
      <c r="T8289" s="98"/>
    </row>
    <row r="8290" spans="20:20" x14ac:dyDescent="0.25">
      <c r="T8290" s="98"/>
    </row>
    <row r="8291" spans="20:20" x14ac:dyDescent="0.25">
      <c r="T8291" s="98"/>
    </row>
    <row r="8292" spans="20:20" x14ac:dyDescent="0.25">
      <c r="T8292" s="98"/>
    </row>
    <row r="8293" spans="20:20" x14ac:dyDescent="0.25">
      <c r="T8293" s="98"/>
    </row>
    <row r="8294" spans="20:20" x14ac:dyDescent="0.25">
      <c r="T8294" s="98"/>
    </row>
    <row r="8295" spans="20:20" x14ac:dyDescent="0.25">
      <c r="T8295" s="98"/>
    </row>
    <row r="8296" spans="20:20" x14ac:dyDescent="0.25">
      <c r="T8296" s="98"/>
    </row>
    <row r="8297" spans="20:20" x14ac:dyDescent="0.25">
      <c r="T8297" s="98"/>
    </row>
    <row r="8298" spans="20:20" x14ac:dyDescent="0.25">
      <c r="T8298" s="98"/>
    </row>
    <row r="8299" spans="20:20" x14ac:dyDescent="0.25">
      <c r="T8299" s="98"/>
    </row>
    <row r="8300" spans="20:20" x14ac:dyDescent="0.25">
      <c r="T8300" s="98"/>
    </row>
    <row r="8301" spans="20:20" x14ac:dyDescent="0.25">
      <c r="T8301" s="98"/>
    </row>
    <row r="8302" spans="20:20" x14ac:dyDescent="0.25">
      <c r="T8302" s="98"/>
    </row>
    <row r="8303" spans="20:20" x14ac:dyDescent="0.25">
      <c r="T8303" s="98"/>
    </row>
    <row r="8304" spans="20:20" x14ac:dyDescent="0.25">
      <c r="T8304" s="98"/>
    </row>
    <row r="8305" spans="20:20" x14ac:dyDescent="0.25">
      <c r="T8305" s="98"/>
    </row>
    <row r="8306" spans="20:20" x14ac:dyDescent="0.25">
      <c r="T8306" s="98"/>
    </row>
    <row r="8307" spans="20:20" x14ac:dyDescent="0.25">
      <c r="T8307" s="98"/>
    </row>
    <row r="8308" spans="20:20" x14ac:dyDescent="0.25">
      <c r="T8308" s="98"/>
    </row>
    <row r="8309" spans="20:20" x14ac:dyDescent="0.25">
      <c r="T8309" s="98"/>
    </row>
    <row r="8310" spans="20:20" x14ac:dyDescent="0.25">
      <c r="T8310" s="98"/>
    </row>
    <row r="8311" spans="20:20" x14ac:dyDescent="0.25">
      <c r="T8311" s="98"/>
    </row>
    <row r="8312" spans="20:20" x14ac:dyDescent="0.25">
      <c r="T8312" s="98"/>
    </row>
    <row r="8313" spans="20:20" x14ac:dyDescent="0.25">
      <c r="T8313" s="98"/>
    </row>
    <row r="8314" spans="20:20" x14ac:dyDescent="0.25">
      <c r="T8314" s="98"/>
    </row>
    <row r="8315" spans="20:20" x14ac:dyDescent="0.25">
      <c r="T8315" s="98"/>
    </row>
    <row r="8316" spans="20:20" x14ac:dyDescent="0.25">
      <c r="T8316" s="98"/>
    </row>
    <row r="8317" spans="20:20" x14ac:dyDescent="0.25">
      <c r="T8317" s="98"/>
    </row>
    <row r="8318" spans="20:20" x14ac:dyDescent="0.25">
      <c r="T8318" s="98"/>
    </row>
    <row r="8319" spans="20:20" x14ac:dyDescent="0.25">
      <c r="T8319" s="98"/>
    </row>
    <row r="8320" spans="20:20" x14ac:dyDescent="0.25">
      <c r="T8320" s="98"/>
    </row>
    <row r="8321" spans="20:20" x14ac:dyDescent="0.25">
      <c r="T8321" s="98"/>
    </row>
    <row r="8322" spans="20:20" x14ac:dyDescent="0.25">
      <c r="T8322" s="98"/>
    </row>
    <row r="8323" spans="20:20" x14ac:dyDescent="0.25">
      <c r="T8323" s="98"/>
    </row>
    <row r="8324" spans="20:20" x14ac:dyDescent="0.25">
      <c r="T8324" s="98"/>
    </row>
    <row r="8325" spans="20:20" x14ac:dyDescent="0.25">
      <c r="T8325" s="98"/>
    </row>
    <row r="8326" spans="20:20" x14ac:dyDescent="0.25">
      <c r="T8326" s="98"/>
    </row>
    <row r="8327" spans="20:20" x14ac:dyDescent="0.25">
      <c r="T8327" s="98"/>
    </row>
    <row r="8328" spans="20:20" x14ac:dyDescent="0.25">
      <c r="T8328" s="98"/>
    </row>
    <row r="8329" spans="20:20" x14ac:dyDescent="0.25">
      <c r="T8329" s="98"/>
    </row>
    <row r="8330" spans="20:20" x14ac:dyDescent="0.25">
      <c r="T8330" s="98"/>
    </row>
    <row r="8331" spans="20:20" x14ac:dyDescent="0.25">
      <c r="T8331" s="98"/>
    </row>
    <row r="8332" spans="20:20" x14ac:dyDescent="0.25">
      <c r="T8332" s="98"/>
    </row>
    <row r="8333" spans="20:20" x14ac:dyDescent="0.25">
      <c r="T8333" s="98"/>
    </row>
    <row r="8334" spans="20:20" x14ac:dyDescent="0.25">
      <c r="T8334" s="98"/>
    </row>
    <row r="8335" spans="20:20" x14ac:dyDescent="0.25">
      <c r="T8335" s="98"/>
    </row>
    <row r="8336" spans="20:20" x14ac:dyDescent="0.25">
      <c r="T8336" s="98"/>
    </row>
    <row r="8337" spans="20:20" x14ac:dyDescent="0.25">
      <c r="T8337" s="98"/>
    </row>
    <row r="8338" spans="20:20" x14ac:dyDescent="0.25">
      <c r="T8338" s="98"/>
    </row>
    <row r="8339" spans="20:20" x14ac:dyDescent="0.25">
      <c r="T8339" s="98"/>
    </row>
    <row r="8340" spans="20:20" x14ac:dyDescent="0.25">
      <c r="T8340" s="98"/>
    </row>
    <row r="8341" spans="20:20" x14ac:dyDescent="0.25">
      <c r="T8341" s="98"/>
    </row>
    <row r="8342" spans="20:20" x14ac:dyDescent="0.25">
      <c r="T8342" s="98"/>
    </row>
    <row r="8343" spans="20:20" x14ac:dyDescent="0.25">
      <c r="T8343" s="98"/>
    </row>
    <row r="8344" spans="20:20" x14ac:dyDescent="0.25">
      <c r="T8344" s="98"/>
    </row>
    <row r="8345" spans="20:20" x14ac:dyDescent="0.25">
      <c r="T8345" s="98"/>
    </row>
    <row r="8346" spans="20:20" x14ac:dyDescent="0.25">
      <c r="T8346" s="98"/>
    </row>
    <row r="8347" spans="20:20" x14ac:dyDescent="0.25">
      <c r="T8347" s="98"/>
    </row>
    <row r="8348" spans="20:20" x14ac:dyDescent="0.25">
      <c r="T8348" s="98"/>
    </row>
    <row r="8349" spans="20:20" x14ac:dyDescent="0.25">
      <c r="T8349" s="98"/>
    </row>
    <row r="8350" spans="20:20" x14ac:dyDescent="0.25">
      <c r="T8350" s="98"/>
    </row>
    <row r="8351" spans="20:20" x14ac:dyDescent="0.25">
      <c r="T8351" s="98"/>
    </row>
    <row r="8352" spans="20:20" x14ac:dyDescent="0.25">
      <c r="T8352" s="98"/>
    </row>
    <row r="8353" spans="20:20" x14ac:dyDescent="0.25">
      <c r="T8353" s="98"/>
    </row>
    <row r="8354" spans="20:20" x14ac:dyDescent="0.25">
      <c r="T8354" s="98"/>
    </row>
    <row r="8355" spans="20:20" x14ac:dyDescent="0.25">
      <c r="T8355" s="98"/>
    </row>
    <row r="8356" spans="20:20" x14ac:dyDescent="0.25">
      <c r="T8356" s="98"/>
    </row>
    <row r="8357" spans="20:20" x14ac:dyDescent="0.25">
      <c r="T8357" s="98"/>
    </row>
    <row r="8358" spans="20:20" x14ac:dyDescent="0.25">
      <c r="T8358" s="98"/>
    </row>
    <row r="8359" spans="20:20" x14ac:dyDescent="0.25">
      <c r="T8359" s="98"/>
    </row>
    <row r="8360" spans="20:20" x14ac:dyDescent="0.25">
      <c r="T8360" s="98"/>
    </row>
    <row r="8361" spans="20:20" x14ac:dyDescent="0.25">
      <c r="T8361" s="98"/>
    </row>
    <row r="8362" spans="20:20" x14ac:dyDescent="0.25">
      <c r="T8362" s="98"/>
    </row>
    <row r="8363" spans="20:20" x14ac:dyDescent="0.25">
      <c r="T8363" s="98"/>
    </row>
    <row r="8364" spans="20:20" x14ac:dyDescent="0.25">
      <c r="T8364" s="98"/>
    </row>
    <row r="8365" spans="20:20" x14ac:dyDescent="0.25">
      <c r="T8365" s="98"/>
    </row>
    <row r="8366" spans="20:20" x14ac:dyDescent="0.25">
      <c r="T8366" s="98"/>
    </row>
    <row r="8367" spans="20:20" x14ac:dyDescent="0.25">
      <c r="T8367" s="98"/>
    </row>
    <row r="8368" spans="20:20" x14ac:dyDescent="0.25">
      <c r="T8368" s="98"/>
    </row>
    <row r="8369" spans="20:20" x14ac:dyDescent="0.25">
      <c r="T8369" s="98"/>
    </row>
    <row r="8370" spans="20:20" x14ac:dyDescent="0.25">
      <c r="T8370" s="98"/>
    </row>
    <row r="8371" spans="20:20" x14ac:dyDescent="0.25">
      <c r="T8371" s="98"/>
    </row>
    <row r="8372" spans="20:20" x14ac:dyDescent="0.25">
      <c r="T8372" s="98"/>
    </row>
    <row r="8373" spans="20:20" x14ac:dyDescent="0.25">
      <c r="T8373" s="98"/>
    </row>
    <row r="8374" spans="20:20" x14ac:dyDescent="0.25">
      <c r="T8374" s="98"/>
    </row>
    <row r="8375" spans="20:20" x14ac:dyDescent="0.25">
      <c r="T8375" s="98"/>
    </row>
    <row r="8376" spans="20:20" x14ac:dyDescent="0.25">
      <c r="T8376" s="98"/>
    </row>
    <row r="8377" spans="20:20" x14ac:dyDescent="0.25">
      <c r="T8377" s="98"/>
    </row>
    <row r="8378" spans="20:20" x14ac:dyDescent="0.25">
      <c r="T8378" s="98"/>
    </row>
    <row r="8379" spans="20:20" x14ac:dyDescent="0.25">
      <c r="T8379" s="98"/>
    </row>
    <row r="8380" spans="20:20" x14ac:dyDescent="0.25">
      <c r="T8380" s="98"/>
    </row>
    <row r="8381" spans="20:20" x14ac:dyDescent="0.25">
      <c r="T8381" s="98"/>
    </row>
    <row r="8382" spans="20:20" x14ac:dyDescent="0.25">
      <c r="T8382" s="98"/>
    </row>
    <row r="8383" spans="20:20" x14ac:dyDescent="0.25">
      <c r="T8383" s="98"/>
    </row>
    <row r="8384" spans="20:20" x14ac:dyDescent="0.25">
      <c r="T8384" s="98"/>
    </row>
    <row r="8385" spans="20:20" x14ac:dyDescent="0.25">
      <c r="T8385" s="98"/>
    </row>
    <row r="8386" spans="20:20" x14ac:dyDescent="0.25">
      <c r="T8386" s="98"/>
    </row>
    <row r="8387" spans="20:20" x14ac:dyDescent="0.25">
      <c r="T8387" s="98"/>
    </row>
    <row r="8388" spans="20:20" x14ac:dyDescent="0.25">
      <c r="T8388" s="98"/>
    </row>
    <row r="8389" spans="20:20" x14ac:dyDescent="0.25">
      <c r="T8389" s="98"/>
    </row>
    <row r="8390" spans="20:20" x14ac:dyDescent="0.25">
      <c r="T8390" s="98"/>
    </row>
    <row r="8391" spans="20:20" x14ac:dyDescent="0.25">
      <c r="T8391" s="98"/>
    </row>
    <row r="8392" spans="20:20" x14ac:dyDescent="0.25">
      <c r="T8392" s="98"/>
    </row>
    <row r="8393" spans="20:20" x14ac:dyDescent="0.25">
      <c r="T8393" s="98"/>
    </row>
    <row r="8394" spans="20:20" x14ac:dyDescent="0.25">
      <c r="T8394" s="98"/>
    </row>
    <row r="8395" spans="20:20" x14ac:dyDescent="0.25">
      <c r="T8395" s="98"/>
    </row>
    <row r="8396" spans="20:20" x14ac:dyDescent="0.25">
      <c r="T8396" s="98"/>
    </row>
    <row r="8397" spans="20:20" x14ac:dyDescent="0.25">
      <c r="T8397" s="98"/>
    </row>
    <row r="8398" spans="20:20" x14ac:dyDescent="0.25">
      <c r="T8398" s="98"/>
    </row>
    <row r="8399" spans="20:20" x14ac:dyDescent="0.25">
      <c r="T8399" s="98"/>
    </row>
    <row r="8400" spans="20:20" x14ac:dyDescent="0.25">
      <c r="T8400" s="98"/>
    </row>
    <row r="8401" spans="20:20" x14ac:dyDescent="0.25">
      <c r="T8401" s="98"/>
    </row>
    <row r="8402" spans="20:20" x14ac:dyDescent="0.25">
      <c r="T8402" s="98"/>
    </row>
    <row r="8403" spans="20:20" x14ac:dyDescent="0.25">
      <c r="T8403" s="98"/>
    </row>
    <row r="8404" spans="20:20" x14ac:dyDescent="0.25">
      <c r="T8404" s="98"/>
    </row>
    <row r="8405" spans="20:20" x14ac:dyDescent="0.25">
      <c r="T8405" s="98"/>
    </row>
    <row r="8406" spans="20:20" x14ac:dyDescent="0.25">
      <c r="T8406" s="98"/>
    </row>
    <row r="8407" spans="20:20" x14ac:dyDescent="0.25">
      <c r="T8407" s="98"/>
    </row>
    <row r="8408" spans="20:20" x14ac:dyDescent="0.25">
      <c r="T8408" s="98"/>
    </row>
    <row r="8409" spans="20:20" x14ac:dyDescent="0.25">
      <c r="T8409" s="98"/>
    </row>
    <row r="8410" spans="20:20" x14ac:dyDescent="0.25">
      <c r="T8410" s="98"/>
    </row>
    <row r="8411" spans="20:20" x14ac:dyDescent="0.25">
      <c r="T8411" s="98"/>
    </row>
    <row r="8412" spans="20:20" x14ac:dyDescent="0.25">
      <c r="T8412" s="98"/>
    </row>
    <row r="8413" spans="20:20" x14ac:dyDescent="0.25">
      <c r="T8413" s="98"/>
    </row>
    <row r="8414" spans="20:20" x14ac:dyDescent="0.25">
      <c r="T8414" s="98"/>
    </row>
    <row r="8415" spans="20:20" x14ac:dyDescent="0.25">
      <c r="T8415" s="98"/>
    </row>
    <row r="8416" spans="20:20" x14ac:dyDescent="0.25">
      <c r="T8416" s="98"/>
    </row>
    <row r="8417" spans="20:20" x14ac:dyDescent="0.25">
      <c r="T8417" s="98"/>
    </row>
    <row r="8418" spans="20:20" x14ac:dyDescent="0.25">
      <c r="T8418" s="98"/>
    </row>
    <row r="8419" spans="20:20" x14ac:dyDescent="0.25">
      <c r="T8419" s="98"/>
    </row>
    <row r="8420" spans="20:20" x14ac:dyDescent="0.25">
      <c r="T8420" s="98"/>
    </row>
    <row r="8421" spans="20:20" x14ac:dyDescent="0.25">
      <c r="T8421" s="98"/>
    </row>
    <row r="8422" spans="20:20" x14ac:dyDescent="0.25">
      <c r="T8422" s="98"/>
    </row>
    <row r="8423" spans="20:20" x14ac:dyDescent="0.25">
      <c r="T8423" s="98"/>
    </row>
    <row r="8424" spans="20:20" x14ac:dyDescent="0.25">
      <c r="T8424" s="98"/>
    </row>
    <row r="8425" spans="20:20" x14ac:dyDescent="0.25">
      <c r="T8425" s="98"/>
    </row>
    <row r="8426" spans="20:20" x14ac:dyDescent="0.25">
      <c r="T8426" s="98"/>
    </row>
    <row r="8427" spans="20:20" x14ac:dyDescent="0.25">
      <c r="T8427" s="98"/>
    </row>
    <row r="8428" spans="20:20" x14ac:dyDescent="0.25">
      <c r="T8428" s="98"/>
    </row>
    <row r="8429" spans="20:20" x14ac:dyDescent="0.25">
      <c r="T8429" s="98"/>
    </row>
    <row r="8430" spans="20:20" x14ac:dyDescent="0.25">
      <c r="T8430" s="98"/>
    </row>
    <row r="8431" spans="20:20" x14ac:dyDescent="0.25">
      <c r="T8431" s="98"/>
    </row>
    <row r="8432" spans="20:20" x14ac:dyDescent="0.25">
      <c r="T8432" s="98"/>
    </row>
    <row r="8433" spans="20:20" x14ac:dyDescent="0.25">
      <c r="T8433" s="98"/>
    </row>
    <row r="8434" spans="20:20" x14ac:dyDescent="0.25">
      <c r="T8434" s="98"/>
    </row>
    <row r="8435" spans="20:20" x14ac:dyDescent="0.25">
      <c r="T8435" s="98"/>
    </row>
    <row r="8436" spans="20:20" x14ac:dyDescent="0.25">
      <c r="T8436" s="98"/>
    </row>
    <row r="8437" spans="20:20" x14ac:dyDescent="0.25">
      <c r="T8437" s="98"/>
    </row>
    <row r="8438" spans="20:20" x14ac:dyDescent="0.25">
      <c r="T8438" s="98"/>
    </row>
    <row r="8439" spans="20:20" x14ac:dyDescent="0.25">
      <c r="T8439" s="98"/>
    </row>
    <row r="8440" spans="20:20" x14ac:dyDescent="0.25">
      <c r="T8440" s="98"/>
    </row>
    <row r="8441" spans="20:20" x14ac:dyDescent="0.25">
      <c r="T8441" s="98"/>
    </row>
    <row r="8442" spans="20:20" x14ac:dyDescent="0.25">
      <c r="T8442" s="98"/>
    </row>
    <row r="8443" spans="20:20" x14ac:dyDescent="0.25">
      <c r="T8443" s="98"/>
    </row>
    <row r="8444" spans="20:20" x14ac:dyDescent="0.25">
      <c r="T8444" s="98"/>
    </row>
    <row r="8445" spans="20:20" x14ac:dyDescent="0.25">
      <c r="T8445" s="98"/>
    </row>
    <row r="8446" spans="20:20" x14ac:dyDescent="0.25">
      <c r="T8446" s="98"/>
    </row>
    <row r="8447" spans="20:20" x14ac:dyDescent="0.25">
      <c r="T8447" s="98"/>
    </row>
    <row r="8448" spans="20:20" x14ac:dyDescent="0.25">
      <c r="T8448" s="98"/>
    </row>
    <row r="8449" spans="20:20" x14ac:dyDescent="0.25">
      <c r="T8449" s="98"/>
    </row>
    <row r="8450" spans="20:20" x14ac:dyDescent="0.25">
      <c r="T8450" s="98"/>
    </row>
    <row r="8451" spans="20:20" x14ac:dyDescent="0.25">
      <c r="T8451" s="98"/>
    </row>
    <row r="8452" spans="20:20" x14ac:dyDescent="0.25">
      <c r="T8452" s="98"/>
    </row>
    <row r="8453" spans="20:20" x14ac:dyDescent="0.25">
      <c r="T8453" s="98"/>
    </row>
    <row r="8454" spans="20:20" x14ac:dyDescent="0.25">
      <c r="T8454" s="98"/>
    </row>
    <row r="8455" spans="20:20" x14ac:dyDescent="0.25">
      <c r="T8455" s="98"/>
    </row>
    <row r="8456" spans="20:20" x14ac:dyDescent="0.25">
      <c r="T8456" s="98"/>
    </row>
    <row r="8457" spans="20:20" x14ac:dyDescent="0.25">
      <c r="T8457" s="98"/>
    </row>
    <row r="8458" spans="20:20" x14ac:dyDescent="0.25">
      <c r="T8458" s="98"/>
    </row>
    <row r="8459" spans="20:20" x14ac:dyDescent="0.25">
      <c r="T8459" s="98"/>
    </row>
    <row r="8460" spans="20:20" x14ac:dyDescent="0.25">
      <c r="T8460" s="98"/>
    </row>
    <row r="8461" spans="20:20" x14ac:dyDescent="0.25">
      <c r="T8461" s="98"/>
    </row>
    <row r="8462" spans="20:20" x14ac:dyDescent="0.25">
      <c r="T8462" s="98"/>
    </row>
    <row r="8463" spans="20:20" x14ac:dyDescent="0.25">
      <c r="T8463" s="98"/>
    </row>
    <row r="8464" spans="20:20" x14ac:dyDescent="0.25">
      <c r="T8464" s="98"/>
    </row>
    <row r="8465" spans="20:20" x14ac:dyDescent="0.25">
      <c r="T8465" s="98"/>
    </row>
    <row r="8466" spans="20:20" x14ac:dyDescent="0.25">
      <c r="T8466" s="98"/>
    </row>
    <row r="8467" spans="20:20" x14ac:dyDescent="0.25">
      <c r="T8467" s="98"/>
    </row>
    <row r="8468" spans="20:20" x14ac:dyDescent="0.25">
      <c r="T8468" s="98"/>
    </row>
    <row r="8469" spans="20:20" x14ac:dyDescent="0.25">
      <c r="T8469" s="98"/>
    </row>
    <row r="8470" spans="20:20" x14ac:dyDescent="0.25">
      <c r="T8470" s="98"/>
    </row>
    <row r="8471" spans="20:20" x14ac:dyDescent="0.25">
      <c r="T8471" s="98"/>
    </row>
    <row r="8472" spans="20:20" x14ac:dyDescent="0.25">
      <c r="T8472" s="98"/>
    </row>
    <row r="8473" spans="20:20" x14ac:dyDescent="0.25">
      <c r="T8473" s="98"/>
    </row>
    <row r="8474" spans="20:20" x14ac:dyDescent="0.25">
      <c r="T8474" s="98"/>
    </row>
    <row r="8475" spans="20:20" x14ac:dyDescent="0.25">
      <c r="T8475" s="98"/>
    </row>
    <row r="8476" spans="20:20" x14ac:dyDescent="0.25">
      <c r="T8476" s="98"/>
    </row>
    <row r="8477" spans="20:20" x14ac:dyDescent="0.25">
      <c r="T8477" s="98"/>
    </row>
    <row r="8478" spans="20:20" x14ac:dyDescent="0.25">
      <c r="T8478" s="98"/>
    </row>
    <row r="8479" spans="20:20" x14ac:dyDescent="0.25">
      <c r="T8479" s="98"/>
    </row>
    <row r="8480" spans="20:20" x14ac:dyDescent="0.25">
      <c r="T8480" s="98"/>
    </row>
    <row r="8481" spans="20:20" x14ac:dyDescent="0.25">
      <c r="T8481" s="98"/>
    </row>
    <row r="8482" spans="20:20" x14ac:dyDescent="0.25">
      <c r="T8482" s="98"/>
    </row>
    <row r="8483" spans="20:20" x14ac:dyDescent="0.25">
      <c r="T8483" s="98"/>
    </row>
    <row r="8484" spans="20:20" x14ac:dyDescent="0.25">
      <c r="T8484" s="98"/>
    </row>
    <row r="8485" spans="20:20" x14ac:dyDescent="0.25">
      <c r="T8485" s="98"/>
    </row>
    <row r="8486" spans="20:20" x14ac:dyDescent="0.25">
      <c r="T8486" s="98"/>
    </row>
    <row r="8487" spans="20:20" x14ac:dyDescent="0.25">
      <c r="T8487" s="98"/>
    </row>
    <row r="8488" spans="20:20" x14ac:dyDescent="0.25">
      <c r="T8488" s="98"/>
    </row>
    <row r="8489" spans="20:20" x14ac:dyDescent="0.25">
      <c r="T8489" s="98"/>
    </row>
    <row r="8490" spans="20:20" x14ac:dyDescent="0.25">
      <c r="T8490" s="98"/>
    </row>
    <row r="8491" spans="20:20" x14ac:dyDescent="0.25">
      <c r="T8491" s="98"/>
    </row>
    <row r="8492" spans="20:20" x14ac:dyDescent="0.25">
      <c r="T8492" s="98"/>
    </row>
    <row r="8493" spans="20:20" x14ac:dyDescent="0.25">
      <c r="T8493" s="98"/>
    </row>
    <row r="8494" spans="20:20" x14ac:dyDescent="0.25">
      <c r="T8494" s="98"/>
    </row>
    <row r="8495" spans="20:20" x14ac:dyDescent="0.25">
      <c r="T8495" s="98"/>
    </row>
    <row r="8496" spans="20:20" x14ac:dyDescent="0.25">
      <c r="T8496" s="98"/>
    </row>
    <row r="8497" spans="20:20" x14ac:dyDescent="0.25">
      <c r="T8497" s="98"/>
    </row>
    <row r="8498" spans="20:20" x14ac:dyDescent="0.25">
      <c r="T8498" s="98"/>
    </row>
    <row r="8499" spans="20:20" x14ac:dyDescent="0.25">
      <c r="T8499" s="98"/>
    </row>
    <row r="8500" spans="20:20" x14ac:dyDescent="0.25">
      <c r="T8500" s="98"/>
    </row>
    <row r="8501" spans="20:20" x14ac:dyDescent="0.25">
      <c r="T8501" s="98"/>
    </row>
    <row r="8502" spans="20:20" x14ac:dyDescent="0.25">
      <c r="T8502" s="98"/>
    </row>
    <row r="8503" spans="20:20" x14ac:dyDescent="0.25">
      <c r="T8503" s="98"/>
    </row>
    <row r="8504" spans="20:20" x14ac:dyDescent="0.25">
      <c r="T8504" s="98"/>
    </row>
    <row r="8505" spans="20:20" x14ac:dyDescent="0.25">
      <c r="T8505" s="98"/>
    </row>
    <row r="8506" spans="20:20" x14ac:dyDescent="0.25">
      <c r="T8506" s="98"/>
    </row>
    <row r="8507" spans="20:20" x14ac:dyDescent="0.25">
      <c r="T8507" s="98"/>
    </row>
    <row r="8508" spans="20:20" x14ac:dyDescent="0.25">
      <c r="T8508" s="98"/>
    </row>
    <row r="8509" spans="20:20" x14ac:dyDescent="0.25">
      <c r="T8509" s="98"/>
    </row>
    <row r="8510" spans="20:20" x14ac:dyDescent="0.25">
      <c r="T8510" s="98"/>
    </row>
    <row r="8511" spans="20:20" x14ac:dyDescent="0.25">
      <c r="T8511" s="98"/>
    </row>
    <row r="8512" spans="20:20" x14ac:dyDescent="0.25">
      <c r="T8512" s="98"/>
    </row>
    <row r="8513" spans="20:20" x14ac:dyDescent="0.25">
      <c r="T8513" s="98"/>
    </row>
    <row r="8514" spans="20:20" x14ac:dyDescent="0.25">
      <c r="T8514" s="98"/>
    </row>
    <row r="8515" spans="20:20" x14ac:dyDescent="0.25">
      <c r="T8515" s="98"/>
    </row>
    <row r="8516" spans="20:20" x14ac:dyDescent="0.25">
      <c r="T8516" s="98"/>
    </row>
    <row r="8517" spans="20:20" x14ac:dyDescent="0.25">
      <c r="T8517" s="98"/>
    </row>
    <row r="8518" spans="20:20" x14ac:dyDescent="0.25">
      <c r="T8518" s="98"/>
    </row>
    <row r="8519" spans="20:20" x14ac:dyDescent="0.25">
      <c r="T8519" s="98"/>
    </row>
    <row r="8520" spans="20:20" x14ac:dyDescent="0.25">
      <c r="T8520" s="98"/>
    </row>
    <row r="8521" spans="20:20" x14ac:dyDescent="0.25">
      <c r="T8521" s="98"/>
    </row>
    <row r="8522" spans="20:20" x14ac:dyDescent="0.25">
      <c r="T8522" s="98"/>
    </row>
    <row r="8523" spans="20:20" x14ac:dyDescent="0.25">
      <c r="T8523" s="98"/>
    </row>
    <row r="8524" spans="20:20" x14ac:dyDescent="0.25">
      <c r="T8524" s="98"/>
    </row>
    <row r="8525" spans="20:20" x14ac:dyDescent="0.25">
      <c r="T8525" s="98"/>
    </row>
    <row r="8526" spans="20:20" x14ac:dyDescent="0.25">
      <c r="T8526" s="98"/>
    </row>
    <row r="8527" spans="20:20" x14ac:dyDescent="0.25">
      <c r="T8527" s="98"/>
    </row>
    <row r="8528" spans="20:20" x14ac:dyDescent="0.25">
      <c r="T8528" s="98"/>
    </row>
    <row r="8529" spans="20:20" x14ac:dyDescent="0.25">
      <c r="T8529" s="98"/>
    </row>
    <row r="8530" spans="20:20" x14ac:dyDescent="0.25">
      <c r="T8530" s="98"/>
    </row>
    <row r="8531" spans="20:20" x14ac:dyDescent="0.25">
      <c r="T8531" s="98"/>
    </row>
    <row r="8532" spans="20:20" x14ac:dyDescent="0.25">
      <c r="T8532" s="98"/>
    </row>
    <row r="8533" spans="20:20" x14ac:dyDescent="0.25">
      <c r="T8533" s="98"/>
    </row>
    <row r="8534" spans="20:20" x14ac:dyDescent="0.25">
      <c r="T8534" s="98"/>
    </row>
    <row r="8535" spans="20:20" x14ac:dyDescent="0.25">
      <c r="T8535" s="98"/>
    </row>
    <row r="8536" spans="20:20" x14ac:dyDescent="0.25">
      <c r="T8536" s="98"/>
    </row>
    <row r="8537" spans="20:20" x14ac:dyDescent="0.25">
      <c r="T8537" s="98"/>
    </row>
    <row r="8538" spans="20:20" x14ac:dyDescent="0.25">
      <c r="T8538" s="98"/>
    </row>
    <row r="8539" spans="20:20" x14ac:dyDescent="0.25">
      <c r="T8539" s="98"/>
    </row>
    <row r="8540" spans="20:20" x14ac:dyDescent="0.25">
      <c r="T8540" s="98"/>
    </row>
    <row r="8541" spans="20:20" x14ac:dyDescent="0.25">
      <c r="T8541" s="98"/>
    </row>
    <row r="8542" spans="20:20" x14ac:dyDescent="0.25">
      <c r="T8542" s="98"/>
    </row>
    <row r="8543" spans="20:20" x14ac:dyDescent="0.25">
      <c r="T8543" s="98"/>
    </row>
    <row r="8544" spans="20:20" x14ac:dyDescent="0.25">
      <c r="T8544" s="98"/>
    </row>
    <row r="8545" spans="20:20" x14ac:dyDescent="0.25">
      <c r="T8545" s="98"/>
    </row>
    <row r="8546" spans="20:20" x14ac:dyDescent="0.25">
      <c r="T8546" s="98"/>
    </row>
    <row r="8547" spans="20:20" x14ac:dyDescent="0.25">
      <c r="T8547" s="98"/>
    </row>
    <row r="8548" spans="20:20" x14ac:dyDescent="0.25">
      <c r="T8548" s="98"/>
    </row>
    <row r="8549" spans="20:20" x14ac:dyDescent="0.25">
      <c r="T8549" s="98"/>
    </row>
    <row r="8550" spans="20:20" x14ac:dyDescent="0.25">
      <c r="T8550" s="98"/>
    </row>
    <row r="8551" spans="20:20" x14ac:dyDescent="0.25">
      <c r="T8551" s="98"/>
    </row>
    <row r="8552" spans="20:20" x14ac:dyDescent="0.25">
      <c r="T8552" s="98"/>
    </row>
    <row r="8553" spans="20:20" x14ac:dyDescent="0.25">
      <c r="T8553" s="98"/>
    </row>
    <row r="8554" spans="20:20" x14ac:dyDescent="0.25">
      <c r="T8554" s="98"/>
    </row>
    <row r="8555" spans="20:20" x14ac:dyDescent="0.25">
      <c r="T8555" s="98"/>
    </row>
    <row r="8556" spans="20:20" x14ac:dyDescent="0.25">
      <c r="T8556" s="98"/>
    </row>
    <row r="8557" spans="20:20" x14ac:dyDescent="0.25">
      <c r="T8557" s="98"/>
    </row>
    <row r="8558" spans="20:20" x14ac:dyDescent="0.25">
      <c r="T8558" s="98"/>
    </row>
    <row r="8559" spans="20:20" x14ac:dyDescent="0.25">
      <c r="T8559" s="98"/>
    </row>
    <row r="8560" spans="20:20" x14ac:dyDescent="0.25">
      <c r="T8560" s="98"/>
    </row>
    <row r="8561" spans="20:20" x14ac:dyDescent="0.25">
      <c r="T8561" s="98"/>
    </row>
    <row r="8562" spans="20:20" x14ac:dyDescent="0.25">
      <c r="T8562" s="98"/>
    </row>
    <row r="8563" spans="20:20" x14ac:dyDescent="0.25">
      <c r="T8563" s="98"/>
    </row>
    <row r="8564" spans="20:20" x14ac:dyDescent="0.25">
      <c r="T8564" s="98"/>
    </row>
    <row r="8565" spans="20:20" x14ac:dyDescent="0.25">
      <c r="T8565" s="98"/>
    </row>
    <row r="8566" spans="20:20" x14ac:dyDescent="0.25">
      <c r="T8566" s="98"/>
    </row>
    <row r="8567" spans="20:20" x14ac:dyDescent="0.25">
      <c r="T8567" s="98"/>
    </row>
    <row r="8568" spans="20:20" x14ac:dyDescent="0.25">
      <c r="T8568" s="98"/>
    </row>
    <row r="8569" spans="20:20" x14ac:dyDescent="0.25">
      <c r="T8569" s="98"/>
    </row>
    <row r="8570" spans="20:20" x14ac:dyDescent="0.25">
      <c r="T8570" s="98"/>
    </row>
    <row r="8571" spans="20:20" x14ac:dyDescent="0.25">
      <c r="T8571" s="98"/>
    </row>
    <row r="8572" spans="20:20" x14ac:dyDescent="0.25">
      <c r="T8572" s="98"/>
    </row>
    <row r="8573" spans="20:20" x14ac:dyDescent="0.25">
      <c r="T8573" s="98"/>
    </row>
    <row r="8574" spans="20:20" x14ac:dyDescent="0.25">
      <c r="T8574" s="98"/>
    </row>
    <row r="8575" spans="20:20" x14ac:dyDescent="0.25">
      <c r="T8575" s="98"/>
    </row>
    <row r="8576" spans="20:20" x14ac:dyDescent="0.25">
      <c r="T8576" s="98"/>
    </row>
    <row r="8577" spans="20:20" x14ac:dyDescent="0.25">
      <c r="T8577" s="98"/>
    </row>
    <row r="8578" spans="20:20" x14ac:dyDescent="0.25">
      <c r="T8578" s="98"/>
    </row>
    <row r="8579" spans="20:20" x14ac:dyDescent="0.25">
      <c r="T8579" s="98"/>
    </row>
    <row r="8580" spans="20:20" x14ac:dyDescent="0.25">
      <c r="T8580" s="98"/>
    </row>
    <row r="8581" spans="20:20" x14ac:dyDescent="0.25">
      <c r="T8581" s="98"/>
    </row>
    <row r="8582" spans="20:20" x14ac:dyDescent="0.25">
      <c r="T8582" s="98"/>
    </row>
    <row r="8583" spans="20:20" x14ac:dyDescent="0.25">
      <c r="T8583" s="98"/>
    </row>
    <row r="8584" spans="20:20" x14ac:dyDescent="0.25">
      <c r="T8584" s="98"/>
    </row>
    <row r="8585" spans="20:20" x14ac:dyDescent="0.25">
      <c r="T8585" s="98"/>
    </row>
    <row r="8586" spans="20:20" x14ac:dyDescent="0.25">
      <c r="T8586" s="98"/>
    </row>
    <row r="8587" spans="20:20" x14ac:dyDescent="0.25">
      <c r="T8587" s="98"/>
    </row>
    <row r="8588" spans="20:20" x14ac:dyDescent="0.25">
      <c r="T8588" s="98"/>
    </row>
    <row r="8589" spans="20:20" x14ac:dyDescent="0.25">
      <c r="T8589" s="98"/>
    </row>
    <row r="8590" spans="20:20" x14ac:dyDescent="0.25">
      <c r="T8590" s="98"/>
    </row>
    <row r="8591" spans="20:20" x14ac:dyDescent="0.25">
      <c r="T8591" s="98"/>
    </row>
    <row r="8592" spans="20:20" x14ac:dyDescent="0.25">
      <c r="T8592" s="98"/>
    </row>
    <row r="8593" spans="20:20" x14ac:dyDescent="0.25">
      <c r="T8593" s="98"/>
    </row>
    <row r="8594" spans="20:20" x14ac:dyDescent="0.25">
      <c r="T8594" s="98"/>
    </row>
    <row r="8595" spans="20:20" x14ac:dyDescent="0.25">
      <c r="T8595" s="98"/>
    </row>
    <row r="8596" spans="20:20" x14ac:dyDescent="0.25">
      <c r="T8596" s="98"/>
    </row>
    <row r="8597" spans="20:20" x14ac:dyDescent="0.25">
      <c r="T8597" s="98"/>
    </row>
    <row r="8598" spans="20:20" x14ac:dyDescent="0.25">
      <c r="T8598" s="98"/>
    </row>
    <row r="8599" spans="20:20" x14ac:dyDescent="0.25">
      <c r="T8599" s="98"/>
    </row>
    <row r="8600" spans="20:20" x14ac:dyDescent="0.25">
      <c r="T8600" s="98"/>
    </row>
    <row r="8601" spans="20:20" x14ac:dyDescent="0.25">
      <c r="T8601" s="98"/>
    </row>
    <row r="8602" spans="20:20" x14ac:dyDescent="0.25">
      <c r="T8602" s="98"/>
    </row>
    <row r="8603" spans="20:20" x14ac:dyDescent="0.25">
      <c r="T8603" s="98"/>
    </row>
    <row r="8604" spans="20:20" x14ac:dyDescent="0.25">
      <c r="T8604" s="98"/>
    </row>
    <row r="8605" spans="20:20" x14ac:dyDescent="0.25">
      <c r="T8605" s="98"/>
    </row>
    <row r="8606" spans="20:20" x14ac:dyDescent="0.25">
      <c r="T8606" s="98"/>
    </row>
    <row r="8607" spans="20:20" x14ac:dyDescent="0.25">
      <c r="T8607" s="98"/>
    </row>
    <row r="8608" spans="20:20" x14ac:dyDescent="0.25">
      <c r="T8608" s="98"/>
    </row>
    <row r="8609" spans="20:20" x14ac:dyDescent="0.25">
      <c r="T8609" s="98"/>
    </row>
    <row r="8610" spans="20:20" x14ac:dyDescent="0.25">
      <c r="T8610" s="98"/>
    </row>
    <row r="8611" spans="20:20" x14ac:dyDescent="0.25">
      <c r="T8611" s="98"/>
    </row>
    <row r="8612" spans="20:20" x14ac:dyDescent="0.25">
      <c r="T8612" s="98"/>
    </row>
    <row r="8613" spans="20:20" x14ac:dyDescent="0.25">
      <c r="T8613" s="98"/>
    </row>
    <row r="8614" spans="20:20" x14ac:dyDescent="0.25">
      <c r="T8614" s="98"/>
    </row>
    <row r="8615" spans="20:20" x14ac:dyDescent="0.25">
      <c r="T8615" s="98"/>
    </row>
    <row r="8616" spans="20:20" x14ac:dyDescent="0.25">
      <c r="T8616" s="98"/>
    </row>
    <row r="8617" spans="20:20" x14ac:dyDescent="0.25">
      <c r="T8617" s="98"/>
    </row>
    <row r="8618" spans="20:20" x14ac:dyDescent="0.25">
      <c r="T8618" s="98"/>
    </row>
    <row r="8619" spans="20:20" x14ac:dyDescent="0.25">
      <c r="T8619" s="98"/>
    </row>
    <row r="8620" spans="20:20" x14ac:dyDescent="0.25">
      <c r="T8620" s="98"/>
    </row>
    <row r="8621" spans="20:20" x14ac:dyDescent="0.25">
      <c r="T8621" s="98"/>
    </row>
    <row r="8622" spans="20:20" x14ac:dyDescent="0.25">
      <c r="T8622" s="98"/>
    </row>
    <row r="8623" spans="20:20" x14ac:dyDescent="0.25">
      <c r="T8623" s="98"/>
    </row>
    <row r="8624" spans="20:20" x14ac:dyDescent="0.25">
      <c r="T8624" s="98"/>
    </row>
    <row r="8625" spans="20:20" x14ac:dyDescent="0.25">
      <c r="T8625" s="98"/>
    </row>
    <row r="8626" spans="20:20" x14ac:dyDescent="0.25">
      <c r="T8626" s="98"/>
    </row>
    <row r="8627" spans="20:20" x14ac:dyDescent="0.25">
      <c r="T8627" s="98"/>
    </row>
    <row r="8628" spans="20:20" x14ac:dyDescent="0.25">
      <c r="T8628" s="98"/>
    </row>
    <row r="8629" spans="20:20" x14ac:dyDescent="0.25">
      <c r="T8629" s="98"/>
    </row>
    <row r="8630" spans="20:20" x14ac:dyDescent="0.25">
      <c r="T8630" s="98"/>
    </row>
    <row r="8631" spans="20:20" x14ac:dyDescent="0.25">
      <c r="T8631" s="98"/>
    </row>
    <row r="8632" spans="20:20" x14ac:dyDescent="0.25">
      <c r="T8632" s="98"/>
    </row>
    <row r="8633" spans="20:20" x14ac:dyDescent="0.25">
      <c r="T8633" s="98"/>
    </row>
    <row r="8634" spans="20:20" x14ac:dyDescent="0.25">
      <c r="T8634" s="98"/>
    </row>
    <row r="8635" spans="20:20" x14ac:dyDescent="0.25">
      <c r="T8635" s="98"/>
    </row>
    <row r="8636" spans="20:20" x14ac:dyDescent="0.25">
      <c r="T8636" s="98"/>
    </row>
    <row r="8637" spans="20:20" x14ac:dyDescent="0.25">
      <c r="T8637" s="98"/>
    </row>
    <row r="8638" spans="20:20" x14ac:dyDescent="0.25">
      <c r="T8638" s="98"/>
    </row>
    <row r="8639" spans="20:20" x14ac:dyDescent="0.25">
      <c r="T8639" s="98"/>
    </row>
    <row r="8640" spans="20:20" x14ac:dyDescent="0.25">
      <c r="T8640" s="98"/>
    </row>
    <row r="8641" spans="20:20" x14ac:dyDescent="0.25">
      <c r="T8641" s="98"/>
    </row>
    <row r="8642" spans="20:20" x14ac:dyDescent="0.25">
      <c r="T8642" s="98"/>
    </row>
    <row r="8643" spans="20:20" x14ac:dyDescent="0.25">
      <c r="T8643" s="98"/>
    </row>
    <row r="8644" spans="20:20" x14ac:dyDescent="0.25">
      <c r="T8644" s="98"/>
    </row>
    <row r="8645" spans="20:20" x14ac:dyDescent="0.25">
      <c r="T8645" s="98"/>
    </row>
    <row r="8646" spans="20:20" x14ac:dyDescent="0.25">
      <c r="T8646" s="98"/>
    </row>
    <row r="8647" spans="20:20" x14ac:dyDescent="0.25">
      <c r="T8647" s="98"/>
    </row>
    <row r="8648" spans="20:20" x14ac:dyDescent="0.25">
      <c r="T8648" s="98"/>
    </row>
    <row r="8649" spans="20:20" x14ac:dyDescent="0.25">
      <c r="T8649" s="98"/>
    </row>
    <row r="8650" spans="20:20" x14ac:dyDescent="0.25">
      <c r="T8650" s="98"/>
    </row>
    <row r="8651" spans="20:20" x14ac:dyDescent="0.25">
      <c r="T8651" s="98"/>
    </row>
    <row r="8652" spans="20:20" x14ac:dyDescent="0.25">
      <c r="T8652" s="98"/>
    </row>
    <row r="8653" spans="20:20" x14ac:dyDescent="0.25">
      <c r="T8653" s="98"/>
    </row>
    <row r="8654" spans="20:20" x14ac:dyDescent="0.25">
      <c r="T8654" s="98"/>
    </row>
    <row r="8655" spans="20:20" x14ac:dyDescent="0.25">
      <c r="T8655" s="98"/>
    </row>
    <row r="8656" spans="20:20" x14ac:dyDescent="0.25">
      <c r="T8656" s="98"/>
    </row>
    <row r="8657" spans="20:20" x14ac:dyDescent="0.25">
      <c r="T8657" s="98"/>
    </row>
    <row r="8658" spans="20:20" x14ac:dyDescent="0.25">
      <c r="T8658" s="98"/>
    </row>
    <row r="8659" spans="20:20" x14ac:dyDescent="0.25">
      <c r="T8659" s="98"/>
    </row>
    <row r="8660" spans="20:20" x14ac:dyDescent="0.25">
      <c r="T8660" s="98"/>
    </row>
    <row r="8661" spans="20:20" x14ac:dyDescent="0.25">
      <c r="T8661" s="98"/>
    </row>
    <row r="8662" spans="20:20" x14ac:dyDescent="0.25">
      <c r="T8662" s="98"/>
    </row>
    <row r="8663" spans="20:20" x14ac:dyDescent="0.25">
      <c r="T8663" s="98"/>
    </row>
    <row r="8664" spans="20:20" x14ac:dyDescent="0.25">
      <c r="T8664" s="98"/>
    </row>
    <row r="8665" spans="20:20" x14ac:dyDescent="0.25">
      <c r="T8665" s="98"/>
    </row>
    <row r="8666" spans="20:20" x14ac:dyDescent="0.25">
      <c r="T8666" s="98"/>
    </row>
    <row r="8667" spans="20:20" x14ac:dyDescent="0.25">
      <c r="T8667" s="98"/>
    </row>
    <row r="8668" spans="20:20" x14ac:dyDescent="0.25">
      <c r="T8668" s="98"/>
    </row>
    <row r="8669" spans="20:20" x14ac:dyDescent="0.25">
      <c r="T8669" s="98"/>
    </row>
    <row r="8670" spans="20:20" x14ac:dyDescent="0.25">
      <c r="T8670" s="98"/>
    </row>
    <row r="8671" spans="20:20" x14ac:dyDescent="0.25">
      <c r="T8671" s="98"/>
    </row>
    <row r="8672" spans="20:20" x14ac:dyDescent="0.25">
      <c r="T8672" s="98"/>
    </row>
    <row r="8673" spans="20:20" x14ac:dyDescent="0.25">
      <c r="T8673" s="98"/>
    </row>
    <row r="8674" spans="20:20" x14ac:dyDescent="0.25">
      <c r="T8674" s="98"/>
    </row>
    <row r="8675" spans="20:20" x14ac:dyDescent="0.25">
      <c r="T8675" s="98"/>
    </row>
    <row r="8676" spans="20:20" x14ac:dyDescent="0.25">
      <c r="T8676" s="98"/>
    </row>
    <row r="8677" spans="20:20" x14ac:dyDescent="0.25">
      <c r="T8677" s="98"/>
    </row>
    <row r="8678" spans="20:20" x14ac:dyDescent="0.25">
      <c r="T8678" s="98"/>
    </row>
    <row r="8679" spans="20:20" x14ac:dyDescent="0.25">
      <c r="T8679" s="98"/>
    </row>
    <row r="8680" spans="20:20" x14ac:dyDescent="0.25">
      <c r="T8680" s="98"/>
    </row>
    <row r="8681" spans="20:20" x14ac:dyDescent="0.25">
      <c r="T8681" s="98"/>
    </row>
    <row r="8682" spans="20:20" x14ac:dyDescent="0.25">
      <c r="T8682" s="98"/>
    </row>
    <row r="8683" spans="20:20" x14ac:dyDescent="0.25">
      <c r="T8683" s="98"/>
    </row>
    <row r="8684" spans="20:20" x14ac:dyDescent="0.25">
      <c r="T8684" s="98"/>
    </row>
    <row r="8685" spans="20:20" x14ac:dyDescent="0.25">
      <c r="T8685" s="98"/>
    </row>
    <row r="8686" spans="20:20" x14ac:dyDescent="0.25">
      <c r="T8686" s="98"/>
    </row>
    <row r="8687" spans="20:20" x14ac:dyDescent="0.25">
      <c r="T8687" s="98"/>
    </row>
    <row r="8688" spans="20:20" x14ac:dyDescent="0.25">
      <c r="T8688" s="98"/>
    </row>
    <row r="8689" spans="20:20" x14ac:dyDescent="0.25">
      <c r="T8689" s="98"/>
    </row>
    <row r="8690" spans="20:20" x14ac:dyDescent="0.25">
      <c r="T8690" s="98"/>
    </row>
    <row r="8691" spans="20:20" x14ac:dyDescent="0.25">
      <c r="T8691" s="98"/>
    </row>
    <row r="8692" spans="20:20" x14ac:dyDescent="0.25">
      <c r="T8692" s="98"/>
    </row>
    <row r="8693" spans="20:20" x14ac:dyDescent="0.25">
      <c r="T8693" s="98"/>
    </row>
    <row r="8694" spans="20:20" x14ac:dyDescent="0.25">
      <c r="T8694" s="98"/>
    </row>
    <row r="8695" spans="20:20" x14ac:dyDescent="0.25">
      <c r="T8695" s="98"/>
    </row>
    <row r="8696" spans="20:20" x14ac:dyDescent="0.25">
      <c r="T8696" s="98"/>
    </row>
    <row r="8697" spans="20:20" x14ac:dyDescent="0.25">
      <c r="T8697" s="98"/>
    </row>
    <row r="8698" spans="20:20" x14ac:dyDescent="0.25">
      <c r="T8698" s="98"/>
    </row>
    <row r="8699" spans="20:20" x14ac:dyDescent="0.25">
      <c r="T8699" s="98"/>
    </row>
    <row r="8700" spans="20:20" x14ac:dyDescent="0.25">
      <c r="T8700" s="98"/>
    </row>
    <row r="8701" spans="20:20" x14ac:dyDescent="0.25">
      <c r="T8701" s="98"/>
    </row>
    <row r="8702" spans="20:20" x14ac:dyDescent="0.25">
      <c r="T8702" s="98"/>
    </row>
    <row r="8703" spans="20:20" x14ac:dyDescent="0.25">
      <c r="T8703" s="98"/>
    </row>
    <row r="8704" spans="20:20" x14ac:dyDescent="0.25">
      <c r="T8704" s="98"/>
    </row>
    <row r="8705" spans="20:20" x14ac:dyDescent="0.25">
      <c r="T8705" s="98"/>
    </row>
    <row r="8706" spans="20:20" x14ac:dyDescent="0.25">
      <c r="T8706" s="98"/>
    </row>
    <row r="8707" spans="20:20" x14ac:dyDescent="0.25">
      <c r="T8707" s="98"/>
    </row>
    <row r="8708" spans="20:20" x14ac:dyDescent="0.25">
      <c r="T8708" s="98"/>
    </row>
    <row r="8709" spans="20:20" x14ac:dyDescent="0.25">
      <c r="T8709" s="98"/>
    </row>
    <row r="8710" spans="20:20" x14ac:dyDescent="0.25">
      <c r="T8710" s="98"/>
    </row>
    <row r="8711" spans="20:20" x14ac:dyDescent="0.25">
      <c r="T8711" s="98"/>
    </row>
    <row r="8712" spans="20:20" x14ac:dyDescent="0.25">
      <c r="T8712" s="98"/>
    </row>
    <row r="8713" spans="20:20" x14ac:dyDescent="0.25">
      <c r="T8713" s="98"/>
    </row>
    <row r="8714" spans="20:20" x14ac:dyDescent="0.25">
      <c r="T8714" s="98"/>
    </row>
    <row r="8715" spans="20:20" x14ac:dyDescent="0.25">
      <c r="T8715" s="98"/>
    </row>
    <row r="8716" spans="20:20" x14ac:dyDescent="0.25">
      <c r="T8716" s="98"/>
    </row>
    <row r="8717" spans="20:20" x14ac:dyDescent="0.25">
      <c r="T8717" s="98"/>
    </row>
    <row r="8718" spans="20:20" x14ac:dyDescent="0.25">
      <c r="T8718" s="98"/>
    </row>
    <row r="8719" spans="20:20" x14ac:dyDescent="0.25">
      <c r="T8719" s="98"/>
    </row>
    <row r="8720" spans="20:20" x14ac:dyDescent="0.25">
      <c r="T8720" s="98"/>
    </row>
    <row r="8721" spans="20:20" x14ac:dyDescent="0.25">
      <c r="T8721" s="98"/>
    </row>
    <row r="8722" spans="20:20" x14ac:dyDescent="0.25">
      <c r="T8722" s="98"/>
    </row>
    <row r="8723" spans="20:20" x14ac:dyDescent="0.25">
      <c r="T8723" s="98"/>
    </row>
    <row r="8724" spans="20:20" x14ac:dyDescent="0.25">
      <c r="T8724" s="98"/>
    </row>
    <row r="8725" spans="20:20" x14ac:dyDescent="0.25">
      <c r="T8725" s="98"/>
    </row>
    <row r="8726" spans="20:20" x14ac:dyDescent="0.25">
      <c r="T8726" s="98"/>
    </row>
    <row r="8727" spans="20:20" x14ac:dyDescent="0.25">
      <c r="T8727" s="98"/>
    </row>
    <row r="8728" spans="20:20" x14ac:dyDescent="0.25">
      <c r="T8728" s="98"/>
    </row>
    <row r="8729" spans="20:20" x14ac:dyDescent="0.25">
      <c r="T8729" s="98"/>
    </row>
    <row r="8730" spans="20:20" x14ac:dyDescent="0.25">
      <c r="T8730" s="98"/>
    </row>
    <row r="8731" spans="20:20" x14ac:dyDescent="0.25">
      <c r="T8731" s="98"/>
    </row>
    <row r="8732" spans="20:20" x14ac:dyDescent="0.25">
      <c r="T8732" s="98"/>
    </row>
    <row r="8733" spans="20:20" x14ac:dyDescent="0.25">
      <c r="T8733" s="98"/>
    </row>
    <row r="8734" spans="20:20" x14ac:dyDescent="0.25">
      <c r="T8734" s="98"/>
    </row>
    <row r="8735" spans="20:20" x14ac:dyDescent="0.25">
      <c r="T8735" s="98"/>
    </row>
    <row r="8736" spans="20:20" x14ac:dyDescent="0.25">
      <c r="T8736" s="98"/>
    </row>
    <row r="8737" spans="20:20" x14ac:dyDescent="0.25">
      <c r="T8737" s="98"/>
    </row>
    <row r="8738" spans="20:20" x14ac:dyDescent="0.25">
      <c r="T8738" s="98"/>
    </row>
    <row r="8739" spans="20:20" x14ac:dyDescent="0.25">
      <c r="T8739" s="98"/>
    </row>
    <row r="8740" spans="20:20" x14ac:dyDescent="0.25">
      <c r="T8740" s="98"/>
    </row>
    <row r="8741" spans="20:20" x14ac:dyDescent="0.25">
      <c r="T8741" s="98"/>
    </row>
    <row r="8742" spans="20:20" x14ac:dyDescent="0.25">
      <c r="T8742" s="98"/>
    </row>
    <row r="8743" spans="20:20" x14ac:dyDescent="0.25">
      <c r="T8743" s="98"/>
    </row>
    <row r="8744" spans="20:20" x14ac:dyDescent="0.25">
      <c r="T8744" s="98"/>
    </row>
    <row r="8745" spans="20:20" x14ac:dyDescent="0.25">
      <c r="T8745" s="98"/>
    </row>
    <row r="8746" spans="20:20" x14ac:dyDescent="0.25">
      <c r="T8746" s="98"/>
    </row>
    <row r="8747" spans="20:20" x14ac:dyDescent="0.25">
      <c r="T8747" s="98"/>
    </row>
    <row r="8748" spans="20:20" x14ac:dyDescent="0.25">
      <c r="T8748" s="98"/>
    </row>
    <row r="8749" spans="20:20" x14ac:dyDescent="0.25">
      <c r="T8749" s="98"/>
    </row>
    <row r="8750" spans="20:20" x14ac:dyDescent="0.25">
      <c r="T8750" s="98"/>
    </row>
    <row r="8751" spans="20:20" x14ac:dyDescent="0.25">
      <c r="T8751" s="98"/>
    </row>
    <row r="8752" spans="20:20" x14ac:dyDescent="0.25">
      <c r="T8752" s="98"/>
    </row>
    <row r="8753" spans="20:20" x14ac:dyDescent="0.25">
      <c r="T8753" s="98"/>
    </row>
    <row r="8754" spans="20:20" x14ac:dyDescent="0.25">
      <c r="T8754" s="98"/>
    </row>
    <row r="8755" spans="20:20" x14ac:dyDescent="0.25">
      <c r="T8755" s="98"/>
    </row>
    <row r="8756" spans="20:20" x14ac:dyDescent="0.25">
      <c r="T8756" s="98"/>
    </row>
    <row r="8757" spans="20:20" x14ac:dyDescent="0.25">
      <c r="T8757" s="98"/>
    </row>
    <row r="8758" spans="20:20" x14ac:dyDescent="0.25">
      <c r="T8758" s="98"/>
    </row>
    <row r="8759" spans="20:20" x14ac:dyDescent="0.25">
      <c r="T8759" s="98"/>
    </row>
    <row r="8760" spans="20:20" x14ac:dyDescent="0.25">
      <c r="T8760" s="98"/>
    </row>
    <row r="8761" spans="20:20" x14ac:dyDescent="0.25">
      <c r="T8761" s="98"/>
    </row>
    <row r="8762" spans="20:20" x14ac:dyDescent="0.25">
      <c r="T8762" s="98"/>
    </row>
    <row r="8763" spans="20:20" x14ac:dyDescent="0.25">
      <c r="T8763" s="98"/>
    </row>
    <row r="8764" spans="20:20" x14ac:dyDescent="0.25">
      <c r="T8764" s="98"/>
    </row>
    <row r="8765" spans="20:20" x14ac:dyDescent="0.25">
      <c r="T8765" s="98"/>
    </row>
    <row r="8766" spans="20:20" x14ac:dyDescent="0.25">
      <c r="T8766" s="98"/>
    </row>
    <row r="8767" spans="20:20" x14ac:dyDescent="0.25">
      <c r="T8767" s="98"/>
    </row>
    <row r="8768" spans="20:20" x14ac:dyDescent="0.25">
      <c r="T8768" s="98"/>
    </row>
    <row r="8769" spans="20:20" x14ac:dyDescent="0.25">
      <c r="T8769" s="98"/>
    </row>
    <row r="8770" spans="20:20" x14ac:dyDescent="0.25">
      <c r="T8770" s="98"/>
    </row>
    <row r="8771" spans="20:20" x14ac:dyDescent="0.25">
      <c r="T8771" s="98"/>
    </row>
    <row r="8772" spans="20:20" x14ac:dyDescent="0.25">
      <c r="T8772" s="98"/>
    </row>
    <row r="8773" spans="20:20" x14ac:dyDescent="0.25">
      <c r="T8773" s="98"/>
    </row>
    <row r="8774" spans="20:20" x14ac:dyDescent="0.25">
      <c r="T8774" s="98"/>
    </row>
    <row r="8775" spans="20:20" x14ac:dyDescent="0.25">
      <c r="T8775" s="98"/>
    </row>
    <row r="8776" spans="20:20" x14ac:dyDescent="0.25">
      <c r="T8776" s="98"/>
    </row>
    <row r="8777" spans="20:20" x14ac:dyDescent="0.25">
      <c r="T8777" s="98"/>
    </row>
    <row r="8778" spans="20:20" x14ac:dyDescent="0.25">
      <c r="T8778" s="98"/>
    </row>
    <row r="8779" spans="20:20" x14ac:dyDescent="0.25">
      <c r="T8779" s="98"/>
    </row>
    <row r="8780" spans="20:20" x14ac:dyDescent="0.25">
      <c r="T8780" s="98"/>
    </row>
    <row r="8781" spans="20:20" x14ac:dyDescent="0.25">
      <c r="T8781" s="98"/>
    </row>
    <row r="8782" spans="20:20" x14ac:dyDescent="0.25">
      <c r="T8782" s="98"/>
    </row>
    <row r="8783" spans="20:20" x14ac:dyDescent="0.25">
      <c r="T8783" s="98"/>
    </row>
    <row r="8784" spans="20:20" x14ac:dyDescent="0.25">
      <c r="T8784" s="98"/>
    </row>
    <row r="8785" spans="20:20" x14ac:dyDescent="0.25">
      <c r="T8785" s="98"/>
    </row>
    <row r="8786" spans="20:20" x14ac:dyDescent="0.25">
      <c r="T8786" s="98"/>
    </row>
    <row r="8787" spans="20:20" x14ac:dyDescent="0.25">
      <c r="T8787" s="98"/>
    </row>
    <row r="8788" spans="20:20" x14ac:dyDescent="0.25">
      <c r="T8788" s="98"/>
    </row>
    <row r="8789" spans="20:20" x14ac:dyDescent="0.25">
      <c r="T8789" s="98"/>
    </row>
    <row r="8790" spans="20:20" x14ac:dyDescent="0.25">
      <c r="T8790" s="98"/>
    </row>
    <row r="8791" spans="20:20" x14ac:dyDescent="0.25">
      <c r="T8791" s="98"/>
    </row>
    <row r="8792" spans="20:20" x14ac:dyDescent="0.25">
      <c r="T8792" s="98"/>
    </row>
    <row r="8793" spans="20:20" x14ac:dyDescent="0.25">
      <c r="T8793" s="98"/>
    </row>
    <row r="8794" spans="20:20" x14ac:dyDescent="0.25">
      <c r="T8794" s="98"/>
    </row>
    <row r="8795" spans="20:20" x14ac:dyDescent="0.25">
      <c r="T8795" s="98"/>
    </row>
    <row r="8796" spans="20:20" x14ac:dyDescent="0.25">
      <c r="T8796" s="98"/>
    </row>
    <row r="8797" spans="20:20" x14ac:dyDescent="0.25">
      <c r="T8797" s="98"/>
    </row>
    <row r="8798" spans="20:20" x14ac:dyDescent="0.25">
      <c r="T8798" s="98"/>
    </row>
    <row r="8799" spans="20:20" x14ac:dyDescent="0.25">
      <c r="T8799" s="98"/>
    </row>
    <row r="8800" spans="20:20" x14ac:dyDescent="0.25">
      <c r="T8800" s="98"/>
    </row>
    <row r="8801" spans="20:20" x14ac:dyDescent="0.25">
      <c r="T8801" s="98"/>
    </row>
    <row r="8802" spans="20:20" x14ac:dyDescent="0.25">
      <c r="T8802" s="98"/>
    </row>
    <row r="8803" spans="20:20" x14ac:dyDescent="0.25">
      <c r="T8803" s="98"/>
    </row>
    <row r="8804" spans="20:20" x14ac:dyDescent="0.25">
      <c r="T8804" s="98"/>
    </row>
    <row r="8805" spans="20:20" x14ac:dyDescent="0.25">
      <c r="T8805" s="98"/>
    </row>
    <row r="8806" spans="20:20" x14ac:dyDescent="0.25">
      <c r="T8806" s="98"/>
    </row>
    <row r="8807" spans="20:20" x14ac:dyDescent="0.25">
      <c r="T8807" s="98"/>
    </row>
    <row r="8808" spans="20:20" x14ac:dyDescent="0.25">
      <c r="T8808" s="98"/>
    </row>
    <row r="8809" spans="20:20" x14ac:dyDescent="0.25">
      <c r="T8809" s="98"/>
    </row>
    <row r="8810" spans="20:20" x14ac:dyDescent="0.25">
      <c r="T8810" s="98"/>
    </row>
    <row r="8811" spans="20:20" x14ac:dyDescent="0.25">
      <c r="T8811" s="98"/>
    </row>
    <row r="8812" spans="20:20" x14ac:dyDescent="0.25">
      <c r="T8812" s="98"/>
    </row>
    <row r="8813" spans="20:20" x14ac:dyDescent="0.25">
      <c r="T8813" s="98"/>
    </row>
    <row r="8814" spans="20:20" x14ac:dyDescent="0.25">
      <c r="T8814" s="98"/>
    </row>
    <row r="8815" spans="20:20" x14ac:dyDescent="0.25">
      <c r="T8815" s="98"/>
    </row>
    <row r="8816" spans="20:20" x14ac:dyDescent="0.25">
      <c r="T8816" s="98"/>
    </row>
    <row r="8817" spans="20:20" x14ac:dyDescent="0.25">
      <c r="T8817" s="98"/>
    </row>
    <row r="8818" spans="20:20" x14ac:dyDescent="0.25">
      <c r="T8818" s="98"/>
    </row>
    <row r="8819" spans="20:20" x14ac:dyDescent="0.25">
      <c r="T8819" s="98"/>
    </row>
    <row r="8820" spans="20:20" x14ac:dyDescent="0.25">
      <c r="T8820" s="98"/>
    </row>
    <row r="8821" spans="20:20" x14ac:dyDescent="0.25">
      <c r="T8821" s="98"/>
    </row>
    <row r="8822" spans="20:20" x14ac:dyDescent="0.25">
      <c r="T8822" s="98"/>
    </row>
    <row r="8823" spans="20:20" x14ac:dyDescent="0.25">
      <c r="T8823" s="98"/>
    </row>
    <row r="8824" spans="20:20" x14ac:dyDescent="0.25">
      <c r="T8824" s="98"/>
    </row>
    <row r="8825" spans="20:20" x14ac:dyDescent="0.25">
      <c r="T8825" s="98"/>
    </row>
    <row r="8826" spans="20:20" x14ac:dyDescent="0.25">
      <c r="T8826" s="98"/>
    </row>
    <row r="8827" spans="20:20" x14ac:dyDescent="0.25">
      <c r="T8827" s="98"/>
    </row>
    <row r="8828" spans="20:20" x14ac:dyDescent="0.25">
      <c r="T8828" s="98"/>
    </row>
    <row r="8829" spans="20:20" x14ac:dyDescent="0.25">
      <c r="T8829" s="98"/>
    </row>
    <row r="8830" spans="20:20" x14ac:dyDescent="0.25">
      <c r="T8830" s="98"/>
    </row>
    <row r="8831" spans="20:20" x14ac:dyDescent="0.25">
      <c r="T8831" s="98"/>
    </row>
    <row r="8832" spans="20:20" x14ac:dyDescent="0.25">
      <c r="T8832" s="98"/>
    </row>
    <row r="8833" spans="20:20" x14ac:dyDescent="0.25">
      <c r="T8833" s="98"/>
    </row>
    <row r="8834" spans="20:20" x14ac:dyDescent="0.25">
      <c r="T8834" s="98"/>
    </row>
    <row r="8835" spans="20:20" x14ac:dyDescent="0.25">
      <c r="T8835" s="98"/>
    </row>
    <row r="8836" spans="20:20" x14ac:dyDescent="0.25">
      <c r="T8836" s="98"/>
    </row>
    <row r="8837" spans="20:20" x14ac:dyDescent="0.25">
      <c r="T8837" s="98"/>
    </row>
    <row r="8838" spans="20:20" x14ac:dyDescent="0.25">
      <c r="T8838" s="98"/>
    </row>
    <row r="8839" spans="20:20" x14ac:dyDescent="0.25">
      <c r="T8839" s="98"/>
    </row>
    <row r="8840" spans="20:20" x14ac:dyDescent="0.25">
      <c r="T8840" s="98"/>
    </row>
    <row r="8841" spans="20:20" x14ac:dyDescent="0.25">
      <c r="T8841" s="98"/>
    </row>
    <row r="8842" spans="20:20" x14ac:dyDescent="0.25">
      <c r="T8842" s="98"/>
    </row>
    <row r="8843" spans="20:20" x14ac:dyDescent="0.25">
      <c r="T8843" s="98"/>
    </row>
    <row r="8844" spans="20:20" x14ac:dyDescent="0.25">
      <c r="T8844" s="98"/>
    </row>
    <row r="8845" spans="20:20" x14ac:dyDescent="0.25">
      <c r="T8845" s="98"/>
    </row>
    <row r="8846" spans="20:20" x14ac:dyDescent="0.25">
      <c r="T8846" s="98"/>
    </row>
    <row r="8847" spans="20:20" x14ac:dyDescent="0.25">
      <c r="T8847" s="98"/>
    </row>
    <row r="8848" spans="20:20" x14ac:dyDescent="0.25">
      <c r="T8848" s="98"/>
    </row>
    <row r="8849" spans="20:20" x14ac:dyDescent="0.25">
      <c r="T8849" s="98"/>
    </row>
    <row r="8850" spans="20:20" x14ac:dyDescent="0.25">
      <c r="T8850" s="98"/>
    </row>
    <row r="8851" spans="20:20" x14ac:dyDescent="0.25">
      <c r="T8851" s="98"/>
    </row>
    <row r="8852" spans="20:20" x14ac:dyDescent="0.25">
      <c r="T8852" s="98"/>
    </row>
    <row r="8853" spans="20:20" x14ac:dyDescent="0.25">
      <c r="T8853" s="98"/>
    </row>
    <row r="8854" spans="20:20" x14ac:dyDescent="0.25">
      <c r="T8854" s="98"/>
    </row>
    <row r="8855" spans="20:20" x14ac:dyDescent="0.25">
      <c r="T8855" s="98"/>
    </row>
    <row r="8856" spans="20:20" x14ac:dyDescent="0.25">
      <c r="T8856" s="98"/>
    </row>
    <row r="8857" spans="20:20" x14ac:dyDescent="0.25">
      <c r="T8857" s="98"/>
    </row>
    <row r="8858" spans="20:20" x14ac:dyDescent="0.25">
      <c r="T8858" s="98"/>
    </row>
    <row r="8859" spans="20:20" x14ac:dyDescent="0.25">
      <c r="T8859" s="98"/>
    </row>
    <row r="8860" spans="20:20" x14ac:dyDescent="0.25">
      <c r="T8860" s="98"/>
    </row>
    <row r="8861" spans="20:20" x14ac:dyDescent="0.25">
      <c r="T8861" s="98"/>
    </row>
    <row r="8862" spans="20:20" x14ac:dyDescent="0.25">
      <c r="T8862" s="98"/>
    </row>
    <row r="8863" spans="20:20" x14ac:dyDescent="0.25">
      <c r="T8863" s="98"/>
    </row>
    <row r="8864" spans="20:20" x14ac:dyDescent="0.25">
      <c r="T8864" s="98"/>
    </row>
    <row r="8865" spans="20:20" x14ac:dyDescent="0.25">
      <c r="T8865" s="98"/>
    </row>
    <row r="8866" spans="20:20" x14ac:dyDescent="0.25">
      <c r="T8866" s="98"/>
    </row>
    <row r="8867" spans="20:20" x14ac:dyDescent="0.25">
      <c r="T8867" s="98"/>
    </row>
    <row r="8868" spans="20:20" x14ac:dyDescent="0.25">
      <c r="T8868" s="98"/>
    </row>
    <row r="8869" spans="20:20" x14ac:dyDescent="0.25">
      <c r="T8869" s="98"/>
    </row>
    <row r="8870" spans="20:20" x14ac:dyDescent="0.25">
      <c r="T8870" s="98"/>
    </row>
    <row r="8871" spans="20:20" x14ac:dyDescent="0.25">
      <c r="T8871" s="98"/>
    </row>
    <row r="8872" spans="20:20" x14ac:dyDescent="0.25">
      <c r="T8872" s="98"/>
    </row>
    <row r="8873" spans="20:20" x14ac:dyDescent="0.25">
      <c r="T8873" s="98"/>
    </row>
    <row r="8874" spans="20:20" x14ac:dyDescent="0.25">
      <c r="T8874" s="98"/>
    </row>
    <row r="8875" spans="20:20" x14ac:dyDescent="0.25">
      <c r="T8875" s="98"/>
    </row>
    <row r="8876" spans="20:20" x14ac:dyDescent="0.25">
      <c r="T8876" s="98"/>
    </row>
    <row r="8877" spans="20:20" x14ac:dyDescent="0.25">
      <c r="T8877" s="98"/>
    </row>
    <row r="8878" spans="20:20" x14ac:dyDescent="0.25">
      <c r="T8878" s="98"/>
    </row>
    <row r="8879" spans="20:20" x14ac:dyDescent="0.25">
      <c r="T8879" s="98"/>
    </row>
    <row r="8880" spans="20:20" x14ac:dyDescent="0.25">
      <c r="T8880" s="98"/>
    </row>
    <row r="8881" spans="20:20" x14ac:dyDescent="0.25">
      <c r="T8881" s="98"/>
    </row>
    <row r="8882" spans="20:20" x14ac:dyDescent="0.25">
      <c r="T8882" s="98"/>
    </row>
    <row r="8883" spans="20:20" x14ac:dyDescent="0.25">
      <c r="T8883" s="98"/>
    </row>
    <row r="8884" spans="20:20" x14ac:dyDescent="0.25">
      <c r="T8884" s="98"/>
    </row>
    <row r="8885" spans="20:20" x14ac:dyDescent="0.25">
      <c r="T8885" s="98"/>
    </row>
    <row r="8886" spans="20:20" x14ac:dyDescent="0.25">
      <c r="T8886" s="98"/>
    </row>
    <row r="8887" spans="20:20" x14ac:dyDescent="0.25">
      <c r="T8887" s="98"/>
    </row>
    <row r="8888" spans="20:20" x14ac:dyDescent="0.25">
      <c r="T8888" s="98"/>
    </row>
    <row r="8889" spans="20:20" x14ac:dyDescent="0.25">
      <c r="T8889" s="98"/>
    </row>
    <row r="8890" spans="20:20" x14ac:dyDescent="0.25">
      <c r="T8890" s="98"/>
    </row>
    <row r="8891" spans="20:20" x14ac:dyDescent="0.25">
      <c r="T8891" s="98"/>
    </row>
    <row r="8892" spans="20:20" x14ac:dyDescent="0.25">
      <c r="T8892" s="98"/>
    </row>
    <row r="8893" spans="20:20" x14ac:dyDescent="0.25">
      <c r="T8893" s="98"/>
    </row>
    <row r="8894" spans="20:20" x14ac:dyDescent="0.25">
      <c r="T8894" s="98"/>
    </row>
    <row r="8895" spans="20:20" x14ac:dyDescent="0.25">
      <c r="T8895" s="98"/>
    </row>
    <row r="8896" spans="20:20" x14ac:dyDescent="0.25">
      <c r="T8896" s="98"/>
    </row>
    <row r="8897" spans="20:20" x14ac:dyDescent="0.25">
      <c r="T8897" s="98"/>
    </row>
    <row r="8898" spans="20:20" x14ac:dyDescent="0.25">
      <c r="T8898" s="98"/>
    </row>
    <row r="8899" spans="20:20" x14ac:dyDescent="0.25">
      <c r="T8899" s="98"/>
    </row>
    <row r="8900" spans="20:20" x14ac:dyDescent="0.25">
      <c r="T8900" s="98"/>
    </row>
    <row r="8901" spans="20:20" x14ac:dyDescent="0.25">
      <c r="T8901" s="98"/>
    </row>
    <row r="8902" spans="20:20" x14ac:dyDescent="0.25">
      <c r="T8902" s="98"/>
    </row>
    <row r="8903" spans="20:20" x14ac:dyDescent="0.25">
      <c r="T8903" s="98"/>
    </row>
    <row r="8904" spans="20:20" x14ac:dyDescent="0.25">
      <c r="T8904" s="98"/>
    </row>
    <row r="8905" spans="20:20" x14ac:dyDescent="0.25">
      <c r="T8905" s="98"/>
    </row>
    <row r="8906" spans="20:20" x14ac:dyDescent="0.25">
      <c r="T8906" s="98"/>
    </row>
    <row r="8907" spans="20:20" x14ac:dyDescent="0.25">
      <c r="T8907" s="98"/>
    </row>
    <row r="8908" spans="20:20" x14ac:dyDescent="0.25">
      <c r="T8908" s="98"/>
    </row>
    <row r="8909" spans="20:20" x14ac:dyDescent="0.25">
      <c r="T8909" s="98"/>
    </row>
    <row r="8910" spans="20:20" x14ac:dyDescent="0.25">
      <c r="T8910" s="98"/>
    </row>
    <row r="8911" spans="20:20" x14ac:dyDescent="0.25">
      <c r="T8911" s="98"/>
    </row>
    <row r="8912" spans="20:20" x14ac:dyDescent="0.25">
      <c r="T8912" s="98"/>
    </row>
    <row r="8913" spans="20:20" x14ac:dyDescent="0.25">
      <c r="T8913" s="98"/>
    </row>
    <row r="8914" spans="20:20" x14ac:dyDescent="0.25">
      <c r="T8914" s="98"/>
    </row>
    <row r="8915" spans="20:20" x14ac:dyDescent="0.25">
      <c r="T8915" s="98"/>
    </row>
    <row r="8916" spans="20:20" x14ac:dyDescent="0.25">
      <c r="T8916" s="98"/>
    </row>
    <row r="8917" spans="20:20" x14ac:dyDescent="0.25">
      <c r="T8917" s="98"/>
    </row>
    <row r="8918" spans="20:20" x14ac:dyDescent="0.25">
      <c r="T8918" s="98"/>
    </row>
    <row r="8919" spans="20:20" x14ac:dyDescent="0.25">
      <c r="T8919" s="98"/>
    </row>
    <row r="8920" spans="20:20" x14ac:dyDescent="0.25">
      <c r="T8920" s="98"/>
    </row>
    <row r="8921" spans="20:20" x14ac:dyDescent="0.25">
      <c r="T8921" s="98"/>
    </row>
    <row r="8922" spans="20:20" x14ac:dyDescent="0.25">
      <c r="T8922" s="98"/>
    </row>
    <row r="8923" spans="20:20" x14ac:dyDescent="0.25">
      <c r="T8923" s="98"/>
    </row>
    <row r="8924" spans="20:20" x14ac:dyDescent="0.25">
      <c r="T8924" s="98"/>
    </row>
    <row r="8925" spans="20:20" x14ac:dyDescent="0.25">
      <c r="T8925" s="98"/>
    </row>
    <row r="8926" spans="20:20" x14ac:dyDescent="0.25">
      <c r="T8926" s="98"/>
    </row>
    <row r="8927" spans="20:20" x14ac:dyDescent="0.25">
      <c r="T8927" s="98"/>
    </row>
    <row r="8928" spans="20:20" x14ac:dyDescent="0.25">
      <c r="T8928" s="98"/>
    </row>
    <row r="8929" spans="20:20" x14ac:dyDescent="0.25">
      <c r="T8929" s="98"/>
    </row>
    <row r="8930" spans="20:20" x14ac:dyDescent="0.25">
      <c r="T8930" s="98"/>
    </row>
    <row r="8931" spans="20:20" x14ac:dyDescent="0.25">
      <c r="T8931" s="98"/>
    </row>
    <row r="8932" spans="20:20" x14ac:dyDescent="0.25">
      <c r="T8932" s="98"/>
    </row>
    <row r="8933" spans="20:20" x14ac:dyDescent="0.25">
      <c r="T8933" s="98"/>
    </row>
    <row r="8934" spans="20:20" x14ac:dyDescent="0.25">
      <c r="T8934" s="98"/>
    </row>
    <row r="8935" spans="20:20" x14ac:dyDescent="0.25">
      <c r="T8935" s="98"/>
    </row>
    <row r="8936" spans="20:20" x14ac:dyDescent="0.25">
      <c r="T8936" s="98"/>
    </row>
    <row r="8937" spans="20:20" x14ac:dyDescent="0.25">
      <c r="T8937" s="98"/>
    </row>
    <row r="8938" spans="20:20" x14ac:dyDescent="0.25">
      <c r="T8938" s="98"/>
    </row>
    <row r="8939" spans="20:20" x14ac:dyDescent="0.25">
      <c r="T8939" s="98"/>
    </row>
    <row r="8940" spans="20:20" x14ac:dyDescent="0.25">
      <c r="T8940" s="98"/>
    </row>
    <row r="8941" spans="20:20" x14ac:dyDescent="0.25">
      <c r="T8941" s="98"/>
    </row>
    <row r="8942" spans="20:20" x14ac:dyDescent="0.25">
      <c r="T8942" s="98"/>
    </row>
    <row r="8943" spans="20:20" x14ac:dyDescent="0.25">
      <c r="T8943" s="98"/>
    </row>
    <row r="8944" spans="20:20" x14ac:dyDescent="0.25">
      <c r="T8944" s="98"/>
    </row>
    <row r="8945" spans="20:20" x14ac:dyDescent="0.25">
      <c r="T8945" s="98"/>
    </row>
    <row r="8946" spans="20:20" x14ac:dyDescent="0.25">
      <c r="T8946" s="98"/>
    </row>
    <row r="8947" spans="20:20" x14ac:dyDescent="0.25">
      <c r="T8947" s="98"/>
    </row>
    <row r="8948" spans="20:20" x14ac:dyDescent="0.25">
      <c r="T8948" s="98"/>
    </row>
    <row r="8949" spans="20:20" x14ac:dyDescent="0.25">
      <c r="T8949" s="98"/>
    </row>
    <row r="8950" spans="20:20" x14ac:dyDescent="0.25">
      <c r="T8950" s="98"/>
    </row>
    <row r="8951" spans="20:20" x14ac:dyDescent="0.25">
      <c r="T8951" s="98"/>
    </row>
    <row r="8952" spans="20:20" x14ac:dyDescent="0.25">
      <c r="T8952" s="98"/>
    </row>
    <row r="8953" spans="20:20" x14ac:dyDescent="0.25">
      <c r="T8953" s="98"/>
    </row>
    <row r="8954" spans="20:20" x14ac:dyDescent="0.25">
      <c r="T8954" s="98"/>
    </row>
    <row r="8955" spans="20:20" x14ac:dyDescent="0.25">
      <c r="T8955" s="98"/>
    </row>
    <row r="8956" spans="20:20" x14ac:dyDescent="0.25">
      <c r="T8956" s="98"/>
    </row>
    <row r="8957" spans="20:20" x14ac:dyDescent="0.25">
      <c r="T8957" s="98"/>
    </row>
    <row r="8958" spans="20:20" x14ac:dyDescent="0.25">
      <c r="T8958" s="98"/>
    </row>
    <row r="8959" spans="20:20" x14ac:dyDescent="0.25">
      <c r="T8959" s="98"/>
    </row>
    <row r="8960" spans="20:20" x14ac:dyDescent="0.25">
      <c r="T8960" s="98"/>
    </row>
    <row r="8961" spans="20:20" x14ac:dyDescent="0.25">
      <c r="T8961" s="98"/>
    </row>
    <row r="8962" spans="20:20" x14ac:dyDescent="0.25">
      <c r="T8962" s="98"/>
    </row>
    <row r="8963" spans="20:20" x14ac:dyDescent="0.25">
      <c r="T8963" s="98"/>
    </row>
    <row r="8964" spans="20:20" x14ac:dyDescent="0.25">
      <c r="T8964" s="98"/>
    </row>
    <row r="8965" spans="20:20" x14ac:dyDescent="0.25">
      <c r="T8965" s="98"/>
    </row>
    <row r="8966" spans="20:20" x14ac:dyDescent="0.25">
      <c r="T8966" s="98"/>
    </row>
    <row r="8967" spans="20:20" x14ac:dyDescent="0.25">
      <c r="T8967" s="98"/>
    </row>
    <row r="8968" spans="20:20" x14ac:dyDescent="0.25">
      <c r="T8968" s="98"/>
    </row>
    <row r="8969" spans="20:20" x14ac:dyDescent="0.25">
      <c r="T8969" s="98"/>
    </row>
    <row r="8970" spans="20:20" x14ac:dyDescent="0.25">
      <c r="T8970" s="98"/>
    </row>
    <row r="8971" spans="20:20" x14ac:dyDescent="0.25">
      <c r="T8971" s="98"/>
    </row>
    <row r="8972" spans="20:20" x14ac:dyDescent="0.25">
      <c r="T8972" s="98"/>
    </row>
    <row r="8973" spans="20:20" x14ac:dyDescent="0.25">
      <c r="T8973" s="98"/>
    </row>
    <row r="8974" spans="20:20" x14ac:dyDescent="0.25">
      <c r="T8974" s="98"/>
    </row>
    <row r="8975" spans="20:20" x14ac:dyDescent="0.25">
      <c r="T8975" s="98"/>
    </row>
    <row r="8976" spans="20:20" x14ac:dyDescent="0.25">
      <c r="T8976" s="98"/>
    </row>
    <row r="8977" spans="20:20" x14ac:dyDescent="0.25">
      <c r="T8977" s="98"/>
    </row>
    <row r="8978" spans="20:20" x14ac:dyDescent="0.25">
      <c r="T8978" s="98"/>
    </row>
    <row r="8979" spans="20:20" x14ac:dyDescent="0.25">
      <c r="T8979" s="98"/>
    </row>
    <row r="8980" spans="20:20" x14ac:dyDescent="0.25">
      <c r="T8980" s="98"/>
    </row>
    <row r="8981" spans="20:20" x14ac:dyDescent="0.25">
      <c r="T8981" s="98"/>
    </row>
    <row r="8982" spans="20:20" x14ac:dyDescent="0.25">
      <c r="T8982" s="98"/>
    </row>
    <row r="8983" spans="20:20" x14ac:dyDescent="0.25">
      <c r="T8983" s="98"/>
    </row>
    <row r="8984" spans="20:20" x14ac:dyDescent="0.25">
      <c r="T8984" s="98"/>
    </row>
    <row r="8985" spans="20:20" x14ac:dyDescent="0.25">
      <c r="T8985" s="98"/>
    </row>
    <row r="8986" spans="20:20" x14ac:dyDescent="0.25">
      <c r="T8986" s="98"/>
    </row>
    <row r="8987" spans="20:20" x14ac:dyDescent="0.25">
      <c r="T8987" s="98"/>
    </row>
    <row r="8988" spans="20:20" x14ac:dyDescent="0.25">
      <c r="T8988" s="98"/>
    </row>
    <row r="8989" spans="20:20" x14ac:dyDescent="0.25">
      <c r="T8989" s="98"/>
    </row>
    <row r="8990" spans="20:20" x14ac:dyDescent="0.25">
      <c r="T8990" s="98"/>
    </row>
    <row r="8991" spans="20:20" x14ac:dyDescent="0.25">
      <c r="T8991" s="98"/>
    </row>
    <row r="8992" spans="20:20" x14ac:dyDescent="0.25">
      <c r="T8992" s="98"/>
    </row>
    <row r="8993" spans="20:20" x14ac:dyDescent="0.25">
      <c r="T8993" s="98"/>
    </row>
    <row r="8994" spans="20:20" x14ac:dyDescent="0.25">
      <c r="T8994" s="98"/>
    </row>
    <row r="8995" spans="20:20" x14ac:dyDescent="0.25">
      <c r="T8995" s="98"/>
    </row>
    <row r="8996" spans="20:20" x14ac:dyDescent="0.25">
      <c r="T8996" s="98"/>
    </row>
    <row r="8997" spans="20:20" x14ac:dyDescent="0.25">
      <c r="T8997" s="98"/>
    </row>
    <row r="8998" spans="20:20" x14ac:dyDescent="0.25">
      <c r="T8998" s="98"/>
    </row>
    <row r="8999" spans="20:20" x14ac:dyDescent="0.25">
      <c r="T8999" s="98"/>
    </row>
    <row r="9000" spans="20:20" x14ac:dyDescent="0.25">
      <c r="T9000" s="98"/>
    </row>
    <row r="9001" spans="20:20" x14ac:dyDescent="0.25">
      <c r="T9001" s="98"/>
    </row>
    <row r="9002" spans="20:20" x14ac:dyDescent="0.25">
      <c r="T9002" s="98"/>
    </row>
    <row r="9003" spans="20:20" x14ac:dyDescent="0.25">
      <c r="T9003" s="98"/>
    </row>
    <row r="9004" spans="20:20" x14ac:dyDescent="0.25">
      <c r="T9004" s="98"/>
    </row>
    <row r="9005" spans="20:20" x14ac:dyDescent="0.25">
      <c r="T9005" s="98"/>
    </row>
    <row r="9006" spans="20:20" x14ac:dyDescent="0.25">
      <c r="T9006" s="98"/>
    </row>
    <row r="9007" spans="20:20" x14ac:dyDescent="0.25">
      <c r="T9007" s="98"/>
    </row>
    <row r="9008" spans="20:20" x14ac:dyDescent="0.25">
      <c r="T9008" s="98"/>
    </row>
    <row r="9009" spans="20:20" x14ac:dyDescent="0.25">
      <c r="T9009" s="98"/>
    </row>
    <row r="9010" spans="20:20" x14ac:dyDescent="0.25">
      <c r="T9010" s="98"/>
    </row>
    <row r="9011" spans="20:20" x14ac:dyDescent="0.25">
      <c r="T9011" s="98"/>
    </row>
    <row r="9012" spans="20:20" x14ac:dyDescent="0.25">
      <c r="T9012" s="98"/>
    </row>
    <row r="9013" spans="20:20" x14ac:dyDescent="0.25">
      <c r="T9013" s="98"/>
    </row>
    <row r="9014" spans="20:20" x14ac:dyDescent="0.25">
      <c r="T9014" s="98"/>
    </row>
    <row r="9015" spans="20:20" x14ac:dyDescent="0.25">
      <c r="T9015" s="98"/>
    </row>
    <row r="9016" spans="20:20" x14ac:dyDescent="0.25">
      <c r="T9016" s="98"/>
    </row>
    <row r="9017" spans="20:20" x14ac:dyDescent="0.25">
      <c r="T9017" s="98"/>
    </row>
    <row r="9018" spans="20:20" x14ac:dyDescent="0.25">
      <c r="T9018" s="98"/>
    </row>
    <row r="9019" spans="20:20" x14ac:dyDescent="0.25">
      <c r="T9019" s="98"/>
    </row>
    <row r="9020" spans="20:20" x14ac:dyDescent="0.25">
      <c r="T9020" s="98"/>
    </row>
    <row r="9021" spans="20:20" x14ac:dyDescent="0.25">
      <c r="T9021" s="98"/>
    </row>
    <row r="9022" spans="20:20" x14ac:dyDescent="0.25">
      <c r="T9022" s="98"/>
    </row>
    <row r="9023" spans="20:20" x14ac:dyDescent="0.25">
      <c r="T9023" s="98"/>
    </row>
    <row r="9024" spans="20:20" x14ac:dyDescent="0.25">
      <c r="T9024" s="98"/>
    </row>
    <row r="9025" spans="20:20" x14ac:dyDescent="0.25">
      <c r="T9025" s="98"/>
    </row>
    <row r="9026" spans="20:20" x14ac:dyDescent="0.25">
      <c r="T9026" s="98"/>
    </row>
    <row r="9027" spans="20:20" x14ac:dyDescent="0.25">
      <c r="T9027" s="98"/>
    </row>
    <row r="9028" spans="20:20" x14ac:dyDescent="0.25">
      <c r="T9028" s="98"/>
    </row>
    <row r="9029" spans="20:20" x14ac:dyDescent="0.25">
      <c r="T9029" s="98"/>
    </row>
    <row r="9030" spans="20:20" x14ac:dyDescent="0.25">
      <c r="T9030" s="98"/>
    </row>
    <row r="9031" spans="20:20" x14ac:dyDescent="0.25">
      <c r="T9031" s="98"/>
    </row>
    <row r="9032" spans="20:20" x14ac:dyDescent="0.25">
      <c r="T9032" s="98"/>
    </row>
    <row r="9033" spans="20:20" x14ac:dyDescent="0.25">
      <c r="T9033" s="98"/>
    </row>
    <row r="9034" spans="20:20" x14ac:dyDescent="0.25">
      <c r="T9034" s="98"/>
    </row>
    <row r="9035" spans="20:20" x14ac:dyDescent="0.25">
      <c r="T9035" s="98"/>
    </row>
    <row r="9036" spans="20:20" x14ac:dyDescent="0.25">
      <c r="T9036" s="98"/>
    </row>
    <row r="9037" spans="20:20" x14ac:dyDescent="0.25">
      <c r="T9037" s="98"/>
    </row>
    <row r="9038" spans="20:20" x14ac:dyDescent="0.25">
      <c r="T9038" s="98"/>
    </row>
    <row r="9039" spans="20:20" x14ac:dyDescent="0.25">
      <c r="T9039" s="98"/>
    </row>
    <row r="9040" spans="20:20" x14ac:dyDescent="0.25">
      <c r="T9040" s="98"/>
    </row>
    <row r="9041" spans="20:20" x14ac:dyDescent="0.25">
      <c r="T9041" s="98"/>
    </row>
    <row r="9042" spans="20:20" x14ac:dyDescent="0.25">
      <c r="T9042" s="98"/>
    </row>
    <row r="9043" spans="20:20" x14ac:dyDescent="0.25">
      <c r="T9043" s="98"/>
    </row>
    <row r="9044" spans="20:20" x14ac:dyDescent="0.25">
      <c r="T9044" s="98"/>
    </row>
    <row r="9045" spans="20:20" x14ac:dyDescent="0.25">
      <c r="T9045" s="98"/>
    </row>
    <row r="9046" spans="20:20" x14ac:dyDescent="0.25">
      <c r="T9046" s="98"/>
    </row>
    <row r="9047" spans="20:20" x14ac:dyDescent="0.25">
      <c r="T9047" s="98"/>
    </row>
    <row r="9048" spans="20:20" x14ac:dyDescent="0.25">
      <c r="T9048" s="98"/>
    </row>
    <row r="9049" spans="20:20" x14ac:dyDescent="0.25">
      <c r="T9049" s="98"/>
    </row>
    <row r="9050" spans="20:20" x14ac:dyDescent="0.25">
      <c r="T9050" s="98"/>
    </row>
    <row r="9051" spans="20:20" x14ac:dyDescent="0.25">
      <c r="T9051" s="98"/>
    </row>
    <row r="9052" spans="20:20" x14ac:dyDescent="0.25">
      <c r="T9052" s="98"/>
    </row>
    <row r="9053" spans="20:20" x14ac:dyDescent="0.25">
      <c r="T9053" s="98"/>
    </row>
    <row r="9054" spans="20:20" x14ac:dyDescent="0.25">
      <c r="T9054" s="98"/>
    </row>
    <row r="9055" spans="20:20" x14ac:dyDescent="0.25">
      <c r="T9055" s="98"/>
    </row>
    <row r="9056" spans="20:20" x14ac:dyDescent="0.25">
      <c r="T9056" s="98"/>
    </row>
    <row r="9057" spans="20:20" x14ac:dyDescent="0.25">
      <c r="T9057" s="98"/>
    </row>
    <row r="9058" spans="20:20" x14ac:dyDescent="0.25">
      <c r="T9058" s="98"/>
    </row>
    <row r="9059" spans="20:20" x14ac:dyDescent="0.25">
      <c r="T9059" s="98"/>
    </row>
    <row r="9060" spans="20:20" x14ac:dyDescent="0.25">
      <c r="T9060" s="98"/>
    </row>
    <row r="9061" spans="20:20" x14ac:dyDescent="0.25">
      <c r="T9061" s="98"/>
    </row>
    <row r="9062" spans="20:20" x14ac:dyDescent="0.25">
      <c r="T9062" s="98"/>
    </row>
    <row r="9063" spans="20:20" x14ac:dyDescent="0.25">
      <c r="T9063" s="98"/>
    </row>
    <row r="9064" spans="20:20" x14ac:dyDescent="0.25">
      <c r="T9064" s="98"/>
    </row>
    <row r="9065" spans="20:20" x14ac:dyDescent="0.25">
      <c r="T9065" s="98"/>
    </row>
    <row r="9066" spans="20:20" x14ac:dyDescent="0.25">
      <c r="T9066" s="98"/>
    </row>
    <row r="9067" spans="20:20" x14ac:dyDescent="0.25">
      <c r="T9067" s="98"/>
    </row>
    <row r="9068" spans="20:20" x14ac:dyDescent="0.25">
      <c r="T9068" s="98"/>
    </row>
    <row r="9069" spans="20:20" x14ac:dyDescent="0.25">
      <c r="T9069" s="98"/>
    </row>
    <row r="9070" spans="20:20" x14ac:dyDescent="0.25">
      <c r="T9070" s="98"/>
    </row>
    <row r="9071" spans="20:20" x14ac:dyDescent="0.25">
      <c r="T9071" s="98"/>
    </row>
    <row r="9072" spans="20:20" x14ac:dyDescent="0.25">
      <c r="T9072" s="98"/>
    </row>
    <row r="9073" spans="20:20" x14ac:dyDescent="0.25">
      <c r="T9073" s="98"/>
    </row>
    <row r="9074" spans="20:20" x14ac:dyDescent="0.25">
      <c r="T9074" s="98"/>
    </row>
    <row r="9075" spans="20:20" x14ac:dyDescent="0.25">
      <c r="T9075" s="98"/>
    </row>
    <row r="9076" spans="20:20" x14ac:dyDescent="0.25">
      <c r="T9076" s="98"/>
    </row>
    <row r="9077" spans="20:20" x14ac:dyDescent="0.25">
      <c r="T9077" s="98"/>
    </row>
    <row r="9078" spans="20:20" x14ac:dyDescent="0.25">
      <c r="T9078" s="98"/>
    </row>
    <row r="9079" spans="20:20" x14ac:dyDescent="0.25">
      <c r="T9079" s="98"/>
    </row>
    <row r="9080" spans="20:20" x14ac:dyDescent="0.25">
      <c r="T9080" s="98"/>
    </row>
    <row r="9081" spans="20:20" x14ac:dyDescent="0.25">
      <c r="T9081" s="98"/>
    </row>
    <row r="9082" spans="20:20" x14ac:dyDescent="0.25">
      <c r="T9082" s="98"/>
    </row>
    <row r="9083" spans="20:20" x14ac:dyDescent="0.25">
      <c r="T9083" s="98"/>
    </row>
    <row r="9084" spans="20:20" x14ac:dyDescent="0.25">
      <c r="T9084" s="98"/>
    </row>
    <row r="9085" spans="20:20" x14ac:dyDescent="0.25">
      <c r="T9085" s="98"/>
    </row>
    <row r="9086" spans="20:20" x14ac:dyDescent="0.25">
      <c r="T9086" s="98"/>
    </row>
    <row r="9087" spans="20:20" x14ac:dyDescent="0.25">
      <c r="T9087" s="98"/>
    </row>
    <row r="9088" spans="20:20" x14ac:dyDescent="0.25">
      <c r="T9088" s="98"/>
    </row>
    <row r="9089" spans="20:20" x14ac:dyDescent="0.25">
      <c r="T9089" s="98"/>
    </row>
    <row r="9090" spans="20:20" x14ac:dyDescent="0.25">
      <c r="T9090" s="98"/>
    </row>
    <row r="9091" spans="20:20" x14ac:dyDescent="0.25">
      <c r="T9091" s="98"/>
    </row>
    <row r="9092" spans="20:20" x14ac:dyDescent="0.25">
      <c r="T9092" s="98"/>
    </row>
    <row r="9093" spans="20:20" x14ac:dyDescent="0.25">
      <c r="T9093" s="98"/>
    </row>
    <row r="9094" spans="20:20" x14ac:dyDescent="0.25">
      <c r="T9094" s="98"/>
    </row>
    <row r="9095" spans="20:20" x14ac:dyDescent="0.25">
      <c r="T9095" s="98"/>
    </row>
    <row r="9096" spans="20:20" x14ac:dyDescent="0.25">
      <c r="T9096" s="98"/>
    </row>
    <row r="9097" spans="20:20" x14ac:dyDescent="0.25">
      <c r="T9097" s="98"/>
    </row>
    <row r="9098" spans="20:20" x14ac:dyDescent="0.25">
      <c r="T9098" s="98"/>
    </row>
    <row r="9099" spans="20:20" x14ac:dyDescent="0.25">
      <c r="T9099" s="98"/>
    </row>
    <row r="9100" spans="20:20" x14ac:dyDescent="0.25">
      <c r="T9100" s="98"/>
    </row>
    <row r="9101" spans="20:20" x14ac:dyDescent="0.25">
      <c r="T9101" s="98"/>
    </row>
    <row r="9102" spans="20:20" x14ac:dyDescent="0.25">
      <c r="T9102" s="98"/>
    </row>
    <row r="9103" spans="20:20" x14ac:dyDescent="0.25">
      <c r="T9103" s="98"/>
    </row>
    <row r="9104" spans="20:20" x14ac:dyDescent="0.25">
      <c r="T9104" s="98"/>
    </row>
    <row r="9105" spans="20:20" x14ac:dyDescent="0.25">
      <c r="T9105" s="98"/>
    </row>
    <row r="9106" spans="20:20" x14ac:dyDescent="0.25">
      <c r="T9106" s="98"/>
    </row>
    <row r="9107" spans="20:20" x14ac:dyDescent="0.25">
      <c r="T9107" s="98"/>
    </row>
    <row r="9108" spans="20:20" x14ac:dyDescent="0.25">
      <c r="T9108" s="98"/>
    </row>
    <row r="9109" spans="20:20" x14ac:dyDescent="0.25">
      <c r="T9109" s="98"/>
    </row>
    <row r="9110" spans="20:20" x14ac:dyDescent="0.25">
      <c r="T9110" s="98"/>
    </row>
    <row r="9111" spans="20:20" x14ac:dyDescent="0.25">
      <c r="T9111" s="98"/>
    </row>
    <row r="9112" spans="20:20" x14ac:dyDescent="0.25">
      <c r="T9112" s="98"/>
    </row>
    <row r="9113" spans="20:20" x14ac:dyDescent="0.25">
      <c r="T9113" s="98"/>
    </row>
    <row r="9114" spans="20:20" x14ac:dyDescent="0.25">
      <c r="T9114" s="98"/>
    </row>
    <row r="9115" spans="20:20" x14ac:dyDescent="0.25">
      <c r="T9115" s="98"/>
    </row>
    <row r="9116" spans="20:20" x14ac:dyDescent="0.25">
      <c r="T9116" s="98"/>
    </row>
    <row r="9117" spans="20:20" x14ac:dyDescent="0.25">
      <c r="T9117" s="98"/>
    </row>
    <row r="9118" spans="20:20" x14ac:dyDescent="0.25">
      <c r="T9118" s="98"/>
    </row>
    <row r="9119" spans="20:20" x14ac:dyDescent="0.25">
      <c r="T9119" s="98"/>
    </row>
    <row r="9120" spans="20:20" x14ac:dyDescent="0.25">
      <c r="T9120" s="98"/>
    </row>
    <row r="9121" spans="20:20" x14ac:dyDescent="0.25">
      <c r="T9121" s="98"/>
    </row>
    <row r="9122" spans="20:20" x14ac:dyDescent="0.25">
      <c r="T9122" s="98"/>
    </row>
    <row r="9123" spans="20:20" x14ac:dyDescent="0.25">
      <c r="T9123" s="98"/>
    </row>
    <row r="9124" spans="20:20" x14ac:dyDescent="0.25">
      <c r="T9124" s="98"/>
    </row>
    <row r="9125" spans="20:20" x14ac:dyDescent="0.25">
      <c r="T9125" s="98"/>
    </row>
    <row r="9126" spans="20:20" x14ac:dyDescent="0.25">
      <c r="T9126" s="98"/>
    </row>
    <row r="9127" spans="20:20" x14ac:dyDescent="0.25">
      <c r="T9127" s="98"/>
    </row>
    <row r="9128" spans="20:20" x14ac:dyDescent="0.25">
      <c r="T9128" s="98"/>
    </row>
    <row r="9129" spans="20:20" x14ac:dyDescent="0.25">
      <c r="T9129" s="98"/>
    </row>
    <row r="9130" spans="20:20" x14ac:dyDescent="0.25">
      <c r="T9130" s="98"/>
    </row>
    <row r="9131" spans="20:20" x14ac:dyDescent="0.25">
      <c r="T9131" s="98"/>
    </row>
    <row r="9132" spans="20:20" x14ac:dyDescent="0.25">
      <c r="T9132" s="98"/>
    </row>
    <row r="9133" spans="20:20" x14ac:dyDescent="0.25">
      <c r="T9133" s="98"/>
    </row>
    <row r="9134" spans="20:20" x14ac:dyDescent="0.25">
      <c r="T9134" s="98"/>
    </row>
    <row r="9135" spans="20:20" x14ac:dyDescent="0.25">
      <c r="T9135" s="98"/>
    </row>
    <row r="9136" spans="20:20" x14ac:dyDescent="0.25">
      <c r="T9136" s="98"/>
    </row>
    <row r="9137" spans="20:20" x14ac:dyDescent="0.25">
      <c r="T9137" s="98"/>
    </row>
    <row r="9138" spans="20:20" x14ac:dyDescent="0.25">
      <c r="T9138" s="98"/>
    </row>
    <row r="9139" spans="20:20" x14ac:dyDescent="0.25">
      <c r="T9139" s="98"/>
    </row>
    <row r="9140" spans="20:20" x14ac:dyDescent="0.25">
      <c r="T9140" s="98"/>
    </row>
    <row r="9141" spans="20:20" x14ac:dyDescent="0.25">
      <c r="T9141" s="98"/>
    </row>
    <row r="9142" spans="20:20" x14ac:dyDescent="0.25">
      <c r="T9142" s="98"/>
    </row>
    <row r="9143" spans="20:20" x14ac:dyDescent="0.25">
      <c r="T9143" s="98"/>
    </row>
    <row r="9144" spans="20:20" x14ac:dyDescent="0.25">
      <c r="T9144" s="98"/>
    </row>
    <row r="9145" spans="20:20" x14ac:dyDescent="0.25">
      <c r="T9145" s="98"/>
    </row>
    <row r="9146" spans="20:20" x14ac:dyDescent="0.25">
      <c r="T9146" s="98"/>
    </row>
    <row r="9147" spans="20:20" x14ac:dyDescent="0.25">
      <c r="T9147" s="98"/>
    </row>
    <row r="9148" spans="20:20" x14ac:dyDescent="0.25">
      <c r="T9148" s="98"/>
    </row>
    <row r="9149" spans="20:20" x14ac:dyDescent="0.25">
      <c r="T9149" s="98"/>
    </row>
    <row r="9150" spans="20:20" x14ac:dyDescent="0.25">
      <c r="T9150" s="98"/>
    </row>
    <row r="9151" spans="20:20" x14ac:dyDescent="0.25">
      <c r="T9151" s="98"/>
    </row>
    <row r="9152" spans="20:20" x14ac:dyDescent="0.25">
      <c r="T9152" s="98"/>
    </row>
    <row r="9153" spans="20:20" x14ac:dyDescent="0.25">
      <c r="T9153" s="98"/>
    </row>
    <row r="9154" spans="20:20" x14ac:dyDescent="0.25">
      <c r="T9154" s="98"/>
    </row>
    <row r="9155" spans="20:20" x14ac:dyDescent="0.25">
      <c r="T9155" s="98"/>
    </row>
    <row r="9156" spans="20:20" x14ac:dyDescent="0.25">
      <c r="T9156" s="98"/>
    </row>
    <row r="9157" spans="20:20" x14ac:dyDescent="0.25">
      <c r="T9157" s="98"/>
    </row>
    <row r="9158" spans="20:20" x14ac:dyDescent="0.25">
      <c r="T9158" s="98"/>
    </row>
    <row r="9159" spans="20:20" x14ac:dyDescent="0.25">
      <c r="T9159" s="98"/>
    </row>
    <row r="9160" spans="20:20" x14ac:dyDescent="0.25">
      <c r="T9160" s="98"/>
    </row>
    <row r="9161" spans="20:20" x14ac:dyDescent="0.25">
      <c r="T9161" s="98"/>
    </row>
    <row r="9162" spans="20:20" x14ac:dyDescent="0.25">
      <c r="T9162" s="98"/>
    </row>
    <row r="9163" spans="20:20" x14ac:dyDescent="0.25">
      <c r="T9163" s="98"/>
    </row>
    <row r="9164" spans="20:20" x14ac:dyDescent="0.25">
      <c r="T9164" s="98"/>
    </row>
    <row r="9165" spans="20:20" x14ac:dyDescent="0.25">
      <c r="T9165" s="98"/>
    </row>
    <row r="9166" spans="20:20" x14ac:dyDescent="0.25">
      <c r="T9166" s="98"/>
    </row>
    <row r="9167" spans="20:20" x14ac:dyDescent="0.25">
      <c r="T9167" s="98"/>
    </row>
    <row r="9168" spans="20:20" x14ac:dyDescent="0.25">
      <c r="T9168" s="98"/>
    </row>
    <row r="9169" spans="20:20" x14ac:dyDescent="0.25">
      <c r="T9169" s="98"/>
    </row>
    <row r="9170" spans="20:20" x14ac:dyDescent="0.25">
      <c r="T9170" s="98"/>
    </row>
    <row r="9171" spans="20:20" x14ac:dyDescent="0.25">
      <c r="T9171" s="98"/>
    </row>
    <row r="9172" spans="20:20" x14ac:dyDescent="0.25">
      <c r="T9172" s="98"/>
    </row>
    <row r="9173" spans="20:20" x14ac:dyDescent="0.25">
      <c r="T9173" s="98"/>
    </row>
    <row r="9174" spans="20:20" x14ac:dyDescent="0.25">
      <c r="T9174" s="98"/>
    </row>
    <row r="9175" spans="20:20" x14ac:dyDescent="0.25">
      <c r="T9175" s="98"/>
    </row>
    <row r="9176" spans="20:20" x14ac:dyDescent="0.25">
      <c r="T9176" s="98"/>
    </row>
    <row r="9177" spans="20:20" x14ac:dyDescent="0.25">
      <c r="T9177" s="98"/>
    </row>
    <row r="9178" spans="20:20" x14ac:dyDescent="0.25">
      <c r="T9178" s="98"/>
    </row>
    <row r="9179" spans="20:20" x14ac:dyDescent="0.25">
      <c r="T9179" s="98"/>
    </row>
    <row r="9180" spans="20:20" x14ac:dyDescent="0.25">
      <c r="T9180" s="98"/>
    </row>
    <row r="9181" spans="20:20" x14ac:dyDescent="0.25">
      <c r="T9181" s="98"/>
    </row>
    <row r="9182" spans="20:20" x14ac:dyDescent="0.25">
      <c r="T9182" s="98"/>
    </row>
    <row r="9183" spans="20:20" x14ac:dyDescent="0.25">
      <c r="T9183" s="98"/>
    </row>
    <row r="9184" spans="20:20" x14ac:dyDescent="0.25">
      <c r="T9184" s="98"/>
    </row>
    <row r="9185" spans="20:20" x14ac:dyDescent="0.25">
      <c r="T9185" s="98"/>
    </row>
    <row r="9186" spans="20:20" x14ac:dyDescent="0.25">
      <c r="T9186" s="98"/>
    </row>
    <row r="9187" spans="20:20" x14ac:dyDescent="0.25">
      <c r="T9187" s="98"/>
    </row>
    <row r="9188" spans="20:20" x14ac:dyDescent="0.25">
      <c r="T9188" s="98"/>
    </row>
    <row r="9189" spans="20:20" x14ac:dyDescent="0.25">
      <c r="T9189" s="98"/>
    </row>
    <row r="9190" spans="20:20" x14ac:dyDescent="0.25">
      <c r="T9190" s="98"/>
    </row>
    <row r="9191" spans="20:20" x14ac:dyDescent="0.25">
      <c r="T9191" s="98"/>
    </row>
    <row r="9192" spans="20:20" x14ac:dyDescent="0.25">
      <c r="T9192" s="98"/>
    </row>
    <row r="9193" spans="20:20" x14ac:dyDescent="0.25">
      <c r="T9193" s="98"/>
    </row>
    <row r="9194" spans="20:20" x14ac:dyDescent="0.25">
      <c r="T9194" s="98"/>
    </row>
    <row r="9195" spans="20:20" x14ac:dyDescent="0.25">
      <c r="T9195" s="98"/>
    </row>
    <row r="9196" spans="20:20" x14ac:dyDescent="0.25">
      <c r="T9196" s="98"/>
    </row>
    <row r="9197" spans="20:20" x14ac:dyDescent="0.25">
      <c r="T9197" s="98"/>
    </row>
    <row r="9198" spans="20:20" x14ac:dyDescent="0.25">
      <c r="T9198" s="98"/>
    </row>
    <row r="9199" spans="20:20" x14ac:dyDescent="0.25">
      <c r="T9199" s="98"/>
    </row>
    <row r="9200" spans="20:20" x14ac:dyDescent="0.25">
      <c r="T9200" s="98"/>
    </row>
    <row r="9201" spans="20:20" x14ac:dyDescent="0.25">
      <c r="T9201" s="98"/>
    </row>
    <row r="9202" spans="20:20" x14ac:dyDescent="0.25">
      <c r="T9202" s="98"/>
    </row>
    <row r="9203" spans="20:20" x14ac:dyDescent="0.25">
      <c r="T9203" s="98"/>
    </row>
    <row r="9204" spans="20:20" x14ac:dyDescent="0.25">
      <c r="T9204" s="98"/>
    </row>
    <row r="9205" spans="20:20" x14ac:dyDescent="0.25">
      <c r="T9205" s="98"/>
    </row>
    <row r="9206" spans="20:20" x14ac:dyDescent="0.25">
      <c r="T9206" s="98"/>
    </row>
    <row r="9207" spans="20:20" x14ac:dyDescent="0.25">
      <c r="T9207" s="98"/>
    </row>
    <row r="9208" spans="20:20" x14ac:dyDescent="0.25">
      <c r="T9208" s="98"/>
    </row>
    <row r="9209" spans="20:20" x14ac:dyDescent="0.25">
      <c r="T9209" s="98"/>
    </row>
    <row r="9210" spans="20:20" x14ac:dyDescent="0.25">
      <c r="T9210" s="98"/>
    </row>
    <row r="9211" spans="20:20" x14ac:dyDescent="0.25">
      <c r="T9211" s="98"/>
    </row>
    <row r="9212" spans="20:20" x14ac:dyDescent="0.25">
      <c r="T9212" s="98"/>
    </row>
    <row r="9213" spans="20:20" x14ac:dyDescent="0.25">
      <c r="T9213" s="98"/>
    </row>
    <row r="9214" spans="20:20" x14ac:dyDescent="0.25">
      <c r="T9214" s="98"/>
    </row>
    <row r="9215" spans="20:20" x14ac:dyDescent="0.25">
      <c r="T9215" s="98"/>
    </row>
    <row r="9216" spans="20:20" x14ac:dyDescent="0.25">
      <c r="T9216" s="98"/>
    </row>
    <row r="9217" spans="20:20" x14ac:dyDescent="0.25">
      <c r="T9217" s="98"/>
    </row>
    <row r="9218" spans="20:20" x14ac:dyDescent="0.25">
      <c r="T9218" s="98"/>
    </row>
    <row r="9219" spans="20:20" x14ac:dyDescent="0.25">
      <c r="T9219" s="98"/>
    </row>
    <row r="9220" spans="20:20" x14ac:dyDescent="0.25">
      <c r="T9220" s="98"/>
    </row>
    <row r="9221" spans="20:20" x14ac:dyDescent="0.25">
      <c r="T9221" s="98"/>
    </row>
    <row r="9222" spans="20:20" x14ac:dyDescent="0.25">
      <c r="T9222" s="98"/>
    </row>
    <row r="9223" spans="20:20" x14ac:dyDescent="0.25">
      <c r="T9223" s="98"/>
    </row>
    <row r="9224" spans="20:20" x14ac:dyDescent="0.25">
      <c r="T9224" s="98"/>
    </row>
    <row r="9225" spans="20:20" x14ac:dyDescent="0.25">
      <c r="T9225" s="98"/>
    </row>
    <row r="9226" spans="20:20" x14ac:dyDescent="0.25">
      <c r="T9226" s="98"/>
    </row>
    <row r="9227" spans="20:20" x14ac:dyDescent="0.25">
      <c r="T9227" s="98"/>
    </row>
    <row r="9228" spans="20:20" x14ac:dyDescent="0.25">
      <c r="T9228" s="98"/>
    </row>
    <row r="9229" spans="20:20" x14ac:dyDescent="0.25">
      <c r="T9229" s="98"/>
    </row>
    <row r="9230" spans="20:20" x14ac:dyDescent="0.25">
      <c r="T9230" s="98"/>
    </row>
    <row r="9231" spans="20:20" x14ac:dyDescent="0.25">
      <c r="T9231" s="98"/>
    </row>
    <row r="9232" spans="20:20" x14ac:dyDescent="0.25">
      <c r="T9232" s="98"/>
    </row>
    <row r="9233" spans="20:20" x14ac:dyDescent="0.25">
      <c r="T9233" s="98"/>
    </row>
    <row r="9234" spans="20:20" x14ac:dyDescent="0.25">
      <c r="T9234" s="98"/>
    </row>
    <row r="9235" spans="20:20" x14ac:dyDescent="0.25">
      <c r="T9235" s="98"/>
    </row>
    <row r="9236" spans="20:20" x14ac:dyDescent="0.25">
      <c r="T9236" s="98"/>
    </row>
    <row r="9237" spans="20:20" x14ac:dyDescent="0.25">
      <c r="T9237" s="98"/>
    </row>
    <row r="9238" spans="20:20" x14ac:dyDescent="0.25">
      <c r="T9238" s="98"/>
    </row>
    <row r="9239" spans="20:20" x14ac:dyDescent="0.25">
      <c r="T9239" s="98"/>
    </row>
    <row r="9240" spans="20:20" x14ac:dyDescent="0.25">
      <c r="T9240" s="98"/>
    </row>
    <row r="9241" spans="20:20" x14ac:dyDescent="0.25">
      <c r="T9241" s="98"/>
    </row>
    <row r="9242" spans="20:20" x14ac:dyDescent="0.25">
      <c r="T9242" s="98"/>
    </row>
    <row r="9243" spans="20:20" x14ac:dyDescent="0.25">
      <c r="T9243" s="98"/>
    </row>
    <row r="9244" spans="20:20" x14ac:dyDescent="0.25">
      <c r="T9244" s="98"/>
    </row>
    <row r="9245" spans="20:20" x14ac:dyDescent="0.25">
      <c r="T9245" s="98"/>
    </row>
    <row r="9246" spans="20:20" x14ac:dyDescent="0.25">
      <c r="T9246" s="98"/>
    </row>
    <row r="9247" spans="20:20" x14ac:dyDescent="0.25">
      <c r="T9247" s="98"/>
    </row>
    <row r="9248" spans="20:20" x14ac:dyDescent="0.25">
      <c r="T9248" s="98"/>
    </row>
    <row r="9249" spans="20:20" x14ac:dyDescent="0.25">
      <c r="T9249" s="98"/>
    </row>
    <row r="9250" spans="20:20" x14ac:dyDescent="0.25">
      <c r="T9250" s="98"/>
    </row>
    <row r="9251" spans="20:20" x14ac:dyDescent="0.25">
      <c r="T9251" s="98"/>
    </row>
    <row r="9252" spans="20:20" x14ac:dyDescent="0.25">
      <c r="T9252" s="98"/>
    </row>
    <row r="9253" spans="20:20" x14ac:dyDescent="0.25">
      <c r="T9253" s="98"/>
    </row>
    <row r="9254" spans="20:20" x14ac:dyDescent="0.25">
      <c r="T9254" s="98"/>
    </row>
    <row r="9255" spans="20:20" x14ac:dyDescent="0.25">
      <c r="T9255" s="98"/>
    </row>
    <row r="9256" spans="20:20" x14ac:dyDescent="0.25">
      <c r="T9256" s="98"/>
    </row>
    <row r="9257" spans="20:20" x14ac:dyDescent="0.25">
      <c r="T9257" s="98"/>
    </row>
    <row r="9258" spans="20:20" x14ac:dyDescent="0.25">
      <c r="T9258" s="98"/>
    </row>
    <row r="9259" spans="20:20" x14ac:dyDescent="0.25">
      <c r="T9259" s="98"/>
    </row>
    <row r="9260" spans="20:20" x14ac:dyDescent="0.25">
      <c r="T9260" s="98"/>
    </row>
    <row r="9261" spans="20:20" x14ac:dyDescent="0.25">
      <c r="T9261" s="98"/>
    </row>
    <row r="9262" spans="20:20" x14ac:dyDescent="0.25">
      <c r="T9262" s="98"/>
    </row>
    <row r="9263" spans="20:20" x14ac:dyDescent="0.25">
      <c r="T9263" s="98"/>
    </row>
    <row r="9264" spans="20:20" x14ac:dyDescent="0.25">
      <c r="T9264" s="98"/>
    </row>
    <row r="9265" spans="20:20" x14ac:dyDescent="0.25">
      <c r="T9265" s="98"/>
    </row>
    <row r="9266" spans="20:20" x14ac:dyDescent="0.25">
      <c r="T9266" s="98"/>
    </row>
    <row r="9267" spans="20:20" x14ac:dyDescent="0.25">
      <c r="T9267" s="98"/>
    </row>
    <row r="9268" spans="20:20" x14ac:dyDescent="0.25">
      <c r="T9268" s="98"/>
    </row>
    <row r="9269" spans="20:20" x14ac:dyDescent="0.25">
      <c r="T9269" s="98"/>
    </row>
    <row r="9270" spans="20:20" x14ac:dyDescent="0.25">
      <c r="T9270" s="98"/>
    </row>
    <row r="9271" spans="20:20" x14ac:dyDescent="0.25">
      <c r="T9271" s="98"/>
    </row>
    <row r="9272" spans="20:20" x14ac:dyDescent="0.25">
      <c r="T9272" s="98"/>
    </row>
    <row r="9273" spans="20:20" x14ac:dyDescent="0.25">
      <c r="T9273" s="98"/>
    </row>
    <row r="9274" spans="20:20" x14ac:dyDescent="0.25">
      <c r="T9274" s="98"/>
    </row>
    <row r="9275" spans="20:20" x14ac:dyDescent="0.25">
      <c r="T9275" s="98"/>
    </row>
    <row r="9276" spans="20:20" x14ac:dyDescent="0.25">
      <c r="T9276" s="98"/>
    </row>
    <row r="9277" spans="20:20" x14ac:dyDescent="0.25">
      <c r="T9277" s="98"/>
    </row>
    <row r="9278" spans="20:20" x14ac:dyDescent="0.25">
      <c r="T9278" s="98"/>
    </row>
    <row r="9279" spans="20:20" x14ac:dyDescent="0.25">
      <c r="T9279" s="98"/>
    </row>
    <row r="9280" spans="20:20" x14ac:dyDescent="0.25">
      <c r="T9280" s="98"/>
    </row>
    <row r="9281" spans="20:20" x14ac:dyDescent="0.25">
      <c r="T9281" s="98"/>
    </row>
    <row r="9282" spans="20:20" x14ac:dyDescent="0.25">
      <c r="T9282" s="98"/>
    </row>
    <row r="9283" spans="20:20" x14ac:dyDescent="0.25">
      <c r="T9283" s="98"/>
    </row>
    <row r="9284" spans="20:20" x14ac:dyDescent="0.25">
      <c r="T9284" s="98"/>
    </row>
    <row r="9285" spans="20:20" x14ac:dyDescent="0.25">
      <c r="T9285" s="98"/>
    </row>
    <row r="9286" spans="20:20" x14ac:dyDescent="0.25">
      <c r="T9286" s="98"/>
    </row>
    <row r="9287" spans="20:20" x14ac:dyDescent="0.25">
      <c r="T9287" s="98"/>
    </row>
    <row r="9288" spans="20:20" x14ac:dyDescent="0.25">
      <c r="T9288" s="98"/>
    </row>
    <row r="9289" spans="20:20" x14ac:dyDescent="0.25">
      <c r="T9289" s="98"/>
    </row>
    <row r="9290" spans="20:20" x14ac:dyDescent="0.25">
      <c r="T9290" s="98"/>
    </row>
    <row r="9291" spans="20:20" x14ac:dyDescent="0.25">
      <c r="T9291" s="98"/>
    </row>
    <row r="9292" spans="20:20" x14ac:dyDescent="0.25">
      <c r="T9292" s="98"/>
    </row>
    <row r="9293" spans="20:20" x14ac:dyDescent="0.25">
      <c r="T9293" s="98"/>
    </row>
    <row r="9294" spans="20:20" x14ac:dyDescent="0.25">
      <c r="T9294" s="98"/>
    </row>
    <row r="9295" spans="20:20" x14ac:dyDescent="0.25">
      <c r="T9295" s="98"/>
    </row>
    <row r="9296" spans="20:20" x14ac:dyDescent="0.25">
      <c r="T9296" s="98"/>
    </row>
    <row r="9297" spans="20:20" x14ac:dyDescent="0.25">
      <c r="T9297" s="98"/>
    </row>
    <row r="9298" spans="20:20" x14ac:dyDescent="0.25">
      <c r="T9298" s="98"/>
    </row>
    <row r="9299" spans="20:20" x14ac:dyDescent="0.25">
      <c r="T9299" s="98"/>
    </row>
    <row r="9300" spans="20:20" x14ac:dyDescent="0.25">
      <c r="T9300" s="98"/>
    </row>
    <row r="9301" spans="20:20" x14ac:dyDescent="0.25">
      <c r="T9301" s="98"/>
    </row>
    <row r="9302" spans="20:20" x14ac:dyDescent="0.25">
      <c r="T9302" s="98"/>
    </row>
    <row r="9303" spans="20:20" x14ac:dyDescent="0.25">
      <c r="T9303" s="98"/>
    </row>
    <row r="9304" spans="20:20" x14ac:dyDescent="0.25">
      <c r="T9304" s="98"/>
    </row>
    <row r="9305" spans="20:20" x14ac:dyDescent="0.25">
      <c r="T9305" s="98"/>
    </row>
    <row r="9306" spans="20:20" x14ac:dyDescent="0.25">
      <c r="T9306" s="98"/>
    </row>
    <row r="9307" spans="20:20" x14ac:dyDescent="0.25">
      <c r="T9307" s="98"/>
    </row>
    <row r="9308" spans="20:20" x14ac:dyDescent="0.25">
      <c r="T9308" s="98"/>
    </row>
    <row r="9309" spans="20:20" x14ac:dyDescent="0.25">
      <c r="T9309" s="98"/>
    </row>
    <row r="9310" spans="20:20" x14ac:dyDescent="0.25">
      <c r="T9310" s="98"/>
    </row>
    <row r="9311" spans="20:20" x14ac:dyDescent="0.25">
      <c r="T9311" s="98"/>
    </row>
    <row r="9312" spans="20:20" x14ac:dyDescent="0.25">
      <c r="T9312" s="98"/>
    </row>
    <row r="9313" spans="20:20" x14ac:dyDescent="0.25">
      <c r="T9313" s="98"/>
    </row>
    <row r="9314" spans="20:20" x14ac:dyDescent="0.25">
      <c r="T9314" s="98"/>
    </row>
    <row r="9315" spans="20:20" x14ac:dyDescent="0.25">
      <c r="T9315" s="98"/>
    </row>
    <row r="9316" spans="20:20" x14ac:dyDescent="0.25">
      <c r="T9316" s="98"/>
    </row>
    <row r="9317" spans="20:20" x14ac:dyDescent="0.25">
      <c r="T9317" s="98"/>
    </row>
    <row r="9318" spans="20:20" x14ac:dyDescent="0.25">
      <c r="T9318" s="98"/>
    </row>
    <row r="9319" spans="20:20" x14ac:dyDescent="0.25">
      <c r="T9319" s="98"/>
    </row>
    <row r="9320" spans="20:20" x14ac:dyDescent="0.25">
      <c r="T9320" s="98"/>
    </row>
    <row r="9321" spans="20:20" x14ac:dyDescent="0.25">
      <c r="T9321" s="98"/>
    </row>
    <row r="9322" spans="20:20" x14ac:dyDescent="0.25">
      <c r="T9322" s="98"/>
    </row>
    <row r="9323" spans="20:20" x14ac:dyDescent="0.25">
      <c r="T9323" s="98"/>
    </row>
    <row r="9324" spans="20:20" x14ac:dyDescent="0.25">
      <c r="T9324" s="98"/>
    </row>
    <row r="9325" spans="20:20" x14ac:dyDescent="0.25">
      <c r="T9325" s="98"/>
    </row>
    <row r="9326" spans="20:20" x14ac:dyDescent="0.25">
      <c r="T9326" s="98"/>
    </row>
    <row r="9327" spans="20:20" x14ac:dyDescent="0.25">
      <c r="T9327" s="98"/>
    </row>
    <row r="9328" spans="20:20" x14ac:dyDescent="0.25">
      <c r="T9328" s="98"/>
    </row>
    <row r="9329" spans="20:20" x14ac:dyDescent="0.25">
      <c r="T9329" s="98"/>
    </row>
    <row r="9330" spans="20:20" x14ac:dyDescent="0.25">
      <c r="T9330" s="98"/>
    </row>
    <row r="9331" spans="20:20" x14ac:dyDescent="0.25">
      <c r="T9331" s="98"/>
    </row>
    <row r="9332" spans="20:20" x14ac:dyDescent="0.25">
      <c r="T9332" s="98"/>
    </row>
    <row r="9333" spans="20:20" x14ac:dyDescent="0.25">
      <c r="T9333" s="98"/>
    </row>
    <row r="9334" spans="20:20" x14ac:dyDescent="0.25">
      <c r="T9334" s="98"/>
    </row>
    <row r="9335" spans="20:20" x14ac:dyDescent="0.25">
      <c r="T9335" s="98"/>
    </row>
    <row r="9336" spans="20:20" x14ac:dyDescent="0.25">
      <c r="T9336" s="98"/>
    </row>
    <row r="9337" spans="20:20" x14ac:dyDescent="0.25">
      <c r="T9337" s="98"/>
    </row>
    <row r="9338" spans="20:20" x14ac:dyDescent="0.25">
      <c r="T9338" s="98"/>
    </row>
    <row r="9339" spans="20:20" x14ac:dyDescent="0.25">
      <c r="T9339" s="98"/>
    </row>
    <row r="9340" spans="20:20" x14ac:dyDescent="0.25">
      <c r="T9340" s="98"/>
    </row>
    <row r="9341" spans="20:20" x14ac:dyDescent="0.25">
      <c r="T9341" s="98"/>
    </row>
    <row r="9342" spans="20:20" x14ac:dyDescent="0.25">
      <c r="T9342" s="98"/>
    </row>
    <row r="9343" spans="20:20" x14ac:dyDescent="0.25">
      <c r="T9343" s="98"/>
    </row>
    <row r="9344" spans="20:20" x14ac:dyDescent="0.25">
      <c r="T9344" s="98"/>
    </row>
    <row r="9345" spans="20:20" x14ac:dyDescent="0.25">
      <c r="T9345" s="98"/>
    </row>
    <row r="9346" spans="20:20" x14ac:dyDescent="0.25">
      <c r="T9346" s="98"/>
    </row>
    <row r="9347" spans="20:20" x14ac:dyDescent="0.25">
      <c r="T9347" s="98"/>
    </row>
    <row r="9348" spans="20:20" x14ac:dyDescent="0.25">
      <c r="T9348" s="98"/>
    </row>
    <row r="9349" spans="20:20" x14ac:dyDescent="0.25">
      <c r="T9349" s="98"/>
    </row>
    <row r="9350" spans="20:20" x14ac:dyDescent="0.25">
      <c r="T9350" s="98"/>
    </row>
    <row r="9351" spans="20:20" x14ac:dyDescent="0.25">
      <c r="T9351" s="98"/>
    </row>
    <row r="9352" spans="20:20" x14ac:dyDescent="0.25">
      <c r="T9352" s="98"/>
    </row>
    <row r="9353" spans="20:20" x14ac:dyDescent="0.25">
      <c r="T9353" s="98"/>
    </row>
    <row r="9354" spans="20:20" x14ac:dyDescent="0.25">
      <c r="T9354" s="98"/>
    </row>
    <row r="9355" spans="20:20" x14ac:dyDescent="0.25">
      <c r="T9355" s="98"/>
    </row>
    <row r="9356" spans="20:20" x14ac:dyDescent="0.25">
      <c r="T9356" s="98"/>
    </row>
    <row r="9357" spans="20:20" x14ac:dyDescent="0.25">
      <c r="T9357" s="98"/>
    </row>
    <row r="9358" spans="20:20" x14ac:dyDescent="0.25">
      <c r="T9358" s="98"/>
    </row>
    <row r="9359" spans="20:20" x14ac:dyDescent="0.25">
      <c r="T9359" s="98"/>
    </row>
    <row r="9360" spans="20:20" x14ac:dyDescent="0.25">
      <c r="T9360" s="98"/>
    </row>
    <row r="9361" spans="20:20" x14ac:dyDescent="0.25">
      <c r="T9361" s="98"/>
    </row>
    <row r="9362" spans="20:20" x14ac:dyDescent="0.25">
      <c r="T9362" s="98"/>
    </row>
    <row r="9363" spans="20:20" x14ac:dyDescent="0.25">
      <c r="T9363" s="98"/>
    </row>
    <row r="9364" spans="20:20" x14ac:dyDescent="0.25">
      <c r="T9364" s="98"/>
    </row>
    <row r="9365" spans="20:20" x14ac:dyDescent="0.25">
      <c r="T9365" s="98"/>
    </row>
    <row r="9366" spans="20:20" x14ac:dyDescent="0.25">
      <c r="T9366" s="98"/>
    </row>
    <row r="9367" spans="20:20" x14ac:dyDescent="0.25">
      <c r="T9367" s="98"/>
    </row>
    <row r="9368" spans="20:20" x14ac:dyDescent="0.25">
      <c r="T9368" s="98"/>
    </row>
    <row r="9369" spans="20:20" x14ac:dyDescent="0.25">
      <c r="T9369" s="98"/>
    </row>
    <row r="9370" spans="20:20" x14ac:dyDescent="0.25">
      <c r="T9370" s="98"/>
    </row>
    <row r="9371" spans="20:20" x14ac:dyDescent="0.25">
      <c r="T9371" s="98"/>
    </row>
    <row r="9372" spans="20:20" x14ac:dyDescent="0.25">
      <c r="T9372" s="98"/>
    </row>
    <row r="9373" spans="20:20" x14ac:dyDescent="0.25">
      <c r="T9373" s="98"/>
    </row>
    <row r="9374" spans="20:20" x14ac:dyDescent="0.25">
      <c r="T9374" s="98"/>
    </row>
    <row r="9375" spans="20:20" x14ac:dyDescent="0.25">
      <c r="T9375" s="98"/>
    </row>
    <row r="9376" spans="20:20" x14ac:dyDescent="0.25">
      <c r="T9376" s="98"/>
    </row>
    <row r="9377" spans="20:20" x14ac:dyDescent="0.25">
      <c r="T9377" s="98"/>
    </row>
    <row r="9378" spans="20:20" x14ac:dyDescent="0.25">
      <c r="T9378" s="98"/>
    </row>
    <row r="9379" spans="20:20" x14ac:dyDescent="0.25">
      <c r="T9379" s="98"/>
    </row>
    <row r="9380" spans="20:20" x14ac:dyDescent="0.25">
      <c r="T9380" s="98"/>
    </row>
    <row r="9381" spans="20:20" x14ac:dyDescent="0.25">
      <c r="T9381" s="98"/>
    </row>
    <row r="9382" spans="20:20" x14ac:dyDescent="0.25">
      <c r="T9382" s="98"/>
    </row>
    <row r="9383" spans="20:20" x14ac:dyDescent="0.25">
      <c r="T9383" s="98"/>
    </row>
    <row r="9384" spans="20:20" x14ac:dyDescent="0.25">
      <c r="T9384" s="98"/>
    </row>
    <row r="9385" spans="20:20" x14ac:dyDescent="0.25">
      <c r="T9385" s="98"/>
    </row>
    <row r="9386" spans="20:20" x14ac:dyDescent="0.25">
      <c r="T9386" s="98"/>
    </row>
    <row r="9387" spans="20:20" x14ac:dyDescent="0.25">
      <c r="T9387" s="98"/>
    </row>
    <row r="9388" spans="20:20" x14ac:dyDescent="0.25">
      <c r="T9388" s="98"/>
    </row>
    <row r="9389" spans="20:20" x14ac:dyDescent="0.25">
      <c r="T9389" s="98"/>
    </row>
    <row r="9390" spans="20:20" x14ac:dyDescent="0.25">
      <c r="T9390" s="98"/>
    </row>
    <row r="9391" spans="20:20" x14ac:dyDescent="0.25">
      <c r="T9391" s="98"/>
    </row>
    <row r="9392" spans="20:20" x14ac:dyDescent="0.25">
      <c r="T9392" s="98"/>
    </row>
    <row r="9393" spans="20:20" x14ac:dyDescent="0.25">
      <c r="T9393" s="98"/>
    </row>
    <row r="9394" spans="20:20" x14ac:dyDescent="0.25">
      <c r="T9394" s="98"/>
    </row>
    <row r="9395" spans="20:20" x14ac:dyDescent="0.25">
      <c r="T9395" s="98"/>
    </row>
    <row r="9396" spans="20:20" x14ac:dyDescent="0.25">
      <c r="T9396" s="98"/>
    </row>
    <row r="9397" spans="20:20" x14ac:dyDescent="0.25">
      <c r="T9397" s="98"/>
    </row>
    <row r="9398" spans="20:20" x14ac:dyDescent="0.25">
      <c r="T9398" s="98"/>
    </row>
    <row r="9399" spans="20:20" x14ac:dyDescent="0.25">
      <c r="T9399" s="98"/>
    </row>
    <row r="9400" spans="20:20" x14ac:dyDescent="0.25">
      <c r="T9400" s="98"/>
    </row>
    <row r="9401" spans="20:20" x14ac:dyDescent="0.25">
      <c r="T9401" s="98"/>
    </row>
    <row r="9402" spans="20:20" x14ac:dyDescent="0.25">
      <c r="T9402" s="98"/>
    </row>
    <row r="9403" spans="20:20" x14ac:dyDescent="0.25">
      <c r="T9403" s="98"/>
    </row>
    <row r="9404" spans="20:20" x14ac:dyDescent="0.25">
      <c r="T9404" s="98"/>
    </row>
    <row r="9405" spans="20:20" x14ac:dyDescent="0.25">
      <c r="T9405" s="98"/>
    </row>
    <row r="9406" spans="20:20" x14ac:dyDescent="0.25">
      <c r="T9406" s="98"/>
    </row>
    <row r="9407" spans="20:20" x14ac:dyDescent="0.25">
      <c r="T9407" s="98"/>
    </row>
    <row r="9408" spans="20:20" x14ac:dyDescent="0.25">
      <c r="T9408" s="98"/>
    </row>
    <row r="9409" spans="20:20" x14ac:dyDescent="0.25">
      <c r="T9409" s="98"/>
    </row>
    <row r="9410" spans="20:20" x14ac:dyDescent="0.25">
      <c r="T9410" s="98"/>
    </row>
    <row r="9411" spans="20:20" x14ac:dyDescent="0.25">
      <c r="T9411" s="98"/>
    </row>
    <row r="9412" spans="20:20" x14ac:dyDescent="0.25">
      <c r="T9412" s="98"/>
    </row>
    <row r="9413" spans="20:20" x14ac:dyDescent="0.25">
      <c r="T9413" s="98"/>
    </row>
    <row r="9414" spans="20:20" x14ac:dyDescent="0.25">
      <c r="T9414" s="98"/>
    </row>
    <row r="9415" spans="20:20" x14ac:dyDescent="0.25">
      <c r="T9415" s="98"/>
    </row>
    <row r="9416" spans="20:20" x14ac:dyDescent="0.25">
      <c r="T9416" s="98"/>
    </row>
    <row r="9417" spans="20:20" x14ac:dyDescent="0.25">
      <c r="T9417" s="98"/>
    </row>
    <row r="9418" spans="20:20" x14ac:dyDescent="0.25">
      <c r="T9418" s="98"/>
    </row>
    <row r="9419" spans="20:20" x14ac:dyDescent="0.25">
      <c r="T9419" s="98"/>
    </row>
    <row r="9420" spans="20:20" x14ac:dyDescent="0.25">
      <c r="T9420" s="98"/>
    </row>
    <row r="9421" spans="20:20" x14ac:dyDescent="0.25">
      <c r="T9421" s="98"/>
    </row>
    <row r="9422" spans="20:20" x14ac:dyDescent="0.25">
      <c r="T9422" s="98"/>
    </row>
    <row r="9423" spans="20:20" x14ac:dyDescent="0.25">
      <c r="T9423" s="98"/>
    </row>
    <row r="9424" spans="20:20" x14ac:dyDescent="0.25">
      <c r="T9424" s="98"/>
    </row>
    <row r="9425" spans="20:20" x14ac:dyDescent="0.25">
      <c r="T9425" s="98"/>
    </row>
    <row r="9426" spans="20:20" x14ac:dyDescent="0.25">
      <c r="T9426" s="98"/>
    </row>
    <row r="9427" spans="20:20" x14ac:dyDescent="0.25">
      <c r="T9427" s="98"/>
    </row>
    <row r="9428" spans="20:20" x14ac:dyDescent="0.25">
      <c r="T9428" s="98"/>
    </row>
    <row r="9429" spans="20:20" x14ac:dyDescent="0.25">
      <c r="T9429" s="98"/>
    </row>
    <row r="9430" spans="20:20" x14ac:dyDescent="0.25">
      <c r="T9430" s="98"/>
    </row>
    <row r="9431" spans="20:20" x14ac:dyDescent="0.25">
      <c r="T9431" s="98"/>
    </row>
    <row r="9432" spans="20:20" x14ac:dyDescent="0.25">
      <c r="T9432" s="98"/>
    </row>
    <row r="9433" spans="20:20" x14ac:dyDescent="0.25">
      <c r="T9433" s="98"/>
    </row>
    <row r="9434" spans="20:20" x14ac:dyDescent="0.25">
      <c r="T9434" s="98"/>
    </row>
    <row r="9435" spans="20:20" x14ac:dyDescent="0.25">
      <c r="T9435" s="98"/>
    </row>
    <row r="9436" spans="20:20" x14ac:dyDescent="0.25">
      <c r="T9436" s="98"/>
    </row>
    <row r="9437" spans="20:20" x14ac:dyDescent="0.25">
      <c r="T9437" s="98"/>
    </row>
    <row r="9438" spans="20:20" x14ac:dyDescent="0.25">
      <c r="T9438" s="98"/>
    </row>
    <row r="9439" spans="20:20" x14ac:dyDescent="0.25">
      <c r="T9439" s="98"/>
    </row>
    <row r="9440" spans="20:20" x14ac:dyDescent="0.25">
      <c r="T9440" s="98"/>
    </row>
    <row r="9441" spans="20:20" x14ac:dyDescent="0.25">
      <c r="T9441" s="98"/>
    </row>
    <row r="9442" spans="20:20" x14ac:dyDescent="0.25">
      <c r="T9442" s="98"/>
    </row>
    <row r="9443" spans="20:20" x14ac:dyDescent="0.25">
      <c r="T9443" s="98"/>
    </row>
    <row r="9444" spans="20:20" x14ac:dyDescent="0.25">
      <c r="T9444" s="98"/>
    </row>
    <row r="9445" spans="20:20" x14ac:dyDescent="0.25">
      <c r="T9445" s="98"/>
    </row>
    <row r="9446" spans="20:20" x14ac:dyDescent="0.25">
      <c r="T9446" s="98"/>
    </row>
    <row r="9447" spans="20:20" x14ac:dyDescent="0.25">
      <c r="T9447" s="98"/>
    </row>
    <row r="9448" spans="20:20" x14ac:dyDescent="0.25">
      <c r="T9448" s="98"/>
    </row>
    <row r="9449" spans="20:20" x14ac:dyDescent="0.25">
      <c r="T9449" s="98"/>
    </row>
    <row r="9450" spans="20:20" x14ac:dyDescent="0.25">
      <c r="T9450" s="98"/>
    </row>
    <row r="9451" spans="20:20" x14ac:dyDescent="0.25">
      <c r="T9451" s="98"/>
    </row>
    <row r="9452" spans="20:20" x14ac:dyDescent="0.25">
      <c r="T9452" s="98"/>
    </row>
    <row r="9453" spans="20:20" x14ac:dyDescent="0.25">
      <c r="T9453" s="98"/>
    </row>
    <row r="9454" spans="20:20" x14ac:dyDescent="0.25">
      <c r="T9454" s="98"/>
    </row>
    <row r="9455" spans="20:20" x14ac:dyDescent="0.25">
      <c r="T9455" s="98"/>
    </row>
    <row r="9456" spans="20:20" x14ac:dyDescent="0.25">
      <c r="T9456" s="98"/>
    </row>
    <row r="9457" spans="20:20" x14ac:dyDescent="0.25">
      <c r="T9457" s="98"/>
    </row>
    <row r="9458" spans="20:20" x14ac:dyDescent="0.25">
      <c r="T9458" s="98"/>
    </row>
    <row r="9459" spans="20:20" x14ac:dyDescent="0.25">
      <c r="T9459" s="98"/>
    </row>
    <row r="9460" spans="20:20" x14ac:dyDescent="0.25">
      <c r="T9460" s="98"/>
    </row>
    <row r="9461" spans="20:20" x14ac:dyDescent="0.25">
      <c r="T9461" s="98"/>
    </row>
    <row r="9462" spans="20:20" x14ac:dyDescent="0.25">
      <c r="T9462" s="98"/>
    </row>
    <row r="9463" spans="20:20" x14ac:dyDescent="0.25">
      <c r="T9463" s="98"/>
    </row>
    <row r="9464" spans="20:20" x14ac:dyDescent="0.25">
      <c r="T9464" s="98"/>
    </row>
    <row r="9465" spans="20:20" x14ac:dyDescent="0.25">
      <c r="T9465" s="98"/>
    </row>
    <row r="9466" spans="20:20" x14ac:dyDescent="0.25">
      <c r="T9466" s="98"/>
    </row>
    <row r="9467" spans="20:20" x14ac:dyDescent="0.25">
      <c r="T9467" s="98"/>
    </row>
    <row r="9468" spans="20:20" x14ac:dyDescent="0.25">
      <c r="T9468" s="98"/>
    </row>
    <row r="9469" spans="20:20" x14ac:dyDescent="0.25">
      <c r="T9469" s="98"/>
    </row>
    <row r="9470" spans="20:20" x14ac:dyDescent="0.25">
      <c r="T9470" s="98"/>
    </row>
    <row r="9471" spans="20:20" x14ac:dyDescent="0.25">
      <c r="T9471" s="98"/>
    </row>
    <row r="9472" spans="20:20" x14ac:dyDescent="0.25">
      <c r="T9472" s="98"/>
    </row>
    <row r="9473" spans="20:20" x14ac:dyDescent="0.25">
      <c r="T9473" s="98"/>
    </row>
    <row r="9474" spans="20:20" x14ac:dyDescent="0.25">
      <c r="T9474" s="98"/>
    </row>
    <row r="9475" spans="20:20" x14ac:dyDescent="0.25">
      <c r="T9475" s="98"/>
    </row>
    <row r="9476" spans="20:20" x14ac:dyDescent="0.25">
      <c r="T9476" s="98"/>
    </row>
    <row r="9477" spans="20:20" x14ac:dyDescent="0.25">
      <c r="T9477" s="98"/>
    </row>
    <row r="9478" spans="20:20" x14ac:dyDescent="0.25">
      <c r="T9478" s="98"/>
    </row>
    <row r="9479" spans="20:20" x14ac:dyDescent="0.25">
      <c r="T9479" s="98"/>
    </row>
    <row r="9480" spans="20:20" x14ac:dyDescent="0.25">
      <c r="T9480" s="98"/>
    </row>
    <row r="9481" spans="20:20" x14ac:dyDescent="0.25">
      <c r="T9481" s="98"/>
    </row>
    <row r="9482" spans="20:20" x14ac:dyDescent="0.25">
      <c r="T9482" s="98"/>
    </row>
    <row r="9483" spans="20:20" x14ac:dyDescent="0.25">
      <c r="T9483" s="98"/>
    </row>
    <row r="9484" spans="20:20" x14ac:dyDescent="0.25">
      <c r="T9484" s="98"/>
    </row>
    <row r="9485" spans="20:20" x14ac:dyDescent="0.25">
      <c r="T9485" s="98"/>
    </row>
    <row r="9486" spans="20:20" x14ac:dyDescent="0.25">
      <c r="T9486" s="98"/>
    </row>
    <row r="9487" spans="20:20" x14ac:dyDescent="0.25">
      <c r="T9487" s="98"/>
    </row>
    <row r="9488" spans="20:20" x14ac:dyDescent="0.25">
      <c r="T9488" s="98"/>
    </row>
    <row r="9489" spans="20:20" x14ac:dyDescent="0.25">
      <c r="T9489" s="98"/>
    </row>
    <row r="9490" spans="20:20" x14ac:dyDescent="0.25">
      <c r="T9490" s="98"/>
    </row>
    <row r="9491" spans="20:20" x14ac:dyDescent="0.25">
      <c r="T9491" s="98"/>
    </row>
    <row r="9492" spans="20:20" x14ac:dyDescent="0.25">
      <c r="T9492" s="98"/>
    </row>
    <row r="9493" spans="20:20" x14ac:dyDescent="0.25">
      <c r="T9493" s="98"/>
    </row>
    <row r="9494" spans="20:20" x14ac:dyDescent="0.25">
      <c r="T9494" s="98"/>
    </row>
    <row r="9495" spans="20:20" x14ac:dyDescent="0.25">
      <c r="T9495" s="98"/>
    </row>
    <row r="9496" spans="20:20" x14ac:dyDescent="0.25">
      <c r="T9496" s="98"/>
    </row>
    <row r="9497" spans="20:20" x14ac:dyDescent="0.25">
      <c r="T9497" s="98"/>
    </row>
    <row r="9498" spans="20:20" x14ac:dyDescent="0.25">
      <c r="T9498" s="98"/>
    </row>
    <row r="9499" spans="20:20" x14ac:dyDescent="0.25">
      <c r="T9499" s="98"/>
    </row>
    <row r="9500" spans="20:20" x14ac:dyDescent="0.25">
      <c r="T9500" s="98"/>
    </row>
    <row r="9501" spans="20:20" x14ac:dyDescent="0.25">
      <c r="T9501" s="98"/>
    </row>
    <row r="9502" spans="20:20" x14ac:dyDescent="0.25">
      <c r="T9502" s="98"/>
    </row>
    <row r="9503" spans="20:20" x14ac:dyDescent="0.25">
      <c r="T9503" s="98"/>
    </row>
    <row r="9504" spans="20:20" x14ac:dyDescent="0.25">
      <c r="T9504" s="98"/>
    </row>
    <row r="9505" spans="20:20" x14ac:dyDescent="0.25">
      <c r="T9505" s="98"/>
    </row>
    <row r="9506" spans="20:20" x14ac:dyDescent="0.25">
      <c r="T9506" s="98"/>
    </row>
    <row r="9507" spans="20:20" x14ac:dyDescent="0.25">
      <c r="T9507" s="98"/>
    </row>
    <row r="9508" spans="20:20" x14ac:dyDescent="0.25">
      <c r="T9508" s="98"/>
    </row>
    <row r="9509" spans="20:20" x14ac:dyDescent="0.25">
      <c r="T9509" s="98"/>
    </row>
    <row r="9510" spans="20:20" x14ac:dyDescent="0.25">
      <c r="T9510" s="98"/>
    </row>
    <row r="9511" spans="20:20" x14ac:dyDescent="0.25">
      <c r="T9511" s="98"/>
    </row>
    <row r="9512" spans="20:20" x14ac:dyDescent="0.25">
      <c r="T9512" s="98"/>
    </row>
    <row r="9513" spans="20:20" x14ac:dyDescent="0.25">
      <c r="T9513" s="98"/>
    </row>
    <row r="9514" spans="20:20" x14ac:dyDescent="0.25">
      <c r="T9514" s="98"/>
    </row>
    <row r="9515" spans="20:20" x14ac:dyDescent="0.25">
      <c r="T9515" s="98"/>
    </row>
    <row r="9516" spans="20:20" x14ac:dyDescent="0.25">
      <c r="T9516" s="98"/>
    </row>
    <row r="9517" spans="20:20" x14ac:dyDescent="0.25">
      <c r="T9517" s="98"/>
    </row>
    <row r="9518" spans="20:20" x14ac:dyDescent="0.25">
      <c r="T9518" s="98"/>
    </row>
    <row r="9519" spans="20:20" x14ac:dyDescent="0.25">
      <c r="T9519" s="98"/>
    </row>
    <row r="9520" spans="20:20" x14ac:dyDescent="0.25">
      <c r="T9520" s="98"/>
    </row>
    <row r="9521" spans="20:20" x14ac:dyDescent="0.25">
      <c r="T9521" s="98"/>
    </row>
    <row r="9522" spans="20:20" x14ac:dyDescent="0.25">
      <c r="T9522" s="98"/>
    </row>
    <row r="9523" spans="20:20" x14ac:dyDescent="0.25">
      <c r="T9523" s="98"/>
    </row>
    <row r="9524" spans="20:20" x14ac:dyDescent="0.25">
      <c r="T9524" s="98"/>
    </row>
    <row r="9525" spans="20:20" x14ac:dyDescent="0.25">
      <c r="T9525" s="98"/>
    </row>
    <row r="9526" spans="20:20" x14ac:dyDescent="0.25">
      <c r="T9526" s="98"/>
    </row>
    <row r="9527" spans="20:20" x14ac:dyDescent="0.25">
      <c r="T9527" s="98"/>
    </row>
    <row r="9528" spans="20:20" x14ac:dyDescent="0.25">
      <c r="T9528" s="98"/>
    </row>
    <row r="9529" spans="20:20" x14ac:dyDescent="0.25">
      <c r="T9529" s="98"/>
    </row>
    <row r="9530" spans="20:20" x14ac:dyDescent="0.25">
      <c r="T9530" s="98"/>
    </row>
    <row r="9531" spans="20:20" x14ac:dyDescent="0.25">
      <c r="T9531" s="98"/>
    </row>
    <row r="9532" spans="20:20" x14ac:dyDescent="0.25">
      <c r="T9532" s="98"/>
    </row>
    <row r="9533" spans="20:20" x14ac:dyDescent="0.25">
      <c r="T9533" s="98"/>
    </row>
    <row r="9534" spans="20:20" x14ac:dyDescent="0.25">
      <c r="T9534" s="98"/>
    </row>
    <row r="9535" spans="20:20" x14ac:dyDescent="0.25">
      <c r="T9535" s="98"/>
    </row>
    <row r="9536" spans="20:20" x14ac:dyDescent="0.25">
      <c r="T9536" s="98"/>
    </row>
    <row r="9537" spans="20:20" x14ac:dyDescent="0.25">
      <c r="T9537" s="98"/>
    </row>
    <row r="9538" spans="20:20" x14ac:dyDescent="0.25">
      <c r="T9538" s="98"/>
    </row>
    <row r="9539" spans="20:20" x14ac:dyDescent="0.25">
      <c r="T9539" s="98"/>
    </row>
    <row r="9540" spans="20:20" x14ac:dyDescent="0.25">
      <c r="T9540" s="98"/>
    </row>
    <row r="9541" spans="20:20" x14ac:dyDescent="0.25">
      <c r="T9541" s="98"/>
    </row>
    <row r="9542" spans="20:20" x14ac:dyDescent="0.25">
      <c r="T9542" s="98"/>
    </row>
    <row r="9543" spans="20:20" x14ac:dyDescent="0.25">
      <c r="T9543" s="98"/>
    </row>
    <row r="9544" spans="20:20" x14ac:dyDescent="0.25">
      <c r="T9544" s="98"/>
    </row>
    <row r="9545" spans="20:20" x14ac:dyDescent="0.25">
      <c r="T9545" s="98"/>
    </row>
    <row r="9546" spans="20:20" x14ac:dyDescent="0.25">
      <c r="T9546" s="98"/>
    </row>
    <row r="9547" spans="20:20" x14ac:dyDescent="0.25">
      <c r="T9547" s="98"/>
    </row>
    <row r="9548" spans="20:20" x14ac:dyDescent="0.25">
      <c r="T9548" s="98"/>
    </row>
    <row r="9549" spans="20:20" x14ac:dyDescent="0.25">
      <c r="T9549" s="98"/>
    </row>
    <row r="9550" spans="20:20" x14ac:dyDescent="0.25">
      <c r="T9550" s="98"/>
    </row>
    <row r="9551" spans="20:20" x14ac:dyDescent="0.25">
      <c r="T9551" s="98"/>
    </row>
    <row r="9552" spans="20:20" x14ac:dyDescent="0.25">
      <c r="T9552" s="98"/>
    </row>
    <row r="9553" spans="20:20" x14ac:dyDescent="0.25">
      <c r="T9553" s="98"/>
    </row>
    <row r="9554" spans="20:20" x14ac:dyDescent="0.25">
      <c r="T9554" s="98"/>
    </row>
    <row r="9555" spans="20:20" x14ac:dyDescent="0.25">
      <c r="T9555" s="98"/>
    </row>
    <row r="9556" spans="20:20" x14ac:dyDescent="0.25">
      <c r="T9556" s="98"/>
    </row>
    <row r="9557" spans="20:20" x14ac:dyDescent="0.25">
      <c r="T9557" s="98"/>
    </row>
    <row r="9558" spans="20:20" x14ac:dyDescent="0.25">
      <c r="T9558" s="98"/>
    </row>
    <row r="9559" spans="20:20" x14ac:dyDescent="0.25">
      <c r="T9559" s="98"/>
    </row>
    <row r="9560" spans="20:20" x14ac:dyDescent="0.25">
      <c r="T9560" s="98"/>
    </row>
    <row r="9561" spans="20:20" x14ac:dyDescent="0.25">
      <c r="T9561" s="98"/>
    </row>
    <row r="9562" spans="20:20" x14ac:dyDescent="0.25">
      <c r="T9562" s="98"/>
    </row>
    <row r="9563" spans="20:20" x14ac:dyDescent="0.25">
      <c r="T9563" s="98"/>
    </row>
    <row r="9564" spans="20:20" x14ac:dyDescent="0.25">
      <c r="T9564" s="98"/>
    </row>
    <row r="9565" spans="20:20" x14ac:dyDescent="0.25">
      <c r="T9565" s="98"/>
    </row>
    <row r="9566" spans="20:20" x14ac:dyDescent="0.25">
      <c r="T9566" s="98"/>
    </row>
    <row r="9567" spans="20:20" x14ac:dyDescent="0.25">
      <c r="T9567" s="98"/>
    </row>
    <row r="9568" spans="20:20" x14ac:dyDescent="0.25">
      <c r="T9568" s="98"/>
    </row>
    <row r="9569" spans="20:20" x14ac:dyDescent="0.25">
      <c r="T9569" s="98"/>
    </row>
    <row r="9570" spans="20:20" x14ac:dyDescent="0.25">
      <c r="T9570" s="98"/>
    </row>
    <row r="9571" spans="20:20" x14ac:dyDescent="0.25">
      <c r="T9571" s="98"/>
    </row>
    <row r="9572" spans="20:20" x14ac:dyDescent="0.25">
      <c r="T9572" s="98"/>
    </row>
    <row r="9573" spans="20:20" x14ac:dyDescent="0.25">
      <c r="T9573" s="98"/>
    </row>
    <row r="9574" spans="20:20" x14ac:dyDescent="0.25">
      <c r="T9574" s="98"/>
    </row>
    <row r="9575" spans="20:20" x14ac:dyDescent="0.25">
      <c r="T9575" s="98"/>
    </row>
    <row r="9576" spans="20:20" x14ac:dyDescent="0.25">
      <c r="T9576" s="98"/>
    </row>
    <row r="9577" spans="20:20" x14ac:dyDescent="0.25">
      <c r="T9577" s="98"/>
    </row>
    <row r="9578" spans="20:20" x14ac:dyDescent="0.25">
      <c r="T9578" s="98"/>
    </row>
    <row r="9579" spans="20:20" x14ac:dyDescent="0.25">
      <c r="T9579" s="98"/>
    </row>
    <row r="9580" spans="20:20" x14ac:dyDescent="0.25">
      <c r="T9580" s="98"/>
    </row>
    <row r="9581" spans="20:20" x14ac:dyDescent="0.25">
      <c r="T9581" s="98"/>
    </row>
    <row r="9582" spans="20:20" x14ac:dyDescent="0.25">
      <c r="T9582" s="98"/>
    </row>
    <row r="9583" spans="20:20" x14ac:dyDescent="0.25">
      <c r="T9583" s="98"/>
    </row>
    <row r="9584" spans="20:20" x14ac:dyDescent="0.25">
      <c r="T9584" s="98"/>
    </row>
    <row r="9585" spans="20:20" x14ac:dyDescent="0.25">
      <c r="T9585" s="98"/>
    </row>
    <row r="9586" spans="20:20" x14ac:dyDescent="0.25">
      <c r="T9586" s="98"/>
    </row>
    <row r="9587" spans="20:20" x14ac:dyDescent="0.25">
      <c r="T9587" s="98"/>
    </row>
    <row r="9588" spans="20:20" x14ac:dyDescent="0.25">
      <c r="T9588" s="98"/>
    </row>
    <row r="9589" spans="20:20" x14ac:dyDescent="0.25">
      <c r="T9589" s="98"/>
    </row>
    <row r="9590" spans="20:20" x14ac:dyDescent="0.25">
      <c r="T9590" s="98"/>
    </row>
    <row r="9591" spans="20:20" x14ac:dyDescent="0.25">
      <c r="T9591" s="98"/>
    </row>
    <row r="9592" spans="20:20" x14ac:dyDescent="0.25">
      <c r="T9592" s="98"/>
    </row>
    <row r="9593" spans="20:20" x14ac:dyDescent="0.25">
      <c r="T9593" s="98"/>
    </row>
    <row r="9594" spans="20:20" x14ac:dyDescent="0.25">
      <c r="T9594" s="98"/>
    </row>
    <row r="9595" spans="20:20" x14ac:dyDescent="0.25">
      <c r="T9595" s="98"/>
    </row>
    <row r="9596" spans="20:20" x14ac:dyDescent="0.25">
      <c r="T9596" s="98"/>
    </row>
    <row r="9597" spans="20:20" x14ac:dyDescent="0.25">
      <c r="T9597" s="98"/>
    </row>
    <row r="9598" spans="20:20" x14ac:dyDescent="0.25">
      <c r="T9598" s="98"/>
    </row>
    <row r="9599" spans="20:20" x14ac:dyDescent="0.25">
      <c r="T9599" s="98"/>
    </row>
    <row r="9600" spans="20:20" x14ac:dyDescent="0.25">
      <c r="T9600" s="98"/>
    </row>
    <row r="9601" spans="20:20" x14ac:dyDescent="0.25">
      <c r="T9601" s="98"/>
    </row>
    <row r="9602" spans="20:20" x14ac:dyDescent="0.25">
      <c r="T9602" s="98"/>
    </row>
    <row r="9603" spans="20:20" x14ac:dyDescent="0.25">
      <c r="T9603" s="98"/>
    </row>
    <row r="9604" spans="20:20" x14ac:dyDescent="0.25">
      <c r="T9604" s="98"/>
    </row>
    <row r="9605" spans="20:20" x14ac:dyDescent="0.25">
      <c r="T9605" s="98"/>
    </row>
    <row r="9606" spans="20:20" x14ac:dyDescent="0.25">
      <c r="T9606" s="98"/>
    </row>
    <row r="9607" spans="20:20" x14ac:dyDescent="0.25">
      <c r="T9607" s="98"/>
    </row>
    <row r="9608" spans="20:20" x14ac:dyDescent="0.25">
      <c r="T9608" s="98"/>
    </row>
    <row r="9609" spans="20:20" x14ac:dyDescent="0.25">
      <c r="T9609" s="98"/>
    </row>
    <row r="9610" spans="20:20" x14ac:dyDescent="0.25">
      <c r="T9610" s="98"/>
    </row>
    <row r="9611" spans="20:20" x14ac:dyDescent="0.25">
      <c r="T9611" s="98"/>
    </row>
    <row r="9612" spans="20:20" x14ac:dyDescent="0.25">
      <c r="T9612" s="98"/>
    </row>
    <row r="9613" spans="20:20" x14ac:dyDescent="0.25">
      <c r="T9613" s="98"/>
    </row>
    <row r="9614" spans="20:20" x14ac:dyDescent="0.25">
      <c r="T9614" s="98"/>
    </row>
    <row r="9615" spans="20:20" x14ac:dyDescent="0.25">
      <c r="T9615" s="98"/>
    </row>
    <row r="9616" spans="20:20" x14ac:dyDescent="0.25">
      <c r="T9616" s="98"/>
    </row>
    <row r="9617" spans="20:20" x14ac:dyDescent="0.25">
      <c r="T9617" s="98"/>
    </row>
    <row r="9618" spans="20:20" x14ac:dyDescent="0.25">
      <c r="T9618" s="98"/>
    </row>
    <row r="9619" spans="20:20" x14ac:dyDescent="0.25">
      <c r="T9619" s="98"/>
    </row>
    <row r="9620" spans="20:20" x14ac:dyDescent="0.25">
      <c r="T9620" s="98"/>
    </row>
    <row r="9621" spans="20:20" x14ac:dyDescent="0.25">
      <c r="T9621" s="98"/>
    </row>
    <row r="9622" spans="20:20" x14ac:dyDescent="0.25">
      <c r="T9622" s="98"/>
    </row>
    <row r="9623" spans="20:20" x14ac:dyDescent="0.25">
      <c r="T9623" s="98"/>
    </row>
    <row r="9624" spans="20:20" x14ac:dyDescent="0.25">
      <c r="T9624" s="98"/>
    </row>
    <row r="9625" spans="20:20" x14ac:dyDescent="0.25">
      <c r="T9625" s="98"/>
    </row>
    <row r="9626" spans="20:20" x14ac:dyDescent="0.25">
      <c r="T9626" s="98"/>
    </row>
    <row r="9627" spans="20:20" x14ac:dyDescent="0.25">
      <c r="T9627" s="98"/>
    </row>
    <row r="9628" spans="20:20" x14ac:dyDescent="0.25">
      <c r="T9628" s="98"/>
    </row>
    <row r="9629" spans="20:20" x14ac:dyDescent="0.25">
      <c r="T9629" s="98"/>
    </row>
    <row r="9630" spans="20:20" x14ac:dyDescent="0.25">
      <c r="T9630" s="98"/>
    </row>
    <row r="9631" spans="20:20" x14ac:dyDescent="0.25">
      <c r="T9631" s="98"/>
    </row>
    <row r="9632" spans="20:20" x14ac:dyDescent="0.25">
      <c r="T9632" s="98"/>
    </row>
    <row r="9633" spans="20:20" x14ac:dyDescent="0.25">
      <c r="T9633" s="98"/>
    </row>
    <row r="9634" spans="20:20" x14ac:dyDescent="0.25">
      <c r="T9634" s="98"/>
    </row>
    <row r="9635" spans="20:20" x14ac:dyDescent="0.25">
      <c r="T9635" s="98"/>
    </row>
    <row r="9636" spans="20:20" x14ac:dyDescent="0.25">
      <c r="T9636" s="98"/>
    </row>
    <row r="9637" spans="20:20" x14ac:dyDescent="0.25">
      <c r="T9637" s="98"/>
    </row>
    <row r="9638" spans="20:20" x14ac:dyDescent="0.25">
      <c r="T9638" s="98"/>
    </row>
    <row r="9639" spans="20:20" x14ac:dyDescent="0.25">
      <c r="T9639" s="98"/>
    </row>
    <row r="9640" spans="20:20" x14ac:dyDescent="0.25">
      <c r="T9640" s="98"/>
    </row>
    <row r="9641" spans="20:20" x14ac:dyDescent="0.25">
      <c r="T9641" s="98"/>
    </row>
    <row r="9642" spans="20:20" x14ac:dyDescent="0.25">
      <c r="T9642" s="98"/>
    </row>
    <row r="9643" spans="20:20" x14ac:dyDescent="0.25">
      <c r="T9643" s="98"/>
    </row>
    <row r="9644" spans="20:20" x14ac:dyDescent="0.25">
      <c r="T9644" s="98"/>
    </row>
    <row r="9645" spans="20:20" x14ac:dyDescent="0.25">
      <c r="T9645" s="98"/>
    </row>
    <row r="9646" spans="20:20" x14ac:dyDescent="0.25">
      <c r="T9646" s="98"/>
    </row>
    <row r="9647" spans="20:20" x14ac:dyDescent="0.25">
      <c r="T9647" s="98"/>
    </row>
    <row r="9648" spans="20:20" x14ac:dyDescent="0.25">
      <c r="T9648" s="98"/>
    </row>
    <row r="9649" spans="20:20" x14ac:dyDescent="0.25">
      <c r="T9649" s="98"/>
    </row>
    <row r="9650" spans="20:20" x14ac:dyDescent="0.25">
      <c r="T9650" s="98"/>
    </row>
    <row r="9651" spans="20:20" x14ac:dyDescent="0.25">
      <c r="T9651" s="98"/>
    </row>
    <row r="9652" spans="20:20" x14ac:dyDescent="0.25">
      <c r="T9652" s="98"/>
    </row>
    <row r="9653" spans="20:20" x14ac:dyDescent="0.25">
      <c r="T9653" s="98"/>
    </row>
    <row r="9654" spans="20:20" x14ac:dyDescent="0.25">
      <c r="T9654" s="98"/>
    </row>
    <row r="9655" spans="20:20" x14ac:dyDescent="0.25">
      <c r="T9655" s="98"/>
    </row>
    <row r="9656" spans="20:20" x14ac:dyDescent="0.25">
      <c r="T9656" s="98"/>
    </row>
    <row r="9657" spans="20:20" x14ac:dyDescent="0.25">
      <c r="T9657" s="98"/>
    </row>
    <row r="9658" spans="20:20" x14ac:dyDescent="0.25">
      <c r="T9658" s="98"/>
    </row>
    <row r="9659" spans="20:20" x14ac:dyDescent="0.25">
      <c r="T9659" s="98"/>
    </row>
    <row r="9660" spans="20:20" x14ac:dyDescent="0.25">
      <c r="T9660" s="98"/>
    </row>
    <row r="9661" spans="20:20" x14ac:dyDescent="0.25">
      <c r="T9661" s="98"/>
    </row>
    <row r="9662" spans="20:20" x14ac:dyDescent="0.25">
      <c r="T9662" s="98"/>
    </row>
    <row r="9663" spans="20:20" x14ac:dyDescent="0.25">
      <c r="T9663" s="98"/>
    </row>
    <row r="9664" spans="20:20" x14ac:dyDescent="0.25">
      <c r="T9664" s="98"/>
    </row>
    <row r="9665" spans="20:20" x14ac:dyDescent="0.25">
      <c r="T9665" s="98"/>
    </row>
    <row r="9666" spans="20:20" x14ac:dyDescent="0.25">
      <c r="T9666" s="98"/>
    </row>
    <row r="9667" spans="20:20" x14ac:dyDescent="0.25">
      <c r="T9667" s="98"/>
    </row>
    <row r="9668" spans="20:20" x14ac:dyDescent="0.25">
      <c r="T9668" s="98"/>
    </row>
    <row r="9669" spans="20:20" x14ac:dyDescent="0.25">
      <c r="T9669" s="98"/>
    </row>
    <row r="9670" spans="20:20" x14ac:dyDescent="0.25">
      <c r="T9670" s="98"/>
    </row>
    <row r="9671" spans="20:20" x14ac:dyDescent="0.25">
      <c r="T9671" s="98"/>
    </row>
    <row r="9672" spans="20:20" x14ac:dyDescent="0.25">
      <c r="T9672" s="98"/>
    </row>
    <row r="9673" spans="20:20" x14ac:dyDescent="0.25">
      <c r="T9673" s="98"/>
    </row>
    <row r="9674" spans="20:20" x14ac:dyDescent="0.25">
      <c r="T9674" s="98"/>
    </row>
    <row r="9675" spans="20:20" x14ac:dyDescent="0.25">
      <c r="T9675" s="98"/>
    </row>
    <row r="9676" spans="20:20" x14ac:dyDescent="0.25">
      <c r="T9676" s="98"/>
    </row>
    <row r="9677" spans="20:20" x14ac:dyDescent="0.25">
      <c r="T9677" s="98"/>
    </row>
    <row r="9678" spans="20:20" x14ac:dyDescent="0.25">
      <c r="T9678" s="98"/>
    </row>
    <row r="9679" spans="20:20" x14ac:dyDescent="0.25">
      <c r="T9679" s="98"/>
    </row>
    <row r="9680" spans="20:20" x14ac:dyDescent="0.25">
      <c r="T9680" s="98"/>
    </row>
    <row r="9681" spans="20:20" x14ac:dyDescent="0.25">
      <c r="T9681" s="98"/>
    </row>
    <row r="9682" spans="20:20" x14ac:dyDescent="0.25">
      <c r="T9682" s="98"/>
    </row>
    <row r="9683" spans="20:20" x14ac:dyDescent="0.25">
      <c r="T9683" s="98"/>
    </row>
    <row r="9684" spans="20:20" x14ac:dyDescent="0.25">
      <c r="T9684" s="98"/>
    </row>
    <row r="9685" spans="20:20" x14ac:dyDescent="0.25">
      <c r="T9685" s="98"/>
    </row>
    <row r="9686" spans="20:20" x14ac:dyDescent="0.25">
      <c r="T9686" s="98"/>
    </row>
    <row r="9687" spans="20:20" x14ac:dyDescent="0.25">
      <c r="T9687" s="98"/>
    </row>
    <row r="9688" spans="20:20" x14ac:dyDescent="0.25">
      <c r="T9688" s="98"/>
    </row>
    <row r="9689" spans="20:20" x14ac:dyDescent="0.25">
      <c r="T9689" s="98"/>
    </row>
    <row r="9690" spans="20:20" x14ac:dyDescent="0.25">
      <c r="T9690" s="98"/>
    </row>
    <row r="9691" spans="20:20" x14ac:dyDescent="0.25">
      <c r="T9691" s="98"/>
    </row>
    <row r="9692" spans="20:20" x14ac:dyDescent="0.25">
      <c r="T9692" s="98"/>
    </row>
    <row r="9693" spans="20:20" x14ac:dyDescent="0.25">
      <c r="T9693" s="98"/>
    </row>
    <row r="9694" spans="20:20" x14ac:dyDescent="0.25">
      <c r="T9694" s="98"/>
    </row>
    <row r="9695" spans="20:20" x14ac:dyDescent="0.25">
      <c r="T9695" s="98"/>
    </row>
    <row r="9696" spans="20:20" x14ac:dyDescent="0.25">
      <c r="T9696" s="98"/>
    </row>
    <row r="9697" spans="20:20" x14ac:dyDescent="0.25">
      <c r="T9697" s="98"/>
    </row>
    <row r="9698" spans="20:20" x14ac:dyDescent="0.25">
      <c r="T9698" s="98"/>
    </row>
    <row r="9699" spans="20:20" x14ac:dyDescent="0.25">
      <c r="T9699" s="98"/>
    </row>
    <row r="9700" spans="20:20" x14ac:dyDescent="0.25">
      <c r="T9700" s="98"/>
    </row>
    <row r="9701" spans="20:20" x14ac:dyDescent="0.25">
      <c r="T9701" s="98"/>
    </row>
    <row r="9702" spans="20:20" x14ac:dyDescent="0.25">
      <c r="T9702" s="98"/>
    </row>
    <row r="9703" spans="20:20" x14ac:dyDescent="0.25">
      <c r="T9703" s="98"/>
    </row>
    <row r="9704" spans="20:20" x14ac:dyDescent="0.25">
      <c r="T9704" s="98"/>
    </row>
    <row r="9705" spans="20:20" x14ac:dyDescent="0.25">
      <c r="T9705" s="98"/>
    </row>
    <row r="9706" spans="20:20" x14ac:dyDescent="0.25">
      <c r="T9706" s="98"/>
    </row>
    <row r="9707" spans="20:20" x14ac:dyDescent="0.25">
      <c r="T9707" s="98"/>
    </row>
    <row r="9708" spans="20:20" x14ac:dyDescent="0.25">
      <c r="T9708" s="98"/>
    </row>
    <row r="9709" spans="20:20" x14ac:dyDescent="0.25">
      <c r="T9709" s="98"/>
    </row>
    <row r="9710" spans="20:20" x14ac:dyDescent="0.25">
      <c r="T9710" s="98"/>
    </row>
    <row r="9711" spans="20:20" x14ac:dyDescent="0.25">
      <c r="T9711" s="98"/>
    </row>
    <row r="9712" spans="20:20" x14ac:dyDescent="0.25">
      <c r="T9712" s="98"/>
    </row>
    <row r="9713" spans="20:20" x14ac:dyDescent="0.25">
      <c r="T9713" s="98"/>
    </row>
    <row r="9714" spans="20:20" x14ac:dyDescent="0.25">
      <c r="T9714" s="98"/>
    </row>
    <row r="9715" spans="20:20" x14ac:dyDescent="0.25">
      <c r="T9715" s="98"/>
    </row>
    <row r="9716" spans="20:20" x14ac:dyDescent="0.25">
      <c r="T9716" s="98"/>
    </row>
    <row r="9717" spans="20:20" x14ac:dyDescent="0.25">
      <c r="T9717" s="98"/>
    </row>
    <row r="9718" spans="20:20" x14ac:dyDescent="0.25">
      <c r="T9718" s="98"/>
    </row>
    <row r="9719" spans="20:20" x14ac:dyDescent="0.25">
      <c r="T9719" s="98"/>
    </row>
    <row r="9720" spans="20:20" x14ac:dyDescent="0.25">
      <c r="T9720" s="98"/>
    </row>
    <row r="9721" spans="20:20" x14ac:dyDescent="0.25">
      <c r="T9721" s="98"/>
    </row>
    <row r="9722" spans="20:20" x14ac:dyDescent="0.25">
      <c r="T9722" s="98"/>
    </row>
    <row r="9723" spans="20:20" x14ac:dyDescent="0.25">
      <c r="T9723" s="98"/>
    </row>
    <row r="9724" spans="20:20" x14ac:dyDescent="0.25">
      <c r="T9724" s="98"/>
    </row>
    <row r="9725" spans="20:20" x14ac:dyDescent="0.25">
      <c r="T9725" s="98"/>
    </row>
    <row r="9726" spans="20:20" x14ac:dyDescent="0.25">
      <c r="T9726" s="98"/>
    </row>
    <row r="9727" spans="20:20" x14ac:dyDescent="0.25">
      <c r="T9727" s="98"/>
    </row>
    <row r="9728" spans="20:20" x14ac:dyDescent="0.25">
      <c r="T9728" s="98"/>
    </row>
    <row r="9729" spans="20:20" x14ac:dyDescent="0.25">
      <c r="T9729" s="98"/>
    </row>
    <row r="9730" spans="20:20" x14ac:dyDescent="0.25">
      <c r="T9730" s="98"/>
    </row>
    <row r="9731" spans="20:20" x14ac:dyDescent="0.25">
      <c r="T9731" s="98"/>
    </row>
    <row r="9732" spans="20:20" x14ac:dyDescent="0.25">
      <c r="T9732" s="98"/>
    </row>
    <row r="9733" spans="20:20" x14ac:dyDescent="0.25">
      <c r="T9733" s="98"/>
    </row>
    <row r="9734" spans="20:20" x14ac:dyDescent="0.25">
      <c r="T9734" s="98"/>
    </row>
    <row r="9735" spans="20:20" x14ac:dyDescent="0.25">
      <c r="T9735" s="98"/>
    </row>
    <row r="9736" spans="20:20" x14ac:dyDescent="0.25">
      <c r="T9736" s="98"/>
    </row>
    <row r="9737" spans="20:20" x14ac:dyDescent="0.25">
      <c r="T9737" s="98"/>
    </row>
    <row r="9738" spans="20:20" x14ac:dyDescent="0.25">
      <c r="T9738" s="98"/>
    </row>
    <row r="9739" spans="20:20" x14ac:dyDescent="0.25">
      <c r="T9739" s="98"/>
    </row>
    <row r="9740" spans="20:20" x14ac:dyDescent="0.25">
      <c r="T9740" s="98"/>
    </row>
    <row r="9741" spans="20:20" x14ac:dyDescent="0.25">
      <c r="T9741" s="98"/>
    </row>
    <row r="9742" spans="20:20" x14ac:dyDescent="0.25">
      <c r="T9742" s="98"/>
    </row>
    <row r="9743" spans="20:20" x14ac:dyDescent="0.25">
      <c r="T9743" s="98"/>
    </row>
    <row r="9744" spans="20:20" x14ac:dyDescent="0.25">
      <c r="T9744" s="98"/>
    </row>
    <row r="9745" spans="20:20" x14ac:dyDescent="0.25">
      <c r="T9745" s="98"/>
    </row>
    <row r="9746" spans="20:20" x14ac:dyDescent="0.25">
      <c r="T9746" s="98"/>
    </row>
    <row r="9747" spans="20:20" x14ac:dyDescent="0.25">
      <c r="T9747" s="98"/>
    </row>
    <row r="9748" spans="20:20" x14ac:dyDescent="0.25">
      <c r="T9748" s="98"/>
    </row>
    <row r="9749" spans="20:20" x14ac:dyDescent="0.25">
      <c r="T9749" s="98"/>
    </row>
    <row r="9750" spans="20:20" x14ac:dyDescent="0.25">
      <c r="T9750" s="98"/>
    </row>
    <row r="9751" spans="20:20" x14ac:dyDescent="0.25">
      <c r="T9751" s="98"/>
    </row>
    <row r="9752" spans="20:20" x14ac:dyDescent="0.25">
      <c r="T9752" s="98"/>
    </row>
    <row r="9753" spans="20:20" x14ac:dyDescent="0.25">
      <c r="T9753" s="98"/>
    </row>
    <row r="9754" spans="20:20" x14ac:dyDescent="0.25">
      <c r="T9754" s="98"/>
    </row>
    <row r="9755" spans="20:20" x14ac:dyDescent="0.25">
      <c r="T9755" s="98"/>
    </row>
    <row r="9756" spans="20:20" x14ac:dyDescent="0.25">
      <c r="T9756" s="98"/>
    </row>
    <row r="9757" spans="20:20" x14ac:dyDescent="0.25">
      <c r="T9757" s="98"/>
    </row>
    <row r="9758" spans="20:20" x14ac:dyDescent="0.25">
      <c r="T9758" s="98"/>
    </row>
    <row r="9759" spans="20:20" x14ac:dyDescent="0.25">
      <c r="T9759" s="98"/>
    </row>
    <row r="9760" spans="20:20" x14ac:dyDescent="0.25">
      <c r="T9760" s="98"/>
    </row>
    <row r="9761" spans="20:20" x14ac:dyDescent="0.25">
      <c r="T9761" s="98"/>
    </row>
    <row r="9762" spans="20:20" x14ac:dyDescent="0.25">
      <c r="T9762" s="98"/>
    </row>
    <row r="9763" spans="20:20" x14ac:dyDescent="0.25">
      <c r="T9763" s="98"/>
    </row>
    <row r="9764" spans="20:20" x14ac:dyDescent="0.25">
      <c r="T9764" s="98"/>
    </row>
    <row r="9765" spans="20:20" x14ac:dyDescent="0.25">
      <c r="T9765" s="98"/>
    </row>
    <row r="9766" spans="20:20" x14ac:dyDescent="0.25">
      <c r="T9766" s="98"/>
    </row>
    <row r="9767" spans="20:20" x14ac:dyDescent="0.25">
      <c r="T9767" s="98"/>
    </row>
    <row r="9768" spans="20:20" x14ac:dyDescent="0.25">
      <c r="T9768" s="98"/>
    </row>
    <row r="9769" spans="20:20" x14ac:dyDescent="0.25">
      <c r="T9769" s="98"/>
    </row>
    <row r="9770" spans="20:20" x14ac:dyDescent="0.25">
      <c r="T9770" s="98"/>
    </row>
    <row r="9771" spans="20:20" x14ac:dyDescent="0.25">
      <c r="T9771" s="98"/>
    </row>
    <row r="9772" spans="20:20" x14ac:dyDescent="0.25">
      <c r="T9772" s="98"/>
    </row>
    <row r="9773" spans="20:20" x14ac:dyDescent="0.25">
      <c r="T9773" s="98"/>
    </row>
    <row r="9774" spans="20:20" x14ac:dyDescent="0.25">
      <c r="T9774" s="98"/>
    </row>
    <row r="9775" spans="20:20" x14ac:dyDescent="0.25">
      <c r="T9775" s="98"/>
    </row>
    <row r="9776" spans="20:20" x14ac:dyDescent="0.25">
      <c r="T9776" s="98"/>
    </row>
    <row r="9777" spans="20:20" x14ac:dyDescent="0.25">
      <c r="T9777" s="98"/>
    </row>
    <row r="9778" spans="20:20" x14ac:dyDescent="0.25">
      <c r="T9778" s="98"/>
    </row>
    <row r="9779" spans="20:20" x14ac:dyDescent="0.25">
      <c r="T9779" s="98"/>
    </row>
    <row r="9780" spans="20:20" x14ac:dyDescent="0.25">
      <c r="T9780" s="98"/>
    </row>
    <row r="9781" spans="20:20" x14ac:dyDescent="0.25">
      <c r="T9781" s="98"/>
    </row>
    <row r="9782" spans="20:20" x14ac:dyDescent="0.25">
      <c r="T9782" s="98"/>
    </row>
    <row r="9783" spans="20:20" x14ac:dyDescent="0.25">
      <c r="T9783" s="98"/>
    </row>
    <row r="9784" spans="20:20" x14ac:dyDescent="0.25">
      <c r="T9784" s="98"/>
    </row>
    <row r="9785" spans="20:20" x14ac:dyDescent="0.25">
      <c r="T9785" s="98"/>
    </row>
    <row r="9786" spans="20:20" x14ac:dyDescent="0.25">
      <c r="T9786" s="98"/>
    </row>
    <row r="9787" spans="20:20" x14ac:dyDescent="0.25">
      <c r="T9787" s="98"/>
    </row>
    <row r="9788" spans="20:20" x14ac:dyDescent="0.25">
      <c r="T9788" s="98"/>
    </row>
    <row r="9789" spans="20:20" x14ac:dyDescent="0.25">
      <c r="T9789" s="98"/>
    </row>
    <row r="9790" spans="20:20" x14ac:dyDescent="0.25">
      <c r="T9790" s="98"/>
    </row>
    <row r="9791" spans="20:20" x14ac:dyDescent="0.25">
      <c r="T9791" s="98"/>
    </row>
    <row r="9792" spans="20:20" x14ac:dyDescent="0.25">
      <c r="T9792" s="98"/>
    </row>
    <row r="9793" spans="20:20" x14ac:dyDescent="0.25">
      <c r="T9793" s="98"/>
    </row>
    <row r="9794" spans="20:20" x14ac:dyDescent="0.25">
      <c r="T9794" s="98"/>
    </row>
    <row r="9795" spans="20:20" x14ac:dyDescent="0.25">
      <c r="T9795" s="98"/>
    </row>
    <row r="9796" spans="20:20" x14ac:dyDescent="0.25">
      <c r="T9796" s="98"/>
    </row>
    <row r="9797" spans="20:20" x14ac:dyDescent="0.25">
      <c r="T9797" s="98"/>
    </row>
    <row r="9798" spans="20:20" x14ac:dyDescent="0.25">
      <c r="T9798" s="98"/>
    </row>
    <row r="9799" spans="20:20" x14ac:dyDescent="0.25">
      <c r="T9799" s="98"/>
    </row>
    <row r="9800" spans="20:20" x14ac:dyDescent="0.25">
      <c r="T9800" s="98"/>
    </row>
    <row r="9801" spans="20:20" x14ac:dyDescent="0.25">
      <c r="T9801" s="98"/>
    </row>
    <row r="9802" spans="20:20" x14ac:dyDescent="0.25">
      <c r="T9802" s="98"/>
    </row>
    <row r="9803" spans="20:20" x14ac:dyDescent="0.25">
      <c r="T9803" s="98"/>
    </row>
    <row r="9804" spans="20:20" x14ac:dyDescent="0.25">
      <c r="T9804" s="98"/>
    </row>
    <row r="9805" spans="20:20" x14ac:dyDescent="0.25">
      <c r="T9805" s="98"/>
    </row>
    <row r="9806" spans="20:20" x14ac:dyDescent="0.25">
      <c r="T9806" s="98"/>
    </row>
    <row r="9807" spans="20:20" x14ac:dyDescent="0.25">
      <c r="T9807" s="98"/>
    </row>
    <row r="9808" spans="20:20" x14ac:dyDescent="0.25">
      <c r="T9808" s="98"/>
    </row>
    <row r="9809" spans="20:20" x14ac:dyDescent="0.25">
      <c r="T9809" s="98"/>
    </row>
    <row r="9810" spans="20:20" x14ac:dyDescent="0.25">
      <c r="T9810" s="98"/>
    </row>
    <row r="9811" spans="20:20" x14ac:dyDescent="0.25">
      <c r="T9811" s="98"/>
    </row>
    <row r="9812" spans="20:20" x14ac:dyDescent="0.25">
      <c r="T9812" s="98"/>
    </row>
    <row r="9813" spans="20:20" x14ac:dyDescent="0.25">
      <c r="T9813" s="98"/>
    </row>
    <row r="9814" spans="20:20" x14ac:dyDescent="0.25">
      <c r="T9814" s="98"/>
    </row>
    <row r="9815" spans="20:20" x14ac:dyDescent="0.25">
      <c r="T9815" s="98"/>
    </row>
    <row r="9816" spans="20:20" x14ac:dyDescent="0.25">
      <c r="T9816" s="98"/>
    </row>
    <row r="9817" spans="20:20" x14ac:dyDescent="0.25">
      <c r="T9817" s="98"/>
    </row>
    <row r="9818" spans="20:20" x14ac:dyDescent="0.25">
      <c r="T9818" s="98"/>
    </row>
    <row r="9819" spans="20:20" x14ac:dyDescent="0.25">
      <c r="T9819" s="98"/>
    </row>
    <row r="9820" spans="20:20" x14ac:dyDescent="0.25">
      <c r="T9820" s="98"/>
    </row>
    <row r="9821" spans="20:20" x14ac:dyDescent="0.25">
      <c r="T9821" s="98"/>
    </row>
    <row r="9822" spans="20:20" x14ac:dyDescent="0.25">
      <c r="T9822" s="98"/>
    </row>
    <row r="9823" spans="20:20" x14ac:dyDescent="0.25">
      <c r="T9823" s="98"/>
    </row>
    <row r="9824" spans="20:20" x14ac:dyDescent="0.25">
      <c r="T9824" s="98"/>
    </row>
    <row r="9825" spans="20:20" x14ac:dyDescent="0.25">
      <c r="T9825" s="98"/>
    </row>
    <row r="9826" spans="20:20" x14ac:dyDescent="0.25">
      <c r="T9826" s="98"/>
    </row>
    <row r="9827" spans="20:20" x14ac:dyDescent="0.25">
      <c r="T9827" s="98"/>
    </row>
    <row r="9828" spans="20:20" x14ac:dyDescent="0.25">
      <c r="T9828" s="98"/>
    </row>
    <row r="9829" spans="20:20" x14ac:dyDescent="0.25">
      <c r="T9829" s="98"/>
    </row>
    <row r="9830" spans="20:20" x14ac:dyDescent="0.25">
      <c r="T9830" s="98"/>
    </row>
    <row r="9831" spans="20:20" x14ac:dyDescent="0.25">
      <c r="T9831" s="98"/>
    </row>
    <row r="9832" spans="20:20" x14ac:dyDescent="0.25">
      <c r="T9832" s="98"/>
    </row>
    <row r="9833" spans="20:20" x14ac:dyDescent="0.25">
      <c r="T9833" s="98"/>
    </row>
    <row r="9834" spans="20:20" x14ac:dyDescent="0.25">
      <c r="T9834" s="98"/>
    </row>
    <row r="9835" spans="20:20" x14ac:dyDescent="0.25">
      <c r="T9835" s="98"/>
    </row>
    <row r="9836" spans="20:20" x14ac:dyDescent="0.25">
      <c r="T9836" s="98"/>
    </row>
    <row r="9837" spans="20:20" x14ac:dyDescent="0.25">
      <c r="T9837" s="98"/>
    </row>
    <row r="9838" spans="20:20" x14ac:dyDescent="0.25">
      <c r="T9838" s="98"/>
    </row>
    <row r="9839" spans="20:20" x14ac:dyDescent="0.25">
      <c r="T9839" s="98"/>
    </row>
    <row r="9840" spans="20:20" x14ac:dyDescent="0.25">
      <c r="T9840" s="98"/>
    </row>
    <row r="9841" spans="20:20" x14ac:dyDescent="0.25">
      <c r="T9841" s="98"/>
    </row>
    <row r="9842" spans="20:20" x14ac:dyDescent="0.25">
      <c r="T9842" s="98"/>
    </row>
    <row r="9843" spans="20:20" x14ac:dyDescent="0.25">
      <c r="T9843" s="98"/>
    </row>
    <row r="9844" spans="20:20" x14ac:dyDescent="0.25">
      <c r="T9844" s="98"/>
    </row>
    <row r="9845" spans="20:20" x14ac:dyDescent="0.25">
      <c r="T9845" s="98"/>
    </row>
    <row r="9846" spans="20:20" x14ac:dyDescent="0.25">
      <c r="T9846" s="98"/>
    </row>
    <row r="9847" spans="20:20" x14ac:dyDescent="0.25">
      <c r="T9847" s="98"/>
    </row>
    <row r="9848" spans="20:20" x14ac:dyDescent="0.25">
      <c r="T9848" s="98"/>
    </row>
    <row r="9849" spans="20:20" x14ac:dyDescent="0.25">
      <c r="T9849" s="98"/>
    </row>
    <row r="9850" spans="20:20" x14ac:dyDescent="0.25">
      <c r="T9850" s="98"/>
    </row>
    <row r="9851" spans="20:20" x14ac:dyDescent="0.25">
      <c r="T9851" s="98"/>
    </row>
    <row r="9852" spans="20:20" x14ac:dyDescent="0.25">
      <c r="T9852" s="98"/>
    </row>
    <row r="9853" spans="20:20" x14ac:dyDescent="0.25">
      <c r="T9853" s="98"/>
    </row>
    <row r="9854" spans="20:20" x14ac:dyDescent="0.25">
      <c r="T9854" s="98"/>
    </row>
    <row r="9855" spans="20:20" x14ac:dyDescent="0.25">
      <c r="T9855" s="98"/>
    </row>
    <row r="9856" spans="20:20" x14ac:dyDescent="0.25">
      <c r="T9856" s="98"/>
    </row>
    <row r="9857" spans="20:20" x14ac:dyDescent="0.25">
      <c r="T9857" s="98"/>
    </row>
    <row r="9858" spans="20:20" x14ac:dyDescent="0.25">
      <c r="T9858" s="98"/>
    </row>
    <row r="9859" spans="20:20" x14ac:dyDescent="0.25">
      <c r="T9859" s="98"/>
    </row>
    <row r="9860" spans="20:20" x14ac:dyDescent="0.25">
      <c r="T9860" s="98"/>
    </row>
    <row r="9861" spans="20:20" x14ac:dyDescent="0.25">
      <c r="T9861" s="98"/>
    </row>
    <row r="9862" spans="20:20" x14ac:dyDescent="0.25">
      <c r="T9862" s="98"/>
    </row>
    <row r="9863" spans="20:20" x14ac:dyDescent="0.25">
      <c r="T9863" s="98"/>
    </row>
    <row r="9864" spans="20:20" x14ac:dyDescent="0.25">
      <c r="T9864" s="98"/>
    </row>
    <row r="9865" spans="20:20" x14ac:dyDescent="0.25">
      <c r="T9865" s="98"/>
    </row>
    <row r="9866" spans="20:20" x14ac:dyDescent="0.25">
      <c r="T9866" s="98"/>
    </row>
    <row r="9867" spans="20:20" x14ac:dyDescent="0.25">
      <c r="T9867" s="98"/>
    </row>
    <row r="9868" spans="20:20" x14ac:dyDescent="0.25">
      <c r="T9868" s="98"/>
    </row>
    <row r="9869" spans="20:20" x14ac:dyDescent="0.25">
      <c r="T9869" s="98"/>
    </row>
    <row r="9870" spans="20:20" x14ac:dyDescent="0.25">
      <c r="T9870" s="98"/>
    </row>
    <row r="9871" spans="20:20" x14ac:dyDescent="0.25">
      <c r="T9871" s="98"/>
    </row>
    <row r="9872" spans="20:20" x14ac:dyDescent="0.25">
      <c r="T9872" s="98"/>
    </row>
    <row r="9873" spans="20:20" x14ac:dyDescent="0.25">
      <c r="T9873" s="98"/>
    </row>
    <row r="9874" spans="20:20" x14ac:dyDescent="0.25">
      <c r="T9874" s="98"/>
    </row>
    <row r="9875" spans="20:20" x14ac:dyDescent="0.25">
      <c r="T9875" s="98"/>
    </row>
    <row r="9876" spans="20:20" x14ac:dyDescent="0.25">
      <c r="T9876" s="98"/>
    </row>
    <row r="9877" spans="20:20" x14ac:dyDescent="0.25">
      <c r="T9877" s="98"/>
    </row>
    <row r="9878" spans="20:20" x14ac:dyDescent="0.25">
      <c r="T9878" s="98"/>
    </row>
    <row r="9879" spans="20:20" x14ac:dyDescent="0.25">
      <c r="T9879" s="98"/>
    </row>
    <row r="9880" spans="20:20" x14ac:dyDescent="0.25">
      <c r="T9880" s="98"/>
    </row>
    <row r="9881" spans="20:20" x14ac:dyDescent="0.25">
      <c r="T9881" s="98"/>
    </row>
    <row r="9882" spans="20:20" x14ac:dyDescent="0.25">
      <c r="T9882" s="98"/>
    </row>
    <row r="9883" spans="20:20" x14ac:dyDescent="0.25">
      <c r="T9883" s="98"/>
    </row>
    <row r="9884" spans="20:20" x14ac:dyDescent="0.25">
      <c r="T9884" s="98"/>
    </row>
    <row r="9885" spans="20:20" x14ac:dyDescent="0.25">
      <c r="T9885" s="98"/>
    </row>
    <row r="9886" spans="20:20" x14ac:dyDescent="0.25">
      <c r="T9886" s="98"/>
    </row>
    <row r="9887" spans="20:20" x14ac:dyDescent="0.25">
      <c r="T9887" s="98"/>
    </row>
    <row r="9888" spans="20:20" x14ac:dyDescent="0.25">
      <c r="T9888" s="98"/>
    </row>
    <row r="9889" spans="20:20" x14ac:dyDescent="0.25">
      <c r="T9889" s="98"/>
    </row>
    <row r="9890" spans="20:20" x14ac:dyDescent="0.25">
      <c r="T9890" s="98"/>
    </row>
    <row r="9891" spans="20:20" x14ac:dyDescent="0.25">
      <c r="T9891" s="98"/>
    </row>
    <row r="9892" spans="20:20" x14ac:dyDescent="0.25">
      <c r="T9892" s="98"/>
    </row>
    <row r="9893" spans="20:20" x14ac:dyDescent="0.25">
      <c r="T9893" s="98"/>
    </row>
    <row r="9894" spans="20:20" x14ac:dyDescent="0.25">
      <c r="T9894" s="98"/>
    </row>
    <row r="9895" spans="20:20" x14ac:dyDescent="0.25">
      <c r="T9895" s="98"/>
    </row>
    <row r="9896" spans="20:20" x14ac:dyDescent="0.25">
      <c r="T9896" s="98"/>
    </row>
    <row r="9897" spans="20:20" x14ac:dyDescent="0.25">
      <c r="T9897" s="98"/>
    </row>
    <row r="9898" spans="20:20" x14ac:dyDescent="0.25">
      <c r="T9898" s="98"/>
    </row>
    <row r="9899" spans="20:20" x14ac:dyDescent="0.25">
      <c r="T9899" s="98"/>
    </row>
    <row r="9900" spans="20:20" x14ac:dyDescent="0.25">
      <c r="T9900" s="98"/>
    </row>
    <row r="9901" spans="20:20" x14ac:dyDescent="0.25">
      <c r="T9901" s="98"/>
    </row>
    <row r="9902" spans="20:20" x14ac:dyDescent="0.25">
      <c r="T9902" s="98"/>
    </row>
    <row r="9903" spans="20:20" x14ac:dyDescent="0.25">
      <c r="T9903" s="98"/>
    </row>
    <row r="9904" spans="20:20" x14ac:dyDescent="0.25">
      <c r="T9904" s="98"/>
    </row>
    <row r="9905" spans="20:20" x14ac:dyDescent="0.25">
      <c r="T9905" s="98"/>
    </row>
    <row r="9906" spans="20:20" x14ac:dyDescent="0.25">
      <c r="T9906" s="98"/>
    </row>
    <row r="9907" spans="20:20" x14ac:dyDescent="0.25">
      <c r="T9907" s="98"/>
    </row>
    <row r="9908" spans="20:20" x14ac:dyDescent="0.25">
      <c r="T9908" s="98"/>
    </row>
    <row r="9909" spans="20:20" x14ac:dyDescent="0.25">
      <c r="T9909" s="98"/>
    </row>
    <row r="9910" spans="20:20" x14ac:dyDescent="0.25">
      <c r="T9910" s="98"/>
    </row>
    <row r="9911" spans="20:20" x14ac:dyDescent="0.25">
      <c r="T9911" s="98"/>
    </row>
    <row r="9912" spans="20:20" x14ac:dyDescent="0.25">
      <c r="T9912" s="98"/>
    </row>
    <row r="9913" spans="20:20" x14ac:dyDescent="0.25">
      <c r="T9913" s="98"/>
    </row>
    <row r="9914" spans="20:20" x14ac:dyDescent="0.25">
      <c r="T9914" s="98"/>
    </row>
    <row r="9915" spans="20:20" x14ac:dyDescent="0.25">
      <c r="T9915" s="98"/>
    </row>
    <row r="9916" spans="20:20" x14ac:dyDescent="0.25">
      <c r="T9916" s="98"/>
    </row>
    <row r="9917" spans="20:20" x14ac:dyDescent="0.25">
      <c r="T9917" s="98"/>
    </row>
    <row r="9918" spans="20:20" x14ac:dyDescent="0.25">
      <c r="T9918" s="98"/>
    </row>
    <row r="9919" spans="20:20" x14ac:dyDescent="0.25">
      <c r="T9919" s="98"/>
    </row>
    <row r="9920" spans="20:20" x14ac:dyDescent="0.25">
      <c r="T9920" s="98"/>
    </row>
    <row r="9921" spans="20:20" x14ac:dyDescent="0.25">
      <c r="T9921" s="98"/>
    </row>
    <row r="9922" spans="20:20" x14ac:dyDescent="0.25">
      <c r="T9922" s="98"/>
    </row>
    <row r="9923" spans="20:20" x14ac:dyDescent="0.25">
      <c r="T9923" s="98"/>
    </row>
    <row r="9924" spans="20:20" x14ac:dyDescent="0.25">
      <c r="T9924" s="98"/>
    </row>
    <row r="9925" spans="20:20" x14ac:dyDescent="0.25">
      <c r="T9925" s="98"/>
    </row>
    <row r="9926" spans="20:20" x14ac:dyDescent="0.25">
      <c r="T9926" s="98"/>
    </row>
    <row r="9927" spans="20:20" x14ac:dyDescent="0.25">
      <c r="T9927" s="98"/>
    </row>
    <row r="9928" spans="20:20" x14ac:dyDescent="0.25">
      <c r="T9928" s="98"/>
    </row>
    <row r="9929" spans="20:20" x14ac:dyDescent="0.25">
      <c r="T9929" s="98"/>
    </row>
    <row r="9930" spans="20:20" x14ac:dyDescent="0.25">
      <c r="T9930" s="98"/>
    </row>
    <row r="9931" spans="20:20" x14ac:dyDescent="0.25">
      <c r="T9931" s="98"/>
    </row>
    <row r="9932" spans="20:20" x14ac:dyDescent="0.25">
      <c r="T9932" s="98"/>
    </row>
    <row r="9933" spans="20:20" x14ac:dyDescent="0.25">
      <c r="T9933" s="98"/>
    </row>
    <row r="9934" spans="20:20" x14ac:dyDescent="0.25">
      <c r="T9934" s="98"/>
    </row>
    <row r="9935" spans="20:20" x14ac:dyDescent="0.25">
      <c r="T9935" s="98"/>
    </row>
    <row r="9936" spans="20:20" x14ac:dyDescent="0.25">
      <c r="T9936" s="98"/>
    </row>
    <row r="9937" spans="20:20" x14ac:dyDescent="0.25">
      <c r="T9937" s="98"/>
    </row>
    <row r="9938" spans="20:20" x14ac:dyDescent="0.25">
      <c r="T9938" s="98"/>
    </row>
    <row r="9939" spans="20:20" x14ac:dyDescent="0.25">
      <c r="T9939" s="98"/>
    </row>
    <row r="9940" spans="20:20" x14ac:dyDescent="0.25">
      <c r="T9940" s="98"/>
    </row>
    <row r="9941" spans="20:20" x14ac:dyDescent="0.25">
      <c r="T9941" s="98"/>
    </row>
    <row r="9942" spans="20:20" x14ac:dyDescent="0.25">
      <c r="T9942" s="98"/>
    </row>
    <row r="9943" spans="20:20" x14ac:dyDescent="0.25">
      <c r="T9943" s="98"/>
    </row>
    <row r="9944" spans="20:20" x14ac:dyDescent="0.25">
      <c r="T9944" s="98"/>
    </row>
    <row r="9945" spans="20:20" x14ac:dyDescent="0.25">
      <c r="T9945" s="98"/>
    </row>
    <row r="9946" spans="20:20" x14ac:dyDescent="0.25">
      <c r="T9946" s="98"/>
    </row>
    <row r="9947" spans="20:20" x14ac:dyDescent="0.25">
      <c r="T9947" s="98"/>
    </row>
    <row r="9948" spans="20:20" x14ac:dyDescent="0.25">
      <c r="T9948" s="98"/>
    </row>
    <row r="9949" spans="20:20" x14ac:dyDescent="0.25">
      <c r="T9949" s="98"/>
    </row>
    <row r="9950" spans="20:20" x14ac:dyDescent="0.25">
      <c r="T9950" s="98"/>
    </row>
    <row r="9951" spans="20:20" x14ac:dyDescent="0.25">
      <c r="T9951" s="98"/>
    </row>
    <row r="9952" spans="20:20" x14ac:dyDescent="0.25">
      <c r="T9952" s="98"/>
    </row>
    <row r="9953" spans="20:20" x14ac:dyDescent="0.25">
      <c r="T9953" s="98"/>
    </row>
    <row r="9954" spans="20:20" x14ac:dyDescent="0.25">
      <c r="T9954" s="98"/>
    </row>
    <row r="9955" spans="20:20" x14ac:dyDescent="0.25">
      <c r="T9955" s="98"/>
    </row>
    <row r="9956" spans="20:20" x14ac:dyDescent="0.25">
      <c r="T9956" s="98"/>
    </row>
    <row r="9957" spans="20:20" x14ac:dyDescent="0.25">
      <c r="T9957" s="98"/>
    </row>
    <row r="9958" spans="20:20" x14ac:dyDescent="0.25">
      <c r="T9958" s="98"/>
    </row>
    <row r="9959" spans="20:20" x14ac:dyDescent="0.25">
      <c r="T9959" s="98"/>
    </row>
    <row r="9960" spans="20:20" x14ac:dyDescent="0.25">
      <c r="T9960" s="98"/>
    </row>
    <row r="9961" spans="20:20" x14ac:dyDescent="0.25">
      <c r="T9961" s="98"/>
    </row>
    <row r="9962" spans="20:20" x14ac:dyDescent="0.25">
      <c r="T9962" s="98"/>
    </row>
    <row r="9963" spans="20:20" x14ac:dyDescent="0.25">
      <c r="T9963" s="98"/>
    </row>
    <row r="9964" spans="20:20" x14ac:dyDescent="0.25">
      <c r="T9964" s="98"/>
    </row>
    <row r="9965" spans="20:20" x14ac:dyDescent="0.25">
      <c r="T9965" s="98"/>
    </row>
    <row r="9966" spans="20:20" x14ac:dyDescent="0.25">
      <c r="T9966" s="98"/>
    </row>
    <row r="9967" spans="20:20" x14ac:dyDescent="0.25">
      <c r="T9967" s="98"/>
    </row>
    <row r="9968" spans="20:20" x14ac:dyDescent="0.25">
      <c r="T9968" s="98"/>
    </row>
    <row r="9969" spans="20:20" x14ac:dyDescent="0.25">
      <c r="T9969" s="98"/>
    </row>
    <row r="9970" spans="20:20" x14ac:dyDescent="0.25">
      <c r="T9970" s="98"/>
    </row>
    <row r="9971" spans="20:20" x14ac:dyDescent="0.25">
      <c r="T9971" s="98"/>
    </row>
    <row r="9972" spans="20:20" x14ac:dyDescent="0.25">
      <c r="T9972" s="98"/>
    </row>
    <row r="9973" spans="20:20" x14ac:dyDescent="0.25">
      <c r="T9973" s="98"/>
    </row>
    <row r="9974" spans="20:20" x14ac:dyDescent="0.25">
      <c r="T9974" s="98"/>
    </row>
    <row r="9975" spans="20:20" x14ac:dyDescent="0.25">
      <c r="T9975" s="98"/>
    </row>
    <row r="9976" spans="20:20" x14ac:dyDescent="0.25">
      <c r="T9976" s="98"/>
    </row>
    <row r="9977" spans="20:20" x14ac:dyDescent="0.25">
      <c r="T9977" s="98"/>
    </row>
    <row r="9978" spans="20:20" x14ac:dyDescent="0.25">
      <c r="T9978" s="98"/>
    </row>
    <row r="9979" spans="20:20" x14ac:dyDescent="0.25">
      <c r="T9979" s="98"/>
    </row>
    <row r="9980" spans="20:20" x14ac:dyDescent="0.25">
      <c r="T9980" s="98"/>
    </row>
    <row r="9981" spans="20:20" x14ac:dyDescent="0.25">
      <c r="T9981" s="98"/>
    </row>
    <row r="9982" spans="20:20" x14ac:dyDescent="0.25">
      <c r="T9982" s="98"/>
    </row>
    <row r="9983" spans="20:20" x14ac:dyDescent="0.25">
      <c r="T9983" s="98"/>
    </row>
    <row r="9984" spans="20:20" x14ac:dyDescent="0.25">
      <c r="T9984" s="98"/>
    </row>
    <row r="9985" spans="20:20" x14ac:dyDescent="0.25">
      <c r="T9985" s="98"/>
    </row>
    <row r="9986" spans="20:20" x14ac:dyDescent="0.25">
      <c r="T9986" s="98"/>
    </row>
    <row r="9987" spans="20:20" x14ac:dyDescent="0.25">
      <c r="T9987" s="98"/>
    </row>
    <row r="9988" spans="20:20" x14ac:dyDescent="0.25">
      <c r="T9988" s="98"/>
    </row>
    <row r="9989" spans="20:20" x14ac:dyDescent="0.25">
      <c r="T9989" s="98"/>
    </row>
    <row r="9990" spans="20:20" x14ac:dyDescent="0.25">
      <c r="T9990" s="98"/>
    </row>
    <row r="9991" spans="20:20" x14ac:dyDescent="0.25">
      <c r="T9991" s="98"/>
    </row>
    <row r="9992" spans="20:20" x14ac:dyDescent="0.25">
      <c r="T9992" s="98"/>
    </row>
    <row r="9993" spans="20:20" x14ac:dyDescent="0.25">
      <c r="T9993" s="98"/>
    </row>
    <row r="9994" spans="20:20" x14ac:dyDescent="0.25">
      <c r="T9994" s="98"/>
    </row>
    <row r="9995" spans="20:20" x14ac:dyDescent="0.25">
      <c r="T9995" s="98"/>
    </row>
    <row r="9996" spans="20:20" x14ac:dyDescent="0.25">
      <c r="T9996" s="98"/>
    </row>
    <row r="9997" spans="20:20" x14ac:dyDescent="0.25">
      <c r="T9997" s="98"/>
    </row>
    <row r="9998" spans="20:20" x14ac:dyDescent="0.25">
      <c r="T9998" s="98"/>
    </row>
    <row r="9999" spans="20:20" x14ac:dyDescent="0.25">
      <c r="T9999" s="98"/>
    </row>
    <row r="10000" spans="20:20" x14ac:dyDescent="0.25">
      <c r="T10000" s="98"/>
    </row>
    <row r="10001" spans="20:20" x14ac:dyDescent="0.25">
      <c r="T10001" s="98"/>
    </row>
    <row r="10002" spans="20:20" x14ac:dyDescent="0.25">
      <c r="T10002" s="98"/>
    </row>
    <row r="10003" spans="20:20" x14ac:dyDescent="0.25">
      <c r="T10003" s="98"/>
    </row>
    <row r="10004" spans="20:20" x14ac:dyDescent="0.25">
      <c r="T10004" s="98"/>
    </row>
    <row r="10005" spans="20:20" x14ac:dyDescent="0.25">
      <c r="T10005" s="98"/>
    </row>
    <row r="10006" spans="20:20" x14ac:dyDescent="0.25">
      <c r="T10006" s="98"/>
    </row>
    <row r="10007" spans="20:20" x14ac:dyDescent="0.25">
      <c r="T10007" s="98"/>
    </row>
    <row r="10008" spans="20:20" x14ac:dyDescent="0.25">
      <c r="T10008" s="98"/>
    </row>
    <row r="10009" spans="20:20" x14ac:dyDescent="0.25">
      <c r="T10009" s="98"/>
    </row>
    <row r="10010" spans="20:20" x14ac:dyDescent="0.25">
      <c r="T10010" s="98"/>
    </row>
    <row r="10011" spans="20:20" x14ac:dyDescent="0.25">
      <c r="T10011" s="98"/>
    </row>
    <row r="10012" spans="20:20" x14ac:dyDescent="0.25">
      <c r="T10012" s="98"/>
    </row>
    <row r="10013" spans="20:20" x14ac:dyDescent="0.25">
      <c r="T10013" s="98"/>
    </row>
    <row r="10014" spans="20:20" x14ac:dyDescent="0.25">
      <c r="T10014" s="98"/>
    </row>
    <row r="10015" spans="20:20" x14ac:dyDescent="0.25">
      <c r="T10015" s="98"/>
    </row>
    <row r="10016" spans="20:20" x14ac:dyDescent="0.25">
      <c r="T10016" s="98"/>
    </row>
    <row r="10017" spans="20:20" x14ac:dyDescent="0.25">
      <c r="T10017" s="98"/>
    </row>
    <row r="10018" spans="20:20" x14ac:dyDescent="0.25">
      <c r="T10018" s="98"/>
    </row>
    <row r="10019" spans="20:20" x14ac:dyDescent="0.25">
      <c r="T10019" s="98"/>
    </row>
    <row r="10020" spans="20:20" x14ac:dyDescent="0.25">
      <c r="T10020" s="98"/>
    </row>
    <row r="10021" spans="20:20" x14ac:dyDescent="0.25">
      <c r="T10021" s="98"/>
    </row>
    <row r="10022" spans="20:20" x14ac:dyDescent="0.25">
      <c r="T10022" s="98"/>
    </row>
    <row r="10023" spans="20:20" x14ac:dyDescent="0.25">
      <c r="T10023" s="98"/>
    </row>
    <row r="10024" spans="20:20" x14ac:dyDescent="0.25">
      <c r="T10024" s="98"/>
    </row>
    <row r="10025" spans="20:20" x14ac:dyDescent="0.25">
      <c r="T10025" s="98"/>
    </row>
    <row r="10026" spans="20:20" x14ac:dyDescent="0.25">
      <c r="T10026" s="98"/>
    </row>
    <row r="10027" spans="20:20" x14ac:dyDescent="0.25">
      <c r="T10027" s="98"/>
    </row>
    <row r="10028" spans="20:20" x14ac:dyDescent="0.25">
      <c r="T10028" s="98"/>
    </row>
    <row r="10029" spans="20:20" x14ac:dyDescent="0.25">
      <c r="T10029" s="98"/>
    </row>
    <row r="10030" spans="20:20" x14ac:dyDescent="0.25">
      <c r="T10030" s="98"/>
    </row>
    <row r="10031" spans="20:20" x14ac:dyDescent="0.25">
      <c r="T10031" s="98"/>
    </row>
    <row r="10032" spans="20:20" x14ac:dyDescent="0.25">
      <c r="T10032" s="98"/>
    </row>
    <row r="10033" spans="20:20" x14ac:dyDescent="0.25">
      <c r="T10033" s="98"/>
    </row>
    <row r="10034" spans="20:20" x14ac:dyDescent="0.25">
      <c r="T10034" s="98"/>
    </row>
    <row r="10035" spans="20:20" x14ac:dyDescent="0.25">
      <c r="T10035" s="98"/>
    </row>
    <row r="10036" spans="20:20" x14ac:dyDescent="0.25">
      <c r="T10036" s="98"/>
    </row>
    <row r="10037" spans="20:20" x14ac:dyDescent="0.25">
      <c r="T10037" s="98"/>
    </row>
    <row r="10038" spans="20:20" x14ac:dyDescent="0.25">
      <c r="T10038" s="98"/>
    </row>
    <row r="10039" spans="20:20" x14ac:dyDescent="0.25">
      <c r="T10039" s="98"/>
    </row>
    <row r="10040" spans="20:20" x14ac:dyDescent="0.25">
      <c r="T10040" s="98"/>
    </row>
    <row r="10041" spans="20:20" x14ac:dyDescent="0.25">
      <c r="T10041" s="98"/>
    </row>
    <row r="10042" spans="20:20" x14ac:dyDescent="0.25">
      <c r="T10042" s="98"/>
    </row>
    <row r="10043" spans="20:20" x14ac:dyDescent="0.25">
      <c r="T10043" s="98"/>
    </row>
    <row r="10044" spans="20:20" x14ac:dyDescent="0.25">
      <c r="T10044" s="98"/>
    </row>
    <row r="10045" spans="20:20" x14ac:dyDescent="0.25">
      <c r="T10045" s="98"/>
    </row>
    <row r="10046" spans="20:20" x14ac:dyDescent="0.25">
      <c r="T10046" s="98"/>
    </row>
    <row r="10047" spans="20:20" x14ac:dyDescent="0.25">
      <c r="T10047" s="98"/>
    </row>
    <row r="10048" spans="20:20" x14ac:dyDescent="0.25">
      <c r="T10048" s="98"/>
    </row>
    <row r="10049" spans="20:20" x14ac:dyDescent="0.25">
      <c r="T10049" s="98"/>
    </row>
    <row r="10050" spans="20:20" x14ac:dyDescent="0.25">
      <c r="T10050" s="98"/>
    </row>
    <row r="10051" spans="20:20" x14ac:dyDescent="0.25">
      <c r="T10051" s="98"/>
    </row>
    <row r="10052" spans="20:20" x14ac:dyDescent="0.25">
      <c r="T10052" s="98"/>
    </row>
    <row r="10053" spans="20:20" x14ac:dyDescent="0.25">
      <c r="T10053" s="98"/>
    </row>
    <row r="10054" spans="20:20" x14ac:dyDescent="0.25">
      <c r="T10054" s="98"/>
    </row>
    <row r="10055" spans="20:20" x14ac:dyDescent="0.25">
      <c r="T10055" s="98"/>
    </row>
    <row r="10056" spans="20:20" x14ac:dyDescent="0.25">
      <c r="T10056" s="98"/>
    </row>
    <row r="10057" spans="20:20" x14ac:dyDescent="0.25">
      <c r="T10057" s="98"/>
    </row>
    <row r="10058" spans="20:20" x14ac:dyDescent="0.25">
      <c r="T10058" s="98"/>
    </row>
    <row r="10059" spans="20:20" x14ac:dyDescent="0.25">
      <c r="T10059" s="98"/>
    </row>
    <row r="10060" spans="20:20" x14ac:dyDescent="0.25">
      <c r="T10060" s="98"/>
    </row>
    <row r="10061" spans="20:20" x14ac:dyDescent="0.25">
      <c r="T10061" s="98"/>
    </row>
    <row r="10062" spans="20:20" x14ac:dyDescent="0.25">
      <c r="T10062" s="98"/>
    </row>
    <row r="10063" spans="20:20" x14ac:dyDescent="0.25">
      <c r="T10063" s="98"/>
    </row>
    <row r="10064" spans="20:20" x14ac:dyDescent="0.25">
      <c r="T10064" s="98"/>
    </row>
    <row r="10065" spans="20:20" x14ac:dyDescent="0.25">
      <c r="T10065" s="98"/>
    </row>
    <row r="10066" spans="20:20" x14ac:dyDescent="0.25">
      <c r="T10066" s="98"/>
    </row>
    <row r="10067" spans="20:20" x14ac:dyDescent="0.25">
      <c r="T10067" s="98"/>
    </row>
    <row r="10068" spans="20:20" x14ac:dyDescent="0.25">
      <c r="T10068" s="98"/>
    </row>
    <row r="10069" spans="20:20" x14ac:dyDescent="0.25">
      <c r="T10069" s="98"/>
    </row>
    <row r="10070" spans="20:20" x14ac:dyDescent="0.25">
      <c r="T10070" s="98"/>
    </row>
    <row r="10071" spans="20:20" x14ac:dyDescent="0.25">
      <c r="T10071" s="98"/>
    </row>
    <row r="10072" spans="20:20" x14ac:dyDescent="0.25">
      <c r="T10072" s="98"/>
    </row>
    <row r="10073" spans="20:20" x14ac:dyDescent="0.25">
      <c r="T10073" s="98"/>
    </row>
    <row r="10074" spans="20:20" x14ac:dyDescent="0.25">
      <c r="T10074" s="98"/>
    </row>
    <row r="10075" spans="20:20" x14ac:dyDescent="0.25">
      <c r="T10075" s="98"/>
    </row>
    <row r="10076" spans="20:20" x14ac:dyDescent="0.25">
      <c r="T10076" s="98"/>
    </row>
    <row r="10077" spans="20:20" x14ac:dyDescent="0.25">
      <c r="T10077" s="98"/>
    </row>
    <row r="10078" spans="20:20" x14ac:dyDescent="0.25">
      <c r="T10078" s="98"/>
    </row>
    <row r="10079" spans="20:20" x14ac:dyDescent="0.25">
      <c r="T10079" s="98"/>
    </row>
    <row r="10080" spans="20:20" x14ac:dyDescent="0.25">
      <c r="T10080" s="98"/>
    </row>
    <row r="10081" spans="20:20" x14ac:dyDescent="0.25">
      <c r="T10081" s="98"/>
    </row>
    <row r="10082" spans="20:20" x14ac:dyDescent="0.25">
      <c r="T10082" s="98"/>
    </row>
    <row r="10083" spans="20:20" x14ac:dyDescent="0.25">
      <c r="T10083" s="98"/>
    </row>
    <row r="10084" spans="20:20" x14ac:dyDescent="0.25">
      <c r="T10084" s="98"/>
    </row>
    <row r="10085" spans="20:20" x14ac:dyDescent="0.25">
      <c r="T10085" s="98"/>
    </row>
    <row r="10086" spans="20:20" x14ac:dyDescent="0.25">
      <c r="T10086" s="98"/>
    </row>
    <row r="10087" spans="20:20" x14ac:dyDescent="0.25">
      <c r="T10087" s="98"/>
    </row>
    <row r="10088" spans="20:20" x14ac:dyDescent="0.25">
      <c r="T10088" s="98"/>
    </row>
    <row r="10089" spans="20:20" x14ac:dyDescent="0.25">
      <c r="T10089" s="98"/>
    </row>
    <row r="10090" spans="20:20" x14ac:dyDescent="0.25">
      <c r="T10090" s="98"/>
    </row>
    <row r="10091" spans="20:20" x14ac:dyDescent="0.25">
      <c r="T10091" s="98"/>
    </row>
    <row r="10092" spans="20:20" x14ac:dyDescent="0.25">
      <c r="T10092" s="98"/>
    </row>
    <row r="10093" spans="20:20" x14ac:dyDescent="0.25">
      <c r="T10093" s="98"/>
    </row>
    <row r="10094" spans="20:20" x14ac:dyDescent="0.25">
      <c r="T10094" s="98"/>
    </row>
    <row r="10095" spans="20:20" x14ac:dyDescent="0.25">
      <c r="T10095" s="98"/>
    </row>
    <row r="10096" spans="20:20" x14ac:dyDescent="0.25">
      <c r="T10096" s="98"/>
    </row>
    <row r="10097" spans="20:20" x14ac:dyDescent="0.25">
      <c r="T10097" s="98"/>
    </row>
    <row r="10098" spans="20:20" x14ac:dyDescent="0.25">
      <c r="T10098" s="98"/>
    </row>
    <row r="10099" spans="20:20" x14ac:dyDescent="0.25">
      <c r="T10099" s="98"/>
    </row>
    <row r="10100" spans="20:20" x14ac:dyDescent="0.25">
      <c r="T10100" s="98"/>
    </row>
    <row r="10101" spans="20:20" x14ac:dyDescent="0.25">
      <c r="T10101" s="98"/>
    </row>
    <row r="10102" spans="20:20" x14ac:dyDescent="0.25">
      <c r="T10102" s="98"/>
    </row>
    <row r="10103" spans="20:20" x14ac:dyDescent="0.25">
      <c r="T10103" s="98"/>
    </row>
    <row r="10104" spans="20:20" x14ac:dyDescent="0.25">
      <c r="T10104" s="98"/>
    </row>
    <row r="10105" spans="20:20" x14ac:dyDescent="0.25">
      <c r="T10105" s="98"/>
    </row>
    <row r="10106" spans="20:20" x14ac:dyDescent="0.25">
      <c r="T10106" s="98"/>
    </row>
    <row r="10107" spans="20:20" x14ac:dyDescent="0.25">
      <c r="T10107" s="98"/>
    </row>
    <row r="10108" spans="20:20" x14ac:dyDescent="0.25">
      <c r="T10108" s="98"/>
    </row>
    <row r="10109" spans="20:20" x14ac:dyDescent="0.25">
      <c r="T10109" s="98"/>
    </row>
    <row r="10110" spans="20:20" x14ac:dyDescent="0.25">
      <c r="T10110" s="98"/>
    </row>
    <row r="10111" spans="20:20" x14ac:dyDescent="0.25">
      <c r="T10111" s="98"/>
    </row>
    <row r="10112" spans="20:20" x14ac:dyDescent="0.25">
      <c r="T10112" s="98"/>
    </row>
    <row r="10113" spans="20:20" x14ac:dyDescent="0.25">
      <c r="T10113" s="98"/>
    </row>
    <row r="10114" spans="20:20" x14ac:dyDescent="0.25">
      <c r="T10114" s="98"/>
    </row>
    <row r="10115" spans="20:20" x14ac:dyDescent="0.25">
      <c r="T10115" s="98"/>
    </row>
    <row r="10116" spans="20:20" x14ac:dyDescent="0.25">
      <c r="T10116" s="98"/>
    </row>
    <row r="10117" spans="20:20" x14ac:dyDescent="0.25">
      <c r="T10117" s="98"/>
    </row>
    <row r="10118" spans="20:20" x14ac:dyDescent="0.25">
      <c r="T10118" s="98"/>
    </row>
    <row r="10119" spans="20:20" x14ac:dyDescent="0.25">
      <c r="T10119" s="98"/>
    </row>
    <row r="10120" spans="20:20" x14ac:dyDescent="0.25">
      <c r="T10120" s="98"/>
    </row>
    <row r="10121" spans="20:20" x14ac:dyDescent="0.25">
      <c r="T10121" s="98"/>
    </row>
    <row r="10122" spans="20:20" x14ac:dyDescent="0.25">
      <c r="T10122" s="98"/>
    </row>
    <row r="10123" spans="20:20" x14ac:dyDescent="0.25">
      <c r="T10123" s="98"/>
    </row>
    <row r="10124" spans="20:20" x14ac:dyDescent="0.25">
      <c r="T10124" s="98"/>
    </row>
    <row r="10125" spans="20:20" x14ac:dyDescent="0.25">
      <c r="T10125" s="98"/>
    </row>
    <row r="10126" spans="20:20" x14ac:dyDescent="0.25">
      <c r="T10126" s="98"/>
    </row>
    <row r="10127" spans="20:20" x14ac:dyDescent="0.25">
      <c r="T10127" s="98"/>
    </row>
    <row r="10128" spans="20:20" x14ac:dyDescent="0.25">
      <c r="T10128" s="98"/>
    </row>
    <row r="10129" spans="20:20" x14ac:dyDescent="0.25">
      <c r="T10129" s="98"/>
    </row>
    <row r="10130" spans="20:20" x14ac:dyDescent="0.25">
      <c r="T10130" s="98"/>
    </row>
    <row r="10131" spans="20:20" x14ac:dyDescent="0.25">
      <c r="T10131" s="98"/>
    </row>
    <row r="10132" spans="20:20" x14ac:dyDescent="0.25">
      <c r="T10132" s="98"/>
    </row>
    <row r="10133" spans="20:20" x14ac:dyDescent="0.25">
      <c r="T10133" s="98"/>
    </row>
    <row r="10134" spans="20:20" x14ac:dyDescent="0.25">
      <c r="T10134" s="98"/>
    </row>
    <row r="10135" spans="20:20" x14ac:dyDescent="0.25">
      <c r="T10135" s="98"/>
    </row>
    <row r="10136" spans="20:20" x14ac:dyDescent="0.25">
      <c r="T10136" s="98"/>
    </row>
    <row r="10137" spans="20:20" x14ac:dyDescent="0.25">
      <c r="T10137" s="98"/>
    </row>
    <row r="10138" spans="20:20" x14ac:dyDescent="0.25">
      <c r="T10138" s="98"/>
    </row>
    <row r="10139" spans="20:20" x14ac:dyDescent="0.25">
      <c r="T10139" s="98"/>
    </row>
    <row r="10140" spans="20:20" x14ac:dyDescent="0.25">
      <c r="T10140" s="98"/>
    </row>
    <row r="10141" spans="20:20" x14ac:dyDescent="0.25">
      <c r="T10141" s="98"/>
    </row>
    <row r="10142" spans="20:20" x14ac:dyDescent="0.25">
      <c r="T10142" s="98"/>
    </row>
    <row r="10143" spans="20:20" x14ac:dyDescent="0.25">
      <c r="T10143" s="98"/>
    </row>
    <row r="10144" spans="20:20" x14ac:dyDescent="0.25">
      <c r="T10144" s="98"/>
    </row>
    <row r="10145" spans="20:20" x14ac:dyDescent="0.25">
      <c r="T10145" s="98"/>
    </row>
    <row r="10146" spans="20:20" x14ac:dyDescent="0.25">
      <c r="T10146" s="98"/>
    </row>
    <row r="10147" spans="20:20" x14ac:dyDescent="0.25">
      <c r="T10147" s="98"/>
    </row>
    <row r="10148" spans="20:20" x14ac:dyDescent="0.25">
      <c r="T10148" s="98"/>
    </row>
    <row r="10149" spans="20:20" x14ac:dyDescent="0.25">
      <c r="T10149" s="98"/>
    </row>
    <row r="10150" spans="20:20" x14ac:dyDescent="0.25">
      <c r="T10150" s="98"/>
    </row>
    <row r="10151" spans="20:20" x14ac:dyDescent="0.25">
      <c r="T10151" s="98"/>
    </row>
    <row r="10152" spans="20:20" x14ac:dyDescent="0.25">
      <c r="T10152" s="98"/>
    </row>
    <row r="10153" spans="20:20" x14ac:dyDescent="0.25">
      <c r="T10153" s="98"/>
    </row>
    <row r="10154" spans="20:20" x14ac:dyDescent="0.25">
      <c r="T10154" s="98"/>
    </row>
    <row r="10155" spans="20:20" x14ac:dyDescent="0.25">
      <c r="T10155" s="98"/>
    </row>
    <row r="10156" spans="20:20" x14ac:dyDescent="0.25">
      <c r="T10156" s="98"/>
    </row>
    <row r="10157" spans="20:20" x14ac:dyDescent="0.25">
      <c r="T10157" s="98"/>
    </row>
    <row r="10158" spans="20:20" x14ac:dyDescent="0.25">
      <c r="T10158" s="98"/>
    </row>
    <row r="10159" spans="20:20" x14ac:dyDescent="0.25">
      <c r="T10159" s="98"/>
    </row>
    <row r="10160" spans="20:20" x14ac:dyDescent="0.25">
      <c r="T10160" s="98"/>
    </row>
    <row r="10161" spans="20:20" x14ac:dyDescent="0.25">
      <c r="T10161" s="98"/>
    </row>
    <row r="10162" spans="20:20" x14ac:dyDescent="0.25">
      <c r="T10162" s="98"/>
    </row>
    <row r="10163" spans="20:20" x14ac:dyDescent="0.25">
      <c r="T10163" s="98"/>
    </row>
    <row r="10164" spans="20:20" x14ac:dyDescent="0.25">
      <c r="T10164" s="98"/>
    </row>
    <row r="10165" spans="20:20" x14ac:dyDescent="0.25">
      <c r="T10165" s="98"/>
    </row>
    <row r="10166" spans="20:20" x14ac:dyDescent="0.25">
      <c r="T10166" s="98"/>
    </row>
    <row r="10167" spans="20:20" x14ac:dyDescent="0.25">
      <c r="T10167" s="98"/>
    </row>
    <row r="10168" spans="20:20" x14ac:dyDescent="0.25">
      <c r="T10168" s="98"/>
    </row>
    <row r="10169" spans="20:20" x14ac:dyDescent="0.25">
      <c r="T10169" s="98"/>
    </row>
    <row r="10170" spans="20:20" x14ac:dyDescent="0.25">
      <c r="T10170" s="98"/>
    </row>
    <row r="10171" spans="20:20" x14ac:dyDescent="0.25">
      <c r="T10171" s="98"/>
    </row>
    <row r="10172" spans="20:20" x14ac:dyDescent="0.25">
      <c r="T10172" s="98"/>
    </row>
    <row r="10173" spans="20:20" x14ac:dyDescent="0.25">
      <c r="T10173" s="98"/>
    </row>
    <row r="10174" spans="20:20" x14ac:dyDescent="0.25">
      <c r="T10174" s="98"/>
    </row>
    <row r="10175" spans="20:20" x14ac:dyDescent="0.25">
      <c r="T10175" s="98"/>
    </row>
    <row r="10176" spans="20:20" x14ac:dyDescent="0.25">
      <c r="T10176" s="98"/>
    </row>
    <row r="10177" spans="20:20" x14ac:dyDescent="0.25">
      <c r="T10177" s="98"/>
    </row>
    <row r="10178" spans="20:20" x14ac:dyDescent="0.25">
      <c r="T10178" s="98"/>
    </row>
    <row r="10179" spans="20:20" x14ac:dyDescent="0.25">
      <c r="T10179" s="98"/>
    </row>
    <row r="10180" spans="20:20" x14ac:dyDescent="0.25">
      <c r="T10180" s="98"/>
    </row>
    <row r="10181" spans="20:20" x14ac:dyDescent="0.25">
      <c r="T10181" s="98"/>
    </row>
    <row r="10182" spans="20:20" x14ac:dyDescent="0.25">
      <c r="T10182" s="98"/>
    </row>
    <row r="10183" spans="20:20" x14ac:dyDescent="0.25">
      <c r="T10183" s="98"/>
    </row>
    <row r="10184" spans="20:20" x14ac:dyDescent="0.25">
      <c r="T10184" s="98"/>
    </row>
    <row r="10185" spans="20:20" x14ac:dyDescent="0.25">
      <c r="T10185" s="98"/>
    </row>
    <row r="10186" spans="20:20" x14ac:dyDescent="0.25">
      <c r="T10186" s="98"/>
    </row>
    <row r="10187" spans="20:20" x14ac:dyDescent="0.25">
      <c r="T10187" s="98"/>
    </row>
    <row r="10188" spans="20:20" x14ac:dyDescent="0.25">
      <c r="T10188" s="98"/>
    </row>
    <row r="10189" spans="20:20" x14ac:dyDescent="0.25">
      <c r="T10189" s="98"/>
    </row>
    <row r="10190" spans="20:20" x14ac:dyDescent="0.25">
      <c r="T10190" s="98"/>
    </row>
    <row r="10191" spans="20:20" x14ac:dyDescent="0.25">
      <c r="T10191" s="98"/>
    </row>
    <row r="10192" spans="20:20" x14ac:dyDescent="0.25">
      <c r="T10192" s="98"/>
    </row>
    <row r="10193" spans="20:20" x14ac:dyDescent="0.25">
      <c r="T10193" s="98"/>
    </row>
    <row r="10194" spans="20:20" x14ac:dyDescent="0.25">
      <c r="T10194" s="98"/>
    </row>
    <row r="10195" spans="20:20" x14ac:dyDescent="0.25">
      <c r="T10195" s="98"/>
    </row>
    <row r="10196" spans="20:20" x14ac:dyDescent="0.25">
      <c r="T10196" s="98"/>
    </row>
    <row r="10197" spans="20:20" x14ac:dyDescent="0.25">
      <c r="T10197" s="98"/>
    </row>
    <row r="10198" spans="20:20" x14ac:dyDescent="0.25">
      <c r="T10198" s="98"/>
    </row>
    <row r="10199" spans="20:20" x14ac:dyDescent="0.25">
      <c r="T10199" s="98"/>
    </row>
    <row r="10200" spans="20:20" x14ac:dyDescent="0.25">
      <c r="T10200" s="98"/>
    </row>
    <row r="10201" spans="20:20" x14ac:dyDescent="0.25">
      <c r="T10201" s="98"/>
    </row>
    <row r="10202" spans="20:20" x14ac:dyDescent="0.25">
      <c r="T10202" s="98"/>
    </row>
    <row r="10203" spans="20:20" x14ac:dyDescent="0.25">
      <c r="T10203" s="98"/>
    </row>
    <row r="10204" spans="20:20" x14ac:dyDescent="0.25">
      <c r="T10204" s="98"/>
    </row>
    <row r="10205" spans="20:20" x14ac:dyDescent="0.25">
      <c r="T10205" s="98"/>
    </row>
    <row r="10206" spans="20:20" x14ac:dyDescent="0.25">
      <c r="T10206" s="98"/>
    </row>
    <row r="10207" spans="20:20" x14ac:dyDescent="0.25">
      <c r="T10207" s="98"/>
    </row>
    <row r="10208" spans="20:20" x14ac:dyDescent="0.25">
      <c r="T10208" s="98"/>
    </row>
    <row r="10209" spans="20:20" x14ac:dyDescent="0.25">
      <c r="T10209" s="98"/>
    </row>
    <row r="10210" spans="20:20" x14ac:dyDescent="0.25">
      <c r="T10210" s="98"/>
    </row>
    <row r="10211" spans="20:20" x14ac:dyDescent="0.25">
      <c r="T10211" s="98"/>
    </row>
    <row r="10212" spans="20:20" x14ac:dyDescent="0.25">
      <c r="T10212" s="98"/>
    </row>
    <row r="10213" spans="20:20" x14ac:dyDescent="0.25">
      <c r="T10213" s="98"/>
    </row>
    <row r="10214" spans="20:20" x14ac:dyDescent="0.25">
      <c r="T10214" s="98"/>
    </row>
    <row r="10215" spans="20:20" x14ac:dyDescent="0.25">
      <c r="T10215" s="98"/>
    </row>
    <row r="10216" spans="20:20" x14ac:dyDescent="0.25">
      <c r="T10216" s="98"/>
    </row>
    <row r="10217" spans="20:20" x14ac:dyDescent="0.25">
      <c r="T10217" s="98"/>
    </row>
    <row r="10218" spans="20:20" x14ac:dyDescent="0.25">
      <c r="T10218" s="98"/>
    </row>
    <row r="10219" spans="20:20" x14ac:dyDescent="0.25">
      <c r="T10219" s="98"/>
    </row>
    <row r="10220" spans="20:20" x14ac:dyDescent="0.25">
      <c r="T10220" s="98"/>
    </row>
    <row r="10221" spans="20:20" x14ac:dyDescent="0.25">
      <c r="T10221" s="98"/>
    </row>
    <row r="10222" spans="20:20" x14ac:dyDescent="0.25">
      <c r="T10222" s="98"/>
    </row>
    <row r="10223" spans="20:20" x14ac:dyDescent="0.25">
      <c r="T10223" s="98"/>
    </row>
    <row r="10224" spans="20:20" x14ac:dyDescent="0.25">
      <c r="T10224" s="98"/>
    </row>
    <row r="10225" spans="20:20" x14ac:dyDescent="0.25">
      <c r="T10225" s="98"/>
    </row>
    <row r="10226" spans="20:20" x14ac:dyDescent="0.25">
      <c r="T10226" s="98"/>
    </row>
    <row r="10227" spans="20:20" x14ac:dyDescent="0.25">
      <c r="T10227" s="98"/>
    </row>
    <row r="10228" spans="20:20" x14ac:dyDescent="0.25">
      <c r="T10228" s="98"/>
    </row>
    <row r="10229" spans="20:20" x14ac:dyDescent="0.25">
      <c r="T10229" s="98"/>
    </row>
    <row r="10230" spans="20:20" x14ac:dyDescent="0.25">
      <c r="T10230" s="98"/>
    </row>
    <row r="10231" spans="20:20" x14ac:dyDescent="0.25">
      <c r="T10231" s="98"/>
    </row>
    <row r="10232" spans="20:20" x14ac:dyDescent="0.25">
      <c r="T10232" s="98"/>
    </row>
    <row r="10233" spans="20:20" x14ac:dyDescent="0.25">
      <c r="T10233" s="98"/>
    </row>
    <row r="10234" spans="20:20" x14ac:dyDescent="0.25">
      <c r="T10234" s="98"/>
    </row>
    <row r="10235" spans="20:20" x14ac:dyDescent="0.25">
      <c r="T10235" s="98"/>
    </row>
    <row r="10236" spans="20:20" x14ac:dyDescent="0.25">
      <c r="T10236" s="98"/>
    </row>
    <row r="10237" spans="20:20" x14ac:dyDescent="0.25">
      <c r="T10237" s="98"/>
    </row>
    <row r="10238" spans="20:20" x14ac:dyDescent="0.25">
      <c r="T10238" s="98"/>
    </row>
    <row r="10239" spans="20:20" x14ac:dyDescent="0.25">
      <c r="T10239" s="98"/>
    </row>
    <row r="10240" spans="20:20" x14ac:dyDescent="0.25">
      <c r="T10240" s="98"/>
    </row>
    <row r="10241" spans="20:20" x14ac:dyDescent="0.25">
      <c r="T10241" s="98"/>
    </row>
    <row r="10242" spans="20:20" x14ac:dyDescent="0.25">
      <c r="T10242" s="98"/>
    </row>
    <row r="10243" spans="20:20" x14ac:dyDescent="0.25">
      <c r="T10243" s="98"/>
    </row>
    <row r="10244" spans="20:20" x14ac:dyDescent="0.25">
      <c r="T10244" s="98"/>
    </row>
    <row r="10245" spans="20:20" x14ac:dyDescent="0.25">
      <c r="T10245" s="98"/>
    </row>
    <row r="10246" spans="20:20" x14ac:dyDescent="0.25">
      <c r="T10246" s="98"/>
    </row>
    <row r="10247" spans="20:20" x14ac:dyDescent="0.25">
      <c r="T10247" s="98"/>
    </row>
    <row r="10248" spans="20:20" x14ac:dyDescent="0.25">
      <c r="T10248" s="98"/>
    </row>
    <row r="10249" spans="20:20" x14ac:dyDescent="0.25">
      <c r="T10249" s="98"/>
    </row>
    <row r="10250" spans="20:20" x14ac:dyDescent="0.25">
      <c r="T10250" s="98"/>
    </row>
    <row r="10251" spans="20:20" x14ac:dyDescent="0.25">
      <c r="T10251" s="98"/>
    </row>
    <row r="10252" spans="20:20" x14ac:dyDescent="0.25">
      <c r="T10252" s="98"/>
    </row>
    <row r="10253" spans="20:20" x14ac:dyDescent="0.25">
      <c r="T10253" s="98"/>
    </row>
    <row r="10254" spans="20:20" x14ac:dyDescent="0.25">
      <c r="T10254" s="98"/>
    </row>
    <row r="10255" spans="20:20" x14ac:dyDescent="0.25">
      <c r="T10255" s="98"/>
    </row>
    <row r="10256" spans="20:20" x14ac:dyDescent="0.25">
      <c r="T10256" s="98"/>
    </row>
    <row r="10257" spans="20:20" x14ac:dyDescent="0.25">
      <c r="T10257" s="98"/>
    </row>
    <row r="10258" spans="20:20" x14ac:dyDescent="0.25">
      <c r="T10258" s="98"/>
    </row>
    <row r="10259" spans="20:20" x14ac:dyDescent="0.25">
      <c r="T10259" s="98"/>
    </row>
    <row r="10260" spans="20:20" x14ac:dyDescent="0.25">
      <c r="T10260" s="98"/>
    </row>
    <row r="10261" spans="20:20" x14ac:dyDescent="0.25">
      <c r="T10261" s="98"/>
    </row>
    <row r="10262" spans="20:20" x14ac:dyDescent="0.25">
      <c r="T10262" s="98"/>
    </row>
    <row r="10263" spans="20:20" x14ac:dyDescent="0.25">
      <c r="T10263" s="98"/>
    </row>
    <row r="10264" spans="20:20" x14ac:dyDescent="0.25">
      <c r="T10264" s="98"/>
    </row>
    <row r="10265" spans="20:20" x14ac:dyDescent="0.25">
      <c r="T10265" s="98"/>
    </row>
    <row r="10266" spans="20:20" x14ac:dyDescent="0.25">
      <c r="T10266" s="98"/>
    </row>
    <row r="10267" spans="20:20" x14ac:dyDescent="0.25">
      <c r="T10267" s="98"/>
    </row>
    <row r="10268" spans="20:20" x14ac:dyDescent="0.25">
      <c r="T10268" s="98"/>
    </row>
    <row r="10269" spans="20:20" x14ac:dyDescent="0.25">
      <c r="T10269" s="98"/>
    </row>
    <row r="10270" spans="20:20" x14ac:dyDescent="0.25">
      <c r="T10270" s="98"/>
    </row>
    <row r="10271" spans="20:20" x14ac:dyDescent="0.25">
      <c r="T10271" s="98"/>
    </row>
    <row r="10272" spans="20:20" x14ac:dyDescent="0.25">
      <c r="T10272" s="98"/>
    </row>
    <row r="10273" spans="20:20" x14ac:dyDescent="0.25">
      <c r="T10273" s="98"/>
    </row>
    <row r="10274" spans="20:20" x14ac:dyDescent="0.25">
      <c r="T10274" s="98"/>
    </row>
    <row r="10275" spans="20:20" x14ac:dyDescent="0.25">
      <c r="T10275" s="98"/>
    </row>
    <row r="10276" spans="20:20" x14ac:dyDescent="0.25">
      <c r="T10276" s="98"/>
    </row>
    <row r="10277" spans="20:20" x14ac:dyDescent="0.25">
      <c r="T10277" s="98"/>
    </row>
    <row r="10278" spans="20:20" x14ac:dyDescent="0.25">
      <c r="T10278" s="98"/>
    </row>
    <row r="10279" spans="20:20" x14ac:dyDescent="0.25">
      <c r="T10279" s="98"/>
    </row>
    <row r="10280" spans="20:20" x14ac:dyDescent="0.25">
      <c r="T10280" s="98"/>
    </row>
    <row r="10281" spans="20:20" x14ac:dyDescent="0.25">
      <c r="T10281" s="98"/>
    </row>
    <row r="10282" spans="20:20" x14ac:dyDescent="0.25">
      <c r="T10282" s="98"/>
    </row>
    <row r="10283" spans="20:20" x14ac:dyDescent="0.25">
      <c r="T10283" s="98"/>
    </row>
    <row r="10284" spans="20:20" x14ac:dyDescent="0.25">
      <c r="T10284" s="98"/>
    </row>
    <row r="10285" spans="20:20" x14ac:dyDescent="0.25">
      <c r="T10285" s="98"/>
    </row>
    <row r="10286" spans="20:20" x14ac:dyDescent="0.25">
      <c r="T10286" s="98"/>
    </row>
    <row r="10287" spans="20:20" x14ac:dyDescent="0.25">
      <c r="T10287" s="98"/>
    </row>
    <row r="10288" spans="20:20" x14ac:dyDescent="0.25">
      <c r="T10288" s="98"/>
    </row>
    <row r="10289" spans="20:20" x14ac:dyDescent="0.25">
      <c r="T10289" s="98"/>
    </row>
    <row r="10290" spans="20:20" x14ac:dyDescent="0.25">
      <c r="T10290" s="98"/>
    </row>
    <row r="10291" spans="20:20" x14ac:dyDescent="0.25">
      <c r="T10291" s="98"/>
    </row>
    <row r="10292" spans="20:20" x14ac:dyDescent="0.25">
      <c r="T10292" s="98"/>
    </row>
    <row r="10293" spans="20:20" x14ac:dyDescent="0.25">
      <c r="T10293" s="98"/>
    </row>
    <row r="10294" spans="20:20" x14ac:dyDescent="0.25">
      <c r="T10294" s="98"/>
    </row>
    <row r="10295" spans="20:20" x14ac:dyDescent="0.25">
      <c r="T10295" s="98"/>
    </row>
    <row r="10296" spans="20:20" x14ac:dyDescent="0.25">
      <c r="T10296" s="98"/>
    </row>
    <row r="10297" spans="20:20" x14ac:dyDescent="0.25">
      <c r="T10297" s="98"/>
    </row>
    <row r="10298" spans="20:20" x14ac:dyDescent="0.25">
      <c r="T10298" s="98"/>
    </row>
    <row r="10299" spans="20:20" x14ac:dyDescent="0.25">
      <c r="T10299" s="98"/>
    </row>
    <row r="10300" spans="20:20" x14ac:dyDescent="0.25">
      <c r="T10300" s="98"/>
    </row>
    <row r="10301" spans="20:20" x14ac:dyDescent="0.25">
      <c r="T10301" s="98"/>
    </row>
    <row r="10302" spans="20:20" x14ac:dyDescent="0.25">
      <c r="T10302" s="98"/>
    </row>
    <row r="10303" spans="20:20" x14ac:dyDescent="0.25">
      <c r="T10303" s="98"/>
    </row>
    <row r="10304" spans="20:20" x14ac:dyDescent="0.25">
      <c r="T10304" s="98"/>
    </row>
    <row r="10305" spans="20:20" x14ac:dyDescent="0.25">
      <c r="T10305" s="98"/>
    </row>
    <row r="10306" spans="20:20" x14ac:dyDescent="0.25">
      <c r="T10306" s="98"/>
    </row>
    <row r="10307" spans="20:20" x14ac:dyDescent="0.25">
      <c r="T10307" s="98"/>
    </row>
    <row r="10308" spans="20:20" x14ac:dyDescent="0.25">
      <c r="T10308" s="98"/>
    </row>
    <row r="10309" spans="20:20" x14ac:dyDescent="0.25">
      <c r="T10309" s="98"/>
    </row>
    <row r="10310" spans="20:20" x14ac:dyDescent="0.25">
      <c r="T10310" s="98"/>
    </row>
    <row r="10311" spans="20:20" x14ac:dyDescent="0.25">
      <c r="T10311" s="98"/>
    </row>
    <row r="10312" spans="20:20" x14ac:dyDescent="0.25">
      <c r="T10312" s="98"/>
    </row>
    <row r="10313" spans="20:20" x14ac:dyDescent="0.25">
      <c r="T10313" s="98"/>
    </row>
    <row r="10314" spans="20:20" x14ac:dyDescent="0.25">
      <c r="T10314" s="98"/>
    </row>
    <row r="10315" spans="20:20" x14ac:dyDescent="0.25">
      <c r="T10315" s="98"/>
    </row>
    <row r="10316" spans="20:20" x14ac:dyDescent="0.25">
      <c r="T10316" s="98"/>
    </row>
    <row r="10317" spans="20:20" x14ac:dyDescent="0.25">
      <c r="T10317" s="98"/>
    </row>
    <row r="10318" spans="20:20" x14ac:dyDescent="0.25">
      <c r="T10318" s="98"/>
    </row>
    <row r="10319" spans="20:20" x14ac:dyDescent="0.25">
      <c r="T10319" s="98"/>
    </row>
    <row r="10320" spans="20:20" x14ac:dyDescent="0.25">
      <c r="T10320" s="98"/>
    </row>
    <row r="10321" spans="20:20" x14ac:dyDescent="0.25">
      <c r="T10321" s="98"/>
    </row>
    <row r="10322" spans="20:20" x14ac:dyDescent="0.25">
      <c r="T10322" s="98"/>
    </row>
    <row r="10323" spans="20:20" x14ac:dyDescent="0.25">
      <c r="T10323" s="98"/>
    </row>
    <row r="10324" spans="20:20" x14ac:dyDescent="0.25">
      <c r="T10324" s="98"/>
    </row>
    <row r="10325" spans="20:20" x14ac:dyDescent="0.25">
      <c r="T10325" s="98"/>
    </row>
    <row r="10326" spans="20:20" x14ac:dyDescent="0.25">
      <c r="T10326" s="98"/>
    </row>
    <row r="10327" spans="20:20" x14ac:dyDescent="0.25">
      <c r="T10327" s="98"/>
    </row>
    <row r="10328" spans="20:20" x14ac:dyDescent="0.25">
      <c r="T10328" s="98"/>
    </row>
    <row r="10329" spans="20:20" x14ac:dyDescent="0.25">
      <c r="T10329" s="98"/>
    </row>
    <row r="10330" spans="20:20" x14ac:dyDescent="0.25">
      <c r="T10330" s="98"/>
    </row>
    <row r="10331" spans="20:20" x14ac:dyDescent="0.25">
      <c r="T10331" s="98"/>
    </row>
    <row r="10332" spans="20:20" x14ac:dyDescent="0.25">
      <c r="T10332" s="98"/>
    </row>
    <row r="10333" spans="20:20" x14ac:dyDescent="0.25">
      <c r="T10333" s="98"/>
    </row>
    <row r="10334" spans="20:20" x14ac:dyDescent="0.25">
      <c r="T10334" s="98"/>
    </row>
    <row r="10335" spans="20:20" x14ac:dyDescent="0.25">
      <c r="T10335" s="98"/>
    </row>
    <row r="10336" spans="20:20" x14ac:dyDescent="0.25">
      <c r="T10336" s="98"/>
    </row>
    <row r="10337" spans="20:20" x14ac:dyDescent="0.25">
      <c r="T10337" s="98"/>
    </row>
    <row r="10338" spans="20:20" x14ac:dyDescent="0.25">
      <c r="T10338" s="98"/>
    </row>
    <row r="10339" spans="20:20" x14ac:dyDescent="0.25">
      <c r="T10339" s="98"/>
    </row>
    <row r="10340" spans="20:20" x14ac:dyDescent="0.25">
      <c r="T10340" s="98"/>
    </row>
    <row r="10341" spans="20:20" x14ac:dyDescent="0.25">
      <c r="T10341" s="98"/>
    </row>
    <row r="10342" spans="20:20" x14ac:dyDescent="0.25">
      <c r="T10342" s="98"/>
    </row>
    <row r="10343" spans="20:20" x14ac:dyDescent="0.25">
      <c r="T10343" s="98"/>
    </row>
    <row r="10344" spans="20:20" x14ac:dyDescent="0.25">
      <c r="T10344" s="98"/>
    </row>
    <row r="10345" spans="20:20" x14ac:dyDescent="0.25">
      <c r="T10345" s="98"/>
    </row>
    <row r="10346" spans="20:20" x14ac:dyDescent="0.25">
      <c r="T10346" s="98"/>
    </row>
    <row r="10347" spans="20:20" x14ac:dyDescent="0.25">
      <c r="T10347" s="98"/>
    </row>
    <row r="10348" spans="20:20" x14ac:dyDescent="0.25">
      <c r="T10348" s="98"/>
    </row>
    <row r="10349" spans="20:20" x14ac:dyDescent="0.25">
      <c r="T10349" s="98"/>
    </row>
    <row r="10350" spans="20:20" x14ac:dyDescent="0.25">
      <c r="T10350" s="98"/>
    </row>
    <row r="10351" spans="20:20" x14ac:dyDescent="0.25">
      <c r="T10351" s="98"/>
    </row>
    <row r="10352" spans="20:20" x14ac:dyDescent="0.25">
      <c r="T10352" s="98"/>
    </row>
    <row r="10353" spans="20:20" x14ac:dyDescent="0.25">
      <c r="T10353" s="98"/>
    </row>
    <row r="10354" spans="20:20" x14ac:dyDescent="0.25">
      <c r="T10354" s="98"/>
    </row>
    <row r="10355" spans="20:20" x14ac:dyDescent="0.25">
      <c r="T10355" s="98"/>
    </row>
    <row r="10356" spans="20:20" x14ac:dyDescent="0.25">
      <c r="T10356" s="98"/>
    </row>
    <row r="10357" spans="20:20" x14ac:dyDescent="0.25">
      <c r="T10357" s="98"/>
    </row>
    <row r="10358" spans="20:20" x14ac:dyDescent="0.25">
      <c r="T10358" s="98"/>
    </row>
    <row r="10359" spans="20:20" x14ac:dyDescent="0.25">
      <c r="T10359" s="98"/>
    </row>
    <row r="10360" spans="20:20" x14ac:dyDescent="0.25">
      <c r="T10360" s="98"/>
    </row>
    <row r="10361" spans="20:20" x14ac:dyDescent="0.25">
      <c r="T10361" s="98"/>
    </row>
    <row r="10362" spans="20:20" x14ac:dyDescent="0.25">
      <c r="T10362" s="98"/>
    </row>
    <row r="10363" spans="20:20" x14ac:dyDescent="0.25">
      <c r="T10363" s="98"/>
    </row>
    <row r="10364" spans="20:20" x14ac:dyDescent="0.25">
      <c r="T10364" s="98"/>
    </row>
    <row r="10365" spans="20:20" x14ac:dyDescent="0.25">
      <c r="T10365" s="98"/>
    </row>
    <row r="10366" spans="20:20" x14ac:dyDescent="0.25">
      <c r="T10366" s="98"/>
    </row>
    <row r="10367" spans="20:20" x14ac:dyDescent="0.25">
      <c r="T10367" s="98"/>
    </row>
    <row r="10368" spans="20:20" x14ac:dyDescent="0.25">
      <c r="T10368" s="98"/>
    </row>
    <row r="10369" spans="20:20" x14ac:dyDescent="0.25">
      <c r="T10369" s="98"/>
    </row>
    <row r="10370" spans="20:20" x14ac:dyDescent="0.25">
      <c r="T10370" s="98"/>
    </row>
    <row r="10371" spans="20:20" x14ac:dyDescent="0.25">
      <c r="T10371" s="98"/>
    </row>
    <row r="10372" spans="20:20" x14ac:dyDescent="0.25">
      <c r="T10372" s="98"/>
    </row>
    <row r="10373" spans="20:20" x14ac:dyDescent="0.25">
      <c r="T10373" s="98"/>
    </row>
    <row r="10374" spans="20:20" x14ac:dyDescent="0.25">
      <c r="T10374" s="98"/>
    </row>
    <row r="10375" spans="20:20" x14ac:dyDescent="0.25">
      <c r="T10375" s="98"/>
    </row>
    <row r="10376" spans="20:20" x14ac:dyDescent="0.25">
      <c r="T10376" s="98"/>
    </row>
    <row r="10377" spans="20:20" x14ac:dyDescent="0.25">
      <c r="T10377" s="98"/>
    </row>
    <row r="10378" spans="20:20" x14ac:dyDescent="0.25">
      <c r="T10378" s="98"/>
    </row>
    <row r="10379" spans="20:20" x14ac:dyDescent="0.25">
      <c r="T10379" s="98"/>
    </row>
    <row r="10380" spans="20:20" x14ac:dyDescent="0.25">
      <c r="T10380" s="98"/>
    </row>
    <row r="10381" spans="20:20" x14ac:dyDescent="0.25">
      <c r="T10381" s="98"/>
    </row>
    <row r="10382" spans="20:20" x14ac:dyDescent="0.25">
      <c r="T10382" s="98"/>
    </row>
    <row r="10383" spans="20:20" x14ac:dyDescent="0.25">
      <c r="T10383" s="98"/>
    </row>
    <row r="10384" spans="20:20" x14ac:dyDescent="0.25">
      <c r="T10384" s="98"/>
    </row>
    <row r="10385" spans="20:20" x14ac:dyDescent="0.25">
      <c r="T10385" s="98"/>
    </row>
    <row r="10386" spans="20:20" x14ac:dyDescent="0.25">
      <c r="T10386" s="98"/>
    </row>
    <row r="10387" spans="20:20" x14ac:dyDescent="0.25">
      <c r="T10387" s="98"/>
    </row>
    <row r="10388" spans="20:20" x14ac:dyDescent="0.25">
      <c r="T10388" s="98"/>
    </row>
    <row r="10389" spans="20:20" x14ac:dyDescent="0.25">
      <c r="T10389" s="98"/>
    </row>
    <row r="10390" spans="20:20" x14ac:dyDescent="0.25">
      <c r="T10390" s="98"/>
    </row>
    <row r="10391" spans="20:20" x14ac:dyDescent="0.25">
      <c r="T10391" s="98"/>
    </row>
    <row r="10392" spans="20:20" x14ac:dyDescent="0.25">
      <c r="T10392" s="98"/>
    </row>
    <row r="10393" spans="20:20" x14ac:dyDescent="0.25">
      <c r="T10393" s="98"/>
    </row>
    <row r="10394" spans="20:20" x14ac:dyDescent="0.25">
      <c r="T10394" s="98"/>
    </row>
    <row r="10395" spans="20:20" x14ac:dyDescent="0.25">
      <c r="T10395" s="98"/>
    </row>
    <row r="10396" spans="20:20" x14ac:dyDescent="0.25">
      <c r="T10396" s="98"/>
    </row>
    <row r="10397" spans="20:20" x14ac:dyDescent="0.25">
      <c r="T10397" s="98"/>
    </row>
    <row r="10398" spans="20:20" x14ac:dyDescent="0.25">
      <c r="T10398" s="98"/>
    </row>
    <row r="10399" spans="20:20" x14ac:dyDescent="0.25">
      <c r="T10399" s="98"/>
    </row>
    <row r="10400" spans="20:20" x14ac:dyDescent="0.25">
      <c r="T10400" s="98"/>
    </row>
    <row r="10401" spans="20:20" x14ac:dyDescent="0.25">
      <c r="T10401" s="98"/>
    </row>
    <row r="10402" spans="20:20" x14ac:dyDescent="0.25">
      <c r="T10402" s="98"/>
    </row>
    <row r="10403" spans="20:20" x14ac:dyDescent="0.25">
      <c r="T10403" s="98"/>
    </row>
    <row r="10404" spans="20:20" x14ac:dyDescent="0.25">
      <c r="T10404" s="98"/>
    </row>
    <row r="10405" spans="20:20" x14ac:dyDescent="0.25">
      <c r="T10405" s="98"/>
    </row>
    <row r="10406" spans="20:20" x14ac:dyDescent="0.25">
      <c r="T10406" s="98"/>
    </row>
    <row r="10407" spans="20:20" x14ac:dyDescent="0.25">
      <c r="T10407" s="98"/>
    </row>
    <row r="10408" spans="20:20" x14ac:dyDescent="0.25">
      <c r="T10408" s="98"/>
    </row>
    <row r="10409" spans="20:20" x14ac:dyDescent="0.25">
      <c r="T10409" s="98"/>
    </row>
    <row r="10410" spans="20:20" x14ac:dyDescent="0.25">
      <c r="T10410" s="98"/>
    </row>
    <row r="10411" spans="20:20" x14ac:dyDescent="0.25">
      <c r="T10411" s="98"/>
    </row>
    <row r="10412" spans="20:20" x14ac:dyDescent="0.25">
      <c r="T10412" s="98"/>
    </row>
    <row r="10413" spans="20:20" x14ac:dyDescent="0.25">
      <c r="T10413" s="98"/>
    </row>
    <row r="10414" spans="20:20" x14ac:dyDescent="0.25">
      <c r="T10414" s="98"/>
    </row>
    <row r="10415" spans="20:20" x14ac:dyDescent="0.25">
      <c r="T10415" s="98"/>
    </row>
    <row r="10416" spans="20:20" x14ac:dyDescent="0.25">
      <c r="T10416" s="98"/>
    </row>
    <row r="10417" spans="20:20" x14ac:dyDescent="0.25">
      <c r="T10417" s="98"/>
    </row>
    <row r="10418" spans="20:20" x14ac:dyDescent="0.25">
      <c r="T10418" s="98"/>
    </row>
    <row r="10419" spans="20:20" x14ac:dyDescent="0.25">
      <c r="T10419" s="98"/>
    </row>
    <row r="10420" spans="20:20" x14ac:dyDescent="0.25">
      <c r="T10420" s="98"/>
    </row>
    <row r="10421" spans="20:20" x14ac:dyDescent="0.25">
      <c r="T10421" s="98"/>
    </row>
    <row r="10422" spans="20:20" x14ac:dyDescent="0.25">
      <c r="T10422" s="98"/>
    </row>
    <row r="10423" spans="20:20" x14ac:dyDescent="0.25">
      <c r="T10423" s="98"/>
    </row>
    <row r="10424" spans="20:20" x14ac:dyDescent="0.25">
      <c r="T10424" s="98"/>
    </row>
    <row r="10425" spans="20:20" x14ac:dyDescent="0.25">
      <c r="T10425" s="98"/>
    </row>
    <row r="10426" spans="20:20" x14ac:dyDescent="0.25">
      <c r="T10426" s="98"/>
    </row>
    <row r="10427" spans="20:20" x14ac:dyDescent="0.25">
      <c r="T10427" s="98"/>
    </row>
    <row r="10428" spans="20:20" x14ac:dyDescent="0.25">
      <c r="T10428" s="98"/>
    </row>
    <row r="10429" spans="20:20" x14ac:dyDescent="0.25">
      <c r="T10429" s="98"/>
    </row>
    <row r="10430" spans="20:20" x14ac:dyDescent="0.25">
      <c r="T10430" s="98"/>
    </row>
    <row r="10431" spans="20:20" x14ac:dyDescent="0.25">
      <c r="T10431" s="98"/>
    </row>
    <row r="10432" spans="20:20" x14ac:dyDescent="0.25">
      <c r="T10432" s="98"/>
    </row>
    <row r="10433" spans="20:20" x14ac:dyDescent="0.25">
      <c r="T10433" s="98"/>
    </row>
    <row r="10434" spans="20:20" x14ac:dyDescent="0.25">
      <c r="T10434" s="98"/>
    </row>
    <row r="10435" spans="20:20" x14ac:dyDescent="0.25">
      <c r="T10435" s="98"/>
    </row>
    <row r="10436" spans="20:20" x14ac:dyDescent="0.25">
      <c r="T10436" s="98"/>
    </row>
    <row r="10437" spans="20:20" x14ac:dyDescent="0.25">
      <c r="T10437" s="98"/>
    </row>
    <row r="10438" spans="20:20" x14ac:dyDescent="0.25">
      <c r="T10438" s="98"/>
    </row>
    <row r="10439" spans="20:20" x14ac:dyDescent="0.25">
      <c r="T10439" s="98"/>
    </row>
    <row r="10440" spans="20:20" x14ac:dyDescent="0.25">
      <c r="T10440" s="98"/>
    </row>
    <row r="10441" spans="20:20" x14ac:dyDescent="0.25">
      <c r="T10441" s="98"/>
    </row>
    <row r="10442" spans="20:20" x14ac:dyDescent="0.25">
      <c r="T10442" s="98"/>
    </row>
    <row r="10443" spans="20:20" x14ac:dyDescent="0.25">
      <c r="T10443" s="98"/>
    </row>
    <row r="10444" spans="20:20" x14ac:dyDescent="0.25">
      <c r="T10444" s="98"/>
    </row>
    <row r="10445" spans="20:20" x14ac:dyDescent="0.25">
      <c r="T10445" s="98"/>
    </row>
    <row r="10446" spans="20:20" x14ac:dyDescent="0.25">
      <c r="T10446" s="98"/>
    </row>
    <row r="10447" spans="20:20" x14ac:dyDescent="0.25">
      <c r="T10447" s="98"/>
    </row>
    <row r="10448" spans="20:20" x14ac:dyDescent="0.25">
      <c r="T10448" s="98"/>
    </row>
    <row r="10449" spans="20:20" x14ac:dyDescent="0.25">
      <c r="T10449" s="98"/>
    </row>
    <row r="10450" spans="20:20" x14ac:dyDescent="0.25">
      <c r="T10450" s="98"/>
    </row>
    <row r="10451" spans="20:20" x14ac:dyDescent="0.25">
      <c r="T10451" s="98"/>
    </row>
    <row r="10452" spans="20:20" x14ac:dyDescent="0.25">
      <c r="T10452" s="98"/>
    </row>
    <row r="10453" spans="20:20" x14ac:dyDescent="0.25">
      <c r="T10453" s="98"/>
    </row>
    <row r="10454" spans="20:20" x14ac:dyDescent="0.25">
      <c r="T10454" s="98"/>
    </row>
    <row r="10455" spans="20:20" x14ac:dyDescent="0.25">
      <c r="T10455" s="98"/>
    </row>
    <row r="10456" spans="20:20" x14ac:dyDescent="0.25">
      <c r="T10456" s="98"/>
    </row>
    <row r="10457" spans="20:20" x14ac:dyDescent="0.25">
      <c r="T10457" s="98"/>
    </row>
    <row r="10458" spans="20:20" x14ac:dyDescent="0.25">
      <c r="T10458" s="98"/>
    </row>
    <row r="10459" spans="20:20" x14ac:dyDescent="0.25">
      <c r="T10459" s="98"/>
    </row>
    <row r="10460" spans="20:20" x14ac:dyDescent="0.25">
      <c r="T10460" s="98"/>
    </row>
    <row r="10461" spans="20:20" x14ac:dyDescent="0.25">
      <c r="T10461" s="98"/>
    </row>
    <row r="10462" spans="20:20" x14ac:dyDescent="0.25">
      <c r="T10462" s="98"/>
    </row>
    <row r="10463" spans="20:20" x14ac:dyDescent="0.25">
      <c r="T10463" s="98"/>
    </row>
    <row r="10464" spans="20:20" x14ac:dyDescent="0.25">
      <c r="T10464" s="98"/>
    </row>
    <row r="10465" spans="20:20" x14ac:dyDescent="0.25">
      <c r="T10465" s="98"/>
    </row>
    <row r="10466" spans="20:20" x14ac:dyDescent="0.25">
      <c r="T10466" s="98"/>
    </row>
    <row r="10467" spans="20:20" x14ac:dyDescent="0.25">
      <c r="T10467" s="98"/>
    </row>
    <row r="10468" spans="20:20" x14ac:dyDescent="0.25">
      <c r="T10468" s="98"/>
    </row>
    <row r="10469" spans="20:20" x14ac:dyDescent="0.25">
      <c r="T10469" s="98"/>
    </row>
    <row r="10470" spans="20:20" x14ac:dyDescent="0.25">
      <c r="T10470" s="98"/>
    </row>
    <row r="10471" spans="20:20" x14ac:dyDescent="0.25">
      <c r="T10471" s="98"/>
    </row>
    <row r="10472" spans="20:20" x14ac:dyDescent="0.25">
      <c r="T10472" s="98"/>
    </row>
    <row r="10473" spans="20:20" x14ac:dyDescent="0.25">
      <c r="T10473" s="98"/>
    </row>
    <row r="10474" spans="20:20" x14ac:dyDescent="0.25">
      <c r="T10474" s="98"/>
    </row>
    <row r="10475" spans="20:20" x14ac:dyDescent="0.25">
      <c r="T10475" s="98"/>
    </row>
    <row r="10476" spans="20:20" x14ac:dyDescent="0.25">
      <c r="T10476" s="98"/>
    </row>
    <row r="10477" spans="20:20" x14ac:dyDescent="0.25">
      <c r="T10477" s="98"/>
    </row>
    <row r="10478" spans="20:20" x14ac:dyDescent="0.25">
      <c r="T10478" s="98"/>
    </row>
    <row r="10479" spans="20:20" x14ac:dyDescent="0.25">
      <c r="T10479" s="98"/>
    </row>
    <row r="10480" spans="20:20" x14ac:dyDescent="0.25">
      <c r="T10480" s="98"/>
    </row>
    <row r="10481" spans="20:20" x14ac:dyDescent="0.25">
      <c r="T10481" s="98"/>
    </row>
    <row r="10482" spans="20:20" x14ac:dyDescent="0.25">
      <c r="T10482" s="98"/>
    </row>
    <row r="10483" spans="20:20" x14ac:dyDescent="0.25">
      <c r="T10483" s="98"/>
    </row>
    <row r="10484" spans="20:20" x14ac:dyDescent="0.25">
      <c r="T10484" s="98"/>
    </row>
    <row r="10485" spans="20:20" x14ac:dyDescent="0.25">
      <c r="T10485" s="98"/>
    </row>
    <row r="10486" spans="20:20" x14ac:dyDescent="0.25">
      <c r="T10486" s="98"/>
    </row>
    <row r="10487" spans="20:20" x14ac:dyDescent="0.25">
      <c r="T10487" s="98"/>
    </row>
    <row r="10488" spans="20:20" x14ac:dyDescent="0.25">
      <c r="T10488" s="98"/>
    </row>
    <row r="10489" spans="20:20" x14ac:dyDescent="0.25">
      <c r="T10489" s="98"/>
    </row>
    <row r="10490" spans="20:20" x14ac:dyDescent="0.25">
      <c r="T10490" s="98"/>
    </row>
    <row r="10491" spans="20:20" x14ac:dyDescent="0.25">
      <c r="T10491" s="98"/>
    </row>
    <row r="10492" spans="20:20" x14ac:dyDescent="0.25">
      <c r="T10492" s="98"/>
    </row>
    <row r="10493" spans="20:20" x14ac:dyDescent="0.25">
      <c r="T10493" s="98"/>
    </row>
    <row r="10494" spans="20:20" x14ac:dyDescent="0.25">
      <c r="T10494" s="98"/>
    </row>
    <row r="10495" spans="20:20" x14ac:dyDescent="0.25">
      <c r="T10495" s="98"/>
    </row>
    <row r="10496" spans="20:20" x14ac:dyDescent="0.25">
      <c r="T10496" s="98"/>
    </row>
    <row r="10497" spans="20:20" x14ac:dyDescent="0.25">
      <c r="T10497" s="98"/>
    </row>
    <row r="10498" spans="20:20" x14ac:dyDescent="0.25">
      <c r="T10498" s="98"/>
    </row>
    <row r="10499" spans="20:20" x14ac:dyDescent="0.25">
      <c r="T10499" s="98"/>
    </row>
    <row r="10500" spans="20:20" x14ac:dyDescent="0.25">
      <c r="T10500" s="98"/>
    </row>
    <row r="10501" spans="20:20" x14ac:dyDescent="0.25">
      <c r="T10501" s="98"/>
    </row>
    <row r="10502" spans="20:20" x14ac:dyDescent="0.25">
      <c r="T10502" s="98"/>
    </row>
    <row r="10503" spans="20:20" x14ac:dyDescent="0.25">
      <c r="T10503" s="98"/>
    </row>
    <row r="10504" spans="20:20" x14ac:dyDescent="0.25">
      <c r="T10504" s="98"/>
    </row>
    <row r="10505" spans="20:20" x14ac:dyDescent="0.25">
      <c r="T10505" s="98"/>
    </row>
    <row r="10506" spans="20:20" x14ac:dyDescent="0.25">
      <c r="T10506" s="98"/>
    </row>
    <row r="10507" spans="20:20" x14ac:dyDescent="0.25">
      <c r="T10507" s="98"/>
    </row>
    <row r="10508" spans="20:20" x14ac:dyDescent="0.25">
      <c r="T10508" s="98"/>
    </row>
    <row r="10509" spans="20:20" x14ac:dyDescent="0.25">
      <c r="T10509" s="98"/>
    </row>
    <row r="10510" spans="20:20" x14ac:dyDescent="0.25">
      <c r="T10510" s="98"/>
    </row>
    <row r="10511" spans="20:20" x14ac:dyDescent="0.25">
      <c r="T10511" s="98"/>
    </row>
    <row r="10512" spans="20:20" x14ac:dyDescent="0.25">
      <c r="T10512" s="98"/>
    </row>
    <row r="10513" spans="20:20" x14ac:dyDescent="0.25">
      <c r="T10513" s="98"/>
    </row>
    <row r="10514" spans="20:20" x14ac:dyDescent="0.25">
      <c r="T10514" s="98"/>
    </row>
    <row r="10515" spans="20:20" x14ac:dyDescent="0.25">
      <c r="T10515" s="98"/>
    </row>
    <row r="10516" spans="20:20" x14ac:dyDescent="0.25">
      <c r="T10516" s="98"/>
    </row>
    <row r="10517" spans="20:20" x14ac:dyDescent="0.25">
      <c r="T10517" s="98"/>
    </row>
    <row r="10518" spans="20:20" x14ac:dyDescent="0.25">
      <c r="T10518" s="98"/>
    </row>
    <row r="10519" spans="20:20" x14ac:dyDescent="0.25">
      <c r="T10519" s="98"/>
    </row>
    <row r="10520" spans="20:20" x14ac:dyDescent="0.25">
      <c r="T10520" s="98"/>
    </row>
    <row r="10521" spans="20:20" x14ac:dyDescent="0.25">
      <c r="T10521" s="98"/>
    </row>
    <row r="10522" spans="20:20" x14ac:dyDescent="0.25">
      <c r="T10522" s="98"/>
    </row>
    <row r="10523" spans="20:20" x14ac:dyDescent="0.25">
      <c r="T10523" s="98"/>
    </row>
    <row r="10524" spans="20:20" x14ac:dyDescent="0.25">
      <c r="T10524" s="98"/>
    </row>
    <row r="10525" spans="20:20" x14ac:dyDescent="0.25">
      <c r="T10525" s="98"/>
    </row>
    <row r="10526" spans="20:20" x14ac:dyDescent="0.25">
      <c r="T10526" s="98"/>
    </row>
    <row r="10527" spans="20:20" x14ac:dyDescent="0.25">
      <c r="T10527" s="98"/>
    </row>
    <row r="10528" spans="20:20" x14ac:dyDescent="0.25">
      <c r="T10528" s="98"/>
    </row>
    <row r="10529" spans="20:20" x14ac:dyDescent="0.25">
      <c r="T10529" s="98"/>
    </row>
    <row r="10530" spans="20:20" x14ac:dyDescent="0.25">
      <c r="T10530" s="98"/>
    </row>
    <row r="10531" spans="20:20" x14ac:dyDescent="0.25">
      <c r="T10531" s="98"/>
    </row>
    <row r="10532" spans="20:20" x14ac:dyDescent="0.25">
      <c r="T10532" s="98"/>
    </row>
    <row r="10533" spans="20:20" x14ac:dyDescent="0.25">
      <c r="T10533" s="98"/>
    </row>
    <row r="10534" spans="20:20" x14ac:dyDescent="0.25">
      <c r="T10534" s="98"/>
    </row>
    <row r="10535" spans="20:20" x14ac:dyDescent="0.25">
      <c r="T10535" s="98"/>
    </row>
    <row r="10536" spans="20:20" x14ac:dyDescent="0.25">
      <c r="T10536" s="98"/>
    </row>
    <row r="10537" spans="20:20" x14ac:dyDescent="0.25">
      <c r="T10537" s="98"/>
    </row>
    <row r="10538" spans="20:20" x14ac:dyDescent="0.25">
      <c r="T10538" s="98"/>
    </row>
    <row r="10539" spans="20:20" x14ac:dyDescent="0.25">
      <c r="T10539" s="98"/>
    </row>
    <row r="10540" spans="20:20" x14ac:dyDescent="0.25">
      <c r="T10540" s="98"/>
    </row>
    <row r="10541" spans="20:20" x14ac:dyDescent="0.25">
      <c r="T10541" s="98"/>
    </row>
    <row r="10542" spans="20:20" x14ac:dyDescent="0.25">
      <c r="T10542" s="98"/>
    </row>
    <row r="10543" spans="20:20" x14ac:dyDescent="0.25">
      <c r="T10543" s="98"/>
    </row>
    <row r="10544" spans="20:20" x14ac:dyDescent="0.25">
      <c r="T10544" s="98"/>
    </row>
    <row r="10545" spans="20:20" x14ac:dyDescent="0.25">
      <c r="T10545" s="98"/>
    </row>
    <row r="10546" spans="20:20" x14ac:dyDescent="0.25">
      <c r="T10546" s="98"/>
    </row>
    <row r="10547" spans="20:20" x14ac:dyDescent="0.25">
      <c r="T10547" s="98"/>
    </row>
    <row r="10548" spans="20:20" x14ac:dyDescent="0.25">
      <c r="T10548" s="98"/>
    </row>
    <row r="10549" spans="20:20" x14ac:dyDescent="0.25">
      <c r="T10549" s="98"/>
    </row>
    <row r="10550" spans="20:20" x14ac:dyDescent="0.25">
      <c r="T10550" s="98"/>
    </row>
    <row r="10551" spans="20:20" x14ac:dyDescent="0.25">
      <c r="T10551" s="98"/>
    </row>
    <row r="10552" spans="20:20" x14ac:dyDescent="0.25">
      <c r="T10552" s="98"/>
    </row>
    <row r="10553" spans="20:20" x14ac:dyDescent="0.25">
      <c r="T10553" s="98"/>
    </row>
    <row r="10554" spans="20:20" x14ac:dyDescent="0.25">
      <c r="T10554" s="98"/>
    </row>
    <row r="10555" spans="20:20" x14ac:dyDescent="0.25">
      <c r="T10555" s="98"/>
    </row>
    <row r="10556" spans="20:20" x14ac:dyDescent="0.25">
      <c r="T10556" s="98"/>
    </row>
    <row r="10557" spans="20:20" x14ac:dyDescent="0.25">
      <c r="T10557" s="98"/>
    </row>
    <row r="10558" spans="20:20" x14ac:dyDescent="0.25">
      <c r="T10558" s="98"/>
    </row>
    <row r="10559" spans="20:20" x14ac:dyDescent="0.25">
      <c r="T10559" s="98"/>
    </row>
    <row r="10560" spans="20:20" x14ac:dyDescent="0.25">
      <c r="T10560" s="98"/>
    </row>
    <row r="10561" spans="20:20" x14ac:dyDescent="0.25">
      <c r="T10561" s="98"/>
    </row>
    <row r="10562" spans="20:20" x14ac:dyDescent="0.25">
      <c r="T10562" s="98"/>
    </row>
    <row r="10563" spans="20:20" x14ac:dyDescent="0.25">
      <c r="T10563" s="98"/>
    </row>
    <row r="10564" spans="20:20" x14ac:dyDescent="0.25">
      <c r="T10564" s="98"/>
    </row>
    <row r="10565" spans="20:20" x14ac:dyDescent="0.25">
      <c r="T10565" s="98"/>
    </row>
    <row r="10566" spans="20:20" x14ac:dyDescent="0.25">
      <c r="T10566" s="98"/>
    </row>
    <row r="10567" spans="20:20" x14ac:dyDescent="0.25">
      <c r="T10567" s="98"/>
    </row>
    <row r="10568" spans="20:20" x14ac:dyDescent="0.25">
      <c r="T10568" s="98"/>
    </row>
    <row r="10569" spans="20:20" x14ac:dyDescent="0.25">
      <c r="T10569" s="98"/>
    </row>
    <row r="10570" spans="20:20" x14ac:dyDescent="0.25">
      <c r="T10570" s="98"/>
    </row>
    <row r="10571" spans="20:20" x14ac:dyDescent="0.25">
      <c r="T10571" s="98"/>
    </row>
    <row r="10572" spans="20:20" x14ac:dyDescent="0.25">
      <c r="T10572" s="98"/>
    </row>
    <row r="10573" spans="20:20" x14ac:dyDescent="0.25">
      <c r="T10573" s="98"/>
    </row>
    <row r="10574" spans="20:20" x14ac:dyDescent="0.25">
      <c r="T10574" s="98"/>
    </row>
    <row r="10575" spans="20:20" x14ac:dyDescent="0.25">
      <c r="T10575" s="98"/>
    </row>
    <row r="10576" spans="20:20" x14ac:dyDescent="0.25">
      <c r="T10576" s="98"/>
    </row>
    <row r="10577" spans="20:20" x14ac:dyDescent="0.25">
      <c r="T10577" s="98"/>
    </row>
    <row r="10578" spans="20:20" x14ac:dyDescent="0.25">
      <c r="T10578" s="98"/>
    </row>
    <row r="10579" spans="20:20" x14ac:dyDescent="0.25">
      <c r="T10579" s="98"/>
    </row>
    <row r="10580" spans="20:20" x14ac:dyDescent="0.25">
      <c r="T10580" s="98"/>
    </row>
    <row r="10581" spans="20:20" x14ac:dyDescent="0.25">
      <c r="T10581" s="98"/>
    </row>
    <row r="10582" spans="20:20" x14ac:dyDescent="0.25">
      <c r="T10582" s="98"/>
    </row>
    <row r="10583" spans="20:20" x14ac:dyDescent="0.25">
      <c r="T10583" s="98"/>
    </row>
    <row r="10584" spans="20:20" x14ac:dyDescent="0.25">
      <c r="T10584" s="98"/>
    </row>
    <row r="10585" spans="20:20" x14ac:dyDescent="0.25">
      <c r="T10585" s="98"/>
    </row>
    <row r="10586" spans="20:20" x14ac:dyDescent="0.25">
      <c r="T10586" s="98"/>
    </row>
    <row r="10587" spans="20:20" x14ac:dyDescent="0.25">
      <c r="T10587" s="98"/>
    </row>
    <row r="10588" spans="20:20" x14ac:dyDescent="0.25">
      <c r="T10588" s="98"/>
    </row>
    <row r="10589" spans="20:20" x14ac:dyDescent="0.25">
      <c r="T10589" s="98"/>
    </row>
    <row r="10590" spans="20:20" x14ac:dyDescent="0.25">
      <c r="T10590" s="98"/>
    </row>
    <row r="10591" spans="20:20" x14ac:dyDescent="0.25">
      <c r="T10591" s="98"/>
    </row>
    <row r="10592" spans="20:20" x14ac:dyDescent="0.25">
      <c r="T10592" s="98"/>
    </row>
    <row r="10593" spans="20:20" x14ac:dyDescent="0.25">
      <c r="T10593" s="98"/>
    </row>
    <row r="10594" spans="20:20" x14ac:dyDescent="0.25">
      <c r="T10594" s="98"/>
    </row>
    <row r="10595" spans="20:20" x14ac:dyDescent="0.25">
      <c r="T10595" s="98"/>
    </row>
    <row r="10596" spans="20:20" x14ac:dyDescent="0.25">
      <c r="T10596" s="98"/>
    </row>
    <row r="10597" spans="20:20" x14ac:dyDescent="0.25">
      <c r="T10597" s="98"/>
    </row>
    <row r="10598" spans="20:20" x14ac:dyDescent="0.25">
      <c r="T10598" s="98"/>
    </row>
    <row r="10599" spans="20:20" x14ac:dyDescent="0.25">
      <c r="T10599" s="98"/>
    </row>
    <row r="10600" spans="20:20" x14ac:dyDescent="0.25">
      <c r="T10600" s="98"/>
    </row>
    <row r="10601" spans="20:20" x14ac:dyDescent="0.25">
      <c r="T10601" s="98"/>
    </row>
    <row r="10602" spans="20:20" x14ac:dyDescent="0.25">
      <c r="T10602" s="98"/>
    </row>
    <row r="10603" spans="20:20" x14ac:dyDescent="0.25">
      <c r="T10603" s="98"/>
    </row>
    <row r="10604" spans="20:20" x14ac:dyDescent="0.25">
      <c r="T10604" s="98"/>
    </row>
    <row r="10605" spans="20:20" x14ac:dyDescent="0.25">
      <c r="T10605" s="98"/>
    </row>
    <row r="10606" spans="20:20" x14ac:dyDescent="0.25">
      <c r="T10606" s="98"/>
    </row>
    <row r="10607" spans="20:20" x14ac:dyDescent="0.25">
      <c r="T10607" s="98"/>
    </row>
    <row r="10608" spans="20:20" x14ac:dyDescent="0.25">
      <c r="T10608" s="98"/>
    </row>
    <row r="10609" spans="20:20" x14ac:dyDescent="0.25">
      <c r="T10609" s="98"/>
    </row>
    <row r="10610" spans="20:20" x14ac:dyDescent="0.25">
      <c r="T10610" s="98"/>
    </row>
    <row r="10611" spans="20:20" x14ac:dyDescent="0.25">
      <c r="T10611" s="98"/>
    </row>
    <row r="10612" spans="20:20" x14ac:dyDescent="0.25">
      <c r="T10612" s="98"/>
    </row>
    <row r="10613" spans="20:20" x14ac:dyDescent="0.25">
      <c r="T10613" s="98"/>
    </row>
    <row r="10614" spans="20:20" x14ac:dyDescent="0.25">
      <c r="T10614" s="98"/>
    </row>
    <row r="10615" spans="20:20" x14ac:dyDescent="0.25">
      <c r="T10615" s="98"/>
    </row>
    <row r="10616" spans="20:20" x14ac:dyDescent="0.25">
      <c r="T10616" s="98"/>
    </row>
    <row r="10617" spans="20:20" x14ac:dyDescent="0.25">
      <c r="T10617" s="98"/>
    </row>
    <row r="10618" spans="20:20" x14ac:dyDescent="0.25">
      <c r="T10618" s="98"/>
    </row>
    <row r="10619" spans="20:20" x14ac:dyDescent="0.25">
      <c r="T10619" s="98"/>
    </row>
    <row r="10620" spans="20:20" x14ac:dyDescent="0.25">
      <c r="T10620" s="98"/>
    </row>
    <row r="10621" spans="20:20" x14ac:dyDescent="0.25">
      <c r="T10621" s="98"/>
    </row>
    <row r="10622" spans="20:20" x14ac:dyDescent="0.25">
      <c r="T10622" s="98"/>
    </row>
    <row r="10623" spans="20:20" x14ac:dyDescent="0.25">
      <c r="T10623" s="98"/>
    </row>
    <row r="10624" spans="20:20" x14ac:dyDescent="0.25">
      <c r="T10624" s="98"/>
    </row>
    <row r="10625" spans="20:20" x14ac:dyDescent="0.25">
      <c r="T10625" s="98"/>
    </row>
    <row r="10626" spans="20:20" x14ac:dyDescent="0.25">
      <c r="T10626" s="98"/>
    </row>
    <row r="10627" spans="20:20" x14ac:dyDescent="0.25">
      <c r="T10627" s="98"/>
    </row>
    <row r="10628" spans="20:20" x14ac:dyDescent="0.25">
      <c r="T10628" s="98"/>
    </row>
    <row r="10629" spans="20:20" x14ac:dyDescent="0.25">
      <c r="T10629" s="98"/>
    </row>
    <row r="10630" spans="20:20" x14ac:dyDescent="0.25">
      <c r="T10630" s="98"/>
    </row>
    <row r="10631" spans="20:20" x14ac:dyDescent="0.25">
      <c r="T10631" s="98"/>
    </row>
    <row r="10632" spans="20:20" x14ac:dyDescent="0.25">
      <c r="T10632" s="98"/>
    </row>
    <row r="10633" spans="20:20" x14ac:dyDescent="0.25">
      <c r="T10633" s="98"/>
    </row>
    <row r="10634" spans="20:20" x14ac:dyDescent="0.25">
      <c r="T10634" s="98"/>
    </row>
    <row r="10635" spans="20:20" x14ac:dyDescent="0.25">
      <c r="T10635" s="98"/>
    </row>
    <row r="10636" spans="20:20" x14ac:dyDescent="0.25">
      <c r="T10636" s="98"/>
    </row>
    <row r="10637" spans="20:20" x14ac:dyDescent="0.25">
      <c r="T10637" s="98"/>
    </row>
    <row r="10638" spans="20:20" x14ac:dyDescent="0.25">
      <c r="T10638" s="98"/>
    </row>
    <row r="10639" spans="20:20" x14ac:dyDescent="0.25">
      <c r="T10639" s="98"/>
    </row>
    <row r="10640" spans="20:20" x14ac:dyDescent="0.25">
      <c r="T10640" s="98"/>
    </row>
    <row r="10641" spans="20:20" x14ac:dyDescent="0.25">
      <c r="T10641" s="98"/>
    </row>
    <row r="10642" spans="20:20" x14ac:dyDescent="0.25">
      <c r="T10642" s="98"/>
    </row>
    <row r="10643" spans="20:20" x14ac:dyDescent="0.25">
      <c r="T10643" s="98"/>
    </row>
    <row r="10644" spans="20:20" x14ac:dyDescent="0.25">
      <c r="T10644" s="98"/>
    </row>
    <row r="10645" spans="20:20" x14ac:dyDescent="0.25">
      <c r="T10645" s="98"/>
    </row>
    <row r="10646" spans="20:20" x14ac:dyDescent="0.25">
      <c r="T10646" s="98"/>
    </row>
    <row r="10647" spans="20:20" x14ac:dyDescent="0.25">
      <c r="T10647" s="98"/>
    </row>
    <row r="10648" spans="20:20" x14ac:dyDescent="0.25">
      <c r="T10648" s="98"/>
    </row>
    <row r="10649" spans="20:20" x14ac:dyDescent="0.25">
      <c r="T10649" s="98"/>
    </row>
    <row r="10650" spans="20:20" x14ac:dyDescent="0.25">
      <c r="T10650" s="98"/>
    </row>
    <row r="10651" spans="20:20" x14ac:dyDescent="0.25">
      <c r="T10651" s="98"/>
    </row>
    <row r="10652" spans="20:20" x14ac:dyDescent="0.25">
      <c r="T10652" s="98"/>
    </row>
    <row r="10653" spans="20:20" x14ac:dyDescent="0.25">
      <c r="T10653" s="98"/>
    </row>
    <row r="10654" spans="20:20" x14ac:dyDescent="0.25">
      <c r="T10654" s="98"/>
    </row>
    <row r="10655" spans="20:20" x14ac:dyDescent="0.25">
      <c r="T10655" s="98"/>
    </row>
    <row r="10656" spans="20:20" x14ac:dyDescent="0.25">
      <c r="T10656" s="98"/>
    </row>
    <row r="10657" spans="20:20" x14ac:dyDescent="0.25">
      <c r="T10657" s="98"/>
    </row>
    <row r="10658" spans="20:20" x14ac:dyDescent="0.25">
      <c r="T10658" s="98"/>
    </row>
    <row r="10659" spans="20:20" x14ac:dyDescent="0.25">
      <c r="T10659" s="98"/>
    </row>
    <row r="10660" spans="20:20" x14ac:dyDescent="0.25">
      <c r="T10660" s="98"/>
    </row>
    <row r="10661" spans="20:20" x14ac:dyDescent="0.25">
      <c r="T10661" s="98"/>
    </row>
    <row r="10662" spans="20:20" x14ac:dyDescent="0.25">
      <c r="T10662" s="98"/>
    </row>
    <row r="10663" spans="20:20" x14ac:dyDescent="0.25">
      <c r="T10663" s="98"/>
    </row>
    <row r="10664" spans="20:20" x14ac:dyDescent="0.25">
      <c r="T10664" s="98"/>
    </row>
    <row r="10665" spans="20:20" x14ac:dyDescent="0.25">
      <c r="T10665" s="98"/>
    </row>
    <row r="10666" spans="20:20" x14ac:dyDescent="0.25">
      <c r="T10666" s="98"/>
    </row>
    <row r="10667" spans="20:20" x14ac:dyDescent="0.25">
      <c r="T10667" s="98"/>
    </row>
    <row r="10668" spans="20:20" x14ac:dyDescent="0.25">
      <c r="T10668" s="98"/>
    </row>
    <row r="10669" spans="20:20" x14ac:dyDescent="0.25">
      <c r="T10669" s="98"/>
    </row>
    <row r="10670" spans="20:20" x14ac:dyDescent="0.25">
      <c r="T10670" s="98"/>
    </row>
    <row r="10671" spans="20:20" x14ac:dyDescent="0.25">
      <c r="T10671" s="98"/>
    </row>
    <row r="10672" spans="20:20" x14ac:dyDescent="0.25">
      <c r="T10672" s="98"/>
    </row>
    <row r="10673" spans="20:20" x14ac:dyDescent="0.25">
      <c r="T10673" s="98"/>
    </row>
    <row r="10674" spans="20:20" x14ac:dyDescent="0.25">
      <c r="T10674" s="98"/>
    </row>
    <row r="10675" spans="20:20" x14ac:dyDescent="0.25">
      <c r="T10675" s="98"/>
    </row>
    <row r="10676" spans="20:20" x14ac:dyDescent="0.25">
      <c r="T10676" s="98"/>
    </row>
    <row r="10677" spans="20:20" x14ac:dyDescent="0.25">
      <c r="T10677" s="98"/>
    </row>
    <row r="10678" spans="20:20" x14ac:dyDescent="0.25">
      <c r="T10678" s="98"/>
    </row>
    <row r="10679" spans="20:20" x14ac:dyDescent="0.25">
      <c r="T10679" s="98"/>
    </row>
    <row r="10680" spans="20:20" x14ac:dyDescent="0.25">
      <c r="T10680" s="98"/>
    </row>
    <row r="10681" spans="20:20" x14ac:dyDescent="0.25">
      <c r="T10681" s="98"/>
    </row>
    <row r="10682" spans="20:20" x14ac:dyDescent="0.25">
      <c r="T10682" s="98"/>
    </row>
    <row r="10683" spans="20:20" x14ac:dyDescent="0.25">
      <c r="T10683" s="98"/>
    </row>
    <row r="10684" spans="20:20" x14ac:dyDescent="0.25">
      <c r="T10684" s="98"/>
    </row>
    <row r="10685" spans="20:20" x14ac:dyDescent="0.25">
      <c r="T10685" s="98"/>
    </row>
    <row r="10686" spans="20:20" x14ac:dyDescent="0.25">
      <c r="T10686" s="98"/>
    </row>
    <row r="10687" spans="20:20" x14ac:dyDescent="0.25">
      <c r="T10687" s="98"/>
    </row>
    <row r="10688" spans="20:20" x14ac:dyDescent="0.25">
      <c r="T10688" s="98"/>
    </row>
    <row r="10689" spans="20:20" x14ac:dyDescent="0.25">
      <c r="T10689" s="98"/>
    </row>
    <row r="10690" spans="20:20" x14ac:dyDescent="0.25">
      <c r="T10690" s="98"/>
    </row>
    <row r="10691" spans="20:20" x14ac:dyDescent="0.25">
      <c r="T10691" s="98"/>
    </row>
    <row r="10692" spans="20:20" x14ac:dyDescent="0.25">
      <c r="T10692" s="98"/>
    </row>
    <row r="10693" spans="20:20" x14ac:dyDescent="0.25">
      <c r="T10693" s="98"/>
    </row>
    <row r="10694" spans="20:20" x14ac:dyDescent="0.25">
      <c r="T10694" s="98"/>
    </row>
    <row r="10695" spans="20:20" x14ac:dyDescent="0.25">
      <c r="T10695" s="98"/>
    </row>
    <row r="10696" spans="20:20" x14ac:dyDescent="0.25">
      <c r="T10696" s="98"/>
    </row>
    <row r="10697" spans="20:20" x14ac:dyDescent="0.25">
      <c r="T10697" s="98"/>
    </row>
    <row r="10698" spans="20:20" x14ac:dyDescent="0.25">
      <c r="T10698" s="98"/>
    </row>
    <row r="10699" spans="20:20" x14ac:dyDescent="0.25">
      <c r="T10699" s="98"/>
    </row>
    <row r="10700" spans="20:20" x14ac:dyDescent="0.25">
      <c r="T10700" s="98"/>
    </row>
    <row r="10701" spans="20:20" x14ac:dyDescent="0.25">
      <c r="T10701" s="98"/>
    </row>
    <row r="10702" spans="20:20" x14ac:dyDescent="0.25">
      <c r="T10702" s="98"/>
    </row>
    <row r="10703" spans="20:20" x14ac:dyDescent="0.25">
      <c r="T10703" s="98"/>
    </row>
    <row r="10704" spans="20:20" x14ac:dyDescent="0.25">
      <c r="T10704" s="98"/>
    </row>
    <row r="10705" spans="20:20" x14ac:dyDescent="0.25">
      <c r="T10705" s="98"/>
    </row>
    <row r="10706" spans="20:20" x14ac:dyDescent="0.25">
      <c r="T10706" s="98"/>
    </row>
    <row r="10707" spans="20:20" x14ac:dyDescent="0.25">
      <c r="T10707" s="98"/>
    </row>
    <row r="10708" spans="20:20" x14ac:dyDescent="0.25">
      <c r="T10708" s="98"/>
    </row>
    <row r="10709" spans="20:20" x14ac:dyDescent="0.25">
      <c r="T10709" s="98"/>
    </row>
    <row r="10710" spans="20:20" x14ac:dyDescent="0.25">
      <c r="T10710" s="98"/>
    </row>
    <row r="10711" spans="20:20" x14ac:dyDescent="0.25">
      <c r="T10711" s="98"/>
    </row>
    <row r="10712" spans="20:20" x14ac:dyDescent="0.25">
      <c r="T10712" s="98"/>
    </row>
    <row r="10713" spans="20:20" x14ac:dyDescent="0.25">
      <c r="T10713" s="98"/>
    </row>
    <row r="10714" spans="20:20" x14ac:dyDescent="0.25">
      <c r="T10714" s="98"/>
    </row>
    <row r="10715" spans="20:20" x14ac:dyDescent="0.25">
      <c r="T10715" s="98"/>
    </row>
    <row r="10716" spans="20:20" x14ac:dyDescent="0.25">
      <c r="T10716" s="98"/>
    </row>
    <row r="10717" spans="20:20" x14ac:dyDescent="0.25">
      <c r="T10717" s="98"/>
    </row>
    <row r="10718" spans="20:20" x14ac:dyDescent="0.25">
      <c r="T10718" s="98"/>
    </row>
    <row r="10719" spans="20:20" x14ac:dyDescent="0.25">
      <c r="T10719" s="98"/>
    </row>
    <row r="10720" spans="20:20" x14ac:dyDescent="0.25">
      <c r="T10720" s="98"/>
    </row>
    <row r="10721" spans="20:20" x14ac:dyDescent="0.25">
      <c r="T10721" s="98"/>
    </row>
    <row r="10722" spans="20:20" x14ac:dyDescent="0.25">
      <c r="T10722" s="98"/>
    </row>
    <row r="10723" spans="20:20" x14ac:dyDescent="0.25">
      <c r="T10723" s="98"/>
    </row>
    <row r="10724" spans="20:20" x14ac:dyDescent="0.25">
      <c r="T10724" s="98"/>
    </row>
    <row r="10725" spans="20:20" x14ac:dyDescent="0.25">
      <c r="T10725" s="98"/>
    </row>
    <row r="10726" spans="20:20" x14ac:dyDescent="0.25">
      <c r="T10726" s="98"/>
    </row>
    <row r="10727" spans="20:20" x14ac:dyDescent="0.25">
      <c r="T10727" s="98"/>
    </row>
    <row r="10728" spans="20:20" x14ac:dyDescent="0.25">
      <c r="T10728" s="98"/>
    </row>
    <row r="10729" spans="20:20" x14ac:dyDescent="0.25">
      <c r="T10729" s="98"/>
    </row>
    <row r="10730" spans="20:20" x14ac:dyDescent="0.25">
      <c r="T10730" s="98"/>
    </row>
    <row r="10731" spans="20:20" x14ac:dyDescent="0.25">
      <c r="T10731" s="98"/>
    </row>
    <row r="10732" spans="20:20" x14ac:dyDescent="0.25">
      <c r="T10732" s="98"/>
    </row>
    <row r="10733" spans="20:20" x14ac:dyDescent="0.25">
      <c r="T10733" s="98"/>
    </row>
    <row r="10734" spans="20:20" x14ac:dyDescent="0.25">
      <c r="T10734" s="98"/>
    </row>
    <row r="10735" spans="20:20" x14ac:dyDescent="0.25">
      <c r="T10735" s="98"/>
    </row>
    <row r="10736" spans="20:20" x14ac:dyDescent="0.25">
      <c r="T10736" s="98"/>
    </row>
    <row r="10737" spans="20:20" x14ac:dyDescent="0.25">
      <c r="T10737" s="98"/>
    </row>
    <row r="10738" spans="20:20" x14ac:dyDescent="0.25">
      <c r="T10738" s="98"/>
    </row>
    <row r="10739" spans="20:20" x14ac:dyDescent="0.25">
      <c r="T10739" s="98"/>
    </row>
    <row r="10740" spans="20:20" x14ac:dyDescent="0.25">
      <c r="T10740" s="98"/>
    </row>
    <row r="10741" spans="20:20" x14ac:dyDescent="0.25">
      <c r="T10741" s="98"/>
    </row>
    <row r="10742" spans="20:20" x14ac:dyDescent="0.25">
      <c r="T10742" s="98"/>
    </row>
    <row r="10743" spans="20:20" x14ac:dyDescent="0.25">
      <c r="T10743" s="98"/>
    </row>
    <row r="10744" spans="20:20" x14ac:dyDescent="0.25">
      <c r="T10744" s="98"/>
    </row>
    <row r="10745" spans="20:20" x14ac:dyDescent="0.25">
      <c r="T10745" s="98"/>
    </row>
    <row r="10746" spans="20:20" x14ac:dyDescent="0.25">
      <c r="T10746" s="98"/>
    </row>
    <row r="10747" spans="20:20" x14ac:dyDescent="0.25">
      <c r="T10747" s="98"/>
    </row>
    <row r="10748" spans="20:20" x14ac:dyDescent="0.25">
      <c r="T10748" s="98"/>
    </row>
    <row r="10749" spans="20:20" x14ac:dyDescent="0.25">
      <c r="T10749" s="98"/>
    </row>
    <row r="10750" spans="20:20" x14ac:dyDescent="0.25">
      <c r="T10750" s="98"/>
    </row>
    <row r="10751" spans="20:20" x14ac:dyDescent="0.25">
      <c r="T10751" s="98"/>
    </row>
    <row r="10752" spans="20:20" x14ac:dyDescent="0.25">
      <c r="T10752" s="98"/>
    </row>
    <row r="10753" spans="20:20" x14ac:dyDescent="0.25">
      <c r="T10753" s="98"/>
    </row>
    <row r="10754" spans="20:20" x14ac:dyDescent="0.25">
      <c r="T10754" s="98"/>
    </row>
    <row r="10755" spans="20:20" x14ac:dyDescent="0.25">
      <c r="T10755" s="98"/>
    </row>
    <row r="10756" spans="20:20" x14ac:dyDescent="0.25">
      <c r="T10756" s="98"/>
    </row>
    <row r="10757" spans="20:20" x14ac:dyDescent="0.25">
      <c r="T10757" s="98"/>
    </row>
    <row r="10758" spans="20:20" x14ac:dyDescent="0.25">
      <c r="T10758" s="98"/>
    </row>
    <row r="10759" spans="20:20" x14ac:dyDescent="0.25">
      <c r="T10759" s="98"/>
    </row>
    <row r="10760" spans="20:20" x14ac:dyDescent="0.25">
      <c r="T10760" s="98"/>
    </row>
    <row r="10761" spans="20:20" x14ac:dyDescent="0.25">
      <c r="T10761" s="98"/>
    </row>
    <row r="10762" spans="20:20" x14ac:dyDescent="0.25">
      <c r="T10762" s="98"/>
    </row>
    <row r="10763" spans="20:20" x14ac:dyDescent="0.25">
      <c r="T10763" s="98"/>
    </row>
    <row r="10764" spans="20:20" x14ac:dyDescent="0.25">
      <c r="T10764" s="98"/>
    </row>
    <row r="10765" spans="20:20" x14ac:dyDescent="0.25">
      <c r="T10765" s="98"/>
    </row>
    <row r="10766" spans="20:20" x14ac:dyDescent="0.25">
      <c r="T10766" s="98"/>
    </row>
    <row r="10767" spans="20:20" x14ac:dyDescent="0.25">
      <c r="T10767" s="98"/>
    </row>
    <row r="10768" spans="20:20" x14ac:dyDescent="0.25">
      <c r="T10768" s="98"/>
    </row>
    <row r="10769" spans="20:20" x14ac:dyDescent="0.25">
      <c r="T10769" s="98"/>
    </row>
    <row r="10770" spans="20:20" x14ac:dyDescent="0.25">
      <c r="T10770" s="98"/>
    </row>
    <row r="10771" spans="20:20" x14ac:dyDescent="0.25">
      <c r="T10771" s="98"/>
    </row>
    <row r="10772" spans="20:20" x14ac:dyDescent="0.25">
      <c r="T10772" s="98"/>
    </row>
    <row r="10773" spans="20:20" x14ac:dyDescent="0.25">
      <c r="T10773" s="98"/>
    </row>
    <row r="10774" spans="20:20" x14ac:dyDescent="0.25">
      <c r="T10774" s="98"/>
    </row>
    <row r="10775" spans="20:20" x14ac:dyDescent="0.25">
      <c r="T10775" s="98"/>
    </row>
    <row r="10776" spans="20:20" x14ac:dyDescent="0.25">
      <c r="T10776" s="98"/>
    </row>
    <row r="10777" spans="20:20" x14ac:dyDescent="0.25">
      <c r="T10777" s="98"/>
    </row>
    <row r="10778" spans="20:20" x14ac:dyDescent="0.25">
      <c r="T10778" s="98"/>
    </row>
    <row r="10779" spans="20:20" x14ac:dyDescent="0.25">
      <c r="T10779" s="98"/>
    </row>
    <row r="10780" spans="20:20" x14ac:dyDescent="0.25">
      <c r="T10780" s="98"/>
    </row>
    <row r="10781" spans="20:20" x14ac:dyDescent="0.25">
      <c r="T10781" s="98"/>
    </row>
    <row r="10782" spans="20:20" x14ac:dyDescent="0.25">
      <c r="T10782" s="98"/>
    </row>
    <row r="10783" spans="20:20" x14ac:dyDescent="0.25">
      <c r="T10783" s="98"/>
    </row>
    <row r="10784" spans="20:20" x14ac:dyDescent="0.25">
      <c r="T10784" s="98"/>
    </row>
    <row r="10785" spans="20:20" x14ac:dyDescent="0.25">
      <c r="T10785" s="98"/>
    </row>
    <row r="10786" spans="20:20" x14ac:dyDescent="0.25">
      <c r="T10786" s="98"/>
    </row>
    <row r="10787" spans="20:20" x14ac:dyDescent="0.25">
      <c r="T10787" s="98"/>
    </row>
    <row r="10788" spans="20:20" x14ac:dyDescent="0.25">
      <c r="T10788" s="98"/>
    </row>
    <row r="10789" spans="20:20" x14ac:dyDescent="0.25">
      <c r="T10789" s="98"/>
    </row>
    <row r="10790" spans="20:20" x14ac:dyDescent="0.25">
      <c r="T10790" s="98"/>
    </row>
    <row r="10791" spans="20:20" x14ac:dyDescent="0.25">
      <c r="T10791" s="98"/>
    </row>
    <row r="10792" spans="20:20" x14ac:dyDescent="0.25">
      <c r="T10792" s="98"/>
    </row>
    <row r="10793" spans="20:20" x14ac:dyDescent="0.25">
      <c r="T10793" s="98"/>
    </row>
    <row r="10794" spans="20:20" x14ac:dyDescent="0.25">
      <c r="T10794" s="98"/>
    </row>
    <row r="10795" spans="20:20" x14ac:dyDescent="0.25">
      <c r="T10795" s="98"/>
    </row>
    <row r="10796" spans="20:20" x14ac:dyDescent="0.25">
      <c r="T10796" s="98"/>
    </row>
    <row r="10797" spans="20:20" x14ac:dyDescent="0.25">
      <c r="T10797" s="98"/>
    </row>
    <row r="10798" spans="20:20" x14ac:dyDescent="0.25">
      <c r="T10798" s="98"/>
    </row>
    <row r="10799" spans="20:20" x14ac:dyDescent="0.25">
      <c r="T10799" s="98"/>
    </row>
    <row r="10800" spans="20:20" x14ac:dyDescent="0.25">
      <c r="T10800" s="98"/>
    </row>
    <row r="10801" spans="20:20" x14ac:dyDescent="0.25">
      <c r="T10801" s="98"/>
    </row>
    <row r="10802" spans="20:20" x14ac:dyDescent="0.25">
      <c r="T10802" s="98"/>
    </row>
    <row r="10803" spans="20:20" x14ac:dyDescent="0.25">
      <c r="T10803" s="98"/>
    </row>
    <row r="10804" spans="20:20" x14ac:dyDescent="0.25">
      <c r="T10804" s="98"/>
    </row>
    <row r="10805" spans="20:20" x14ac:dyDescent="0.25">
      <c r="T10805" s="98"/>
    </row>
    <row r="10806" spans="20:20" x14ac:dyDescent="0.25">
      <c r="T10806" s="98"/>
    </row>
    <row r="10807" spans="20:20" x14ac:dyDescent="0.25">
      <c r="T10807" s="98"/>
    </row>
    <row r="10808" spans="20:20" x14ac:dyDescent="0.25">
      <c r="T10808" s="98"/>
    </row>
    <row r="10809" spans="20:20" x14ac:dyDescent="0.25">
      <c r="T10809" s="98"/>
    </row>
    <row r="10810" spans="20:20" x14ac:dyDescent="0.25">
      <c r="T10810" s="98"/>
    </row>
    <row r="10811" spans="20:20" x14ac:dyDescent="0.25">
      <c r="T10811" s="98"/>
    </row>
    <row r="10812" spans="20:20" x14ac:dyDescent="0.25">
      <c r="T10812" s="98"/>
    </row>
    <row r="10813" spans="20:20" x14ac:dyDescent="0.25">
      <c r="T10813" s="98"/>
    </row>
    <row r="10814" spans="20:20" x14ac:dyDescent="0.25">
      <c r="T10814" s="98"/>
    </row>
    <row r="10815" spans="20:20" x14ac:dyDescent="0.25">
      <c r="T10815" s="98"/>
    </row>
    <row r="10816" spans="20:20" x14ac:dyDescent="0.25">
      <c r="T10816" s="98"/>
    </row>
    <row r="10817" spans="20:20" x14ac:dyDescent="0.25">
      <c r="T10817" s="98"/>
    </row>
    <row r="10818" spans="20:20" x14ac:dyDescent="0.25">
      <c r="T10818" s="98"/>
    </row>
    <row r="10819" spans="20:20" x14ac:dyDescent="0.25">
      <c r="T10819" s="98"/>
    </row>
    <row r="10820" spans="20:20" x14ac:dyDescent="0.25">
      <c r="T10820" s="98"/>
    </row>
    <row r="10821" spans="20:20" x14ac:dyDescent="0.25">
      <c r="T10821" s="98"/>
    </row>
    <row r="10822" spans="20:20" x14ac:dyDescent="0.25">
      <c r="T10822" s="98"/>
    </row>
    <row r="10823" spans="20:20" x14ac:dyDescent="0.25">
      <c r="T10823" s="98"/>
    </row>
    <row r="10824" spans="20:20" x14ac:dyDescent="0.25">
      <c r="T10824" s="98"/>
    </row>
    <row r="10825" spans="20:20" x14ac:dyDescent="0.25">
      <c r="T10825" s="98"/>
    </row>
    <row r="10826" spans="20:20" x14ac:dyDescent="0.25">
      <c r="T10826" s="98"/>
    </row>
    <row r="10827" spans="20:20" x14ac:dyDescent="0.25">
      <c r="T10827" s="98"/>
    </row>
    <row r="10828" spans="20:20" x14ac:dyDescent="0.25">
      <c r="T10828" s="98"/>
    </row>
    <row r="10829" spans="20:20" x14ac:dyDescent="0.25">
      <c r="T10829" s="98"/>
    </row>
    <row r="10830" spans="20:20" x14ac:dyDescent="0.25">
      <c r="T10830" s="98"/>
    </row>
    <row r="10831" spans="20:20" x14ac:dyDescent="0.25">
      <c r="T10831" s="98"/>
    </row>
    <row r="10832" spans="20:20" x14ac:dyDescent="0.25">
      <c r="T10832" s="98"/>
    </row>
    <row r="10833" spans="20:20" x14ac:dyDescent="0.25">
      <c r="T10833" s="98"/>
    </row>
    <row r="10834" spans="20:20" x14ac:dyDescent="0.25">
      <c r="T10834" s="98"/>
    </row>
    <row r="10835" spans="20:20" x14ac:dyDescent="0.25">
      <c r="T10835" s="98"/>
    </row>
    <row r="10836" spans="20:20" x14ac:dyDescent="0.25">
      <c r="T10836" s="98"/>
    </row>
    <row r="10837" spans="20:20" x14ac:dyDescent="0.25">
      <c r="T10837" s="98"/>
    </row>
    <row r="10838" spans="20:20" x14ac:dyDescent="0.25">
      <c r="T10838" s="98"/>
    </row>
    <row r="10839" spans="20:20" x14ac:dyDescent="0.25">
      <c r="T10839" s="98"/>
    </row>
    <row r="10840" spans="20:20" x14ac:dyDescent="0.25">
      <c r="T10840" s="98"/>
    </row>
    <row r="10841" spans="20:20" x14ac:dyDescent="0.25">
      <c r="T10841" s="98"/>
    </row>
    <row r="10842" spans="20:20" x14ac:dyDescent="0.25">
      <c r="T10842" s="98"/>
    </row>
    <row r="10843" spans="20:20" x14ac:dyDescent="0.25">
      <c r="T10843" s="98"/>
    </row>
    <row r="10844" spans="20:20" x14ac:dyDescent="0.25">
      <c r="T10844" s="98"/>
    </row>
    <row r="10845" spans="20:20" x14ac:dyDescent="0.25">
      <c r="T10845" s="98"/>
    </row>
    <row r="10846" spans="20:20" x14ac:dyDescent="0.25">
      <c r="T10846" s="98"/>
    </row>
    <row r="10847" spans="20:20" x14ac:dyDescent="0.25">
      <c r="T10847" s="98"/>
    </row>
    <row r="10848" spans="20:20" x14ac:dyDescent="0.25">
      <c r="T10848" s="98"/>
    </row>
    <row r="10849" spans="20:20" x14ac:dyDescent="0.25">
      <c r="T10849" s="98"/>
    </row>
    <row r="10850" spans="20:20" x14ac:dyDescent="0.25">
      <c r="T10850" s="98"/>
    </row>
    <row r="10851" spans="20:20" x14ac:dyDescent="0.25">
      <c r="T10851" s="98"/>
    </row>
    <row r="10852" spans="20:20" x14ac:dyDescent="0.25">
      <c r="T10852" s="98"/>
    </row>
    <row r="10853" spans="20:20" x14ac:dyDescent="0.25">
      <c r="T10853" s="98"/>
    </row>
    <row r="10854" spans="20:20" x14ac:dyDescent="0.25">
      <c r="T10854" s="98"/>
    </row>
    <row r="10855" spans="20:20" x14ac:dyDescent="0.25">
      <c r="T10855" s="98"/>
    </row>
    <row r="10856" spans="20:20" x14ac:dyDescent="0.25">
      <c r="T10856" s="98"/>
    </row>
    <row r="10857" spans="20:20" x14ac:dyDescent="0.25">
      <c r="T10857" s="98"/>
    </row>
    <row r="10858" spans="20:20" x14ac:dyDescent="0.25">
      <c r="T10858" s="98"/>
    </row>
    <row r="10859" spans="20:20" x14ac:dyDescent="0.25">
      <c r="T10859" s="98"/>
    </row>
    <row r="10860" spans="20:20" x14ac:dyDescent="0.25">
      <c r="T10860" s="98"/>
    </row>
    <row r="10861" spans="20:20" x14ac:dyDescent="0.25">
      <c r="T10861" s="98"/>
    </row>
    <row r="10862" spans="20:20" x14ac:dyDescent="0.25">
      <c r="T10862" s="98"/>
    </row>
    <row r="10863" spans="20:20" x14ac:dyDescent="0.25">
      <c r="T10863" s="98"/>
    </row>
    <row r="10864" spans="20:20" x14ac:dyDescent="0.25">
      <c r="T10864" s="98"/>
    </row>
    <row r="10865" spans="20:20" x14ac:dyDescent="0.25">
      <c r="T10865" s="98"/>
    </row>
    <row r="10866" spans="20:20" x14ac:dyDescent="0.25">
      <c r="T10866" s="98"/>
    </row>
    <row r="10867" spans="20:20" x14ac:dyDescent="0.25">
      <c r="T10867" s="98"/>
    </row>
    <row r="10868" spans="20:20" x14ac:dyDescent="0.25">
      <c r="T10868" s="98"/>
    </row>
    <row r="10869" spans="20:20" x14ac:dyDescent="0.25">
      <c r="T10869" s="98"/>
    </row>
    <row r="10870" spans="20:20" x14ac:dyDescent="0.25">
      <c r="T10870" s="98"/>
    </row>
    <row r="10871" spans="20:20" x14ac:dyDescent="0.25">
      <c r="T10871" s="98"/>
    </row>
    <row r="10872" spans="20:20" x14ac:dyDescent="0.25">
      <c r="T10872" s="98"/>
    </row>
    <row r="10873" spans="20:20" x14ac:dyDescent="0.25">
      <c r="T10873" s="98"/>
    </row>
    <row r="10874" spans="20:20" x14ac:dyDescent="0.25">
      <c r="T10874" s="98"/>
    </row>
    <row r="10875" spans="20:20" x14ac:dyDescent="0.25">
      <c r="T10875" s="98"/>
    </row>
    <row r="10876" spans="20:20" x14ac:dyDescent="0.25">
      <c r="T10876" s="98"/>
    </row>
    <row r="10877" spans="20:20" x14ac:dyDescent="0.25">
      <c r="T10877" s="98"/>
    </row>
    <row r="10878" spans="20:20" x14ac:dyDescent="0.25">
      <c r="T10878" s="98"/>
    </row>
    <row r="10879" spans="20:20" x14ac:dyDescent="0.25">
      <c r="T10879" s="98"/>
    </row>
    <row r="10880" spans="20:20" x14ac:dyDescent="0.25">
      <c r="T10880" s="98"/>
    </row>
    <row r="10881" spans="20:20" x14ac:dyDescent="0.25">
      <c r="T10881" s="98"/>
    </row>
    <row r="10882" spans="20:20" x14ac:dyDescent="0.25">
      <c r="T10882" s="98"/>
    </row>
    <row r="10883" spans="20:20" x14ac:dyDescent="0.25">
      <c r="T10883" s="98"/>
    </row>
    <row r="10884" spans="20:20" x14ac:dyDescent="0.25">
      <c r="T10884" s="98"/>
    </row>
    <row r="10885" spans="20:20" x14ac:dyDescent="0.25">
      <c r="T10885" s="98"/>
    </row>
    <row r="10886" spans="20:20" x14ac:dyDescent="0.25">
      <c r="T10886" s="98"/>
    </row>
    <row r="10887" spans="20:20" x14ac:dyDescent="0.25">
      <c r="T10887" s="98"/>
    </row>
    <row r="10888" spans="20:20" x14ac:dyDescent="0.25">
      <c r="T10888" s="98"/>
    </row>
    <row r="10889" spans="20:20" x14ac:dyDescent="0.25">
      <c r="T10889" s="98"/>
    </row>
    <row r="10890" spans="20:20" x14ac:dyDescent="0.25">
      <c r="T10890" s="98"/>
    </row>
    <row r="10891" spans="20:20" x14ac:dyDescent="0.25">
      <c r="T10891" s="98"/>
    </row>
    <row r="10892" spans="20:20" x14ac:dyDescent="0.25">
      <c r="T10892" s="98"/>
    </row>
    <row r="10893" spans="20:20" x14ac:dyDescent="0.25">
      <c r="T10893" s="98"/>
    </row>
    <row r="10894" spans="20:20" x14ac:dyDescent="0.25">
      <c r="T10894" s="98"/>
    </row>
    <row r="10895" spans="20:20" x14ac:dyDescent="0.25">
      <c r="T10895" s="98"/>
    </row>
    <row r="10896" spans="20:20" x14ac:dyDescent="0.25">
      <c r="T10896" s="98"/>
    </row>
    <row r="10897" spans="20:20" x14ac:dyDescent="0.25">
      <c r="T10897" s="98"/>
    </row>
    <row r="10898" spans="20:20" x14ac:dyDescent="0.25">
      <c r="T10898" s="98"/>
    </row>
    <row r="10899" spans="20:20" x14ac:dyDescent="0.25">
      <c r="T10899" s="98"/>
    </row>
    <row r="10900" spans="20:20" x14ac:dyDescent="0.25">
      <c r="T10900" s="98"/>
    </row>
    <row r="10901" spans="20:20" x14ac:dyDescent="0.25">
      <c r="T10901" s="98"/>
    </row>
    <row r="10902" spans="20:20" x14ac:dyDescent="0.25">
      <c r="T10902" s="98"/>
    </row>
    <row r="10903" spans="20:20" x14ac:dyDescent="0.25">
      <c r="T10903" s="98"/>
    </row>
    <row r="10904" spans="20:20" x14ac:dyDescent="0.25">
      <c r="T10904" s="98"/>
    </row>
    <row r="10905" spans="20:20" x14ac:dyDescent="0.25">
      <c r="T10905" s="98"/>
    </row>
    <row r="10906" spans="20:20" x14ac:dyDescent="0.25">
      <c r="T10906" s="98"/>
    </row>
    <row r="10907" spans="20:20" x14ac:dyDescent="0.25">
      <c r="T10907" s="98"/>
    </row>
    <row r="10908" spans="20:20" x14ac:dyDescent="0.25">
      <c r="T10908" s="98"/>
    </row>
    <row r="10909" spans="20:20" x14ac:dyDescent="0.25">
      <c r="T10909" s="98"/>
    </row>
    <row r="10910" spans="20:20" x14ac:dyDescent="0.25">
      <c r="T10910" s="98"/>
    </row>
    <row r="10911" spans="20:20" x14ac:dyDescent="0.25">
      <c r="T10911" s="98"/>
    </row>
    <row r="10912" spans="20:20" x14ac:dyDescent="0.25">
      <c r="T10912" s="98"/>
    </row>
    <row r="10913" spans="20:20" x14ac:dyDescent="0.25">
      <c r="T10913" s="98"/>
    </row>
    <row r="10914" spans="20:20" x14ac:dyDescent="0.25">
      <c r="T10914" s="98"/>
    </row>
    <row r="10915" spans="20:20" x14ac:dyDescent="0.25">
      <c r="T10915" s="98"/>
    </row>
    <row r="10916" spans="20:20" x14ac:dyDescent="0.25">
      <c r="T10916" s="98"/>
    </row>
    <row r="10917" spans="20:20" x14ac:dyDescent="0.25">
      <c r="T10917" s="98"/>
    </row>
    <row r="10918" spans="20:20" x14ac:dyDescent="0.25">
      <c r="T10918" s="98"/>
    </row>
    <row r="10919" spans="20:20" x14ac:dyDescent="0.25">
      <c r="T10919" s="98"/>
    </row>
    <row r="10920" spans="20:20" x14ac:dyDescent="0.25">
      <c r="T10920" s="98"/>
    </row>
    <row r="10921" spans="20:20" x14ac:dyDescent="0.25">
      <c r="T10921" s="98"/>
    </row>
    <row r="10922" spans="20:20" x14ac:dyDescent="0.25">
      <c r="T10922" s="98"/>
    </row>
    <row r="10923" spans="20:20" x14ac:dyDescent="0.25">
      <c r="T10923" s="98"/>
    </row>
    <row r="10924" spans="20:20" x14ac:dyDescent="0.25">
      <c r="T10924" s="98"/>
    </row>
    <row r="10925" spans="20:20" x14ac:dyDescent="0.25">
      <c r="T10925" s="98"/>
    </row>
    <row r="10926" spans="20:20" x14ac:dyDescent="0.25">
      <c r="T10926" s="98"/>
    </row>
    <row r="10927" spans="20:20" x14ac:dyDescent="0.25">
      <c r="T10927" s="98"/>
    </row>
    <row r="10928" spans="20:20" x14ac:dyDescent="0.25">
      <c r="T10928" s="98"/>
    </row>
    <row r="10929" spans="20:20" x14ac:dyDescent="0.25">
      <c r="T10929" s="98"/>
    </row>
    <row r="10930" spans="20:20" x14ac:dyDescent="0.25">
      <c r="T10930" s="98"/>
    </row>
    <row r="10931" spans="20:20" x14ac:dyDescent="0.25">
      <c r="T10931" s="98"/>
    </row>
    <row r="10932" spans="20:20" x14ac:dyDescent="0.25">
      <c r="T10932" s="98"/>
    </row>
    <row r="10933" spans="20:20" x14ac:dyDescent="0.25">
      <c r="T10933" s="98"/>
    </row>
    <row r="10934" spans="20:20" x14ac:dyDescent="0.25">
      <c r="T10934" s="98"/>
    </row>
    <row r="10935" spans="20:20" x14ac:dyDescent="0.25">
      <c r="T10935" s="98"/>
    </row>
    <row r="10936" spans="20:20" x14ac:dyDescent="0.25">
      <c r="T10936" s="98"/>
    </row>
    <row r="10937" spans="20:20" x14ac:dyDescent="0.25">
      <c r="T10937" s="98"/>
    </row>
    <row r="10938" spans="20:20" x14ac:dyDescent="0.25">
      <c r="T10938" s="98"/>
    </row>
    <row r="10939" spans="20:20" x14ac:dyDescent="0.25">
      <c r="T10939" s="98"/>
    </row>
    <row r="10940" spans="20:20" x14ac:dyDescent="0.25">
      <c r="T10940" s="98"/>
    </row>
    <row r="10941" spans="20:20" x14ac:dyDescent="0.25">
      <c r="T10941" s="98"/>
    </row>
    <row r="10942" spans="20:20" x14ac:dyDescent="0.25">
      <c r="T10942" s="98"/>
    </row>
    <row r="10943" spans="20:20" x14ac:dyDescent="0.25">
      <c r="T10943" s="98"/>
    </row>
    <row r="10944" spans="20:20" x14ac:dyDescent="0.25">
      <c r="T10944" s="98"/>
    </row>
    <row r="10945" spans="20:20" x14ac:dyDescent="0.25">
      <c r="T10945" s="98"/>
    </row>
    <row r="10946" spans="20:20" x14ac:dyDescent="0.25">
      <c r="T10946" s="98"/>
    </row>
    <row r="10947" spans="20:20" x14ac:dyDescent="0.25">
      <c r="T10947" s="98"/>
    </row>
    <row r="10948" spans="20:20" x14ac:dyDescent="0.25">
      <c r="T10948" s="98"/>
    </row>
    <row r="10949" spans="20:20" x14ac:dyDescent="0.25">
      <c r="T10949" s="98"/>
    </row>
    <row r="10950" spans="20:20" x14ac:dyDescent="0.25">
      <c r="T10950" s="98"/>
    </row>
    <row r="10951" spans="20:20" x14ac:dyDescent="0.25">
      <c r="T10951" s="98"/>
    </row>
    <row r="10952" spans="20:20" x14ac:dyDescent="0.25">
      <c r="T10952" s="98"/>
    </row>
    <row r="10953" spans="20:20" x14ac:dyDescent="0.25">
      <c r="T10953" s="98"/>
    </row>
    <row r="10954" spans="20:20" x14ac:dyDescent="0.25">
      <c r="T10954" s="98"/>
    </row>
    <row r="10955" spans="20:20" x14ac:dyDescent="0.25">
      <c r="T10955" s="98"/>
    </row>
    <row r="10956" spans="20:20" x14ac:dyDescent="0.25">
      <c r="T10956" s="98"/>
    </row>
    <row r="10957" spans="20:20" x14ac:dyDescent="0.25">
      <c r="T10957" s="98"/>
    </row>
    <row r="10958" spans="20:20" x14ac:dyDescent="0.25">
      <c r="T10958" s="98"/>
    </row>
    <row r="10959" spans="20:20" x14ac:dyDescent="0.25">
      <c r="T10959" s="98"/>
    </row>
    <row r="10960" spans="20:20" x14ac:dyDescent="0.25">
      <c r="T10960" s="98"/>
    </row>
    <row r="10961" spans="20:20" x14ac:dyDescent="0.25">
      <c r="T10961" s="98"/>
    </row>
    <row r="10962" spans="20:20" x14ac:dyDescent="0.25">
      <c r="T10962" s="98"/>
    </row>
    <row r="10963" spans="20:20" x14ac:dyDescent="0.25">
      <c r="T10963" s="98"/>
    </row>
    <row r="10964" spans="20:20" x14ac:dyDescent="0.25">
      <c r="T10964" s="98"/>
    </row>
    <row r="10965" spans="20:20" x14ac:dyDescent="0.25">
      <c r="T10965" s="98"/>
    </row>
    <row r="10966" spans="20:20" x14ac:dyDescent="0.25">
      <c r="T10966" s="98"/>
    </row>
    <row r="10967" spans="20:20" x14ac:dyDescent="0.25">
      <c r="T10967" s="98"/>
    </row>
    <row r="10968" spans="20:20" x14ac:dyDescent="0.25">
      <c r="T10968" s="98"/>
    </row>
    <row r="10969" spans="20:20" x14ac:dyDescent="0.25">
      <c r="T10969" s="98"/>
    </row>
    <row r="10970" spans="20:20" x14ac:dyDescent="0.25">
      <c r="T10970" s="98"/>
    </row>
    <row r="10971" spans="20:20" x14ac:dyDescent="0.25">
      <c r="T10971" s="98"/>
    </row>
    <row r="10972" spans="20:20" x14ac:dyDescent="0.25">
      <c r="T10972" s="98"/>
    </row>
    <row r="10973" spans="20:20" x14ac:dyDescent="0.25">
      <c r="T10973" s="98"/>
    </row>
    <row r="10974" spans="20:20" x14ac:dyDescent="0.25">
      <c r="T10974" s="98"/>
    </row>
    <row r="10975" spans="20:20" x14ac:dyDescent="0.25">
      <c r="T10975" s="98"/>
    </row>
    <row r="10976" spans="20:20" x14ac:dyDescent="0.25">
      <c r="T10976" s="98"/>
    </row>
    <row r="10977" spans="20:20" x14ac:dyDescent="0.25">
      <c r="T10977" s="98"/>
    </row>
    <row r="10978" spans="20:20" x14ac:dyDescent="0.25">
      <c r="T10978" s="98"/>
    </row>
    <row r="10979" spans="20:20" x14ac:dyDescent="0.25">
      <c r="T10979" s="98"/>
    </row>
    <row r="10980" spans="20:20" x14ac:dyDescent="0.25">
      <c r="T10980" s="98"/>
    </row>
    <row r="10981" spans="20:20" x14ac:dyDescent="0.25">
      <c r="T10981" s="98"/>
    </row>
    <row r="10982" spans="20:20" x14ac:dyDescent="0.25">
      <c r="T10982" s="98"/>
    </row>
    <row r="10983" spans="20:20" x14ac:dyDescent="0.25">
      <c r="T10983" s="98"/>
    </row>
    <row r="10984" spans="20:20" x14ac:dyDescent="0.25">
      <c r="T10984" s="98"/>
    </row>
    <row r="10985" spans="20:20" x14ac:dyDescent="0.25">
      <c r="T10985" s="98"/>
    </row>
    <row r="10986" spans="20:20" x14ac:dyDescent="0.25">
      <c r="T10986" s="98"/>
    </row>
    <row r="10987" spans="20:20" x14ac:dyDescent="0.25">
      <c r="T10987" s="98"/>
    </row>
    <row r="10988" spans="20:20" x14ac:dyDescent="0.25">
      <c r="T10988" s="98"/>
    </row>
    <row r="10989" spans="20:20" x14ac:dyDescent="0.25">
      <c r="T10989" s="98"/>
    </row>
    <row r="10990" spans="20:20" x14ac:dyDescent="0.25">
      <c r="T10990" s="98"/>
    </row>
    <row r="10991" spans="20:20" x14ac:dyDescent="0.25">
      <c r="T10991" s="98"/>
    </row>
    <row r="10992" spans="20:20" x14ac:dyDescent="0.25">
      <c r="T10992" s="98"/>
    </row>
    <row r="10993" spans="20:20" x14ac:dyDescent="0.25">
      <c r="T10993" s="98"/>
    </row>
    <row r="10994" spans="20:20" x14ac:dyDescent="0.25">
      <c r="T10994" s="98"/>
    </row>
    <row r="10995" spans="20:20" x14ac:dyDescent="0.25">
      <c r="T10995" s="98"/>
    </row>
    <row r="10996" spans="20:20" x14ac:dyDescent="0.25">
      <c r="T10996" s="98"/>
    </row>
    <row r="10997" spans="20:20" x14ac:dyDescent="0.25">
      <c r="T10997" s="98"/>
    </row>
    <row r="10998" spans="20:20" x14ac:dyDescent="0.25">
      <c r="T10998" s="98"/>
    </row>
    <row r="10999" spans="20:20" x14ac:dyDescent="0.25">
      <c r="T10999" s="98"/>
    </row>
    <row r="11000" spans="20:20" x14ac:dyDescent="0.25">
      <c r="T11000" s="98"/>
    </row>
    <row r="11001" spans="20:20" x14ac:dyDescent="0.25">
      <c r="T11001" s="98"/>
    </row>
    <row r="11002" spans="20:20" x14ac:dyDescent="0.25">
      <c r="T11002" s="98"/>
    </row>
    <row r="11003" spans="20:20" x14ac:dyDescent="0.25">
      <c r="T11003" s="98"/>
    </row>
    <row r="11004" spans="20:20" x14ac:dyDescent="0.25">
      <c r="T11004" s="98"/>
    </row>
    <row r="11005" spans="20:20" x14ac:dyDescent="0.25">
      <c r="T11005" s="98"/>
    </row>
    <row r="11006" spans="20:20" x14ac:dyDescent="0.25">
      <c r="T11006" s="98"/>
    </row>
    <row r="11007" spans="20:20" x14ac:dyDescent="0.25">
      <c r="T11007" s="98"/>
    </row>
    <row r="11008" spans="20:20" x14ac:dyDescent="0.25">
      <c r="T11008" s="98"/>
    </row>
    <row r="11009" spans="20:20" x14ac:dyDescent="0.25">
      <c r="T11009" s="98"/>
    </row>
    <row r="11010" spans="20:20" x14ac:dyDescent="0.25">
      <c r="T11010" s="98"/>
    </row>
    <row r="11011" spans="20:20" x14ac:dyDescent="0.25">
      <c r="T11011" s="98"/>
    </row>
    <row r="11012" spans="20:20" x14ac:dyDescent="0.25">
      <c r="T11012" s="98"/>
    </row>
    <row r="11013" spans="20:20" x14ac:dyDescent="0.25">
      <c r="T11013" s="98"/>
    </row>
    <row r="11014" spans="20:20" x14ac:dyDescent="0.25">
      <c r="T11014" s="98"/>
    </row>
    <row r="11015" spans="20:20" x14ac:dyDescent="0.25">
      <c r="T11015" s="98"/>
    </row>
    <row r="11016" spans="20:20" x14ac:dyDescent="0.25">
      <c r="T11016" s="98"/>
    </row>
    <row r="11017" spans="20:20" x14ac:dyDescent="0.25">
      <c r="T11017" s="98"/>
    </row>
    <row r="11018" spans="20:20" x14ac:dyDescent="0.25">
      <c r="T11018" s="98"/>
    </row>
    <row r="11019" spans="20:20" x14ac:dyDescent="0.25">
      <c r="T11019" s="98"/>
    </row>
    <row r="11020" spans="20:20" x14ac:dyDescent="0.25">
      <c r="T11020" s="98"/>
    </row>
    <row r="11021" spans="20:20" x14ac:dyDescent="0.25">
      <c r="T11021" s="98"/>
    </row>
    <row r="11022" spans="20:20" x14ac:dyDescent="0.25">
      <c r="T11022" s="98"/>
    </row>
    <row r="11023" spans="20:20" x14ac:dyDescent="0.25">
      <c r="T11023" s="98"/>
    </row>
    <row r="11024" spans="20:20" x14ac:dyDescent="0.25">
      <c r="T11024" s="98"/>
    </row>
    <row r="11025" spans="20:20" x14ac:dyDescent="0.25">
      <c r="T11025" s="98"/>
    </row>
    <row r="11026" spans="20:20" x14ac:dyDescent="0.25">
      <c r="T11026" s="98"/>
    </row>
    <row r="11027" spans="20:20" x14ac:dyDescent="0.25">
      <c r="T11027" s="98"/>
    </row>
    <row r="11028" spans="20:20" x14ac:dyDescent="0.25">
      <c r="T11028" s="98"/>
    </row>
    <row r="11029" spans="20:20" x14ac:dyDescent="0.25">
      <c r="T11029" s="98"/>
    </row>
    <row r="11030" spans="20:20" x14ac:dyDescent="0.25">
      <c r="T11030" s="98"/>
    </row>
    <row r="11031" spans="20:20" x14ac:dyDescent="0.25">
      <c r="T11031" s="98"/>
    </row>
    <row r="11032" spans="20:20" x14ac:dyDescent="0.25">
      <c r="T11032" s="98"/>
    </row>
    <row r="11033" spans="20:20" x14ac:dyDescent="0.25">
      <c r="T11033" s="98"/>
    </row>
    <row r="11034" spans="20:20" x14ac:dyDescent="0.25">
      <c r="T11034" s="98"/>
    </row>
    <row r="11035" spans="20:20" x14ac:dyDescent="0.25">
      <c r="T11035" s="98"/>
    </row>
    <row r="11036" spans="20:20" x14ac:dyDescent="0.25">
      <c r="T11036" s="98"/>
    </row>
    <row r="11037" spans="20:20" x14ac:dyDescent="0.25">
      <c r="T11037" s="98"/>
    </row>
    <row r="11038" spans="20:20" x14ac:dyDescent="0.25">
      <c r="T11038" s="98"/>
    </row>
    <row r="11039" spans="20:20" x14ac:dyDescent="0.25">
      <c r="T11039" s="98"/>
    </row>
    <row r="11040" spans="20:20" x14ac:dyDescent="0.25">
      <c r="T11040" s="98"/>
    </row>
    <row r="11041" spans="20:20" x14ac:dyDescent="0.25">
      <c r="T11041" s="98"/>
    </row>
    <row r="11042" spans="20:20" x14ac:dyDescent="0.25">
      <c r="T11042" s="98"/>
    </row>
    <row r="11043" spans="20:20" x14ac:dyDescent="0.25">
      <c r="T11043" s="98"/>
    </row>
    <row r="11044" spans="20:20" x14ac:dyDescent="0.25">
      <c r="T11044" s="98"/>
    </row>
    <row r="11045" spans="20:20" x14ac:dyDescent="0.25">
      <c r="T11045" s="98"/>
    </row>
    <row r="11046" spans="20:20" x14ac:dyDescent="0.25">
      <c r="T11046" s="98"/>
    </row>
    <row r="11047" spans="20:20" x14ac:dyDescent="0.25">
      <c r="T11047" s="98"/>
    </row>
    <row r="11048" spans="20:20" x14ac:dyDescent="0.25">
      <c r="T11048" s="98"/>
    </row>
    <row r="11049" spans="20:20" x14ac:dyDescent="0.25">
      <c r="T11049" s="98"/>
    </row>
    <row r="11050" spans="20:20" x14ac:dyDescent="0.25">
      <c r="T11050" s="98"/>
    </row>
    <row r="11051" spans="20:20" x14ac:dyDescent="0.25">
      <c r="T11051" s="98"/>
    </row>
    <row r="11052" spans="20:20" x14ac:dyDescent="0.25">
      <c r="T11052" s="98"/>
    </row>
    <row r="11053" spans="20:20" x14ac:dyDescent="0.25">
      <c r="T11053" s="98"/>
    </row>
    <row r="11054" spans="20:20" x14ac:dyDescent="0.25">
      <c r="T11054" s="98"/>
    </row>
    <row r="11055" spans="20:20" x14ac:dyDescent="0.25">
      <c r="T11055" s="98"/>
    </row>
    <row r="11056" spans="20:20" x14ac:dyDescent="0.25">
      <c r="T11056" s="98"/>
    </row>
    <row r="11057" spans="20:20" x14ac:dyDescent="0.25">
      <c r="T11057" s="98"/>
    </row>
    <row r="11058" spans="20:20" x14ac:dyDescent="0.25">
      <c r="T11058" s="98"/>
    </row>
    <row r="11059" spans="20:20" x14ac:dyDescent="0.25">
      <c r="T11059" s="98"/>
    </row>
    <row r="11060" spans="20:20" x14ac:dyDescent="0.25">
      <c r="T11060" s="98"/>
    </row>
    <row r="11061" spans="20:20" x14ac:dyDescent="0.25">
      <c r="T11061" s="98"/>
    </row>
    <row r="11062" spans="20:20" x14ac:dyDescent="0.25">
      <c r="T11062" s="98"/>
    </row>
    <row r="11063" spans="20:20" x14ac:dyDescent="0.25">
      <c r="T11063" s="98"/>
    </row>
    <row r="11064" spans="20:20" x14ac:dyDescent="0.25">
      <c r="T11064" s="98"/>
    </row>
    <row r="11065" spans="20:20" x14ac:dyDescent="0.25">
      <c r="T11065" s="98"/>
    </row>
    <row r="11066" spans="20:20" x14ac:dyDescent="0.25">
      <c r="T11066" s="98"/>
    </row>
    <row r="11067" spans="20:20" x14ac:dyDescent="0.25">
      <c r="T11067" s="98"/>
    </row>
    <row r="11068" spans="20:20" x14ac:dyDescent="0.25">
      <c r="T11068" s="98"/>
    </row>
    <row r="11069" spans="20:20" x14ac:dyDescent="0.25">
      <c r="T11069" s="98"/>
    </row>
    <row r="11070" spans="20:20" x14ac:dyDescent="0.25">
      <c r="T11070" s="98"/>
    </row>
    <row r="11071" spans="20:20" x14ac:dyDescent="0.25">
      <c r="T11071" s="98"/>
    </row>
    <row r="11072" spans="20:20" x14ac:dyDescent="0.25">
      <c r="T11072" s="98"/>
    </row>
    <row r="11073" spans="20:20" x14ac:dyDescent="0.25">
      <c r="T11073" s="98"/>
    </row>
    <row r="11074" spans="20:20" x14ac:dyDescent="0.25">
      <c r="T11074" s="98"/>
    </row>
    <row r="11075" spans="20:20" x14ac:dyDescent="0.25">
      <c r="T11075" s="98"/>
    </row>
    <row r="11076" spans="20:20" x14ac:dyDescent="0.25">
      <c r="T11076" s="98"/>
    </row>
    <row r="11077" spans="20:20" x14ac:dyDescent="0.25">
      <c r="T11077" s="98"/>
    </row>
    <row r="11078" spans="20:20" x14ac:dyDescent="0.25">
      <c r="T11078" s="98"/>
    </row>
    <row r="11079" spans="20:20" x14ac:dyDescent="0.25">
      <c r="T11079" s="98"/>
    </row>
    <row r="11080" spans="20:20" x14ac:dyDescent="0.25">
      <c r="T11080" s="98"/>
    </row>
    <row r="11081" spans="20:20" x14ac:dyDescent="0.25">
      <c r="T11081" s="98"/>
    </row>
    <row r="11082" spans="20:20" x14ac:dyDescent="0.25">
      <c r="T11082" s="98"/>
    </row>
    <row r="11083" spans="20:20" x14ac:dyDescent="0.25">
      <c r="T11083" s="98"/>
    </row>
    <row r="11084" spans="20:20" x14ac:dyDescent="0.25">
      <c r="T11084" s="98"/>
    </row>
    <row r="11085" spans="20:20" x14ac:dyDescent="0.25">
      <c r="T11085" s="98"/>
    </row>
    <row r="11086" spans="20:20" x14ac:dyDescent="0.25">
      <c r="T11086" s="98"/>
    </row>
    <row r="11087" spans="20:20" x14ac:dyDescent="0.25">
      <c r="T11087" s="98"/>
    </row>
    <row r="11088" spans="20:20" x14ac:dyDescent="0.25">
      <c r="T11088" s="98"/>
    </row>
    <row r="11089" spans="20:20" x14ac:dyDescent="0.25">
      <c r="T11089" s="98"/>
    </row>
    <row r="11090" spans="20:20" x14ac:dyDescent="0.25">
      <c r="T11090" s="98"/>
    </row>
    <row r="11091" spans="20:20" x14ac:dyDescent="0.25">
      <c r="T11091" s="98"/>
    </row>
    <row r="11092" spans="20:20" x14ac:dyDescent="0.25">
      <c r="T11092" s="98"/>
    </row>
    <row r="11093" spans="20:20" x14ac:dyDescent="0.25">
      <c r="T11093" s="98"/>
    </row>
    <row r="11094" spans="20:20" x14ac:dyDescent="0.25">
      <c r="T11094" s="98"/>
    </row>
    <row r="11095" spans="20:20" x14ac:dyDescent="0.25">
      <c r="T11095" s="98"/>
    </row>
    <row r="11096" spans="20:20" x14ac:dyDescent="0.25">
      <c r="T11096" s="98"/>
    </row>
    <row r="11097" spans="20:20" x14ac:dyDescent="0.25">
      <c r="T11097" s="98"/>
    </row>
    <row r="11098" spans="20:20" x14ac:dyDescent="0.25">
      <c r="T11098" s="98"/>
    </row>
    <row r="11099" spans="20:20" x14ac:dyDescent="0.25">
      <c r="T11099" s="98"/>
    </row>
    <row r="11100" spans="20:20" x14ac:dyDescent="0.25">
      <c r="T11100" s="98"/>
    </row>
    <row r="11101" spans="20:20" x14ac:dyDescent="0.25">
      <c r="T11101" s="98"/>
    </row>
    <row r="11102" spans="20:20" x14ac:dyDescent="0.25">
      <c r="T11102" s="98"/>
    </row>
    <row r="11103" spans="20:20" x14ac:dyDescent="0.25">
      <c r="T11103" s="98"/>
    </row>
    <row r="11104" spans="20:20" x14ac:dyDescent="0.25">
      <c r="T11104" s="98"/>
    </row>
    <row r="11105" spans="20:20" x14ac:dyDescent="0.25">
      <c r="T11105" s="98"/>
    </row>
    <row r="11106" spans="20:20" x14ac:dyDescent="0.25">
      <c r="T11106" s="98"/>
    </row>
    <row r="11107" spans="20:20" x14ac:dyDescent="0.25">
      <c r="T11107" s="98"/>
    </row>
    <row r="11108" spans="20:20" x14ac:dyDescent="0.25">
      <c r="T11108" s="98"/>
    </row>
    <row r="11109" spans="20:20" x14ac:dyDescent="0.25">
      <c r="T11109" s="98"/>
    </row>
    <row r="11110" spans="20:20" x14ac:dyDescent="0.25">
      <c r="T11110" s="98"/>
    </row>
    <row r="11111" spans="20:20" x14ac:dyDescent="0.25">
      <c r="T11111" s="98"/>
    </row>
    <row r="11112" spans="20:20" x14ac:dyDescent="0.25">
      <c r="T11112" s="98"/>
    </row>
    <row r="11113" spans="20:20" x14ac:dyDescent="0.25">
      <c r="T11113" s="98"/>
    </row>
    <row r="11114" spans="20:20" x14ac:dyDescent="0.25">
      <c r="T11114" s="98"/>
    </row>
    <row r="11115" spans="20:20" x14ac:dyDescent="0.25">
      <c r="T11115" s="98"/>
    </row>
    <row r="11116" spans="20:20" x14ac:dyDescent="0.25">
      <c r="T11116" s="98"/>
    </row>
    <row r="11117" spans="20:20" x14ac:dyDescent="0.25">
      <c r="T11117" s="98"/>
    </row>
    <row r="11118" spans="20:20" x14ac:dyDescent="0.25">
      <c r="T11118" s="98"/>
    </row>
    <row r="11119" spans="20:20" x14ac:dyDescent="0.25">
      <c r="T11119" s="98"/>
    </row>
    <row r="11120" spans="20:20" x14ac:dyDescent="0.25">
      <c r="T11120" s="98"/>
    </row>
    <row r="11121" spans="20:20" x14ac:dyDescent="0.25">
      <c r="T11121" s="98"/>
    </row>
    <row r="11122" spans="20:20" x14ac:dyDescent="0.25">
      <c r="T11122" s="98"/>
    </row>
    <row r="11123" spans="20:20" x14ac:dyDescent="0.25">
      <c r="T11123" s="98"/>
    </row>
    <row r="11124" spans="20:20" x14ac:dyDescent="0.25">
      <c r="T11124" s="98"/>
    </row>
    <row r="11125" spans="20:20" x14ac:dyDescent="0.25">
      <c r="T11125" s="98"/>
    </row>
    <row r="11126" spans="20:20" x14ac:dyDescent="0.25">
      <c r="T11126" s="98"/>
    </row>
    <row r="11127" spans="20:20" x14ac:dyDescent="0.25">
      <c r="T11127" s="98"/>
    </row>
    <row r="11128" spans="20:20" x14ac:dyDescent="0.25">
      <c r="T11128" s="98"/>
    </row>
    <row r="11129" spans="20:20" x14ac:dyDescent="0.25">
      <c r="T11129" s="98"/>
    </row>
    <row r="11130" spans="20:20" x14ac:dyDescent="0.25">
      <c r="T11130" s="98"/>
    </row>
    <row r="11131" spans="20:20" x14ac:dyDescent="0.25">
      <c r="T11131" s="98"/>
    </row>
    <row r="11132" spans="20:20" x14ac:dyDescent="0.25">
      <c r="T11132" s="98"/>
    </row>
    <row r="11133" spans="20:20" x14ac:dyDescent="0.25">
      <c r="T11133" s="98"/>
    </row>
    <row r="11134" spans="20:20" x14ac:dyDescent="0.25">
      <c r="T11134" s="98"/>
    </row>
    <row r="11135" spans="20:20" x14ac:dyDescent="0.25">
      <c r="T11135" s="98"/>
    </row>
    <row r="11136" spans="20:20" x14ac:dyDescent="0.25">
      <c r="T11136" s="98"/>
    </row>
    <row r="11137" spans="20:20" x14ac:dyDescent="0.25">
      <c r="T11137" s="98"/>
    </row>
    <row r="11138" spans="20:20" x14ac:dyDescent="0.25">
      <c r="T11138" s="98"/>
    </row>
    <row r="11139" spans="20:20" x14ac:dyDescent="0.25">
      <c r="T11139" s="98"/>
    </row>
    <row r="11140" spans="20:20" x14ac:dyDescent="0.25">
      <c r="T11140" s="98"/>
    </row>
    <row r="11141" spans="20:20" x14ac:dyDescent="0.25">
      <c r="T11141" s="98"/>
    </row>
    <row r="11142" spans="20:20" x14ac:dyDescent="0.25">
      <c r="T11142" s="98"/>
    </row>
    <row r="11143" spans="20:20" x14ac:dyDescent="0.25">
      <c r="T11143" s="98"/>
    </row>
    <row r="11144" spans="20:20" x14ac:dyDescent="0.25">
      <c r="T11144" s="98"/>
    </row>
    <row r="11145" spans="20:20" x14ac:dyDescent="0.25">
      <c r="T11145" s="98"/>
    </row>
    <row r="11146" spans="20:20" x14ac:dyDescent="0.25">
      <c r="T11146" s="98"/>
    </row>
    <row r="11147" spans="20:20" x14ac:dyDescent="0.25">
      <c r="T11147" s="98"/>
    </row>
    <row r="11148" spans="20:20" x14ac:dyDescent="0.25">
      <c r="T11148" s="98"/>
    </row>
    <row r="11149" spans="20:20" x14ac:dyDescent="0.25">
      <c r="T11149" s="98"/>
    </row>
    <row r="11150" spans="20:20" x14ac:dyDescent="0.25">
      <c r="T11150" s="98"/>
    </row>
    <row r="11151" spans="20:20" x14ac:dyDescent="0.25">
      <c r="T11151" s="98"/>
    </row>
    <row r="11152" spans="20:20" x14ac:dyDescent="0.25">
      <c r="T11152" s="98"/>
    </row>
    <row r="11153" spans="20:20" x14ac:dyDescent="0.25">
      <c r="T11153" s="98"/>
    </row>
    <row r="11154" spans="20:20" x14ac:dyDescent="0.25">
      <c r="T11154" s="98"/>
    </row>
    <row r="11155" spans="20:20" x14ac:dyDescent="0.25">
      <c r="T11155" s="98"/>
    </row>
    <row r="11156" spans="20:20" x14ac:dyDescent="0.25">
      <c r="T11156" s="98"/>
    </row>
    <row r="11157" spans="20:20" x14ac:dyDescent="0.25">
      <c r="T11157" s="98"/>
    </row>
    <row r="11158" spans="20:20" x14ac:dyDescent="0.25">
      <c r="T11158" s="98"/>
    </row>
    <row r="11159" spans="20:20" x14ac:dyDescent="0.25">
      <c r="T11159" s="98"/>
    </row>
    <row r="11160" spans="20:20" x14ac:dyDescent="0.25">
      <c r="T11160" s="98"/>
    </row>
    <row r="11161" spans="20:20" x14ac:dyDescent="0.25">
      <c r="T11161" s="98"/>
    </row>
    <row r="11162" spans="20:20" x14ac:dyDescent="0.25">
      <c r="T11162" s="98"/>
    </row>
    <row r="11163" spans="20:20" x14ac:dyDescent="0.25">
      <c r="T11163" s="98"/>
    </row>
    <row r="11164" spans="20:20" x14ac:dyDescent="0.25">
      <c r="T11164" s="98"/>
    </row>
    <row r="11165" spans="20:20" x14ac:dyDescent="0.25">
      <c r="T11165" s="98"/>
    </row>
    <row r="11166" spans="20:20" x14ac:dyDescent="0.25">
      <c r="T11166" s="98"/>
    </row>
    <row r="11167" spans="20:20" x14ac:dyDescent="0.25">
      <c r="T11167" s="98"/>
    </row>
    <row r="11168" spans="20:20" x14ac:dyDescent="0.25">
      <c r="T11168" s="98"/>
    </row>
    <row r="11169" spans="20:20" x14ac:dyDescent="0.25">
      <c r="T11169" s="98"/>
    </row>
    <row r="11170" spans="20:20" x14ac:dyDescent="0.25">
      <c r="T11170" s="98"/>
    </row>
    <row r="11171" spans="20:20" x14ac:dyDescent="0.25">
      <c r="T11171" s="98"/>
    </row>
    <row r="11172" spans="20:20" x14ac:dyDescent="0.25">
      <c r="T11172" s="98"/>
    </row>
    <row r="11173" spans="20:20" x14ac:dyDescent="0.25">
      <c r="T11173" s="98"/>
    </row>
    <row r="11174" spans="20:20" x14ac:dyDescent="0.25">
      <c r="T11174" s="98"/>
    </row>
    <row r="11175" spans="20:20" x14ac:dyDescent="0.25">
      <c r="T11175" s="98"/>
    </row>
    <row r="11176" spans="20:20" x14ac:dyDescent="0.25">
      <c r="T11176" s="98"/>
    </row>
    <row r="11177" spans="20:20" x14ac:dyDescent="0.25">
      <c r="T11177" s="98"/>
    </row>
    <row r="11178" spans="20:20" x14ac:dyDescent="0.25">
      <c r="T11178" s="98"/>
    </row>
    <row r="11179" spans="20:20" x14ac:dyDescent="0.25">
      <c r="T11179" s="98"/>
    </row>
    <row r="11180" spans="20:20" x14ac:dyDescent="0.25">
      <c r="T11180" s="98"/>
    </row>
    <row r="11181" spans="20:20" x14ac:dyDescent="0.25">
      <c r="T11181" s="98"/>
    </row>
    <row r="11182" spans="20:20" x14ac:dyDescent="0.25">
      <c r="T11182" s="98"/>
    </row>
    <row r="11183" spans="20:20" x14ac:dyDescent="0.25">
      <c r="T11183" s="98"/>
    </row>
    <row r="11184" spans="20:20" x14ac:dyDescent="0.25">
      <c r="T11184" s="98"/>
    </row>
    <row r="11185" spans="20:20" x14ac:dyDescent="0.25">
      <c r="T11185" s="98"/>
    </row>
    <row r="11186" spans="20:20" x14ac:dyDescent="0.25">
      <c r="T11186" s="98"/>
    </row>
    <row r="11187" spans="20:20" x14ac:dyDescent="0.25">
      <c r="T11187" s="98"/>
    </row>
    <row r="11188" spans="20:20" x14ac:dyDescent="0.25">
      <c r="T11188" s="98"/>
    </row>
    <row r="11189" spans="20:20" x14ac:dyDescent="0.25">
      <c r="T11189" s="98"/>
    </row>
    <row r="11190" spans="20:20" x14ac:dyDescent="0.25">
      <c r="T11190" s="98"/>
    </row>
    <row r="11191" spans="20:20" x14ac:dyDescent="0.25">
      <c r="T11191" s="98"/>
    </row>
    <row r="11192" spans="20:20" x14ac:dyDescent="0.25">
      <c r="T11192" s="98"/>
    </row>
    <row r="11193" spans="20:20" x14ac:dyDescent="0.25">
      <c r="T11193" s="98"/>
    </row>
    <row r="11194" spans="20:20" x14ac:dyDescent="0.25">
      <c r="T11194" s="98"/>
    </row>
    <row r="11195" spans="20:20" x14ac:dyDescent="0.25">
      <c r="T11195" s="98"/>
    </row>
    <row r="11196" spans="20:20" x14ac:dyDescent="0.25">
      <c r="T11196" s="98"/>
    </row>
    <row r="11197" spans="20:20" x14ac:dyDescent="0.25">
      <c r="T11197" s="98"/>
    </row>
    <row r="11198" spans="20:20" x14ac:dyDescent="0.25">
      <c r="T11198" s="98"/>
    </row>
    <row r="11199" spans="20:20" x14ac:dyDescent="0.25">
      <c r="T11199" s="98"/>
    </row>
    <row r="11200" spans="20:20" x14ac:dyDescent="0.25">
      <c r="T11200" s="98"/>
    </row>
    <row r="11201" spans="20:20" x14ac:dyDescent="0.25">
      <c r="T11201" s="98"/>
    </row>
    <row r="11202" spans="20:20" x14ac:dyDescent="0.25">
      <c r="T11202" s="98"/>
    </row>
    <row r="11203" spans="20:20" x14ac:dyDescent="0.25">
      <c r="T11203" s="98"/>
    </row>
    <row r="11204" spans="20:20" x14ac:dyDescent="0.25">
      <c r="T11204" s="98"/>
    </row>
    <row r="11205" spans="20:20" x14ac:dyDescent="0.25">
      <c r="T11205" s="98"/>
    </row>
    <row r="11206" spans="20:20" x14ac:dyDescent="0.25">
      <c r="T11206" s="98"/>
    </row>
    <row r="11207" spans="20:20" x14ac:dyDescent="0.25">
      <c r="T11207" s="98"/>
    </row>
    <row r="11208" spans="20:20" x14ac:dyDescent="0.25">
      <c r="T11208" s="98"/>
    </row>
    <row r="11209" spans="20:20" x14ac:dyDescent="0.25">
      <c r="T11209" s="98"/>
    </row>
    <row r="11210" spans="20:20" x14ac:dyDescent="0.25">
      <c r="T11210" s="98"/>
    </row>
    <row r="11211" spans="20:20" x14ac:dyDescent="0.25">
      <c r="T11211" s="98"/>
    </row>
    <row r="11212" spans="20:20" x14ac:dyDescent="0.25">
      <c r="T11212" s="98"/>
    </row>
    <row r="11213" spans="20:20" x14ac:dyDescent="0.25">
      <c r="T11213" s="98"/>
    </row>
    <row r="11214" spans="20:20" x14ac:dyDescent="0.25">
      <c r="T11214" s="98"/>
    </row>
    <row r="11215" spans="20:20" x14ac:dyDescent="0.25">
      <c r="T11215" s="98"/>
    </row>
    <row r="11216" spans="20:20" x14ac:dyDescent="0.25">
      <c r="T11216" s="98"/>
    </row>
    <row r="11217" spans="20:20" x14ac:dyDescent="0.25">
      <c r="T11217" s="98"/>
    </row>
    <row r="11218" spans="20:20" x14ac:dyDescent="0.25">
      <c r="T11218" s="98"/>
    </row>
    <row r="11219" spans="20:20" x14ac:dyDescent="0.25">
      <c r="T11219" s="98"/>
    </row>
    <row r="11220" spans="20:20" x14ac:dyDescent="0.25">
      <c r="T11220" s="98"/>
    </row>
    <row r="11221" spans="20:20" x14ac:dyDescent="0.25">
      <c r="T11221" s="98"/>
    </row>
    <row r="11222" spans="20:20" x14ac:dyDescent="0.25">
      <c r="T11222" s="98"/>
    </row>
    <row r="11223" spans="20:20" x14ac:dyDescent="0.25">
      <c r="T11223" s="98"/>
    </row>
    <row r="11224" spans="20:20" x14ac:dyDescent="0.25">
      <c r="T11224" s="98"/>
    </row>
    <row r="11225" spans="20:20" x14ac:dyDescent="0.25">
      <c r="T11225" s="98"/>
    </row>
    <row r="11226" spans="20:20" x14ac:dyDescent="0.25">
      <c r="T11226" s="98"/>
    </row>
    <row r="11227" spans="20:20" x14ac:dyDescent="0.25">
      <c r="T11227" s="98"/>
    </row>
    <row r="11228" spans="20:20" x14ac:dyDescent="0.25">
      <c r="T11228" s="98"/>
    </row>
    <row r="11229" spans="20:20" x14ac:dyDescent="0.25">
      <c r="T11229" s="98"/>
    </row>
    <row r="11230" spans="20:20" x14ac:dyDescent="0.25">
      <c r="T11230" s="98"/>
    </row>
    <row r="11231" spans="20:20" x14ac:dyDescent="0.25">
      <c r="T11231" s="98"/>
    </row>
    <row r="11232" spans="20:20" x14ac:dyDescent="0.25">
      <c r="T11232" s="98"/>
    </row>
    <row r="11233" spans="20:20" x14ac:dyDescent="0.25">
      <c r="T11233" s="98"/>
    </row>
    <row r="11234" spans="20:20" x14ac:dyDescent="0.25">
      <c r="T11234" s="98"/>
    </row>
    <row r="11235" spans="20:20" x14ac:dyDescent="0.25">
      <c r="T11235" s="98"/>
    </row>
    <row r="11236" spans="20:20" x14ac:dyDescent="0.25">
      <c r="T11236" s="98"/>
    </row>
    <row r="11237" spans="20:20" x14ac:dyDescent="0.25">
      <c r="T11237" s="98"/>
    </row>
    <row r="11238" spans="20:20" x14ac:dyDescent="0.25">
      <c r="T11238" s="98"/>
    </row>
    <row r="11239" spans="20:20" x14ac:dyDescent="0.25">
      <c r="T11239" s="98"/>
    </row>
    <row r="11240" spans="20:20" x14ac:dyDescent="0.25">
      <c r="T11240" s="98"/>
    </row>
    <row r="11241" spans="20:20" x14ac:dyDescent="0.25">
      <c r="T11241" s="98"/>
    </row>
    <row r="11242" spans="20:20" x14ac:dyDescent="0.25">
      <c r="T11242" s="98"/>
    </row>
    <row r="11243" spans="20:20" x14ac:dyDescent="0.25">
      <c r="T11243" s="98"/>
    </row>
    <row r="11244" spans="20:20" x14ac:dyDescent="0.25">
      <c r="T11244" s="98"/>
    </row>
    <row r="11245" spans="20:20" x14ac:dyDescent="0.25">
      <c r="T11245" s="98"/>
    </row>
    <row r="11246" spans="20:20" x14ac:dyDescent="0.25">
      <c r="T11246" s="98"/>
    </row>
    <row r="11247" spans="20:20" x14ac:dyDescent="0.25">
      <c r="T11247" s="98"/>
    </row>
    <row r="11248" spans="20:20" x14ac:dyDescent="0.25">
      <c r="T11248" s="98"/>
    </row>
    <row r="11249" spans="20:20" x14ac:dyDescent="0.25">
      <c r="T11249" s="98"/>
    </row>
    <row r="11250" spans="20:20" x14ac:dyDescent="0.25">
      <c r="T11250" s="98"/>
    </row>
    <row r="11251" spans="20:20" x14ac:dyDescent="0.25">
      <c r="T11251" s="98"/>
    </row>
    <row r="11252" spans="20:20" x14ac:dyDescent="0.25">
      <c r="T11252" s="98"/>
    </row>
    <row r="11253" spans="20:20" x14ac:dyDescent="0.25">
      <c r="T11253" s="98"/>
    </row>
    <row r="11254" spans="20:20" x14ac:dyDescent="0.25">
      <c r="T11254" s="98"/>
    </row>
    <row r="11255" spans="20:20" x14ac:dyDescent="0.25">
      <c r="T11255" s="98"/>
    </row>
    <row r="11256" spans="20:20" x14ac:dyDescent="0.25">
      <c r="T11256" s="98"/>
    </row>
    <row r="11257" spans="20:20" x14ac:dyDescent="0.25">
      <c r="T11257" s="98"/>
    </row>
    <row r="11258" spans="20:20" x14ac:dyDescent="0.25">
      <c r="T11258" s="98"/>
    </row>
    <row r="11259" spans="20:20" x14ac:dyDescent="0.25">
      <c r="T11259" s="98"/>
    </row>
    <row r="11260" spans="20:20" x14ac:dyDescent="0.25">
      <c r="T11260" s="98"/>
    </row>
    <row r="11261" spans="20:20" x14ac:dyDescent="0.25">
      <c r="T11261" s="98"/>
    </row>
    <row r="11262" spans="20:20" x14ac:dyDescent="0.25">
      <c r="T11262" s="98"/>
    </row>
    <row r="11263" spans="20:20" x14ac:dyDescent="0.25">
      <c r="T11263" s="98"/>
    </row>
    <row r="11264" spans="20:20" x14ac:dyDescent="0.25">
      <c r="T11264" s="98"/>
    </row>
    <row r="11265" spans="20:20" x14ac:dyDescent="0.25">
      <c r="T11265" s="98"/>
    </row>
    <row r="11266" spans="20:20" x14ac:dyDescent="0.25">
      <c r="T11266" s="98"/>
    </row>
    <row r="11267" spans="20:20" x14ac:dyDescent="0.25">
      <c r="T11267" s="98"/>
    </row>
    <row r="11268" spans="20:20" x14ac:dyDescent="0.25">
      <c r="T11268" s="98"/>
    </row>
    <row r="11269" spans="20:20" x14ac:dyDescent="0.25">
      <c r="T11269" s="98"/>
    </row>
    <row r="11270" spans="20:20" x14ac:dyDescent="0.25">
      <c r="T11270" s="98"/>
    </row>
    <row r="11271" spans="20:20" x14ac:dyDescent="0.25">
      <c r="T11271" s="98"/>
    </row>
    <row r="11272" spans="20:20" x14ac:dyDescent="0.25">
      <c r="T11272" s="98"/>
    </row>
    <row r="11273" spans="20:20" x14ac:dyDescent="0.25">
      <c r="T11273" s="98"/>
    </row>
    <row r="11274" spans="20:20" x14ac:dyDescent="0.25">
      <c r="T11274" s="98"/>
    </row>
    <row r="11275" spans="20:20" x14ac:dyDescent="0.25">
      <c r="T11275" s="98"/>
    </row>
    <row r="11276" spans="20:20" x14ac:dyDescent="0.25">
      <c r="T11276" s="98"/>
    </row>
    <row r="11277" spans="20:20" x14ac:dyDescent="0.25">
      <c r="T11277" s="98"/>
    </row>
    <row r="11278" spans="20:20" x14ac:dyDescent="0.25">
      <c r="T11278" s="98"/>
    </row>
    <row r="11279" spans="20:20" x14ac:dyDescent="0.25">
      <c r="T11279" s="98"/>
    </row>
    <row r="11280" spans="20:20" x14ac:dyDescent="0.25">
      <c r="T11280" s="98"/>
    </row>
    <row r="11281" spans="20:20" x14ac:dyDescent="0.25">
      <c r="T11281" s="98"/>
    </row>
    <row r="11282" spans="20:20" x14ac:dyDescent="0.25">
      <c r="T11282" s="98"/>
    </row>
    <row r="11283" spans="20:20" x14ac:dyDescent="0.25">
      <c r="T11283" s="98"/>
    </row>
    <row r="11284" spans="20:20" x14ac:dyDescent="0.25">
      <c r="T11284" s="98"/>
    </row>
    <row r="11285" spans="20:20" x14ac:dyDescent="0.25">
      <c r="T11285" s="98"/>
    </row>
    <row r="11286" spans="20:20" x14ac:dyDescent="0.25">
      <c r="T11286" s="98"/>
    </row>
    <row r="11287" spans="20:20" x14ac:dyDescent="0.25">
      <c r="T11287" s="98"/>
    </row>
    <row r="11288" spans="20:20" x14ac:dyDescent="0.25">
      <c r="T11288" s="98"/>
    </row>
    <row r="11289" spans="20:20" x14ac:dyDescent="0.25">
      <c r="T11289" s="98"/>
    </row>
    <row r="11290" spans="20:20" x14ac:dyDescent="0.25">
      <c r="T11290" s="98"/>
    </row>
    <row r="11291" spans="20:20" x14ac:dyDescent="0.25">
      <c r="T11291" s="98"/>
    </row>
    <row r="11292" spans="20:20" x14ac:dyDescent="0.25">
      <c r="T11292" s="98"/>
    </row>
    <row r="11293" spans="20:20" x14ac:dyDescent="0.25">
      <c r="T11293" s="98"/>
    </row>
    <row r="11294" spans="20:20" x14ac:dyDescent="0.25">
      <c r="T11294" s="98"/>
    </row>
    <row r="11295" spans="20:20" x14ac:dyDescent="0.25">
      <c r="T11295" s="98"/>
    </row>
    <row r="11296" spans="20:20" x14ac:dyDescent="0.25">
      <c r="T11296" s="98"/>
    </row>
    <row r="11297" spans="20:20" x14ac:dyDescent="0.25">
      <c r="T11297" s="98"/>
    </row>
    <row r="11298" spans="20:20" x14ac:dyDescent="0.25">
      <c r="T11298" s="98"/>
    </row>
    <row r="11299" spans="20:20" x14ac:dyDescent="0.25">
      <c r="T11299" s="98"/>
    </row>
    <row r="11300" spans="20:20" x14ac:dyDescent="0.25">
      <c r="T11300" s="98"/>
    </row>
    <row r="11301" spans="20:20" x14ac:dyDescent="0.25">
      <c r="T11301" s="98"/>
    </row>
    <row r="11302" spans="20:20" x14ac:dyDescent="0.25">
      <c r="T11302" s="98"/>
    </row>
    <row r="11303" spans="20:20" x14ac:dyDescent="0.25">
      <c r="T11303" s="98"/>
    </row>
    <row r="11304" spans="20:20" x14ac:dyDescent="0.25">
      <c r="T11304" s="98"/>
    </row>
    <row r="11305" spans="20:20" x14ac:dyDescent="0.25">
      <c r="T11305" s="98"/>
    </row>
    <row r="11306" spans="20:20" x14ac:dyDescent="0.25">
      <c r="T11306" s="98"/>
    </row>
    <row r="11307" spans="20:20" x14ac:dyDescent="0.25">
      <c r="T11307" s="98"/>
    </row>
    <row r="11308" spans="20:20" x14ac:dyDescent="0.25">
      <c r="T11308" s="98"/>
    </row>
    <row r="11309" spans="20:20" x14ac:dyDescent="0.25">
      <c r="T11309" s="98"/>
    </row>
    <row r="11310" spans="20:20" x14ac:dyDescent="0.25">
      <c r="T11310" s="98"/>
    </row>
    <row r="11311" spans="20:20" x14ac:dyDescent="0.25">
      <c r="T11311" s="98"/>
    </row>
    <row r="11312" spans="20:20" x14ac:dyDescent="0.25">
      <c r="T11312" s="98"/>
    </row>
    <row r="11313" spans="20:20" x14ac:dyDescent="0.25">
      <c r="T11313" s="98"/>
    </row>
    <row r="11314" spans="20:20" x14ac:dyDescent="0.25">
      <c r="T11314" s="98"/>
    </row>
    <row r="11315" spans="20:20" x14ac:dyDescent="0.25">
      <c r="T11315" s="98"/>
    </row>
    <row r="11316" spans="20:20" x14ac:dyDescent="0.25">
      <c r="T11316" s="98"/>
    </row>
    <row r="11317" spans="20:20" x14ac:dyDescent="0.25">
      <c r="T11317" s="98"/>
    </row>
    <row r="11318" spans="20:20" x14ac:dyDescent="0.25">
      <c r="T11318" s="98"/>
    </row>
    <row r="11319" spans="20:20" x14ac:dyDescent="0.25">
      <c r="T11319" s="98"/>
    </row>
    <row r="11320" spans="20:20" x14ac:dyDescent="0.25">
      <c r="T11320" s="98"/>
    </row>
    <row r="11321" spans="20:20" x14ac:dyDescent="0.25">
      <c r="T11321" s="98"/>
    </row>
    <row r="11322" spans="20:20" x14ac:dyDescent="0.25">
      <c r="T11322" s="98"/>
    </row>
    <row r="11323" spans="20:20" x14ac:dyDescent="0.25">
      <c r="T11323" s="98"/>
    </row>
    <row r="11324" spans="20:20" x14ac:dyDescent="0.25">
      <c r="T11324" s="98"/>
    </row>
    <row r="11325" spans="20:20" x14ac:dyDescent="0.25">
      <c r="T11325" s="98"/>
    </row>
    <row r="11326" spans="20:20" x14ac:dyDescent="0.25">
      <c r="T11326" s="98"/>
    </row>
    <row r="11327" spans="20:20" x14ac:dyDescent="0.25">
      <c r="T11327" s="98"/>
    </row>
    <row r="11328" spans="20:20" x14ac:dyDescent="0.25">
      <c r="T11328" s="98"/>
    </row>
    <row r="11329" spans="20:20" x14ac:dyDescent="0.25">
      <c r="T11329" s="98"/>
    </row>
    <row r="11330" spans="20:20" x14ac:dyDescent="0.25">
      <c r="T11330" s="98"/>
    </row>
    <row r="11331" spans="20:20" x14ac:dyDescent="0.25">
      <c r="T11331" s="98"/>
    </row>
    <row r="11332" spans="20:20" x14ac:dyDescent="0.25">
      <c r="T11332" s="98"/>
    </row>
    <row r="11333" spans="20:20" x14ac:dyDescent="0.25">
      <c r="T11333" s="98"/>
    </row>
    <row r="11334" spans="20:20" x14ac:dyDescent="0.25">
      <c r="T11334" s="98"/>
    </row>
    <row r="11335" spans="20:20" x14ac:dyDescent="0.25">
      <c r="T11335" s="98"/>
    </row>
    <row r="11336" spans="20:20" x14ac:dyDescent="0.25">
      <c r="T11336" s="98"/>
    </row>
    <row r="11337" spans="20:20" x14ac:dyDescent="0.25">
      <c r="T11337" s="98"/>
    </row>
    <row r="11338" spans="20:20" x14ac:dyDescent="0.25">
      <c r="T11338" s="98"/>
    </row>
    <row r="11339" spans="20:20" x14ac:dyDescent="0.25">
      <c r="T11339" s="98"/>
    </row>
    <row r="11340" spans="20:20" x14ac:dyDescent="0.25">
      <c r="T11340" s="98"/>
    </row>
    <row r="11341" spans="20:20" x14ac:dyDescent="0.25">
      <c r="T11341" s="98"/>
    </row>
    <row r="11342" spans="20:20" x14ac:dyDescent="0.25">
      <c r="T11342" s="98"/>
    </row>
    <row r="11343" spans="20:20" x14ac:dyDescent="0.25">
      <c r="T11343" s="98"/>
    </row>
    <row r="11344" spans="20:20" x14ac:dyDescent="0.25">
      <c r="T11344" s="98"/>
    </row>
    <row r="11345" spans="20:20" x14ac:dyDescent="0.25">
      <c r="T11345" s="98"/>
    </row>
    <row r="11346" spans="20:20" x14ac:dyDescent="0.25">
      <c r="T11346" s="98"/>
    </row>
    <row r="11347" spans="20:20" x14ac:dyDescent="0.25">
      <c r="T11347" s="98"/>
    </row>
    <row r="11348" spans="20:20" x14ac:dyDescent="0.25">
      <c r="T11348" s="98"/>
    </row>
    <row r="11349" spans="20:20" x14ac:dyDescent="0.25">
      <c r="T11349" s="98"/>
    </row>
    <row r="11350" spans="20:20" x14ac:dyDescent="0.25">
      <c r="T11350" s="98"/>
    </row>
    <row r="11351" spans="20:20" x14ac:dyDescent="0.25">
      <c r="T11351" s="98"/>
    </row>
    <row r="11352" spans="20:20" x14ac:dyDescent="0.25">
      <c r="T11352" s="98"/>
    </row>
    <row r="11353" spans="20:20" x14ac:dyDescent="0.25">
      <c r="T11353" s="98"/>
    </row>
    <row r="11354" spans="20:20" x14ac:dyDescent="0.25">
      <c r="T11354" s="98"/>
    </row>
    <row r="11355" spans="20:20" x14ac:dyDescent="0.25">
      <c r="T11355" s="98"/>
    </row>
    <row r="11356" spans="20:20" x14ac:dyDescent="0.25">
      <c r="T11356" s="98"/>
    </row>
    <row r="11357" spans="20:20" x14ac:dyDescent="0.25">
      <c r="T11357" s="98"/>
    </row>
    <row r="11358" spans="20:20" x14ac:dyDescent="0.25">
      <c r="T11358" s="98"/>
    </row>
    <row r="11359" spans="20:20" x14ac:dyDescent="0.25">
      <c r="T11359" s="98"/>
    </row>
    <row r="11360" spans="20:20" x14ac:dyDescent="0.25">
      <c r="T11360" s="98"/>
    </row>
    <row r="11361" spans="20:20" x14ac:dyDescent="0.25">
      <c r="T11361" s="98"/>
    </row>
    <row r="11362" spans="20:20" x14ac:dyDescent="0.25">
      <c r="T11362" s="98"/>
    </row>
    <row r="11363" spans="20:20" x14ac:dyDescent="0.25">
      <c r="T11363" s="98"/>
    </row>
    <row r="11364" spans="20:20" x14ac:dyDescent="0.25">
      <c r="T11364" s="98"/>
    </row>
    <row r="11365" spans="20:20" x14ac:dyDescent="0.25">
      <c r="T11365" s="98"/>
    </row>
    <row r="11366" spans="20:20" x14ac:dyDescent="0.25">
      <c r="T11366" s="98"/>
    </row>
    <row r="11367" spans="20:20" x14ac:dyDescent="0.25">
      <c r="T11367" s="98"/>
    </row>
    <row r="11368" spans="20:20" x14ac:dyDescent="0.25">
      <c r="T11368" s="98"/>
    </row>
    <row r="11369" spans="20:20" x14ac:dyDescent="0.25">
      <c r="T11369" s="98"/>
    </row>
    <row r="11370" spans="20:20" x14ac:dyDescent="0.25">
      <c r="T11370" s="98"/>
    </row>
    <row r="11371" spans="20:20" x14ac:dyDescent="0.25">
      <c r="T11371" s="98"/>
    </row>
    <row r="11372" spans="20:20" x14ac:dyDescent="0.25">
      <c r="T11372" s="98"/>
    </row>
    <row r="11373" spans="20:20" x14ac:dyDescent="0.25">
      <c r="T11373" s="98"/>
    </row>
    <row r="11374" spans="20:20" x14ac:dyDescent="0.25">
      <c r="T11374" s="98"/>
    </row>
    <row r="11375" spans="20:20" x14ac:dyDescent="0.25">
      <c r="T11375" s="98"/>
    </row>
    <row r="11376" spans="20:20" x14ac:dyDescent="0.25">
      <c r="T11376" s="98"/>
    </row>
    <row r="11377" spans="20:20" x14ac:dyDescent="0.25">
      <c r="T11377" s="98"/>
    </row>
    <row r="11378" spans="20:20" x14ac:dyDescent="0.25">
      <c r="T11378" s="98"/>
    </row>
    <row r="11379" spans="20:20" x14ac:dyDescent="0.25">
      <c r="T11379" s="98"/>
    </row>
    <row r="11380" spans="20:20" x14ac:dyDescent="0.25">
      <c r="T11380" s="98"/>
    </row>
    <row r="11381" spans="20:20" x14ac:dyDescent="0.25">
      <c r="T11381" s="98"/>
    </row>
    <row r="11382" spans="20:20" x14ac:dyDescent="0.25">
      <c r="T11382" s="98"/>
    </row>
    <row r="11383" spans="20:20" x14ac:dyDescent="0.25">
      <c r="T11383" s="98"/>
    </row>
    <row r="11384" spans="20:20" x14ac:dyDescent="0.25">
      <c r="T11384" s="98"/>
    </row>
    <row r="11385" spans="20:20" x14ac:dyDescent="0.25">
      <c r="T11385" s="98"/>
    </row>
    <row r="11386" spans="20:20" x14ac:dyDescent="0.25">
      <c r="T11386" s="98"/>
    </row>
    <row r="11387" spans="20:20" x14ac:dyDescent="0.25">
      <c r="T11387" s="98"/>
    </row>
    <row r="11388" spans="20:20" x14ac:dyDescent="0.25">
      <c r="T11388" s="98"/>
    </row>
    <row r="11389" spans="20:20" x14ac:dyDescent="0.25">
      <c r="T11389" s="98"/>
    </row>
    <row r="11390" spans="20:20" x14ac:dyDescent="0.25">
      <c r="T11390" s="98"/>
    </row>
    <row r="11391" spans="20:20" x14ac:dyDescent="0.25">
      <c r="T11391" s="98"/>
    </row>
    <row r="11392" spans="20:20" x14ac:dyDescent="0.25">
      <c r="T11392" s="98"/>
    </row>
    <row r="11393" spans="20:20" x14ac:dyDescent="0.25">
      <c r="T11393" s="98"/>
    </row>
    <row r="11394" spans="20:20" x14ac:dyDescent="0.25">
      <c r="T11394" s="98"/>
    </row>
    <row r="11395" spans="20:20" x14ac:dyDescent="0.25">
      <c r="T11395" s="98"/>
    </row>
    <row r="11396" spans="20:20" x14ac:dyDescent="0.25">
      <c r="T11396" s="98"/>
    </row>
    <row r="11397" spans="20:20" x14ac:dyDescent="0.25">
      <c r="T11397" s="98"/>
    </row>
    <row r="11398" spans="20:20" x14ac:dyDescent="0.25">
      <c r="T11398" s="98"/>
    </row>
    <row r="11399" spans="20:20" x14ac:dyDescent="0.25">
      <c r="T11399" s="98"/>
    </row>
    <row r="11400" spans="20:20" x14ac:dyDescent="0.25">
      <c r="T11400" s="98"/>
    </row>
    <row r="11401" spans="20:20" x14ac:dyDescent="0.25">
      <c r="T11401" s="98"/>
    </row>
    <row r="11402" spans="20:20" x14ac:dyDescent="0.25">
      <c r="T11402" s="98"/>
    </row>
    <row r="11403" spans="20:20" x14ac:dyDescent="0.25">
      <c r="T11403" s="98"/>
    </row>
    <row r="11404" spans="20:20" x14ac:dyDescent="0.25">
      <c r="T11404" s="98"/>
    </row>
    <row r="11405" spans="20:20" x14ac:dyDescent="0.25">
      <c r="T11405" s="98"/>
    </row>
    <row r="11406" spans="20:20" x14ac:dyDescent="0.25">
      <c r="T11406" s="98"/>
    </row>
    <row r="11407" spans="20:20" x14ac:dyDescent="0.25">
      <c r="T11407" s="98"/>
    </row>
    <row r="11408" spans="20:20" x14ac:dyDescent="0.25">
      <c r="T11408" s="98"/>
    </row>
    <row r="11409" spans="20:20" x14ac:dyDescent="0.25">
      <c r="T11409" s="98"/>
    </row>
    <row r="11410" spans="20:20" x14ac:dyDescent="0.25">
      <c r="T11410" s="98"/>
    </row>
    <row r="11411" spans="20:20" x14ac:dyDescent="0.25">
      <c r="T11411" s="98"/>
    </row>
    <row r="11412" spans="20:20" x14ac:dyDescent="0.25">
      <c r="T11412" s="98"/>
    </row>
    <row r="11413" spans="20:20" x14ac:dyDescent="0.25">
      <c r="T11413" s="98"/>
    </row>
    <row r="11414" spans="20:20" x14ac:dyDescent="0.25">
      <c r="T11414" s="98"/>
    </row>
    <row r="11415" spans="20:20" x14ac:dyDescent="0.25">
      <c r="T11415" s="98"/>
    </row>
    <row r="11416" spans="20:20" x14ac:dyDescent="0.25">
      <c r="T11416" s="98"/>
    </row>
    <row r="11417" spans="20:20" x14ac:dyDescent="0.25">
      <c r="T11417" s="98"/>
    </row>
    <row r="11418" spans="20:20" x14ac:dyDescent="0.25">
      <c r="T11418" s="98"/>
    </row>
    <row r="11419" spans="20:20" x14ac:dyDescent="0.25">
      <c r="T11419" s="98"/>
    </row>
    <row r="11420" spans="20:20" x14ac:dyDescent="0.25">
      <c r="T11420" s="98"/>
    </row>
    <row r="11421" spans="20:20" x14ac:dyDescent="0.25">
      <c r="T11421" s="98"/>
    </row>
    <row r="11422" spans="20:20" x14ac:dyDescent="0.25">
      <c r="T11422" s="98"/>
    </row>
    <row r="11423" spans="20:20" x14ac:dyDescent="0.25">
      <c r="T11423" s="98"/>
    </row>
    <row r="11424" spans="20:20" x14ac:dyDescent="0.25">
      <c r="T11424" s="98"/>
    </row>
    <row r="11425" spans="20:20" x14ac:dyDescent="0.25">
      <c r="T11425" s="98"/>
    </row>
    <row r="11426" spans="20:20" x14ac:dyDescent="0.25">
      <c r="T11426" s="98"/>
    </row>
    <row r="11427" spans="20:20" x14ac:dyDescent="0.25">
      <c r="T11427" s="98"/>
    </row>
    <row r="11428" spans="20:20" x14ac:dyDescent="0.25">
      <c r="T11428" s="98"/>
    </row>
    <row r="11429" spans="20:20" x14ac:dyDescent="0.25">
      <c r="T11429" s="98"/>
    </row>
    <row r="11430" spans="20:20" x14ac:dyDescent="0.25">
      <c r="T11430" s="98"/>
    </row>
    <row r="11431" spans="20:20" x14ac:dyDescent="0.25">
      <c r="T11431" s="98"/>
    </row>
    <row r="11432" spans="20:20" x14ac:dyDescent="0.25">
      <c r="T11432" s="98"/>
    </row>
    <row r="11433" spans="20:20" x14ac:dyDescent="0.25">
      <c r="T11433" s="98"/>
    </row>
    <row r="11434" spans="20:20" x14ac:dyDescent="0.25">
      <c r="T11434" s="98"/>
    </row>
    <row r="11435" spans="20:20" x14ac:dyDescent="0.25">
      <c r="T11435" s="98"/>
    </row>
    <row r="11436" spans="20:20" x14ac:dyDescent="0.25">
      <c r="T11436" s="98"/>
    </row>
    <row r="11437" spans="20:20" x14ac:dyDescent="0.25">
      <c r="T11437" s="98"/>
    </row>
    <row r="11438" spans="20:20" x14ac:dyDescent="0.25">
      <c r="T11438" s="98"/>
    </row>
    <row r="11439" spans="20:20" x14ac:dyDescent="0.25">
      <c r="T11439" s="98"/>
    </row>
    <row r="11440" spans="20:20" x14ac:dyDescent="0.25">
      <c r="T11440" s="98"/>
    </row>
    <row r="11441" spans="20:20" x14ac:dyDescent="0.25">
      <c r="T11441" s="98"/>
    </row>
    <row r="11442" spans="20:20" x14ac:dyDescent="0.25">
      <c r="T11442" s="98"/>
    </row>
    <row r="11443" spans="20:20" x14ac:dyDescent="0.25">
      <c r="T11443" s="98"/>
    </row>
    <row r="11444" spans="20:20" x14ac:dyDescent="0.25">
      <c r="T11444" s="98"/>
    </row>
    <row r="11445" spans="20:20" x14ac:dyDescent="0.25">
      <c r="T11445" s="98"/>
    </row>
    <row r="11446" spans="20:20" x14ac:dyDescent="0.25">
      <c r="T11446" s="98"/>
    </row>
    <row r="11447" spans="20:20" x14ac:dyDescent="0.25">
      <c r="T11447" s="98"/>
    </row>
    <row r="11448" spans="20:20" x14ac:dyDescent="0.25">
      <c r="T11448" s="98"/>
    </row>
    <row r="11449" spans="20:20" x14ac:dyDescent="0.25">
      <c r="T11449" s="98"/>
    </row>
    <row r="11450" spans="20:20" x14ac:dyDescent="0.25">
      <c r="T11450" s="98"/>
    </row>
    <row r="11451" spans="20:20" x14ac:dyDescent="0.25">
      <c r="T11451" s="98"/>
    </row>
    <row r="11452" spans="20:20" x14ac:dyDescent="0.25">
      <c r="T11452" s="98"/>
    </row>
    <row r="11453" spans="20:20" x14ac:dyDescent="0.25">
      <c r="T11453" s="98"/>
    </row>
    <row r="11454" spans="20:20" x14ac:dyDescent="0.25">
      <c r="T11454" s="98"/>
    </row>
    <row r="11455" spans="20:20" x14ac:dyDescent="0.25">
      <c r="T11455" s="98"/>
    </row>
    <row r="11456" spans="20:20" x14ac:dyDescent="0.25">
      <c r="T11456" s="98"/>
    </row>
    <row r="11457" spans="20:20" x14ac:dyDescent="0.25">
      <c r="T11457" s="98"/>
    </row>
    <row r="11458" spans="20:20" x14ac:dyDescent="0.25">
      <c r="T11458" s="98"/>
    </row>
    <row r="11459" spans="20:20" x14ac:dyDescent="0.25">
      <c r="T11459" s="98"/>
    </row>
    <row r="11460" spans="20:20" x14ac:dyDescent="0.25">
      <c r="T11460" s="98"/>
    </row>
    <row r="11461" spans="20:20" x14ac:dyDescent="0.25">
      <c r="T11461" s="98"/>
    </row>
    <row r="11462" spans="20:20" x14ac:dyDescent="0.25">
      <c r="T11462" s="98"/>
    </row>
    <row r="11463" spans="20:20" x14ac:dyDescent="0.25">
      <c r="T11463" s="98"/>
    </row>
    <row r="11464" spans="20:20" x14ac:dyDescent="0.25">
      <c r="T11464" s="98"/>
    </row>
    <row r="11465" spans="20:20" x14ac:dyDescent="0.25">
      <c r="T11465" s="98"/>
    </row>
    <row r="11466" spans="20:20" x14ac:dyDescent="0.25">
      <c r="T11466" s="98"/>
    </row>
    <row r="11467" spans="20:20" x14ac:dyDescent="0.25">
      <c r="T11467" s="98"/>
    </row>
    <row r="11468" spans="20:20" x14ac:dyDescent="0.25">
      <c r="T11468" s="98"/>
    </row>
    <row r="11469" spans="20:20" x14ac:dyDescent="0.25">
      <c r="T11469" s="98"/>
    </row>
    <row r="11470" spans="20:20" x14ac:dyDescent="0.25">
      <c r="T11470" s="98"/>
    </row>
    <row r="11471" spans="20:20" x14ac:dyDescent="0.25">
      <c r="T11471" s="98"/>
    </row>
    <row r="11472" spans="20:20" x14ac:dyDescent="0.25">
      <c r="T11472" s="98"/>
    </row>
    <row r="11473" spans="20:20" x14ac:dyDescent="0.25">
      <c r="T11473" s="98"/>
    </row>
    <row r="11474" spans="20:20" x14ac:dyDescent="0.25">
      <c r="T11474" s="98"/>
    </row>
    <row r="11475" spans="20:20" x14ac:dyDescent="0.25">
      <c r="T11475" s="98"/>
    </row>
    <row r="11476" spans="20:20" x14ac:dyDescent="0.25">
      <c r="T11476" s="98"/>
    </row>
    <row r="11477" spans="20:20" x14ac:dyDescent="0.25">
      <c r="T11477" s="98"/>
    </row>
    <row r="11478" spans="20:20" x14ac:dyDescent="0.25">
      <c r="T11478" s="98"/>
    </row>
    <row r="11479" spans="20:20" x14ac:dyDescent="0.25">
      <c r="T11479" s="98"/>
    </row>
    <row r="11480" spans="20:20" x14ac:dyDescent="0.25">
      <c r="T11480" s="98"/>
    </row>
    <row r="11481" spans="20:20" x14ac:dyDescent="0.25">
      <c r="T11481" s="98"/>
    </row>
    <row r="11482" spans="20:20" x14ac:dyDescent="0.25">
      <c r="T11482" s="98"/>
    </row>
    <row r="11483" spans="20:20" x14ac:dyDescent="0.25">
      <c r="T11483" s="98"/>
    </row>
    <row r="11484" spans="20:20" x14ac:dyDescent="0.25">
      <c r="T11484" s="98"/>
    </row>
    <row r="11485" spans="20:20" x14ac:dyDescent="0.25">
      <c r="T11485" s="98"/>
    </row>
    <row r="11486" spans="20:20" x14ac:dyDescent="0.25">
      <c r="T11486" s="98"/>
    </row>
    <row r="11487" spans="20:20" x14ac:dyDescent="0.25">
      <c r="T11487" s="98"/>
    </row>
    <row r="11488" spans="20:20" x14ac:dyDescent="0.25">
      <c r="T11488" s="98"/>
    </row>
    <row r="11489" spans="20:20" x14ac:dyDescent="0.25">
      <c r="T11489" s="98"/>
    </row>
    <row r="11490" spans="20:20" x14ac:dyDescent="0.25">
      <c r="T11490" s="98"/>
    </row>
    <row r="11491" spans="20:20" x14ac:dyDescent="0.25">
      <c r="T11491" s="98"/>
    </row>
    <row r="11492" spans="20:20" x14ac:dyDescent="0.25">
      <c r="T11492" s="98"/>
    </row>
    <row r="11493" spans="20:20" x14ac:dyDescent="0.25">
      <c r="T11493" s="98"/>
    </row>
    <row r="11494" spans="20:20" x14ac:dyDescent="0.25">
      <c r="T11494" s="98"/>
    </row>
    <row r="11495" spans="20:20" x14ac:dyDescent="0.25">
      <c r="T11495" s="98"/>
    </row>
    <row r="11496" spans="20:20" x14ac:dyDescent="0.25">
      <c r="T11496" s="98"/>
    </row>
    <row r="11497" spans="20:20" x14ac:dyDescent="0.25">
      <c r="T11497" s="98"/>
    </row>
    <row r="11498" spans="20:20" x14ac:dyDescent="0.25">
      <c r="T11498" s="98"/>
    </row>
    <row r="11499" spans="20:20" x14ac:dyDescent="0.25">
      <c r="T11499" s="98"/>
    </row>
    <row r="11500" spans="20:20" x14ac:dyDescent="0.25">
      <c r="T11500" s="98"/>
    </row>
    <row r="11501" spans="20:20" x14ac:dyDescent="0.25">
      <c r="T11501" s="98"/>
    </row>
    <row r="11502" spans="20:20" x14ac:dyDescent="0.25">
      <c r="T11502" s="98"/>
    </row>
    <row r="11503" spans="20:20" x14ac:dyDescent="0.25">
      <c r="T11503" s="98"/>
    </row>
    <row r="11504" spans="20:20" x14ac:dyDescent="0.25">
      <c r="T11504" s="98"/>
    </row>
    <row r="11505" spans="20:20" x14ac:dyDescent="0.25">
      <c r="T11505" s="98"/>
    </row>
    <row r="11506" spans="20:20" x14ac:dyDescent="0.25">
      <c r="T11506" s="98"/>
    </row>
    <row r="11507" spans="20:20" x14ac:dyDescent="0.25">
      <c r="T11507" s="98"/>
    </row>
    <row r="11508" spans="20:20" x14ac:dyDescent="0.25">
      <c r="T11508" s="98"/>
    </row>
    <row r="11509" spans="20:20" x14ac:dyDescent="0.25">
      <c r="T11509" s="98"/>
    </row>
    <row r="11510" spans="20:20" x14ac:dyDescent="0.25">
      <c r="T11510" s="98"/>
    </row>
    <row r="11511" spans="20:20" x14ac:dyDescent="0.25">
      <c r="T11511" s="98"/>
    </row>
    <row r="11512" spans="20:20" x14ac:dyDescent="0.25">
      <c r="T11512" s="98"/>
    </row>
    <row r="11513" spans="20:20" x14ac:dyDescent="0.25">
      <c r="T11513" s="98"/>
    </row>
    <row r="11514" spans="20:20" x14ac:dyDescent="0.25">
      <c r="T11514" s="98"/>
    </row>
    <row r="11515" spans="20:20" x14ac:dyDescent="0.25">
      <c r="T11515" s="98"/>
    </row>
    <row r="11516" spans="20:20" x14ac:dyDescent="0.25">
      <c r="T11516" s="98"/>
    </row>
    <row r="11517" spans="20:20" x14ac:dyDescent="0.25">
      <c r="T11517" s="98"/>
    </row>
    <row r="11518" spans="20:20" x14ac:dyDescent="0.25">
      <c r="T11518" s="98"/>
    </row>
    <row r="11519" spans="20:20" x14ac:dyDescent="0.25">
      <c r="T11519" s="98"/>
    </row>
    <row r="11520" spans="20:20" x14ac:dyDescent="0.25">
      <c r="T11520" s="98"/>
    </row>
    <row r="11521" spans="20:20" x14ac:dyDescent="0.25">
      <c r="T11521" s="98"/>
    </row>
    <row r="11522" spans="20:20" x14ac:dyDescent="0.25">
      <c r="T11522" s="98"/>
    </row>
    <row r="11523" spans="20:20" x14ac:dyDescent="0.25">
      <c r="T11523" s="98"/>
    </row>
    <row r="11524" spans="20:20" x14ac:dyDescent="0.25">
      <c r="T11524" s="98"/>
    </row>
    <row r="11525" spans="20:20" x14ac:dyDescent="0.25">
      <c r="T11525" s="98"/>
    </row>
    <row r="11526" spans="20:20" x14ac:dyDescent="0.25">
      <c r="T11526" s="98"/>
    </row>
    <row r="11527" spans="20:20" x14ac:dyDescent="0.25">
      <c r="T11527" s="98"/>
    </row>
    <row r="11528" spans="20:20" x14ac:dyDescent="0.25">
      <c r="T11528" s="98"/>
    </row>
    <row r="11529" spans="20:20" x14ac:dyDescent="0.25">
      <c r="T11529" s="98"/>
    </row>
    <row r="11530" spans="20:20" x14ac:dyDescent="0.25">
      <c r="T11530" s="98"/>
    </row>
    <row r="11531" spans="20:20" x14ac:dyDescent="0.25">
      <c r="T11531" s="98"/>
    </row>
    <row r="11532" spans="20:20" x14ac:dyDescent="0.25">
      <c r="T11532" s="98"/>
    </row>
    <row r="11533" spans="20:20" x14ac:dyDescent="0.25">
      <c r="T11533" s="98"/>
    </row>
    <row r="11534" spans="20:20" x14ac:dyDescent="0.25">
      <c r="T11534" s="98"/>
    </row>
    <row r="11535" spans="20:20" x14ac:dyDescent="0.25">
      <c r="T11535" s="98"/>
    </row>
    <row r="11536" spans="20:20" x14ac:dyDescent="0.25">
      <c r="T11536" s="98"/>
    </row>
    <row r="11537" spans="20:20" x14ac:dyDescent="0.25">
      <c r="T11537" s="98"/>
    </row>
    <row r="11538" spans="20:20" x14ac:dyDescent="0.25">
      <c r="T11538" s="98"/>
    </row>
    <row r="11539" spans="20:20" x14ac:dyDescent="0.25">
      <c r="T11539" s="98"/>
    </row>
    <row r="11540" spans="20:20" x14ac:dyDescent="0.25">
      <c r="T11540" s="98"/>
    </row>
    <row r="11541" spans="20:20" x14ac:dyDescent="0.25">
      <c r="T11541" s="98"/>
    </row>
    <row r="11542" spans="20:20" x14ac:dyDescent="0.25">
      <c r="T11542" s="98"/>
    </row>
    <row r="11543" spans="20:20" x14ac:dyDescent="0.25">
      <c r="T11543" s="98"/>
    </row>
    <row r="11544" spans="20:20" x14ac:dyDescent="0.25">
      <c r="T11544" s="98"/>
    </row>
    <row r="11545" spans="20:20" x14ac:dyDescent="0.25">
      <c r="T11545" s="98"/>
    </row>
    <row r="11546" spans="20:20" x14ac:dyDescent="0.25">
      <c r="T11546" s="98"/>
    </row>
    <row r="11547" spans="20:20" x14ac:dyDescent="0.25">
      <c r="T11547" s="98"/>
    </row>
    <row r="11548" spans="20:20" x14ac:dyDescent="0.25">
      <c r="T11548" s="98"/>
    </row>
    <row r="11549" spans="20:20" x14ac:dyDescent="0.25">
      <c r="T11549" s="98"/>
    </row>
    <row r="11550" spans="20:20" x14ac:dyDescent="0.25">
      <c r="T11550" s="98"/>
    </row>
    <row r="11551" spans="20:20" x14ac:dyDescent="0.25">
      <c r="T11551" s="98"/>
    </row>
    <row r="11552" spans="20:20" x14ac:dyDescent="0.25">
      <c r="T11552" s="98"/>
    </row>
    <row r="11553" spans="20:20" x14ac:dyDescent="0.25">
      <c r="T11553" s="98"/>
    </row>
    <row r="11554" spans="20:20" x14ac:dyDescent="0.25">
      <c r="T11554" s="98"/>
    </row>
    <row r="11555" spans="20:20" x14ac:dyDescent="0.25">
      <c r="T11555" s="98"/>
    </row>
    <row r="11556" spans="20:20" x14ac:dyDescent="0.25">
      <c r="T11556" s="98"/>
    </row>
    <row r="11557" spans="20:20" x14ac:dyDescent="0.25">
      <c r="T11557" s="98"/>
    </row>
    <row r="11558" spans="20:20" x14ac:dyDescent="0.25">
      <c r="T11558" s="98"/>
    </row>
    <row r="11559" spans="20:20" x14ac:dyDescent="0.25">
      <c r="T11559" s="98"/>
    </row>
    <row r="11560" spans="20:20" x14ac:dyDescent="0.25">
      <c r="T11560" s="98"/>
    </row>
    <row r="11561" spans="20:20" x14ac:dyDescent="0.25">
      <c r="T11561" s="98"/>
    </row>
    <row r="11562" spans="20:20" x14ac:dyDescent="0.25">
      <c r="T11562" s="98"/>
    </row>
    <row r="11563" spans="20:20" x14ac:dyDescent="0.25">
      <c r="T11563" s="98"/>
    </row>
    <row r="11564" spans="20:20" x14ac:dyDescent="0.25">
      <c r="T11564" s="98"/>
    </row>
    <row r="11565" spans="20:20" x14ac:dyDescent="0.25">
      <c r="T11565" s="98"/>
    </row>
    <row r="11566" spans="20:20" x14ac:dyDescent="0.25">
      <c r="T11566" s="98"/>
    </row>
    <row r="11567" spans="20:20" x14ac:dyDescent="0.25">
      <c r="T11567" s="98"/>
    </row>
    <row r="11568" spans="20:20" x14ac:dyDescent="0.25">
      <c r="T11568" s="98"/>
    </row>
    <row r="11569" spans="20:20" x14ac:dyDescent="0.25">
      <c r="T11569" s="98"/>
    </row>
    <row r="11570" spans="20:20" x14ac:dyDescent="0.25">
      <c r="T11570" s="98"/>
    </row>
    <row r="11571" spans="20:20" x14ac:dyDescent="0.25">
      <c r="T11571" s="98"/>
    </row>
    <row r="11572" spans="20:20" x14ac:dyDescent="0.25">
      <c r="T11572" s="98"/>
    </row>
    <row r="11573" spans="20:20" x14ac:dyDescent="0.25">
      <c r="T11573" s="98"/>
    </row>
    <row r="11574" spans="20:20" x14ac:dyDescent="0.25">
      <c r="T11574" s="98"/>
    </row>
    <row r="11575" spans="20:20" x14ac:dyDescent="0.25">
      <c r="T11575" s="98"/>
    </row>
    <row r="11576" spans="20:20" x14ac:dyDescent="0.25">
      <c r="T11576" s="98"/>
    </row>
    <row r="11577" spans="20:20" x14ac:dyDescent="0.25">
      <c r="T11577" s="98"/>
    </row>
    <row r="11578" spans="20:20" x14ac:dyDescent="0.25">
      <c r="T11578" s="98"/>
    </row>
    <row r="11579" spans="20:20" x14ac:dyDescent="0.25">
      <c r="T11579" s="98"/>
    </row>
    <row r="11580" spans="20:20" x14ac:dyDescent="0.25">
      <c r="T11580" s="98"/>
    </row>
    <row r="11581" spans="20:20" x14ac:dyDescent="0.25">
      <c r="T11581" s="98"/>
    </row>
    <row r="11582" spans="20:20" x14ac:dyDescent="0.25">
      <c r="T11582" s="98"/>
    </row>
    <row r="11583" spans="20:20" x14ac:dyDescent="0.25">
      <c r="T11583" s="98"/>
    </row>
    <row r="11584" spans="20:20" x14ac:dyDescent="0.25">
      <c r="T11584" s="98"/>
    </row>
    <row r="11585" spans="20:20" x14ac:dyDescent="0.25">
      <c r="T11585" s="98"/>
    </row>
    <row r="11586" spans="20:20" x14ac:dyDescent="0.25">
      <c r="T11586" s="98"/>
    </row>
    <row r="11587" spans="20:20" x14ac:dyDescent="0.25">
      <c r="T11587" s="98"/>
    </row>
    <row r="11588" spans="20:20" x14ac:dyDescent="0.25">
      <c r="T11588" s="98"/>
    </row>
    <row r="11589" spans="20:20" x14ac:dyDescent="0.25">
      <c r="T11589" s="98"/>
    </row>
    <row r="11590" spans="20:20" x14ac:dyDescent="0.25">
      <c r="T11590" s="98"/>
    </row>
    <row r="11591" spans="20:20" x14ac:dyDescent="0.25">
      <c r="T11591" s="98"/>
    </row>
    <row r="11592" spans="20:20" x14ac:dyDescent="0.25">
      <c r="T11592" s="98"/>
    </row>
    <row r="11593" spans="20:20" x14ac:dyDescent="0.25">
      <c r="T11593" s="98"/>
    </row>
    <row r="11594" spans="20:20" x14ac:dyDescent="0.25">
      <c r="T11594" s="98"/>
    </row>
    <row r="11595" spans="20:20" x14ac:dyDescent="0.25">
      <c r="T11595" s="98"/>
    </row>
    <row r="11596" spans="20:20" x14ac:dyDescent="0.25">
      <c r="T11596" s="98"/>
    </row>
    <row r="11597" spans="20:20" x14ac:dyDescent="0.25">
      <c r="T11597" s="98"/>
    </row>
    <row r="11598" spans="20:20" x14ac:dyDescent="0.25">
      <c r="T11598" s="98"/>
    </row>
    <row r="11599" spans="20:20" x14ac:dyDescent="0.25">
      <c r="T11599" s="98"/>
    </row>
    <row r="11600" spans="20:20" x14ac:dyDescent="0.25">
      <c r="T11600" s="98"/>
    </row>
    <row r="11601" spans="20:20" x14ac:dyDescent="0.25">
      <c r="T11601" s="98"/>
    </row>
    <row r="11602" spans="20:20" x14ac:dyDescent="0.25">
      <c r="T11602" s="98"/>
    </row>
    <row r="11603" spans="20:20" x14ac:dyDescent="0.25">
      <c r="T11603" s="98"/>
    </row>
    <row r="11604" spans="20:20" x14ac:dyDescent="0.25">
      <c r="T11604" s="98"/>
    </row>
    <row r="11605" spans="20:20" x14ac:dyDescent="0.25">
      <c r="T11605" s="98"/>
    </row>
    <row r="11606" spans="20:20" x14ac:dyDescent="0.25">
      <c r="T11606" s="98"/>
    </row>
    <row r="11607" spans="20:20" x14ac:dyDescent="0.25">
      <c r="T11607" s="98"/>
    </row>
    <row r="11608" spans="20:20" x14ac:dyDescent="0.25">
      <c r="T11608" s="98"/>
    </row>
    <row r="11609" spans="20:20" x14ac:dyDescent="0.25">
      <c r="T11609" s="98"/>
    </row>
    <row r="11610" spans="20:20" x14ac:dyDescent="0.25">
      <c r="T11610" s="98"/>
    </row>
    <row r="11611" spans="20:20" x14ac:dyDescent="0.25">
      <c r="T11611" s="98"/>
    </row>
    <row r="11612" spans="20:20" x14ac:dyDescent="0.25">
      <c r="T11612" s="98"/>
    </row>
    <row r="11613" spans="20:20" x14ac:dyDescent="0.25">
      <c r="T11613" s="98"/>
    </row>
    <row r="11614" spans="20:20" x14ac:dyDescent="0.25">
      <c r="T11614" s="98"/>
    </row>
    <row r="11615" spans="20:20" x14ac:dyDescent="0.25">
      <c r="T11615" s="98"/>
    </row>
    <row r="11616" spans="20:20" x14ac:dyDescent="0.25">
      <c r="T11616" s="98"/>
    </row>
    <row r="11617" spans="20:20" x14ac:dyDescent="0.25">
      <c r="T11617" s="98"/>
    </row>
    <row r="11618" spans="20:20" x14ac:dyDescent="0.25">
      <c r="T11618" s="98"/>
    </row>
    <row r="11619" spans="20:20" x14ac:dyDescent="0.25">
      <c r="T11619" s="98"/>
    </row>
    <row r="11620" spans="20:20" x14ac:dyDescent="0.25">
      <c r="T11620" s="98"/>
    </row>
    <row r="11621" spans="20:20" x14ac:dyDescent="0.25">
      <c r="T11621" s="98"/>
    </row>
    <row r="11622" spans="20:20" x14ac:dyDescent="0.25">
      <c r="T11622" s="98"/>
    </row>
    <row r="11623" spans="20:20" x14ac:dyDescent="0.25">
      <c r="T11623" s="98"/>
    </row>
    <row r="11624" spans="20:20" x14ac:dyDescent="0.25">
      <c r="T11624" s="98"/>
    </row>
    <row r="11625" spans="20:20" x14ac:dyDescent="0.25">
      <c r="T11625" s="98"/>
    </row>
    <row r="11626" spans="20:20" x14ac:dyDescent="0.25">
      <c r="T11626" s="98"/>
    </row>
    <row r="11627" spans="20:20" x14ac:dyDescent="0.25">
      <c r="T11627" s="98"/>
    </row>
    <row r="11628" spans="20:20" x14ac:dyDescent="0.25">
      <c r="T11628" s="98"/>
    </row>
    <row r="11629" spans="20:20" x14ac:dyDescent="0.25">
      <c r="T11629" s="98"/>
    </row>
    <row r="11630" spans="20:20" x14ac:dyDescent="0.25">
      <c r="T11630" s="98"/>
    </row>
    <row r="11631" spans="20:20" x14ac:dyDescent="0.25">
      <c r="T11631" s="98"/>
    </row>
    <row r="11632" spans="20:20" x14ac:dyDescent="0.25">
      <c r="T11632" s="98"/>
    </row>
    <row r="11633" spans="20:20" x14ac:dyDescent="0.25">
      <c r="T11633" s="98"/>
    </row>
    <row r="11634" spans="20:20" x14ac:dyDescent="0.25">
      <c r="T11634" s="98"/>
    </row>
    <row r="11635" spans="20:20" x14ac:dyDescent="0.25">
      <c r="T11635" s="98"/>
    </row>
    <row r="11636" spans="20:20" x14ac:dyDescent="0.25">
      <c r="T11636" s="98"/>
    </row>
    <row r="11637" spans="20:20" x14ac:dyDescent="0.25">
      <c r="T11637" s="98"/>
    </row>
    <row r="11638" spans="20:20" x14ac:dyDescent="0.25">
      <c r="T11638" s="98"/>
    </row>
    <row r="11639" spans="20:20" x14ac:dyDescent="0.25">
      <c r="T11639" s="98"/>
    </row>
    <row r="11640" spans="20:20" x14ac:dyDescent="0.25">
      <c r="T11640" s="98"/>
    </row>
    <row r="11641" spans="20:20" x14ac:dyDescent="0.25">
      <c r="T11641" s="98"/>
    </row>
    <row r="11642" spans="20:20" x14ac:dyDescent="0.25">
      <c r="T11642" s="98"/>
    </row>
    <row r="11643" spans="20:20" x14ac:dyDescent="0.25">
      <c r="T11643" s="98"/>
    </row>
    <row r="11644" spans="20:20" x14ac:dyDescent="0.25">
      <c r="T11644" s="98"/>
    </row>
    <row r="11645" spans="20:20" x14ac:dyDescent="0.25">
      <c r="T11645" s="98"/>
    </row>
    <row r="11646" spans="20:20" x14ac:dyDescent="0.25">
      <c r="T11646" s="98"/>
    </row>
    <row r="11647" spans="20:20" x14ac:dyDescent="0.25">
      <c r="T11647" s="98"/>
    </row>
    <row r="11648" spans="20:20" x14ac:dyDescent="0.25">
      <c r="T11648" s="98"/>
    </row>
    <row r="11649" spans="20:20" x14ac:dyDescent="0.25">
      <c r="T11649" s="98"/>
    </row>
    <row r="11650" spans="20:20" x14ac:dyDescent="0.25">
      <c r="T11650" s="98"/>
    </row>
    <row r="11651" spans="20:20" x14ac:dyDescent="0.25">
      <c r="T11651" s="98"/>
    </row>
    <row r="11652" spans="20:20" x14ac:dyDescent="0.25">
      <c r="T11652" s="98"/>
    </row>
    <row r="11653" spans="20:20" x14ac:dyDescent="0.25">
      <c r="T11653" s="98"/>
    </row>
    <row r="11654" spans="20:20" x14ac:dyDescent="0.25">
      <c r="T11654" s="98"/>
    </row>
    <row r="11655" spans="20:20" x14ac:dyDescent="0.25">
      <c r="T11655" s="98"/>
    </row>
    <row r="11656" spans="20:20" x14ac:dyDescent="0.25">
      <c r="T11656" s="98"/>
    </row>
    <row r="11657" spans="20:20" x14ac:dyDescent="0.25">
      <c r="T11657" s="98"/>
    </row>
    <row r="11658" spans="20:20" x14ac:dyDescent="0.25">
      <c r="T11658" s="98"/>
    </row>
    <row r="11659" spans="20:20" x14ac:dyDescent="0.25">
      <c r="T11659" s="98"/>
    </row>
    <row r="11660" spans="20:20" x14ac:dyDescent="0.25">
      <c r="T11660" s="98"/>
    </row>
    <row r="11661" spans="20:20" x14ac:dyDescent="0.25">
      <c r="T11661" s="98"/>
    </row>
    <row r="11662" spans="20:20" x14ac:dyDescent="0.25">
      <c r="T11662" s="98"/>
    </row>
    <row r="11663" spans="20:20" x14ac:dyDescent="0.25">
      <c r="T11663" s="98"/>
    </row>
    <row r="11664" spans="20:20" x14ac:dyDescent="0.25">
      <c r="T11664" s="98"/>
    </row>
    <row r="11665" spans="20:20" x14ac:dyDescent="0.25">
      <c r="T11665" s="98"/>
    </row>
    <row r="11666" spans="20:20" x14ac:dyDescent="0.25">
      <c r="T11666" s="98"/>
    </row>
    <row r="11667" spans="20:20" x14ac:dyDescent="0.25">
      <c r="T11667" s="98"/>
    </row>
    <row r="11668" spans="20:20" x14ac:dyDescent="0.25">
      <c r="T11668" s="98"/>
    </row>
    <row r="11669" spans="20:20" x14ac:dyDescent="0.25">
      <c r="T11669" s="98"/>
    </row>
    <row r="11670" spans="20:20" x14ac:dyDescent="0.25">
      <c r="T11670" s="98"/>
    </row>
    <row r="11671" spans="20:20" x14ac:dyDescent="0.25">
      <c r="T11671" s="98"/>
    </row>
    <row r="11672" spans="20:20" x14ac:dyDescent="0.25">
      <c r="T11672" s="98"/>
    </row>
    <row r="11673" spans="20:20" x14ac:dyDescent="0.25">
      <c r="T11673" s="98"/>
    </row>
    <row r="11674" spans="20:20" x14ac:dyDescent="0.25">
      <c r="T11674" s="98"/>
    </row>
    <row r="11675" spans="20:20" x14ac:dyDescent="0.25">
      <c r="T11675" s="98"/>
    </row>
    <row r="11676" spans="20:20" x14ac:dyDescent="0.25">
      <c r="T11676" s="98"/>
    </row>
    <row r="11677" spans="20:20" x14ac:dyDescent="0.25">
      <c r="T11677" s="98"/>
    </row>
    <row r="11678" spans="20:20" x14ac:dyDescent="0.25">
      <c r="T11678" s="98"/>
    </row>
    <row r="11679" spans="20:20" x14ac:dyDescent="0.25">
      <c r="T11679" s="98"/>
    </row>
    <row r="11680" spans="20:20" x14ac:dyDescent="0.25">
      <c r="T11680" s="98"/>
    </row>
    <row r="11681" spans="20:20" x14ac:dyDescent="0.25">
      <c r="T11681" s="98"/>
    </row>
    <row r="11682" spans="20:20" x14ac:dyDescent="0.25">
      <c r="T11682" s="98"/>
    </row>
    <row r="11683" spans="20:20" x14ac:dyDescent="0.25">
      <c r="T11683" s="98"/>
    </row>
    <row r="11684" spans="20:20" x14ac:dyDescent="0.25">
      <c r="T11684" s="98"/>
    </row>
    <row r="11685" spans="20:20" x14ac:dyDescent="0.25">
      <c r="T11685" s="98"/>
    </row>
    <row r="11686" spans="20:20" x14ac:dyDescent="0.25">
      <c r="T11686" s="98"/>
    </row>
    <row r="11687" spans="20:20" x14ac:dyDescent="0.25">
      <c r="T11687" s="98"/>
    </row>
    <row r="11688" spans="20:20" x14ac:dyDescent="0.25">
      <c r="T11688" s="98"/>
    </row>
    <row r="11689" spans="20:20" x14ac:dyDescent="0.25">
      <c r="T11689" s="98"/>
    </row>
    <row r="11690" spans="20:20" x14ac:dyDescent="0.25">
      <c r="T11690" s="98"/>
    </row>
    <row r="11691" spans="20:20" x14ac:dyDescent="0.25">
      <c r="T11691" s="98"/>
    </row>
    <row r="11692" spans="20:20" x14ac:dyDescent="0.25">
      <c r="T11692" s="98"/>
    </row>
    <row r="11693" spans="20:20" x14ac:dyDescent="0.25">
      <c r="T11693" s="98"/>
    </row>
    <row r="11694" spans="20:20" x14ac:dyDescent="0.25">
      <c r="T11694" s="98"/>
    </row>
    <row r="11695" spans="20:20" x14ac:dyDescent="0.25">
      <c r="T11695" s="98"/>
    </row>
    <row r="11696" spans="20:20" x14ac:dyDescent="0.25">
      <c r="T11696" s="98"/>
    </row>
    <row r="11697" spans="20:20" x14ac:dyDescent="0.25">
      <c r="T11697" s="98"/>
    </row>
    <row r="11698" spans="20:20" x14ac:dyDescent="0.25">
      <c r="T11698" s="98"/>
    </row>
    <row r="11699" spans="20:20" x14ac:dyDescent="0.25">
      <c r="T11699" s="98"/>
    </row>
    <row r="11700" spans="20:20" x14ac:dyDescent="0.25">
      <c r="T11700" s="98"/>
    </row>
    <row r="11701" spans="20:20" x14ac:dyDescent="0.25">
      <c r="T11701" s="98"/>
    </row>
    <row r="11702" spans="20:20" x14ac:dyDescent="0.25">
      <c r="T11702" s="98"/>
    </row>
    <row r="11703" spans="20:20" x14ac:dyDescent="0.25">
      <c r="T11703" s="98"/>
    </row>
    <row r="11704" spans="20:20" x14ac:dyDescent="0.25">
      <c r="T11704" s="98"/>
    </row>
    <row r="11705" spans="20:20" x14ac:dyDescent="0.25">
      <c r="T11705" s="98"/>
    </row>
    <row r="11706" spans="20:20" x14ac:dyDescent="0.25">
      <c r="T11706" s="98"/>
    </row>
    <row r="11707" spans="20:20" x14ac:dyDescent="0.25">
      <c r="T11707" s="98"/>
    </row>
    <row r="11708" spans="20:20" x14ac:dyDescent="0.25">
      <c r="T11708" s="98"/>
    </row>
    <row r="11709" spans="20:20" x14ac:dyDescent="0.25">
      <c r="T11709" s="98"/>
    </row>
    <row r="11710" spans="20:20" x14ac:dyDescent="0.25">
      <c r="T11710" s="98"/>
    </row>
    <row r="11711" spans="20:20" x14ac:dyDescent="0.25">
      <c r="T11711" s="98"/>
    </row>
    <row r="11712" spans="20:20" x14ac:dyDescent="0.25">
      <c r="T11712" s="98"/>
    </row>
    <row r="11713" spans="20:20" x14ac:dyDescent="0.25">
      <c r="T11713" s="98"/>
    </row>
    <row r="11714" spans="20:20" x14ac:dyDescent="0.25">
      <c r="T11714" s="98"/>
    </row>
    <row r="11715" spans="20:20" x14ac:dyDescent="0.25">
      <c r="T11715" s="98"/>
    </row>
    <row r="11716" spans="20:20" x14ac:dyDescent="0.25">
      <c r="T11716" s="98"/>
    </row>
    <row r="11717" spans="20:20" x14ac:dyDescent="0.25">
      <c r="T11717" s="98"/>
    </row>
    <row r="11718" spans="20:20" x14ac:dyDescent="0.25">
      <c r="T11718" s="98"/>
    </row>
    <row r="11719" spans="20:20" x14ac:dyDescent="0.25">
      <c r="T11719" s="98"/>
    </row>
    <row r="11720" spans="20:20" x14ac:dyDescent="0.25">
      <c r="T11720" s="98"/>
    </row>
    <row r="11721" spans="20:20" x14ac:dyDescent="0.25">
      <c r="T11721" s="98"/>
    </row>
    <row r="11722" spans="20:20" x14ac:dyDescent="0.25">
      <c r="T11722" s="98"/>
    </row>
    <row r="11723" spans="20:20" x14ac:dyDescent="0.25">
      <c r="T11723" s="98"/>
    </row>
    <row r="11724" spans="20:20" x14ac:dyDescent="0.25">
      <c r="T11724" s="98"/>
    </row>
    <row r="11725" spans="20:20" x14ac:dyDescent="0.25">
      <c r="T11725" s="98"/>
    </row>
    <row r="11726" spans="20:20" x14ac:dyDescent="0.25">
      <c r="T11726" s="98"/>
    </row>
    <row r="11727" spans="20:20" x14ac:dyDescent="0.25">
      <c r="T11727" s="98"/>
    </row>
    <row r="11728" spans="20:20" x14ac:dyDescent="0.25">
      <c r="T11728" s="98"/>
    </row>
    <row r="11729" spans="20:20" x14ac:dyDescent="0.25">
      <c r="T11729" s="98"/>
    </row>
    <row r="11730" spans="20:20" x14ac:dyDescent="0.25">
      <c r="T11730" s="98"/>
    </row>
    <row r="11731" spans="20:20" x14ac:dyDescent="0.25">
      <c r="T11731" s="98"/>
    </row>
    <row r="11732" spans="20:20" x14ac:dyDescent="0.25">
      <c r="T11732" s="98"/>
    </row>
    <row r="11733" spans="20:20" x14ac:dyDescent="0.25">
      <c r="T11733" s="98"/>
    </row>
    <row r="11734" spans="20:20" x14ac:dyDescent="0.25">
      <c r="T11734" s="98"/>
    </row>
    <row r="11735" spans="20:20" x14ac:dyDescent="0.25">
      <c r="T11735" s="98"/>
    </row>
    <row r="11736" spans="20:20" x14ac:dyDescent="0.25">
      <c r="T11736" s="98"/>
    </row>
    <row r="11737" spans="20:20" x14ac:dyDescent="0.25">
      <c r="T11737" s="98"/>
    </row>
    <row r="11738" spans="20:20" x14ac:dyDescent="0.25">
      <c r="T11738" s="98"/>
    </row>
    <row r="11739" spans="20:20" x14ac:dyDescent="0.25">
      <c r="T11739" s="98"/>
    </row>
    <row r="11740" spans="20:20" x14ac:dyDescent="0.25">
      <c r="T11740" s="98"/>
    </row>
    <row r="11741" spans="20:20" x14ac:dyDescent="0.25">
      <c r="T11741" s="98"/>
    </row>
    <row r="11742" spans="20:20" x14ac:dyDescent="0.25">
      <c r="T11742" s="98"/>
    </row>
    <row r="11743" spans="20:20" x14ac:dyDescent="0.25">
      <c r="T11743" s="98"/>
    </row>
    <row r="11744" spans="20:20" x14ac:dyDescent="0.25">
      <c r="T11744" s="98"/>
    </row>
    <row r="11745" spans="20:20" x14ac:dyDescent="0.25">
      <c r="T11745" s="98"/>
    </row>
    <row r="11746" spans="20:20" x14ac:dyDescent="0.25">
      <c r="T11746" s="98"/>
    </row>
    <row r="11747" spans="20:20" x14ac:dyDescent="0.25">
      <c r="T11747" s="98"/>
    </row>
    <row r="11748" spans="20:20" x14ac:dyDescent="0.25">
      <c r="T11748" s="98"/>
    </row>
    <row r="11749" spans="20:20" x14ac:dyDescent="0.25">
      <c r="T11749" s="98"/>
    </row>
    <row r="11750" spans="20:20" x14ac:dyDescent="0.25">
      <c r="T11750" s="98"/>
    </row>
    <row r="11751" spans="20:20" x14ac:dyDescent="0.25">
      <c r="T11751" s="98"/>
    </row>
    <row r="11752" spans="20:20" x14ac:dyDescent="0.25">
      <c r="T11752" s="98"/>
    </row>
    <row r="11753" spans="20:20" x14ac:dyDescent="0.25">
      <c r="T11753" s="98"/>
    </row>
    <row r="11754" spans="20:20" x14ac:dyDescent="0.25">
      <c r="T11754" s="98"/>
    </row>
    <row r="11755" spans="20:20" x14ac:dyDescent="0.25">
      <c r="T11755" s="98"/>
    </row>
    <row r="11756" spans="20:20" x14ac:dyDescent="0.25">
      <c r="T11756" s="98"/>
    </row>
    <row r="11757" spans="20:20" x14ac:dyDescent="0.25">
      <c r="T11757" s="98"/>
    </row>
    <row r="11758" spans="20:20" x14ac:dyDescent="0.25">
      <c r="T11758" s="98"/>
    </row>
    <row r="11759" spans="20:20" x14ac:dyDescent="0.25">
      <c r="T11759" s="98"/>
    </row>
    <row r="11760" spans="20:20" x14ac:dyDescent="0.25">
      <c r="T11760" s="98"/>
    </row>
    <row r="11761" spans="20:20" x14ac:dyDescent="0.25">
      <c r="T11761" s="98"/>
    </row>
    <row r="11762" spans="20:20" x14ac:dyDescent="0.25">
      <c r="T11762" s="98"/>
    </row>
    <row r="11763" spans="20:20" x14ac:dyDescent="0.25">
      <c r="T11763" s="98"/>
    </row>
    <row r="11764" spans="20:20" x14ac:dyDescent="0.25">
      <c r="T11764" s="98"/>
    </row>
    <row r="11765" spans="20:20" x14ac:dyDescent="0.25">
      <c r="T11765" s="98"/>
    </row>
    <row r="11766" spans="20:20" x14ac:dyDescent="0.25">
      <c r="T11766" s="98"/>
    </row>
    <row r="11767" spans="20:20" x14ac:dyDescent="0.25">
      <c r="T11767" s="98"/>
    </row>
    <row r="11768" spans="20:20" x14ac:dyDescent="0.25">
      <c r="T11768" s="98"/>
    </row>
    <row r="11769" spans="20:20" x14ac:dyDescent="0.25">
      <c r="T11769" s="98"/>
    </row>
    <row r="11770" spans="20:20" x14ac:dyDescent="0.25">
      <c r="T11770" s="98"/>
    </row>
    <row r="11771" spans="20:20" x14ac:dyDescent="0.25">
      <c r="T11771" s="98"/>
    </row>
    <row r="11772" spans="20:20" x14ac:dyDescent="0.25">
      <c r="T11772" s="98"/>
    </row>
    <row r="11773" spans="20:20" x14ac:dyDescent="0.25">
      <c r="T11773" s="98"/>
    </row>
    <row r="11774" spans="20:20" x14ac:dyDescent="0.25">
      <c r="T11774" s="98"/>
    </row>
    <row r="11775" spans="20:20" x14ac:dyDescent="0.25">
      <c r="T11775" s="98"/>
    </row>
    <row r="11776" spans="20:20" x14ac:dyDescent="0.25">
      <c r="T11776" s="98"/>
    </row>
    <row r="11777" spans="20:20" x14ac:dyDescent="0.25">
      <c r="T11777" s="98"/>
    </row>
    <row r="11778" spans="20:20" x14ac:dyDescent="0.25">
      <c r="T11778" s="98"/>
    </row>
    <row r="11779" spans="20:20" x14ac:dyDescent="0.25">
      <c r="T11779" s="98"/>
    </row>
    <row r="11780" spans="20:20" x14ac:dyDescent="0.25">
      <c r="T11780" s="98"/>
    </row>
    <row r="11781" spans="20:20" x14ac:dyDescent="0.25">
      <c r="T11781" s="98"/>
    </row>
    <row r="11782" spans="20:20" x14ac:dyDescent="0.25">
      <c r="T11782" s="98"/>
    </row>
    <row r="11783" spans="20:20" x14ac:dyDescent="0.25">
      <c r="T11783" s="98"/>
    </row>
    <row r="11784" spans="20:20" x14ac:dyDescent="0.25">
      <c r="T11784" s="98"/>
    </row>
    <row r="11785" spans="20:20" x14ac:dyDescent="0.25">
      <c r="T11785" s="98"/>
    </row>
    <row r="11786" spans="20:20" x14ac:dyDescent="0.25">
      <c r="T11786" s="98"/>
    </row>
    <row r="11787" spans="20:20" x14ac:dyDescent="0.25">
      <c r="T11787" s="98"/>
    </row>
    <row r="11788" spans="20:20" x14ac:dyDescent="0.25">
      <c r="T11788" s="98"/>
    </row>
    <row r="11789" spans="20:20" x14ac:dyDescent="0.25">
      <c r="T11789" s="98"/>
    </row>
    <row r="11790" spans="20:20" x14ac:dyDescent="0.25">
      <c r="T11790" s="98"/>
    </row>
    <row r="11791" spans="20:20" x14ac:dyDescent="0.25">
      <c r="T11791" s="98"/>
    </row>
    <row r="11792" spans="20:20" x14ac:dyDescent="0.25">
      <c r="T11792" s="98"/>
    </row>
    <row r="11793" spans="20:20" x14ac:dyDescent="0.25">
      <c r="T11793" s="98"/>
    </row>
    <row r="11794" spans="20:20" x14ac:dyDescent="0.25">
      <c r="T11794" s="98"/>
    </row>
    <row r="11795" spans="20:20" x14ac:dyDescent="0.25">
      <c r="T11795" s="98"/>
    </row>
    <row r="11796" spans="20:20" x14ac:dyDescent="0.25">
      <c r="T11796" s="98"/>
    </row>
    <row r="11797" spans="20:20" x14ac:dyDescent="0.25">
      <c r="T11797" s="98"/>
    </row>
    <row r="11798" spans="20:20" x14ac:dyDescent="0.25">
      <c r="T11798" s="98"/>
    </row>
    <row r="11799" spans="20:20" x14ac:dyDescent="0.25">
      <c r="T11799" s="98"/>
    </row>
    <row r="11800" spans="20:20" x14ac:dyDescent="0.25">
      <c r="T11800" s="98"/>
    </row>
    <row r="11801" spans="20:20" x14ac:dyDescent="0.25">
      <c r="T11801" s="98"/>
    </row>
    <row r="11802" spans="20:20" x14ac:dyDescent="0.25">
      <c r="T11802" s="98"/>
    </row>
    <row r="11803" spans="20:20" x14ac:dyDescent="0.25">
      <c r="T11803" s="98"/>
    </row>
    <row r="11804" spans="20:20" x14ac:dyDescent="0.25">
      <c r="T11804" s="98"/>
    </row>
    <row r="11805" spans="20:20" x14ac:dyDescent="0.25">
      <c r="T11805" s="98"/>
    </row>
    <row r="11806" spans="20:20" x14ac:dyDescent="0.25">
      <c r="T11806" s="98"/>
    </row>
    <row r="11807" spans="20:20" x14ac:dyDescent="0.25">
      <c r="T11807" s="98"/>
    </row>
    <row r="11808" spans="20:20" x14ac:dyDescent="0.25">
      <c r="T11808" s="98"/>
    </row>
    <row r="11809" spans="20:20" x14ac:dyDescent="0.25">
      <c r="T11809" s="98"/>
    </row>
    <row r="11810" spans="20:20" x14ac:dyDescent="0.25">
      <c r="T11810" s="98"/>
    </row>
    <row r="11811" spans="20:20" x14ac:dyDescent="0.25">
      <c r="T11811" s="98"/>
    </row>
    <row r="11812" spans="20:20" x14ac:dyDescent="0.25">
      <c r="T11812" s="98"/>
    </row>
    <row r="11813" spans="20:20" x14ac:dyDescent="0.25">
      <c r="T11813" s="98"/>
    </row>
    <row r="11814" spans="20:20" x14ac:dyDescent="0.25">
      <c r="T11814" s="98"/>
    </row>
    <row r="11815" spans="20:20" x14ac:dyDescent="0.25">
      <c r="T11815" s="98"/>
    </row>
    <row r="11816" spans="20:20" x14ac:dyDescent="0.25">
      <c r="T11816" s="98"/>
    </row>
    <row r="11817" spans="20:20" x14ac:dyDescent="0.25">
      <c r="T11817" s="98"/>
    </row>
    <row r="11818" spans="20:20" x14ac:dyDescent="0.25">
      <c r="T11818" s="98"/>
    </row>
    <row r="11819" spans="20:20" x14ac:dyDescent="0.25">
      <c r="T11819" s="98"/>
    </row>
    <row r="11820" spans="20:20" x14ac:dyDescent="0.25">
      <c r="T11820" s="98"/>
    </row>
    <row r="11821" spans="20:20" x14ac:dyDescent="0.25">
      <c r="T11821" s="98"/>
    </row>
    <row r="11822" spans="20:20" x14ac:dyDescent="0.25">
      <c r="T11822" s="98"/>
    </row>
    <row r="11823" spans="20:20" x14ac:dyDescent="0.25">
      <c r="T11823" s="98"/>
    </row>
    <row r="11824" spans="20:20" x14ac:dyDescent="0.25">
      <c r="T11824" s="98"/>
    </row>
    <row r="11825" spans="20:20" x14ac:dyDescent="0.25">
      <c r="T11825" s="98"/>
    </row>
    <row r="11826" spans="20:20" x14ac:dyDescent="0.25">
      <c r="T11826" s="98"/>
    </row>
    <row r="11827" spans="20:20" x14ac:dyDescent="0.25">
      <c r="T11827" s="98"/>
    </row>
    <row r="11828" spans="20:20" x14ac:dyDescent="0.25">
      <c r="T11828" s="98"/>
    </row>
    <row r="11829" spans="20:20" x14ac:dyDescent="0.25">
      <c r="T11829" s="98"/>
    </row>
    <row r="11830" spans="20:20" x14ac:dyDescent="0.25">
      <c r="T11830" s="98"/>
    </row>
    <row r="11831" spans="20:20" x14ac:dyDescent="0.25">
      <c r="T11831" s="98"/>
    </row>
    <row r="11832" spans="20:20" x14ac:dyDescent="0.25">
      <c r="T11832" s="98"/>
    </row>
    <row r="11833" spans="20:20" x14ac:dyDescent="0.25">
      <c r="T11833" s="98"/>
    </row>
    <row r="11834" spans="20:20" x14ac:dyDescent="0.25">
      <c r="T11834" s="98"/>
    </row>
    <row r="11835" spans="20:20" x14ac:dyDescent="0.25">
      <c r="T11835" s="98"/>
    </row>
    <row r="11836" spans="20:20" x14ac:dyDescent="0.25">
      <c r="T11836" s="98"/>
    </row>
    <row r="11837" spans="20:20" x14ac:dyDescent="0.25">
      <c r="T11837" s="98"/>
    </row>
    <row r="11838" spans="20:20" x14ac:dyDescent="0.25">
      <c r="T11838" s="98"/>
    </row>
    <row r="11839" spans="20:20" x14ac:dyDescent="0.25">
      <c r="T11839" s="98"/>
    </row>
    <row r="11840" spans="20:20" x14ac:dyDescent="0.25">
      <c r="T11840" s="98"/>
    </row>
    <row r="11841" spans="20:20" x14ac:dyDescent="0.25">
      <c r="T11841" s="98"/>
    </row>
    <row r="11842" spans="20:20" x14ac:dyDescent="0.25">
      <c r="T11842" s="98"/>
    </row>
    <row r="11843" spans="20:20" x14ac:dyDescent="0.25">
      <c r="T11843" s="98"/>
    </row>
    <row r="11844" spans="20:20" x14ac:dyDescent="0.25">
      <c r="T11844" s="98"/>
    </row>
    <row r="11845" spans="20:20" x14ac:dyDescent="0.25">
      <c r="T11845" s="98"/>
    </row>
    <row r="11846" spans="20:20" x14ac:dyDescent="0.25">
      <c r="T11846" s="98"/>
    </row>
    <row r="11847" spans="20:20" x14ac:dyDescent="0.25">
      <c r="T11847" s="98"/>
    </row>
    <row r="11848" spans="20:20" x14ac:dyDescent="0.25">
      <c r="T11848" s="98"/>
    </row>
    <row r="11849" spans="20:20" x14ac:dyDescent="0.25">
      <c r="T11849" s="98"/>
    </row>
    <row r="11850" spans="20:20" x14ac:dyDescent="0.25">
      <c r="T11850" s="98"/>
    </row>
    <row r="11851" spans="20:20" x14ac:dyDescent="0.25">
      <c r="T11851" s="98"/>
    </row>
    <row r="11852" spans="20:20" x14ac:dyDescent="0.25">
      <c r="T11852" s="98"/>
    </row>
    <row r="11853" spans="20:20" x14ac:dyDescent="0.25">
      <c r="T11853" s="98"/>
    </row>
    <row r="11854" spans="20:20" x14ac:dyDescent="0.25">
      <c r="T11854" s="98"/>
    </row>
    <row r="11855" spans="20:20" x14ac:dyDescent="0.25">
      <c r="T11855" s="98"/>
    </row>
    <row r="11856" spans="20:20" x14ac:dyDescent="0.25">
      <c r="T11856" s="98"/>
    </row>
    <row r="11857" spans="20:20" x14ac:dyDescent="0.25">
      <c r="T11857" s="98"/>
    </row>
    <row r="11858" spans="20:20" x14ac:dyDescent="0.25">
      <c r="T11858" s="98"/>
    </row>
    <row r="11859" spans="20:20" x14ac:dyDescent="0.25">
      <c r="T11859" s="98"/>
    </row>
    <row r="11860" spans="20:20" x14ac:dyDescent="0.25">
      <c r="T11860" s="98"/>
    </row>
    <row r="11861" spans="20:20" x14ac:dyDescent="0.25">
      <c r="T11861" s="98"/>
    </row>
    <row r="11862" spans="20:20" x14ac:dyDescent="0.25">
      <c r="T11862" s="98"/>
    </row>
    <row r="11863" spans="20:20" x14ac:dyDescent="0.25">
      <c r="T11863" s="98"/>
    </row>
    <row r="11864" spans="20:20" x14ac:dyDescent="0.25">
      <c r="T11864" s="98"/>
    </row>
    <row r="11865" spans="20:20" x14ac:dyDescent="0.25">
      <c r="T11865" s="98"/>
    </row>
    <row r="11866" spans="20:20" x14ac:dyDescent="0.25">
      <c r="T11866" s="98"/>
    </row>
    <row r="11867" spans="20:20" x14ac:dyDescent="0.25">
      <c r="T11867" s="98"/>
    </row>
    <row r="11868" spans="20:20" x14ac:dyDescent="0.25">
      <c r="T11868" s="98"/>
    </row>
    <row r="11869" spans="20:20" x14ac:dyDescent="0.25">
      <c r="T11869" s="98"/>
    </row>
    <row r="11870" spans="20:20" x14ac:dyDescent="0.25">
      <c r="T11870" s="98"/>
    </row>
    <row r="11871" spans="20:20" x14ac:dyDescent="0.25">
      <c r="T11871" s="98"/>
    </row>
    <row r="11872" spans="20:20" x14ac:dyDescent="0.25">
      <c r="T11872" s="98"/>
    </row>
    <row r="11873" spans="20:20" x14ac:dyDescent="0.25">
      <c r="T11873" s="98"/>
    </row>
    <row r="11874" spans="20:20" x14ac:dyDescent="0.25">
      <c r="T11874" s="98"/>
    </row>
    <row r="11875" spans="20:20" x14ac:dyDescent="0.25">
      <c r="T11875" s="98"/>
    </row>
    <row r="11876" spans="20:20" x14ac:dyDescent="0.25">
      <c r="T11876" s="98"/>
    </row>
    <row r="11877" spans="20:20" x14ac:dyDescent="0.25">
      <c r="T11877" s="98"/>
    </row>
    <row r="11878" spans="20:20" x14ac:dyDescent="0.25">
      <c r="T11878" s="98"/>
    </row>
    <row r="11879" spans="20:20" x14ac:dyDescent="0.25">
      <c r="T11879" s="98"/>
    </row>
    <row r="11880" spans="20:20" x14ac:dyDescent="0.25">
      <c r="T11880" s="98"/>
    </row>
    <row r="11881" spans="20:20" x14ac:dyDescent="0.25">
      <c r="T11881" s="98"/>
    </row>
    <row r="11882" spans="20:20" x14ac:dyDescent="0.25">
      <c r="T11882" s="98"/>
    </row>
    <row r="11883" spans="20:20" x14ac:dyDescent="0.25">
      <c r="T11883" s="98"/>
    </row>
    <row r="11884" spans="20:20" x14ac:dyDescent="0.25">
      <c r="T11884" s="98"/>
    </row>
    <row r="11885" spans="20:20" x14ac:dyDescent="0.25">
      <c r="T11885" s="98"/>
    </row>
    <row r="11886" spans="20:20" x14ac:dyDescent="0.25">
      <c r="T11886" s="98"/>
    </row>
    <row r="11887" spans="20:20" x14ac:dyDescent="0.25">
      <c r="T11887" s="98"/>
    </row>
    <row r="11888" spans="20:20" x14ac:dyDescent="0.25">
      <c r="T11888" s="98"/>
    </row>
    <row r="11889" spans="20:20" x14ac:dyDescent="0.25">
      <c r="T11889" s="98"/>
    </row>
    <row r="11890" spans="20:20" x14ac:dyDescent="0.25">
      <c r="T11890" s="98"/>
    </row>
    <row r="11891" spans="20:20" x14ac:dyDescent="0.25">
      <c r="T11891" s="98"/>
    </row>
    <row r="11892" spans="20:20" x14ac:dyDescent="0.25">
      <c r="T11892" s="98"/>
    </row>
    <row r="11893" spans="20:20" x14ac:dyDescent="0.25">
      <c r="T11893" s="98"/>
    </row>
    <row r="11894" spans="20:20" x14ac:dyDescent="0.25">
      <c r="T11894" s="98"/>
    </row>
    <row r="11895" spans="20:20" x14ac:dyDescent="0.25">
      <c r="T11895" s="98"/>
    </row>
    <row r="11896" spans="20:20" x14ac:dyDescent="0.25">
      <c r="T11896" s="98"/>
    </row>
    <row r="11897" spans="20:20" x14ac:dyDescent="0.25">
      <c r="T11897" s="98"/>
    </row>
    <row r="11898" spans="20:20" x14ac:dyDescent="0.25">
      <c r="T11898" s="98"/>
    </row>
    <row r="11899" spans="20:20" x14ac:dyDescent="0.25">
      <c r="T11899" s="98"/>
    </row>
    <row r="11900" spans="20:20" x14ac:dyDescent="0.25">
      <c r="T11900" s="98"/>
    </row>
    <row r="11901" spans="20:20" x14ac:dyDescent="0.25">
      <c r="T11901" s="98"/>
    </row>
    <row r="11902" spans="20:20" x14ac:dyDescent="0.25">
      <c r="T11902" s="98"/>
    </row>
    <row r="11903" spans="20:20" x14ac:dyDescent="0.25">
      <c r="T11903" s="98"/>
    </row>
    <row r="11904" spans="20:20" x14ac:dyDescent="0.25">
      <c r="T11904" s="98"/>
    </row>
    <row r="11905" spans="20:20" x14ac:dyDescent="0.25">
      <c r="T11905" s="98"/>
    </row>
    <row r="11906" spans="20:20" x14ac:dyDescent="0.25">
      <c r="T11906" s="98"/>
    </row>
    <row r="11907" spans="20:20" x14ac:dyDescent="0.25">
      <c r="T11907" s="98"/>
    </row>
    <row r="11908" spans="20:20" x14ac:dyDescent="0.25">
      <c r="T11908" s="98"/>
    </row>
    <row r="11909" spans="20:20" x14ac:dyDescent="0.25">
      <c r="T11909" s="98"/>
    </row>
    <row r="11910" spans="20:20" x14ac:dyDescent="0.25">
      <c r="T11910" s="98"/>
    </row>
    <row r="11911" spans="20:20" x14ac:dyDescent="0.25">
      <c r="T11911" s="98"/>
    </row>
    <row r="11912" spans="20:20" x14ac:dyDescent="0.25">
      <c r="T11912" s="98"/>
    </row>
    <row r="11913" spans="20:20" x14ac:dyDescent="0.25">
      <c r="T11913" s="98"/>
    </row>
    <row r="11914" spans="20:20" x14ac:dyDescent="0.25">
      <c r="T11914" s="98"/>
    </row>
    <row r="11915" spans="20:20" x14ac:dyDescent="0.25">
      <c r="T11915" s="98"/>
    </row>
    <row r="11916" spans="20:20" x14ac:dyDescent="0.25">
      <c r="T11916" s="98"/>
    </row>
    <row r="11917" spans="20:20" x14ac:dyDescent="0.25">
      <c r="T11917" s="98"/>
    </row>
    <row r="11918" spans="20:20" x14ac:dyDescent="0.25">
      <c r="T11918" s="98"/>
    </row>
    <row r="11919" spans="20:20" x14ac:dyDescent="0.25">
      <c r="T11919" s="98"/>
    </row>
    <row r="11920" spans="20:20" x14ac:dyDescent="0.25">
      <c r="T11920" s="98"/>
    </row>
    <row r="11921" spans="20:20" x14ac:dyDescent="0.25">
      <c r="T11921" s="98"/>
    </row>
    <row r="11922" spans="20:20" x14ac:dyDescent="0.25">
      <c r="T11922" s="98"/>
    </row>
    <row r="11923" spans="20:20" x14ac:dyDescent="0.25">
      <c r="T11923" s="98"/>
    </row>
    <row r="11924" spans="20:20" x14ac:dyDescent="0.25">
      <c r="T11924" s="98"/>
    </row>
    <row r="11925" spans="20:20" x14ac:dyDescent="0.25">
      <c r="T11925" s="98"/>
    </row>
    <row r="11926" spans="20:20" x14ac:dyDescent="0.25">
      <c r="T11926" s="98"/>
    </row>
    <row r="11927" spans="20:20" x14ac:dyDescent="0.25">
      <c r="T11927" s="98"/>
    </row>
    <row r="11928" spans="20:20" x14ac:dyDescent="0.25">
      <c r="T11928" s="98"/>
    </row>
    <row r="11929" spans="20:20" x14ac:dyDescent="0.25">
      <c r="T11929" s="98"/>
    </row>
    <row r="11930" spans="20:20" x14ac:dyDescent="0.25">
      <c r="T11930" s="98"/>
    </row>
    <row r="11931" spans="20:20" x14ac:dyDescent="0.25">
      <c r="T11931" s="98"/>
    </row>
    <row r="11932" spans="20:20" x14ac:dyDescent="0.25">
      <c r="T11932" s="98"/>
    </row>
    <row r="11933" spans="20:20" x14ac:dyDescent="0.25">
      <c r="T11933" s="98"/>
    </row>
    <row r="11934" spans="20:20" x14ac:dyDescent="0.25">
      <c r="T11934" s="98"/>
    </row>
    <row r="11935" spans="20:20" x14ac:dyDescent="0.25">
      <c r="T11935" s="98"/>
    </row>
    <row r="11936" spans="20:20" x14ac:dyDescent="0.25">
      <c r="T11936" s="98"/>
    </row>
    <row r="11937" spans="20:20" x14ac:dyDescent="0.25">
      <c r="T11937" s="98"/>
    </row>
    <row r="11938" spans="20:20" x14ac:dyDescent="0.25">
      <c r="T11938" s="98"/>
    </row>
    <row r="11939" spans="20:20" x14ac:dyDescent="0.25">
      <c r="T11939" s="98"/>
    </row>
    <row r="11940" spans="20:20" x14ac:dyDescent="0.25">
      <c r="T11940" s="98"/>
    </row>
    <row r="11941" spans="20:20" x14ac:dyDescent="0.25">
      <c r="T11941" s="98"/>
    </row>
    <row r="11942" spans="20:20" x14ac:dyDescent="0.25">
      <c r="T11942" s="98"/>
    </row>
    <row r="11943" spans="20:20" x14ac:dyDescent="0.25">
      <c r="T11943" s="98"/>
    </row>
    <row r="11944" spans="20:20" x14ac:dyDescent="0.25">
      <c r="T11944" s="98"/>
    </row>
    <row r="11945" spans="20:20" x14ac:dyDescent="0.25">
      <c r="T11945" s="98"/>
    </row>
    <row r="11946" spans="20:20" x14ac:dyDescent="0.25">
      <c r="T11946" s="98"/>
    </row>
    <row r="11947" spans="20:20" x14ac:dyDescent="0.25">
      <c r="T11947" s="98"/>
    </row>
    <row r="11948" spans="20:20" x14ac:dyDescent="0.25">
      <c r="T11948" s="98"/>
    </row>
    <row r="11949" spans="20:20" x14ac:dyDescent="0.25">
      <c r="T11949" s="98"/>
    </row>
    <row r="11950" spans="20:20" x14ac:dyDescent="0.25">
      <c r="T11950" s="98"/>
    </row>
    <row r="11951" spans="20:20" x14ac:dyDescent="0.25">
      <c r="T11951" s="98"/>
    </row>
    <row r="11952" spans="20:20" x14ac:dyDescent="0.25">
      <c r="T11952" s="98"/>
    </row>
    <row r="11953" spans="20:20" x14ac:dyDescent="0.25">
      <c r="T11953" s="98"/>
    </row>
    <row r="11954" spans="20:20" x14ac:dyDescent="0.25">
      <c r="T11954" s="98"/>
    </row>
    <row r="11955" spans="20:20" x14ac:dyDescent="0.25">
      <c r="T11955" s="98"/>
    </row>
    <row r="11956" spans="20:20" x14ac:dyDescent="0.25">
      <c r="T11956" s="98"/>
    </row>
    <row r="11957" spans="20:20" x14ac:dyDescent="0.25">
      <c r="T11957" s="98"/>
    </row>
    <row r="11958" spans="20:20" x14ac:dyDescent="0.25">
      <c r="T11958" s="98"/>
    </row>
    <row r="11959" spans="20:20" x14ac:dyDescent="0.25">
      <c r="T11959" s="98"/>
    </row>
    <row r="11960" spans="20:20" x14ac:dyDescent="0.25">
      <c r="T11960" s="98"/>
    </row>
    <row r="11961" spans="20:20" x14ac:dyDescent="0.25">
      <c r="T11961" s="98"/>
    </row>
    <row r="11962" spans="20:20" x14ac:dyDescent="0.25">
      <c r="T11962" s="98"/>
    </row>
    <row r="11963" spans="20:20" x14ac:dyDescent="0.25">
      <c r="T11963" s="98"/>
    </row>
    <row r="11964" spans="20:20" x14ac:dyDescent="0.25">
      <c r="T11964" s="98"/>
    </row>
    <row r="11965" spans="20:20" x14ac:dyDescent="0.25">
      <c r="T11965" s="98"/>
    </row>
    <row r="11966" spans="20:20" x14ac:dyDescent="0.25">
      <c r="T11966" s="98"/>
    </row>
    <row r="11967" spans="20:20" x14ac:dyDescent="0.25">
      <c r="T11967" s="98"/>
    </row>
    <row r="11968" spans="20:20" x14ac:dyDescent="0.25">
      <c r="T11968" s="98"/>
    </row>
    <row r="11969" spans="20:20" x14ac:dyDescent="0.25">
      <c r="T11969" s="98"/>
    </row>
    <row r="11970" spans="20:20" x14ac:dyDescent="0.25">
      <c r="T11970" s="98"/>
    </row>
    <row r="11971" spans="20:20" x14ac:dyDescent="0.25">
      <c r="T11971" s="98"/>
    </row>
    <row r="11972" spans="20:20" x14ac:dyDescent="0.25">
      <c r="T11972" s="98"/>
    </row>
    <row r="11973" spans="20:20" x14ac:dyDescent="0.25">
      <c r="T11973" s="98"/>
    </row>
    <row r="11974" spans="20:20" x14ac:dyDescent="0.25">
      <c r="T11974" s="98"/>
    </row>
    <row r="11975" spans="20:20" x14ac:dyDescent="0.25">
      <c r="T11975" s="98"/>
    </row>
    <row r="11976" spans="20:20" x14ac:dyDescent="0.25">
      <c r="T11976" s="98"/>
    </row>
    <row r="11977" spans="20:20" x14ac:dyDescent="0.25">
      <c r="T11977" s="98"/>
    </row>
    <row r="11978" spans="20:20" x14ac:dyDescent="0.25">
      <c r="T11978" s="98"/>
    </row>
    <row r="11979" spans="20:20" x14ac:dyDescent="0.25">
      <c r="T11979" s="98"/>
    </row>
    <row r="11980" spans="20:20" x14ac:dyDescent="0.25">
      <c r="T11980" s="98"/>
    </row>
    <row r="11981" spans="20:20" x14ac:dyDescent="0.25">
      <c r="T11981" s="98"/>
    </row>
    <row r="11982" spans="20:20" x14ac:dyDescent="0.25">
      <c r="T11982" s="98"/>
    </row>
    <row r="11983" spans="20:20" x14ac:dyDescent="0.25">
      <c r="T11983" s="98"/>
    </row>
    <row r="11984" spans="20:20" x14ac:dyDescent="0.25">
      <c r="T11984" s="98"/>
    </row>
    <row r="11985" spans="20:20" x14ac:dyDescent="0.25">
      <c r="T11985" s="98"/>
    </row>
    <row r="11986" spans="20:20" x14ac:dyDescent="0.25">
      <c r="T11986" s="98"/>
    </row>
    <row r="11987" spans="20:20" x14ac:dyDescent="0.25">
      <c r="T11987" s="98"/>
    </row>
    <row r="11988" spans="20:20" x14ac:dyDescent="0.25">
      <c r="T11988" s="98"/>
    </row>
    <row r="11989" spans="20:20" x14ac:dyDescent="0.25">
      <c r="T11989" s="98"/>
    </row>
    <row r="11990" spans="20:20" x14ac:dyDescent="0.25">
      <c r="T11990" s="98"/>
    </row>
    <row r="11991" spans="20:20" x14ac:dyDescent="0.25">
      <c r="T11991" s="98"/>
    </row>
    <row r="11992" spans="20:20" x14ac:dyDescent="0.25">
      <c r="T11992" s="98"/>
    </row>
    <row r="11993" spans="20:20" x14ac:dyDescent="0.25">
      <c r="T11993" s="98"/>
    </row>
    <row r="11994" spans="20:20" x14ac:dyDescent="0.25">
      <c r="T11994" s="98"/>
    </row>
    <row r="11995" spans="20:20" x14ac:dyDescent="0.25">
      <c r="T11995" s="98"/>
    </row>
    <row r="11996" spans="20:20" x14ac:dyDescent="0.25">
      <c r="T11996" s="98"/>
    </row>
    <row r="11997" spans="20:20" x14ac:dyDescent="0.25">
      <c r="T11997" s="98"/>
    </row>
    <row r="11998" spans="20:20" x14ac:dyDescent="0.25">
      <c r="T11998" s="98"/>
    </row>
    <row r="11999" spans="20:20" x14ac:dyDescent="0.25">
      <c r="T11999" s="98"/>
    </row>
    <row r="12000" spans="20:20" x14ac:dyDescent="0.25">
      <c r="T12000" s="98"/>
    </row>
    <row r="12001" spans="20:20" x14ac:dyDescent="0.25">
      <c r="T12001" s="98"/>
    </row>
    <row r="12002" spans="20:20" x14ac:dyDescent="0.25">
      <c r="T12002" s="98"/>
    </row>
    <row r="12003" spans="20:20" x14ac:dyDescent="0.25">
      <c r="T12003" s="98"/>
    </row>
    <row r="12004" spans="20:20" x14ac:dyDescent="0.25">
      <c r="T12004" s="98"/>
    </row>
    <row r="12005" spans="20:20" x14ac:dyDescent="0.25">
      <c r="T12005" s="98"/>
    </row>
    <row r="12006" spans="20:20" x14ac:dyDescent="0.25">
      <c r="T12006" s="98"/>
    </row>
    <row r="12007" spans="20:20" x14ac:dyDescent="0.25">
      <c r="T12007" s="98"/>
    </row>
    <row r="12008" spans="20:20" x14ac:dyDescent="0.25">
      <c r="T12008" s="98"/>
    </row>
    <row r="12009" spans="20:20" x14ac:dyDescent="0.25">
      <c r="T12009" s="98"/>
    </row>
    <row r="12010" spans="20:20" x14ac:dyDescent="0.25">
      <c r="T12010" s="98"/>
    </row>
    <row r="12011" spans="20:20" x14ac:dyDescent="0.25">
      <c r="T12011" s="98"/>
    </row>
    <row r="12012" spans="20:20" x14ac:dyDescent="0.25">
      <c r="T12012" s="98"/>
    </row>
    <row r="12013" spans="20:20" x14ac:dyDescent="0.25">
      <c r="T12013" s="98"/>
    </row>
    <row r="12014" spans="20:20" x14ac:dyDescent="0.25">
      <c r="T12014" s="98"/>
    </row>
    <row r="12015" spans="20:20" x14ac:dyDescent="0.25">
      <c r="T12015" s="98"/>
    </row>
    <row r="12016" spans="20:20" x14ac:dyDescent="0.25">
      <c r="T12016" s="98"/>
    </row>
    <row r="12017" spans="20:20" x14ac:dyDescent="0.25">
      <c r="T12017" s="98"/>
    </row>
    <row r="12018" spans="20:20" x14ac:dyDescent="0.25">
      <c r="T12018" s="98"/>
    </row>
    <row r="12019" spans="20:20" x14ac:dyDescent="0.25">
      <c r="T12019" s="98"/>
    </row>
    <row r="12020" spans="20:20" x14ac:dyDescent="0.25">
      <c r="T12020" s="98"/>
    </row>
    <row r="12021" spans="20:20" x14ac:dyDescent="0.25">
      <c r="T12021" s="98"/>
    </row>
    <row r="12022" spans="20:20" x14ac:dyDescent="0.25">
      <c r="T12022" s="98"/>
    </row>
    <row r="12023" spans="20:20" x14ac:dyDescent="0.25">
      <c r="T12023" s="98"/>
    </row>
    <row r="12024" spans="20:20" x14ac:dyDescent="0.25">
      <c r="T12024" s="98"/>
    </row>
    <row r="12025" spans="20:20" x14ac:dyDescent="0.25">
      <c r="T12025" s="98"/>
    </row>
    <row r="12026" spans="20:20" x14ac:dyDescent="0.25">
      <c r="T12026" s="98"/>
    </row>
    <row r="12027" spans="20:20" x14ac:dyDescent="0.25">
      <c r="T12027" s="98"/>
    </row>
    <row r="12028" spans="20:20" x14ac:dyDescent="0.25">
      <c r="T12028" s="98"/>
    </row>
    <row r="12029" spans="20:20" x14ac:dyDescent="0.25">
      <c r="T12029" s="98"/>
    </row>
    <row r="12030" spans="20:20" x14ac:dyDescent="0.25">
      <c r="T12030" s="98"/>
    </row>
    <row r="12031" spans="20:20" x14ac:dyDescent="0.25">
      <c r="T12031" s="98"/>
    </row>
    <row r="12032" spans="20:20" x14ac:dyDescent="0.25">
      <c r="T12032" s="98"/>
    </row>
    <row r="12033" spans="20:20" x14ac:dyDescent="0.25">
      <c r="T12033" s="98"/>
    </row>
    <row r="12034" spans="20:20" x14ac:dyDescent="0.25">
      <c r="T12034" s="98"/>
    </row>
    <row r="12035" spans="20:20" x14ac:dyDescent="0.25">
      <c r="T12035" s="98"/>
    </row>
    <row r="12036" spans="20:20" x14ac:dyDescent="0.25">
      <c r="T12036" s="98"/>
    </row>
    <row r="12037" spans="20:20" x14ac:dyDescent="0.25">
      <c r="T12037" s="98"/>
    </row>
    <row r="12038" spans="20:20" x14ac:dyDescent="0.25">
      <c r="T12038" s="98"/>
    </row>
    <row r="12039" spans="20:20" x14ac:dyDescent="0.25">
      <c r="T12039" s="98"/>
    </row>
    <row r="12040" spans="20:20" x14ac:dyDescent="0.25">
      <c r="T12040" s="98"/>
    </row>
    <row r="12041" spans="20:20" x14ac:dyDescent="0.25">
      <c r="T12041" s="98"/>
    </row>
    <row r="12042" spans="20:20" x14ac:dyDescent="0.25">
      <c r="T12042" s="98"/>
    </row>
    <row r="12043" spans="20:20" x14ac:dyDescent="0.25">
      <c r="T12043" s="98"/>
    </row>
    <row r="12044" spans="20:20" x14ac:dyDescent="0.25">
      <c r="T12044" s="98"/>
    </row>
    <row r="12045" spans="20:20" x14ac:dyDescent="0.25">
      <c r="T12045" s="98"/>
    </row>
    <row r="12046" spans="20:20" x14ac:dyDescent="0.25">
      <c r="T12046" s="98"/>
    </row>
    <row r="12047" spans="20:20" x14ac:dyDescent="0.25">
      <c r="T12047" s="98"/>
    </row>
    <row r="12048" spans="20:20" x14ac:dyDescent="0.25">
      <c r="T12048" s="98"/>
    </row>
    <row r="12049" spans="20:20" x14ac:dyDescent="0.25">
      <c r="T12049" s="98"/>
    </row>
    <row r="12050" spans="20:20" x14ac:dyDescent="0.25">
      <c r="T12050" s="98"/>
    </row>
    <row r="12051" spans="20:20" x14ac:dyDescent="0.25">
      <c r="T12051" s="98"/>
    </row>
    <row r="12052" spans="20:20" x14ac:dyDescent="0.25">
      <c r="T12052" s="98"/>
    </row>
    <row r="12053" spans="20:20" x14ac:dyDescent="0.25">
      <c r="T12053" s="98"/>
    </row>
    <row r="12054" spans="20:20" x14ac:dyDescent="0.25">
      <c r="T12054" s="98"/>
    </row>
    <row r="12055" spans="20:20" x14ac:dyDescent="0.25">
      <c r="T12055" s="98"/>
    </row>
    <row r="12056" spans="20:20" x14ac:dyDescent="0.25">
      <c r="T12056" s="98"/>
    </row>
    <row r="12057" spans="20:20" x14ac:dyDescent="0.25">
      <c r="T12057" s="98"/>
    </row>
    <row r="12058" spans="20:20" x14ac:dyDescent="0.25">
      <c r="T12058" s="98"/>
    </row>
    <row r="12059" spans="20:20" x14ac:dyDescent="0.25">
      <c r="T12059" s="98"/>
    </row>
    <row r="12060" spans="20:20" x14ac:dyDescent="0.25">
      <c r="T12060" s="98"/>
    </row>
    <row r="12061" spans="20:20" x14ac:dyDescent="0.25">
      <c r="T12061" s="98"/>
    </row>
    <row r="12062" spans="20:20" x14ac:dyDescent="0.25">
      <c r="T12062" s="98"/>
    </row>
    <row r="12063" spans="20:20" x14ac:dyDescent="0.25">
      <c r="T12063" s="98"/>
    </row>
    <row r="12064" spans="20:20" x14ac:dyDescent="0.25">
      <c r="T12064" s="98"/>
    </row>
    <row r="12065" spans="20:20" x14ac:dyDescent="0.25">
      <c r="T12065" s="98"/>
    </row>
    <row r="12066" spans="20:20" x14ac:dyDescent="0.25">
      <c r="T12066" s="98"/>
    </row>
    <row r="12067" spans="20:20" x14ac:dyDescent="0.25">
      <c r="T12067" s="98"/>
    </row>
    <row r="12068" spans="20:20" x14ac:dyDescent="0.25">
      <c r="T12068" s="98"/>
    </row>
    <row r="12069" spans="20:20" x14ac:dyDescent="0.25">
      <c r="T12069" s="98"/>
    </row>
    <row r="12070" spans="20:20" x14ac:dyDescent="0.25">
      <c r="T12070" s="98"/>
    </row>
    <row r="12071" spans="20:20" x14ac:dyDescent="0.25">
      <c r="T12071" s="98"/>
    </row>
    <row r="12072" spans="20:20" x14ac:dyDescent="0.25">
      <c r="T12072" s="98"/>
    </row>
    <row r="12073" spans="20:20" x14ac:dyDescent="0.25">
      <c r="T12073" s="98"/>
    </row>
    <row r="12074" spans="20:20" x14ac:dyDescent="0.25">
      <c r="T12074" s="98"/>
    </row>
    <row r="12075" spans="20:20" x14ac:dyDescent="0.25">
      <c r="T12075" s="98"/>
    </row>
    <row r="12076" spans="20:20" x14ac:dyDescent="0.25">
      <c r="T12076" s="98"/>
    </row>
    <row r="12077" spans="20:20" x14ac:dyDescent="0.25">
      <c r="T12077" s="98"/>
    </row>
    <row r="12078" spans="20:20" x14ac:dyDescent="0.25">
      <c r="T12078" s="98"/>
    </row>
    <row r="12079" spans="20:20" x14ac:dyDescent="0.25">
      <c r="T12079" s="98"/>
    </row>
    <row r="12080" spans="20:20" x14ac:dyDescent="0.25">
      <c r="T12080" s="98"/>
    </row>
    <row r="12081" spans="20:20" x14ac:dyDescent="0.25">
      <c r="T12081" s="98"/>
    </row>
    <row r="12082" spans="20:20" x14ac:dyDescent="0.25">
      <c r="T12082" s="98"/>
    </row>
    <row r="12083" spans="20:20" x14ac:dyDescent="0.25">
      <c r="T12083" s="98"/>
    </row>
    <row r="12084" spans="20:20" x14ac:dyDescent="0.25">
      <c r="T12084" s="98"/>
    </row>
    <row r="12085" spans="20:20" x14ac:dyDescent="0.25">
      <c r="T12085" s="98"/>
    </row>
    <row r="12086" spans="20:20" x14ac:dyDescent="0.25">
      <c r="T12086" s="98"/>
    </row>
    <row r="12087" spans="20:20" x14ac:dyDescent="0.25">
      <c r="T12087" s="98"/>
    </row>
    <row r="12088" spans="20:20" x14ac:dyDescent="0.25">
      <c r="T12088" s="98"/>
    </row>
    <row r="12089" spans="20:20" x14ac:dyDescent="0.25">
      <c r="T12089" s="98"/>
    </row>
    <row r="12090" spans="20:20" x14ac:dyDescent="0.25">
      <c r="T12090" s="98"/>
    </row>
    <row r="12091" spans="20:20" x14ac:dyDescent="0.25">
      <c r="T12091" s="98"/>
    </row>
    <row r="12092" spans="20:20" x14ac:dyDescent="0.25">
      <c r="T12092" s="98"/>
    </row>
    <row r="12093" spans="20:20" x14ac:dyDescent="0.25">
      <c r="T12093" s="98"/>
    </row>
    <row r="12094" spans="20:20" x14ac:dyDescent="0.25">
      <c r="T12094" s="98"/>
    </row>
    <row r="12095" spans="20:20" x14ac:dyDescent="0.25">
      <c r="T12095" s="98"/>
    </row>
    <row r="12096" spans="20:20" x14ac:dyDescent="0.25">
      <c r="T12096" s="98"/>
    </row>
    <row r="12097" spans="20:20" x14ac:dyDescent="0.25">
      <c r="T12097" s="98"/>
    </row>
    <row r="12098" spans="20:20" x14ac:dyDescent="0.25">
      <c r="T12098" s="98"/>
    </row>
    <row r="12099" spans="20:20" x14ac:dyDescent="0.25">
      <c r="T12099" s="98"/>
    </row>
    <row r="12100" spans="20:20" x14ac:dyDescent="0.25">
      <c r="T12100" s="98"/>
    </row>
    <row r="12101" spans="20:20" x14ac:dyDescent="0.25">
      <c r="T12101" s="98"/>
    </row>
    <row r="12102" spans="20:20" x14ac:dyDescent="0.25">
      <c r="T12102" s="98"/>
    </row>
    <row r="12103" spans="20:20" x14ac:dyDescent="0.25">
      <c r="T12103" s="98"/>
    </row>
    <row r="12104" spans="20:20" x14ac:dyDescent="0.25">
      <c r="T12104" s="98"/>
    </row>
    <row r="12105" spans="20:20" x14ac:dyDescent="0.25">
      <c r="T12105" s="98"/>
    </row>
    <row r="12106" spans="20:20" x14ac:dyDescent="0.25">
      <c r="T12106" s="98"/>
    </row>
    <row r="12107" spans="20:20" x14ac:dyDescent="0.25">
      <c r="T12107" s="98"/>
    </row>
    <row r="12108" spans="20:20" x14ac:dyDescent="0.25">
      <c r="T12108" s="98"/>
    </row>
    <row r="12109" spans="20:20" x14ac:dyDescent="0.25">
      <c r="T12109" s="98"/>
    </row>
    <row r="12110" spans="20:20" x14ac:dyDescent="0.25">
      <c r="T12110" s="98"/>
    </row>
    <row r="12111" spans="20:20" x14ac:dyDescent="0.25">
      <c r="T12111" s="98"/>
    </row>
    <row r="12112" spans="20:20" x14ac:dyDescent="0.25">
      <c r="T12112" s="98"/>
    </row>
    <row r="12113" spans="20:20" x14ac:dyDescent="0.25">
      <c r="T12113" s="98"/>
    </row>
    <row r="12114" spans="20:20" x14ac:dyDescent="0.25">
      <c r="T12114" s="98"/>
    </row>
    <row r="12115" spans="20:20" x14ac:dyDescent="0.25">
      <c r="T12115" s="98"/>
    </row>
    <row r="12116" spans="20:20" x14ac:dyDescent="0.25">
      <c r="T12116" s="98"/>
    </row>
    <row r="12117" spans="20:20" x14ac:dyDescent="0.25">
      <c r="T12117" s="98"/>
    </row>
    <row r="12118" spans="20:20" x14ac:dyDescent="0.25">
      <c r="T12118" s="98"/>
    </row>
    <row r="12119" spans="20:20" x14ac:dyDescent="0.25">
      <c r="T12119" s="98"/>
    </row>
    <row r="12120" spans="20:20" x14ac:dyDescent="0.25">
      <c r="T12120" s="98"/>
    </row>
    <row r="12121" spans="20:20" x14ac:dyDescent="0.25">
      <c r="T12121" s="98"/>
    </row>
    <row r="12122" spans="20:20" x14ac:dyDescent="0.25">
      <c r="T12122" s="98"/>
    </row>
    <row r="12123" spans="20:20" x14ac:dyDescent="0.25">
      <c r="T12123" s="98"/>
    </row>
    <row r="12124" spans="20:20" x14ac:dyDescent="0.25">
      <c r="T12124" s="98"/>
    </row>
    <row r="12125" spans="20:20" x14ac:dyDescent="0.25">
      <c r="T12125" s="98"/>
    </row>
    <row r="12126" spans="20:20" x14ac:dyDescent="0.25">
      <c r="T12126" s="98"/>
    </row>
    <row r="12127" spans="20:20" x14ac:dyDescent="0.25">
      <c r="T12127" s="98"/>
    </row>
    <row r="12128" spans="20:20" x14ac:dyDescent="0.25">
      <c r="T12128" s="98"/>
    </row>
    <row r="12129" spans="20:20" x14ac:dyDescent="0.25">
      <c r="T12129" s="98"/>
    </row>
    <row r="12130" spans="20:20" x14ac:dyDescent="0.25">
      <c r="T12130" s="98"/>
    </row>
    <row r="12131" spans="20:20" x14ac:dyDescent="0.25">
      <c r="T12131" s="98"/>
    </row>
    <row r="12132" spans="20:20" x14ac:dyDescent="0.25">
      <c r="T12132" s="98"/>
    </row>
    <row r="12133" spans="20:20" x14ac:dyDescent="0.25">
      <c r="T12133" s="98"/>
    </row>
    <row r="12134" spans="20:20" x14ac:dyDescent="0.25">
      <c r="T12134" s="98"/>
    </row>
    <row r="12135" spans="20:20" x14ac:dyDescent="0.25">
      <c r="T12135" s="98"/>
    </row>
    <row r="12136" spans="20:20" x14ac:dyDescent="0.25">
      <c r="T12136" s="98"/>
    </row>
    <row r="12137" spans="20:20" x14ac:dyDescent="0.25">
      <c r="T12137" s="98"/>
    </row>
    <row r="12138" spans="20:20" x14ac:dyDescent="0.25">
      <c r="T12138" s="98"/>
    </row>
    <row r="12139" spans="20:20" x14ac:dyDescent="0.25">
      <c r="T12139" s="98"/>
    </row>
    <row r="12140" spans="20:20" x14ac:dyDescent="0.25">
      <c r="T12140" s="98"/>
    </row>
    <row r="12141" spans="20:20" x14ac:dyDescent="0.25">
      <c r="T12141" s="98"/>
    </row>
    <row r="12142" spans="20:20" x14ac:dyDescent="0.25">
      <c r="T12142" s="98"/>
    </row>
    <row r="12143" spans="20:20" x14ac:dyDescent="0.25">
      <c r="T12143" s="98"/>
    </row>
    <row r="12144" spans="20:20" x14ac:dyDescent="0.25">
      <c r="T12144" s="98"/>
    </row>
    <row r="12145" spans="20:20" x14ac:dyDescent="0.25">
      <c r="T12145" s="98"/>
    </row>
    <row r="12146" spans="20:20" x14ac:dyDescent="0.25">
      <c r="T12146" s="98"/>
    </row>
    <row r="12147" spans="20:20" x14ac:dyDescent="0.25">
      <c r="T12147" s="98"/>
    </row>
    <row r="12148" spans="20:20" x14ac:dyDescent="0.25">
      <c r="T12148" s="98"/>
    </row>
    <row r="12149" spans="20:20" x14ac:dyDescent="0.25">
      <c r="T12149" s="98"/>
    </row>
    <row r="12150" spans="20:20" x14ac:dyDescent="0.25">
      <c r="T12150" s="98"/>
    </row>
    <row r="12151" spans="20:20" x14ac:dyDescent="0.25">
      <c r="T12151" s="98"/>
    </row>
    <row r="12152" spans="20:20" x14ac:dyDescent="0.25">
      <c r="T12152" s="98"/>
    </row>
    <row r="12153" spans="20:20" x14ac:dyDescent="0.25">
      <c r="T12153" s="98"/>
    </row>
    <row r="12154" spans="20:20" x14ac:dyDescent="0.25">
      <c r="T12154" s="98"/>
    </row>
    <row r="12155" spans="20:20" x14ac:dyDescent="0.25">
      <c r="T12155" s="98"/>
    </row>
    <row r="12156" spans="20:20" x14ac:dyDescent="0.25">
      <c r="T12156" s="98"/>
    </row>
    <row r="12157" spans="20:20" x14ac:dyDescent="0.25">
      <c r="T12157" s="98"/>
    </row>
    <row r="12158" spans="20:20" x14ac:dyDescent="0.25">
      <c r="T12158" s="98"/>
    </row>
    <row r="12159" spans="20:20" x14ac:dyDescent="0.25">
      <c r="T12159" s="98"/>
    </row>
    <row r="12160" spans="20:20" x14ac:dyDescent="0.25">
      <c r="T12160" s="98"/>
    </row>
    <row r="12161" spans="20:20" x14ac:dyDescent="0.25">
      <c r="T12161" s="98"/>
    </row>
    <row r="12162" spans="20:20" x14ac:dyDescent="0.25">
      <c r="T12162" s="98"/>
    </row>
    <row r="12163" spans="20:20" x14ac:dyDescent="0.25">
      <c r="T12163" s="98"/>
    </row>
    <row r="12164" spans="20:20" x14ac:dyDescent="0.25">
      <c r="T12164" s="98"/>
    </row>
    <row r="12165" spans="20:20" x14ac:dyDescent="0.25">
      <c r="T12165" s="98"/>
    </row>
    <row r="12166" spans="20:20" x14ac:dyDescent="0.25">
      <c r="T12166" s="98"/>
    </row>
    <row r="12167" spans="20:20" x14ac:dyDescent="0.25">
      <c r="T12167" s="98"/>
    </row>
    <row r="12168" spans="20:20" x14ac:dyDescent="0.25">
      <c r="T12168" s="98"/>
    </row>
    <row r="12169" spans="20:20" x14ac:dyDescent="0.25">
      <c r="T12169" s="98"/>
    </row>
    <row r="12170" spans="20:20" x14ac:dyDescent="0.25">
      <c r="T12170" s="98"/>
    </row>
    <row r="12171" spans="20:20" x14ac:dyDescent="0.25">
      <c r="T12171" s="98"/>
    </row>
    <row r="12172" spans="20:20" x14ac:dyDescent="0.25">
      <c r="T12172" s="98"/>
    </row>
    <row r="12173" spans="20:20" x14ac:dyDescent="0.25">
      <c r="T12173" s="98"/>
    </row>
    <row r="12174" spans="20:20" x14ac:dyDescent="0.25">
      <c r="T12174" s="98"/>
    </row>
    <row r="12175" spans="20:20" x14ac:dyDescent="0.25">
      <c r="T12175" s="98"/>
    </row>
    <row r="12176" spans="20:20" x14ac:dyDescent="0.25">
      <c r="T12176" s="98"/>
    </row>
    <row r="12177" spans="20:20" x14ac:dyDescent="0.25">
      <c r="T12177" s="98"/>
    </row>
    <row r="12178" spans="20:20" x14ac:dyDescent="0.25">
      <c r="T12178" s="98"/>
    </row>
    <row r="12179" spans="20:20" x14ac:dyDescent="0.25">
      <c r="T12179" s="98"/>
    </row>
    <row r="12180" spans="20:20" x14ac:dyDescent="0.25">
      <c r="T12180" s="98"/>
    </row>
    <row r="12181" spans="20:20" x14ac:dyDescent="0.25">
      <c r="T12181" s="98"/>
    </row>
    <row r="12182" spans="20:20" x14ac:dyDescent="0.25">
      <c r="T12182" s="98"/>
    </row>
    <row r="12183" spans="20:20" x14ac:dyDescent="0.25">
      <c r="T12183" s="98"/>
    </row>
    <row r="12184" spans="20:20" x14ac:dyDescent="0.25">
      <c r="T12184" s="98"/>
    </row>
    <row r="12185" spans="20:20" x14ac:dyDescent="0.25">
      <c r="T12185" s="98"/>
    </row>
    <row r="12186" spans="20:20" x14ac:dyDescent="0.25">
      <c r="T12186" s="98"/>
    </row>
    <row r="12187" spans="20:20" x14ac:dyDescent="0.25">
      <c r="T12187" s="98"/>
    </row>
    <row r="12188" spans="20:20" x14ac:dyDescent="0.25">
      <c r="T12188" s="98"/>
    </row>
    <row r="12189" spans="20:20" x14ac:dyDescent="0.25">
      <c r="T12189" s="98"/>
    </row>
    <row r="12190" spans="20:20" x14ac:dyDescent="0.25">
      <c r="T12190" s="98"/>
    </row>
    <row r="12191" spans="20:20" x14ac:dyDescent="0.25">
      <c r="T12191" s="98"/>
    </row>
    <row r="12192" spans="20:20" x14ac:dyDescent="0.25">
      <c r="T12192" s="98"/>
    </row>
    <row r="12193" spans="20:20" x14ac:dyDescent="0.25">
      <c r="T12193" s="98"/>
    </row>
    <row r="12194" spans="20:20" x14ac:dyDescent="0.25">
      <c r="T12194" s="98"/>
    </row>
    <row r="12195" spans="20:20" x14ac:dyDescent="0.25">
      <c r="T12195" s="98"/>
    </row>
    <row r="12196" spans="20:20" x14ac:dyDescent="0.25">
      <c r="T12196" s="98"/>
    </row>
    <row r="12197" spans="20:20" x14ac:dyDescent="0.25">
      <c r="T12197" s="98"/>
    </row>
    <row r="12198" spans="20:20" x14ac:dyDescent="0.25">
      <c r="T12198" s="98"/>
    </row>
    <row r="12199" spans="20:20" x14ac:dyDescent="0.25">
      <c r="T12199" s="98"/>
    </row>
    <row r="12200" spans="20:20" x14ac:dyDescent="0.25">
      <c r="T12200" s="98"/>
    </row>
    <row r="12201" spans="20:20" x14ac:dyDescent="0.25">
      <c r="T12201" s="98"/>
    </row>
    <row r="12202" spans="20:20" x14ac:dyDescent="0.25">
      <c r="T12202" s="98"/>
    </row>
    <row r="12203" spans="20:20" x14ac:dyDescent="0.25">
      <c r="T12203" s="98"/>
    </row>
    <row r="12204" spans="20:20" x14ac:dyDescent="0.25">
      <c r="T12204" s="98"/>
    </row>
    <row r="12205" spans="20:20" x14ac:dyDescent="0.25">
      <c r="T12205" s="98"/>
    </row>
    <row r="12206" spans="20:20" x14ac:dyDescent="0.25">
      <c r="T12206" s="98"/>
    </row>
    <row r="12207" spans="20:20" x14ac:dyDescent="0.25">
      <c r="T12207" s="98"/>
    </row>
    <row r="12208" spans="20:20" x14ac:dyDescent="0.25">
      <c r="T12208" s="98"/>
    </row>
    <row r="12209" spans="20:20" x14ac:dyDescent="0.25">
      <c r="T12209" s="98"/>
    </row>
    <row r="12210" spans="20:20" x14ac:dyDescent="0.25">
      <c r="T12210" s="98"/>
    </row>
    <row r="12211" spans="20:20" x14ac:dyDescent="0.25">
      <c r="T12211" s="98"/>
    </row>
    <row r="12212" spans="20:20" x14ac:dyDescent="0.25">
      <c r="T12212" s="98"/>
    </row>
    <row r="12213" spans="20:20" x14ac:dyDescent="0.25">
      <c r="T12213" s="98"/>
    </row>
    <row r="12214" spans="20:20" x14ac:dyDescent="0.25">
      <c r="T12214" s="98"/>
    </row>
    <row r="12215" spans="20:20" x14ac:dyDescent="0.25">
      <c r="T12215" s="98"/>
    </row>
    <row r="12216" spans="20:20" x14ac:dyDescent="0.25">
      <c r="T12216" s="98"/>
    </row>
    <row r="12217" spans="20:20" x14ac:dyDescent="0.25">
      <c r="T12217" s="98"/>
    </row>
    <row r="12218" spans="20:20" x14ac:dyDescent="0.25">
      <c r="T12218" s="98"/>
    </row>
    <row r="12219" spans="20:20" x14ac:dyDescent="0.25">
      <c r="T12219" s="98"/>
    </row>
    <row r="12220" spans="20:20" x14ac:dyDescent="0.25">
      <c r="T12220" s="98"/>
    </row>
    <row r="12221" spans="20:20" x14ac:dyDescent="0.25">
      <c r="T12221" s="98"/>
    </row>
    <row r="12222" spans="20:20" x14ac:dyDescent="0.25">
      <c r="T12222" s="98"/>
    </row>
    <row r="12223" spans="20:20" x14ac:dyDescent="0.25">
      <c r="T12223" s="98"/>
    </row>
    <row r="12224" spans="20:20" x14ac:dyDescent="0.25">
      <c r="T12224" s="98"/>
    </row>
    <row r="12225" spans="20:20" x14ac:dyDescent="0.25">
      <c r="T12225" s="98"/>
    </row>
    <row r="12226" spans="20:20" x14ac:dyDescent="0.25">
      <c r="T12226" s="98"/>
    </row>
    <row r="12227" spans="20:20" x14ac:dyDescent="0.25">
      <c r="T12227" s="98"/>
    </row>
    <row r="12228" spans="20:20" x14ac:dyDescent="0.25">
      <c r="T12228" s="98"/>
    </row>
    <row r="12229" spans="20:20" x14ac:dyDescent="0.25">
      <c r="T12229" s="98"/>
    </row>
    <row r="12230" spans="20:20" x14ac:dyDescent="0.25">
      <c r="T12230" s="98"/>
    </row>
    <row r="12231" spans="20:20" x14ac:dyDescent="0.25">
      <c r="T12231" s="98"/>
    </row>
    <row r="12232" spans="20:20" x14ac:dyDescent="0.25">
      <c r="T12232" s="98"/>
    </row>
    <row r="12233" spans="20:20" x14ac:dyDescent="0.25">
      <c r="T12233" s="98"/>
    </row>
    <row r="12234" spans="20:20" x14ac:dyDescent="0.25">
      <c r="T12234" s="98"/>
    </row>
    <row r="12235" spans="20:20" x14ac:dyDescent="0.25">
      <c r="T12235" s="98"/>
    </row>
    <row r="12236" spans="20:20" x14ac:dyDescent="0.25">
      <c r="T12236" s="98"/>
    </row>
    <row r="12237" spans="20:20" x14ac:dyDescent="0.25">
      <c r="T12237" s="98"/>
    </row>
    <row r="12238" spans="20:20" x14ac:dyDescent="0.25">
      <c r="T12238" s="98"/>
    </row>
    <row r="12239" spans="20:20" x14ac:dyDescent="0.25">
      <c r="T12239" s="98"/>
    </row>
    <row r="12240" spans="20:20" x14ac:dyDescent="0.25">
      <c r="T12240" s="98"/>
    </row>
    <row r="12241" spans="20:20" x14ac:dyDescent="0.25">
      <c r="T12241" s="98"/>
    </row>
    <row r="12242" spans="20:20" x14ac:dyDescent="0.25">
      <c r="T12242" s="98"/>
    </row>
    <row r="12243" spans="20:20" x14ac:dyDescent="0.25">
      <c r="T12243" s="98"/>
    </row>
    <row r="12244" spans="20:20" x14ac:dyDescent="0.25">
      <c r="T12244" s="98"/>
    </row>
    <row r="12245" spans="20:20" x14ac:dyDescent="0.25">
      <c r="T12245" s="98"/>
    </row>
    <row r="12246" spans="20:20" x14ac:dyDescent="0.25">
      <c r="T12246" s="98"/>
    </row>
    <row r="12247" spans="20:20" x14ac:dyDescent="0.25">
      <c r="T12247" s="98"/>
    </row>
    <row r="12248" spans="20:20" x14ac:dyDescent="0.25">
      <c r="T12248" s="98"/>
    </row>
    <row r="12249" spans="20:20" x14ac:dyDescent="0.25">
      <c r="T12249" s="98"/>
    </row>
    <row r="12250" spans="20:20" x14ac:dyDescent="0.25">
      <c r="T12250" s="98"/>
    </row>
    <row r="12251" spans="20:20" x14ac:dyDescent="0.25">
      <c r="T12251" s="98"/>
    </row>
    <row r="12252" spans="20:20" x14ac:dyDescent="0.25">
      <c r="T12252" s="98"/>
    </row>
    <row r="12253" spans="20:20" x14ac:dyDescent="0.25">
      <c r="T12253" s="98"/>
    </row>
    <row r="12254" spans="20:20" x14ac:dyDescent="0.25">
      <c r="T12254" s="98"/>
    </row>
    <row r="12255" spans="20:20" x14ac:dyDescent="0.25">
      <c r="T12255" s="98"/>
    </row>
    <row r="12256" spans="20:20" x14ac:dyDescent="0.25">
      <c r="T12256" s="98"/>
    </row>
    <row r="12257" spans="20:20" x14ac:dyDescent="0.25">
      <c r="T12257" s="98"/>
    </row>
    <row r="12258" spans="20:20" x14ac:dyDescent="0.25">
      <c r="T12258" s="98"/>
    </row>
    <row r="12259" spans="20:20" x14ac:dyDescent="0.25">
      <c r="T12259" s="98"/>
    </row>
    <row r="12260" spans="20:20" x14ac:dyDescent="0.25">
      <c r="T12260" s="98"/>
    </row>
    <row r="12261" spans="20:20" x14ac:dyDescent="0.25">
      <c r="T12261" s="98"/>
    </row>
    <row r="12262" spans="20:20" x14ac:dyDescent="0.25">
      <c r="T12262" s="98"/>
    </row>
    <row r="12263" spans="20:20" x14ac:dyDescent="0.25">
      <c r="T12263" s="98"/>
    </row>
    <row r="12264" spans="20:20" x14ac:dyDescent="0.25">
      <c r="T12264" s="98"/>
    </row>
    <row r="12265" spans="20:20" x14ac:dyDescent="0.25">
      <c r="T12265" s="98"/>
    </row>
    <row r="12266" spans="20:20" x14ac:dyDescent="0.25">
      <c r="T12266" s="98"/>
    </row>
    <row r="12267" spans="20:20" x14ac:dyDescent="0.25">
      <c r="T12267" s="98"/>
    </row>
    <row r="12268" spans="20:20" x14ac:dyDescent="0.25">
      <c r="T12268" s="98"/>
    </row>
    <row r="12269" spans="20:20" x14ac:dyDescent="0.25">
      <c r="T12269" s="98"/>
    </row>
    <row r="12270" spans="20:20" x14ac:dyDescent="0.25">
      <c r="T12270" s="98"/>
    </row>
    <row r="12271" spans="20:20" x14ac:dyDescent="0.25">
      <c r="T12271" s="98"/>
    </row>
    <row r="12272" spans="20:20" x14ac:dyDescent="0.25">
      <c r="T12272" s="98"/>
    </row>
    <row r="12273" spans="20:20" x14ac:dyDescent="0.25">
      <c r="T12273" s="98"/>
    </row>
    <row r="12274" spans="20:20" x14ac:dyDescent="0.25">
      <c r="T12274" s="98"/>
    </row>
    <row r="12275" spans="20:20" x14ac:dyDescent="0.25">
      <c r="T12275" s="98"/>
    </row>
    <row r="12276" spans="20:20" x14ac:dyDescent="0.25">
      <c r="T12276" s="98"/>
    </row>
    <row r="12277" spans="20:20" x14ac:dyDescent="0.25">
      <c r="T12277" s="98"/>
    </row>
    <row r="12278" spans="20:20" x14ac:dyDescent="0.25">
      <c r="T12278" s="98"/>
    </row>
    <row r="12279" spans="20:20" x14ac:dyDescent="0.25">
      <c r="T12279" s="98"/>
    </row>
    <row r="12280" spans="20:20" x14ac:dyDescent="0.25">
      <c r="T12280" s="98"/>
    </row>
    <row r="12281" spans="20:20" x14ac:dyDescent="0.25">
      <c r="T12281" s="98"/>
    </row>
    <row r="12282" spans="20:20" x14ac:dyDescent="0.25">
      <c r="T12282" s="98"/>
    </row>
    <row r="12283" spans="20:20" x14ac:dyDescent="0.25">
      <c r="T12283" s="98"/>
    </row>
    <row r="12284" spans="20:20" x14ac:dyDescent="0.25">
      <c r="T12284" s="98"/>
    </row>
    <row r="12285" spans="20:20" x14ac:dyDescent="0.25">
      <c r="T12285" s="98"/>
    </row>
    <row r="12286" spans="20:20" x14ac:dyDescent="0.25">
      <c r="T12286" s="98"/>
    </row>
    <row r="12287" spans="20:20" x14ac:dyDescent="0.25">
      <c r="T12287" s="98"/>
    </row>
    <row r="12288" spans="20:20" x14ac:dyDescent="0.25">
      <c r="T12288" s="98"/>
    </row>
    <row r="12289" spans="20:20" x14ac:dyDescent="0.25">
      <c r="T12289" s="98"/>
    </row>
    <row r="12290" spans="20:20" x14ac:dyDescent="0.25">
      <c r="T12290" s="98"/>
    </row>
    <row r="12291" spans="20:20" x14ac:dyDescent="0.25">
      <c r="T12291" s="98"/>
    </row>
    <row r="12292" spans="20:20" x14ac:dyDescent="0.25">
      <c r="T12292" s="98"/>
    </row>
    <row r="12293" spans="20:20" x14ac:dyDescent="0.25">
      <c r="T12293" s="98"/>
    </row>
    <row r="12294" spans="20:20" x14ac:dyDescent="0.25">
      <c r="T12294" s="98"/>
    </row>
    <row r="12295" spans="20:20" x14ac:dyDescent="0.25">
      <c r="T12295" s="98"/>
    </row>
    <row r="12296" spans="20:20" x14ac:dyDescent="0.25">
      <c r="T12296" s="98"/>
    </row>
    <row r="12297" spans="20:20" x14ac:dyDescent="0.25">
      <c r="T12297" s="98"/>
    </row>
    <row r="12298" spans="20:20" x14ac:dyDescent="0.25">
      <c r="T12298" s="98"/>
    </row>
    <row r="12299" spans="20:20" x14ac:dyDescent="0.25">
      <c r="T12299" s="98"/>
    </row>
    <row r="12300" spans="20:20" x14ac:dyDescent="0.25">
      <c r="T12300" s="98"/>
    </row>
    <row r="12301" spans="20:20" x14ac:dyDescent="0.25">
      <c r="T12301" s="98"/>
    </row>
    <row r="12302" spans="20:20" x14ac:dyDescent="0.25">
      <c r="T12302" s="98"/>
    </row>
    <row r="12303" spans="20:20" x14ac:dyDescent="0.25">
      <c r="T12303" s="98"/>
    </row>
    <row r="12304" spans="20:20" x14ac:dyDescent="0.25">
      <c r="T12304" s="98"/>
    </row>
    <row r="12305" spans="20:20" x14ac:dyDescent="0.25">
      <c r="T12305" s="98"/>
    </row>
    <row r="12306" spans="20:20" x14ac:dyDescent="0.25">
      <c r="T12306" s="98"/>
    </row>
    <row r="12307" spans="20:20" x14ac:dyDescent="0.25">
      <c r="T12307" s="98"/>
    </row>
    <row r="12308" spans="20:20" x14ac:dyDescent="0.25">
      <c r="T12308" s="98"/>
    </row>
    <row r="12309" spans="20:20" x14ac:dyDescent="0.25">
      <c r="T12309" s="98"/>
    </row>
    <row r="12310" spans="20:20" x14ac:dyDescent="0.25">
      <c r="T12310" s="98"/>
    </row>
    <row r="12311" spans="20:20" x14ac:dyDescent="0.25">
      <c r="T12311" s="98"/>
    </row>
    <row r="12312" spans="20:20" x14ac:dyDescent="0.25">
      <c r="T12312" s="98"/>
    </row>
    <row r="12313" spans="20:20" x14ac:dyDescent="0.25">
      <c r="T12313" s="98"/>
    </row>
    <row r="12314" spans="20:20" x14ac:dyDescent="0.25">
      <c r="T12314" s="98"/>
    </row>
    <row r="12315" spans="20:20" x14ac:dyDescent="0.25">
      <c r="T12315" s="98"/>
    </row>
    <row r="12316" spans="20:20" x14ac:dyDescent="0.25">
      <c r="T12316" s="98"/>
    </row>
    <row r="12317" spans="20:20" x14ac:dyDescent="0.25">
      <c r="T12317" s="98"/>
    </row>
    <row r="12318" spans="20:20" x14ac:dyDescent="0.25">
      <c r="T12318" s="98"/>
    </row>
    <row r="12319" spans="20:20" x14ac:dyDescent="0.25">
      <c r="T12319" s="98"/>
    </row>
    <row r="12320" spans="20:20" x14ac:dyDescent="0.25">
      <c r="T12320" s="98"/>
    </row>
    <row r="12321" spans="20:20" x14ac:dyDescent="0.25">
      <c r="T12321" s="98"/>
    </row>
    <row r="12322" spans="20:20" x14ac:dyDescent="0.25">
      <c r="T12322" s="98"/>
    </row>
    <row r="12323" spans="20:20" x14ac:dyDescent="0.25">
      <c r="T12323" s="98"/>
    </row>
    <row r="12324" spans="20:20" x14ac:dyDescent="0.25">
      <c r="T12324" s="98"/>
    </row>
    <row r="12325" spans="20:20" x14ac:dyDescent="0.25">
      <c r="T12325" s="98"/>
    </row>
    <row r="12326" spans="20:20" x14ac:dyDescent="0.25">
      <c r="T12326" s="98"/>
    </row>
    <row r="12327" spans="20:20" x14ac:dyDescent="0.25">
      <c r="T12327" s="98"/>
    </row>
    <row r="12328" spans="20:20" x14ac:dyDescent="0.25">
      <c r="T12328" s="98"/>
    </row>
    <row r="12329" spans="20:20" x14ac:dyDescent="0.25">
      <c r="T12329" s="98"/>
    </row>
    <row r="12330" spans="20:20" x14ac:dyDescent="0.25">
      <c r="T12330" s="98"/>
    </row>
    <row r="12331" spans="20:20" x14ac:dyDescent="0.25">
      <c r="T12331" s="98"/>
    </row>
    <row r="12332" spans="20:20" x14ac:dyDescent="0.25">
      <c r="T12332" s="98"/>
    </row>
    <row r="12333" spans="20:20" x14ac:dyDescent="0.25">
      <c r="T12333" s="98"/>
    </row>
    <row r="12334" spans="20:20" x14ac:dyDescent="0.25">
      <c r="T12334" s="98"/>
    </row>
    <row r="12335" spans="20:20" x14ac:dyDescent="0.25">
      <c r="T12335" s="98"/>
    </row>
    <row r="12336" spans="20:20" x14ac:dyDescent="0.25">
      <c r="T12336" s="98"/>
    </row>
    <row r="12337" spans="20:20" x14ac:dyDescent="0.25">
      <c r="T12337" s="98"/>
    </row>
    <row r="12338" spans="20:20" x14ac:dyDescent="0.25">
      <c r="T12338" s="98"/>
    </row>
    <row r="12339" spans="20:20" x14ac:dyDescent="0.25">
      <c r="T12339" s="98"/>
    </row>
    <row r="12340" spans="20:20" x14ac:dyDescent="0.25">
      <c r="T12340" s="98"/>
    </row>
    <row r="12341" spans="20:20" x14ac:dyDescent="0.25">
      <c r="T12341" s="98"/>
    </row>
    <row r="12342" spans="20:20" x14ac:dyDescent="0.25">
      <c r="T12342" s="98"/>
    </row>
    <row r="12343" spans="20:20" x14ac:dyDescent="0.25">
      <c r="T12343" s="98"/>
    </row>
    <row r="12344" spans="20:20" x14ac:dyDescent="0.25">
      <c r="T12344" s="98"/>
    </row>
    <row r="12345" spans="20:20" x14ac:dyDescent="0.25">
      <c r="T12345" s="98"/>
    </row>
    <row r="12346" spans="20:20" x14ac:dyDescent="0.25">
      <c r="T12346" s="98"/>
    </row>
    <row r="12347" spans="20:20" x14ac:dyDescent="0.25">
      <c r="T12347" s="98"/>
    </row>
    <row r="12348" spans="20:20" x14ac:dyDescent="0.25">
      <c r="T12348" s="98"/>
    </row>
    <row r="12349" spans="20:20" x14ac:dyDescent="0.25">
      <c r="T12349" s="98"/>
    </row>
    <row r="12350" spans="20:20" x14ac:dyDescent="0.25">
      <c r="T12350" s="98"/>
    </row>
    <row r="12351" spans="20:20" x14ac:dyDescent="0.25">
      <c r="T12351" s="98"/>
    </row>
    <row r="12352" spans="20:20" x14ac:dyDescent="0.25">
      <c r="T12352" s="98"/>
    </row>
    <row r="12353" spans="20:20" x14ac:dyDescent="0.25">
      <c r="T12353" s="98"/>
    </row>
    <row r="12354" spans="20:20" x14ac:dyDescent="0.25">
      <c r="T12354" s="98"/>
    </row>
    <row r="12355" spans="20:20" x14ac:dyDescent="0.25">
      <c r="T12355" s="98"/>
    </row>
    <row r="12356" spans="20:20" x14ac:dyDescent="0.25">
      <c r="T12356" s="98"/>
    </row>
    <row r="12357" spans="20:20" x14ac:dyDescent="0.25">
      <c r="T12357" s="98"/>
    </row>
    <row r="12358" spans="20:20" x14ac:dyDescent="0.25">
      <c r="T12358" s="98"/>
    </row>
    <row r="12359" spans="20:20" x14ac:dyDescent="0.25">
      <c r="T12359" s="98"/>
    </row>
    <row r="12360" spans="20:20" x14ac:dyDescent="0.25">
      <c r="T12360" s="98"/>
    </row>
    <row r="12361" spans="20:20" x14ac:dyDescent="0.25">
      <c r="T12361" s="98"/>
    </row>
    <row r="12362" spans="20:20" x14ac:dyDescent="0.25">
      <c r="T12362" s="98"/>
    </row>
    <row r="12363" spans="20:20" x14ac:dyDescent="0.25">
      <c r="T12363" s="98"/>
    </row>
    <row r="12364" spans="20:20" x14ac:dyDescent="0.25">
      <c r="T12364" s="98"/>
    </row>
    <row r="12365" spans="20:20" x14ac:dyDescent="0.25">
      <c r="T12365" s="98"/>
    </row>
    <row r="12366" spans="20:20" x14ac:dyDescent="0.25">
      <c r="T12366" s="98"/>
    </row>
    <row r="12367" spans="20:20" x14ac:dyDescent="0.25">
      <c r="T12367" s="98"/>
    </row>
    <row r="12368" spans="20:20" x14ac:dyDescent="0.25">
      <c r="T12368" s="98"/>
    </row>
    <row r="12369" spans="20:20" x14ac:dyDescent="0.25">
      <c r="T12369" s="98"/>
    </row>
    <row r="12370" spans="20:20" x14ac:dyDescent="0.25">
      <c r="T12370" s="98"/>
    </row>
    <row r="12371" spans="20:20" x14ac:dyDescent="0.25">
      <c r="T12371" s="98"/>
    </row>
    <row r="12372" spans="20:20" x14ac:dyDescent="0.25">
      <c r="T12372" s="98"/>
    </row>
    <row r="12373" spans="20:20" x14ac:dyDescent="0.25">
      <c r="T12373" s="98"/>
    </row>
    <row r="12374" spans="20:20" x14ac:dyDescent="0.25">
      <c r="T12374" s="98"/>
    </row>
    <row r="12375" spans="20:20" x14ac:dyDescent="0.25">
      <c r="T12375" s="98"/>
    </row>
    <row r="12376" spans="20:20" x14ac:dyDescent="0.25">
      <c r="T12376" s="98"/>
    </row>
    <row r="12377" spans="20:20" x14ac:dyDescent="0.25">
      <c r="T12377" s="98"/>
    </row>
    <row r="12378" spans="20:20" x14ac:dyDescent="0.25">
      <c r="T12378" s="98"/>
    </row>
    <row r="12379" spans="20:20" x14ac:dyDescent="0.25">
      <c r="T12379" s="98"/>
    </row>
    <row r="12380" spans="20:20" x14ac:dyDescent="0.25">
      <c r="T12380" s="98"/>
    </row>
    <row r="12381" spans="20:20" x14ac:dyDescent="0.25">
      <c r="T12381" s="98"/>
    </row>
    <row r="12382" spans="20:20" x14ac:dyDescent="0.25">
      <c r="T12382" s="98"/>
    </row>
    <row r="12383" spans="20:20" x14ac:dyDescent="0.25">
      <c r="T12383" s="98"/>
    </row>
    <row r="12384" spans="20:20" x14ac:dyDescent="0.25">
      <c r="T12384" s="98"/>
    </row>
    <row r="12385" spans="20:20" x14ac:dyDescent="0.25">
      <c r="T12385" s="98"/>
    </row>
    <row r="12386" spans="20:20" x14ac:dyDescent="0.25">
      <c r="T12386" s="98"/>
    </row>
    <row r="12387" spans="20:20" x14ac:dyDescent="0.25">
      <c r="T12387" s="98"/>
    </row>
    <row r="12388" spans="20:20" x14ac:dyDescent="0.25">
      <c r="T12388" s="98"/>
    </row>
    <row r="12389" spans="20:20" x14ac:dyDescent="0.25">
      <c r="T12389" s="98"/>
    </row>
    <row r="12390" spans="20:20" x14ac:dyDescent="0.25">
      <c r="T12390" s="98"/>
    </row>
    <row r="12391" spans="20:20" x14ac:dyDescent="0.25">
      <c r="T12391" s="98"/>
    </row>
    <row r="12392" spans="20:20" x14ac:dyDescent="0.25">
      <c r="T12392" s="98"/>
    </row>
    <row r="12393" spans="20:20" x14ac:dyDescent="0.25">
      <c r="T12393" s="98"/>
    </row>
    <row r="12394" spans="20:20" x14ac:dyDescent="0.25">
      <c r="T12394" s="98"/>
    </row>
    <row r="12395" spans="20:20" x14ac:dyDescent="0.25">
      <c r="T12395" s="98"/>
    </row>
    <row r="12396" spans="20:20" x14ac:dyDescent="0.25">
      <c r="T12396" s="98"/>
    </row>
    <row r="12397" spans="20:20" x14ac:dyDescent="0.25">
      <c r="T12397" s="98"/>
    </row>
    <row r="12398" spans="20:20" x14ac:dyDescent="0.25">
      <c r="T12398" s="98"/>
    </row>
    <row r="12399" spans="20:20" x14ac:dyDescent="0.25">
      <c r="T12399" s="98"/>
    </row>
    <row r="12400" spans="20:20" x14ac:dyDescent="0.25">
      <c r="T12400" s="98"/>
    </row>
    <row r="12401" spans="20:20" x14ac:dyDescent="0.25">
      <c r="T12401" s="98"/>
    </row>
    <row r="12402" spans="20:20" x14ac:dyDescent="0.25">
      <c r="T12402" s="98"/>
    </row>
    <row r="12403" spans="20:20" x14ac:dyDescent="0.25">
      <c r="T12403" s="98"/>
    </row>
    <row r="12404" spans="20:20" x14ac:dyDescent="0.25">
      <c r="T12404" s="98"/>
    </row>
    <row r="12405" spans="20:20" x14ac:dyDescent="0.25">
      <c r="T12405" s="98"/>
    </row>
    <row r="12406" spans="20:20" x14ac:dyDescent="0.25">
      <c r="T12406" s="98"/>
    </row>
    <row r="12407" spans="20:20" x14ac:dyDescent="0.25">
      <c r="T12407" s="98"/>
    </row>
    <row r="12408" spans="20:20" x14ac:dyDescent="0.25">
      <c r="T12408" s="98"/>
    </row>
    <row r="12409" spans="20:20" x14ac:dyDescent="0.25">
      <c r="T12409" s="98"/>
    </row>
    <row r="12410" spans="20:20" x14ac:dyDescent="0.25">
      <c r="T12410" s="98"/>
    </row>
    <row r="12411" spans="20:20" x14ac:dyDescent="0.25">
      <c r="T12411" s="98"/>
    </row>
    <row r="12412" spans="20:20" x14ac:dyDescent="0.25">
      <c r="T12412" s="98"/>
    </row>
    <row r="12413" spans="20:20" x14ac:dyDescent="0.25">
      <c r="T12413" s="98"/>
    </row>
    <row r="12414" spans="20:20" x14ac:dyDescent="0.25">
      <c r="T12414" s="98"/>
    </row>
    <row r="12415" spans="20:20" x14ac:dyDescent="0.25">
      <c r="T12415" s="98"/>
    </row>
    <row r="12416" spans="20:20" x14ac:dyDescent="0.25">
      <c r="T12416" s="98"/>
    </row>
    <row r="12417" spans="20:20" x14ac:dyDescent="0.25">
      <c r="T12417" s="98"/>
    </row>
    <row r="12418" spans="20:20" x14ac:dyDescent="0.25">
      <c r="T12418" s="98"/>
    </row>
    <row r="12419" spans="20:20" x14ac:dyDescent="0.25">
      <c r="T12419" s="98"/>
    </row>
    <row r="12420" spans="20:20" x14ac:dyDescent="0.25">
      <c r="T12420" s="98"/>
    </row>
    <row r="12421" spans="20:20" x14ac:dyDescent="0.25">
      <c r="T12421" s="98"/>
    </row>
    <row r="12422" spans="20:20" x14ac:dyDescent="0.25">
      <c r="T12422" s="98"/>
    </row>
    <row r="12423" spans="20:20" x14ac:dyDescent="0.25">
      <c r="T12423" s="98"/>
    </row>
    <row r="12424" spans="20:20" x14ac:dyDescent="0.25">
      <c r="T12424" s="98"/>
    </row>
    <row r="12425" spans="20:20" x14ac:dyDescent="0.25">
      <c r="T12425" s="98"/>
    </row>
    <row r="12426" spans="20:20" x14ac:dyDescent="0.25">
      <c r="T12426" s="98"/>
    </row>
    <row r="12427" spans="20:20" x14ac:dyDescent="0.25">
      <c r="T12427" s="98"/>
    </row>
    <row r="12428" spans="20:20" x14ac:dyDescent="0.25">
      <c r="T12428" s="98"/>
    </row>
    <row r="12429" spans="20:20" x14ac:dyDescent="0.25">
      <c r="T12429" s="98"/>
    </row>
    <row r="12430" spans="20:20" x14ac:dyDescent="0.25">
      <c r="T12430" s="98"/>
    </row>
    <row r="12431" spans="20:20" x14ac:dyDescent="0.25">
      <c r="T12431" s="98"/>
    </row>
    <row r="12432" spans="20:20" x14ac:dyDescent="0.25">
      <c r="T12432" s="98"/>
    </row>
    <row r="12433" spans="20:20" x14ac:dyDescent="0.25">
      <c r="T12433" s="98"/>
    </row>
    <row r="12434" spans="20:20" x14ac:dyDescent="0.25">
      <c r="T12434" s="98"/>
    </row>
    <row r="12435" spans="20:20" x14ac:dyDescent="0.25">
      <c r="T12435" s="98"/>
    </row>
    <row r="12436" spans="20:20" x14ac:dyDescent="0.25">
      <c r="T12436" s="98"/>
    </row>
    <row r="12437" spans="20:20" x14ac:dyDescent="0.25">
      <c r="T12437" s="98"/>
    </row>
    <row r="12438" spans="20:20" x14ac:dyDescent="0.25">
      <c r="T12438" s="98"/>
    </row>
    <row r="12439" spans="20:20" x14ac:dyDescent="0.25">
      <c r="T12439" s="98"/>
    </row>
    <row r="12440" spans="20:20" x14ac:dyDescent="0.25">
      <c r="T12440" s="98"/>
    </row>
    <row r="12441" spans="20:20" x14ac:dyDescent="0.25">
      <c r="T12441" s="98"/>
    </row>
    <row r="12442" spans="20:20" x14ac:dyDescent="0.25">
      <c r="T12442" s="98"/>
    </row>
    <row r="12443" spans="20:20" x14ac:dyDescent="0.25">
      <c r="T12443" s="98"/>
    </row>
    <row r="12444" spans="20:20" x14ac:dyDescent="0.25">
      <c r="T12444" s="98"/>
    </row>
    <row r="12445" spans="20:20" x14ac:dyDescent="0.25">
      <c r="T12445" s="98"/>
    </row>
    <row r="12446" spans="20:20" x14ac:dyDescent="0.25">
      <c r="T12446" s="98"/>
    </row>
    <row r="12447" spans="20:20" x14ac:dyDescent="0.25">
      <c r="T12447" s="98"/>
    </row>
    <row r="12448" spans="20:20" x14ac:dyDescent="0.25">
      <c r="T12448" s="98"/>
    </row>
    <row r="12449" spans="20:20" x14ac:dyDescent="0.25">
      <c r="T12449" s="98"/>
    </row>
    <row r="12450" spans="20:20" x14ac:dyDescent="0.25">
      <c r="T12450" s="98"/>
    </row>
    <row r="12451" spans="20:20" x14ac:dyDescent="0.25">
      <c r="T12451" s="98"/>
    </row>
    <row r="12452" spans="20:20" x14ac:dyDescent="0.25">
      <c r="T12452" s="98"/>
    </row>
    <row r="12453" spans="20:20" x14ac:dyDescent="0.25">
      <c r="T12453" s="98"/>
    </row>
    <row r="12454" spans="20:20" x14ac:dyDescent="0.25">
      <c r="T12454" s="98"/>
    </row>
    <row r="12455" spans="20:20" x14ac:dyDescent="0.25">
      <c r="T12455" s="98"/>
    </row>
    <row r="12456" spans="20:20" x14ac:dyDescent="0.25">
      <c r="T12456" s="98"/>
    </row>
    <row r="12457" spans="20:20" x14ac:dyDescent="0.25">
      <c r="T12457" s="98"/>
    </row>
    <row r="12458" spans="20:20" x14ac:dyDescent="0.25">
      <c r="T12458" s="98"/>
    </row>
    <row r="12459" spans="20:20" x14ac:dyDescent="0.25">
      <c r="T12459" s="98"/>
    </row>
    <row r="12460" spans="20:20" x14ac:dyDescent="0.25">
      <c r="T12460" s="98"/>
    </row>
    <row r="12461" spans="20:20" x14ac:dyDescent="0.25">
      <c r="T12461" s="98"/>
    </row>
    <row r="12462" spans="20:20" x14ac:dyDescent="0.25">
      <c r="T12462" s="98"/>
    </row>
    <row r="12463" spans="20:20" x14ac:dyDescent="0.25">
      <c r="T12463" s="98"/>
    </row>
    <row r="12464" spans="20:20" x14ac:dyDescent="0.25">
      <c r="T12464" s="98"/>
    </row>
    <row r="12465" spans="20:20" x14ac:dyDescent="0.25">
      <c r="T12465" s="98"/>
    </row>
    <row r="12466" spans="20:20" x14ac:dyDescent="0.25">
      <c r="T12466" s="98"/>
    </row>
    <row r="12467" spans="20:20" x14ac:dyDescent="0.25">
      <c r="T12467" s="98"/>
    </row>
    <row r="12468" spans="20:20" x14ac:dyDescent="0.25">
      <c r="T12468" s="98"/>
    </row>
    <row r="12469" spans="20:20" x14ac:dyDescent="0.25">
      <c r="T12469" s="98"/>
    </row>
    <row r="12470" spans="20:20" x14ac:dyDescent="0.25">
      <c r="T12470" s="98"/>
    </row>
    <row r="12471" spans="20:20" x14ac:dyDescent="0.25">
      <c r="T12471" s="98"/>
    </row>
    <row r="12472" spans="20:20" x14ac:dyDescent="0.25">
      <c r="T12472" s="98"/>
    </row>
    <row r="12473" spans="20:20" x14ac:dyDescent="0.25">
      <c r="T12473" s="98"/>
    </row>
    <row r="12474" spans="20:20" x14ac:dyDescent="0.25">
      <c r="T12474" s="98"/>
    </row>
    <row r="12475" spans="20:20" x14ac:dyDescent="0.25">
      <c r="T12475" s="98"/>
    </row>
    <row r="12476" spans="20:20" x14ac:dyDescent="0.25">
      <c r="T12476" s="98"/>
    </row>
    <row r="12477" spans="20:20" x14ac:dyDescent="0.25">
      <c r="T12477" s="98"/>
    </row>
    <row r="12478" spans="20:20" x14ac:dyDescent="0.25">
      <c r="T12478" s="98"/>
    </row>
    <row r="12479" spans="20:20" x14ac:dyDescent="0.25">
      <c r="T12479" s="98"/>
    </row>
    <row r="12480" spans="20:20" x14ac:dyDescent="0.25">
      <c r="T12480" s="98"/>
    </row>
    <row r="12481" spans="20:20" x14ac:dyDescent="0.25">
      <c r="T12481" s="98"/>
    </row>
    <row r="12482" spans="20:20" x14ac:dyDescent="0.25">
      <c r="T12482" s="98"/>
    </row>
    <row r="12483" spans="20:20" x14ac:dyDescent="0.25">
      <c r="T12483" s="98"/>
    </row>
    <row r="12484" spans="20:20" x14ac:dyDescent="0.25">
      <c r="T12484" s="98"/>
    </row>
    <row r="12485" spans="20:20" x14ac:dyDescent="0.25">
      <c r="T12485" s="98"/>
    </row>
    <row r="12486" spans="20:20" x14ac:dyDescent="0.25">
      <c r="T12486" s="98"/>
    </row>
    <row r="12487" spans="20:20" x14ac:dyDescent="0.25">
      <c r="T12487" s="98"/>
    </row>
    <row r="12488" spans="20:20" x14ac:dyDescent="0.25">
      <c r="T12488" s="98"/>
    </row>
    <row r="12489" spans="20:20" x14ac:dyDescent="0.25">
      <c r="T12489" s="98"/>
    </row>
    <row r="12490" spans="20:20" x14ac:dyDescent="0.25">
      <c r="T12490" s="98"/>
    </row>
    <row r="12491" spans="20:20" x14ac:dyDescent="0.25">
      <c r="T12491" s="98"/>
    </row>
    <row r="12492" spans="20:20" x14ac:dyDescent="0.25">
      <c r="T12492" s="98"/>
    </row>
    <row r="12493" spans="20:20" x14ac:dyDescent="0.25">
      <c r="T12493" s="98"/>
    </row>
    <row r="12494" spans="20:20" x14ac:dyDescent="0.25">
      <c r="T12494" s="98"/>
    </row>
    <row r="12495" spans="20:20" x14ac:dyDescent="0.25">
      <c r="T12495" s="98"/>
    </row>
    <row r="12496" spans="20:20" x14ac:dyDescent="0.25">
      <c r="T12496" s="98"/>
    </row>
    <row r="12497" spans="20:20" x14ac:dyDescent="0.25">
      <c r="T12497" s="98"/>
    </row>
    <row r="12498" spans="20:20" x14ac:dyDescent="0.25">
      <c r="T12498" s="98"/>
    </row>
    <row r="12499" spans="20:20" x14ac:dyDescent="0.25">
      <c r="T12499" s="98"/>
    </row>
    <row r="12500" spans="20:20" x14ac:dyDescent="0.25">
      <c r="T12500" s="98"/>
    </row>
    <row r="12501" spans="20:20" x14ac:dyDescent="0.25">
      <c r="T12501" s="98"/>
    </row>
    <row r="12502" spans="20:20" x14ac:dyDescent="0.25">
      <c r="T12502" s="98"/>
    </row>
    <row r="12503" spans="20:20" x14ac:dyDescent="0.25">
      <c r="T12503" s="98"/>
    </row>
    <row r="12504" spans="20:20" x14ac:dyDescent="0.25">
      <c r="T12504" s="98"/>
    </row>
    <row r="12505" spans="20:20" x14ac:dyDescent="0.25">
      <c r="T12505" s="98"/>
    </row>
    <row r="12506" spans="20:20" x14ac:dyDescent="0.25">
      <c r="T12506" s="98"/>
    </row>
    <row r="12507" spans="20:20" x14ac:dyDescent="0.25">
      <c r="T12507" s="98"/>
    </row>
    <row r="12508" spans="20:20" x14ac:dyDescent="0.25">
      <c r="T12508" s="98"/>
    </row>
    <row r="12509" spans="20:20" x14ac:dyDescent="0.25">
      <c r="T12509" s="98"/>
    </row>
    <row r="12510" spans="20:20" x14ac:dyDescent="0.25">
      <c r="T12510" s="98"/>
    </row>
    <row r="12511" spans="20:20" x14ac:dyDescent="0.25">
      <c r="T12511" s="98"/>
    </row>
    <row r="12512" spans="20:20" x14ac:dyDescent="0.25">
      <c r="T12512" s="98"/>
    </row>
    <row r="12513" spans="20:20" x14ac:dyDescent="0.25">
      <c r="T12513" s="98"/>
    </row>
    <row r="12514" spans="20:20" x14ac:dyDescent="0.25">
      <c r="T12514" s="98"/>
    </row>
    <row r="12515" spans="20:20" x14ac:dyDescent="0.25">
      <c r="T12515" s="98"/>
    </row>
    <row r="12516" spans="20:20" x14ac:dyDescent="0.25">
      <c r="T12516" s="98"/>
    </row>
    <row r="12517" spans="20:20" x14ac:dyDescent="0.25">
      <c r="T12517" s="98"/>
    </row>
    <row r="12518" spans="20:20" x14ac:dyDescent="0.25">
      <c r="T12518" s="98"/>
    </row>
    <row r="12519" spans="20:20" x14ac:dyDescent="0.25">
      <c r="T12519" s="98"/>
    </row>
    <row r="12520" spans="20:20" x14ac:dyDescent="0.25">
      <c r="T12520" s="98"/>
    </row>
    <row r="12521" spans="20:20" x14ac:dyDescent="0.25">
      <c r="T12521" s="98"/>
    </row>
    <row r="12522" spans="20:20" x14ac:dyDescent="0.25">
      <c r="T12522" s="98"/>
    </row>
    <row r="12523" spans="20:20" x14ac:dyDescent="0.25">
      <c r="T12523" s="98"/>
    </row>
    <row r="12524" spans="20:20" x14ac:dyDescent="0.25">
      <c r="T12524" s="98"/>
    </row>
    <row r="12525" spans="20:20" x14ac:dyDescent="0.25">
      <c r="T12525" s="98"/>
    </row>
    <row r="12526" spans="20:20" x14ac:dyDescent="0.25">
      <c r="T12526" s="98"/>
    </row>
    <row r="12527" spans="20:20" x14ac:dyDescent="0.25">
      <c r="T12527" s="98"/>
    </row>
    <row r="12528" spans="20:20" x14ac:dyDescent="0.25">
      <c r="T12528" s="98"/>
    </row>
    <row r="12529" spans="20:20" x14ac:dyDescent="0.25">
      <c r="T12529" s="98"/>
    </row>
    <row r="12530" spans="20:20" x14ac:dyDescent="0.25">
      <c r="T12530" s="98"/>
    </row>
    <row r="12531" spans="20:20" x14ac:dyDescent="0.25">
      <c r="T12531" s="98"/>
    </row>
    <row r="12532" spans="20:20" x14ac:dyDescent="0.25">
      <c r="T12532" s="98"/>
    </row>
    <row r="12533" spans="20:20" x14ac:dyDescent="0.25">
      <c r="T12533" s="98"/>
    </row>
    <row r="12534" spans="20:20" x14ac:dyDescent="0.25">
      <c r="T12534" s="98"/>
    </row>
    <row r="12535" spans="20:20" x14ac:dyDescent="0.25">
      <c r="T12535" s="98"/>
    </row>
    <row r="12536" spans="20:20" x14ac:dyDescent="0.25">
      <c r="T12536" s="98"/>
    </row>
    <row r="12537" spans="20:20" x14ac:dyDescent="0.25">
      <c r="T12537" s="98"/>
    </row>
    <row r="12538" spans="20:20" x14ac:dyDescent="0.25">
      <c r="T12538" s="98"/>
    </row>
    <row r="12539" spans="20:20" x14ac:dyDescent="0.25">
      <c r="T12539" s="98"/>
    </row>
    <row r="12540" spans="20:20" x14ac:dyDescent="0.25">
      <c r="T12540" s="98"/>
    </row>
    <row r="12541" spans="20:20" x14ac:dyDescent="0.25">
      <c r="T12541" s="98"/>
    </row>
    <row r="12542" spans="20:20" x14ac:dyDescent="0.25">
      <c r="T12542" s="98"/>
    </row>
    <row r="12543" spans="20:20" x14ac:dyDescent="0.25">
      <c r="T12543" s="98"/>
    </row>
    <row r="12544" spans="20:20" x14ac:dyDescent="0.25">
      <c r="T12544" s="98"/>
    </row>
    <row r="12545" spans="20:20" x14ac:dyDescent="0.25">
      <c r="T12545" s="98"/>
    </row>
    <row r="12546" spans="20:20" x14ac:dyDescent="0.25">
      <c r="T12546" s="98"/>
    </row>
    <row r="12547" spans="20:20" x14ac:dyDescent="0.25">
      <c r="T12547" s="98"/>
    </row>
    <row r="12548" spans="20:20" x14ac:dyDescent="0.25">
      <c r="T12548" s="98"/>
    </row>
    <row r="12549" spans="20:20" x14ac:dyDescent="0.25">
      <c r="T12549" s="98"/>
    </row>
    <row r="12550" spans="20:20" x14ac:dyDescent="0.25">
      <c r="T12550" s="98"/>
    </row>
    <row r="12551" spans="20:20" x14ac:dyDescent="0.25">
      <c r="T12551" s="98"/>
    </row>
    <row r="12552" spans="20:20" x14ac:dyDescent="0.25">
      <c r="T12552" s="98"/>
    </row>
    <row r="12553" spans="20:20" x14ac:dyDescent="0.25">
      <c r="T12553" s="98"/>
    </row>
    <row r="12554" spans="20:20" x14ac:dyDescent="0.25">
      <c r="T12554" s="98"/>
    </row>
    <row r="12555" spans="20:20" x14ac:dyDescent="0.25">
      <c r="T12555" s="98"/>
    </row>
    <row r="12556" spans="20:20" x14ac:dyDescent="0.25">
      <c r="T12556" s="98"/>
    </row>
    <row r="12557" spans="20:20" x14ac:dyDescent="0.25">
      <c r="T12557" s="98"/>
    </row>
    <row r="12558" spans="20:20" x14ac:dyDescent="0.25">
      <c r="T12558" s="98"/>
    </row>
    <row r="12559" spans="20:20" x14ac:dyDescent="0.25">
      <c r="T12559" s="98"/>
    </row>
    <row r="12560" spans="20:20" x14ac:dyDescent="0.25">
      <c r="T12560" s="98"/>
    </row>
    <row r="12561" spans="20:20" x14ac:dyDescent="0.25">
      <c r="T12561" s="98"/>
    </row>
    <row r="12562" spans="20:20" x14ac:dyDescent="0.25">
      <c r="T12562" s="98"/>
    </row>
    <row r="12563" spans="20:20" x14ac:dyDescent="0.25">
      <c r="T12563" s="98"/>
    </row>
    <row r="12564" spans="20:20" x14ac:dyDescent="0.25">
      <c r="T12564" s="98"/>
    </row>
    <row r="12565" spans="20:20" x14ac:dyDescent="0.25">
      <c r="T12565" s="98"/>
    </row>
    <row r="12566" spans="20:20" x14ac:dyDescent="0.25">
      <c r="T12566" s="98"/>
    </row>
    <row r="12567" spans="20:20" x14ac:dyDescent="0.25">
      <c r="T12567" s="98"/>
    </row>
    <row r="12568" spans="20:20" x14ac:dyDescent="0.25">
      <c r="T12568" s="98"/>
    </row>
    <row r="12569" spans="20:20" x14ac:dyDescent="0.25">
      <c r="T12569" s="98"/>
    </row>
    <row r="12570" spans="20:20" x14ac:dyDescent="0.25">
      <c r="T12570" s="98"/>
    </row>
    <row r="12571" spans="20:20" x14ac:dyDescent="0.25">
      <c r="T12571" s="98"/>
    </row>
    <row r="12572" spans="20:20" x14ac:dyDescent="0.25">
      <c r="T12572" s="98"/>
    </row>
    <row r="12573" spans="20:20" x14ac:dyDescent="0.25">
      <c r="T12573" s="98"/>
    </row>
    <row r="12574" spans="20:20" x14ac:dyDescent="0.25">
      <c r="T12574" s="98"/>
    </row>
    <row r="12575" spans="20:20" x14ac:dyDescent="0.25">
      <c r="T12575" s="98"/>
    </row>
    <row r="12576" spans="20:20" x14ac:dyDescent="0.25">
      <c r="T12576" s="98"/>
    </row>
    <row r="12577" spans="20:20" x14ac:dyDescent="0.25">
      <c r="T12577" s="98"/>
    </row>
    <row r="12578" spans="20:20" x14ac:dyDescent="0.25">
      <c r="T12578" s="98"/>
    </row>
    <row r="12579" spans="20:20" x14ac:dyDescent="0.25">
      <c r="T12579" s="98"/>
    </row>
    <row r="12580" spans="20:20" x14ac:dyDescent="0.25">
      <c r="T12580" s="98"/>
    </row>
    <row r="12581" spans="20:20" x14ac:dyDescent="0.25">
      <c r="T12581" s="98"/>
    </row>
    <row r="12582" spans="20:20" x14ac:dyDescent="0.25">
      <c r="T12582" s="98"/>
    </row>
    <row r="12583" spans="20:20" x14ac:dyDescent="0.25">
      <c r="T12583" s="98"/>
    </row>
    <row r="12584" spans="20:20" x14ac:dyDescent="0.25">
      <c r="T12584" s="98"/>
    </row>
    <row r="12585" spans="20:20" x14ac:dyDescent="0.25">
      <c r="T12585" s="98"/>
    </row>
    <row r="12586" spans="20:20" x14ac:dyDescent="0.25">
      <c r="T12586" s="98"/>
    </row>
    <row r="12587" spans="20:20" x14ac:dyDescent="0.25">
      <c r="T12587" s="98"/>
    </row>
    <row r="12588" spans="20:20" x14ac:dyDescent="0.25">
      <c r="T12588" s="98"/>
    </row>
    <row r="12589" spans="20:20" x14ac:dyDescent="0.25">
      <c r="T12589" s="98"/>
    </row>
    <row r="12590" spans="20:20" x14ac:dyDescent="0.25">
      <c r="T12590" s="98"/>
    </row>
    <row r="12591" spans="20:20" x14ac:dyDescent="0.25">
      <c r="T12591" s="98"/>
    </row>
    <row r="12592" spans="20:20" x14ac:dyDescent="0.25">
      <c r="T12592" s="98"/>
    </row>
    <row r="12593" spans="20:20" x14ac:dyDescent="0.25">
      <c r="T12593" s="98"/>
    </row>
    <row r="12594" spans="20:20" x14ac:dyDescent="0.25">
      <c r="T12594" s="98"/>
    </row>
    <row r="12595" spans="20:20" x14ac:dyDescent="0.25">
      <c r="T12595" s="98"/>
    </row>
    <row r="12596" spans="20:20" x14ac:dyDescent="0.25">
      <c r="T12596" s="98"/>
    </row>
    <row r="12597" spans="20:20" x14ac:dyDescent="0.25">
      <c r="T12597" s="98"/>
    </row>
    <row r="12598" spans="20:20" x14ac:dyDescent="0.25">
      <c r="T12598" s="98"/>
    </row>
    <row r="12599" spans="20:20" x14ac:dyDescent="0.25">
      <c r="T12599" s="98"/>
    </row>
    <row r="12600" spans="20:20" x14ac:dyDescent="0.25">
      <c r="T12600" s="98"/>
    </row>
    <row r="12601" spans="20:20" x14ac:dyDescent="0.25">
      <c r="T12601" s="98"/>
    </row>
    <row r="12602" spans="20:20" x14ac:dyDescent="0.25">
      <c r="T12602" s="98"/>
    </row>
    <row r="12603" spans="20:20" x14ac:dyDescent="0.25">
      <c r="T12603" s="98"/>
    </row>
    <row r="12604" spans="20:20" x14ac:dyDescent="0.25">
      <c r="T12604" s="98"/>
    </row>
    <row r="12605" spans="20:20" x14ac:dyDescent="0.25">
      <c r="T12605" s="98"/>
    </row>
    <row r="12606" spans="20:20" x14ac:dyDescent="0.25">
      <c r="T12606" s="98"/>
    </row>
    <row r="12607" spans="20:20" x14ac:dyDescent="0.25">
      <c r="T12607" s="98"/>
    </row>
    <row r="12608" spans="20:20" x14ac:dyDescent="0.25">
      <c r="T12608" s="98"/>
    </row>
    <row r="12609" spans="20:20" x14ac:dyDescent="0.25">
      <c r="T12609" s="98"/>
    </row>
    <row r="12610" spans="20:20" x14ac:dyDescent="0.25">
      <c r="T12610" s="98"/>
    </row>
    <row r="12611" spans="20:20" x14ac:dyDescent="0.25">
      <c r="T12611" s="98"/>
    </row>
    <row r="12612" spans="20:20" x14ac:dyDescent="0.25">
      <c r="T12612" s="98"/>
    </row>
    <row r="12613" spans="20:20" x14ac:dyDescent="0.25">
      <c r="T12613" s="98"/>
    </row>
    <row r="12614" spans="20:20" x14ac:dyDescent="0.25">
      <c r="T12614" s="98"/>
    </row>
    <row r="12615" spans="20:20" x14ac:dyDescent="0.25">
      <c r="T12615" s="98"/>
    </row>
    <row r="12616" spans="20:20" x14ac:dyDescent="0.25">
      <c r="T12616" s="98"/>
    </row>
    <row r="12617" spans="20:20" x14ac:dyDescent="0.25">
      <c r="T12617" s="98"/>
    </row>
    <row r="12618" spans="20:20" x14ac:dyDescent="0.25">
      <c r="T12618" s="98"/>
    </row>
    <row r="12619" spans="20:20" x14ac:dyDescent="0.25">
      <c r="T12619" s="98"/>
    </row>
    <row r="12620" spans="20:20" x14ac:dyDescent="0.25">
      <c r="T12620" s="98"/>
    </row>
    <row r="12621" spans="20:20" x14ac:dyDescent="0.25">
      <c r="T12621" s="98"/>
    </row>
    <row r="12622" spans="20:20" x14ac:dyDescent="0.25">
      <c r="T12622" s="98"/>
    </row>
    <row r="12623" spans="20:20" x14ac:dyDescent="0.25">
      <c r="T12623" s="98"/>
    </row>
    <row r="12624" spans="20:20" x14ac:dyDescent="0.25">
      <c r="T12624" s="98"/>
    </row>
    <row r="12625" spans="20:20" x14ac:dyDescent="0.25">
      <c r="T12625" s="98"/>
    </row>
    <row r="12626" spans="20:20" x14ac:dyDescent="0.25">
      <c r="T12626" s="98"/>
    </row>
    <row r="12627" spans="20:20" x14ac:dyDescent="0.25">
      <c r="T12627" s="98"/>
    </row>
    <row r="12628" spans="20:20" x14ac:dyDescent="0.25">
      <c r="T12628" s="98"/>
    </row>
    <row r="12629" spans="20:20" x14ac:dyDescent="0.25">
      <c r="T12629" s="98"/>
    </row>
    <row r="12630" spans="20:20" x14ac:dyDescent="0.25">
      <c r="T12630" s="98"/>
    </row>
    <row r="12631" spans="20:20" x14ac:dyDescent="0.25">
      <c r="T12631" s="98"/>
    </row>
    <row r="12632" spans="20:20" x14ac:dyDescent="0.25">
      <c r="T12632" s="98"/>
    </row>
    <row r="12633" spans="20:20" x14ac:dyDescent="0.25">
      <c r="T12633" s="98"/>
    </row>
    <row r="12634" spans="20:20" x14ac:dyDescent="0.25">
      <c r="T12634" s="98"/>
    </row>
    <row r="12635" spans="20:20" x14ac:dyDescent="0.25">
      <c r="T12635" s="98"/>
    </row>
    <row r="12636" spans="20:20" x14ac:dyDescent="0.25">
      <c r="T12636" s="98"/>
    </row>
    <row r="12637" spans="20:20" x14ac:dyDescent="0.25">
      <c r="T12637" s="98"/>
    </row>
    <row r="12638" spans="20:20" x14ac:dyDescent="0.25">
      <c r="T12638" s="98"/>
    </row>
    <row r="12639" spans="20:20" x14ac:dyDescent="0.25">
      <c r="T12639" s="98"/>
    </row>
    <row r="12640" spans="20:20" x14ac:dyDescent="0.25">
      <c r="T12640" s="98"/>
    </row>
    <row r="12641" spans="20:20" x14ac:dyDescent="0.25">
      <c r="T12641" s="98"/>
    </row>
    <row r="12642" spans="20:20" x14ac:dyDescent="0.25">
      <c r="T12642" s="98"/>
    </row>
    <row r="12643" spans="20:20" x14ac:dyDescent="0.25">
      <c r="T12643" s="98"/>
    </row>
    <row r="12644" spans="20:20" x14ac:dyDescent="0.25">
      <c r="T12644" s="98"/>
    </row>
    <row r="12645" spans="20:20" x14ac:dyDescent="0.25">
      <c r="T12645" s="98"/>
    </row>
    <row r="12646" spans="20:20" x14ac:dyDescent="0.25">
      <c r="T12646" s="98"/>
    </row>
    <row r="12647" spans="20:20" x14ac:dyDescent="0.25">
      <c r="T12647" s="98"/>
    </row>
    <row r="12648" spans="20:20" x14ac:dyDescent="0.25">
      <c r="T12648" s="98"/>
    </row>
    <row r="12649" spans="20:20" x14ac:dyDescent="0.25">
      <c r="T12649" s="98"/>
    </row>
    <row r="12650" spans="20:20" x14ac:dyDescent="0.25">
      <c r="T12650" s="98"/>
    </row>
    <row r="12651" spans="20:20" x14ac:dyDescent="0.25">
      <c r="T12651" s="98"/>
    </row>
    <row r="12652" spans="20:20" x14ac:dyDescent="0.25">
      <c r="T12652" s="98"/>
    </row>
    <row r="12653" spans="20:20" x14ac:dyDescent="0.25">
      <c r="T12653" s="98"/>
    </row>
    <row r="12654" spans="20:20" x14ac:dyDescent="0.25">
      <c r="T12654" s="98"/>
    </row>
    <row r="12655" spans="20:20" x14ac:dyDescent="0.25">
      <c r="T12655" s="98"/>
    </row>
    <row r="12656" spans="20:20" x14ac:dyDescent="0.25">
      <c r="T12656" s="98"/>
    </row>
    <row r="12657" spans="20:20" x14ac:dyDescent="0.25">
      <c r="T12657" s="98"/>
    </row>
    <row r="12658" spans="20:20" x14ac:dyDescent="0.25">
      <c r="T12658" s="98"/>
    </row>
    <row r="12659" spans="20:20" x14ac:dyDescent="0.25">
      <c r="T12659" s="98"/>
    </row>
    <row r="12660" spans="20:20" x14ac:dyDescent="0.25">
      <c r="T12660" s="98"/>
    </row>
    <row r="12661" spans="20:20" x14ac:dyDescent="0.25">
      <c r="T12661" s="98"/>
    </row>
    <row r="12662" spans="20:20" x14ac:dyDescent="0.25">
      <c r="T12662" s="98"/>
    </row>
    <row r="12663" spans="20:20" x14ac:dyDescent="0.25">
      <c r="T12663" s="98"/>
    </row>
    <row r="12664" spans="20:20" x14ac:dyDescent="0.25">
      <c r="T12664" s="98"/>
    </row>
    <row r="12665" spans="20:20" x14ac:dyDescent="0.25">
      <c r="T12665" s="98"/>
    </row>
    <row r="12666" spans="20:20" x14ac:dyDescent="0.25">
      <c r="T12666" s="98"/>
    </row>
    <row r="12667" spans="20:20" x14ac:dyDescent="0.25">
      <c r="T12667" s="98"/>
    </row>
    <row r="12668" spans="20:20" x14ac:dyDescent="0.25">
      <c r="T12668" s="98"/>
    </row>
    <row r="12669" spans="20:20" x14ac:dyDescent="0.25">
      <c r="T12669" s="98"/>
    </row>
    <row r="12670" spans="20:20" x14ac:dyDescent="0.25">
      <c r="T12670" s="98"/>
    </row>
    <row r="12671" spans="20:20" x14ac:dyDescent="0.25">
      <c r="T12671" s="98"/>
    </row>
    <row r="12672" spans="20:20" x14ac:dyDescent="0.25">
      <c r="T12672" s="98"/>
    </row>
    <row r="12673" spans="20:20" x14ac:dyDescent="0.25">
      <c r="T12673" s="98"/>
    </row>
    <row r="12674" spans="20:20" x14ac:dyDescent="0.25">
      <c r="T12674" s="98"/>
    </row>
    <row r="12675" spans="20:20" x14ac:dyDescent="0.25">
      <c r="T12675" s="98"/>
    </row>
    <row r="12676" spans="20:20" x14ac:dyDescent="0.25">
      <c r="T12676" s="98"/>
    </row>
    <row r="12677" spans="20:20" x14ac:dyDescent="0.25">
      <c r="T12677" s="98"/>
    </row>
    <row r="12678" spans="20:20" x14ac:dyDescent="0.25">
      <c r="T12678" s="98"/>
    </row>
    <row r="12679" spans="20:20" x14ac:dyDescent="0.25">
      <c r="T12679" s="98"/>
    </row>
    <row r="12680" spans="20:20" x14ac:dyDescent="0.25">
      <c r="T12680" s="98"/>
    </row>
    <row r="12681" spans="20:20" x14ac:dyDescent="0.25">
      <c r="T12681" s="98"/>
    </row>
    <row r="12682" spans="20:20" x14ac:dyDescent="0.25">
      <c r="T12682" s="98"/>
    </row>
    <row r="12683" spans="20:20" x14ac:dyDescent="0.25">
      <c r="T12683" s="98"/>
    </row>
    <row r="12684" spans="20:20" x14ac:dyDescent="0.25">
      <c r="T12684" s="98"/>
    </row>
    <row r="12685" spans="20:20" x14ac:dyDescent="0.25">
      <c r="T12685" s="98"/>
    </row>
    <row r="12686" spans="20:20" x14ac:dyDescent="0.25">
      <c r="T12686" s="98"/>
    </row>
    <row r="12687" spans="20:20" x14ac:dyDescent="0.25">
      <c r="T12687" s="98"/>
    </row>
    <row r="12688" spans="20:20" x14ac:dyDescent="0.25">
      <c r="T12688" s="98"/>
    </row>
    <row r="12689" spans="20:20" x14ac:dyDescent="0.25">
      <c r="T12689" s="98"/>
    </row>
    <row r="12690" spans="20:20" x14ac:dyDescent="0.25">
      <c r="T12690" s="98"/>
    </row>
    <row r="12691" spans="20:20" x14ac:dyDescent="0.25">
      <c r="T12691" s="98"/>
    </row>
    <row r="12692" spans="20:20" x14ac:dyDescent="0.25">
      <c r="T12692" s="98"/>
    </row>
    <row r="12693" spans="20:20" x14ac:dyDescent="0.25">
      <c r="T12693" s="98"/>
    </row>
    <row r="12694" spans="20:20" x14ac:dyDescent="0.25">
      <c r="T12694" s="98"/>
    </row>
    <row r="12695" spans="20:20" x14ac:dyDescent="0.25">
      <c r="T12695" s="98"/>
    </row>
    <row r="12696" spans="20:20" x14ac:dyDescent="0.25">
      <c r="T12696" s="98"/>
    </row>
    <row r="12697" spans="20:20" x14ac:dyDescent="0.25">
      <c r="T12697" s="98"/>
    </row>
    <row r="12698" spans="20:20" x14ac:dyDescent="0.25">
      <c r="T12698" s="98"/>
    </row>
    <row r="12699" spans="20:20" x14ac:dyDescent="0.25">
      <c r="T12699" s="98"/>
    </row>
    <row r="12700" spans="20:20" x14ac:dyDescent="0.25">
      <c r="T12700" s="98"/>
    </row>
    <row r="12701" spans="20:20" x14ac:dyDescent="0.25">
      <c r="T12701" s="98"/>
    </row>
    <row r="12702" spans="20:20" x14ac:dyDescent="0.25">
      <c r="T12702" s="98"/>
    </row>
    <row r="12703" spans="20:20" x14ac:dyDescent="0.25">
      <c r="T12703" s="98"/>
    </row>
    <row r="12704" spans="20:20" x14ac:dyDescent="0.25">
      <c r="T12704" s="98"/>
    </row>
    <row r="12705" spans="20:20" x14ac:dyDescent="0.25">
      <c r="T12705" s="98"/>
    </row>
    <row r="12706" spans="20:20" x14ac:dyDescent="0.25">
      <c r="T12706" s="98"/>
    </row>
    <row r="12707" spans="20:20" x14ac:dyDescent="0.25">
      <c r="T12707" s="98"/>
    </row>
    <row r="12708" spans="20:20" x14ac:dyDescent="0.25">
      <c r="T12708" s="98"/>
    </row>
    <row r="12709" spans="20:20" x14ac:dyDescent="0.25">
      <c r="T12709" s="98"/>
    </row>
    <row r="12710" spans="20:20" x14ac:dyDescent="0.25">
      <c r="T12710" s="98"/>
    </row>
    <row r="12711" spans="20:20" x14ac:dyDescent="0.25">
      <c r="T12711" s="98"/>
    </row>
    <row r="12712" spans="20:20" x14ac:dyDescent="0.25">
      <c r="T12712" s="98"/>
    </row>
    <row r="12713" spans="20:20" x14ac:dyDescent="0.25">
      <c r="T12713" s="98"/>
    </row>
    <row r="12714" spans="20:20" x14ac:dyDescent="0.25">
      <c r="T12714" s="98"/>
    </row>
    <row r="12715" spans="20:20" x14ac:dyDescent="0.25">
      <c r="T12715" s="98"/>
    </row>
    <row r="12716" spans="20:20" x14ac:dyDescent="0.25">
      <c r="T12716" s="98"/>
    </row>
    <row r="12717" spans="20:20" x14ac:dyDescent="0.25">
      <c r="T12717" s="98"/>
    </row>
    <row r="12718" spans="20:20" x14ac:dyDescent="0.25">
      <c r="T12718" s="98"/>
    </row>
    <row r="12719" spans="20:20" x14ac:dyDescent="0.25">
      <c r="T12719" s="98"/>
    </row>
    <row r="12720" spans="20:20" x14ac:dyDescent="0.25">
      <c r="T12720" s="98"/>
    </row>
    <row r="12721" spans="20:20" x14ac:dyDescent="0.25">
      <c r="T12721" s="98"/>
    </row>
    <row r="12722" spans="20:20" x14ac:dyDescent="0.25">
      <c r="T12722" s="98"/>
    </row>
    <row r="12723" spans="20:20" x14ac:dyDescent="0.25">
      <c r="T12723" s="98"/>
    </row>
    <row r="12724" spans="20:20" x14ac:dyDescent="0.25">
      <c r="T12724" s="98"/>
    </row>
    <row r="12725" spans="20:20" x14ac:dyDescent="0.25">
      <c r="T12725" s="98"/>
    </row>
    <row r="12726" spans="20:20" x14ac:dyDescent="0.25">
      <c r="T12726" s="98"/>
    </row>
    <row r="12727" spans="20:20" x14ac:dyDescent="0.25">
      <c r="T12727" s="98"/>
    </row>
    <row r="12728" spans="20:20" x14ac:dyDescent="0.25">
      <c r="T12728" s="98"/>
    </row>
    <row r="12729" spans="20:20" x14ac:dyDescent="0.25">
      <c r="T12729" s="98"/>
    </row>
    <row r="12730" spans="20:20" x14ac:dyDescent="0.25">
      <c r="T12730" s="98"/>
    </row>
    <row r="12731" spans="20:20" x14ac:dyDescent="0.25">
      <c r="T12731" s="98"/>
    </row>
    <row r="12732" spans="20:20" x14ac:dyDescent="0.25">
      <c r="T12732" s="98"/>
    </row>
    <row r="12733" spans="20:20" x14ac:dyDescent="0.25">
      <c r="T12733" s="98"/>
    </row>
    <row r="12734" spans="20:20" x14ac:dyDescent="0.25">
      <c r="T12734" s="98"/>
    </row>
    <row r="12735" spans="20:20" x14ac:dyDescent="0.25">
      <c r="T12735" s="98"/>
    </row>
    <row r="12736" spans="20:20" x14ac:dyDescent="0.25">
      <c r="T12736" s="98"/>
    </row>
    <row r="12737" spans="20:20" x14ac:dyDescent="0.25">
      <c r="T12737" s="98"/>
    </row>
    <row r="12738" spans="20:20" x14ac:dyDescent="0.25">
      <c r="T12738" s="98"/>
    </row>
    <row r="12739" spans="20:20" x14ac:dyDescent="0.25">
      <c r="T12739" s="98"/>
    </row>
    <row r="12740" spans="20:20" x14ac:dyDescent="0.25">
      <c r="T12740" s="98"/>
    </row>
    <row r="12741" spans="20:20" x14ac:dyDescent="0.25">
      <c r="T12741" s="98"/>
    </row>
    <row r="12742" spans="20:20" x14ac:dyDescent="0.25">
      <c r="T12742" s="98"/>
    </row>
    <row r="12743" spans="20:20" x14ac:dyDescent="0.25">
      <c r="T12743" s="98"/>
    </row>
    <row r="12744" spans="20:20" x14ac:dyDescent="0.25">
      <c r="T12744" s="98"/>
    </row>
    <row r="12745" spans="20:20" x14ac:dyDescent="0.25">
      <c r="T12745" s="98"/>
    </row>
    <row r="12746" spans="20:20" x14ac:dyDescent="0.25">
      <c r="T12746" s="98"/>
    </row>
    <row r="12747" spans="20:20" x14ac:dyDescent="0.25">
      <c r="T12747" s="98"/>
    </row>
    <row r="12748" spans="20:20" x14ac:dyDescent="0.25">
      <c r="T12748" s="98"/>
    </row>
    <row r="12749" spans="20:20" x14ac:dyDescent="0.25">
      <c r="T12749" s="98"/>
    </row>
    <row r="12750" spans="20:20" x14ac:dyDescent="0.25">
      <c r="T12750" s="98"/>
    </row>
    <row r="12751" spans="20:20" x14ac:dyDescent="0.25">
      <c r="T12751" s="98"/>
    </row>
    <row r="12752" spans="20:20" x14ac:dyDescent="0.25">
      <c r="T12752" s="98"/>
    </row>
    <row r="12753" spans="20:20" x14ac:dyDescent="0.25">
      <c r="T12753" s="98"/>
    </row>
    <row r="12754" spans="20:20" x14ac:dyDescent="0.25">
      <c r="T12754" s="98"/>
    </row>
    <row r="12755" spans="20:20" x14ac:dyDescent="0.25">
      <c r="T12755" s="98"/>
    </row>
    <row r="12756" spans="20:20" x14ac:dyDescent="0.25">
      <c r="T12756" s="98"/>
    </row>
    <row r="12757" spans="20:20" x14ac:dyDescent="0.25">
      <c r="T12757" s="98"/>
    </row>
    <row r="12758" spans="20:20" x14ac:dyDescent="0.25">
      <c r="T12758" s="98"/>
    </row>
    <row r="12759" spans="20:20" x14ac:dyDescent="0.25">
      <c r="T12759" s="98"/>
    </row>
    <row r="12760" spans="20:20" x14ac:dyDescent="0.25">
      <c r="T12760" s="98"/>
    </row>
    <row r="12761" spans="20:20" x14ac:dyDescent="0.25">
      <c r="T12761" s="98"/>
    </row>
    <row r="12762" spans="20:20" x14ac:dyDescent="0.25">
      <c r="T12762" s="98"/>
    </row>
    <row r="12763" spans="20:20" x14ac:dyDescent="0.25">
      <c r="T12763" s="98"/>
    </row>
    <row r="12764" spans="20:20" x14ac:dyDescent="0.25">
      <c r="T12764" s="98"/>
    </row>
    <row r="12765" spans="20:20" x14ac:dyDescent="0.25">
      <c r="T12765" s="98"/>
    </row>
    <row r="12766" spans="20:20" x14ac:dyDescent="0.25">
      <c r="T12766" s="98"/>
    </row>
    <row r="12767" spans="20:20" x14ac:dyDescent="0.25">
      <c r="T12767" s="98"/>
    </row>
    <row r="12768" spans="20:20" x14ac:dyDescent="0.25">
      <c r="T12768" s="98"/>
    </row>
    <row r="12769" spans="20:20" x14ac:dyDescent="0.25">
      <c r="T12769" s="98"/>
    </row>
    <row r="12770" spans="20:20" x14ac:dyDescent="0.25">
      <c r="T12770" s="98"/>
    </row>
    <row r="12771" spans="20:20" x14ac:dyDescent="0.25">
      <c r="T12771" s="98"/>
    </row>
    <row r="12772" spans="20:20" x14ac:dyDescent="0.25">
      <c r="T12772" s="98"/>
    </row>
    <row r="12773" spans="20:20" x14ac:dyDescent="0.25">
      <c r="T12773" s="98"/>
    </row>
    <row r="12774" spans="20:20" x14ac:dyDescent="0.25">
      <c r="T12774" s="98"/>
    </row>
    <row r="12775" spans="20:20" x14ac:dyDescent="0.25">
      <c r="T12775" s="98"/>
    </row>
    <row r="12776" spans="20:20" x14ac:dyDescent="0.25">
      <c r="T12776" s="98"/>
    </row>
    <row r="12777" spans="20:20" x14ac:dyDescent="0.25">
      <c r="T12777" s="98"/>
    </row>
    <row r="12778" spans="20:20" x14ac:dyDescent="0.25">
      <c r="T12778" s="98"/>
    </row>
    <row r="12779" spans="20:20" x14ac:dyDescent="0.25">
      <c r="T12779" s="98"/>
    </row>
    <row r="12780" spans="20:20" x14ac:dyDescent="0.25">
      <c r="T12780" s="98"/>
    </row>
    <row r="12781" spans="20:20" x14ac:dyDescent="0.25">
      <c r="T12781" s="98"/>
    </row>
    <row r="12782" spans="20:20" x14ac:dyDescent="0.25">
      <c r="T12782" s="98"/>
    </row>
    <row r="12783" spans="20:20" x14ac:dyDescent="0.25">
      <c r="T12783" s="98"/>
    </row>
    <row r="12784" spans="20:20" x14ac:dyDescent="0.25">
      <c r="T12784" s="98"/>
    </row>
    <row r="12785" spans="20:20" x14ac:dyDescent="0.25">
      <c r="T12785" s="98"/>
    </row>
    <row r="12786" spans="20:20" x14ac:dyDescent="0.25">
      <c r="T12786" s="98"/>
    </row>
    <row r="12787" spans="20:20" x14ac:dyDescent="0.25">
      <c r="T12787" s="98"/>
    </row>
    <row r="12788" spans="20:20" x14ac:dyDescent="0.25">
      <c r="T12788" s="98"/>
    </row>
    <row r="12789" spans="20:20" x14ac:dyDescent="0.25">
      <c r="T12789" s="98"/>
    </row>
    <row r="12790" spans="20:20" x14ac:dyDescent="0.25">
      <c r="T12790" s="98"/>
    </row>
    <row r="12791" spans="20:20" x14ac:dyDescent="0.25">
      <c r="T12791" s="98"/>
    </row>
    <row r="12792" spans="20:20" x14ac:dyDescent="0.25">
      <c r="T12792" s="98"/>
    </row>
    <row r="12793" spans="20:20" x14ac:dyDescent="0.25">
      <c r="T12793" s="98"/>
    </row>
    <row r="12794" spans="20:20" x14ac:dyDescent="0.25">
      <c r="T12794" s="98"/>
    </row>
    <row r="12795" spans="20:20" x14ac:dyDescent="0.25">
      <c r="T12795" s="98"/>
    </row>
    <row r="12796" spans="20:20" x14ac:dyDescent="0.25">
      <c r="T12796" s="98"/>
    </row>
    <row r="12797" spans="20:20" x14ac:dyDescent="0.25">
      <c r="T12797" s="98"/>
    </row>
    <row r="12798" spans="20:20" x14ac:dyDescent="0.25">
      <c r="T12798" s="98"/>
    </row>
    <row r="12799" spans="20:20" x14ac:dyDescent="0.25">
      <c r="T12799" s="98"/>
    </row>
    <row r="12800" spans="20:20" x14ac:dyDescent="0.25">
      <c r="T12800" s="98"/>
    </row>
    <row r="12801" spans="20:20" x14ac:dyDescent="0.25">
      <c r="T12801" s="98"/>
    </row>
    <row r="12802" spans="20:20" x14ac:dyDescent="0.25">
      <c r="T12802" s="98"/>
    </row>
    <row r="12803" spans="20:20" x14ac:dyDescent="0.25">
      <c r="T12803" s="98"/>
    </row>
    <row r="12804" spans="20:20" x14ac:dyDescent="0.25">
      <c r="T12804" s="98"/>
    </row>
    <row r="12805" spans="20:20" x14ac:dyDescent="0.25">
      <c r="T12805" s="98"/>
    </row>
    <row r="12806" spans="20:20" x14ac:dyDescent="0.25">
      <c r="T12806" s="98"/>
    </row>
    <row r="12807" spans="20:20" x14ac:dyDescent="0.25">
      <c r="T12807" s="98"/>
    </row>
    <row r="12808" spans="20:20" x14ac:dyDescent="0.25">
      <c r="T12808" s="98"/>
    </row>
    <row r="12809" spans="20:20" x14ac:dyDescent="0.25">
      <c r="T12809" s="98"/>
    </row>
    <row r="12810" spans="20:20" x14ac:dyDescent="0.25">
      <c r="T12810" s="98"/>
    </row>
    <row r="12811" spans="20:20" x14ac:dyDescent="0.25">
      <c r="T12811" s="98"/>
    </row>
    <row r="12812" spans="20:20" x14ac:dyDescent="0.25">
      <c r="T12812" s="98"/>
    </row>
    <row r="12813" spans="20:20" x14ac:dyDescent="0.25">
      <c r="T12813" s="98"/>
    </row>
    <row r="12814" spans="20:20" x14ac:dyDescent="0.25">
      <c r="T12814" s="98"/>
    </row>
    <row r="12815" spans="20:20" x14ac:dyDescent="0.25">
      <c r="T12815" s="98"/>
    </row>
    <row r="12816" spans="20:20" x14ac:dyDescent="0.25">
      <c r="T12816" s="98"/>
    </row>
    <row r="12817" spans="20:20" x14ac:dyDescent="0.25">
      <c r="T12817" s="98"/>
    </row>
    <row r="12818" spans="20:20" x14ac:dyDescent="0.25">
      <c r="T12818" s="98"/>
    </row>
    <row r="12819" spans="20:20" x14ac:dyDescent="0.25">
      <c r="T12819" s="98"/>
    </row>
    <row r="12820" spans="20:20" x14ac:dyDescent="0.25">
      <c r="T12820" s="98"/>
    </row>
    <row r="12821" spans="20:20" x14ac:dyDescent="0.25">
      <c r="T12821" s="98"/>
    </row>
    <row r="12822" spans="20:20" x14ac:dyDescent="0.25">
      <c r="T12822" s="98"/>
    </row>
    <row r="12823" spans="20:20" x14ac:dyDescent="0.25">
      <c r="T12823" s="98"/>
    </row>
    <row r="12824" spans="20:20" x14ac:dyDescent="0.25">
      <c r="T12824" s="98"/>
    </row>
    <row r="12825" spans="20:20" x14ac:dyDescent="0.25">
      <c r="T12825" s="98"/>
    </row>
    <row r="12826" spans="20:20" x14ac:dyDescent="0.25">
      <c r="T12826" s="98"/>
    </row>
    <row r="12827" spans="20:20" x14ac:dyDescent="0.25">
      <c r="T12827" s="98"/>
    </row>
    <row r="12828" spans="20:20" x14ac:dyDescent="0.25">
      <c r="T12828" s="98"/>
    </row>
    <row r="12829" spans="20:20" x14ac:dyDescent="0.25">
      <c r="T12829" s="98"/>
    </row>
    <row r="12830" spans="20:20" x14ac:dyDescent="0.25">
      <c r="T12830" s="98"/>
    </row>
    <row r="12831" spans="20:20" x14ac:dyDescent="0.25">
      <c r="T12831" s="98"/>
    </row>
    <row r="12832" spans="20:20" x14ac:dyDescent="0.25">
      <c r="T12832" s="98"/>
    </row>
    <row r="12833" spans="20:20" x14ac:dyDescent="0.25">
      <c r="T12833" s="98"/>
    </row>
    <row r="12834" spans="20:20" x14ac:dyDescent="0.25">
      <c r="T12834" s="98"/>
    </row>
    <row r="12835" spans="20:20" x14ac:dyDescent="0.25">
      <c r="T12835" s="98"/>
    </row>
    <row r="12836" spans="20:20" x14ac:dyDescent="0.25">
      <c r="T12836" s="98"/>
    </row>
    <row r="12837" spans="20:20" x14ac:dyDescent="0.25">
      <c r="T12837" s="98"/>
    </row>
    <row r="12838" spans="20:20" x14ac:dyDescent="0.25">
      <c r="T12838" s="98"/>
    </row>
    <row r="12839" spans="20:20" x14ac:dyDescent="0.25">
      <c r="T12839" s="98"/>
    </row>
    <row r="12840" spans="20:20" x14ac:dyDescent="0.25">
      <c r="T12840" s="98"/>
    </row>
    <row r="12841" spans="20:20" x14ac:dyDescent="0.25">
      <c r="T12841" s="98"/>
    </row>
    <row r="12842" spans="20:20" x14ac:dyDescent="0.25">
      <c r="T12842" s="98"/>
    </row>
    <row r="12843" spans="20:20" x14ac:dyDescent="0.25">
      <c r="T12843" s="98"/>
    </row>
    <row r="12844" spans="20:20" x14ac:dyDescent="0.25">
      <c r="T12844" s="98"/>
    </row>
    <row r="12845" spans="20:20" x14ac:dyDescent="0.25">
      <c r="T12845" s="98"/>
    </row>
    <row r="12846" spans="20:20" x14ac:dyDescent="0.25">
      <c r="T12846" s="98"/>
    </row>
    <row r="12847" spans="20:20" x14ac:dyDescent="0.25">
      <c r="T12847" s="98"/>
    </row>
    <row r="12848" spans="20:20" x14ac:dyDescent="0.25">
      <c r="T12848" s="98"/>
    </row>
    <row r="12849" spans="20:20" x14ac:dyDescent="0.25">
      <c r="T12849" s="98"/>
    </row>
    <row r="12850" spans="20:20" x14ac:dyDescent="0.25">
      <c r="T12850" s="98"/>
    </row>
    <row r="12851" spans="20:20" x14ac:dyDescent="0.25">
      <c r="T12851" s="98"/>
    </row>
    <row r="12852" spans="20:20" x14ac:dyDescent="0.25">
      <c r="T12852" s="98"/>
    </row>
    <row r="12853" spans="20:20" x14ac:dyDescent="0.25">
      <c r="T12853" s="98"/>
    </row>
    <row r="12854" spans="20:20" x14ac:dyDescent="0.25">
      <c r="T12854" s="98"/>
    </row>
    <row r="12855" spans="20:20" x14ac:dyDescent="0.25">
      <c r="T12855" s="98"/>
    </row>
    <row r="12856" spans="20:20" x14ac:dyDescent="0.25">
      <c r="T12856" s="98"/>
    </row>
    <row r="12857" spans="20:20" x14ac:dyDescent="0.25">
      <c r="T12857" s="98"/>
    </row>
    <row r="12858" spans="20:20" x14ac:dyDescent="0.25">
      <c r="T12858" s="98"/>
    </row>
    <row r="12859" spans="20:20" x14ac:dyDescent="0.25">
      <c r="T12859" s="98"/>
    </row>
    <row r="12860" spans="20:20" x14ac:dyDescent="0.25">
      <c r="T12860" s="98"/>
    </row>
    <row r="12861" spans="20:20" x14ac:dyDescent="0.25">
      <c r="T12861" s="98"/>
    </row>
    <row r="12862" spans="20:20" x14ac:dyDescent="0.25">
      <c r="T12862" s="98"/>
    </row>
    <row r="12863" spans="20:20" x14ac:dyDescent="0.25">
      <c r="T12863" s="98"/>
    </row>
    <row r="12864" spans="20:20" x14ac:dyDescent="0.25">
      <c r="T12864" s="98"/>
    </row>
    <row r="12865" spans="20:20" x14ac:dyDescent="0.25">
      <c r="T12865" s="98"/>
    </row>
    <row r="12866" spans="20:20" x14ac:dyDescent="0.25">
      <c r="T12866" s="98"/>
    </row>
    <row r="12867" spans="20:20" x14ac:dyDescent="0.25">
      <c r="T12867" s="98"/>
    </row>
    <row r="12868" spans="20:20" x14ac:dyDescent="0.25">
      <c r="T12868" s="98"/>
    </row>
    <row r="12869" spans="20:20" x14ac:dyDescent="0.25">
      <c r="T12869" s="98"/>
    </row>
    <row r="12870" spans="20:20" x14ac:dyDescent="0.25">
      <c r="T12870" s="98"/>
    </row>
    <row r="12871" spans="20:20" x14ac:dyDescent="0.25">
      <c r="T12871" s="98"/>
    </row>
    <row r="12872" spans="20:20" x14ac:dyDescent="0.25">
      <c r="T12872" s="98"/>
    </row>
    <row r="12873" spans="20:20" x14ac:dyDescent="0.25">
      <c r="T12873" s="98"/>
    </row>
    <row r="12874" spans="20:20" x14ac:dyDescent="0.25">
      <c r="T12874" s="98"/>
    </row>
    <row r="12875" spans="20:20" x14ac:dyDescent="0.25">
      <c r="T12875" s="98"/>
    </row>
    <row r="12876" spans="20:20" x14ac:dyDescent="0.25">
      <c r="T12876" s="98"/>
    </row>
    <row r="12877" spans="20:20" x14ac:dyDescent="0.25">
      <c r="T12877" s="98"/>
    </row>
    <row r="12878" spans="20:20" x14ac:dyDescent="0.25">
      <c r="T12878" s="98"/>
    </row>
    <row r="12879" spans="20:20" x14ac:dyDescent="0.25">
      <c r="T12879" s="98"/>
    </row>
    <row r="12880" spans="20:20" x14ac:dyDescent="0.25">
      <c r="T12880" s="98"/>
    </row>
    <row r="12881" spans="20:20" x14ac:dyDescent="0.25">
      <c r="T12881" s="98"/>
    </row>
    <row r="12882" spans="20:20" x14ac:dyDescent="0.25">
      <c r="T12882" s="98"/>
    </row>
    <row r="12883" spans="20:20" x14ac:dyDescent="0.25">
      <c r="T12883" s="98"/>
    </row>
    <row r="12884" spans="20:20" x14ac:dyDescent="0.25">
      <c r="T12884" s="98"/>
    </row>
    <row r="12885" spans="20:20" x14ac:dyDescent="0.25">
      <c r="T12885" s="98"/>
    </row>
    <row r="12886" spans="20:20" x14ac:dyDescent="0.25">
      <c r="T12886" s="98"/>
    </row>
    <row r="12887" spans="20:20" x14ac:dyDescent="0.25">
      <c r="T12887" s="98"/>
    </row>
    <row r="12888" spans="20:20" x14ac:dyDescent="0.25">
      <c r="T12888" s="98"/>
    </row>
    <row r="12889" spans="20:20" x14ac:dyDescent="0.25">
      <c r="T12889" s="98"/>
    </row>
    <row r="12890" spans="20:20" x14ac:dyDescent="0.25">
      <c r="T12890" s="98"/>
    </row>
    <row r="12891" spans="20:20" x14ac:dyDescent="0.25">
      <c r="T12891" s="98"/>
    </row>
    <row r="12892" spans="20:20" x14ac:dyDescent="0.25">
      <c r="T12892" s="98"/>
    </row>
    <row r="12893" spans="20:20" x14ac:dyDescent="0.25">
      <c r="T12893" s="98"/>
    </row>
    <row r="12894" spans="20:20" x14ac:dyDescent="0.25">
      <c r="T12894" s="98"/>
    </row>
    <row r="12895" spans="20:20" x14ac:dyDescent="0.25">
      <c r="T12895" s="98"/>
    </row>
    <row r="12896" spans="20:20" x14ac:dyDescent="0.25">
      <c r="T12896" s="98"/>
    </row>
    <row r="12897" spans="20:20" x14ac:dyDescent="0.25">
      <c r="T12897" s="98"/>
    </row>
    <row r="12898" spans="20:20" x14ac:dyDescent="0.25">
      <c r="T12898" s="98"/>
    </row>
    <row r="12899" spans="20:20" x14ac:dyDescent="0.25">
      <c r="T12899" s="98"/>
    </row>
    <row r="12900" spans="20:20" x14ac:dyDescent="0.25">
      <c r="T12900" s="98"/>
    </row>
    <row r="12901" spans="20:20" x14ac:dyDescent="0.25">
      <c r="T12901" s="98"/>
    </row>
    <row r="12902" spans="20:20" x14ac:dyDescent="0.25">
      <c r="T12902" s="98"/>
    </row>
    <row r="12903" spans="20:20" x14ac:dyDescent="0.25">
      <c r="T12903" s="98"/>
    </row>
    <row r="12904" spans="20:20" x14ac:dyDescent="0.25">
      <c r="T12904" s="98"/>
    </row>
    <row r="12905" spans="20:20" x14ac:dyDescent="0.25">
      <c r="T12905" s="98"/>
    </row>
    <row r="12906" spans="20:20" x14ac:dyDescent="0.25">
      <c r="T12906" s="98"/>
    </row>
    <row r="12907" spans="20:20" x14ac:dyDescent="0.25">
      <c r="T12907" s="98"/>
    </row>
    <row r="12908" spans="20:20" x14ac:dyDescent="0.25">
      <c r="T12908" s="98"/>
    </row>
    <row r="12909" spans="20:20" x14ac:dyDescent="0.25">
      <c r="T12909" s="98"/>
    </row>
    <row r="12910" spans="20:20" x14ac:dyDescent="0.25">
      <c r="T12910" s="98"/>
    </row>
    <row r="12911" spans="20:20" x14ac:dyDescent="0.25">
      <c r="T12911" s="98"/>
    </row>
    <row r="12912" spans="20:20" x14ac:dyDescent="0.25">
      <c r="T12912" s="98"/>
    </row>
    <row r="12913" spans="20:20" x14ac:dyDescent="0.25">
      <c r="T12913" s="98"/>
    </row>
    <row r="12914" spans="20:20" x14ac:dyDescent="0.25">
      <c r="T12914" s="98"/>
    </row>
    <row r="12915" spans="20:20" x14ac:dyDescent="0.25">
      <c r="T12915" s="98"/>
    </row>
    <row r="12916" spans="20:20" x14ac:dyDescent="0.25">
      <c r="T12916" s="98"/>
    </row>
    <row r="12917" spans="20:20" x14ac:dyDescent="0.25">
      <c r="T12917" s="98"/>
    </row>
    <row r="12918" spans="20:20" x14ac:dyDescent="0.25">
      <c r="T12918" s="98"/>
    </row>
    <row r="12919" spans="20:20" x14ac:dyDescent="0.25">
      <c r="T12919" s="98"/>
    </row>
    <row r="12920" spans="20:20" x14ac:dyDescent="0.25">
      <c r="T12920" s="98"/>
    </row>
    <row r="12921" spans="20:20" x14ac:dyDescent="0.25">
      <c r="T12921" s="98"/>
    </row>
    <row r="12922" spans="20:20" x14ac:dyDescent="0.25">
      <c r="T12922" s="98"/>
    </row>
    <row r="12923" spans="20:20" x14ac:dyDescent="0.25">
      <c r="T12923" s="98"/>
    </row>
    <row r="12924" spans="20:20" x14ac:dyDescent="0.25">
      <c r="T12924" s="98"/>
    </row>
    <row r="12925" spans="20:20" x14ac:dyDescent="0.25">
      <c r="T12925" s="98"/>
    </row>
    <row r="12926" spans="20:20" x14ac:dyDescent="0.25">
      <c r="T12926" s="98"/>
    </row>
    <row r="12927" spans="20:20" x14ac:dyDescent="0.25">
      <c r="T12927" s="98"/>
    </row>
    <row r="12928" spans="20:20" x14ac:dyDescent="0.25">
      <c r="T12928" s="98"/>
    </row>
    <row r="12929" spans="20:20" x14ac:dyDescent="0.25">
      <c r="T12929" s="98"/>
    </row>
    <row r="12930" spans="20:20" x14ac:dyDescent="0.25">
      <c r="T12930" s="98"/>
    </row>
    <row r="12931" spans="20:20" x14ac:dyDescent="0.25">
      <c r="T12931" s="98"/>
    </row>
    <row r="12932" spans="20:20" x14ac:dyDescent="0.25">
      <c r="T12932" s="98"/>
    </row>
    <row r="12933" spans="20:20" x14ac:dyDescent="0.25">
      <c r="T12933" s="98"/>
    </row>
    <row r="12934" spans="20:20" x14ac:dyDescent="0.25">
      <c r="T12934" s="98"/>
    </row>
    <row r="12935" spans="20:20" x14ac:dyDescent="0.25">
      <c r="T12935" s="98"/>
    </row>
    <row r="12936" spans="20:20" x14ac:dyDescent="0.25">
      <c r="T12936" s="98"/>
    </row>
    <row r="12937" spans="20:20" x14ac:dyDescent="0.25">
      <c r="T12937" s="98"/>
    </row>
    <row r="12938" spans="20:20" x14ac:dyDescent="0.25">
      <c r="T12938" s="98"/>
    </row>
    <row r="12939" spans="20:20" x14ac:dyDescent="0.25">
      <c r="T12939" s="98"/>
    </row>
    <row r="12940" spans="20:20" x14ac:dyDescent="0.25">
      <c r="T12940" s="98"/>
    </row>
    <row r="12941" spans="20:20" x14ac:dyDescent="0.25">
      <c r="T12941" s="98"/>
    </row>
    <row r="12942" spans="20:20" x14ac:dyDescent="0.25">
      <c r="T12942" s="98"/>
    </row>
    <row r="12943" spans="20:20" x14ac:dyDescent="0.25">
      <c r="T12943" s="98"/>
    </row>
    <row r="12944" spans="20:20" x14ac:dyDescent="0.25">
      <c r="T12944" s="98"/>
    </row>
    <row r="12945" spans="20:20" x14ac:dyDescent="0.25">
      <c r="T12945" s="98"/>
    </row>
    <row r="12946" spans="20:20" x14ac:dyDescent="0.25">
      <c r="T12946" s="98"/>
    </row>
    <row r="12947" spans="20:20" x14ac:dyDescent="0.25">
      <c r="T12947" s="98"/>
    </row>
    <row r="12948" spans="20:20" x14ac:dyDescent="0.25">
      <c r="T12948" s="98"/>
    </row>
    <row r="12949" spans="20:20" x14ac:dyDescent="0.25">
      <c r="T12949" s="98"/>
    </row>
    <row r="12950" spans="20:20" x14ac:dyDescent="0.25">
      <c r="T12950" s="98"/>
    </row>
    <row r="12951" spans="20:20" x14ac:dyDescent="0.25">
      <c r="T12951" s="98"/>
    </row>
    <row r="12952" spans="20:20" x14ac:dyDescent="0.25">
      <c r="T12952" s="98"/>
    </row>
    <row r="12953" spans="20:20" x14ac:dyDescent="0.25">
      <c r="T12953" s="98"/>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39FB-1F35-4660-879C-14F82932B5BC}">
  <sheetPr codeName="Feuil10"/>
  <dimension ref="A1:U12953"/>
  <sheetViews>
    <sheetView topLeftCell="D1" zoomScaleNormal="100" workbookViewId="0">
      <selection activeCell="B4" sqref="B4"/>
    </sheetView>
  </sheetViews>
  <sheetFormatPr baseColWidth="10" defaultColWidth="9.21875" defaultRowHeight="13.2" x14ac:dyDescent="0.25"/>
  <cols>
    <col min="1" max="1" width="53.21875" style="23" bestFit="1" customWidth="1"/>
    <col min="2" max="2" width="9.21875" style="23"/>
    <col min="3" max="3" width="14.44140625" style="23" bestFit="1" customWidth="1"/>
    <col min="4" max="4" width="9.21875" style="23" bestFit="1" customWidth="1"/>
    <col min="5" max="10" width="9.21875" style="23"/>
    <col min="11" max="11" width="12" style="23" bestFit="1" customWidth="1"/>
    <col min="12" max="12" width="11.77734375" style="23" bestFit="1" customWidth="1"/>
    <col min="13" max="13" width="16" style="23" bestFit="1" customWidth="1"/>
    <col min="14" max="14" width="16" style="23" customWidth="1"/>
    <col min="15" max="15" width="20.77734375" style="23" bestFit="1" customWidth="1"/>
    <col min="16" max="16" width="12" style="23" bestFit="1" customWidth="1"/>
    <col min="17" max="17" width="12.21875" style="23" bestFit="1" customWidth="1"/>
    <col min="18" max="16384" width="9.21875" style="23"/>
  </cols>
  <sheetData>
    <row r="1" spans="1:21" x14ac:dyDescent="0.25">
      <c r="A1" s="39" t="s">
        <v>49</v>
      </c>
      <c r="B1" s="38">
        <v>50</v>
      </c>
      <c r="D1" s="37" t="s">
        <v>5</v>
      </c>
      <c r="E1" s="37" t="s">
        <v>48</v>
      </c>
      <c r="F1" s="37" t="s">
        <v>47</v>
      </c>
      <c r="G1" s="37" t="s">
        <v>46</v>
      </c>
      <c r="H1" s="37" t="s">
        <v>45</v>
      </c>
      <c r="I1" s="37" t="s">
        <v>44</v>
      </c>
      <c r="J1" s="37" t="s">
        <v>43</v>
      </c>
      <c r="K1" s="37" t="s">
        <v>42</v>
      </c>
      <c r="L1" s="37" t="s">
        <v>41</v>
      </c>
      <c r="M1" s="37" t="s">
        <v>40</v>
      </c>
      <c r="N1" s="37" t="s">
        <v>39</v>
      </c>
      <c r="O1" s="37" t="s">
        <v>38</v>
      </c>
      <c r="P1" s="37" t="s">
        <v>37</v>
      </c>
      <c r="Q1" s="37" t="s">
        <v>36</v>
      </c>
    </row>
    <row r="2" spans="1:21" x14ac:dyDescent="0.25">
      <c r="A2" s="35" t="s">
        <v>35</v>
      </c>
      <c r="B2" s="34">
        <v>40</v>
      </c>
      <c r="D2" s="36">
        <v>0</v>
      </c>
      <c r="E2" s="36"/>
      <c r="F2" s="36"/>
      <c r="G2" s="36"/>
      <c r="H2" s="36"/>
      <c r="I2" s="36"/>
      <c r="J2" s="36"/>
      <c r="K2" s="36"/>
      <c r="L2" s="36"/>
      <c r="M2" s="36"/>
      <c r="N2" s="36"/>
      <c r="O2" s="36"/>
      <c r="P2" s="36">
        <v>50</v>
      </c>
      <c r="Q2" s="36">
        <v>40</v>
      </c>
    </row>
    <row r="3" spans="1:21" x14ac:dyDescent="0.25">
      <c r="A3" s="35" t="s">
        <v>34</v>
      </c>
      <c r="B3" s="34">
        <v>-1</v>
      </c>
      <c r="D3" s="29">
        <v>1</v>
      </c>
      <c r="E3" s="29">
        <v>0.03</v>
      </c>
      <c r="F3" s="29">
        <v>0.15</v>
      </c>
      <c r="G3" s="29">
        <v>0.5</v>
      </c>
      <c r="H3" s="29">
        <v>0.03</v>
      </c>
      <c r="I3" s="29">
        <v>0.15</v>
      </c>
      <c r="J3" s="29">
        <v>0.5</v>
      </c>
      <c r="K3" s="30">
        <f ca="1">RAND()</f>
        <v>0.74259024277011543</v>
      </c>
      <c r="L3" s="29">
        <v>0.31036451568159062</v>
      </c>
      <c r="M3" s="29">
        <v>0.27645864561066513</v>
      </c>
      <c r="N3" s="29">
        <v>-0.49481738506173978</v>
      </c>
      <c r="O3" s="31">
        <f>$B$3*M3+SQRT(1-$B$3^2)*N3</f>
        <v>-0.27645864561066513</v>
      </c>
      <c r="P3" s="29">
        <v>53.103444922302153</v>
      </c>
      <c r="Q3" s="27">
        <f t="shared" ref="Q3:Q8" si="0">Q2*EXP((H3-0.5*J3^2)*1+J3*O3)</f>
        <v>31.678877418889961</v>
      </c>
    </row>
    <row r="4" spans="1:21" x14ac:dyDescent="0.25">
      <c r="A4" s="35" t="s">
        <v>33</v>
      </c>
      <c r="B4" s="34">
        <v>10</v>
      </c>
      <c r="D4" s="29">
        <v>2</v>
      </c>
      <c r="E4" s="29">
        <v>0.05</v>
      </c>
      <c r="F4" s="29">
        <v>0.2</v>
      </c>
      <c r="G4" s="29">
        <v>0.55000000000000004</v>
      </c>
      <c r="H4" s="29">
        <v>7.0000000000000007E-2</v>
      </c>
      <c r="I4" s="29">
        <v>0.23979157616563601</v>
      </c>
      <c r="J4" s="30">
        <f>SQRT(G4*G4*D4-D3*G3*G3)</f>
        <v>0.59581876439064929</v>
      </c>
      <c r="K4" s="29">
        <v>0.97064041677084134</v>
      </c>
      <c r="L4" s="29">
        <v>0.86490860333501129</v>
      </c>
      <c r="M4" s="29">
        <v>1.8902901422741478</v>
      </c>
      <c r="N4" s="29">
        <v>1.1026417009581251</v>
      </c>
      <c r="O4" s="31">
        <f>$B$3*M4+SQRT(1-$B$3^2)*N4</f>
        <v>-1.8902901422741478</v>
      </c>
      <c r="P4" s="27">
        <f>P3*EXP((H4-0.5*I4^2)+I4*M4)</f>
        <v>87.074794385165859</v>
      </c>
      <c r="Q4" s="27">
        <f t="shared" si="0"/>
        <v>9.2246550327080978</v>
      </c>
    </row>
    <row r="5" spans="1:21" x14ac:dyDescent="0.25">
      <c r="A5" s="33"/>
      <c r="B5" s="32"/>
      <c r="D5" s="29">
        <v>3</v>
      </c>
      <c r="E5" s="29">
        <v>7.0000000000000007E-2</v>
      </c>
      <c r="F5" s="29">
        <v>0.25</v>
      </c>
      <c r="G5" s="29">
        <v>0.6</v>
      </c>
      <c r="H5" s="30">
        <f>E5*D5-E4*D4</f>
        <v>0.11000000000000001</v>
      </c>
      <c r="I5" s="29">
        <v>0.32787192621510003</v>
      </c>
      <c r="J5" s="29">
        <v>0.68920243760451105</v>
      </c>
      <c r="K5" s="29">
        <v>0.13551185660513987</v>
      </c>
      <c r="L5" s="29">
        <v>0.48766656555418386</v>
      </c>
      <c r="M5" s="30">
        <f>NORMSINV(K5)</f>
        <v>-1.1007081151125675</v>
      </c>
      <c r="N5" s="29">
        <v>-3.0920261749604973E-2</v>
      </c>
      <c r="O5" s="31">
        <f>$B$3*M5+SQRT(1-$B$3^2)*N5</f>
        <v>1.1007081151125675</v>
      </c>
      <c r="P5" s="29">
        <v>64.20789415120349</v>
      </c>
      <c r="Q5" s="27">
        <f t="shared" si="0"/>
        <v>17.339558513150493</v>
      </c>
    </row>
    <row r="6" spans="1:21" x14ac:dyDescent="0.25">
      <c r="A6" s="24"/>
      <c r="B6" s="24"/>
      <c r="D6" s="29">
        <v>4</v>
      </c>
      <c r="E6" s="29">
        <v>0.1</v>
      </c>
      <c r="F6" s="29">
        <v>0.45</v>
      </c>
      <c r="G6" s="29">
        <v>0.65</v>
      </c>
      <c r="H6" s="29">
        <v>0.19</v>
      </c>
      <c r="I6" s="29">
        <v>0.78898669190297499</v>
      </c>
      <c r="J6" s="29">
        <v>0.78102496759066553</v>
      </c>
      <c r="K6" s="29">
        <v>0.45490727535451381</v>
      </c>
      <c r="L6" s="29">
        <v>0.52771662175943757</v>
      </c>
      <c r="M6" s="29">
        <v>-0.11327245964867341</v>
      </c>
      <c r="N6" s="29">
        <v>6.9531253083326666E-2</v>
      </c>
      <c r="O6" s="31">
        <f>$B$3*M6+SQRT(1-$B$3^2)*N6</f>
        <v>0.11327245964867341</v>
      </c>
      <c r="P6" s="29">
        <v>52.013624910557638</v>
      </c>
      <c r="Q6" s="27">
        <f t="shared" si="0"/>
        <v>16.885565246894117</v>
      </c>
    </row>
    <row r="7" spans="1:21" x14ac:dyDescent="0.25">
      <c r="A7" s="24"/>
      <c r="B7" s="24"/>
      <c r="D7" s="29">
        <v>5</v>
      </c>
      <c r="E7" s="29">
        <v>0.11</v>
      </c>
      <c r="F7" s="29">
        <v>0.5</v>
      </c>
      <c r="G7" s="29">
        <v>0.65</v>
      </c>
      <c r="H7" s="29">
        <v>0.15000000000000002</v>
      </c>
      <c r="I7" s="30">
        <f>SQRT(F7*F7*D7-D6*F6*F6)</f>
        <v>0.66332495807107994</v>
      </c>
      <c r="J7" s="29">
        <v>0.65</v>
      </c>
      <c r="K7" s="29">
        <v>0.91080950385448611</v>
      </c>
      <c r="L7" s="30">
        <f ca="1">RAND()</f>
        <v>8.7098852533144533E-2</v>
      </c>
      <c r="M7" s="29">
        <v>1.3457567049860053</v>
      </c>
      <c r="N7" s="29">
        <v>-0.8813040762335651</v>
      </c>
      <c r="O7" s="31">
        <f t="shared" ref="O7:O8" si="1">$B$3*M7+SQRT(1-$B$3^2)*N7</f>
        <v>-1.3457567049860053</v>
      </c>
      <c r="P7" s="29">
        <v>118.41314185416441</v>
      </c>
      <c r="Q7" s="27">
        <f t="shared" si="0"/>
        <v>6.6224624448803304</v>
      </c>
    </row>
    <row r="8" spans="1:21" x14ac:dyDescent="0.25">
      <c r="A8" s="24"/>
      <c r="D8" s="28">
        <v>6</v>
      </c>
      <c r="E8" s="28">
        <v>0.12</v>
      </c>
      <c r="F8" s="28">
        <v>0.55000000000000004</v>
      </c>
      <c r="G8" s="28">
        <v>0.8</v>
      </c>
      <c r="H8" s="28">
        <v>0.16999999999999993</v>
      </c>
      <c r="I8" s="28">
        <v>0.75166481891864567</v>
      </c>
      <c r="J8" s="28">
        <v>1.3143439428094916</v>
      </c>
      <c r="K8" s="28">
        <v>0.39464831024232572</v>
      </c>
      <c r="L8" s="28">
        <v>9.7443019482931881E-2</v>
      </c>
      <c r="M8" s="28">
        <v>-0.2672241013449822</v>
      </c>
      <c r="N8" s="28">
        <v>-1.2962596674759341</v>
      </c>
      <c r="O8" s="31">
        <f t="shared" si="1"/>
        <v>0.2672241013449822</v>
      </c>
      <c r="P8" s="28">
        <v>86.558177137778969</v>
      </c>
      <c r="Q8" s="27">
        <f t="shared" si="0"/>
        <v>4.7017823032313784</v>
      </c>
    </row>
    <row r="9" spans="1:21" x14ac:dyDescent="0.25">
      <c r="D9" s="24"/>
      <c r="E9" s="24"/>
      <c r="F9" s="24"/>
      <c r="G9" s="24"/>
      <c r="H9" s="24"/>
      <c r="I9" s="24"/>
      <c r="J9" s="24"/>
      <c r="K9" s="24"/>
      <c r="L9" s="24"/>
      <c r="M9" s="24"/>
      <c r="N9" s="24"/>
      <c r="O9" s="24"/>
      <c r="P9" s="27">
        <f>MAX(SUM(P4,P6,P8)/3-SUM(Q3,Q5,Q7)/3,0)</f>
        <v>56.668566018860545</v>
      </c>
      <c r="Q9" s="23" t="s">
        <v>29</v>
      </c>
    </row>
    <row r="10" spans="1:21" x14ac:dyDescent="0.25">
      <c r="D10" s="24"/>
      <c r="E10" s="24"/>
      <c r="F10" s="24"/>
      <c r="G10" s="24"/>
      <c r="H10" s="24"/>
      <c r="I10" s="24"/>
      <c r="J10" s="24"/>
      <c r="K10" s="24"/>
      <c r="L10" s="24"/>
      <c r="M10" s="24"/>
      <c r="N10" s="24"/>
      <c r="O10" s="24"/>
      <c r="P10" s="26">
        <f>P9*EXP(-E8*D8)</f>
        <v>27.583552351696962</v>
      </c>
      <c r="Q10" s="23" t="s">
        <v>28</v>
      </c>
    </row>
    <row r="11" spans="1:21" ht="18" x14ac:dyDescent="0.35">
      <c r="A11" s="25" t="s">
        <v>7</v>
      </c>
      <c r="F11" s="24"/>
      <c r="G11" s="24"/>
      <c r="T11" s="98"/>
      <c r="U11" s="99"/>
    </row>
    <row r="12" spans="1:21" ht="18" x14ac:dyDescent="0.35">
      <c r="A12" s="4" t="s">
        <v>6</v>
      </c>
      <c r="F12" s="24"/>
      <c r="G12" s="24"/>
      <c r="T12" s="98"/>
      <c r="U12" s="99"/>
    </row>
    <row r="13" spans="1:21" x14ac:dyDescent="0.25">
      <c r="F13" s="24"/>
      <c r="G13" s="24"/>
      <c r="T13" s="98"/>
      <c r="U13" s="99"/>
    </row>
    <row r="14" spans="1:21" x14ac:dyDescent="0.25">
      <c r="F14" s="24"/>
      <c r="G14" s="24"/>
      <c r="T14" s="98"/>
      <c r="U14" s="99"/>
    </row>
    <row r="15" spans="1:21" x14ac:dyDescent="0.25">
      <c r="A15" s="23" t="s">
        <v>95</v>
      </c>
      <c r="F15" s="24"/>
      <c r="G15" s="24"/>
      <c r="T15" s="98"/>
      <c r="U15" s="99"/>
    </row>
    <row r="16" spans="1:21" x14ac:dyDescent="0.25">
      <c r="A16" s="23" t="s">
        <v>96</v>
      </c>
      <c r="T16" s="98"/>
      <c r="U16" s="99"/>
    </row>
    <row r="17" spans="1:21" x14ac:dyDescent="0.25">
      <c r="A17" s="23" t="s">
        <v>97</v>
      </c>
      <c r="T17" s="98"/>
      <c r="U17" s="99"/>
    </row>
    <row r="18" spans="1:21" x14ac:dyDescent="0.25">
      <c r="A18" s="23" t="s">
        <v>98</v>
      </c>
      <c r="T18" s="98"/>
      <c r="U18" s="99"/>
    </row>
    <row r="19" spans="1:21" x14ac:dyDescent="0.25">
      <c r="T19" s="98"/>
      <c r="U19" s="99"/>
    </row>
    <row r="20" spans="1:21" x14ac:dyDescent="0.25">
      <c r="T20" s="98"/>
      <c r="U20" s="99"/>
    </row>
    <row r="21" spans="1:21" x14ac:dyDescent="0.25">
      <c r="T21" s="98"/>
      <c r="U21" s="99"/>
    </row>
    <row r="22" spans="1:21" x14ac:dyDescent="0.25">
      <c r="T22" s="98"/>
      <c r="U22" s="99"/>
    </row>
    <row r="23" spans="1:21" x14ac:dyDescent="0.25">
      <c r="T23" s="98"/>
      <c r="U23" s="99"/>
    </row>
    <row r="24" spans="1:21" x14ac:dyDescent="0.25">
      <c r="T24" s="98"/>
      <c r="U24" s="99"/>
    </row>
    <row r="25" spans="1:21" x14ac:dyDescent="0.25">
      <c r="T25" s="98"/>
      <c r="U25" s="99"/>
    </row>
    <row r="26" spans="1:21" x14ac:dyDescent="0.25">
      <c r="T26" s="98"/>
      <c r="U26" s="99"/>
    </row>
    <row r="27" spans="1:21" x14ac:dyDescent="0.25">
      <c r="T27" s="98"/>
      <c r="U27" s="99"/>
    </row>
    <row r="28" spans="1:21" x14ac:dyDescent="0.25">
      <c r="T28" s="98"/>
      <c r="U28" s="99"/>
    </row>
    <row r="29" spans="1:21" x14ac:dyDescent="0.25">
      <c r="T29" s="98"/>
      <c r="U29" s="99"/>
    </row>
    <row r="30" spans="1:21" x14ac:dyDescent="0.25">
      <c r="T30" s="98"/>
      <c r="U30" s="99"/>
    </row>
    <row r="31" spans="1:21" x14ac:dyDescent="0.25">
      <c r="T31" s="98"/>
      <c r="U31" s="99"/>
    </row>
    <row r="32" spans="1:21" x14ac:dyDescent="0.25">
      <c r="T32" s="98"/>
      <c r="U32" s="99"/>
    </row>
    <row r="33" spans="20:21" x14ac:dyDescent="0.25">
      <c r="T33" s="98"/>
      <c r="U33" s="99"/>
    </row>
    <row r="34" spans="20:21" x14ac:dyDescent="0.25">
      <c r="T34" s="98"/>
      <c r="U34" s="99"/>
    </row>
    <row r="35" spans="20:21" x14ac:dyDescent="0.25">
      <c r="T35" s="98"/>
      <c r="U35" s="99"/>
    </row>
    <row r="36" spans="20:21" x14ac:dyDescent="0.25">
      <c r="T36" s="98"/>
      <c r="U36" s="99"/>
    </row>
    <row r="37" spans="20:21" x14ac:dyDescent="0.25">
      <c r="T37" s="98"/>
      <c r="U37" s="99"/>
    </row>
    <row r="38" spans="20:21" x14ac:dyDescent="0.25">
      <c r="T38" s="98"/>
      <c r="U38" s="99"/>
    </row>
    <row r="39" spans="20:21" x14ac:dyDescent="0.25">
      <c r="T39" s="98"/>
      <c r="U39" s="99"/>
    </row>
    <row r="40" spans="20:21" x14ac:dyDescent="0.25">
      <c r="T40" s="98"/>
      <c r="U40" s="99"/>
    </row>
    <row r="41" spans="20:21" x14ac:dyDescent="0.25">
      <c r="T41" s="98"/>
      <c r="U41" s="99"/>
    </row>
    <row r="42" spans="20:21" x14ac:dyDescent="0.25">
      <c r="T42" s="98"/>
      <c r="U42" s="99"/>
    </row>
    <row r="43" spans="20:21" x14ac:dyDescent="0.25">
      <c r="T43" s="98"/>
      <c r="U43" s="99"/>
    </row>
    <row r="44" spans="20:21" x14ac:dyDescent="0.25">
      <c r="T44" s="98"/>
      <c r="U44" s="99"/>
    </row>
    <row r="45" spans="20:21" x14ac:dyDescent="0.25">
      <c r="T45" s="98"/>
      <c r="U45" s="99"/>
    </row>
    <row r="46" spans="20:21" x14ac:dyDescent="0.25">
      <c r="T46" s="98"/>
      <c r="U46" s="99"/>
    </row>
    <row r="47" spans="20:21" x14ac:dyDescent="0.25">
      <c r="T47" s="98"/>
      <c r="U47" s="99"/>
    </row>
    <row r="48" spans="20:21" x14ac:dyDescent="0.25">
      <c r="T48" s="98"/>
      <c r="U48" s="99"/>
    </row>
    <row r="49" spans="20:21" x14ac:dyDescent="0.25">
      <c r="T49" s="98"/>
      <c r="U49" s="99"/>
    </row>
    <row r="50" spans="20:21" x14ac:dyDescent="0.25">
      <c r="T50" s="98"/>
      <c r="U50" s="99"/>
    </row>
    <row r="51" spans="20:21" x14ac:dyDescent="0.25">
      <c r="T51" s="98"/>
      <c r="U51" s="99"/>
    </row>
    <row r="52" spans="20:21" x14ac:dyDescent="0.25">
      <c r="T52" s="98"/>
      <c r="U52" s="99"/>
    </row>
    <row r="53" spans="20:21" x14ac:dyDescent="0.25">
      <c r="T53" s="98"/>
      <c r="U53" s="99"/>
    </row>
    <row r="54" spans="20:21" x14ac:dyDescent="0.25">
      <c r="T54" s="98"/>
      <c r="U54" s="99"/>
    </row>
    <row r="55" spans="20:21" x14ac:dyDescent="0.25">
      <c r="T55" s="98"/>
      <c r="U55" s="99"/>
    </row>
    <row r="56" spans="20:21" x14ac:dyDescent="0.25">
      <c r="T56" s="98"/>
      <c r="U56" s="99"/>
    </row>
    <row r="57" spans="20:21" x14ac:dyDescent="0.25">
      <c r="T57" s="98"/>
      <c r="U57" s="99"/>
    </row>
    <row r="58" spans="20:21" x14ac:dyDescent="0.25">
      <c r="T58" s="98"/>
      <c r="U58" s="99"/>
    </row>
    <row r="59" spans="20:21" x14ac:dyDescent="0.25">
      <c r="T59" s="98"/>
      <c r="U59" s="99"/>
    </row>
    <row r="60" spans="20:21" x14ac:dyDescent="0.25">
      <c r="T60" s="98"/>
      <c r="U60" s="99"/>
    </row>
    <row r="61" spans="20:21" x14ac:dyDescent="0.25">
      <c r="T61" s="98"/>
      <c r="U61" s="99"/>
    </row>
    <row r="62" spans="20:21" x14ac:dyDescent="0.25">
      <c r="T62" s="98"/>
      <c r="U62" s="99"/>
    </row>
    <row r="63" spans="20:21" x14ac:dyDescent="0.25">
      <c r="T63" s="98"/>
      <c r="U63" s="99"/>
    </row>
    <row r="64" spans="20:21" x14ac:dyDescent="0.25">
      <c r="T64" s="98"/>
      <c r="U64" s="99"/>
    </row>
    <row r="65" spans="20:21" x14ac:dyDescent="0.25">
      <c r="T65" s="98"/>
      <c r="U65" s="99"/>
    </row>
    <row r="66" spans="20:21" x14ac:dyDescent="0.25">
      <c r="T66" s="98"/>
      <c r="U66" s="99"/>
    </row>
    <row r="67" spans="20:21" x14ac:dyDescent="0.25">
      <c r="T67" s="98"/>
      <c r="U67" s="99"/>
    </row>
    <row r="68" spans="20:21" x14ac:dyDescent="0.25">
      <c r="T68" s="98"/>
      <c r="U68" s="99"/>
    </row>
    <row r="69" spans="20:21" x14ac:dyDescent="0.25">
      <c r="T69" s="98"/>
      <c r="U69" s="99"/>
    </row>
    <row r="70" spans="20:21" x14ac:dyDescent="0.25">
      <c r="T70" s="98"/>
      <c r="U70" s="99"/>
    </row>
    <row r="71" spans="20:21" x14ac:dyDescent="0.25">
      <c r="T71" s="98"/>
      <c r="U71" s="99"/>
    </row>
    <row r="72" spans="20:21" x14ac:dyDescent="0.25">
      <c r="T72" s="98"/>
      <c r="U72" s="99"/>
    </row>
    <row r="73" spans="20:21" x14ac:dyDescent="0.25">
      <c r="T73" s="98"/>
      <c r="U73" s="99"/>
    </row>
    <row r="74" spans="20:21" x14ac:dyDescent="0.25">
      <c r="T74" s="98"/>
      <c r="U74" s="99"/>
    </row>
    <row r="75" spans="20:21" x14ac:dyDescent="0.25">
      <c r="T75" s="98"/>
      <c r="U75" s="99"/>
    </row>
    <row r="76" spans="20:21" x14ac:dyDescent="0.25">
      <c r="T76" s="98"/>
      <c r="U76" s="99"/>
    </row>
    <row r="77" spans="20:21" x14ac:dyDescent="0.25">
      <c r="T77" s="98"/>
      <c r="U77" s="99"/>
    </row>
    <row r="78" spans="20:21" x14ac:dyDescent="0.25">
      <c r="T78" s="98"/>
      <c r="U78" s="99"/>
    </row>
    <row r="79" spans="20:21" x14ac:dyDescent="0.25">
      <c r="T79" s="98"/>
      <c r="U79" s="99"/>
    </row>
    <row r="80" spans="20:21" x14ac:dyDescent="0.25">
      <c r="T80" s="98"/>
      <c r="U80" s="99"/>
    </row>
    <row r="81" spans="20:21" x14ac:dyDescent="0.25">
      <c r="T81" s="98"/>
      <c r="U81" s="99"/>
    </row>
    <row r="82" spans="20:21" x14ac:dyDescent="0.25">
      <c r="T82" s="98"/>
      <c r="U82" s="99"/>
    </row>
    <row r="83" spans="20:21" x14ac:dyDescent="0.25">
      <c r="T83" s="98"/>
      <c r="U83" s="99"/>
    </row>
    <row r="84" spans="20:21" x14ac:dyDescent="0.25">
      <c r="T84" s="98"/>
      <c r="U84" s="99"/>
    </row>
    <row r="85" spans="20:21" x14ac:dyDescent="0.25">
      <c r="T85" s="98"/>
      <c r="U85" s="99"/>
    </row>
    <row r="86" spans="20:21" x14ac:dyDescent="0.25">
      <c r="T86" s="98"/>
      <c r="U86" s="99"/>
    </row>
    <row r="87" spans="20:21" x14ac:dyDescent="0.25">
      <c r="T87" s="98"/>
      <c r="U87" s="99"/>
    </row>
    <row r="88" spans="20:21" x14ac:dyDescent="0.25">
      <c r="T88" s="98"/>
      <c r="U88" s="99"/>
    </row>
    <row r="89" spans="20:21" x14ac:dyDescent="0.25">
      <c r="T89" s="98"/>
      <c r="U89" s="99"/>
    </row>
    <row r="90" spans="20:21" x14ac:dyDescent="0.25">
      <c r="T90" s="98"/>
      <c r="U90" s="99"/>
    </row>
    <row r="91" spans="20:21" x14ac:dyDescent="0.25">
      <c r="T91" s="98"/>
      <c r="U91" s="99"/>
    </row>
    <row r="92" spans="20:21" x14ac:dyDescent="0.25">
      <c r="T92" s="98"/>
      <c r="U92" s="99"/>
    </row>
    <row r="93" spans="20:21" x14ac:dyDescent="0.25">
      <c r="T93" s="98"/>
      <c r="U93" s="99"/>
    </row>
    <row r="94" spans="20:21" x14ac:dyDescent="0.25">
      <c r="T94" s="98"/>
      <c r="U94" s="99"/>
    </row>
    <row r="95" spans="20:21" x14ac:dyDescent="0.25">
      <c r="T95" s="98"/>
      <c r="U95" s="99"/>
    </row>
    <row r="96" spans="20:21" x14ac:dyDescent="0.25">
      <c r="T96" s="98"/>
      <c r="U96" s="99"/>
    </row>
    <row r="97" spans="20:21" x14ac:dyDescent="0.25">
      <c r="T97" s="98"/>
      <c r="U97" s="99"/>
    </row>
    <row r="98" spans="20:21" x14ac:dyDescent="0.25">
      <c r="T98" s="98"/>
      <c r="U98" s="99"/>
    </row>
    <row r="99" spans="20:21" x14ac:dyDescent="0.25">
      <c r="T99" s="98"/>
      <c r="U99" s="99"/>
    </row>
    <row r="100" spans="20:21" x14ac:dyDescent="0.25">
      <c r="T100" s="98"/>
      <c r="U100" s="99"/>
    </row>
    <row r="101" spans="20:21" x14ac:dyDescent="0.25">
      <c r="T101" s="98"/>
      <c r="U101" s="99"/>
    </row>
    <row r="102" spans="20:21" x14ac:dyDescent="0.25">
      <c r="T102" s="98"/>
      <c r="U102" s="99"/>
    </row>
    <row r="103" spans="20:21" x14ac:dyDescent="0.25">
      <c r="T103" s="98"/>
      <c r="U103" s="99"/>
    </row>
    <row r="104" spans="20:21" x14ac:dyDescent="0.25">
      <c r="T104" s="98"/>
      <c r="U104" s="99"/>
    </row>
    <row r="105" spans="20:21" x14ac:dyDescent="0.25">
      <c r="T105" s="98"/>
      <c r="U105" s="99"/>
    </row>
    <row r="106" spans="20:21" x14ac:dyDescent="0.25">
      <c r="T106" s="98"/>
      <c r="U106" s="99"/>
    </row>
    <row r="107" spans="20:21" x14ac:dyDescent="0.25">
      <c r="T107" s="98"/>
      <c r="U107" s="99"/>
    </row>
    <row r="108" spans="20:21" x14ac:dyDescent="0.25">
      <c r="T108" s="98"/>
      <c r="U108" s="99"/>
    </row>
    <row r="109" spans="20:21" x14ac:dyDescent="0.25">
      <c r="T109" s="98"/>
      <c r="U109" s="99"/>
    </row>
    <row r="110" spans="20:21" x14ac:dyDescent="0.25">
      <c r="T110" s="98"/>
      <c r="U110" s="99"/>
    </row>
    <row r="111" spans="20:21" x14ac:dyDescent="0.25">
      <c r="T111" s="98"/>
      <c r="U111" s="99"/>
    </row>
    <row r="112" spans="20:21" x14ac:dyDescent="0.25">
      <c r="T112" s="98"/>
      <c r="U112" s="99"/>
    </row>
    <row r="113" spans="20:21" x14ac:dyDescent="0.25">
      <c r="T113" s="98"/>
      <c r="U113" s="99"/>
    </row>
    <row r="114" spans="20:21" x14ac:dyDescent="0.25">
      <c r="T114" s="98"/>
      <c r="U114" s="99"/>
    </row>
    <row r="115" spans="20:21" x14ac:dyDescent="0.25">
      <c r="T115" s="98"/>
      <c r="U115" s="99"/>
    </row>
    <row r="116" spans="20:21" x14ac:dyDescent="0.25">
      <c r="T116" s="98"/>
      <c r="U116" s="99"/>
    </row>
    <row r="117" spans="20:21" x14ac:dyDescent="0.25">
      <c r="T117" s="98"/>
      <c r="U117" s="99"/>
    </row>
    <row r="118" spans="20:21" x14ac:dyDescent="0.25">
      <c r="T118" s="98"/>
      <c r="U118" s="99"/>
    </row>
    <row r="119" spans="20:21" x14ac:dyDescent="0.25">
      <c r="T119" s="98"/>
      <c r="U119" s="99"/>
    </row>
    <row r="120" spans="20:21" x14ac:dyDescent="0.25">
      <c r="T120" s="98"/>
      <c r="U120" s="99"/>
    </row>
    <row r="121" spans="20:21" x14ac:dyDescent="0.25">
      <c r="T121" s="98"/>
      <c r="U121" s="99"/>
    </row>
    <row r="122" spans="20:21" x14ac:dyDescent="0.25">
      <c r="T122" s="98"/>
      <c r="U122" s="99"/>
    </row>
    <row r="123" spans="20:21" x14ac:dyDescent="0.25">
      <c r="T123" s="98"/>
      <c r="U123" s="99"/>
    </row>
    <row r="124" spans="20:21" x14ac:dyDescent="0.25">
      <c r="T124" s="98"/>
      <c r="U124" s="99"/>
    </row>
    <row r="125" spans="20:21" x14ac:dyDescent="0.25">
      <c r="T125" s="98"/>
      <c r="U125" s="99"/>
    </row>
    <row r="126" spans="20:21" x14ac:dyDescent="0.25">
      <c r="T126" s="98"/>
      <c r="U126" s="99"/>
    </row>
    <row r="127" spans="20:21" x14ac:dyDescent="0.25">
      <c r="T127" s="98"/>
      <c r="U127" s="99"/>
    </row>
    <row r="128" spans="20:21" x14ac:dyDescent="0.25">
      <c r="T128" s="98"/>
      <c r="U128" s="99"/>
    </row>
    <row r="129" spans="20:21" x14ac:dyDescent="0.25">
      <c r="T129" s="98"/>
      <c r="U129" s="99"/>
    </row>
    <row r="130" spans="20:21" x14ac:dyDescent="0.25">
      <c r="T130" s="98"/>
      <c r="U130" s="99"/>
    </row>
    <row r="131" spans="20:21" x14ac:dyDescent="0.25">
      <c r="T131" s="98"/>
      <c r="U131" s="99"/>
    </row>
    <row r="132" spans="20:21" x14ac:dyDescent="0.25">
      <c r="T132" s="98"/>
      <c r="U132" s="99"/>
    </row>
    <row r="133" spans="20:21" x14ac:dyDescent="0.25">
      <c r="T133" s="98"/>
      <c r="U133" s="99"/>
    </row>
    <row r="134" spans="20:21" x14ac:dyDescent="0.25">
      <c r="T134" s="98"/>
      <c r="U134" s="99"/>
    </row>
    <row r="135" spans="20:21" x14ac:dyDescent="0.25">
      <c r="T135" s="98"/>
      <c r="U135" s="99"/>
    </row>
    <row r="136" spans="20:21" x14ac:dyDescent="0.25">
      <c r="T136" s="98"/>
      <c r="U136" s="99"/>
    </row>
    <row r="137" spans="20:21" x14ac:dyDescent="0.25">
      <c r="T137" s="98"/>
      <c r="U137" s="99"/>
    </row>
    <row r="138" spans="20:21" x14ac:dyDescent="0.25">
      <c r="T138" s="98"/>
      <c r="U138" s="99"/>
    </row>
    <row r="139" spans="20:21" x14ac:dyDescent="0.25">
      <c r="T139" s="98"/>
      <c r="U139" s="99"/>
    </row>
    <row r="140" spans="20:21" x14ac:dyDescent="0.25">
      <c r="T140" s="98"/>
      <c r="U140" s="99"/>
    </row>
    <row r="141" spans="20:21" x14ac:dyDescent="0.25">
      <c r="T141" s="98"/>
      <c r="U141" s="99"/>
    </row>
    <row r="142" spans="20:21" x14ac:dyDescent="0.25">
      <c r="T142" s="98"/>
      <c r="U142" s="99"/>
    </row>
    <row r="143" spans="20:21" x14ac:dyDescent="0.25">
      <c r="T143" s="98"/>
      <c r="U143" s="99"/>
    </row>
    <row r="144" spans="20:21" x14ac:dyDescent="0.25">
      <c r="T144" s="98"/>
      <c r="U144" s="99"/>
    </row>
    <row r="145" spans="20:21" x14ac:dyDescent="0.25">
      <c r="T145" s="98"/>
      <c r="U145" s="99"/>
    </row>
    <row r="146" spans="20:21" x14ac:dyDescent="0.25">
      <c r="T146" s="98"/>
      <c r="U146" s="99"/>
    </row>
    <row r="147" spans="20:21" x14ac:dyDescent="0.25">
      <c r="T147" s="98"/>
      <c r="U147" s="99"/>
    </row>
    <row r="148" spans="20:21" x14ac:dyDescent="0.25">
      <c r="T148" s="98"/>
      <c r="U148" s="99"/>
    </row>
    <row r="149" spans="20:21" x14ac:dyDescent="0.25">
      <c r="T149" s="98"/>
      <c r="U149" s="99"/>
    </row>
    <row r="150" spans="20:21" x14ac:dyDescent="0.25">
      <c r="T150" s="98"/>
      <c r="U150" s="99"/>
    </row>
    <row r="151" spans="20:21" x14ac:dyDescent="0.25">
      <c r="T151" s="98"/>
      <c r="U151" s="99"/>
    </row>
    <row r="152" spans="20:21" x14ac:dyDescent="0.25">
      <c r="T152" s="98"/>
      <c r="U152" s="99"/>
    </row>
    <row r="153" spans="20:21" x14ac:dyDescent="0.25">
      <c r="T153" s="98"/>
      <c r="U153" s="99"/>
    </row>
    <row r="154" spans="20:21" x14ac:dyDescent="0.25">
      <c r="T154" s="98"/>
      <c r="U154" s="99"/>
    </row>
    <row r="155" spans="20:21" x14ac:dyDescent="0.25">
      <c r="T155" s="98"/>
      <c r="U155" s="99"/>
    </row>
    <row r="156" spans="20:21" x14ac:dyDescent="0.25">
      <c r="T156" s="98"/>
      <c r="U156" s="99"/>
    </row>
    <row r="157" spans="20:21" x14ac:dyDescent="0.25">
      <c r="T157" s="98"/>
      <c r="U157" s="99"/>
    </row>
    <row r="158" spans="20:21" x14ac:dyDescent="0.25">
      <c r="T158" s="98"/>
      <c r="U158" s="99"/>
    </row>
    <row r="159" spans="20:21" x14ac:dyDescent="0.25">
      <c r="T159" s="98"/>
      <c r="U159" s="99"/>
    </row>
    <row r="160" spans="20:21" x14ac:dyDescent="0.25">
      <c r="T160" s="98"/>
      <c r="U160" s="99"/>
    </row>
    <row r="161" spans="20:21" x14ac:dyDescent="0.25">
      <c r="T161" s="98"/>
      <c r="U161" s="99"/>
    </row>
    <row r="162" spans="20:21" x14ac:dyDescent="0.25">
      <c r="T162" s="98"/>
      <c r="U162" s="99"/>
    </row>
    <row r="163" spans="20:21" x14ac:dyDescent="0.25">
      <c r="T163" s="98"/>
      <c r="U163" s="99"/>
    </row>
    <row r="164" spans="20:21" x14ac:dyDescent="0.25">
      <c r="T164" s="98"/>
      <c r="U164" s="99"/>
    </row>
    <row r="165" spans="20:21" x14ac:dyDescent="0.25">
      <c r="T165" s="98"/>
      <c r="U165" s="99"/>
    </row>
    <row r="166" spans="20:21" x14ac:dyDescent="0.25">
      <c r="T166" s="98"/>
      <c r="U166" s="99"/>
    </row>
    <row r="167" spans="20:21" x14ac:dyDescent="0.25">
      <c r="T167" s="98"/>
      <c r="U167" s="99"/>
    </row>
    <row r="168" spans="20:21" x14ac:dyDescent="0.25">
      <c r="T168" s="98"/>
      <c r="U168" s="99"/>
    </row>
    <row r="169" spans="20:21" x14ac:dyDescent="0.25">
      <c r="T169" s="98"/>
      <c r="U169" s="99"/>
    </row>
    <row r="170" spans="20:21" x14ac:dyDescent="0.25">
      <c r="T170" s="98"/>
      <c r="U170" s="99"/>
    </row>
    <row r="171" spans="20:21" x14ac:dyDescent="0.25">
      <c r="T171" s="98"/>
      <c r="U171" s="99"/>
    </row>
    <row r="172" spans="20:21" x14ac:dyDescent="0.25">
      <c r="T172" s="98"/>
      <c r="U172" s="99"/>
    </row>
    <row r="173" spans="20:21" x14ac:dyDescent="0.25">
      <c r="T173" s="98"/>
      <c r="U173" s="99"/>
    </row>
    <row r="174" spans="20:21" x14ac:dyDescent="0.25">
      <c r="T174" s="98"/>
      <c r="U174" s="99"/>
    </row>
    <row r="175" spans="20:21" x14ac:dyDescent="0.25">
      <c r="T175" s="98"/>
      <c r="U175" s="99"/>
    </row>
    <row r="176" spans="20:21" x14ac:dyDescent="0.25">
      <c r="T176" s="98"/>
      <c r="U176" s="99"/>
    </row>
    <row r="177" spans="20:21" x14ac:dyDescent="0.25">
      <c r="T177" s="98"/>
      <c r="U177" s="99"/>
    </row>
    <row r="178" spans="20:21" x14ac:dyDescent="0.25">
      <c r="T178" s="98"/>
      <c r="U178" s="99"/>
    </row>
    <row r="179" spans="20:21" x14ac:dyDescent="0.25">
      <c r="T179" s="98"/>
      <c r="U179" s="99"/>
    </row>
    <row r="180" spans="20:21" x14ac:dyDescent="0.25">
      <c r="T180" s="98"/>
      <c r="U180" s="99"/>
    </row>
    <row r="181" spans="20:21" x14ac:dyDescent="0.25">
      <c r="T181" s="98"/>
      <c r="U181" s="99"/>
    </row>
    <row r="182" spans="20:21" x14ac:dyDescent="0.25">
      <c r="T182" s="98"/>
      <c r="U182" s="99"/>
    </row>
    <row r="183" spans="20:21" x14ac:dyDescent="0.25">
      <c r="T183" s="98"/>
      <c r="U183" s="99"/>
    </row>
    <row r="184" spans="20:21" x14ac:dyDescent="0.25">
      <c r="T184" s="98"/>
      <c r="U184" s="99"/>
    </row>
    <row r="185" spans="20:21" x14ac:dyDescent="0.25">
      <c r="T185" s="98"/>
      <c r="U185" s="99"/>
    </row>
    <row r="186" spans="20:21" x14ac:dyDescent="0.25">
      <c r="T186" s="98"/>
      <c r="U186" s="99"/>
    </row>
    <row r="187" spans="20:21" x14ac:dyDescent="0.25">
      <c r="T187" s="98"/>
      <c r="U187" s="99"/>
    </row>
    <row r="188" spans="20:21" x14ac:dyDescent="0.25">
      <c r="T188" s="98"/>
      <c r="U188" s="99"/>
    </row>
    <row r="189" spans="20:21" x14ac:dyDescent="0.25">
      <c r="T189" s="98"/>
      <c r="U189" s="99"/>
    </row>
    <row r="190" spans="20:21" x14ac:dyDescent="0.25">
      <c r="T190" s="98"/>
      <c r="U190" s="99"/>
    </row>
    <row r="191" spans="20:21" x14ac:dyDescent="0.25">
      <c r="T191" s="98"/>
      <c r="U191" s="99"/>
    </row>
    <row r="192" spans="20:21" x14ac:dyDescent="0.25">
      <c r="T192" s="98"/>
      <c r="U192" s="99"/>
    </row>
    <row r="193" spans="20:21" x14ac:dyDescent="0.25">
      <c r="T193" s="98"/>
      <c r="U193" s="99"/>
    </row>
    <row r="194" spans="20:21" x14ac:dyDescent="0.25">
      <c r="T194" s="98"/>
      <c r="U194" s="99"/>
    </row>
    <row r="195" spans="20:21" x14ac:dyDescent="0.25">
      <c r="T195" s="98"/>
      <c r="U195" s="99"/>
    </row>
    <row r="196" spans="20:21" x14ac:dyDescent="0.25">
      <c r="T196" s="98"/>
      <c r="U196" s="99"/>
    </row>
    <row r="197" spans="20:21" x14ac:dyDescent="0.25">
      <c r="T197" s="98"/>
      <c r="U197" s="99"/>
    </row>
    <row r="198" spans="20:21" x14ac:dyDescent="0.25">
      <c r="T198" s="98"/>
      <c r="U198" s="99"/>
    </row>
    <row r="199" spans="20:21" x14ac:dyDescent="0.25">
      <c r="T199" s="98"/>
      <c r="U199" s="99"/>
    </row>
    <row r="200" spans="20:21" x14ac:dyDescent="0.25">
      <c r="T200" s="98"/>
      <c r="U200" s="99"/>
    </row>
    <row r="201" spans="20:21" x14ac:dyDescent="0.25">
      <c r="T201" s="98"/>
      <c r="U201" s="99"/>
    </row>
    <row r="202" spans="20:21" x14ac:dyDescent="0.25">
      <c r="T202" s="98"/>
      <c r="U202" s="99"/>
    </row>
    <row r="203" spans="20:21" x14ac:dyDescent="0.25">
      <c r="T203" s="98"/>
      <c r="U203" s="99"/>
    </row>
    <row r="204" spans="20:21" x14ac:dyDescent="0.25">
      <c r="T204" s="98"/>
      <c r="U204" s="99"/>
    </row>
    <row r="205" spans="20:21" x14ac:dyDescent="0.25">
      <c r="T205" s="98"/>
      <c r="U205" s="99"/>
    </row>
    <row r="206" spans="20:21" x14ac:dyDescent="0.25">
      <c r="T206" s="98"/>
      <c r="U206" s="99"/>
    </row>
    <row r="207" spans="20:21" x14ac:dyDescent="0.25">
      <c r="T207" s="98"/>
      <c r="U207" s="99"/>
    </row>
    <row r="208" spans="20:21" x14ac:dyDescent="0.25">
      <c r="T208" s="98"/>
      <c r="U208" s="99"/>
    </row>
    <row r="209" spans="20:21" x14ac:dyDescent="0.25">
      <c r="T209" s="98"/>
      <c r="U209" s="99"/>
    </row>
    <row r="210" spans="20:21" x14ac:dyDescent="0.25">
      <c r="T210" s="98"/>
      <c r="U210" s="99"/>
    </row>
    <row r="211" spans="20:21" x14ac:dyDescent="0.25">
      <c r="T211" s="98"/>
      <c r="U211" s="99"/>
    </row>
    <row r="212" spans="20:21" x14ac:dyDescent="0.25">
      <c r="T212" s="98"/>
      <c r="U212" s="99"/>
    </row>
    <row r="213" spans="20:21" x14ac:dyDescent="0.25">
      <c r="T213" s="98"/>
      <c r="U213" s="99"/>
    </row>
    <row r="214" spans="20:21" x14ac:dyDescent="0.25">
      <c r="T214" s="98"/>
      <c r="U214" s="99"/>
    </row>
    <row r="215" spans="20:21" x14ac:dyDescent="0.25">
      <c r="T215" s="98"/>
      <c r="U215" s="99"/>
    </row>
    <row r="216" spans="20:21" x14ac:dyDescent="0.25">
      <c r="T216" s="98"/>
      <c r="U216" s="99"/>
    </row>
    <row r="217" spans="20:21" x14ac:dyDescent="0.25">
      <c r="T217" s="98"/>
      <c r="U217" s="99"/>
    </row>
    <row r="218" spans="20:21" x14ac:dyDescent="0.25">
      <c r="T218" s="98"/>
      <c r="U218" s="99"/>
    </row>
    <row r="219" spans="20:21" x14ac:dyDescent="0.25">
      <c r="T219" s="98"/>
      <c r="U219" s="99"/>
    </row>
    <row r="220" spans="20:21" x14ac:dyDescent="0.25">
      <c r="T220" s="98"/>
      <c r="U220" s="99"/>
    </row>
    <row r="221" spans="20:21" x14ac:dyDescent="0.25">
      <c r="T221" s="98"/>
      <c r="U221" s="99"/>
    </row>
    <row r="222" spans="20:21" x14ac:dyDescent="0.25">
      <c r="T222" s="98"/>
      <c r="U222" s="99"/>
    </row>
    <row r="223" spans="20:21" x14ac:dyDescent="0.25">
      <c r="T223" s="98"/>
      <c r="U223" s="99"/>
    </row>
    <row r="224" spans="20:21" x14ac:dyDescent="0.25">
      <c r="T224" s="98"/>
      <c r="U224" s="99"/>
    </row>
    <row r="225" spans="20:21" x14ac:dyDescent="0.25">
      <c r="T225" s="98"/>
      <c r="U225" s="99"/>
    </row>
    <row r="226" spans="20:21" x14ac:dyDescent="0.25">
      <c r="T226" s="98"/>
      <c r="U226" s="99"/>
    </row>
    <row r="227" spans="20:21" x14ac:dyDescent="0.25">
      <c r="T227" s="98"/>
      <c r="U227" s="99"/>
    </row>
    <row r="228" spans="20:21" x14ac:dyDescent="0.25">
      <c r="T228" s="98"/>
      <c r="U228" s="99"/>
    </row>
    <row r="229" spans="20:21" x14ac:dyDescent="0.25">
      <c r="T229" s="98"/>
      <c r="U229" s="99"/>
    </row>
    <row r="230" spans="20:21" x14ac:dyDescent="0.25">
      <c r="T230" s="98"/>
      <c r="U230" s="99"/>
    </row>
    <row r="231" spans="20:21" x14ac:dyDescent="0.25">
      <c r="T231" s="98"/>
      <c r="U231" s="99"/>
    </row>
    <row r="232" spans="20:21" x14ac:dyDescent="0.25">
      <c r="T232" s="98"/>
      <c r="U232" s="99"/>
    </row>
    <row r="233" spans="20:21" x14ac:dyDescent="0.25">
      <c r="T233" s="98"/>
      <c r="U233" s="99"/>
    </row>
    <row r="234" spans="20:21" x14ac:dyDescent="0.25">
      <c r="T234" s="98"/>
      <c r="U234" s="99"/>
    </row>
    <row r="235" spans="20:21" x14ac:dyDescent="0.25">
      <c r="T235" s="98"/>
      <c r="U235" s="99"/>
    </row>
    <row r="236" spans="20:21" x14ac:dyDescent="0.25">
      <c r="T236" s="98"/>
      <c r="U236" s="99"/>
    </row>
    <row r="237" spans="20:21" x14ac:dyDescent="0.25">
      <c r="T237" s="98"/>
      <c r="U237" s="99"/>
    </row>
    <row r="238" spans="20:21" x14ac:dyDescent="0.25">
      <c r="T238" s="98"/>
      <c r="U238" s="99"/>
    </row>
    <row r="239" spans="20:21" x14ac:dyDescent="0.25">
      <c r="T239" s="98"/>
      <c r="U239" s="99"/>
    </row>
    <row r="240" spans="20:21" x14ac:dyDescent="0.25">
      <c r="T240" s="98"/>
      <c r="U240" s="99"/>
    </row>
    <row r="241" spans="20:21" x14ac:dyDescent="0.25">
      <c r="T241" s="98"/>
      <c r="U241" s="99"/>
    </row>
    <row r="242" spans="20:21" x14ac:dyDescent="0.25">
      <c r="T242" s="98"/>
      <c r="U242" s="99"/>
    </row>
    <row r="243" spans="20:21" x14ac:dyDescent="0.25">
      <c r="T243" s="98"/>
      <c r="U243" s="99"/>
    </row>
    <row r="244" spans="20:21" x14ac:dyDescent="0.25">
      <c r="T244" s="98"/>
      <c r="U244" s="99"/>
    </row>
    <row r="245" spans="20:21" x14ac:dyDescent="0.25">
      <c r="T245" s="98"/>
      <c r="U245" s="99"/>
    </row>
    <row r="246" spans="20:21" x14ac:dyDescent="0.25">
      <c r="T246" s="98"/>
      <c r="U246" s="99"/>
    </row>
    <row r="247" spans="20:21" x14ac:dyDescent="0.25">
      <c r="T247" s="98"/>
      <c r="U247" s="99"/>
    </row>
    <row r="248" spans="20:21" x14ac:dyDescent="0.25">
      <c r="T248" s="98"/>
      <c r="U248" s="99"/>
    </row>
    <row r="249" spans="20:21" x14ac:dyDescent="0.25">
      <c r="T249" s="98"/>
      <c r="U249" s="99"/>
    </row>
    <row r="250" spans="20:21" x14ac:dyDescent="0.25">
      <c r="T250" s="98"/>
      <c r="U250" s="99"/>
    </row>
    <row r="251" spans="20:21" x14ac:dyDescent="0.25">
      <c r="T251" s="98"/>
      <c r="U251" s="99"/>
    </row>
    <row r="252" spans="20:21" x14ac:dyDescent="0.25">
      <c r="T252" s="98"/>
      <c r="U252" s="99"/>
    </row>
    <row r="253" spans="20:21" x14ac:dyDescent="0.25">
      <c r="T253" s="98"/>
      <c r="U253" s="99"/>
    </row>
    <row r="254" spans="20:21" x14ac:dyDescent="0.25">
      <c r="T254" s="98"/>
      <c r="U254" s="99"/>
    </row>
    <row r="255" spans="20:21" x14ac:dyDescent="0.25">
      <c r="T255" s="98"/>
      <c r="U255" s="99"/>
    </row>
    <row r="256" spans="20:21" x14ac:dyDescent="0.25">
      <c r="T256" s="98"/>
      <c r="U256" s="99"/>
    </row>
    <row r="257" spans="20:21" x14ac:dyDescent="0.25">
      <c r="T257" s="98"/>
      <c r="U257" s="99"/>
    </row>
    <row r="258" spans="20:21" x14ac:dyDescent="0.25">
      <c r="T258" s="98"/>
      <c r="U258" s="99"/>
    </row>
    <row r="259" spans="20:21" x14ac:dyDescent="0.25">
      <c r="T259" s="98"/>
      <c r="U259" s="99"/>
    </row>
    <row r="260" spans="20:21" x14ac:dyDescent="0.25">
      <c r="T260" s="98"/>
      <c r="U260" s="99"/>
    </row>
    <row r="261" spans="20:21" x14ac:dyDescent="0.25">
      <c r="T261" s="98"/>
      <c r="U261" s="99"/>
    </row>
    <row r="262" spans="20:21" x14ac:dyDescent="0.25">
      <c r="T262" s="98"/>
      <c r="U262" s="99"/>
    </row>
    <row r="263" spans="20:21" x14ac:dyDescent="0.25">
      <c r="T263" s="98"/>
      <c r="U263" s="99"/>
    </row>
    <row r="264" spans="20:21" x14ac:dyDescent="0.25">
      <c r="T264" s="98"/>
      <c r="U264" s="99"/>
    </row>
    <row r="265" spans="20:21" x14ac:dyDescent="0.25">
      <c r="T265" s="98"/>
      <c r="U265" s="99"/>
    </row>
    <row r="266" spans="20:21" x14ac:dyDescent="0.25">
      <c r="T266" s="98"/>
      <c r="U266" s="99"/>
    </row>
    <row r="267" spans="20:21" x14ac:dyDescent="0.25">
      <c r="T267" s="98"/>
      <c r="U267" s="99"/>
    </row>
    <row r="268" spans="20:21" x14ac:dyDescent="0.25">
      <c r="T268" s="98"/>
      <c r="U268" s="99"/>
    </row>
    <row r="269" spans="20:21" x14ac:dyDescent="0.25">
      <c r="T269" s="98"/>
      <c r="U269" s="99"/>
    </row>
    <row r="270" spans="20:21" x14ac:dyDescent="0.25">
      <c r="T270" s="98"/>
      <c r="U270" s="99"/>
    </row>
    <row r="271" spans="20:21" x14ac:dyDescent="0.25">
      <c r="T271" s="98"/>
      <c r="U271" s="99"/>
    </row>
    <row r="272" spans="20:21" x14ac:dyDescent="0.25">
      <c r="T272" s="98"/>
      <c r="U272" s="99"/>
    </row>
    <row r="273" spans="20:21" x14ac:dyDescent="0.25">
      <c r="T273" s="98"/>
      <c r="U273" s="99"/>
    </row>
    <row r="274" spans="20:21" x14ac:dyDescent="0.25">
      <c r="T274" s="98"/>
      <c r="U274" s="99"/>
    </row>
    <row r="275" spans="20:21" x14ac:dyDescent="0.25">
      <c r="T275" s="98"/>
      <c r="U275" s="99"/>
    </row>
    <row r="276" spans="20:21" x14ac:dyDescent="0.25">
      <c r="T276" s="98"/>
      <c r="U276" s="99"/>
    </row>
    <row r="277" spans="20:21" x14ac:dyDescent="0.25">
      <c r="T277" s="98"/>
      <c r="U277" s="99"/>
    </row>
    <row r="278" spans="20:21" x14ac:dyDescent="0.25">
      <c r="T278" s="98"/>
      <c r="U278" s="99"/>
    </row>
    <row r="279" spans="20:21" x14ac:dyDescent="0.25">
      <c r="T279" s="98"/>
      <c r="U279" s="99"/>
    </row>
    <row r="280" spans="20:21" x14ac:dyDescent="0.25">
      <c r="T280" s="98"/>
      <c r="U280" s="99"/>
    </row>
    <row r="281" spans="20:21" x14ac:dyDescent="0.25">
      <c r="T281" s="98"/>
      <c r="U281" s="99"/>
    </row>
    <row r="282" spans="20:21" x14ac:dyDescent="0.25">
      <c r="T282" s="98"/>
      <c r="U282" s="99"/>
    </row>
    <row r="283" spans="20:21" x14ac:dyDescent="0.25">
      <c r="T283" s="98"/>
      <c r="U283" s="99"/>
    </row>
    <row r="284" spans="20:21" x14ac:dyDescent="0.25">
      <c r="T284" s="98"/>
      <c r="U284" s="99"/>
    </row>
    <row r="285" spans="20:21" x14ac:dyDescent="0.25">
      <c r="T285" s="98"/>
      <c r="U285" s="99"/>
    </row>
    <row r="286" spans="20:21" x14ac:dyDescent="0.25">
      <c r="T286" s="98"/>
      <c r="U286" s="99"/>
    </row>
    <row r="287" spans="20:21" x14ac:dyDescent="0.25">
      <c r="T287" s="98"/>
      <c r="U287" s="99"/>
    </row>
    <row r="288" spans="20:21" x14ac:dyDescent="0.25">
      <c r="T288" s="98"/>
      <c r="U288" s="99"/>
    </row>
    <row r="289" spans="20:21" x14ac:dyDescent="0.25">
      <c r="T289" s="98"/>
      <c r="U289" s="99"/>
    </row>
    <row r="290" spans="20:21" x14ac:dyDescent="0.25">
      <c r="T290" s="98"/>
      <c r="U290" s="99"/>
    </row>
    <row r="291" spans="20:21" x14ac:dyDescent="0.25">
      <c r="T291" s="98"/>
      <c r="U291" s="99"/>
    </row>
    <row r="292" spans="20:21" x14ac:dyDescent="0.25">
      <c r="T292" s="98"/>
      <c r="U292" s="99"/>
    </row>
    <row r="293" spans="20:21" x14ac:dyDescent="0.25">
      <c r="T293" s="98"/>
      <c r="U293" s="99"/>
    </row>
    <row r="294" spans="20:21" x14ac:dyDescent="0.25">
      <c r="T294" s="98"/>
      <c r="U294" s="99"/>
    </row>
    <row r="295" spans="20:21" x14ac:dyDescent="0.25">
      <c r="T295" s="98"/>
      <c r="U295" s="99"/>
    </row>
    <row r="296" spans="20:21" x14ac:dyDescent="0.25">
      <c r="T296" s="98"/>
      <c r="U296" s="99"/>
    </row>
    <row r="297" spans="20:21" x14ac:dyDescent="0.25">
      <c r="T297" s="98"/>
      <c r="U297" s="99"/>
    </row>
    <row r="298" spans="20:21" x14ac:dyDescent="0.25">
      <c r="T298" s="98"/>
      <c r="U298" s="99"/>
    </row>
    <row r="299" spans="20:21" x14ac:dyDescent="0.25">
      <c r="T299" s="98"/>
      <c r="U299" s="99"/>
    </row>
    <row r="300" spans="20:21" x14ac:dyDescent="0.25">
      <c r="T300" s="98"/>
      <c r="U300" s="99"/>
    </row>
    <row r="301" spans="20:21" x14ac:dyDescent="0.25">
      <c r="T301" s="98"/>
      <c r="U301" s="99"/>
    </row>
    <row r="302" spans="20:21" x14ac:dyDescent="0.25">
      <c r="T302" s="98"/>
      <c r="U302" s="99"/>
    </row>
    <row r="303" spans="20:21" x14ac:dyDescent="0.25">
      <c r="T303" s="98"/>
      <c r="U303" s="99"/>
    </row>
    <row r="304" spans="20:21" x14ac:dyDescent="0.25">
      <c r="T304" s="98"/>
      <c r="U304" s="99"/>
    </row>
    <row r="305" spans="20:21" x14ac:dyDescent="0.25">
      <c r="T305" s="98"/>
      <c r="U305" s="99"/>
    </row>
    <row r="306" spans="20:21" x14ac:dyDescent="0.25">
      <c r="T306" s="98"/>
      <c r="U306" s="99"/>
    </row>
    <row r="307" spans="20:21" x14ac:dyDescent="0.25">
      <c r="T307" s="98"/>
      <c r="U307" s="99"/>
    </row>
    <row r="308" spans="20:21" x14ac:dyDescent="0.25">
      <c r="T308" s="98"/>
      <c r="U308" s="99"/>
    </row>
    <row r="309" spans="20:21" x14ac:dyDescent="0.25">
      <c r="T309" s="98"/>
      <c r="U309" s="99"/>
    </row>
    <row r="310" spans="20:21" x14ac:dyDescent="0.25">
      <c r="T310" s="98"/>
      <c r="U310" s="99"/>
    </row>
    <row r="311" spans="20:21" x14ac:dyDescent="0.25">
      <c r="T311" s="98"/>
      <c r="U311" s="99"/>
    </row>
    <row r="312" spans="20:21" x14ac:dyDescent="0.25">
      <c r="T312" s="98"/>
      <c r="U312" s="99"/>
    </row>
    <row r="313" spans="20:21" x14ac:dyDescent="0.25">
      <c r="T313" s="98"/>
      <c r="U313" s="99"/>
    </row>
    <row r="314" spans="20:21" x14ac:dyDescent="0.25">
      <c r="T314" s="98"/>
      <c r="U314" s="99"/>
    </row>
    <row r="315" spans="20:21" x14ac:dyDescent="0.25">
      <c r="T315" s="98"/>
      <c r="U315" s="99"/>
    </row>
    <row r="316" spans="20:21" x14ac:dyDescent="0.25">
      <c r="T316" s="98"/>
      <c r="U316" s="99"/>
    </row>
    <row r="317" spans="20:21" x14ac:dyDescent="0.25">
      <c r="T317" s="98"/>
      <c r="U317" s="99"/>
    </row>
    <row r="318" spans="20:21" x14ac:dyDescent="0.25">
      <c r="T318" s="98"/>
      <c r="U318" s="99"/>
    </row>
    <row r="319" spans="20:21" x14ac:dyDescent="0.25">
      <c r="T319" s="98"/>
      <c r="U319" s="99"/>
    </row>
    <row r="320" spans="20:21" x14ac:dyDescent="0.25">
      <c r="T320" s="98"/>
      <c r="U320" s="99"/>
    </row>
    <row r="321" spans="20:21" x14ac:dyDescent="0.25">
      <c r="T321" s="98"/>
      <c r="U321" s="99"/>
    </row>
    <row r="322" spans="20:21" x14ac:dyDescent="0.25">
      <c r="T322" s="98"/>
      <c r="U322" s="99"/>
    </row>
    <row r="323" spans="20:21" x14ac:dyDescent="0.25">
      <c r="T323" s="98"/>
      <c r="U323" s="99"/>
    </row>
    <row r="324" spans="20:21" x14ac:dyDescent="0.25">
      <c r="T324" s="98"/>
      <c r="U324" s="99"/>
    </row>
    <row r="325" spans="20:21" x14ac:dyDescent="0.25">
      <c r="T325" s="98"/>
      <c r="U325" s="99"/>
    </row>
    <row r="326" spans="20:21" x14ac:dyDescent="0.25">
      <c r="T326" s="98"/>
      <c r="U326" s="99"/>
    </row>
    <row r="327" spans="20:21" x14ac:dyDescent="0.25">
      <c r="T327" s="98"/>
      <c r="U327" s="99"/>
    </row>
    <row r="328" spans="20:21" x14ac:dyDescent="0.25">
      <c r="T328" s="98"/>
      <c r="U328" s="99"/>
    </row>
    <row r="329" spans="20:21" x14ac:dyDescent="0.25">
      <c r="T329" s="98"/>
      <c r="U329" s="99"/>
    </row>
    <row r="330" spans="20:21" x14ac:dyDescent="0.25">
      <c r="T330" s="98"/>
      <c r="U330" s="99"/>
    </row>
    <row r="331" spans="20:21" x14ac:dyDescent="0.25">
      <c r="T331" s="98"/>
      <c r="U331" s="99"/>
    </row>
    <row r="332" spans="20:21" x14ac:dyDescent="0.25">
      <c r="T332" s="98"/>
      <c r="U332" s="99"/>
    </row>
    <row r="333" spans="20:21" x14ac:dyDescent="0.25">
      <c r="T333" s="98"/>
      <c r="U333" s="99"/>
    </row>
    <row r="334" spans="20:21" x14ac:dyDescent="0.25">
      <c r="T334" s="98"/>
      <c r="U334" s="99"/>
    </row>
    <row r="335" spans="20:21" x14ac:dyDescent="0.25">
      <c r="T335" s="98"/>
      <c r="U335" s="99"/>
    </row>
    <row r="336" spans="20:21" x14ac:dyDescent="0.25">
      <c r="T336" s="98"/>
      <c r="U336" s="99"/>
    </row>
    <row r="337" spans="20:21" x14ac:dyDescent="0.25">
      <c r="T337" s="98"/>
      <c r="U337" s="99"/>
    </row>
    <row r="338" spans="20:21" x14ac:dyDescent="0.25">
      <c r="T338" s="98"/>
      <c r="U338" s="99"/>
    </row>
    <row r="339" spans="20:21" x14ac:dyDescent="0.25">
      <c r="T339" s="98"/>
      <c r="U339" s="99"/>
    </row>
    <row r="340" spans="20:21" x14ac:dyDescent="0.25">
      <c r="T340" s="98"/>
      <c r="U340" s="99"/>
    </row>
    <row r="341" spans="20:21" x14ac:dyDescent="0.25">
      <c r="T341" s="98"/>
      <c r="U341" s="99"/>
    </row>
    <row r="342" spans="20:21" x14ac:dyDescent="0.25">
      <c r="T342" s="98"/>
      <c r="U342" s="99"/>
    </row>
    <row r="343" spans="20:21" x14ac:dyDescent="0.25">
      <c r="T343" s="98"/>
      <c r="U343" s="99"/>
    </row>
    <row r="344" spans="20:21" x14ac:dyDescent="0.25">
      <c r="T344" s="98"/>
      <c r="U344" s="99"/>
    </row>
    <row r="345" spans="20:21" x14ac:dyDescent="0.25">
      <c r="T345" s="98"/>
      <c r="U345" s="99"/>
    </row>
    <row r="346" spans="20:21" x14ac:dyDescent="0.25">
      <c r="T346" s="98"/>
      <c r="U346" s="99"/>
    </row>
    <row r="347" spans="20:21" x14ac:dyDescent="0.25">
      <c r="T347" s="98"/>
      <c r="U347" s="99"/>
    </row>
    <row r="348" spans="20:21" x14ac:dyDescent="0.25">
      <c r="T348" s="98"/>
      <c r="U348" s="99"/>
    </row>
    <row r="349" spans="20:21" x14ac:dyDescent="0.25">
      <c r="T349" s="98"/>
      <c r="U349" s="99"/>
    </row>
    <row r="350" spans="20:21" x14ac:dyDescent="0.25">
      <c r="T350" s="98"/>
      <c r="U350" s="99"/>
    </row>
    <row r="351" spans="20:21" x14ac:dyDescent="0.25">
      <c r="T351" s="98"/>
      <c r="U351" s="99"/>
    </row>
    <row r="352" spans="20:21" x14ac:dyDescent="0.25">
      <c r="T352" s="98"/>
      <c r="U352" s="99"/>
    </row>
    <row r="353" spans="20:21" x14ac:dyDescent="0.25">
      <c r="T353" s="98"/>
      <c r="U353" s="99"/>
    </row>
    <row r="354" spans="20:21" x14ac:dyDescent="0.25">
      <c r="T354" s="98"/>
      <c r="U354" s="99"/>
    </row>
    <row r="355" spans="20:21" x14ac:dyDescent="0.25">
      <c r="T355" s="98"/>
      <c r="U355" s="99"/>
    </row>
    <row r="356" spans="20:21" x14ac:dyDescent="0.25">
      <c r="T356" s="98"/>
      <c r="U356" s="99"/>
    </row>
    <row r="357" spans="20:21" x14ac:dyDescent="0.25">
      <c r="T357" s="98"/>
      <c r="U357" s="99"/>
    </row>
    <row r="358" spans="20:21" x14ac:dyDescent="0.25">
      <c r="T358" s="98"/>
      <c r="U358" s="99"/>
    </row>
    <row r="359" spans="20:21" x14ac:dyDescent="0.25">
      <c r="T359" s="98"/>
      <c r="U359" s="99"/>
    </row>
    <row r="360" spans="20:21" x14ac:dyDescent="0.25">
      <c r="T360" s="98"/>
      <c r="U360" s="99"/>
    </row>
    <row r="361" spans="20:21" x14ac:dyDescent="0.25">
      <c r="T361" s="98"/>
      <c r="U361" s="99"/>
    </row>
    <row r="362" spans="20:21" x14ac:dyDescent="0.25">
      <c r="T362" s="98"/>
      <c r="U362" s="99"/>
    </row>
    <row r="363" spans="20:21" x14ac:dyDescent="0.25">
      <c r="T363" s="98"/>
      <c r="U363" s="99"/>
    </row>
    <row r="364" spans="20:21" x14ac:dyDescent="0.25">
      <c r="T364" s="98"/>
      <c r="U364" s="99"/>
    </row>
    <row r="365" spans="20:21" x14ac:dyDescent="0.25">
      <c r="T365" s="98"/>
      <c r="U365" s="99"/>
    </row>
    <row r="366" spans="20:21" x14ac:dyDescent="0.25">
      <c r="T366" s="98"/>
      <c r="U366" s="99"/>
    </row>
    <row r="367" spans="20:21" x14ac:dyDescent="0.25">
      <c r="T367" s="98"/>
      <c r="U367" s="99"/>
    </row>
    <row r="368" spans="20:21" x14ac:dyDescent="0.25">
      <c r="T368" s="98"/>
      <c r="U368" s="99"/>
    </row>
    <row r="369" spans="20:21" x14ac:dyDescent="0.25">
      <c r="T369" s="98"/>
      <c r="U369" s="99"/>
    </row>
    <row r="370" spans="20:21" x14ac:dyDescent="0.25">
      <c r="T370" s="98"/>
      <c r="U370" s="99"/>
    </row>
    <row r="371" spans="20:21" x14ac:dyDescent="0.25">
      <c r="T371" s="98"/>
      <c r="U371" s="99"/>
    </row>
    <row r="372" spans="20:21" x14ac:dyDescent="0.25">
      <c r="T372" s="98"/>
      <c r="U372" s="99"/>
    </row>
    <row r="373" spans="20:21" x14ac:dyDescent="0.25">
      <c r="T373" s="98"/>
      <c r="U373" s="99"/>
    </row>
    <row r="374" spans="20:21" x14ac:dyDescent="0.25">
      <c r="T374" s="98"/>
      <c r="U374" s="99"/>
    </row>
    <row r="375" spans="20:21" x14ac:dyDescent="0.25">
      <c r="T375" s="98"/>
      <c r="U375" s="99"/>
    </row>
    <row r="376" spans="20:21" x14ac:dyDescent="0.25">
      <c r="T376" s="98"/>
      <c r="U376" s="99"/>
    </row>
    <row r="377" spans="20:21" x14ac:dyDescent="0.25">
      <c r="T377" s="98"/>
      <c r="U377" s="99"/>
    </row>
    <row r="378" spans="20:21" x14ac:dyDescent="0.25">
      <c r="T378" s="98"/>
      <c r="U378" s="99"/>
    </row>
    <row r="379" spans="20:21" x14ac:dyDescent="0.25">
      <c r="T379" s="98"/>
      <c r="U379" s="99"/>
    </row>
    <row r="380" spans="20:21" x14ac:dyDescent="0.25">
      <c r="T380" s="98"/>
      <c r="U380" s="99"/>
    </row>
    <row r="381" spans="20:21" x14ac:dyDescent="0.25">
      <c r="T381" s="98"/>
      <c r="U381" s="99"/>
    </row>
    <row r="382" spans="20:21" x14ac:dyDescent="0.25">
      <c r="T382" s="98"/>
      <c r="U382" s="99"/>
    </row>
    <row r="383" spans="20:21" x14ac:dyDescent="0.25">
      <c r="T383" s="98"/>
      <c r="U383" s="99"/>
    </row>
    <row r="384" spans="20:21" x14ac:dyDescent="0.25">
      <c r="T384" s="98"/>
      <c r="U384" s="99"/>
    </row>
    <row r="385" spans="20:21" x14ac:dyDescent="0.25">
      <c r="T385" s="98"/>
      <c r="U385" s="99"/>
    </row>
    <row r="386" spans="20:21" x14ac:dyDescent="0.25">
      <c r="T386" s="98"/>
      <c r="U386" s="99"/>
    </row>
    <row r="387" spans="20:21" x14ac:dyDescent="0.25">
      <c r="T387" s="98"/>
      <c r="U387" s="99"/>
    </row>
    <row r="388" spans="20:21" x14ac:dyDescent="0.25">
      <c r="T388" s="98"/>
      <c r="U388" s="99"/>
    </row>
    <row r="389" spans="20:21" x14ac:dyDescent="0.25">
      <c r="T389" s="98"/>
      <c r="U389" s="99"/>
    </row>
    <row r="390" spans="20:21" x14ac:dyDescent="0.25">
      <c r="T390" s="98"/>
      <c r="U390" s="99"/>
    </row>
    <row r="391" spans="20:21" x14ac:dyDescent="0.25">
      <c r="T391" s="98"/>
      <c r="U391" s="99"/>
    </row>
    <row r="392" spans="20:21" x14ac:dyDescent="0.25">
      <c r="T392" s="98"/>
      <c r="U392" s="99"/>
    </row>
    <row r="393" spans="20:21" x14ac:dyDescent="0.25">
      <c r="T393" s="98"/>
      <c r="U393" s="99"/>
    </row>
    <row r="394" spans="20:21" x14ac:dyDescent="0.25">
      <c r="T394" s="98"/>
      <c r="U394" s="99"/>
    </row>
    <row r="395" spans="20:21" x14ac:dyDescent="0.25">
      <c r="T395" s="98"/>
      <c r="U395" s="99"/>
    </row>
    <row r="396" spans="20:21" x14ac:dyDescent="0.25">
      <c r="T396" s="98"/>
      <c r="U396" s="99"/>
    </row>
    <row r="397" spans="20:21" x14ac:dyDescent="0.25">
      <c r="T397" s="98"/>
      <c r="U397" s="99"/>
    </row>
    <row r="398" spans="20:21" x14ac:dyDescent="0.25">
      <c r="T398" s="98"/>
      <c r="U398" s="99"/>
    </row>
    <row r="399" spans="20:21" x14ac:dyDescent="0.25">
      <c r="T399" s="98"/>
      <c r="U399" s="99"/>
    </row>
    <row r="400" spans="20:21" x14ac:dyDescent="0.25">
      <c r="T400" s="98"/>
      <c r="U400" s="99"/>
    </row>
    <row r="401" spans="20:21" x14ac:dyDescent="0.25">
      <c r="T401" s="98"/>
      <c r="U401" s="99"/>
    </row>
    <row r="402" spans="20:21" x14ac:dyDescent="0.25">
      <c r="T402" s="98"/>
      <c r="U402" s="99"/>
    </row>
    <row r="403" spans="20:21" x14ac:dyDescent="0.25">
      <c r="T403" s="98"/>
      <c r="U403" s="99"/>
    </row>
    <row r="404" spans="20:21" x14ac:dyDescent="0.25">
      <c r="T404" s="98"/>
      <c r="U404" s="99"/>
    </row>
    <row r="405" spans="20:21" x14ac:dyDescent="0.25">
      <c r="T405" s="98"/>
      <c r="U405" s="99"/>
    </row>
    <row r="406" spans="20:21" x14ac:dyDescent="0.25">
      <c r="T406" s="98"/>
      <c r="U406" s="99"/>
    </row>
    <row r="407" spans="20:21" x14ac:dyDescent="0.25">
      <c r="T407" s="98"/>
      <c r="U407" s="99"/>
    </row>
    <row r="408" spans="20:21" x14ac:dyDescent="0.25">
      <c r="T408" s="98"/>
      <c r="U408" s="99"/>
    </row>
    <row r="409" spans="20:21" x14ac:dyDescent="0.25">
      <c r="T409" s="98"/>
      <c r="U409" s="99"/>
    </row>
    <row r="410" spans="20:21" x14ac:dyDescent="0.25">
      <c r="T410" s="98"/>
      <c r="U410" s="99"/>
    </row>
    <row r="411" spans="20:21" x14ac:dyDescent="0.25">
      <c r="T411" s="98"/>
      <c r="U411" s="99"/>
    </row>
    <row r="412" spans="20:21" x14ac:dyDescent="0.25">
      <c r="T412" s="98"/>
      <c r="U412" s="99"/>
    </row>
    <row r="413" spans="20:21" x14ac:dyDescent="0.25">
      <c r="T413" s="98"/>
      <c r="U413" s="99"/>
    </row>
    <row r="414" spans="20:21" x14ac:dyDescent="0.25">
      <c r="T414" s="98"/>
      <c r="U414" s="99"/>
    </row>
    <row r="415" spans="20:21" x14ac:dyDescent="0.25">
      <c r="T415" s="98"/>
      <c r="U415" s="99"/>
    </row>
    <row r="416" spans="20:21" x14ac:dyDescent="0.25">
      <c r="T416" s="98"/>
      <c r="U416" s="99"/>
    </row>
    <row r="417" spans="20:21" x14ac:dyDescent="0.25">
      <c r="T417" s="98"/>
      <c r="U417" s="99"/>
    </row>
    <row r="418" spans="20:21" x14ac:dyDescent="0.25">
      <c r="T418" s="98"/>
      <c r="U418" s="99"/>
    </row>
    <row r="419" spans="20:21" x14ac:dyDescent="0.25">
      <c r="T419" s="98"/>
      <c r="U419" s="99"/>
    </row>
    <row r="420" spans="20:21" x14ac:dyDescent="0.25">
      <c r="T420" s="98"/>
      <c r="U420" s="99"/>
    </row>
    <row r="421" spans="20:21" x14ac:dyDescent="0.25">
      <c r="T421" s="98"/>
      <c r="U421" s="99"/>
    </row>
    <row r="422" spans="20:21" x14ac:dyDescent="0.25">
      <c r="T422" s="98"/>
      <c r="U422" s="99"/>
    </row>
    <row r="423" spans="20:21" x14ac:dyDescent="0.25">
      <c r="T423" s="98"/>
      <c r="U423" s="99"/>
    </row>
    <row r="424" spans="20:21" x14ac:dyDescent="0.25">
      <c r="T424" s="98"/>
      <c r="U424" s="99"/>
    </row>
    <row r="425" spans="20:21" x14ac:dyDescent="0.25">
      <c r="T425" s="98"/>
      <c r="U425" s="99"/>
    </row>
    <row r="426" spans="20:21" x14ac:dyDescent="0.25">
      <c r="T426" s="98"/>
      <c r="U426" s="99"/>
    </row>
    <row r="427" spans="20:21" x14ac:dyDescent="0.25">
      <c r="T427" s="98"/>
      <c r="U427" s="99"/>
    </row>
    <row r="428" spans="20:21" x14ac:dyDescent="0.25">
      <c r="T428" s="98"/>
      <c r="U428" s="99"/>
    </row>
    <row r="429" spans="20:21" x14ac:dyDescent="0.25">
      <c r="T429" s="98"/>
      <c r="U429" s="99"/>
    </row>
    <row r="430" spans="20:21" x14ac:dyDescent="0.25">
      <c r="T430" s="98"/>
      <c r="U430" s="99"/>
    </row>
    <row r="431" spans="20:21" x14ac:dyDescent="0.25">
      <c r="T431" s="98"/>
      <c r="U431" s="99"/>
    </row>
    <row r="432" spans="20:21" x14ac:dyDescent="0.25">
      <c r="T432" s="98"/>
      <c r="U432" s="99"/>
    </row>
    <row r="433" spans="20:21" x14ac:dyDescent="0.25">
      <c r="T433" s="98"/>
      <c r="U433" s="99"/>
    </row>
    <row r="434" spans="20:21" x14ac:dyDescent="0.25">
      <c r="T434" s="98"/>
      <c r="U434" s="99"/>
    </row>
    <row r="435" spans="20:21" x14ac:dyDescent="0.25">
      <c r="T435" s="98"/>
      <c r="U435" s="99"/>
    </row>
    <row r="436" spans="20:21" x14ac:dyDescent="0.25">
      <c r="T436" s="98"/>
      <c r="U436" s="99"/>
    </row>
    <row r="437" spans="20:21" x14ac:dyDescent="0.25">
      <c r="T437" s="98"/>
      <c r="U437" s="99"/>
    </row>
    <row r="438" spans="20:21" x14ac:dyDescent="0.25">
      <c r="T438" s="98"/>
      <c r="U438" s="99"/>
    </row>
    <row r="439" spans="20:21" x14ac:dyDescent="0.25">
      <c r="T439" s="98"/>
      <c r="U439" s="99"/>
    </row>
    <row r="440" spans="20:21" x14ac:dyDescent="0.25">
      <c r="T440" s="98"/>
      <c r="U440" s="99"/>
    </row>
    <row r="441" spans="20:21" x14ac:dyDescent="0.25">
      <c r="T441" s="98"/>
      <c r="U441" s="99"/>
    </row>
    <row r="442" spans="20:21" x14ac:dyDescent="0.25">
      <c r="T442" s="98"/>
      <c r="U442" s="99"/>
    </row>
    <row r="443" spans="20:21" x14ac:dyDescent="0.25">
      <c r="T443" s="98"/>
      <c r="U443" s="99"/>
    </row>
    <row r="444" spans="20:21" x14ac:dyDescent="0.25">
      <c r="T444" s="98"/>
      <c r="U444" s="99"/>
    </row>
    <row r="445" spans="20:21" x14ac:dyDescent="0.25">
      <c r="T445" s="98"/>
      <c r="U445" s="99"/>
    </row>
    <row r="446" spans="20:21" x14ac:dyDescent="0.25">
      <c r="T446" s="98"/>
      <c r="U446" s="99"/>
    </row>
    <row r="447" spans="20:21" x14ac:dyDescent="0.25">
      <c r="T447" s="98"/>
      <c r="U447" s="99"/>
    </row>
    <row r="448" spans="20:21" x14ac:dyDescent="0.25">
      <c r="T448" s="98"/>
      <c r="U448" s="99"/>
    </row>
    <row r="449" spans="20:21" x14ac:dyDescent="0.25">
      <c r="T449" s="98"/>
      <c r="U449" s="99"/>
    </row>
    <row r="450" spans="20:21" x14ac:dyDescent="0.25">
      <c r="T450" s="98"/>
      <c r="U450" s="99"/>
    </row>
    <row r="451" spans="20:21" x14ac:dyDescent="0.25">
      <c r="T451" s="98"/>
      <c r="U451" s="99"/>
    </row>
    <row r="452" spans="20:21" x14ac:dyDescent="0.25">
      <c r="T452" s="98"/>
      <c r="U452" s="99"/>
    </row>
    <row r="453" spans="20:21" x14ac:dyDescent="0.25">
      <c r="T453" s="98"/>
      <c r="U453" s="99"/>
    </row>
    <row r="454" spans="20:21" x14ac:dyDescent="0.25">
      <c r="T454" s="98"/>
      <c r="U454" s="99"/>
    </row>
    <row r="455" spans="20:21" x14ac:dyDescent="0.25">
      <c r="T455" s="98"/>
      <c r="U455" s="99"/>
    </row>
    <row r="456" spans="20:21" x14ac:dyDescent="0.25">
      <c r="T456" s="98"/>
      <c r="U456" s="99"/>
    </row>
    <row r="457" spans="20:21" x14ac:dyDescent="0.25">
      <c r="T457" s="98"/>
      <c r="U457" s="99"/>
    </row>
    <row r="458" spans="20:21" x14ac:dyDescent="0.25">
      <c r="T458" s="98"/>
      <c r="U458" s="99"/>
    </row>
    <row r="459" spans="20:21" x14ac:dyDescent="0.25">
      <c r="T459" s="98"/>
      <c r="U459" s="99"/>
    </row>
    <row r="460" spans="20:21" x14ac:dyDescent="0.25">
      <c r="T460" s="98"/>
      <c r="U460" s="99"/>
    </row>
    <row r="461" spans="20:21" x14ac:dyDescent="0.25">
      <c r="T461" s="98"/>
      <c r="U461" s="99"/>
    </row>
    <row r="462" spans="20:21" x14ac:dyDescent="0.25">
      <c r="T462" s="98"/>
      <c r="U462" s="99"/>
    </row>
    <row r="463" spans="20:21" x14ac:dyDescent="0.25">
      <c r="T463" s="98"/>
      <c r="U463" s="99"/>
    </row>
    <row r="464" spans="20:21" x14ac:dyDescent="0.25">
      <c r="T464" s="98"/>
      <c r="U464" s="99"/>
    </row>
    <row r="465" spans="20:21" x14ac:dyDescent="0.25">
      <c r="T465" s="98"/>
      <c r="U465" s="99"/>
    </row>
    <row r="466" spans="20:21" x14ac:dyDescent="0.25">
      <c r="T466" s="98"/>
      <c r="U466" s="99"/>
    </row>
    <row r="467" spans="20:21" x14ac:dyDescent="0.25">
      <c r="T467" s="98"/>
      <c r="U467" s="99"/>
    </row>
    <row r="468" spans="20:21" x14ac:dyDescent="0.25">
      <c r="T468" s="98"/>
      <c r="U468" s="99"/>
    </row>
    <row r="469" spans="20:21" x14ac:dyDescent="0.25">
      <c r="T469" s="98"/>
      <c r="U469" s="99"/>
    </row>
    <row r="470" spans="20:21" x14ac:dyDescent="0.25">
      <c r="T470" s="98"/>
      <c r="U470" s="99"/>
    </row>
    <row r="471" spans="20:21" x14ac:dyDescent="0.25">
      <c r="T471" s="98"/>
      <c r="U471" s="99"/>
    </row>
    <row r="472" spans="20:21" x14ac:dyDescent="0.25">
      <c r="T472" s="98"/>
      <c r="U472" s="99"/>
    </row>
    <row r="473" spans="20:21" x14ac:dyDescent="0.25">
      <c r="T473" s="98"/>
      <c r="U473" s="99"/>
    </row>
    <row r="474" spans="20:21" x14ac:dyDescent="0.25">
      <c r="T474" s="98"/>
      <c r="U474" s="99"/>
    </row>
    <row r="475" spans="20:21" x14ac:dyDescent="0.25">
      <c r="T475" s="98"/>
      <c r="U475" s="99"/>
    </row>
    <row r="476" spans="20:21" x14ac:dyDescent="0.25">
      <c r="T476" s="98"/>
      <c r="U476" s="99"/>
    </row>
    <row r="477" spans="20:21" x14ac:dyDescent="0.25">
      <c r="T477" s="98"/>
      <c r="U477" s="99"/>
    </row>
    <row r="478" spans="20:21" x14ac:dyDescent="0.25">
      <c r="T478" s="98"/>
      <c r="U478" s="99"/>
    </row>
    <row r="479" spans="20:21" x14ac:dyDescent="0.25">
      <c r="T479" s="98"/>
      <c r="U479" s="99"/>
    </row>
    <row r="480" spans="20:21" x14ac:dyDescent="0.25">
      <c r="T480" s="98"/>
      <c r="U480" s="99"/>
    </row>
    <row r="481" spans="20:21" x14ac:dyDescent="0.25">
      <c r="T481" s="98"/>
      <c r="U481" s="99"/>
    </row>
    <row r="482" spans="20:21" x14ac:dyDescent="0.25">
      <c r="T482" s="98"/>
      <c r="U482" s="99"/>
    </row>
    <row r="483" spans="20:21" x14ac:dyDescent="0.25">
      <c r="T483" s="98"/>
      <c r="U483" s="99"/>
    </row>
    <row r="484" spans="20:21" x14ac:dyDescent="0.25">
      <c r="T484" s="98"/>
      <c r="U484" s="99"/>
    </row>
    <row r="485" spans="20:21" x14ac:dyDescent="0.25">
      <c r="T485" s="98"/>
      <c r="U485" s="99"/>
    </row>
    <row r="486" spans="20:21" x14ac:dyDescent="0.25">
      <c r="T486" s="98"/>
      <c r="U486" s="99"/>
    </row>
    <row r="487" spans="20:21" x14ac:dyDescent="0.25">
      <c r="T487" s="98"/>
      <c r="U487" s="99"/>
    </row>
    <row r="488" spans="20:21" x14ac:dyDescent="0.25">
      <c r="T488" s="98"/>
      <c r="U488" s="99"/>
    </row>
    <row r="489" spans="20:21" x14ac:dyDescent="0.25">
      <c r="T489" s="98"/>
      <c r="U489" s="99"/>
    </row>
    <row r="490" spans="20:21" x14ac:dyDescent="0.25">
      <c r="T490" s="98"/>
      <c r="U490" s="99"/>
    </row>
    <row r="491" spans="20:21" x14ac:dyDescent="0.25">
      <c r="T491" s="98"/>
      <c r="U491" s="99"/>
    </row>
    <row r="492" spans="20:21" x14ac:dyDescent="0.25">
      <c r="T492" s="98"/>
      <c r="U492" s="99"/>
    </row>
    <row r="493" spans="20:21" x14ac:dyDescent="0.25">
      <c r="T493" s="98"/>
      <c r="U493" s="99"/>
    </row>
    <row r="494" spans="20:21" x14ac:dyDescent="0.25">
      <c r="T494" s="98"/>
      <c r="U494" s="99"/>
    </row>
    <row r="495" spans="20:21" x14ac:dyDescent="0.25">
      <c r="T495" s="98"/>
      <c r="U495" s="99"/>
    </row>
    <row r="496" spans="20:21" x14ac:dyDescent="0.25">
      <c r="T496" s="98"/>
      <c r="U496" s="99"/>
    </row>
    <row r="497" spans="20:21" x14ac:dyDescent="0.25">
      <c r="T497" s="98"/>
      <c r="U497" s="99"/>
    </row>
    <row r="498" spans="20:21" x14ac:dyDescent="0.25">
      <c r="T498" s="98"/>
      <c r="U498" s="99"/>
    </row>
    <row r="499" spans="20:21" x14ac:dyDescent="0.25">
      <c r="T499" s="98"/>
      <c r="U499" s="99"/>
    </row>
    <row r="500" spans="20:21" x14ac:dyDescent="0.25">
      <c r="T500" s="98"/>
      <c r="U500" s="99"/>
    </row>
    <row r="501" spans="20:21" x14ac:dyDescent="0.25">
      <c r="T501" s="98"/>
      <c r="U501" s="99"/>
    </row>
    <row r="502" spans="20:21" x14ac:dyDescent="0.25">
      <c r="T502" s="98"/>
      <c r="U502" s="99"/>
    </row>
    <row r="503" spans="20:21" x14ac:dyDescent="0.25">
      <c r="T503" s="98"/>
      <c r="U503" s="99"/>
    </row>
    <row r="504" spans="20:21" x14ac:dyDescent="0.25">
      <c r="T504" s="98"/>
      <c r="U504" s="99"/>
    </row>
    <row r="505" spans="20:21" x14ac:dyDescent="0.25">
      <c r="T505" s="98"/>
      <c r="U505" s="99"/>
    </row>
    <row r="506" spans="20:21" x14ac:dyDescent="0.25">
      <c r="T506" s="98"/>
      <c r="U506" s="99"/>
    </row>
    <row r="507" spans="20:21" x14ac:dyDescent="0.25">
      <c r="T507" s="98"/>
      <c r="U507" s="99"/>
    </row>
    <row r="508" spans="20:21" x14ac:dyDescent="0.25">
      <c r="T508" s="98"/>
      <c r="U508" s="99"/>
    </row>
    <row r="509" spans="20:21" x14ac:dyDescent="0.25">
      <c r="T509" s="98"/>
      <c r="U509" s="99"/>
    </row>
    <row r="510" spans="20:21" x14ac:dyDescent="0.25">
      <c r="T510" s="98"/>
      <c r="U510" s="99"/>
    </row>
    <row r="511" spans="20:21" x14ac:dyDescent="0.25">
      <c r="T511" s="98"/>
      <c r="U511" s="99"/>
    </row>
    <row r="512" spans="20:21" x14ac:dyDescent="0.25">
      <c r="T512" s="98"/>
      <c r="U512" s="99"/>
    </row>
    <row r="513" spans="20:21" x14ac:dyDescent="0.25">
      <c r="T513" s="98"/>
      <c r="U513" s="99"/>
    </row>
    <row r="514" spans="20:21" x14ac:dyDescent="0.25">
      <c r="T514" s="98"/>
      <c r="U514" s="99"/>
    </row>
    <row r="515" spans="20:21" x14ac:dyDescent="0.25">
      <c r="T515" s="98"/>
      <c r="U515" s="99"/>
    </row>
    <row r="516" spans="20:21" x14ac:dyDescent="0.25">
      <c r="T516" s="98"/>
      <c r="U516" s="99"/>
    </row>
    <row r="517" spans="20:21" x14ac:dyDescent="0.25">
      <c r="T517" s="98"/>
      <c r="U517" s="99"/>
    </row>
    <row r="518" spans="20:21" x14ac:dyDescent="0.25">
      <c r="T518" s="98"/>
      <c r="U518" s="99"/>
    </row>
    <row r="519" spans="20:21" x14ac:dyDescent="0.25">
      <c r="T519" s="98"/>
      <c r="U519" s="99"/>
    </row>
    <row r="520" spans="20:21" x14ac:dyDescent="0.25">
      <c r="T520" s="98"/>
      <c r="U520" s="99"/>
    </row>
    <row r="521" spans="20:21" x14ac:dyDescent="0.25">
      <c r="T521" s="98"/>
      <c r="U521" s="99"/>
    </row>
    <row r="522" spans="20:21" x14ac:dyDescent="0.25">
      <c r="T522" s="98"/>
      <c r="U522" s="99"/>
    </row>
    <row r="523" spans="20:21" x14ac:dyDescent="0.25">
      <c r="T523" s="98"/>
      <c r="U523" s="99"/>
    </row>
    <row r="524" spans="20:21" x14ac:dyDescent="0.25">
      <c r="T524" s="98"/>
      <c r="U524" s="99"/>
    </row>
    <row r="525" spans="20:21" x14ac:dyDescent="0.25">
      <c r="T525" s="98"/>
      <c r="U525" s="99"/>
    </row>
    <row r="526" spans="20:21" x14ac:dyDescent="0.25">
      <c r="T526" s="98"/>
      <c r="U526" s="99"/>
    </row>
    <row r="527" spans="20:21" x14ac:dyDescent="0.25">
      <c r="T527" s="98"/>
      <c r="U527" s="99"/>
    </row>
    <row r="528" spans="20:21" x14ac:dyDescent="0.25">
      <c r="T528" s="98"/>
      <c r="U528" s="99"/>
    </row>
    <row r="529" spans="20:21" x14ac:dyDescent="0.25">
      <c r="T529" s="98"/>
      <c r="U529" s="99"/>
    </row>
    <row r="530" spans="20:21" x14ac:dyDescent="0.25">
      <c r="T530" s="98"/>
      <c r="U530" s="99"/>
    </row>
    <row r="531" spans="20:21" x14ac:dyDescent="0.25">
      <c r="T531" s="98"/>
      <c r="U531" s="99"/>
    </row>
    <row r="532" spans="20:21" x14ac:dyDescent="0.25">
      <c r="T532" s="98"/>
      <c r="U532" s="99"/>
    </row>
    <row r="533" spans="20:21" x14ac:dyDescent="0.25">
      <c r="T533" s="98"/>
      <c r="U533" s="99"/>
    </row>
    <row r="534" spans="20:21" x14ac:dyDescent="0.25">
      <c r="T534" s="98"/>
      <c r="U534" s="99"/>
    </row>
    <row r="535" spans="20:21" x14ac:dyDescent="0.25">
      <c r="T535" s="98"/>
      <c r="U535" s="99"/>
    </row>
    <row r="536" spans="20:21" x14ac:dyDescent="0.25">
      <c r="T536" s="98"/>
      <c r="U536" s="99"/>
    </row>
    <row r="537" spans="20:21" x14ac:dyDescent="0.25">
      <c r="T537" s="98"/>
      <c r="U537" s="99"/>
    </row>
    <row r="538" spans="20:21" x14ac:dyDescent="0.25">
      <c r="T538" s="98"/>
      <c r="U538" s="99"/>
    </row>
    <row r="539" spans="20:21" x14ac:dyDescent="0.25">
      <c r="T539" s="98"/>
      <c r="U539" s="99"/>
    </row>
    <row r="540" spans="20:21" x14ac:dyDescent="0.25">
      <c r="T540" s="98"/>
      <c r="U540" s="99"/>
    </row>
    <row r="541" spans="20:21" x14ac:dyDescent="0.25">
      <c r="T541" s="98"/>
      <c r="U541" s="99"/>
    </row>
    <row r="542" spans="20:21" x14ac:dyDescent="0.25">
      <c r="T542" s="98"/>
      <c r="U542" s="99"/>
    </row>
    <row r="543" spans="20:21" x14ac:dyDescent="0.25">
      <c r="T543" s="98"/>
      <c r="U543" s="99"/>
    </row>
    <row r="544" spans="20:21" x14ac:dyDescent="0.25">
      <c r="T544" s="98"/>
      <c r="U544" s="99"/>
    </row>
    <row r="545" spans="20:21" x14ac:dyDescent="0.25">
      <c r="T545" s="98"/>
      <c r="U545" s="99"/>
    </row>
    <row r="546" spans="20:21" x14ac:dyDescent="0.25">
      <c r="T546" s="98"/>
      <c r="U546" s="99"/>
    </row>
    <row r="547" spans="20:21" x14ac:dyDescent="0.25">
      <c r="T547" s="98"/>
      <c r="U547" s="99"/>
    </row>
    <row r="548" spans="20:21" x14ac:dyDescent="0.25">
      <c r="T548" s="98"/>
      <c r="U548" s="99"/>
    </row>
    <row r="549" spans="20:21" x14ac:dyDescent="0.25">
      <c r="T549" s="98"/>
      <c r="U549" s="99"/>
    </row>
    <row r="550" spans="20:21" x14ac:dyDescent="0.25">
      <c r="T550" s="98"/>
      <c r="U550" s="99"/>
    </row>
    <row r="551" spans="20:21" x14ac:dyDescent="0.25">
      <c r="T551" s="98"/>
      <c r="U551" s="99"/>
    </row>
    <row r="552" spans="20:21" x14ac:dyDescent="0.25">
      <c r="T552" s="98"/>
      <c r="U552" s="99"/>
    </row>
    <row r="553" spans="20:21" x14ac:dyDescent="0.25">
      <c r="T553" s="98"/>
      <c r="U553" s="99"/>
    </row>
    <row r="554" spans="20:21" x14ac:dyDescent="0.25">
      <c r="T554" s="98"/>
      <c r="U554" s="99"/>
    </row>
    <row r="555" spans="20:21" x14ac:dyDescent="0.25">
      <c r="T555" s="98"/>
      <c r="U555" s="99"/>
    </row>
    <row r="556" spans="20:21" x14ac:dyDescent="0.25">
      <c r="T556" s="98"/>
      <c r="U556" s="99"/>
    </row>
    <row r="557" spans="20:21" x14ac:dyDescent="0.25">
      <c r="T557" s="98"/>
      <c r="U557" s="99"/>
    </row>
    <row r="558" spans="20:21" x14ac:dyDescent="0.25">
      <c r="T558" s="98"/>
      <c r="U558" s="99"/>
    </row>
    <row r="559" spans="20:21" x14ac:dyDescent="0.25">
      <c r="T559" s="98"/>
      <c r="U559" s="99"/>
    </row>
    <row r="560" spans="20:21" x14ac:dyDescent="0.25">
      <c r="T560" s="98"/>
      <c r="U560" s="99"/>
    </row>
    <row r="561" spans="20:21" x14ac:dyDescent="0.25">
      <c r="T561" s="98"/>
      <c r="U561" s="99"/>
    </row>
    <row r="562" spans="20:21" x14ac:dyDescent="0.25">
      <c r="T562" s="98"/>
      <c r="U562" s="99"/>
    </row>
    <row r="563" spans="20:21" x14ac:dyDescent="0.25">
      <c r="T563" s="98"/>
      <c r="U563" s="99"/>
    </row>
    <row r="564" spans="20:21" x14ac:dyDescent="0.25">
      <c r="T564" s="98"/>
      <c r="U564" s="99"/>
    </row>
    <row r="565" spans="20:21" x14ac:dyDescent="0.25">
      <c r="T565" s="98"/>
      <c r="U565" s="99"/>
    </row>
    <row r="566" spans="20:21" x14ac:dyDescent="0.25">
      <c r="T566" s="98"/>
      <c r="U566" s="99"/>
    </row>
    <row r="567" spans="20:21" x14ac:dyDescent="0.25">
      <c r="T567" s="98"/>
      <c r="U567" s="99"/>
    </row>
    <row r="568" spans="20:21" x14ac:dyDescent="0.25">
      <c r="T568" s="98"/>
      <c r="U568" s="99"/>
    </row>
    <row r="569" spans="20:21" x14ac:dyDescent="0.25">
      <c r="T569" s="98"/>
      <c r="U569" s="99"/>
    </row>
    <row r="570" spans="20:21" x14ac:dyDescent="0.25">
      <c r="T570" s="98"/>
      <c r="U570" s="99"/>
    </row>
    <row r="571" spans="20:21" x14ac:dyDescent="0.25">
      <c r="T571" s="98"/>
      <c r="U571" s="99"/>
    </row>
    <row r="572" spans="20:21" x14ac:dyDescent="0.25">
      <c r="T572" s="98"/>
      <c r="U572" s="99"/>
    </row>
    <row r="573" spans="20:21" x14ac:dyDescent="0.25">
      <c r="T573" s="98"/>
      <c r="U573" s="99"/>
    </row>
    <row r="574" spans="20:21" x14ac:dyDescent="0.25">
      <c r="T574" s="98"/>
      <c r="U574" s="99"/>
    </row>
    <row r="575" spans="20:21" x14ac:dyDescent="0.25">
      <c r="T575" s="98"/>
      <c r="U575" s="99"/>
    </row>
    <row r="576" spans="20:21" x14ac:dyDescent="0.25">
      <c r="T576" s="98"/>
      <c r="U576" s="99"/>
    </row>
    <row r="577" spans="20:21" x14ac:dyDescent="0.25">
      <c r="T577" s="98"/>
      <c r="U577" s="99"/>
    </row>
    <row r="578" spans="20:21" x14ac:dyDescent="0.25">
      <c r="T578" s="98"/>
      <c r="U578" s="99"/>
    </row>
    <row r="579" spans="20:21" x14ac:dyDescent="0.25">
      <c r="T579" s="98"/>
      <c r="U579" s="99"/>
    </row>
    <row r="580" spans="20:21" x14ac:dyDescent="0.25">
      <c r="T580" s="98"/>
      <c r="U580" s="99"/>
    </row>
    <row r="581" spans="20:21" x14ac:dyDescent="0.25">
      <c r="T581" s="98"/>
      <c r="U581" s="99"/>
    </row>
    <row r="582" spans="20:21" x14ac:dyDescent="0.25">
      <c r="T582" s="98"/>
      <c r="U582" s="99"/>
    </row>
    <row r="583" spans="20:21" x14ac:dyDescent="0.25">
      <c r="T583" s="98"/>
      <c r="U583" s="99"/>
    </row>
    <row r="584" spans="20:21" x14ac:dyDescent="0.25">
      <c r="T584" s="98"/>
      <c r="U584" s="99"/>
    </row>
    <row r="585" spans="20:21" x14ac:dyDescent="0.25">
      <c r="T585" s="98"/>
      <c r="U585" s="99"/>
    </row>
    <row r="586" spans="20:21" x14ac:dyDescent="0.25">
      <c r="T586" s="98"/>
      <c r="U586" s="99"/>
    </row>
    <row r="587" spans="20:21" x14ac:dyDescent="0.25">
      <c r="T587" s="98"/>
      <c r="U587" s="99"/>
    </row>
    <row r="588" spans="20:21" x14ac:dyDescent="0.25">
      <c r="T588" s="98"/>
      <c r="U588" s="99"/>
    </row>
    <row r="589" spans="20:21" x14ac:dyDescent="0.25">
      <c r="T589" s="98"/>
      <c r="U589" s="99"/>
    </row>
    <row r="590" spans="20:21" x14ac:dyDescent="0.25">
      <c r="T590" s="98"/>
      <c r="U590" s="99"/>
    </row>
    <row r="591" spans="20:21" x14ac:dyDescent="0.25">
      <c r="T591" s="98"/>
      <c r="U591" s="99"/>
    </row>
    <row r="592" spans="20:21" x14ac:dyDescent="0.25">
      <c r="T592" s="98"/>
      <c r="U592" s="99"/>
    </row>
    <row r="593" spans="20:21" x14ac:dyDescent="0.25">
      <c r="T593" s="98"/>
      <c r="U593" s="99"/>
    </row>
    <row r="594" spans="20:21" x14ac:dyDescent="0.25">
      <c r="T594" s="98"/>
      <c r="U594" s="99"/>
    </row>
    <row r="595" spans="20:21" x14ac:dyDescent="0.25">
      <c r="T595" s="98"/>
      <c r="U595" s="99"/>
    </row>
    <row r="596" spans="20:21" x14ac:dyDescent="0.25">
      <c r="T596" s="98"/>
      <c r="U596" s="99"/>
    </row>
    <row r="597" spans="20:21" x14ac:dyDescent="0.25">
      <c r="T597" s="98"/>
      <c r="U597" s="99"/>
    </row>
    <row r="598" spans="20:21" x14ac:dyDescent="0.25">
      <c r="T598" s="98"/>
      <c r="U598" s="99"/>
    </row>
    <row r="599" spans="20:21" x14ac:dyDescent="0.25">
      <c r="T599" s="98"/>
      <c r="U599" s="99"/>
    </row>
    <row r="600" spans="20:21" x14ac:dyDescent="0.25">
      <c r="T600" s="98"/>
      <c r="U600" s="99"/>
    </row>
    <row r="601" spans="20:21" x14ac:dyDescent="0.25">
      <c r="T601" s="98"/>
      <c r="U601" s="99"/>
    </row>
    <row r="602" spans="20:21" x14ac:dyDescent="0.25">
      <c r="T602" s="98"/>
      <c r="U602" s="99"/>
    </row>
    <row r="603" spans="20:21" x14ac:dyDescent="0.25">
      <c r="T603" s="98"/>
      <c r="U603" s="99"/>
    </row>
    <row r="604" spans="20:21" x14ac:dyDescent="0.25">
      <c r="T604" s="98"/>
      <c r="U604" s="99"/>
    </row>
    <row r="605" spans="20:21" x14ac:dyDescent="0.25">
      <c r="T605" s="98"/>
      <c r="U605" s="99"/>
    </row>
    <row r="606" spans="20:21" x14ac:dyDescent="0.25">
      <c r="T606" s="98"/>
      <c r="U606" s="99"/>
    </row>
    <row r="607" spans="20:21" x14ac:dyDescent="0.25">
      <c r="T607" s="98"/>
      <c r="U607" s="99"/>
    </row>
    <row r="608" spans="20:21" x14ac:dyDescent="0.25">
      <c r="T608" s="98"/>
      <c r="U608" s="99"/>
    </row>
    <row r="609" spans="20:21" x14ac:dyDescent="0.25">
      <c r="T609" s="98"/>
      <c r="U609" s="99"/>
    </row>
    <row r="610" spans="20:21" x14ac:dyDescent="0.25">
      <c r="T610" s="98"/>
      <c r="U610" s="99"/>
    </row>
    <row r="611" spans="20:21" x14ac:dyDescent="0.25">
      <c r="T611" s="98"/>
      <c r="U611" s="99"/>
    </row>
    <row r="612" spans="20:21" x14ac:dyDescent="0.25">
      <c r="T612" s="98"/>
      <c r="U612" s="99"/>
    </row>
    <row r="613" spans="20:21" x14ac:dyDescent="0.25">
      <c r="T613" s="98"/>
      <c r="U613" s="99"/>
    </row>
    <row r="614" spans="20:21" x14ac:dyDescent="0.25">
      <c r="T614" s="98"/>
      <c r="U614" s="99"/>
    </row>
    <row r="615" spans="20:21" x14ac:dyDescent="0.25">
      <c r="T615" s="98"/>
      <c r="U615" s="99"/>
    </row>
    <row r="616" spans="20:21" x14ac:dyDescent="0.25">
      <c r="T616" s="98"/>
      <c r="U616" s="99"/>
    </row>
    <row r="617" spans="20:21" x14ac:dyDescent="0.25">
      <c r="T617" s="98"/>
      <c r="U617" s="99"/>
    </row>
    <row r="618" spans="20:21" x14ac:dyDescent="0.25">
      <c r="T618" s="98"/>
      <c r="U618" s="99"/>
    </row>
    <row r="619" spans="20:21" x14ac:dyDescent="0.25">
      <c r="T619" s="98"/>
      <c r="U619" s="99"/>
    </row>
    <row r="620" spans="20:21" x14ac:dyDescent="0.25">
      <c r="T620" s="98"/>
      <c r="U620" s="99"/>
    </row>
    <row r="621" spans="20:21" x14ac:dyDescent="0.25">
      <c r="T621" s="98"/>
      <c r="U621" s="99"/>
    </row>
    <row r="622" spans="20:21" x14ac:dyDescent="0.25">
      <c r="T622" s="98"/>
      <c r="U622" s="99"/>
    </row>
    <row r="623" spans="20:21" x14ac:dyDescent="0.25">
      <c r="T623" s="98"/>
      <c r="U623" s="99"/>
    </row>
    <row r="624" spans="20:21" x14ac:dyDescent="0.25">
      <c r="T624" s="98"/>
      <c r="U624" s="99"/>
    </row>
    <row r="625" spans="20:21" x14ac:dyDescent="0.25">
      <c r="T625" s="98"/>
      <c r="U625" s="99"/>
    </row>
    <row r="626" spans="20:21" x14ac:dyDescent="0.25">
      <c r="T626" s="98"/>
      <c r="U626" s="99"/>
    </row>
    <row r="627" spans="20:21" x14ac:dyDescent="0.25">
      <c r="T627" s="98"/>
      <c r="U627" s="99"/>
    </row>
    <row r="628" spans="20:21" x14ac:dyDescent="0.25">
      <c r="T628" s="98"/>
      <c r="U628" s="99"/>
    </row>
    <row r="629" spans="20:21" x14ac:dyDescent="0.25">
      <c r="T629" s="98"/>
      <c r="U629" s="99"/>
    </row>
    <row r="630" spans="20:21" x14ac:dyDescent="0.25">
      <c r="T630" s="98"/>
      <c r="U630" s="99"/>
    </row>
    <row r="631" spans="20:21" x14ac:dyDescent="0.25">
      <c r="T631" s="98"/>
      <c r="U631" s="99"/>
    </row>
    <row r="632" spans="20:21" x14ac:dyDescent="0.25">
      <c r="T632" s="98"/>
      <c r="U632" s="99"/>
    </row>
    <row r="633" spans="20:21" x14ac:dyDescent="0.25">
      <c r="T633" s="98"/>
      <c r="U633" s="99"/>
    </row>
    <row r="634" spans="20:21" x14ac:dyDescent="0.25">
      <c r="T634" s="98"/>
      <c r="U634" s="99"/>
    </row>
    <row r="635" spans="20:21" x14ac:dyDescent="0.25">
      <c r="T635" s="98"/>
      <c r="U635" s="99"/>
    </row>
    <row r="636" spans="20:21" x14ac:dyDescent="0.25">
      <c r="T636" s="98"/>
      <c r="U636" s="99"/>
    </row>
    <row r="637" spans="20:21" x14ac:dyDescent="0.25">
      <c r="T637" s="98"/>
      <c r="U637" s="99"/>
    </row>
    <row r="638" spans="20:21" x14ac:dyDescent="0.25">
      <c r="T638" s="98"/>
      <c r="U638" s="99"/>
    </row>
    <row r="639" spans="20:21" x14ac:dyDescent="0.25">
      <c r="T639" s="98"/>
      <c r="U639" s="99"/>
    </row>
    <row r="640" spans="20:21" x14ac:dyDescent="0.25">
      <c r="T640" s="98"/>
      <c r="U640" s="99"/>
    </row>
    <row r="641" spans="20:21" x14ac:dyDescent="0.25">
      <c r="T641" s="98"/>
      <c r="U641" s="99"/>
    </row>
    <row r="642" spans="20:21" x14ac:dyDescent="0.25">
      <c r="T642" s="98"/>
      <c r="U642" s="99"/>
    </row>
    <row r="643" spans="20:21" x14ac:dyDescent="0.25">
      <c r="T643" s="98"/>
      <c r="U643" s="99"/>
    </row>
    <row r="644" spans="20:21" x14ac:dyDescent="0.25">
      <c r="T644" s="98"/>
      <c r="U644" s="99"/>
    </row>
    <row r="645" spans="20:21" x14ac:dyDescent="0.25">
      <c r="T645" s="98"/>
      <c r="U645" s="99"/>
    </row>
    <row r="646" spans="20:21" x14ac:dyDescent="0.25">
      <c r="T646" s="98"/>
      <c r="U646" s="99"/>
    </row>
    <row r="647" spans="20:21" x14ac:dyDescent="0.25">
      <c r="T647" s="98"/>
      <c r="U647" s="99"/>
    </row>
    <row r="648" spans="20:21" x14ac:dyDescent="0.25">
      <c r="T648" s="98"/>
      <c r="U648" s="99"/>
    </row>
    <row r="649" spans="20:21" x14ac:dyDescent="0.25">
      <c r="T649" s="98"/>
      <c r="U649" s="99"/>
    </row>
    <row r="650" spans="20:21" x14ac:dyDescent="0.25">
      <c r="T650" s="98"/>
      <c r="U650" s="99"/>
    </row>
    <row r="651" spans="20:21" x14ac:dyDescent="0.25">
      <c r="T651" s="98"/>
      <c r="U651" s="99"/>
    </row>
    <row r="652" spans="20:21" x14ac:dyDescent="0.25">
      <c r="T652" s="98"/>
      <c r="U652" s="99"/>
    </row>
    <row r="653" spans="20:21" x14ac:dyDescent="0.25">
      <c r="T653" s="98"/>
      <c r="U653" s="99"/>
    </row>
    <row r="654" spans="20:21" x14ac:dyDescent="0.25">
      <c r="T654" s="98"/>
      <c r="U654" s="99"/>
    </row>
    <row r="655" spans="20:21" x14ac:dyDescent="0.25">
      <c r="T655" s="98"/>
      <c r="U655" s="99"/>
    </row>
    <row r="656" spans="20:21" x14ac:dyDescent="0.25">
      <c r="T656" s="98"/>
      <c r="U656" s="99"/>
    </row>
    <row r="657" spans="20:21" x14ac:dyDescent="0.25">
      <c r="T657" s="98"/>
      <c r="U657" s="99"/>
    </row>
    <row r="658" spans="20:21" x14ac:dyDescent="0.25">
      <c r="T658" s="98"/>
      <c r="U658" s="99"/>
    </row>
    <row r="659" spans="20:21" x14ac:dyDescent="0.25">
      <c r="T659" s="98"/>
      <c r="U659" s="99"/>
    </row>
    <row r="660" spans="20:21" x14ac:dyDescent="0.25">
      <c r="T660" s="98"/>
      <c r="U660" s="99"/>
    </row>
    <row r="661" spans="20:21" x14ac:dyDescent="0.25">
      <c r="T661" s="98"/>
      <c r="U661" s="99"/>
    </row>
    <row r="662" spans="20:21" x14ac:dyDescent="0.25">
      <c r="T662" s="98"/>
      <c r="U662" s="99"/>
    </row>
    <row r="663" spans="20:21" x14ac:dyDescent="0.25">
      <c r="T663" s="98"/>
      <c r="U663" s="99"/>
    </row>
    <row r="664" spans="20:21" x14ac:dyDescent="0.25">
      <c r="T664" s="98"/>
      <c r="U664" s="99"/>
    </row>
    <row r="665" spans="20:21" x14ac:dyDescent="0.25">
      <c r="T665" s="98"/>
      <c r="U665" s="99"/>
    </row>
    <row r="666" spans="20:21" x14ac:dyDescent="0.25">
      <c r="T666" s="98"/>
      <c r="U666" s="99"/>
    </row>
    <row r="667" spans="20:21" x14ac:dyDescent="0.25">
      <c r="T667" s="98"/>
      <c r="U667" s="99"/>
    </row>
    <row r="668" spans="20:21" x14ac:dyDescent="0.25">
      <c r="T668" s="98"/>
      <c r="U668" s="99"/>
    </row>
    <row r="669" spans="20:21" x14ac:dyDescent="0.25">
      <c r="T669" s="98"/>
      <c r="U669" s="99"/>
    </row>
    <row r="670" spans="20:21" x14ac:dyDescent="0.25">
      <c r="T670" s="98"/>
      <c r="U670" s="99"/>
    </row>
    <row r="671" spans="20:21" x14ac:dyDescent="0.25">
      <c r="T671" s="98"/>
      <c r="U671" s="99"/>
    </row>
    <row r="672" spans="20:21" x14ac:dyDescent="0.25">
      <c r="T672" s="98"/>
      <c r="U672" s="99"/>
    </row>
    <row r="673" spans="20:21" x14ac:dyDescent="0.25">
      <c r="T673" s="98"/>
      <c r="U673" s="99"/>
    </row>
    <row r="674" spans="20:21" x14ac:dyDescent="0.25">
      <c r="T674" s="98"/>
      <c r="U674" s="99"/>
    </row>
    <row r="675" spans="20:21" x14ac:dyDescent="0.25">
      <c r="T675" s="98"/>
      <c r="U675" s="99"/>
    </row>
    <row r="676" spans="20:21" x14ac:dyDescent="0.25">
      <c r="T676" s="98"/>
      <c r="U676" s="99"/>
    </row>
    <row r="677" spans="20:21" x14ac:dyDescent="0.25">
      <c r="T677" s="98"/>
      <c r="U677" s="99"/>
    </row>
    <row r="678" spans="20:21" x14ac:dyDescent="0.25">
      <c r="T678" s="98"/>
      <c r="U678" s="99"/>
    </row>
    <row r="679" spans="20:21" x14ac:dyDescent="0.25">
      <c r="T679" s="98"/>
      <c r="U679" s="99"/>
    </row>
    <row r="680" spans="20:21" x14ac:dyDescent="0.25">
      <c r="T680" s="98"/>
      <c r="U680" s="99"/>
    </row>
    <row r="681" spans="20:21" x14ac:dyDescent="0.25">
      <c r="T681" s="98"/>
      <c r="U681" s="99"/>
    </row>
    <row r="682" spans="20:21" x14ac:dyDescent="0.25">
      <c r="T682" s="98"/>
      <c r="U682" s="99"/>
    </row>
    <row r="683" spans="20:21" x14ac:dyDescent="0.25">
      <c r="T683" s="98"/>
      <c r="U683" s="99"/>
    </row>
    <row r="684" spans="20:21" x14ac:dyDescent="0.25">
      <c r="T684" s="98"/>
      <c r="U684" s="99"/>
    </row>
    <row r="685" spans="20:21" x14ac:dyDescent="0.25">
      <c r="T685" s="98"/>
      <c r="U685" s="99"/>
    </row>
    <row r="686" spans="20:21" x14ac:dyDescent="0.25">
      <c r="T686" s="98"/>
      <c r="U686" s="99"/>
    </row>
    <row r="687" spans="20:21" x14ac:dyDescent="0.25">
      <c r="T687" s="98"/>
      <c r="U687" s="99"/>
    </row>
    <row r="688" spans="20:21" x14ac:dyDescent="0.25">
      <c r="T688" s="98"/>
      <c r="U688" s="99"/>
    </row>
    <row r="689" spans="20:21" x14ac:dyDescent="0.25">
      <c r="T689" s="98"/>
      <c r="U689" s="99"/>
    </row>
    <row r="690" spans="20:21" x14ac:dyDescent="0.25">
      <c r="T690" s="98"/>
      <c r="U690" s="99"/>
    </row>
    <row r="691" spans="20:21" x14ac:dyDescent="0.25">
      <c r="T691" s="98"/>
      <c r="U691" s="99"/>
    </row>
    <row r="692" spans="20:21" x14ac:dyDescent="0.25">
      <c r="T692" s="98"/>
      <c r="U692" s="99"/>
    </row>
    <row r="693" spans="20:21" x14ac:dyDescent="0.25">
      <c r="T693" s="98"/>
      <c r="U693" s="99"/>
    </row>
    <row r="694" spans="20:21" x14ac:dyDescent="0.25">
      <c r="T694" s="98"/>
      <c r="U694" s="99"/>
    </row>
    <row r="695" spans="20:21" x14ac:dyDescent="0.25">
      <c r="T695" s="98"/>
      <c r="U695" s="99"/>
    </row>
    <row r="696" spans="20:21" x14ac:dyDescent="0.25">
      <c r="T696" s="98"/>
      <c r="U696" s="99"/>
    </row>
    <row r="697" spans="20:21" x14ac:dyDescent="0.25">
      <c r="T697" s="98"/>
      <c r="U697" s="99"/>
    </row>
    <row r="698" spans="20:21" x14ac:dyDescent="0.25">
      <c r="T698" s="98"/>
      <c r="U698" s="99"/>
    </row>
    <row r="699" spans="20:21" x14ac:dyDescent="0.25">
      <c r="T699" s="98"/>
      <c r="U699" s="99"/>
    </row>
    <row r="700" spans="20:21" x14ac:dyDescent="0.25">
      <c r="T700" s="98"/>
      <c r="U700" s="99"/>
    </row>
    <row r="701" spans="20:21" x14ac:dyDescent="0.25">
      <c r="T701" s="98"/>
      <c r="U701" s="99"/>
    </row>
    <row r="702" spans="20:21" x14ac:dyDescent="0.25">
      <c r="T702" s="98"/>
      <c r="U702" s="99"/>
    </row>
    <row r="703" spans="20:21" x14ac:dyDescent="0.25">
      <c r="T703" s="98"/>
      <c r="U703" s="99"/>
    </row>
    <row r="704" spans="20:21" x14ac:dyDescent="0.25">
      <c r="T704" s="98"/>
      <c r="U704" s="99"/>
    </row>
    <row r="705" spans="20:21" x14ac:dyDescent="0.25">
      <c r="T705" s="98"/>
      <c r="U705" s="99"/>
    </row>
    <row r="706" spans="20:21" x14ac:dyDescent="0.25">
      <c r="T706" s="98"/>
      <c r="U706" s="99"/>
    </row>
    <row r="707" spans="20:21" x14ac:dyDescent="0.25">
      <c r="T707" s="98"/>
      <c r="U707" s="99"/>
    </row>
    <row r="708" spans="20:21" x14ac:dyDescent="0.25">
      <c r="T708" s="98"/>
      <c r="U708" s="99"/>
    </row>
    <row r="709" spans="20:21" x14ac:dyDescent="0.25">
      <c r="T709" s="98"/>
      <c r="U709" s="99"/>
    </row>
    <row r="710" spans="20:21" x14ac:dyDescent="0.25">
      <c r="T710" s="98"/>
      <c r="U710" s="99"/>
    </row>
    <row r="711" spans="20:21" x14ac:dyDescent="0.25">
      <c r="T711" s="98"/>
      <c r="U711" s="99"/>
    </row>
    <row r="712" spans="20:21" x14ac:dyDescent="0.25">
      <c r="T712" s="98"/>
      <c r="U712" s="99"/>
    </row>
    <row r="713" spans="20:21" x14ac:dyDescent="0.25">
      <c r="T713" s="98"/>
      <c r="U713" s="99"/>
    </row>
    <row r="714" spans="20:21" x14ac:dyDescent="0.25">
      <c r="T714" s="98"/>
      <c r="U714" s="99"/>
    </row>
    <row r="715" spans="20:21" x14ac:dyDescent="0.25">
      <c r="T715" s="98"/>
      <c r="U715" s="99"/>
    </row>
    <row r="716" spans="20:21" x14ac:dyDescent="0.25">
      <c r="T716" s="98"/>
      <c r="U716" s="99"/>
    </row>
    <row r="717" spans="20:21" x14ac:dyDescent="0.25">
      <c r="T717" s="98"/>
      <c r="U717" s="99"/>
    </row>
    <row r="718" spans="20:21" x14ac:dyDescent="0.25">
      <c r="T718" s="98"/>
      <c r="U718" s="99"/>
    </row>
    <row r="719" spans="20:21" x14ac:dyDescent="0.25">
      <c r="T719" s="98"/>
      <c r="U719" s="99"/>
    </row>
    <row r="720" spans="20:21" x14ac:dyDescent="0.25">
      <c r="T720" s="98"/>
      <c r="U720" s="99"/>
    </row>
    <row r="721" spans="20:21" x14ac:dyDescent="0.25">
      <c r="T721" s="98"/>
      <c r="U721" s="99"/>
    </row>
    <row r="722" spans="20:21" x14ac:dyDescent="0.25">
      <c r="T722" s="98"/>
      <c r="U722" s="99"/>
    </row>
    <row r="723" spans="20:21" x14ac:dyDescent="0.25">
      <c r="T723" s="98"/>
      <c r="U723" s="99"/>
    </row>
    <row r="724" spans="20:21" x14ac:dyDescent="0.25">
      <c r="T724" s="98"/>
      <c r="U724" s="99"/>
    </row>
    <row r="725" spans="20:21" x14ac:dyDescent="0.25">
      <c r="T725" s="98"/>
      <c r="U725" s="99"/>
    </row>
    <row r="726" spans="20:21" x14ac:dyDescent="0.25">
      <c r="T726" s="98"/>
      <c r="U726" s="99"/>
    </row>
    <row r="727" spans="20:21" x14ac:dyDescent="0.25">
      <c r="T727" s="98"/>
      <c r="U727" s="99"/>
    </row>
    <row r="728" spans="20:21" x14ac:dyDescent="0.25">
      <c r="T728" s="98"/>
      <c r="U728" s="99"/>
    </row>
    <row r="729" spans="20:21" x14ac:dyDescent="0.25">
      <c r="T729" s="98"/>
      <c r="U729" s="99"/>
    </row>
    <row r="730" spans="20:21" x14ac:dyDescent="0.25">
      <c r="T730" s="98"/>
      <c r="U730" s="99"/>
    </row>
    <row r="731" spans="20:21" x14ac:dyDescent="0.25">
      <c r="T731" s="98"/>
      <c r="U731" s="99"/>
    </row>
    <row r="732" spans="20:21" x14ac:dyDescent="0.25">
      <c r="T732" s="98"/>
      <c r="U732" s="99"/>
    </row>
    <row r="733" spans="20:21" x14ac:dyDescent="0.25">
      <c r="T733" s="98"/>
      <c r="U733" s="99"/>
    </row>
    <row r="734" spans="20:21" x14ac:dyDescent="0.25">
      <c r="T734" s="98"/>
      <c r="U734" s="99"/>
    </row>
    <row r="735" spans="20:21" x14ac:dyDescent="0.25">
      <c r="T735" s="98"/>
      <c r="U735" s="99"/>
    </row>
    <row r="736" spans="20:21" x14ac:dyDescent="0.25">
      <c r="T736" s="98"/>
      <c r="U736" s="99"/>
    </row>
    <row r="737" spans="20:21" x14ac:dyDescent="0.25">
      <c r="T737" s="98"/>
      <c r="U737" s="99"/>
    </row>
    <row r="738" spans="20:21" x14ac:dyDescent="0.25">
      <c r="T738" s="98"/>
      <c r="U738" s="99"/>
    </row>
    <row r="739" spans="20:21" x14ac:dyDescent="0.25">
      <c r="T739" s="98"/>
      <c r="U739" s="99"/>
    </row>
    <row r="740" spans="20:21" x14ac:dyDescent="0.25">
      <c r="T740" s="98"/>
      <c r="U740" s="99"/>
    </row>
    <row r="741" spans="20:21" x14ac:dyDescent="0.25">
      <c r="T741" s="98"/>
      <c r="U741" s="99"/>
    </row>
    <row r="742" spans="20:21" x14ac:dyDescent="0.25">
      <c r="T742" s="98"/>
      <c r="U742" s="99"/>
    </row>
    <row r="743" spans="20:21" x14ac:dyDescent="0.25">
      <c r="T743" s="98"/>
      <c r="U743" s="99"/>
    </row>
    <row r="744" spans="20:21" x14ac:dyDescent="0.25">
      <c r="T744" s="98"/>
      <c r="U744" s="99"/>
    </row>
    <row r="745" spans="20:21" x14ac:dyDescent="0.25">
      <c r="T745" s="98"/>
      <c r="U745" s="99"/>
    </row>
    <row r="746" spans="20:21" x14ac:dyDescent="0.25">
      <c r="T746" s="98"/>
      <c r="U746" s="99"/>
    </row>
    <row r="747" spans="20:21" x14ac:dyDescent="0.25">
      <c r="T747" s="98"/>
      <c r="U747" s="99"/>
    </row>
    <row r="748" spans="20:21" x14ac:dyDescent="0.25">
      <c r="T748" s="98"/>
      <c r="U748" s="99"/>
    </row>
    <row r="749" spans="20:21" x14ac:dyDescent="0.25">
      <c r="T749" s="98"/>
      <c r="U749" s="99"/>
    </row>
    <row r="750" spans="20:21" x14ac:dyDescent="0.25">
      <c r="T750" s="98"/>
      <c r="U750" s="99"/>
    </row>
    <row r="751" spans="20:21" x14ac:dyDescent="0.25">
      <c r="T751" s="98"/>
      <c r="U751" s="99"/>
    </row>
    <row r="752" spans="20:21" x14ac:dyDescent="0.25">
      <c r="T752" s="98"/>
      <c r="U752" s="99"/>
    </row>
    <row r="753" spans="20:21" x14ac:dyDescent="0.25">
      <c r="T753" s="98"/>
      <c r="U753" s="99"/>
    </row>
    <row r="754" spans="20:21" x14ac:dyDescent="0.25">
      <c r="T754" s="98"/>
      <c r="U754" s="99"/>
    </row>
    <row r="755" spans="20:21" x14ac:dyDescent="0.25">
      <c r="T755" s="98"/>
      <c r="U755" s="99"/>
    </row>
    <row r="756" spans="20:21" x14ac:dyDescent="0.25">
      <c r="T756" s="98"/>
      <c r="U756" s="99"/>
    </row>
    <row r="757" spans="20:21" x14ac:dyDescent="0.25">
      <c r="T757" s="98"/>
      <c r="U757" s="99"/>
    </row>
    <row r="758" spans="20:21" x14ac:dyDescent="0.25">
      <c r="T758" s="98"/>
      <c r="U758" s="99"/>
    </row>
    <row r="759" spans="20:21" x14ac:dyDescent="0.25">
      <c r="T759" s="98"/>
      <c r="U759" s="99"/>
    </row>
    <row r="760" spans="20:21" x14ac:dyDescent="0.25">
      <c r="T760" s="98"/>
      <c r="U760" s="99"/>
    </row>
    <row r="761" spans="20:21" x14ac:dyDescent="0.25">
      <c r="T761" s="98"/>
      <c r="U761" s="99"/>
    </row>
    <row r="762" spans="20:21" x14ac:dyDescent="0.25">
      <c r="T762" s="98"/>
      <c r="U762" s="99"/>
    </row>
    <row r="763" spans="20:21" x14ac:dyDescent="0.25">
      <c r="T763" s="98"/>
      <c r="U763" s="99"/>
    </row>
    <row r="764" spans="20:21" x14ac:dyDescent="0.25">
      <c r="T764" s="98"/>
      <c r="U764" s="99"/>
    </row>
    <row r="765" spans="20:21" x14ac:dyDescent="0.25">
      <c r="T765" s="98"/>
      <c r="U765" s="99"/>
    </row>
    <row r="766" spans="20:21" x14ac:dyDescent="0.25">
      <c r="T766" s="98"/>
      <c r="U766" s="99"/>
    </row>
    <row r="767" spans="20:21" x14ac:dyDescent="0.25">
      <c r="T767" s="98"/>
      <c r="U767" s="99"/>
    </row>
    <row r="768" spans="20:21" x14ac:dyDescent="0.25">
      <c r="T768" s="98"/>
      <c r="U768" s="99"/>
    </row>
    <row r="769" spans="20:21" x14ac:dyDescent="0.25">
      <c r="T769" s="98"/>
      <c r="U769" s="99"/>
    </row>
    <row r="770" spans="20:21" x14ac:dyDescent="0.25">
      <c r="T770" s="98"/>
      <c r="U770" s="99"/>
    </row>
    <row r="771" spans="20:21" x14ac:dyDescent="0.25">
      <c r="T771" s="98"/>
      <c r="U771" s="99"/>
    </row>
    <row r="772" spans="20:21" x14ac:dyDescent="0.25">
      <c r="T772" s="98"/>
      <c r="U772" s="99"/>
    </row>
    <row r="773" spans="20:21" x14ac:dyDescent="0.25">
      <c r="T773" s="98"/>
      <c r="U773" s="99"/>
    </row>
    <row r="774" spans="20:21" x14ac:dyDescent="0.25">
      <c r="T774" s="98"/>
      <c r="U774" s="99"/>
    </row>
    <row r="775" spans="20:21" x14ac:dyDescent="0.25">
      <c r="T775" s="98"/>
      <c r="U775" s="99"/>
    </row>
    <row r="776" spans="20:21" x14ac:dyDescent="0.25">
      <c r="T776" s="98"/>
      <c r="U776" s="99"/>
    </row>
    <row r="777" spans="20:21" x14ac:dyDescent="0.25">
      <c r="T777" s="98"/>
      <c r="U777" s="99"/>
    </row>
    <row r="778" spans="20:21" x14ac:dyDescent="0.25">
      <c r="T778" s="98"/>
      <c r="U778" s="99"/>
    </row>
    <row r="779" spans="20:21" x14ac:dyDescent="0.25">
      <c r="T779" s="98"/>
      <c r="U779" s="99"/>
    </row>
    <row r="780" spans="20:21" x14ac:dyDescent="0.25">
      <c r="T780" s="98"/>
      <c r="U780" s="99"/>
    </row>
    <row r="781" spans="20:21" x14ac:dyDescent="0.25">
      <c r="T781" s="98"/>
      <c r="U781" s="99"/>
    </row>
    <row r="782" spans="20:21" x14ac:dyDescent="0.25">
      <c r="T782" s="98"/>
      <c r="U782" s="99"/>
    </row>
    <row r="783" spans="20:21" x14ac:dyDescent="0.25">
      <c r="T783" s="98"/>
      <c r="U783" s="99"/>
    </row>
    <row r="784" spans="20:21" x14ac:dyDescent="0.25">
      <c r="T784" s="98"/>
      <c r="U784" s="99"/>
    </row>
    <row r="785" spans="20:21" x14ac:dyDescent="0.25">
      <c r="T785" s="98"/>
      <c r="U785" s="99"/>
    </row>
    <row r="786" spans="20:21" x14ac:dyDescent="0.25">
      <c r="T786" s="98"/>
      <c r="U786" s="99"/>
    </row>
    <row r="787" spans="20:21" x14ac:dyDescent="0.25">
      <c r="T787" s="98"/>
      <c r="U787" s="99"/>
    </row>
    <row r="788" spans="20:21" x14ac:dyDescent="0.25">
      <c r="T788" s="98"/>
      <c r="U788" s="99"/>
    </row>
    <row r="789" spans="20:21" x14ac:dyDescent="0.25">
      <c r="T789" s="98"/>
      <c r="U789" s="99"/>
    </row>
    <row r="790" spans="20:21" x14ac:dyDescent="0.25">
      <c r="T790" s="98"/>
      <c r="U790" s="99"/>
    </row>
    <row r="791" spans="20:21" x14ac:dyDescent="0.25">
      <c r="T791" s="98"/>
      <c r="U791" s="99"/>
    </row>
    <row r="792" spans="20:21" x14ac:dyDescent="0.25">
      <c r="T792" s="98"/>
      <c r="U792" s="99"/>
    </row>
    <row r="793" spans="20:21" x14ac:dyDescent="0.25">
      <c r="T793" s="98"/>
      <c r="U793" s="99"/>
    </row>
    <row r="794" spans="20:21" x14ac:dyDescent="0.25">
      <c r="T794" s="98"/>
      <c r="U794" s="99"/>
    </row>
    <row r="795" spans="20:21" x14ac:dyDescent="0.25">
      <c r="T795" s="98"/>
      <c r="U795" s="99"/>
    </row>
    <row r="796" spans="20:21" x14ac:dyDescent="0.25">
      <c r="T796" s="98"/>
      <c r="U796" s="99"/>
    </row>
    <row r="797" spans="20:21" x14ac:dyDescent="0.25">
      <c r="T797" s="98"/>
      <c r="U797" s="99"/>
    </row>
    <row r="798" spans="20:21" x14ac:dyDescent="0.25">
      <c r="T798" s="98"/>
      <c r="U798" s="99"/>
    </row>
    <row r="799" spans="20:21" x14ac:dyDescent="0.25">
      <c r="T799" s="98"/>
      <c r="U799" s="99"/>
    </row>
    <row r="800" spans="20:21" x14ac:dyDescent="0.25">
      <c r="T800" s="98"/>
      <c r="U800" s="99"/>
    </row>
    <row r="801" spans="20:21" x14ac:dyDescent="0.25">
      <c r="T801" s="98"/>
      <c r="U801" s="99"/>
    </row>
    <row r="802" spans="20:21" x14ac:dyDescent="0.25">
      <c r="T802" s="98"/>
      <c r="U802" s="99"/>
    </row>
    <row r="803" spans="20:21" x14ac:dyDescent="0.25">
      <c r="T803" s="98"/>
      <c r="U803" s="99"/>
    </row>
    <row r="804" spans="20:21" x14ac:dyDescent="0.25">
      <c r="T804" s="98"/>
      <c r="U804" s="99"/>
    </row>
    <row r="805" spans="20:21" x14ac:dyDescent="0.25">
      <c r="T805" s="98"/>
      <c r="U805" s="99"/>
    </row>
    <row r="806" spans="20:21" x14ac:dyDescent="0.25">
      <c r="T806" s="98"/>
      <c r="U806" s="99"/>
    </row>
    <row r="807" spans="20:21" x14ac:dyDescent="0.25">
      <c r="T807" s="98"/>
      <c r="U807" s="99"/>
    </row>
    <row r="808" spans="20:21" x14ac:dyDescent="0.25">
      <c r="T808" s="98"/>
      <c r="U808" s="99"/>
    </row>
    <row r="809" spans="20:21" x14ac:dyDescent="0.25">
      <c r="T809" s="98"/>
      <c r="U809" s="99"/>
    </row>
    <row r="810" spans="20:21" x14ac:dyDescent="0.25">
      <c r="T810" s="98"/>
      <c r="U810" s="99"/>
    </row>
    <row r="811" spans="20:21" x14ac:dyDescent="0.25">
      <c r="T811" s="98"/>
      <c r="U811" s="99"/>
    </row>
    <row r="812" spans="20:21" x14ac:dyDescent="0.25">
      <c r="T812" s="98"/>
      <c r="U812" s="99"/>
    </row>
    <row r="813" spans="20:21" x14ac:dyDescent="0.25">
      <c r="T813" s="98"/>
      <c r="U813" s="99"/>
    </row>
    <row r="814" spans="20:21" x14ac:dyDescent="0.25">
      <c r="T814" s="98"/>
      <c r="U814" s="99"/>
    </row>
    <row r="815" spans="20:21" x14ac:dyDescent="0.25">
      <c r="T815" s="98"/>
      <c r="U815" s="99"/>
    </row>
    <row r="816" spans="20:21" x14ac:dyDescent="0.25">
      <c r="T816" s="98"/>
      <c r="U816" s="99"/>
    </row>
    <row r="817" spans="20:21" x14ac:dyDescent="0.25">
      <c r="T817" s="98"/>
      <c r="U817" s="99"/>
    </row>
    <row r="818" spans="20:21" x14ac:dyDescent="0.25">
      <c r="T818" s="98"/>
      <c r="U818" s="99"/>
    </row>
    <row r="819" spans="20:21" x14ac:dyDescent="0.25">
      <c r="T819" s="98"/>
      <c r="U819" s="99"/>
    </row>
    <row r="820" spans="20:21" x14ac:dyDescent="0.25">
      <c r="T820" s="98"/>
      <c r="U820" s="99"/>
    </row>
    <row r="821" spans="20:21" x14ac:dyDescent="0.25">
      <c r="T821" s="98"/>
      <c r="U821" s="99"/>
    </row>
    <row r="822" spans="20:21" x14ac:dyDescent="0.25">
      <c r="T822" s="98"/>
      <c r="U822" s="99"/>
    </row>
    <row r="823" spans="20:21" x14ac:dyDescent="0.25">
      <c r="T823" s="98"/>
      <c r="U823" s="99"/>
    </row>
    <row r="824" spans="20:21" x14ac:dyDescent="0.25">
      <c r="T824" s="98"/>
      <c r="U824" s="99"/>
    </row>
    <row r="825" spans="20:21" x14ac:dyDescent="0.25">
      <c r="T825" s="98"/>
      <c r="U825" s="99"/>
    </row>
    <row r="826" spans="20:21" x14ac:dyDescent="0.25">
      <c r="T826" s="98"/>
      <c r="U826" s="99"/>
    </row>
    <row r="827" spans="20:21" x14ac:dyDescent="0.25">
      <c r="T827" s="98"/>
      <c r="U827" s="99"/>
    </row>
    <row r="828" spans="20:21" x14ac:dyDescent="0.25">
      <c r="T828" s="98"/>
      <c r="U828" s="99"/>
    </row>
    <row r="829" spans="20:21" x14ac:dyDescent="0.25">
      <c r="T829" s="98"/>
      <c r="U829" s="99"/>
    </row>
    <row r="830" spans="20:21" x14ac:dyDescent="0.25">
      <c r="T830" s="98"/>
      <c r="U830" s="99"/>
    </row>
    <row r="831" spans="20:21" x14ac:dyDescent="0.25">
      <c r="T831" s="98"/>
      <c r="U831" s="99"/>
    </row>
    <row r="832" spans="20:21" x14ac:dyDescent="0.25">
      <c r="T832" s="98"/>
      <c r="U832" s="99"/>
    </row>
    <row r="833" spans="20:21" x14ac:dyDescent="0.25">
      <c r="T833" s="98"/>
      <c r="U833" s="99"/>
    </row>
    <row r="834" spans="20:21" x14ac:dyDescent="0.25">
      <c r="T834" s="98"/>
      <c r="U834" s="99"/>
    </row>
    <row r="835" spans="20:21" x14ac:dyDescent="0.25">
      <c r="T835" s="98"/>
      <c r="U835" s="99"/>
    </row>
    <row r="836" spans="20:21" x14ac:dyDescent="0.25">
      <c r="T836" s="98"/>
      <c r="U836" s="99"/>
    </row>
    <row r="837" spans="20:21" x14ac:dyDescent="0.25">
      <c r="T837" s="98"/>
      <c r="U837" s="99"/>
    </row>
    <row r="838" spans="20:21" x14ac:dyDescent="0.25">
      <c r="T838" s="98"/>
      <c r="U838" s="99"/>
    </row>
    <row r="839" spans="20:21" x14ac:dyDescent="0.25">
      <c r="T839" s="98"/>
      <c r="U839" s="99"/>
    </row>
    <row r="840" spans="20:21" x14ac:dyDescent="0.25">
      <c r="T840" s="98"/>
      <c r="U840" s="99"/>
    </row>
    <row r="841" spans="20:21" x14ac:dyDescent="0.25">
      <c r="T841" s="98"/>
      <c r="U841" s="99"/>
    </row>
    <row r="842" spans="20:21" x14ac:dyDescent="0.25">
      <c r="T842" s="98"/>
      <c r="U842" s="99"/>
    </row>
    <row r="843" spans="20:21" x14ac:dyDescent="0.25">
      <c r="T843" s="98"/>
      <c r="U843" s="99"/>
    </row>
    <row r="844" spans="20:21" x14ac:dyDescent="0.25">
      <c r="T844" s="98"/>
      <c r="U844" s="99"/>
    </row>
    <row r="845" spans="20:21" x14ac:dyDescent="0.25">
      <c r="T845" s="98"/>
      <c r="U845" s="99"/>
    </row>
    <row r="846" spans="20:21" x14ac:dyDescent="0.25">
      <c r="T846" s="98"/>
      <c r="U846" s="99"/>
    </row>
    <row r="847" spans="20:21" x14ac:dyDescent="0.25">
      <c r="T847" s="98"/>
      <c r="U847" s="99"/>
    </row>
    <row r="848" spans="20:21" x14ac:dyDescent="0.25">
      <c r="T848" s="98"/>
      <c r="U848" s="99"/>
    </row>
    <row r="849" spans="20:21" x14ac:dyDescent="0.25">
      <c r="T849" s="98"/>
      <c r="U849" s="99"/>
    </row>
    <row r="850" spans="20:21" x14ac:dyDescent="0.25">
      <c r="T850" s="98"/>
      <c r="U850" s="99"/>
    </row>
    <row r="851" spans="20:21" x14ac:dyDescent="0.25">
      <c r="T851" s="98"/>
      <c r="U851" s="99"/>
    </row>
    <row r="852" spans="20:21" x14ac:dyDescent="0.25">
      <c r="T852" s="98"/>
      <c r="U852" s="99"/>
    </row>
    <row r="853" spans="20:21" x14ac:dyDescent="0.25">
      <c r="T853" s="98"/>
      <c r="U853" s="99"/>
    </row>
    <row r="854" spans="20:21" x14ac:dyDescent="0.25">
      <c r="T854" s="98"/>
      <c r="U854" s="99"/>
    </row>
    <row r="855" spans="20:21" x14ac:dyDescent="0.25">
      <c r="T855" s="98"/>
      <c r="U855" s="99"/>
    </row>
    <row r="856" spans="20:21" x14ac:dyDescent="0.25">
      <c r="T856" s="98"/>
      <c r="U856" s="99"/>
    </row>
    <row r="857" spans="20:21" x14ac:dyDescent="0.25">
      <c r="T857" s="98"/>
      <c r="U857" s="99"/>
    </row>
    <row r="858" spans="20:21" x14ac:dyDescent="0.25">
      <c r="T858" s="98"/>
      <c r="U858" s="99"/>
    </row>
    <row r="859" spans="20:21" x14ac:dyDescent="0.25">
      <c r="T859" s="98"/>
      <c r="U859" s="99"/>
    </row>
    <row r="860" spans="20:21" x14ac:dyDescent="0.25">
      <c r="T860" s="98"/>
      <c r="U860" s="99"/>
    </row>
    <row r="861" spans="20:21" x14ac:dyDescent="0.25">
      <c r="T861" s="98"/>
      <c r="U861" s="99"/>
    </row>
    <row r="862" spans="20:21" x14ac:dyDescent="0.25">
      <c r="T862" s="98"/>
      <c r="U862" s="99"/>
    </row>
    <row r="863" spans="20:21" x14ac:dyDescent="0.25">
      <c r="T863" s="98"/>
      <c r="U863" s="99"/>
    </row>
    <row r="864" spans="20:21" x14ac:dyDescent="0.25">
      <c r="T864" s="98"/>
      <c r="U864" s="99"/>
    </row>
    <row r="865" spans="20:21" x14ac:dyDescent="0.25">
      <c r="T865" s="98"/>
      <c r="U865" s="99"/>
    </row>
    <row r="866" spans="20:21" x14ac:dyDescent="0.25">
      <c r="T866" s="98"/>
      <c r="U866" s="99"/>
    </row>
    <row r="867" spans="20:21" x14ac:dyDescent="0.25">
      <c r="T867" s="98"/>
      <c r="U867" s="99"/>
    </row>
    <row r="868" spans="20:21" x14ac:dyDescent="0.25">
      <c r="T868" s="98"/>
      <c r="U868" s="99"/>
    </row>
    <row r="869" spans="20:21" x14ac:dyDescent="0.25">
      <c r="T869" s="98"/>
      <c r="U869" s="99"/>
    </row>
    <row r="870" spans="20:21" x14ac:dyDescent="0.25">
      <c r="T870" s="98"/>
      <c r="U870" s="99"/>
    </row>
    <row r="871" spans="20:21" x14ac:dyDescent="0.25">
      <c r="T871" s="98"/>
      <c r="U871" s="99"/>
    </row>
    <row r="872" spans="20:21" x14ac:dyDescent="0.25">
      <c r="T872" s="98"/>
      <c r="U872" s="99"/>
    </row>
    <row r="873" spans="20:21" x14ac:dyDescent="0.25">
      <c r="T873" s="98"/>
      <c r="U873" s="99"/>
    </row>
    <row r="874" spans="20:21" x14ac:dyDescent="0.25">
      <c r="T874" s="98"/>
      <c r="U874" s="99"/>
    </row>
    <row r="875" spans="20:21" x14ac:dyDescent="0.25">
      <c r="T875" s="98"/>
      <c r="U875" s="99"/>
    </row>
    <row r="876" spans="20:21" x14ac:dyDescent="0.25">
      <c r="T876" s="98"/>
      <c r="U876" s="99"/>
    </row>
    <row r="877" spans="20:21" x14ac:dyDescent="0.25">
      <c r="T877" s="98"/>
      <c r="U877" s="99"/>
    </row>
    <row r="878" spans="20:21" x14ac:dyDescent="0.25">
      <c r="T878" s="98"/>
      <c r="U878" s="99"/>
    </row>
    <row r="879" spans="20:21" x14ac:dyDescent="0.25">
      <c r="T879" s="98"/>
      <c r="U879" s="99"/>
    </row>
    <row r="880" spans="20:21" x14ac:dyDescent="0.25">
      <c r="T880" s="98"/>
      <c r="U880" s="99"/>
    </row>
    <row r="881" spans="20:21" x14ac:dyDescent="0.25">
      <c r="T881" s="98"/>
      <c r="U881" s="99"/>
    </row>
    <row r="882" spans="20:21" x14ac:dyDescent="0.25">
      <c r="T882" s="98"/>
      <c r="U882" s="99"/>
    </row>
    <row r="883" spans="20:21" x14ac:dyDescent="0.25">
      <c r="T883" s="98"/>
      <c r="U883" s="99"/>
    </row>
    <row r="884" spans="20:21" x14ac:dyDescent="0.25">
      <c r="T884" s="98"/>
      <c r="U884" s="99"/>
    </row>
    <row r="885" spans="20:21" x14ac:dyDescent="0.25">
      <c r="T885" s="98"/>
      <c r="U885" s="99"/>
    </row>
    <row r="886" spans="20:21" x14ac:dyDescent="0.25">
      <c r="T886" s="98"/>
      <c r="U886" s="99"/>
    </row>
    <row r="887" spans="20:21" x14ac:dyDescent="0.25">
      <c r="T887" s="98"/>
      <c r="U887" s="99"/>
    </row>
    <row r="888" spans="20:21" x14ac:dyDescent="0.25">
      <c r="T888" s="98"/>
      <c r="U888" s="99"/>
    </row>
    <row r="889" spans="20:21" x14ac:dyDescent="0.25">
      <c r="T889" s="98"/>
      <c r="U889" s="99"/>
    </row>
    <row r="890" spans="20:21" x14ac:dyDescent="0.25">
      <c r="T890" s="98"/>
      <c r="U890" s="99"/>
    </row>
    <row r="891" spans="20:21" x14ac:dyDescent="0.25">
      <c r="T891" s="98"/>
      <c r="U891" s="99"/>
    </row>
    <row r="892" spans="20:21" x14ac:dyDescent="0.25">
      <c r="T892" s="98"/>
      <c r="U892" s="99"/>
    </row>
    <row r="893" spans="20:21" x14ac:dyDescent="0.25">
      <c r="T893" s="98"/>
      <c r="U893" s="99"/>
    </row>
    <row r="894" spans="20:21" x14ac:dyDescent="0.25">
      <c r="T894" s="98"/>
      <c r="U894" s="99"/>
    </row>
    <row r="895" spans="20:21" x14ac:dyDescent="0.25">
      <c r="T895" s="98"/>
      <c r="U895" s="99"/>
    </row>
    <row r="896" spans="20:21" x14ac:dyDescent="0.25">
      <c r="T896" s="98"/>
      <c r="U896" s="99"/>
    </row>
    <row r="897" spans="20:21" x14ac:dyDescent="0.25">
      <c r="T897" s="98"/>
      <c r="U897" s="99"/>
    </row>
    <row r="898" spans="20:21" x14ac:dyDescent="0.25">
      <c r="T898" s="98"/>
      <c r="U898" s="99"/>
    </row>
    <row r="899" spans="20:21" x14ac:dyDescent="0.25">
      <c r="T899" s="98"/>
      <c r="U899" s="99"/>
    </row>
    <row r="900" spans="20:21" x14ac:dyDescent="0.25">
      <c r="T900" s="98"/>
      <c r="U900" s="99"/>
    </row>
    <row r="901" spans="20:21" x14ac:dyDescent="0.25">
      <c r="T901" s="98"/>
      <c r="U901" s="99"/>
    </row>
    <row r="902" spans="20:21" x14ac:dyDescent="0.25">
      <c r="T902" s="98"/>
      <c r="U902" s="99"/>
    </row>
    <row r="903" spans="20:21" x14ac:dyDescent="0.25">
      <c r="T903" s="98"/>
      <c r="U903" s="99"/>
    </row>
    <row r="904" spans="20:21" x14ac:dyDescent="0.25">
      <c r="T904" s="98"/>
      <c r="U904" s="99"/>
    </row>
    <row r="905" spans="20:21" x14ac:dyDescent="0.25">
      <c r="T905" s="98"/>
      <c r="U905" s="99"/>
    </row>
    <row r="906" spans="20:21" x14ac:dyDescent="0.25">
      <c r="T906" s="98"/>
      <c r="U906" s="99"/>
    </row>
    <row r="907" spans="20:21" x14ac:dyDescent="0.25">
      <c r="T907" s="98"/>
      <c r="U907" s="99"/>
    </row>
    <row r="908" spans="20:21" x14ac:dyDescent="0.25">
      <c r="T908" s="98"/>
      <c r="U908" s="99"/>
    </row>
    <row r="909" spans="20:21" x14ac:dyDescent="0.25">
      <c r="T909" s="98"/>
      <c r="U909" s="99"/>
    </row>
    <row r="910" spans="20:21" x14ac:dyDescent="0.25">
      <c r="T910" s="98"/>
      <c r="U910" s="99"/>
    </row>
    <row r="911" spans="20:21" x14ac:dyDescent="0.25">
      <c r="T911" s="98"/>
      <c r="U911" s="99"/>
    </row>
    <row r="912" spans="20:21" x14ac:dyDescent="0.25">
      <c r="T912" s="98"/>
      <c r="U912" s="99"/>
    </row>
    <row r="913" spans="20:21" x14ac:dyDescent="0.25">
      <c r="T913" s="98"/>
      <c r="U913" s="99"/>
    </row>
    <row r="914" spans="20:21" x14ac:dyDescent="0.25">
      <c r="T914" s="98"/>
      <c r="U914" s="99"/>
    </row>
    <row r="915" spans="20:21" x14ac:dyDescent="0.25">
      <c r="T915" s="98"/>
      <c r="U915" s="99"/>
    </row>
    <row r="916" spans="20:21" x14ac:dyDescent="0.25">
      <c r="T916" s="98"/>
      <c r="U916" s="99"/>
    </row>
    <row r="917" spans="20:21" x14ac:dyDescent="0.25">
      <c r="T917" s="98"/>
      <c r="U917" s="99"/>
    </row>
    <row r="918" spans="20:21" x14ac:dyDescent="0.25">
      <c r="T918" s="98"/>
      <c r="U918" s="99"/>
    </row>
    <row r="919" spans="20:21" x14ac:dyDescent="0.25">
      <c r="T919" s="98"/>
      <c r="U919" s="99"/>
    </row>
    <row r="920" spans="20:21" x14ac:dyDescent="0.25">
      <c r="T920" s="98"/>
      <c r="U920" s="99"/>
    </row>
    <row r="921" spans="20:21" x14ac:dyDescent="0.25">
      <c r="T921" s="98"/>
      <c r="U921" s="99"/>
    </row>
    <row r="922" spans="20:21" x14ac:dyDescent="0.25">
      <c r="T922" s="98"/>
      <c r="U922" s="99"/>
    </row>
    <row r="923" spans="20:21" x14ac:dyDescent="0.25">
      <c r="T923" s="98"/>
      <c r="U923" s="99"/>
    </row>
    <row r="924" spans="20:21" x14ac:dyDescent="0.25">
      <c r="T924" s="98"/>
      <c r="U924" s="99"/>
    </row>
    <row r="925" spans="20:21" x14ac:dyDescent="0.25">
      <c r="T925" s="98"/>
      <c r="U925" s="99"/>
    </row>
    <row r="926" spans="20:21" x14ac:dyDescent="0.25">
      <c r="T926" s="98"/>
      <c r="U926" s="99"/>
    </row>
    <row r="927" spans="20:21" x14ac:dyDescent="0.25">
      <c r="T927" s="98"/>
      <c r="U927" s="99"/>
    </row>
    <row r="928" spans="20:21" x14ac:dyDescent="0.25">
      <c r="T928" s="98"/>
      <c r="U928" s="99"/>
    </row>
    <row r="929" spans="20:21" x14ac:dyDescent="0.25">
      <c r="T929" s="98"/>
      <c r="U929" s="99"/>
    </row>
    <row r="930" spans="20:21" x14ac:dyDescent="0.25">
      <c r="T930" s="98"/>
      <c r="U930" s="99"/>
    </row>
    <row r="931" spans="20:21" x14ac:dyDescent="0.25">
      <c r="T931" s="98"/>
      <c r="U931" s="99"/>
    </row>
    <row r="932" spans="20:21" x14ac:dyDescent="0.25">
      <c r="T932" s="98"/>
      <c r="U932" s="99"/>
    </row>
    <row r="933" spans="20:21" x14ac:dyDescent="0.25">
      <c r="T933" s="98"/>
      <c r="U933" s="99"/>
    </row>
    <row r="934" spans="20:21" x14ac:dyDescent="0.25">
      <c r="T934" s="98"/>
      <c r="U934" s="99"/>
    </row>
    <row r="935" spans="20:21" x14ac:dyDescent="0.25">
      <c r="T935" s="98"/>
      <c r="U935" s="99"/>
    </row>
    <row r="936" spans="20:21" x14ac:dyDescent="0.25">
      <c r="T936" s="98"/>
      <c r="U936" s="99"/>
    </row>
    <row r="937" spans="20:21" x14ac:dyDescent="0.25">
      <c r="T937" s="98"/>
      <c r="U937" s="99"/>
    </row>
    <row r="938" spans="20:21" x14ac:dyDescent="0.25">
      <c r="T938" s="98"/>
      <c r="U938" s="99"/>
    </row>
    <row r="939" spans="20:21" x14ac:dyDescent="0.25">
      <c r="T939" s="98"/>
      <c r="U939" s="99"/>
    </row>
    <row r="940" spans="20:21" x14ac:dyDescent="0.25">
      <c r="T940" s="98"/>
      <c r="U940" s="99"/>
    </row>
    <row r="941" spans="20:21" x14ac:dyDescent="0.25">
      <c r="T941" s="98"/>
      <c r="U941" s="99"/>
    </row>
    <row r="942" spans="20:21" x14ac:dyDescent="0.25">
      <c r="T942" s="98"/>
      <c r="U942" s="99"/>
    </row>
    <row r="943" spans="20:21" x14ac:dyDescent="0.25">
      <c r="T943" s="98"/>
      <c r="U943" s="99"/>
    </row>
    <row r="944" spans="20:21" x14ac:dyDescent="0.25">
      <c r="T944" s="98"/>
      <c r="U944" s="99"/>
    </row>
    <row r="945" spans="20:21" x14ac:dyDescent="0.25">
      <c r="T945" s="98"/>
      <c r="U945" s="99"/>
    </row>
    <row r="946" spans="20:21" x14ac:dyDescent="0.25">
      <c r="T946" s="98"/>
      <c r="U946" s="99"/>
    </row>
    <row r="947" spans="20:21" x14ac:dyDescent="0.25">
      <c r="T947" s="98"/>
      <c r="U947" s="99"/>
    </row>
    <row r="948" spans="20:21" x14ac:dyDescent="0.25">
      <c r="T948" s="98"/>
      <c r="U948" s="99"/>
    </row>
    <row r="949" spans="20:21" x14ac:dyDescent="0.25">
      <c r="T949" s="98"/>
      <c r="U949" s="99"/>
    </row>
    <row r="950" spans="20:21" x14ac:dyDescent="0.25">
      <c r="T950" s="98"/>
      <c r="U950" s="99"/>
    </row>
    <row r="951" spans="20:21" x14ac:dyDescent="0.25">
      <c r="T951" s="98"/>
      <c r="U951" s="99"/>
    </row>
    <row r="952" spans="20:21" x14ac:dyDescent="0.25">
      <c r="T952" s="98"/>
      <c r="U952" s="99"/>
    </row>
    <row r="953" spans="20:21" x14ac:dyDescent="0.25">
      <c r="T953" s="98"/>
      <c r="U953" s="99"/>
    </row>
    <row r="954" spans="20:21" x14ac:dyDescent="0.25">
      <c r="T954" s="98"/>
      <c r="U954" s="99"/>
    </row>
    <row r="955" spans="20:21" x14ac:dyDescent="0.25">
      <c r="T955" s="98"/>
      <c r="U955" s="99"/>
    </row>
    <row r="956" spans="20:21" x14ac:dyDescent="0.25">
      <c r="T956" s="98"/>
      <c r="U956" s="99"/>
    </row>
    <row r="957" spans="20:21" x14ac:dyDescent="0.25">
      <c r="T957" s="98"/>
      <c r="U957" s="99"/>
    </row>
    <row r="958" spans="20:21" x14ac:dyDescent="0.25">
      <c r="T958" s="98"/>
      <c r="U958" s="99"/>
    </row>
    <row r="959" spans="20:21" x14ac:dyDescent="0.25">
      <c r="T959" s="98"/>
      <c r="U959" s="99"/>
    </row>
    <row r="960" spans="20:21" x14ac:dyDescent="0.25">
      <c r="T960" s="98"/>
      <c r="U960" s="99"/>
    </row>
    <row r="961" spans="20:21" x14ac:dyDescent="0.25">
      <c r="T961" s="98"/>
      <c r="U961" s="99"/>
    </row>
    <row r="962" spans="20:21" x14ac:dyDescent="0.25">
      <c r="T962" s="98"/>
      <c r="U962" s="99"/>
    </row>
    <row r="963" spans="20:21" x14ac:dyDescent="0.25">
      <c r="T963" s="98"/>
      <c r="U963" s="99"/>
    </row>
    <row r="964" spans="20:21" x14ac:dyDescent="0.25">
      <c r="T964" s="98"/>
      <c r="U964" s="99"/>
    </row>
    <row r="965" spans="20:21" x14ac:dyDescent="0.25">
      <c r="T965" s="98"/>
      <c r="U965" s="99"/>
    </row>
    <row r="966" spans="20:21" x14ac:dyDescent="0.25">
      <c r="T966" s="98"/>
      <c r="U966" s="99"/>
    </row>
    <row r="967" spans="20:21" x14ac:dyDescent="0.25">
      <c r="T967" s="98"/>
      <c r="U967" s="99"/>
    </row>
    <row r="968" spans="20:21" x14ac:dyDescent="0.25">
      <c r="T968" s="98"/>
      <c r="U968" s="99"/>
    </row>
    <row r="969" spans="20:21" x14ac:dyDescent="0.25">
      <c r="T969" s="98"/>
      <c r="U969" s="99"/>
    </row>
    <row r="970" spans="20:21" x14ac:dyDescent="0.25">
      <c r="T970" s="98"/>
      <c r="U970" s="99"/>
    </row>
    <row r="971" spans="20:21" x14ac:dyDescent="0.25">
      <c r="T971" s="98"/>
      <c r="U971" s="99"/>
    </row>
    <row r="972" spans="20:21" x14ac:dyDescent="0.25">
      <c r="T972" s="98"/>
      <c r="U972" s="99"/>
    </row>
    <row r="973" spans="20:21" x14ac:dyDescent="0.25">
      <c r="T973" s="98"/>
      <c r="U973" s="99"/>
    </row>
    <row r="974" spans="20:21" x14ac:dyDescent="0.25">
      <c r="T974" s="98"/>
      <c r="U974" s="99"/>
    </row>
    <row r="975" spans="20:21" x14ac:dyDescent="0.25">
      <c r="T975" s="98"/>
      <c r="U975" s="99"/>
    </row>
    <row r="976" spans="20:21" x14ac:dyDescent="0.25">
      <c r="T976" s="98"/>
      <c r="U976" s="99"/>
    </row>
    <row r="977" spans="20:21" x14ac:dyDescent="0.25">
      <c r="T977" s="98"/>
      <c r="U977" s="99"/>
    </row>
    <row r="978" spans="20:21" x14ac:dyDescent="0.25">
      <c r="T978" s="98"/>
      <c r="U978" s="99"/>
    </row>
    <row r="979" spans="20:21" x14ac:dyDescent="0.25">
      <c r="T979" s="98"/>
      <c r="U979" s="99"/>
    </row>
    <row r="980" spans="20:21" x14ac:dyDescent="0.25">
      <c r="T980" s="98"/>
      <c r="U980" s="99"/>
    </row>
    <row r="981" spans="20:21" x14ac:dyDescent="0.25">
      <c r="T981" s="98"/>
      <c r="U981" s="99"/>
    </row>
    <row r="982" spans="20:21" x14ac:dyDescent="0.25">
      <c r="T982" s="98"/>
      <c r="U982" s="99"/>
    </row>
    <row r="983" spans="20:21" x14ac:dyDescent="0.25">
      <c r="T983" s="98"/>
      <c r="U983" s="99"/>
    </row>
    <row r="984" spans="20:21" x14ac:dyDescent="0.25">
      <c r="T984" s="98"/>
      <c r="U984" s="99"/>
    </row>
    <row r="985" spans="20:21" x14ac:dyDescent="0.25">
      <c r="T985" s="98"/>
      <c r="U985" s="99"/>
    </row>
    <row r="986" spans="20:21" x14ac:dyDescent="0.25">
      <c r="T986" s="98"/>
      <c r="U986" s="99"/>
    </row>
    <row r="987" spans="20:21" x14ac:dyDescent="0.25">
      <c r="T987" s="98"/>
      <c r="U987" s="99"/>
    </row>
    <row r="988" spans="20:21" x14ac:dyDescent="0.25">
      <c r="T988" s="98"/>
      <c r="U988" s="99"/>
    </row>
    <row r="989" spans="20:21" x14ac:dyDescent="0.25">
      <c r="T989" s="98"/>
      <c r="U989" s="99"/>
    </row>
    <row r="990" spans="20:21" x14ac:dyDescent="0.25">
      <c r="T990" s="98"/>
      <c r="U990" s="99"/>
    </row>
    <row r="991" spans="20:21" x14ac:dyDescent="0.25">
      <c r="T991" s="98"/>
      <c r="U991" s="99"/>
    </row>
    <row r="992" spans="20:21" x14ac:dyDescent="0.25">
      <c r="T992" s="98"/>
      <c r="U992" s="99"/>
    </row>
    <row r="993" spans="20:21" x14ac:dyDescent="0.25">
      <c r="T993" s="98"/>
      <c r="U993" s="99"/>
    </row>
    <row r="994" spans="20:21" x14ac:dyDescent="0.25">
      <c r="T994" s="98"/>
      <c r="U994" s="99"/>
    </row>
    <row r="995" spans="20:21" x14ac:dyDescent="0.25">
      <c r="T995" s="98"/>
      <c r="U995" s="99"/>
    </row>
    <row r="996" spans="20:21" x14ac:dyDescent="0.25">
      <c r="T996" s="98"/>
      <c r="U996" s="99"/>
    </row>
    <row r="997" spans="20:21" x14ac:dyDescent="0.25">
      <c r="T997" s="98"/>
      <c r="U997" s="99"/>
    </row>
    <row r="998" spans="20:21" x14ac:dyDescent="0.25">
      <c r="T998" s="98"/>
      <c r="U998" s="99"/>
    </row>
    <row r="999" spans="20:21" x14ac:dyDescent="0.25">
      <c r="T999" s="98"/>
      <c r="U999" s="99"/>
    </row>
    <row r="1000" spans="20:21" x14ac:dyDescent="0.25">
      <c r="T1000" s="98"/>
      <c r="U1000" s="99"/>
    </row>
    <row r="1001" spans="20:21" x14ac:dyDescent="0.25">
      <c r="T1001" s="98"/>
      <c r="U1001" s="99"/>
    </row>
    <row r="1002" spans="20:21" x14ac:dyDescent="0.25">
      <c r="T1002" s="98"/>
      <c r="U1002" s="99"/>
    </row>
    <row r="1003" spans="20:21" x14ac:dyDescent="0.25">
      <c r="T1003" s="98"/>
      <c r="U1003" s="99"/>
    </row>
    <row r="1004" spans="20:21" x14ac:dyDescent="0.25">
      <c r="T1004" s="98"/>
      <c r="U1004" s="99"/>
    </row>
    <row r="1005" spans="20:21" x14ac:dyDescent="0.25">
      <c r="T1005" s="98"/>
      <c r="U1005" s="99"/>
    </row>
    <row r="1006" spans="20:21" x14ac:dyDescent="0.25">
      <c r="T1006" s="98"/>
      <c r="U1006" s="99"/>
    </row>
    <row r="1007" spans="20:21" x14ac:dyDescent="0.25">
      <c r="T1007" s="98"/>
      <c r="U1007" s="99"/>
    </row>
    <row r="1008" spans="20:21" x14ac:dyDescent="0.25">
      <c r="T1008" s="98"/>
      <c r="U1008" s="99"/>
    </row>
    <row r="1009" spans="20:21" x14ac:dyDescent="0.25">
      <c r="T1009" s="98"/>
      <c r="U1009" s="99"/>
    </row>
    <row r="1010" spans="20:21" x14ac:dyDescent="0.25">
      <c r="T1010" s="98"/>
      <c r="U1010" s="99"/>
    </row>
    <row r="1011" spans="20:21" x14ac:dyDescent="0.25">
      <c r="T1011" s="98"/>
      <c r="U1011" s="99"/>
    </row>
    <row r="1012" spans="20:21" x14ac:dyDescent="0.25">
      <c r="T1012" s="98"/>
      <c r="U1012" s="99"/>
    </row>
    <row r="1013" spans="20:21" x14ac:dyDescent="0.25">
      <c r="T1013" s="98"/>
      <c r="U1013" s="99"/>
    </row>
    <row r="1014" spans="20:21" x14ac:dyDescent="0.25">
      <c r="T1014" s="98"/>
      <c r="U1014" s="99"/>
    </row>
    <row r="1015" spans="20:21" x14ac:dyDescent="0.25">
      <c r="T1015" s="98"/>
      <c r="U1015" s="99"/>
    </row>
    <row r="1016" spans="20:21" x14ac:dyDescent="0.25">
      <c r="T1016" s="98"/>
      <c r="U1016" s="99"/>
    </row>
    <row r="1017" spans="20:21" x14ac:dyDescent="0.25">
      <c r="T1017" s="98"/>
      <c r="U1017" s="99"/>
    </row>
    <row r="1018" spans="20:21" x14ac:dyDescent="0.25">
      <c r="T1018" s="98"/>
      <c r="U1018" s="99"/>
    </row>
    <row r="1019" spans="20:21" x14ac:dyDescent="0.25">
      <c r="T1019" s="98"/>
      <c r="U1019" s="99"/>
    </row>
    <row r="1020" spans="20:21" x14ac:dyDescent="0.25">
      <c r="T1020" s="98"/>
      <c r="U1020" s="99"/>
    </row>
    <row r="1021" spans="20:21" x14ac:dyDescent="0.25">
      <c r="T1021" s="98"/>
      <c r="U1021" s="99"/>
    </row>
    <row r="1022" spans="20:21" x14ac:dyDescent="0.25">
      <c r="T1022" s="98"/>
      <c r="U1022" s="99"/>
    </row>
    <row r="1023" spans="20:21" x14ac:dyDescent="0.25">
      <c r="T1023" s="98"/>
      <c r="U1023" s="99"/>
    </row>
    <row r="1024" spans="20:21" x14ac:dyDescent="0.25">
      <c r="T1024" s="98"/>
      <c r="U1024" s="99"/>
    </row>
    <row r="1025" spans="20:21" x14ac:dyDescent="0.25">
      <c r="T1025" s="98"/>
      <c r="U1025" s="99"/>
    </row>
    <row r="1026" spans="20:21" x14ac:dyDescent="0.25">
      <c r="T1026" s="98"/>
      <c r="U1026" s="99"/>
    </row>
    <row r="1027" spans="20:21" x14ac:dyDescent="0.25">
      <c r="T1027" s="98"/>
      <c r="U1027" s="99"/>
    </row>
    <row r="1028" spans="20:21" x14ac:dyDescent="0.25">
      <c r="T1028" s="98"/>
      <c r="U1028" s="99"/>
    </row>
    <row r="1029" spans="20:21" x14ac:dyDescent="0.25">
      <c r="T1029" s="98"/>
      <c r="U1029" s="99"/>
    </row>
    <row r="1030" spans="20:21" x14ac:dyDescent="0.25">
      <c r="T1030" s="98"/>
      <c r="U1030" s="99"/>
    </row>
    <row r="1031" spans="20:21" x14ac:dyDescent="0.25">
      <c r="T1031" s="98"/>
      <c r="U1031" s="99"/>
    </row>
    <row r="1032" spans="20:21" x14ac:dyDescent="0.25">
      <c r="T1032" s="98"/>
      <c r="U1032" s="99"/>
    </row>
    <row r="1033" spans="20:21" x14ac:dyDescent="0.25">
      <c r="T1033" s="98"/>
      <c r="U1033" s="99"/>
    </row>
    <row r="1034" spans="20:21" x14ac:dyDescent="0.25">
      <c r="T1034" s="98"/>
      <c r="U1034" s="99"/>
    </row>
    <row r="1035" spans="20:21" x14ac:dyDescent="0.25">
      <c r="T1035" s="98"/>
      <c r="U1035" s="99"/>
    </row>
    <row r="1036" spans="20:21" x14ac:dyDescent="0.25">
      <c r="T1036" s="98"/>
      <c r="U1036" s="99"/>
    </row>
    <row r="1037" spans="20:21" x14ac:dyDescent="0.25">
      <c r="T1037" s="98"/>
      <c r="U1037" s="99"/>
    </row>
    <row r="1038" spans="20:21" x14ac:dyDescent="0.25">
      <c r="T1038" s="98"/>
      <c r="U1038" s="99"/>
    </row>
    <row r="1039" spans="20:21" x14ac:dyDescent="0.25">
      <c r="T1039" s="98"/>
      <c r="U1039" s="99"/>
    </row>
    <row r="1040" spans="20:21" x14ac:dyDescent="0.25">
      <c r="T1040" s="98"/>
      <c r="U1040" s="99"/>
    </row>
    <row r="1041" spans="20:21" x14ac:dyDescent="0.25">
      <c r="T1041" s="98"/>
      <c r="U1041" s="99"/>
    </row>
    <row r="1042" spans="20:21" x14ac:dyDescent="0.25">
      <c r="T1042" s="98"/>
      <c r="U1042" s="99"/>
    </row>
    <row r="1043" spans="20:21" x14ac:dyDescent="0.25">
      <c r="T1043" s="98"/>
      <c r="U1043" s="99"/>
    </row>
    <row r="1044" spans="20:21" x14ac:dyDescent="0.25">
      <c r="T1044" s="98"/>
      <c r="U1044" s="99"/>
    </row>
    <row r="1045" spans="20:21" x14ac:dyDescent="0.25">
      <c r="T1045" s="98"/>
      <c r="U1045" s="99"/>
    </row>
    <row r="1046" spans="20:21" x14ac:dyDescent="0.25">
      <c r="T1046" s="98"/>
      <c r="U1046" s="99"/>
    </row>
    <row r="1047" spans="20:21" x14ac:dyDescent="0.25">
      <c r="T1047" s="98"/>
      <c r="U1047" s="99"/>
    </row>
    <row r="1048" spans="20:21" x14ac:dyDescent="0.25">
      <c r="T1048" s="98"/>
      <c r="U1048" s="99"/>
    </row>
    <row r="1049" spans="20:21" x14ac:dyDescent="0.25">
      <c r="T1049" s="98"/>
      <c r="U1049" s="99"/>
    </row>
    <row r="1050" spans="20:21" x14ac:dyDescent="0.25">
      <c r="T1050" s="98"/>
      <c r="U1050" s="99"/>
    </row>
    <row r="1051" spans="20:21" x14ac:dyDescent="0.25">
      <c r="T1051" s="98"/>
      <c r="U1051" s="99"/>
    </row>
    <row r="1052" spans="20:21" x14ac:dyDescent="0.25">
      <c r="T1052" s="98"/>
      <c r="U1052" s="99"/>
    </row>
    <row r="1053" spans="20:21" x14ac:dyDescent="0.25">
      <c r="T1053" s="98"/>
      <c r="U1053" s="99"/>
    </row>
    <row r="1054" spans="20:21" x14ac:dyDescent="0.25">
      <c r="T1054" s="98"/>
      <c r="U1054" s="99"/>
    </row>
    <row r="1055" spans="20:21" x14ac:dyDescent="0.25">
      <c r="T1055" s="98"/>
      <c r="U1055" s="99"/>
    </row>
    <row r="1056" spans="20:21" x14ac:dyDescent="0.25">
      <c r="T1056" s="98"/>
      <c r="U1056" s="99"/>
    </row>
    <row r="1057" spans="20:21" x14ac:dyDescent="0.25">
      <c r="T1057" s="98"/>
      <c r="U1057" s="99"/>
    </row>
    <row r="1058" spans="20:21" x14ac:dyDescent="0.25">
      <c r="T1058" s="98"/>
      <c r="U1058" s="99"/>
    </row>
    <row r="1059" spans="20:21" x14ac:dyDescent="0.25">
      <c r="T1059" s="98"/>
      <c r="U1059" s="99"/>
    </row>
    <row r="1060" spans="20:21" x14ac:dyDescent="0.25">
      <c r="T1060" s="98"/>
      <c r="U1060" s="99"/>
    </row>
    <row r="1061" spans="20:21" x14ac:dyDescent="0.25">
      <c r="T1061" s="98"/>
      <c r="U1061" s="99"/>
    </row>
    <row r="1062" spans="20:21" x14ac:dyDescent="0.25">
      <c r="T1062" s="98"/>
      <c r="U1062" s="99"/>
    </row>
    <row r="1063" spans="20:21" x14ac:dyDescent="0.25">
      <c r="T1063" s="98"/>
      <c r="U1063" s="99"/>
    </row>
    <row r="1064" spans="20:21" x14ac:dyDescent="0.25">
      <c r="T1064" s="98"/>
      <c r="U1064" s="99"/>
    </row>
    <row r="1065" spans="20:21" x14ac:dyDescent="0.25">
      <c r="T1065" s="98"/>
      <c r="U1065" s="99"/>
    </row>
    <row r="1066" spans="20:21" x14ac:dyDescent="0.25">
      <c r="T1066" s="98"/>
      <c r="U1066" s="99"/>
    </row>
    <row r="1067" spans="20:21" x14ac:dyDescent="0.25">
      <c r="T1067" s="98"/>
      <c r="U1067" s="99"/>
    </row>
    <row r="1068" spans="20:21" x14ac:dyDescent="0.25">
      <c r="T1068" s="98"/>
      <c r="U1068" s="99"/>
    </row>
    <row r="1069" spans="20:21" x14ac:dyDescent="0.25">
      <c r="T1069" s="98"/>
      <c r="U1069" s="99"/>
    </row>
    <row r="1070" spans="20:21" x14ac:dyDescent="0.25">
      <c r="T1070" s="98"/>
      <c r="U1070" s="99"/>
    </row>
    <row r="1071" spans="20:21" x14ac:dyDescent="0.25">
      <c r="T1071" s="98"/>
      <c r="U1071" s="99"/>
    </row>
    <row r="1072" spans="20:21" x14ac:dyDescent="0.25">
      <c r="T1072" s="98"/>
      <c r="U1072" s="99"/>
    </row>
    <row r="1073" spans="20:21" x14ac:dyDescent="0.25">
      <c r="T1073" s="98"/>
      <c r="U1073" s="99"/>
    </row>
    <row r="1074" spans="20:21" x14ac:dyDescent="0.25">
      <c r="T1074" s="98"/>
      <c r="U1074" s="99"/>
    </row>
    <row r="1075" spans="20:21" x14ac:dyDescent="0.25">
      <c r="T1075" s="98"/>
      <c r="U1075" s="99"/>
    </row>
    <row r="1076" spans="20:21" x14ac:dyDescent="0.25">
      <c r="T1076" s="98"/>
      <c r="U1076" s="99"/>
    </row>
    <row r="1077" spans="20:21" x14ac:dyDescent="0.25">
      <c r="T1077" s="98"/>
      <c r="U1077" s="99"/>
    </row>
    <row r="1078" spans="20:21" x14ac:dyDescent="0.25">
      <c r="T1078" s="98"/>
      <c r="U1078" s="99"/>
    </row>
    <row r="1079" spans="20:21" x14ac:dyDescent="0.25">
      <c r="T1079" s="98"/>
      <c r="U1079" s="99"/>
    </row>
    <row r="1080" spans="20:21" x14ac:dyDescent="0.25">
      <c r="T1080" s="98"/>
      <c r="U1080" s="99"/>
    </row>
    <row r="1081" spans="20:21" x14ac:dyDescent="0.25">
      <c r="T1081" s="98"/>
      <c r="U1081" s="99"/>
    </row>
    <row r="1082" spans="20:21" x14ac:dyDescent="0.25">
      <c r="T1082" s="98"/>
      <c r="U1082" s="99"/>
    </row>
    <row r="1083" spans="20:21" x14ac:dyDescent="0.25">
      <c r="T1083" s="98"/>
      <c r="U1083" s="99"/>
    </row>
    <row r="1084" spans="20:21" x14ac:dyDescent="0.25">
      <c r="T1084" s="98"/>
      <c r="U1084" s="99"/>
    </row>
    <row r="1085" spans="20:21" x14ac:dyDescent="0.25">
      <c r="T1085" s="98"/>
      <c r="U1085" s="99"/>
    </row>
    <row r="1086" spans="20:21" x14ac:dyDescent="0.25">
      <c r="T1086" s="98"/>
      <c r="U1086" s="99"/>
    </row>
    <row r="1087" spans="20:21" x14ac:dyDescent="0.25">
      <c r="T1087" s="98"/>
      <c r="U1087" s="99"/>
    </row>
    <row r="1088" spans="20:21" x14ac:dyDescent="0.25">
      <c r="T1088" s="98"/>
      <c r="U1088" s="99"/>
    </row>
    <row r="1089" spans="20:21" x14ac:dyDescent="0.25">
      <c r="T1089" s="98"/>
      <c r="U1089" s="99"/>
    </row>
    <row r="1090" spans="20:21" x14ac:dyDescent="0.25">
      <c r="T1090" s="98"/>
      <c r="U1090" s="99"/>
    </row>
    <row r="1091" spans="20:21" x14ac:dyDescent="0.25">
      <c r="T1091" s="98"/>
      <c r="U1091" s="99"/>
    </row>
    <row r="1092" spans="20:21" x14ac:dyDescent="0.25">
      <c r="T1092" s="98"/>
      <c r="U1092" s="99"/>
    </row>
    <row r="1093" spans="20:21" x14ac:dyDescent="0.25">
      <c r="T1093" s="98"/>
      <c r="U1093" s="99"/>
    </row>
    <row r="1094" spans="20:21" x14ac:dyDescent="0.25">
      <c r="T1094" s="98"/>
      <c r="U1094" s="99"/>
    </row>
    <row r="1095" spans="20:21" x14ac:dyDescent="0.25">
      <c r="T1095" s="98"/>
      <c r="U1095" s="99"/>
    </row>
    <row r="1096" spans="20:21" x14ac:dyDescent="0.25">
      <c r="T1096" s="98"/>
      <c r="U1096" s="99"/>
    </row>
    <row r="1097" spans="20:21" x14ac:dyDescent="0.25">
      <c r="T1097" s="98"/>
      <c r="U1097" s="99"/>
    </row>
    <row r="1098" spans="20:21" x14ac:dyDescent="0.25">
      <c r="T1098" s="98"/>
      <c r="U1098" s="99"/>
    </row>
    <row r="1099" spans="20:21" x14ac:dyDescent="0.25">
      <c r="T1099" s="98"/>
      <c r="U1099" s="99"/>
    </row>
    <row r="1100" spans="20:21" x14ac:dyDescent="0.25">
      <c r="T1100" s="98"/>
      <c r="U1100" s="99"/>
    </row>
    <row r="1101" spans="20:21" x14ac:dyDescent="0.25">
      <c r="T1101" s="98"/>
      <c r="U1101" s="99"/>
    </row>
    <row r="1102" spans="20:21" x14ac:dyDescent="0.25">
      <c r="T1102" s="98"/>
      <c r="U1102" s="99"/>
    </row>
    <row r="1103" spans="20:21" x14ac:dyDescent="0.25">
      <c r="T1103" s="98"/>
      <c r="U1103" s="99"/>
    </row>
    <row r="1104" spans="20:21" x14ac:dyDescent="0.25">
      <c r="T1104" s="98"/>
      <c r="U1104" s="99"/>
    </row>
    <row r="1105" spans="20:21" x14ac:dyDescent="0.25">
      <c r="T1105" s="98"/>
      <c r="U1105" s="99"/>
    </row>
    <row r="1106" spans="20:21" x14ac:dyDescent="0.25">
      <c r="T1106" s="98"/>
      <c r="U1106" s="99"/>
    </row>
    <row r="1107" spans="20:21" x14ac:dyDescent="0.25">
      <c r="T1107" s="98"/>
      <c r="U1107" s="99"/>
    </row>
    <row r="1108" spans="20:21" x14ac:dyDescent="0.25">
      <c r="T1108" s="98"/>
      <c r="U1108" s="99"/>
    </row>
    <row r="1109" spans="20:21" x14ac:dyDescent="0.25">
      <c r="T1109" s="98"/>
      <c r="U1109" s="99"/>
    </row>
    <row r="1110" spans="20:21" x14ac:dyDescent="0.25">
      <c r="T1110" s="98"/>
      <c r="U1110" s="99"/>
    </row>
    <row r="1111" spans="20:21" x14ac:dyDescent="0.25">
      <c r="T1111" s="98"/>
      <c r="U1111" s="99"/>
    </row>
    <row r="1112" spans="20:21" x14ac:dyDescent="0.25">
      <c r="T1112" s="98"/>
      <c r="U1112" s="99"/>
    </row>
    <row r="1113" spans="20:21" x14ac:dyDescent="0.25">
      <c r="T1113" s="98"/>
      <c r="U1113" s="99"/>
    </row>
    <row r="1114" spans="20:21" x14ac:dyDescent="0.25">
      <c r="T1114" s="98"/>
      <c r="U1114" s="99"/>
    </row>
    <row r="1115" spans="20:21" x14ac:dyDescent="0.25">
      <c r="T1115" s="98"/>
      <c r="U1115" s="99"/>
    </row>
    <row r="1116" spans="20:21" x14ac:dyDescent="0.25">
      <c r="T1116" s="98"/>
      <c r="U1116" s="99"/>
    </row>
    <row r="1117" spans="20:21" x14ac:dyDescent="0.25">
      <c r="T1117" s="98"/>
      <c r="U1117" s="99"/>
    </row>
    <row r="1118" spans="20:21" x14ac:dyDescent="0.25">
      <c r="T1118" s="98"/>
      <c r="U1118" s="99"/>
    </row>
    <row r="1119" spans="20:21" x14ac:dyDescent="0.25">
      <c r="T1119" s="98"/>
      <c r="U1119" s="99"/>
    </row>
    <row r="1120" spans="20:21" x14ac:dyDescent="0.25">
      <c r="T1120" s="98"/>
      <c r="U1120" s="99"/>
    </row>
    <row r="1121" spans="20:21" x14ac:dyDescent="0.25">
      <c r="T1121" s="98"/>
      <c r="U1121" s="99"/>
    </row>
    <row r="1122" spans="20:21" x14ac:dyDescent="0.25">
      <c r="T1122" s="98"/>
      <c r="U1122" s="99"/>
    </row>
    <row r="1123" spans="20:21" x14ac:dyDescent="0.25">
      <c r="T1123" s="98"/>
      <c r="U1123" s="99"/>
    </row>
    <row r="1124" spans="20:21" x14ac:dyDescent="0.25">
      <c r="T1124" s="98"/>
      <c r="U1124" s="99"/>
    </row>
    <row r="1125" spans="20:21" x14ac:dyDescent="0.25">
      <c r="T1125" s="98"/>
      <c r="U1125" s="99"/>
    </row>
    <row r="1126" spans="20:21" x14ac:dyDescent="0.25">
      <c r="T1126" s="98"/>
      <c r="U1126" s="99"/>
    </row>
    <row r="1127" spans="20:21" x14ac:dyDescent="0.25">
      <c r="T1127" s="98"/>
      <c r="U1127" s="99"/>
    </row>
    <row r="1128" spans="20:21" x14ac:dyDescent="0.25">
      <c r="T1128" s="98"/>
      <c r="U1128" s="99"/>
    </row>
    <row r="1129" spans="20:21" x14ac:dyDescent="0.25">
      <c r="T1129" s="98"/>
      <c r="U1129" s="99"/>
    </row>
    <row r="1130" spans="20:21" x14ac:dyDescent="0.25">
      <c r="T1130" s="98"/>
      <c r="U1130" s="99"/>
    </row>
    <row r="1131" spans="20:21" x14ac:dyDescent="0.25">
      <c r="T1131" s="98"/>
      <c r="U1131" s="99"/>
    </row>
    <row r="1132" spans="20:21" x14ac:dyDescent="0.25">
      <c r="T1132" s="98"/>
      <c r="U1132" s="99"/>
    </row>
    <row r="1133" spans="20:21" x14ac:dyDescent="0.25">
      <c r="T1133" s="98"/>
      <c r="U1133" s="99"/>
    </row>
    <row r="1134" spans="20:21" x14ac:dyDescent="0.25">
      <c r="T1134" s="98"/>
      <c r="U1134" s="99"/>
    </row>
    <row r="1135" spans="20:21" x14ac:dyDescent="0.25">
      <c r="T1135" s="98"/>
      <c r="U1135" s="99"/>
    </row>
    <row r="1136" spans="20:21" x14ac:dyDescent="0.25">
      <c r="T1136" s="98"/>
      <c r="U1136" s="99"/>
    </row>
    <row r="1137" spans="20:21" x14ac:dyDescent="0.25">
      <c r="T1137" s="98"/>
      <c r="U1137" s="99"/>
    </row>
    <row r="1138" spans="20:21" x14ac:dyDescent="0.25">
      <c r="T1138" s="98"/>
      <c r="U1138" s="99"/>
    </row>
    <row r="1139" spans="20:21" x14ac:dyDescent="0.25">
      <c r="T1139" s="98"/>
      <c r="U1139" s="99"/>
    </row>
    <row r="1140" spans="20:21" x14ac:dyDescent="0.25">
      <c r="T1140" s="98"/>
      <c r="U1140" s="99"/>
    </row>
    <row r="1141" spans="20:21" x14ac:dyDescent="0.25">
      <c r="T1141" s="98"/>
      <c r="U1141" s="99"/>
    </row>
    <row r="1142" spans="20:21" x14ac:dyDescent="0.25">
      <c r="T1142" s="98"/>
      <c r="U1142" s="99"/>
    </row>
    <row r="1143" spans="20:21" x14ac:dyDescent="0.25">
      <c r="T1143" s="98"/>
      <c r="U1143" s="99"/>
    </row>
    <row r="1144" spans="20:21" x14ac:dyDescent="0.25">
      <c r="T1144" s="98"/>
      <c r="U1144" s="99"/>
    </row>
    <row r="1145" spans="20:21" x14ac:dyDescent="0.25">
      <c r="T1145" s="98"/>
      <c r="U1145" s="99"/>
    </row>
    <row r="1146" spans="20:21" x14ac:dyDescent="0.25">
      <c r="T1146" s="98"/>
      <c r="U1146" s="99"/>
    </row>
    <row r="1147" spans="20:21" x14ac:dyDescent="0.25">
      <c r="T1147" s="98"/>
      <c r="U1147" s="99"/>
    </row>
    <row r="1148" spans="20:21" x14ac:dyDescent="0.25">
      <c r="T1148" s="98"/>
      <c r="U1148" s="99"/>
    </row>
    <row r="1149" spans="20:21" x14ac:dyDescent="0.25">
      <c r="T1149" s="98"/>
      <c r="U1149" s="99"/>
    </row>
    <row r="1150" spans="20:21" x14ac:dyDescent="0.25">
      <c r="T1150" s="98"/>
      <c r="U1150" s="99"/>
    </row>
    <row r="1151" spans="20:21" x14ac:dyDescent="0.25">
      <c r="T1151" s="98"/>
      <c r="U1151" s="99"/>
    </row>
    <row r="1152" spans="20:21" x14ac:dyDescent="0.25">
      <c r="T1152" s="98"/>
      <c r="U1152" s="99"/>
    </row>
    <row r="1153" spans="20:21" x14ac:dyDescent="0.25">
      <c r="T1153" s="98"/>
      <c r="U1153" s="99"/>
    </row>
    <row r="1154" spans="20:21" x14ac:dyDescent="0.25">
      <c r="T1154" s="98"/>
      <c r="U1154" s="99"/>
    </row>
    <row r="1155" spans="20:21" x14ac:dyDescent="0.25">
      <c r="T1155" s="98"/>
      <c r="U1155" s="99"/>
    </row>
    <row r="1156" spans="20:21" x14ac:dyDescent="0.25">
      <c r="T1156" s="98"/>
      <c r="U1156" s="99"/>
    </row>
    <row r="1157" spans="20:21" x14ac:dyDescent="0.25">
      <c r="T1157" s="98"/>
      <c r="U1157" s="99"/>
    </row>
    <row r="1158" spans="20:21" x14ac:dyDescent="0.25">
      <c r="T1158" s="98"/>
      <c r="U1158" s="99"/>
    </row>
    <row r="1159" spans="20:21" x14ac:dyDescent="0.25">
      <c r="T1159" s="98"/>
      <c r="U1159" s="99"/>
    </row>
    <row r="1160" spans="20:21" x14ac:dyDescent="0.25">
      <c r="T1160" s="98"/>
      <c r="U1160" s="99"/>
    </row>
    <row r="1161" spans="20:21" x14ac:dyDescent="0.25">
      <c r="T1161" s="98"/>
      <c r="U1161" s="99"/>
    </row>
    <row r="1162" spans="20:21" x14ac:dyDescent="0.25">
      <c r="T1162" s="98"/>
      <c r="U1162" s="99"/>
    </row>
    <row r="1163" spans="20:21" x14ac:dyDescent="0.25">
      <c r="T1163" s="98"/>
      <c r="U1163" s="99"/>
    </row>
    <row r="1164" spans="20:21" x14ac:dyDescent="0.25">
      <c r="T1164" s="98"/>
      <c r="U1164" s="99"/>
    </row>
    <row r="1165" spans="20:21" x14ac:dyDescent="0.25">
      <c r="T1165" s="98"/>
      <c r="U1165" s="99"/>
    </row>
    <row r="1166" spans="20:21" x14ac:dyDescent="0.25">
      <c r="T1166" s="98"/>
      <c r="U1166" s="99"/>
    </row>
    <row r="1167" spans="20:21" x14ac:dyDescent="0.25">
      <c r="T1167" s="98"/>
      <c r="U1167" s="99"/>
    </row>
    <row r="1168" spans="20:21" x14ac:dyDescent="0.25">
      <c r="T1168" s="98"/>
      <c r="U1168" s="99"/>
    </row>
    <row r="1169" spans="20:21" x14ac:dyDescent="0.25">
      <c r="T1169" s="98"/>
      <c r="U1169" s="99"/>
    </row>
    <row r="1170" spans="20:21" x14ac:dyDescent="0.25">
      <c r="T1170" s="98"/>
      <c r="U1170" s="99"/>
    </row>
    <row r="1171" spans="20:21" x14ac:dyDescent="0.25">
      <c r="T1171" s="98"/>
      <c r="U1171" s="99"/>
    </row>
    <row r="1172" spans="20:21" x14ac:dyDescent="0.25">
      <c r="T1172" s="98"/>
      <c r="U1172" s="99"/>
    </row>
    <row r="1173" spans="20:21" x14ac:dyDescent="0.25">
      <c r="T1173" s="98"/>
      <c r="U1173" s="99"/>
    </row>
    <row r="1174" spans="20:21" x14ac:dyDescent="0.25">
      <c r="T1174" s="98"/>
      <c r="U1174" s="99"/>
    </row>
    <row r="1175" spans="20:21" x14ac:dyDescent="0.25">
      <c r="T1175" s="98"/>
      <c r="U1175" s="99"/>
    </row>
    <row r="1176" spans="20:21" x14ac:dyDescent="0.25">
      <c r="T1176" s="98"/>
      <c r="U1176" s="99"/>
    </row>
    <row r="1177" spans="20:21" x14ac:dyDescent="0.25">
      <c r="T1177" s="98"/>
      <c r="U1177" s="99"/>
    </row>
    <row r="1178" spans="20:21" x14ac:dyDescent="0.25">
      <c r="T1178" s="98"/>
      <c r="U1178" s="99"/>
    </row>
    <row r="1179" spans="20:21" x14ac:dyDescent="0.25">
      <c r="T1179" s="98"/>
      <c r="U1179" s="99"/>
    </row>
    <row r="1180" spans="20:21" x14ac:dyDescent="0.25">
      <c r="T1180" s="98"/>
      <c r="U1180" s="99"/>
    </row>
    <row r="1181" spans="20:21" x14ac:dyDescent="0.25">
      <c r="T1181" s="98"/>
      <c r="U1181" s="99"/>
    </row>
    <row r="1182" spans="20:21" x14ac:dyDescent="0.25">
      <c r="T1182" s="98"/>
      <c r="U1182" s="99"/>
    </row>
    <row r="1183" spans="20:21" x14ac:dyDescent="0.25">
      <c r="T1183" s="98"/>
      <c r="U1183" s="99"/>
    </row>
    <row r="1184" spans="20:21" x14ac:dyDescent="0.25">
      <c r="T1184" s="98"/>
      <c r="U1184" s="99"/>
    </row>
    <row r="1185" spans="20:21" x14ac:dyDescent="0.25">
      <c r="T1185" s="98"/>
      <c r="U1185" s="99"/>
    </row>
    <row r="1186" spans="20:21" x14ac:dyDescent="0.25">
      <c r="T1186" s="98"/>
      <c r="U1186" s="99"/>
    </row>
    <row r="1187" spans="20:21" x14ac:dyDescent="0.25">
      <c r="T1187" s="98"/>
      <c r="U1187" s="99"/>
    </row>
    <row r="1188" spans="20:21" x14ac:dyDescent="0.25">
      <c r="T1188" s="98"/>
      <c r="U1188" s="99"/>
    </row>
    <row r="1189" spans="20:21" x14ac:dyDescent="0.25">
      <c r="T1189" s="98"/>
      <c r="U1189" s="99"/>
    </row>
    <row r="1190" spans="20:21" x14ac:dyDescent="0.25">
      <c r="T1190" s="98"/>
      <c r="U1190" s="99"/>
    </row>
    <row r="1191" spans="20:21" x14ac:dyDescent="0.25">
      <c r="T1191" s="98"/>
      <c r="U1191" s="99"/>
    </row>
    <row r="1192" spans="20:21" x14ac:dyDescent="0.25">
      <c r="T1192" s="98"/>
      <c r="U1192" s="99"/>
    </row>
    <row r="1193" spans="20:21" x14ac:dyDescent="0.25">
      <c r="T1193" s="98"/>
      <c r="U1193" s="99"/>
    </row>
    <row r="1194" spans="20:21" x14ac:dyDescent="0.25">
      <c r="T1194" s="98"/>
      <c r="U1194" s="99"/>
    </row>
    <row r="1195" spans="20:21" x14ac:dyDescent="0.25">
      <c r="T1195" s="98"/>
      <c r="U1195" s="99"/>
    </row>
    <row r="1196" spans="20:21" x14ac:dyDescent="0.25">
      <c r="T1196" s="98"/>
      <c r="U1196" s="99"/>
    </row>
    <row r="1197" spans="20:21" x14ac:dyDescent="0.25">
      <c r="T1197" s="98"/>
      <c r="U1197" s="99"/>
    </row>
    <row r="1198" spans="20:21" x14ac:dyDescent="0.25">
      <c r="T1198" s="98"/>
      <c r="U1198" s="99"/>
    </row>
    <row r="1199" spans="20:21" x14ac:dyDescent="0.25">
      <c r="T1199" s="98"/>
      <c r="U1199" s="99"/>
    </row>
    <row r="1200" spans="20:21" x14ac:dyDescent="0.25">
      <c r="T1200" s="98"/>
      <c r="U1200" s="99"/>
    </row>
    <row r="1201" spans="20:21" x14ac:dyDescent="0.25">
      <c r="T1201" s="98"/>
      <c r="U1201" s="99"/>
    </row>
    <row r="1202" spans="20:21" x14ac:dyDescent="0.25">
      <c r="T1202" s="98"/>
      <c r="U1202" s="99"/>
    </row>
    <row r="1203" spans="20:21" x14ac:dyDescent="0.25">
      <c r="T1203" s="98"/>
      <c r="U1203" s="99"/>
    </row>
    <row r="1204" spans="20:21" x14ac:dyDescent="0.25">
      <c r="T1204" s="98"/>
      <c r="U1204" s="99"/>
    </row>
    <row r="1205" spans="20:21" x14ac:dyDescent="0.25">
      <c r="T1205" s="98"/>
      <c r="U1205" s="99"/>
    </row>
    <row r="1206" spans="20:21" x14ac:dyDescent="0.25">
      <c r="T1206" s="98"/>
      <c r="U1206" s="99"/>
    </row>
    <row r="1207" spans="20:21" x14ac:dyDescent="0.25">
      <c r="T1207" s="98"/>
      <c r="U1207" s="99"/>
    </row>
    <row r="1208" spans="20:21" x14ac:dyDescent="0.25">
      <c r="T1208" s="98"/>
      <c r="U1208" s="99"/>
    </row>
    <row r="1209" spans="20:21" x14ac:dyDescent="0.25">
      <c r="T1209" s="98"/>
      <c r="U1209" s="99"/>
    </row>
    <row r="1210" spans="20:21" x14ac:dyDescent="0.25">
      <c r="T1210" s="98"/>
      <c r="U1210" s="99"/>
    </row>
    <row r="1211" spans="20:21" x14ac:dyDescent="0.25">
      <c r="T1211" s="98"/>
      <c r="U1211" s="99"/>
    </row>
    <row r="1212" spans="20:21" x14ac:dyDescent="0.25">
      <c r="T1212" s="98"/>
      <c r="U1212" s="99"/>
    </row>
    <row r="1213" spans="20:21" x14ac:dyDescent="0.25">
      <c r="T1213" s="98"/>
      <c r="U1213" s="99"/>
    </row>
    <row r="1214" spans="20:21" x14ac:dyDescent="0.25">
      <c r="T1214" s="98"/>
      <c r="U1214" s="99"/>
    </row>
    <row r="1215" spans="20:21" x14ac:dyDescent="0.25">
      <c r="T1215" s="98"/>
      <c r="U1215" s="99"/>
    </row>
    <row r="1216" spans="20:21" x14ac:dyDescent="0.25">
      <c r="T1216" s="98"/>
      <c r="U1216" s="99"/>
    </row>
    <row r="1217" spans="20:21" x14ac:dyDescent="0.25">
      <c r="T1217" s="98"/>
      <c r="U1217" s="99"/>
    </row>
    <row r="1218" spans="20:21" x14ac:dyDescent="0.25">
      <c r="T1218" s="98"/>
      <c r="U1218" s="99"/>
    </row>
    <row r="1219" spans="20:21" x14ac:dyDescent="0.25">
      <c r="T1219" s="98"/>
      <c r="U1219" s="99"/>
    </row>
    <row r="1220" spans="20:21" x14ac:dyDescent="0.25">
      <c r="T1220" s="98"/>
      <c r="U1220" s="99"/>
    </row>
    <row r="1221" spans="20:21" x14ac:dyDescent="0.25">
      <c r="T1221" s="98"/>
      <c r="U1221" s="99"/>
    </row>
    <row r="1222" spans="20:21" x14ac:dyDescent="0.25">
      <c r="T1222" s="98"/>
      <c r="U1222" s="99"/>
    </row>
    <row r="1223" spans="20:21" x14ac:dyDescent="0.25">
      <c r="T1223" s="98"/>
      <c r="U1223" s="99"/>
    </row>
    <row r="1224" spans="20:21" x14ac:dyDescent="0.25">
      <c r="T1224" s="98"/>
      <c r="U1224" s="99"/>
    </row>
    <row r="1225" spans="20:21" x14ac:dyDescent="0.25">
      <c r="T1225" s="98"/>
      <c r="U1225" s="99"/>
    </row>
    <row r="1226" spans="20:21" x14ac:dyDescent="0.25">
      <c r="T1226" s="98"/>
      <c r="U1226" s="99"/>
    </row>
    <row r="1227" spans="20:21" x14ac:dyDescent="0.25">
      <c r="T1227" s="98"/>
      <c r="U1227" s="99"/>
    </row>
    <row r="1228" spans="20:21" x14ac:dyDescent="0.25">
      <c r="T1228" s="98"/>
      <c r="U1228" s="99"/>
    </row>
    <row r="1229" spans="20:21" x14ac:dyDescent="0.25">
      <c r="T1229" s="98"/>
      <c r="U1229" s="99"/>
    </row>
    <row r="1230" spans="20:21" x14ac:dyDescent="0.25">
      <c r="T1230" s="98"/>
      <c r="U1230" s="99"/>
    </row>
    <row r="1231" spans="20:21" x14ac:dyDescent="0.25">
      <c r="T1231" s="98"/>
      <c r="U1231" s="99"/>
    </row>
    <row r="1232" spans="20:21" x14ac:dyDescent="0.25">
      <c r="T1232" s="98"/>
      <c r="U1232" s="99"/>
    </row>
    <row r="1233" spans="20:21" x14ac:dyDescent="0.25">
      <c r="T1233" s="98"/>
      <c r="U1233" s="99"/>
    </row>
    <row r="1234" spans="20:21" x14ac:dyDescent="0.25">
      <c r="T1234" s="98"/>
      <c r="U1234" s="99"/>
    </row>
    <row r="1235" spans="20:21" x14ac:dyDescent="0.25">
      <c r="T1235" s="98"/>
      <c r="U1235" s="99"/>
    </row>
    <row r="1236" spans="20:21" x14ac:dyDescent="0.25">
      <c r="T1236" s="98"/>
      <c r="U1236" s="99"/>
    </row>
    <row r="1237" spans="20:21" x14ac:dyDescent="0.25">
      <c r="T1237" s="98"/>
      <c r="U1237" s="99"/>
    </row>
    <row r="1238" spans="20:21" x14ac:dyDescent="0.25">
      <c r="T1238" s="98"/>
      <c r="U1238" s="99"/>
    </row>
    <row r="1239" spans="20:21" x14ac:dyDescent="0.25">
      <c r="T1239" s="98"/>
      <c r="U1239" s="99"/>
    </row>
    <row r="1240" spans="20:21" x14ac:dyDescent="0.25">
      <c r="T1240" s="98"/>
      <c r="U1240" s="99"/>
    </row>
    <row r="1241" spans="20:21" x14ac:dyDescent="0.25">
      <c r="T1241" s="98"/>
      <c r="U1241" s="99"/>
    </row>
    <row r="1242" spans="20:21" x14ac:dyDescent="0.25">
      <c r="T1242" s="98"/>
      <c r="U1242" s="99"/>
    </row>
    <row r="1243" spans="20:21" x14ac:dyDescent="0.25">
      <c r="T1243" s="98"/>
      <c r="U1243" s="99"/>
    </row>
    <row r="1244" spans="20:21" x14ac:dyDescent="0.25">
      <c r="T1244" s="98"/>
      <c r="U1244" s="99"/>
    </row>
    <row r="1245" spans="20:21" x14ac:dyDescent="0.25">
      <c r="T1245" s="98"/>
      <c r="U1245" s="99"/>
    </row>
    <row r="1246" spans="20:21" x14ac:dyDescent="0.25">
      <c r="T1246" s="98"/>
      <c r="U1246" s="99"/>
    </row>
    <row r="1247" spans="20:21" x14ac:dyDescent="0.25">
      <c r="T1247" s="98"/>
      <c r="U1247" s="99"/>
    </row>
    <row r="1248" spans="20:21" x14ac:dyDescent="0.25">
      <c r="T1248" s="98"/>
      <c r="U1248" s="99"/>
    </row>
    <row r="1249" spans="20:21" x14ac:dyDescent="0.25">
      <c r="T1249" s="98"/>
      <c r="U1249" s="99"/>
    </row>
    <row r="1250" spans="20:21" x14ac:dyDescent="0.25">
      <c r="T1250" s="98"/>
      <c r="U1250" s="99"/>
    </row>
    <row r="1251" spans="20:21" x14ac:dyDescent="0.25">
      <c r="T1251" s="98"/>
      <c r="U1251" s="99"/>
    </row>
    <row r="1252" spans="20:21" x14ac:dyDescent="0.25">
      <c r="T1252" s="98"/>
      <c r="U1252" s="99"/>
    </row>
    <row r="1253" spans="20:21" x14ac:dyDescent="0.25">
      <c r="T1253" s="98"/>
      <c r="U1253" s="99"/>
    </row>
    <row r="1254" spans="20:21" x14ac:dyDescent="0.25">
      <c r="T1254" s="98"/>
      <c r="U1254" s="99"/>
    </row>
    <row r="1255" spans="20:21" x14ac:dyDescent="0.25">
      <c r="T1255" s="98"/>
      <c r="U1255" s="99"/>
    </row>
    <row r="1256" spans="20:21" x14ac:dyDescent="0.25">
      <c r="T1256" s="98"/>
      <c r="U1256" s="99"/>
    </row>
    <row r="1257" spans="20:21" x14ac:dyDescent="0.25">
      <c r="T1257" s="98"/>
      <c r="U1257" s="99"/>
    </row>
    <row r="1258" spans="20:21" x14ac:dyDescent="0.25">
      <c r="T1258" s="98"/>
      <c r="U1258" s="99"/>
    </row>
    <row r="1259" spans="20:21" x14ac:dyDescent="0.25">
      <c r="T1259" s="98"/>
      <c r="U1259" s="99"/>
    </row>
    <row r="1260" spans="20:21" x14ac:dyDescent="0.25">
      <c r="T1260" s="98"/>
      <c r="U1260" s="99"/>
    </row>
    <row r="1261" spans="20:21" x14ac:dyDescent="0.25">
      <c r="T1261" s="98"/>
      <c r="U1261" s="99"/>
    </row>
    <row r="1262" spans="20:21" x14ac:dyDescent="0.25">
      <c r="T1262" s="98"/>
      <c r="U1262" s="99"/>
    </row>
    <row r="1263" spans="20:21" x14ac:dyDescent="0.25">
      <c r="T1263" s="98"/>
      <c r="U1263" s="99"/>
    </row>
    <row r="1264" spans="20:21" x14ac:dyDescent="0.25">
      <c r="T1264" s="98"/>
      <c r="U1264" s="99"/>
    </row>
    <row r="1265" spans="20:21" x14ac:dyDescent="0.25">
      <c r="T1265" s="98"/>
      <c r="U1265" s="99"/>
    </row>
    <row r="1266" spans="20:21" x14ac:dyDescent="0.25">
      <c r="T1266" s="98"/>
      <c r="U1266" s="99"/>
    </row>
    <row r="1267" spans="20:21" x14ac:dyDescent="0.25">
      <c r="T1267" s="98"/>
      <c r="U1267" s="99"/>
    </row>
    <row r="1268" spans="20:21" x14ac:dyDescent="0.25">
      <c r="T1268" s="98"/>
      <c r="U1268" s="99"/>
    </row>
    <row r="1269" spans="20:21" x14ac:dyDescent="0.25">
      <c r="T1269" s="98"/>
      <c r="U1269" s="99"/>
    </row>
    <row r="1270" spans="20:21" x14ac:dyDescent="0.25">
      <c r="T1270" s="98"/>
      <c r="U1270" s="99"/>
    </row>
    <row r="1271" spans="20:21" x14ac:dyDescent="0.25">
      <c r="T1271" s="98"/>
      <c r="U1271" s="99"/>
    </row>
    <row r="1272" spans="20:21" x14ac:dyDescent="0.25">
      <c r="T1272" s="98"/>
      <c r="U1272" s="99"/>
    </row>
    <row r="1273" spans="20:21" x14ac:dyDescent="0.25">
      <c r="T1273" s="98"/>
      <c r="U1273" s="99"/>
    </row>
    <row r="1274" spans="20:21" x14ac:dyDescent="0.25">
      <c r="T1274" s="98"/>
      <c r="U1274" s="99"/>
    </row>
    <row r="1275" spans="20:21" x14ac:dyDescent="0.25">
      <c r="T1275" s="98"/>
      <c r="U1275" s="99"/>
    </row>
    <row r="1276" spans="20:21" x14ac:dyDescent="0.25">
      <c r="T1276" s="98"/>
      <c r="U1276" s="99"/>
    </row>
    <row r="1277" spans="20:21" x14ac:dyDescent="0.25">
      <c r="T1277" s="98"/>
      <c r="U1277" s="99"/>
    </row>
    <row r="1278" spans="20:21" x14ac:dyDescent="0.25">
      <c r="T1278" s="98"/>
      <c r="U1278" s="99"/>
    </row>
    <row r="1279" spans="20:21" x14ac:dyDescent="0.25">
      <c r="T1279" s="98"/>
      <c r="U1279" s="99"/>
    </row>
    <row r="1280" spans="20:21" x14ac:dyDescent="0.25">
      <c r="T1280" s="98"/>
      <c r="U1280" s="99"/>
    </row>
    <row r="1281" spans="20:21" x14ac:dyDescent="0.25">
      <c r="T1281" s="98"/>
      <c r="U1281" s="99"/>
    </row>
    <row r="1282" spans="20:21" x14ac:dyDescent="0.25">
      <c r="T1282" s="98"/>
      <c r="U1282" s="99"/>
    </row>
    <row r="1283" spans="20:21" x14ac:dyDescent="0.25">
      <c r="T1283" s="98"/>
      <c r="U1283" s="99"/>
    </row>
    <row r="1284" spans="20:21" x14ac:dyDescent="0.25">
      <c r="T1284" s="98"/>
      <c r="U1284" s="99"/>
    </row>
    <row r="1285" spans="20:21" x14ac:dyDescent="0.25">
      <c r="T1285" s="98"/>
      <c r="U1285" s="99"/>
    </row>
    <row r="1286" spans="20:21" x14ac:dyDescent="0.25">
      <c r="T1286" s="98"/>
      <c r="U1286" s="99"/>
    </row>
    <row r="1287" spans="20:21" x14ac:dyDescent="0.25">
      <c r="T1287" s="98"/>
      <c r="U1287" s="99"/>
    </row>
    <row r="1288" spans="20:21" x14ac:dyDescent="0.25">
      <c r="T1288" s="98"/>
      <c r="U1288" s="99"/>
    </row>
    <row r="1289" spans="20:21" x14ac:dyDescent="0.25">
      <c r="T1289" s="98"/>
      <c r="U1289" s="99"/>
    </row>
    <row r="1290" spans="20:21" x14ac:dyDescent="0.25">
      <c r="T1290" s="98"/>
      <c r="U1290" s="99"/>
    </row>
    <row r="1291" spans="20:21" x14ac:dyDescent="0.25">
      <c r="T1291" s="98"/>
      <c r="U1291" s="99"/>
    </row>
    <row r="1292" spans="20:21" x14ac:dyDescent="0.25">
      <c r="T1292" s="98"/>
      <c r="U1292" s="99"/>
    </row>
    <row r="1293" spans="20:21" x14ac:dyDescent="0.25">
      <c r="T1293" s="98"/>
      <c r="U1293" s="99"/>
    </row>
    <row r="1294" spans="20:21" x14ac:dyDescent="0.25">
      <c r="T1294" s="98"/>
      <c r="U1294" s="99"/>
    </row>
    <row r="1295" spans="20:21" x14ac:dyDescent="0.25">
      <c r="T1295" s="98"/>
      <c r="U1295" s="99"/>
    </row>
    <row r="1296" spans="20:21" x14ac:dyDescent="0.25">
      <c r="T1296" s="98"/>
      <c r="U1296" s="99"/>
    </row>
    <row r="1297" spans="20:21" x14ac:dyDescent="0.25">
      <c r="T1297" s="98"/>
      <c r="U1297" s="99"/>
    </row>
    <row r="1298" spans="20:21" x14ac:dyDescent="0.25">
      <c r="T1298" s="98"/>
      <c r="U1298" s="99"/>
    </row>
    <row r="1299" spans="20:21" x14ac:dyDescent="0.25">
      <c r="T1299" s="98"/>
      <c r="U1299" s="99"/>
    </row>
    <row r="1300" spans="20:21" x14ac:dyDescent="0.25">
      <c r="T1300" s="98"/>
      <c r="U1300" s="99"/>
    </row>
    <row r="1301" spans="20:21" x14ac:dyDescent="0.25">
      <c r="T1301" s="98"/>
      <c r="U1301" s="99"/>
    </row>
    <row r="1302" spans="20:21" x14ac:dyDescent="0.25">
      <c r="T1302" s="98"/>
      <c r="U1302" s="99"/>
    </row>
    <row r="1303" spans="20:21" x14ac:dyDescent="0.25">
      <c r="T1303" s="98"/>
      <c r="U1303" s="99"/>
    </row>
    <row r="1304" spans="20:21" x14ac:dyDescent="0.25">
      <c r="T1304" s="98"/>
      <c r="U1304" s="99"/>
    </row>
    <row r="1305" spans="20:21" x14ac:dyDescent="0.25">
      <c r="T1305" s="98"/>
      <c r="U1305" s="99"/>
    </row>
    <row r="1306" spans="20:21" x14ac:dyDescent="0.25">
      <c r="T1306" s="98"/>
      <c r="U1306" s="99"/>
    </row>
    <row r="1307" spans="20:21" x14ac:dyDescent="0.25">
      <c r="T1307" s="98"/>
      <c r="U1307" s="99"/>
    </row>
    <row r="1308" spans="20:21" x14ac:dyDescent="0.25">
      <c r="T1308" s="98"/>
      <c r="U1308" s="99"/>
    </row>
    <row r="1309" spans="20:21" x14ac:dyDescent="0.25">
      <c r="T1309" s="98"/>
      <c r="U1309" s="99"/>
    </row>
    <row r="1310" spans="20:21" x14ac:dyDescent="0.25">
      <c r="T1310" s="98"/>
      <c r="U1310" s="99"/>
    </row>
    <row r="1311" spans="20:21" x14ac:dyDescent="0.25">
      <c r="T1311" s="98"/>
      <c r="U1311" s="99"/>
    </row>
    <row r="1312" spans="20:21" x14ac:dyDescent="0.25">
      <c r="T1312" s="98"/>
      <c r="U1312" s="99"/>
    </row>
    <row r="1313" spans="20:21" x14ac:dyDescent="0.25">
      <c r="T1313" s="98"/>
      <c r="U1313" s="99"/>
    </row>
    <row r="1314" spans="20:21" x14ac:dyDescent="0.25">
      <c r="T1314" s="98"/>
      <c r="U1314" s="99"/>
    </row>
    <row r="1315" spans="20:21" x14ac:dyDescent="0.25">
      <c r="T1315" s="98"/>
      <c r="U1315" s="99"/>
    </row>
    <row r="1316" spans="20:21" x14ac:dyDescent="0.25">
      <c r="T1316" s="98"/>
      <c r="U1316" s="99"/>
    </row>
    <row r="1317" spans="20:21" x14ac:dyDescent="0.25">
      <c r="T1317" s="98"/>
      <c r="U1317" s="99"/>
    </row>
    <row r="1318" spans="20:21" x14ac:dyDescent="0.25">
      <c r="T1318" s="98"/>
      <c r="U1318" s="99"/>
    </row>
    <row r="1319" spans="20:21" x14ac:dyDescent="0.25">
      <c r="T1319" s="98"/>
      <c r="U1319" s="99"/>
    </row>
    <row r="1320" spans="20:21" x14ac:dyDescent="0.25">
      <c r="T1320" s="98"/>
      <c r="U1320" s="99"/>
    </row>
    <row r="1321" spans="20:21" x14ac:dyDescent="0.25">
      <c r="T1321" s="98"/>
      <c r="U1321" s="99"/>
    </row>
    <row r="1322" spans="20:21" x14ac:dyDescent="0.25">
      <c r="T1322" s="98"/>
      <c r="U1322" s="99"/>
    </row>
    <row r="1323" spans="20:21" x14ac:dyDescent="0.25">
      <c r="T1323" s="98"/>
      <c r="U1323" s="99"/>
    </row>
    <row r="1324" spans="20:21" x14ac:dyDescent="0.25">
      <c r="T1324" s="98"/>
      <c r="U1324" s="99"/>
    </row>
    <row r="1325" spans="20:21" x14ac:dyDescent="0.25">
      <c r="T1325" s="98"/>
      <c r="U1325" s="99"/>
    </row>
    <row r="1326" spans="20:21" x14ac:dyDescent="0.25">
      <c r="T1326" s="98"/>
      <c r="U1326" s="99"/>
    </row>
    <row r="1327" spans="20:21" x14ac:dyDescent="0.25">
      <c r="T1327" s="98"/>
      <c r="U1327" s="99"/>
    </row>
    <row r="1328" spans="20:21" x14ac:dyDescent="0.25">
      <c r="T1328" s="98"/>
      <c r="U1328" s="99"/>
    </row>
    <row r="1329" spans="20:21" x14ac:dyDescent="0.25">
      <c r="T1329" s="98"/>
      <c r="U1329" s="99"/>
    </row>
    <row r="1330" spans="20:21" x14ac:dyDescent="0.25">
      <c r="T1330" s="98"/>
      <c r="U1330" s="99"/>
    </row>
    <row r="1331" spans="20:21" x14ac:dyDescent="0.25">
      <c r="T1331" s="98"/>
      <c r="U1331" s="99"/>
    </row>
    <row r="1332" spans="20:21" x14ac:dyDescent="0.25">
      <c r="T1332" s="98"/>
      <c r="U1332" s="99"/>
    </row>
    <row r="1333" spans="20:21" x14ac:dyDescent="0.25">
      <c r="T1333" s="98"/>
      <c r="U1333" s="99"/>
    </row>
    <row r="1334" spans="20:21" x14ac:dyDescent="0.25">
      <c r="T1334" s="98"/>
      <c r="U1334" s="99"/>
    </row>
    <row r="1335" spans="20:21" x14ac:dyDescent="0.25">
      <c r="T1335" s="98"/>
      <c r="U1335" s="99"/>
    </row>
    <row r="1336" spans="20:21" x14ac:dyDescent="0.25">
      <c r="T1336" s="98"/>
      <c r="U1336" s="99"/>
    </row>
    <row r="1337" spans="20:21" x14ac:dyDescent="0.25">
      <c r="T1337" s="98"/>
      <c r="U1337" s="99"/>
    </row>
    <row r="1338" spans="20:21" x14ac:dyDescent="0.25">
      <c r="T1338" s="98"/>
      <c r="U1338" s="99"/>
    </row>
    <row r="1339" spans="20:21" x14ac:dyDescent="0.25">
      <c r="T1339" s="98"/>
      <c r="U1339" s="99"/>
    </row>
    <row r="1340" spans="20:21" x14ac:dyDescent="0.25">
      <c r="T1340" s="98"/>
      <c r="U1340" s="99"/>
    </row>
    <row r="1341" spans="20:21" x14ac:dyDescent="0.25">
      <c r="T1341" s="98"/>
      <c r="U1341" s="99"/>
    </row>
    <row r="1342" spans="20:21" x14ac:dyDescent="0.25">
      <c r="T1342" s="98"/>
      <c r="U1342" s="99"/>
    </row>
    <row r="1343" spans="20:21" x14ac:dyDescent="0.25">
      <c r="T1343" s="98"/>
      <c r="U1343" s="99"/>
    </row>
    <row r="1344" spans="20:21" x14ac:dyDescent="0.25">
      <c r="T1344" s="98"/>
      <c r="U1344" s="99"/>
    </row>
    <row r="1345" spans="20:21" x14ac:dyDescent="0.25">
      <c r="T1345" s="98"/>
      <c r="U1345" s="99"/>
    </row>
    <row r="1346" spans="20:21" x14ac:dyDescent="0.25">
      <c r="T1346" s="98"/>
      <c r="U1346" s="99"/>
    </row>
    <row r="1347" spans="20:21" x14ac:dyDescent="0.25">
      <c r="T1347" s="98"/>
      <c r="U1347" s="99"/>
    </row>
    <row r="1348" spans="20:21" x14ac:dyDescent="0.25">
      <c r="T1348" s="98"/>
      <c r="U1348" s="99"/>
    </row>
    <row r="1349" spans="20:21" x14ac:dyDescent="0.25">
      <c r="T1349" s="98"/>
      <c r="U1349" s="99"/>
    </row>
    <row r="1350" spans="20:21" x14ac:dyDescent="0.25">
      <c r="T1350" s="98"/>
      <c r="U1350" s="99"/>
    </row>
    <row r="1351" spans="20:21" x14ac:dyDescent="0.25">
      <c r="T1351" s="98"/>
      <c r="U1351" s="99"/>
    </row>
    <row r="1352" spans="20:21" x14ac:dyDescent="0.25">
      <c r="T1352" s="98"/>
      <c r="U1352" s="99"/>
    </row>
    <row r="1353" spans="20:21" x14ac:dyDescent="0.25">
      <c r="T1353" s="98"/>
      <c r="U1353" s="99"/>
    </row>
    <row r="1354" spans="20:21" x14ac:dyDescent="0.25">
      <c r="T1354" s="98"/>
      <c r="U1354" s="99"/>
    </row>
    <row r="1355" spans="20:21" x14ac:dyDescent="0.25">
      <c r="T1355" s="98"/>
      <c r="U1355" s="99"/>
    </row>
    <row r="1356" spans="20:21" x14ac:dyDescent="0.25">
      <c r="T1356" s="98"/>
      <c r="U1356" s="99"/>
    </row>
    <row r="1357" spans="20:21" x14ac:dyDescent="0.25">
      <c r="T1357" s="98"/>
      <c r="U1357" s="99"/>
    </row>
    <row r="1358" spans="20:21" x14ac:dyDescent="0.25">
      <c r="T1358" s="98"/>
      <c r="U1358" s="99"/>
    </row>
    <row r="1359" spans="20:21" x14ac:dyDescent="0.25">
      <c r="T1359" s="98"/>
      <c r="U1359" s="99"/>
    </row>
    <row r="1360" spans="20:21" x14ac:dyDescent="0.25">
      <c r="T1360" s="98"/>
      <c r="U1360" s="99"/>
    </row>
    <row r="1361" spans="20:21" x14ac:dyDescent="0.25">
      <c r="T1361" s="98"/>
      <c r="U1361" s="99"/>
    </row>
    <row r="1362" spans="20:21" x14ac:dyDescent="0.25">
      <c r="T1362" s="98"/>
      <c r="U1362" s="99"/>
    </row>
    <row r="1363" spans="20:21" x14ac:dyDescent="0.25">
      <c r="T1363" s="98"/>
      <c r="U1363" s="99"/>
    </row>
    <row r="1364" spans="20:21" x14ac:dyDescent="0.25">
      <c r="T1364" s="98"/>
      <c r="U1364" s="99"/>
    </row>
    <row r="1365" spans="20:21" x14ac:dyDescent="0.25">
      <c r="T1365" s="98"/>
      <c r="U1365" s="99"/>
    </row>
    <row r="1366" spans="20:21" x14ac:dyDescent="0.25">
      <c r="T1366" s="98"/>
      <c r="U1366" s="99"/>
    </row>
    <row r="1367" spans="20:21" x14ac:dyDescent="0.25">
      <c r="T1367" s="98"/>
      <c r="U1367" s="99"/>
    </row>
    <row r="1368" spans="20:21" x14ac:dyDescent="0.25">
      <c r="T1368" s="98"/>
      <c r="U1368" s="99"/>
    </row>
    <row r="1369" spans="20:21" x14ac:dyDescent="0.25">
      <c r="T1369" s="98"/>
      <c r="U1369" s="99"/>
    </row>
    <row r="1370" spans="20:21" x14ac:dyDescent="0.25">
      <c r="T1370" s="98"/>
      <c r="U1370" s="99"/>
    </row>
    <row r="1371" spans="20:21" x14ac:dyDescent="0.25">
      <c r="T1371" s="98"/>
      <c r="U1371" s="99"/>
    </row>
    <row r="1372" spans="20:21" x14ac:dyDescent="0.25">
      <c r="T1372" s="98"/>
      <c r="U1372" s="99"/>
    </row>
    <row r="1373" spans="20:21" x14ac:dyDescent="0.25">
      <c r="T1373" s="98"/>
      <c r="U1373" s="99"/>
    </row>
    <row r="1374" spans="20:21" x14ac:dyDescent="0.25">
      <c r="T1374" s="98"/>
      <c r="U1374" s="99"/>
    </row>
    <row r="1375" spans="20:21" x14ac:dyDescent="0.25">
      <c r="T1375" s="98"/>
      <c r="U1375" s="99"/>
    </row>
    <row r="1376" spans="20:21" x14ac:dyDescent="0.25">
      <c r="T1376" s="98"/>
      <c r="U1376" s="99"/>
    </row>
    <row r="1377" spans="20:21" x14ac:dyDescent="0.25">
      <c r="T1377" s="98"/>
      <c r="U1377" s="99"/>
    </row>
    <row r="1378" spans="20:21" x14ac:dyDescent="0.25">
      <c r="T1378" s="98"/>
      <c r="U1378" s="99"/>
    </row>
    <row r="1379" spans="20:21" x14ac:dyDescent="0.25">
      <c r="T1379" s="98"/>
      <c r="U1379" s="99"/>
    </row>
    <row r="1380" spans="20:21" x14ac:dyDescent="0.25">
      <c r="T1380" s="98"/>
      <c r="U1380" s="99"/>
    </row>
    <row r="1381" spans="20:21" x14ac:dyDescent="0.25">
      <c r="T1381" s="98"/>
      <c r="U1381" s="99"/>
    </row>
    <row r="1382" spans="20:21" x14ac:dyDescent="0.25">
      <c r="T1382" s="98"/>
      <c r="U1382" s="99"/>
    </row>
    <row r="1383" spans="20:21" x14ac:dyDescent="0.25">
      <c r="T1383" s="98"/>
      <c r="U1383" s="99"/>
    </row>
    <row r="1384" spans="20:21" x14ac:dyDescent="0.25">
      <c r="T1384" s="98"/>
      <c r="U1384" s="99"/>
    </row>
    <row r="1385" spans="20:21" x14ac:dyDescent="0.25">
      <c r="T1385" s="98"/>
      <c r="U1385" s="99"/>
    </row>
    <row r="1386" spans="20:21" x14ac:dyDescent="0.25">
      <c r="T1386" s="98"/>
      <c r="U1386" s="99"/>
    </row>
    <row r="1387" spans="20:21" x14ac:dyDescent="0.25">
      <c r="T1387" s="98"/>
      <c r="U1387" s="99"/>
    </row>
    <row r="1388" spans="20:21" x14ac:dyDescent="0.25">
      <c r="T1388" s="98"/>
      <c r="U1388" s="99"/>
    </row>
    <row r="1389" spans="20:21" x14ac:dyDescent="0.25">
      <c r="T1389" s="98"/>
      <c r="U1389" s="99"/>
    </row>
    <row r="1390" spans="20:21" x14ac:dyDescent="0.25">
      <c r="T1390" s="98"/>
      <c r="U1390" s="99"/>
    </row>
    <row r="1391" spans="20:21" x14ac:dyDescent="0.25">
      <c r="T1391" s="98"/>
      <c r="U1391" s="99"/>
    </row>
    <row r="1392" spans="20:21" x14ac:dyDescent="0.25">
      <c r="T1392" s="98"/>
      <c r="U1392" s="99"/>
    </row>
    <row r="1393" spans="20:21" x14ac:dyDescent="0.25">
      <c r="T1393" s="98"/>
      <c r="U1393" s="99"/>
    </row>
    <row r="1394" spans="20:21" x14ac:dyDescent="0.25">
      <c r="T1394" s="98"/>
      <c r="U1394" s="99"/>
    </row>
    <row r="1395" spans="20:21" x14ac:dyDescent="0.25">
      <c r="T1395" s="98"/>
      <c r="U1395" s="99"/>
    </row>
    <row r="1396" spans="20:21" x14ac:dyDescent="0.25">
      <c r="T1396" s="98"/>
      <c r="U1396" s="99"/>
    </row>
    <row r="1397" spans="20:21" x14ac:dyDescent="0.25">
      <c r="T1397" s="98"/>
      <c r="U1397" s="99"/>
    </row>
    <row r="1398" spans="20:21" x14ac:dyDescent="0.25">
      <c r="T1398" s="98"/>
      <c r="U1398" s="99"/>
    </row>
    <row r="1399" spans="20:21" x14ac:dyDescent="0.25">
      <c r="T1399" s="98"/>
      <c r="U1399" s="99"/>
    </row>
    <row r="1400" spans="20:21" x14ac:dyDescent="0.25">
      <c r="T1400" s="98"/>
      <c r="U1400" s="99"/>
    </row>
    <row r="1401" spans="20:21" x14ac:dyDescent="0.25">
      <c r="T1401" s="98"/>
      <c r="U1401" s="99"/>
    </row>
    <row r="1402" spans="20:21" x14ac:dyDescent="0.25">
      <c r="T1402" s="98"/>
      <c r="U1402" s="99"/>
    </row>
    <row r="1403" spans="20:21" x14ac:dyDescent="0.25">
      <c r="T1403" s="98"/>
      <c r="U1403" s="99"/>
    </row>
    <row r="1404" spans="20:21" x14ac:dyDescent="0.25">
      <c r="T1404" s="98"/>
      <c r="U1404" s="99"/>
    </row>
    <row r="1405" spans="20:21" x14ac:dyDescent="0.25">
      <c r="T1405" s="98"/>
      <c r="U1405" s="99"/>
    </row>
    <row r="1406" spans="20:21" x14ac:dyDescent="0.25">
      <c r="T1406" s="98"/>
      <c r="U1406" s="99"/>
    </row>
    <row r="1407" spans="20:21" x14ac:dyDescent="0.25">
      <c r="T1407" s="98"/>
      <c r="U1407" s="99"/>
    </row>
    <row r="1408" spans="20:21" x14ac:dyDescent="0.25">
      <c r="T1408" s="98"/>
      <c r="U1408" s="99"/>
    </row>
    <row r="1409" spans="20:21" x14ac:dyDescent="0.25">
      <c r="T1409" s="98"/>
      <c r="U1409" s="99"/>
    </row>
    <row r="1410" spans="20:21" x14ac:dyDescent="0.25">
      <c r="T1410" s="98"/>
      <c r="U1410" s="99"/>
    </row>
    <row r="1411" spans="20:21" x14ac:dyDescent="0.25">
      <c r="T1411" s="98"/>
      <c r="U1411" s="99"/>
    </row>
    <row r="1412" spans="20:21" x14ac:dyDescent="0.25">
      <c r="T1412" s="98"/>
      <c r="U1412" s="99"/>
    </row>
    <row r="1413" spans="20:21" x14ac:dyDescent="0.25">
      <c r="T1413" s="98"/>
      <c r="U1413" s="99"/>
    </row>
    <row r="1414" spans="20:21" x14ac:dyDescent="0.25">
      <c r="T1414" s="98"/>
      <c r="U1414" s="99"/>
    </row>
    <row r="1415" spans="20:21" x14ac:dyDescent="0.25">
      <c r="T1415" s="98"/>
      <c r="U1415" s="99"/>
    </row>
    <row r="1416" spans="20:21" x14ac:dyDescent="0.25">
      <c r="T1416" s="98"/>
      <c r="U1416" s="99"/>
    </row>
    <row r="1417" spans="20:21" x14ac:dyDescent="0.25">
      <c r="T1417" s="98"/>
      <c r="U1417" s="99"/>
    </row>
    <row r="1418" spans="20:21" x14ac:dyDescent="0.25">
      <c r="T1418" s="98"/>
      <c r="U1418" s="99"/>
    </row>
    <row r="1419" spans="20:21" x14ac:dyDescent="0.25">
      <c r="T1419" s="98"/>
      <c r="U1419" s="99"/>
    </row>
    <row r="1420" spans="20:21" x14ac:dyDescent="0.25">
      <c r="T1420" s="98"/>
      <c r="U1420" s="99"/>
    </row>
    <row r="1421" spans="20:21" x14ac:dyDescent="0.25">
      <c r="T1421" s="98"/>
      <c r="U1421" s="99"/>
    </row>
    <row r="1422" spans="20:21" x14ac:dyDescent="0.25">
      <c r="T1422" s="98"/>
      <c r="U1422" s="99"/>
    </row>
    <row r="1423" spans="20:21" x14ac:dyDescent="0.25">
      <c r="T1423" s="98"/>
      <c r="U1423" s="99"/>
    </row>
    <row r="1424" spans="20:21" x14ac:dyDescent="0.25">
      <c r="T1424" s="98"/>
      <c r="U1424" s="99"/>
    </row>
    <row r="1425" spans="20:21" x14ac:dyDescent="0.25">
      <c r="T1425" s="98"/>
      <c r="U1425" s="99"/>
    </row>
    <row r="1426" spans="20:21" x14ac:dyDescent="0.25">
      <c r="T1426" s="98"/>
      <c r="U1426" s="99"/>
    </row>
    <row r="1427" spans="20:21" x14ac:dyDescent="0.25">
      <c r="T1427" s="98"/>
      <c r="U1427" s="99"/>
    </row>
    <row r="1428" spans="20:21" x14ac:dyDescent="0.25">
      <c r="T1428" s="98"/>
      <c r="U1428" s="99"/>
    </row>
    <row r="1429" spans="20:21" x14ac:dyDescent="0.25">
      <c r="T1429" s="98"/>
      <c r="U1429" s="99"/>
    </row>
    <row r="1430" spans="20:21" x14ac:dyDescent="0.25">
      <c r="T1430" s="98"/>
      <c r="U1430" s="99"/>
    </row>
    <row r="1431" spans="20:21" x14ac:dyDescent="0.25">
      <c r="T1431" s="98"/>
      <c r="U1431" s="99"/>
    </row>
    <row r="1432" spans="20:21" x14ac:dyDescent="0.25">
      <c r="T1432" s="98"/>
      <c r="U1432" s="99"/>
    </row>
    <row r="1433" spans="20:21" x14ac:dyDescent="0.25">
      <c r="T1433" s="98"/>
      <c r="U1433" s="99"/>
    </row>
    <row r="1434" spans="20:21" x14ac:dyDescent="0.25">
      <c r="T1434" s="98"/>
      <c r="U1434" s="99"/>
    </row>
    <row r="1435" spans="20:21" x14ac:dyDescent="0.25">
      <c r="T1435" s="98"/>
      <c r="U1435" s="99"/>
    </row>
    <row r="1436" spans="20:21" x14ac:dyDescent="0.25">
      <c r="T1436" s="98"/>
      <c r="U1436" s="99"/>
    </row>
    <row r="1437" spans="20:21" x14ac:dyDescent="0.25">
      <c r="T1437" s="98"/>
      <c r="U1437" s="99"/>
    </row>
    <row r="1438" spans="20:21" x14ac:dyDescent="0.25">
      <c r="T1438" s="98"/>
      <c r="U1438" s="99"/>
    </row>
    <row r="1439" spans="20:21" x14ac:dyDescent="0.25">
      <c r="T1439" s="98"/>
      <c r="U1439" s="99"/>
    </row>
    <row r="1440" spans="20:21" x14ac:dyDescent="0.25">
      <c r="T1440" s="98"/>
      <c r="U1440" s="99"/>
    </row>
    <row r="1441" spans="20:21" x14ac:dyDescent="0.25">
      <c r="T1441" s="98"/>
      <c r="U1441" s="99"/>
    </row>
    <row r="1442" spans="20:21" x14ac:dyDescent="0.25">
      <c r="T1442" s="98"/>
      <c r="U1442" s="99"/>
    </row>
    <row r="1443" spans="20:21" x14ac:dyDescent="0.25">
      <c r="T1443" s="98"/>
      <c r="U1443" s="99"/>
    </row>
    <row r="1444" spans="20:21" x14ac:dyDescent="0.25">
      <c r="T1444" s="98"/>
      <c r="U1444" s="99"/>
    </row>
    <row r="1445" spans="20:21" x14ac:dyDescent="0.25">
      <c r="T1445" s="98"/>
      <c r="U1445" s="99"/>
    </row>
    <row r="1446" spans="20:21" x14ac:dyDescent="0.25">
      <c r="T1446" s="98"/>
      <c r="U1446" s="99"/>
    </row>
    <row r="1447" spans="20:21" x14ac:dyDescent="0.25">
      <c r="T1447" s="98"/>
      <c r="U1447" s="99"/>
    </row>
    <row r="1448" spans="20:21" x14ac:dyDescent="0.25">
      <c r="T1448" s="98"/>
      <c r="U1448" s="99"/>
    </row>
    <row r="1449" spans="20:21" x14ac:dyDescent="0.25">
      <c r="T1449" s="98"/>
      <c r="U1449" s="99"/>
    </row>
    <row r="1450" spans="20:21" x14ac:dyDescent="0.25">
      <c r="T1450" s="98"/>
      <c r="U1450" s="99"/>
    </row>
    <row r="1451" spans="20:21" x14ac:dyDescent="0.25">
      <c r="T1451" s="98"/>
      <c r="U1451" s="99"/>
    </row>
    <row r="1452" spans="20:21" x14ac:dyDescent="0.25">
      <c r="T1452" s="98"/>
      <c r="U1452" s="99"/>
    </row>
    <row r="1453" spans="20:21" x14ac:dyDescent="0.25">
      <c r="T1453" s="98"/>
      <c r="U1453" s="99"/>
    </row>
    <row r="1454" spans="20:21" x14ac:dyDescent="0.25">
      <c r="T1454" s="98"/>
      <c r="U1454" s="99"/>
    </row>
    <row r="1455" spans="20:21" x14ac:dyDescent="0.25">
      <c r="T1455" s="98"/>
      <c r="U1455" s="99"/>
    </row>
    <row r="1456" spans="20:21" x14ac:dyDescent="0.25">
      <c r="T1456" s="98"/>
      <c r="U1456" s="99"/>
    </row>
    <row r="1457" spans="20:21" x14ac:dyDescent="0.25">
      <c r="T1457" s="98"/>
      <c r="U1457" s="99"/>
    </row>
    <row r="1458" spans="20:21" x14ac:dyDescent="0.25">
      <c r="T1458" s="98"/>
      <c r="U1458" s="99"/>
    </row>
    <row r="1459" spans="20:21" x14ac:dyDescent="0.25">
      <c r="T1459" s="98"/>
      <c r="U1459" s="99"/>
    </row>
    <row r="1460" spans="20:21" x14ac:dyDescent="0.25">
      <c r="T1460" s="98"/>
      <c r="U1460" s="99"/>
    </row>
    <row r="1461" spans="20:21" x14ac:dyDescent="0.25">
      <c r="T1461" s="98"/>
      <c r="U1461" s="99"/>
    </row>
    <row r="1462" spans="20:21" x14ac:dyDescent="0.25">
      <c r="T1462" s="98"/>
      <c r="U1462" s="99"/>
    </row>
    <row r="1463" spans="20:21" x14ac:dyDescent="0.25">
      <c r="T1463" s="98"/>
      <c r="U1463" s="99"/>
    </row>
    <row r="1464" spans="20:21" x14ac:dyDescent="0.25">
      <c r="T1464" s="98"/>
      <c r="U1464" s="99"/>
    </row>
    <row r="1465" spans="20:21" x14ac:dyDescent="0.25">
      <c r="T1465" s="98"/>
      <c r="U1465" s="99"/>
    </row>
    <row r="1466" spans="20:21" x14ac:dyDescent="0.25">
      <c r="T1466" s="98"/>
      <c r="U1466" s="99"/>
    </row>
    <row r="1467" spans="20:21" x14ac:dyDescent="0.25">
      <c r="T1467" s="98"/>
      <c r="U1467" s="99"/>
    </row>
    <row r="1468" spans="20:21" x14ac:dyDescent="0.25">
      <c r="T1468" s="98"/>
      <c r="U1468" s="99"/>
    </row>
    <row r="1469" spans="20:21" x14ac:dyDescent="0.25">
      <c r="T1469" s="98"/>
      <c r="U1469" s="99"/>
    </row>
    <row r="1470" spans="20:21" x14ac:dyDescent="0.25">
      <c r="T1470" s="98"/>
      <c r="U1470" s="99"/>
    </row>
    <row r="1471" spans="20:21" x14ac:dyDescent="0.25">
      <c r="T1471" s="98"/>
      <c r="U1471" s="99"/>
    </row>
    <row r="1472" spans="20:21" x14ac:dyDescent="0.25">
      <c r="T1472" s="98"/>
      <c r="U1472" s="99"/>
    </row>
    <row r="1473" spans="20:21" x14ac:dyDescent="0.25">
      <c r="T1473" s="98"/>
      <c r="U1473" s="99"/>
    </row>
    <row r="1474" spans="20:21" x14ac:dyDescent="0.25">
      <c r="T1474" s="98"/>
      <c r="U1474" s="99"/>
    </row>
    <row r="1475" spans="20:21" x14ac:dyDescent="0.25">
      <c r="T1475" s="98"/>
      <c r="U1475" s="99"/>
    </row>
    <row r="1476" spans="20:21" x14ac:dyDescent="0.25">
      <c r="T1476" s="98"/>
      <c r="U1476" s="99"/>
    </row>
    <row r="1477" spans="20:21" x14ac:dyDescent="0.25">
      <c r="T1477" s="98"/>
      <c r="U1477" s="99"/>
    </row>
    <row r="1478" spans="20:21" x14ac:dyDescent="0.25">
      <c r="T1478" s="98"/>
      <c r="U1478" s="99"/>
    </row>
    <row r="1479" spans="20:21" x14ac:dyDescent="0.25">
      <c r="T1479" s="98"/>
      <c r="U1479" s="99"/>
    </row>
    <row r="1480" spans="20:21" x14ac:dyDescent="0.25">
      <c r="T1480" s="98"/>
      <c r="U1480" s="99"/>
    </row>
    <row r="1481" spans="20:21" x14ac:dyDescent="0.25">
      <c r="T1481" s="98"/>
      <c r="U1481" s="99"/>
    </row>
    <row r="1482" spans="20:21" x14ac:dyDescent="0.25">
      <c r="T1482" s="98"/>
      <c r="U1482" s="99"/>
    </row>
    <row r="1483" spans="20:21" x14ac:dyDescent="0.25">
      <c r="T1483" s="98"/>
      <c r="U1483" s="99"/>
    </row>
    <row r="1484" spans="20:21" x14ac:dyDescent="0.25">
      <c r="T1484" s="98"/>
      <c r="U1484" s="99"/>
    </row>
    <row r="1485" spans="20:21" x14ac:dyDescent="0.25">
      <c r="T1485" s="98"/>
      <c r="U1485" s="99"/>
    </row>
    <row r="1486" spans="20:21" x14ac:dyDescent="0.25">
      <c r="T1486" s="98"/>
      <c r="U1486" s="99"/>
    </row>
    <row r="1487" spans="20:21" x14ac:dyDescent="0.25">
      <c r="T1487" s="98"/>
      <c r="U1487" s="99"/>
    </row>
    <row r="1488" spans="20:21" x14ac:dyDescent="0.25">
      <c r="T1488" s="98"/>
      <c r="U1488" s="99"/>
    </row>
    <row r="1489" spans="20:21" x14ac:dyDescent="0.25">
      <c r="T1489" s="98"/>
      <c r="U1489" s="99"/>
    </row>
    <row r="1490" spans="20:21" x14ac:dyDescent="0.25">
      <c r="T1490" s="98"/>
      <c r="U1490" s="99"/>
    </row>
    <row r="1491" spans="20:21" x14ac:dyDescent="0.25">
      <c r="T1491" s="98"/>
      <c r="U1491" s="99"/>
    </row>
    <row r="1492" spans="20:21" x14ac:dyDescent="0.25">
      <c r="T1492" s="98"/>
      <c r="U1492" s="99"/>
    </row>
    <row r="1493" spans="20:21" x14ac:dyDescent="0.25">
      <c r="T1493" s="98"/>
      <c r="U1493" s="99"/>
    </row>
    <row r="1494" spans="20:21" x14ac:dyDescent="0.25">
      <c r="T1494" s="98"/>
      <c r="U1494" s="99"/>
    </row>
    <row r="1495" spans="20:21" x14ac:dyDescent="0.25">
      <c r="T1495" s="98"/>
      <c r="U1495" s="99"/>
    </row>
    <row r="1496" spans="20:21" x14ac:dyDescent="0.25">
      <c r="T1496" s="98"/>
      <c r="U1496" s="99"/>
    </row>
    <row r="1497" spans="20:21" x14ac:dyDescent="0.25">
      <c r="T1497" s="98"/>
      <c r="U1497" s="99"/>
    </row>
    <row r="1498" spans="20:21" x14ac:dyDescent="0.25">
      <c r="T1498" s="98"/>
      <c r="U1498" s="99"/>
    </row>
    <row r="1499" spans="20:21" x14ac:dyDescent="0.25">
      <c r="T1499" s="98"/>
      <c r="U1499" s="99"/>
    </row>
    <row r="1500" spans="20:21" x14ac:dyDescent="0.25">
      <c r="T1500" s="98"/>
      <c r="U1500" s="99"/>
    </row>
    <row r="1501" spans="20:21" x14ac:dyDescent="0.25">
      <c r="T1501" s="98"/>
      <c r="U1501" s="99"/>
    </row>
    <row r="1502" spans="20:21" x14ac:dyDescent="0.25">
      <c r="T1502" s="98"/>
      <c r="U1502" s="99"/>
    </row>
    <row r="1503" spans="20:21" x14ac:dyDescent="0.25">
      <c r="T1503" s="98"/>
      <c r="U1503" s="99"/>
    </row>
    <row r="1504" spans="20:21" x14ac:dyDescent="0.25">
      <c r="T1504" s="98"/>
      <c r="U1504" s="99"/>
    </row>
    <row r="1505" spans="20:21" x14ac:dyDescent="0.25">
      <c r="T1505" s="98"/>
      <c r="U1505" s="99"/>
    </row>
    <row r="1506" spans="20:21" x14ac:dyDescent="0.25">
      <c r="T1506" s="98"/>
      <c r="U1506" s="99"/>
    </row>
    <row r="1507" spans="20:21" x14ac:dyDescent="0.25">
      <c r="T1507" s="98"/>
      <c r="U1507" s="99"/>
    </row>
    <row r="1508" spans="20:21" x14ac:dyDescent="0.25">
      <c r="T1508" s="98"/>
      <c r="U1508" s="99"/>
    </row>
    <row r="1509" spans="20:21" x14ac:dyDescent="0.25">
      <c r="T1509" s="98"/>
      <c r="U1509" s="99"/>
    </row>
    <row r="1510" spans="20:21" x14ac:dyDescent="0.25">
      <c r="T1510" s="98"/>
      <c r="U1510" s="99"/>
    </row>
    <row r="1511" spans="20:21" x14ac:dyDescent="0.25">
      <c r="T1511" s="98"/>
      <c r="U1511" s="99"/>
    </row>
    <row r="1512" spans="20:21" x14ac:dyDescent="0.25">
      <c r="T1512" s="98"/>
      <c r="U1512" s="99"/>
    </row>
    <row r="1513" spans="20:21" x14ac:dyDescent="0.25">
      <c r="T1513" s="98"/>
      <c r="U1513" s="99"/>
    </row>
    <row r="1514" spans="20:21" x14ac:dyDescent="0.25">
      <c r="T1514" s="98"/>
      <c r="U1514" s="99"/>
    </row>
    <row r="1515" spans="20:21" x14ac:dyDescent="0.25">
      <c r="T1515" s="98"/>
      <c r="U1515" s="99"/>
    </row>
    <row r="1516" spans="20:21" x14ac:dyDescent="0.25">
      <c r="T1516" s="98"/>
      <c r="U1516" s="99"/>
    </row>
    <row r="1517" spans="20:21" x14ac:dyDescent="0.25">
      <c r="T1517" s="98"/>
      <c r="U1517" s="99"/>
    </row>
    <row r="1518" spans="20:21" x14ac:dyDescent="0.25">
      <c r="T1518" s="98"/>
      <c r="U1518" s="99"/>
    </row>
    <row r="1519" spans="20:21" x14ac:dyDescent="0.25">
      <c r="T1519" s="98"/>
      <c r="U1519" s="99"/>
    </row>
    <row r="1520" spans="20:21" x14ac:dyDescent="0.25">
      <c r="T1520" s="98"/>
      <c r="U1520" s="99"/>
    </row>
    <row r="1521" spans="20:21" x14ac:dyDescent="0.25">
      <c r="T1521" s="98"/>
      <c r="U1521" s="99"/>
    </row>
    <row r="1522" spans="20:21" x14ac:dyDescent="0.25">
      <c r="T1522" s="98"/>
      <c r="U1522" s="99"/>
    </row>
    <row r="1523" spans="20:21" x14ac:dyDescent="0.25">
      <c r="T1523" s="98"/>
      <c r="U1523" s="99"/>
    </row>
    <row r="1524" spans="20:21" x14ac:dyDescent="0.25">
      <c r="T1524" s="98"/>
      <c r="U1524" s="99"/>
    </row>
    <row r="1525" spans="20:21" x14ac:dyDescent="0.25">
      <c r="T1525" s="98"/>
      <c r="U1525" s="99"/>
    </row>
    <row r="1526" spans="20:21" x14ac:dyDescent="0.25">
      <c r="T1526" s="98"/>
      <c r="U1526" s="99"/>
    </row>
    <row r="1527" spans="20:21" x14ac:dyDescent="0.25">
      <c r="T1527" s="98"/>
      <c r="U1527" s="99"/>
    </row>
    <row r="1528" spans="20:21" x14ac:dyDescent="0.25">
      <c r="T1528" s="98"/>
      <c r="U1528" s="99"/>
    </row>
    <row r="1529" spans="20:21" x14ac:dyDescent="0.25">
      <c r="T1529" s="98"/>
      <c r="U1529" s="99"/>
    </row>
    <row r="1530" spans="20:21" x14ac:dyDescent="0.25">
      <c r="T1530" s="98"/>
      <c r="U1530" s="99"/>
    </row>
    <row r="1531" spans="20:21" x14ac:dyDescent="0.25">
      <c r="T1531" s="98"/>
      <c r="U1531" s="99"/>
    </row>
    <row r="1532" spans="20:21" x14ac:dyDescent="0.25">
      <c r="T1532" s="98"/>
      <c r="U1532" s="99"/>
    </row>
    <row r="1533" spans="20:21" x14ac:dyDescent="0.25">
      <c r="T1533" s="98"/>
      <c r="U1533" s="99"/>
    </row>
    <row r="1534" spans="20:21" x14ac:dyDescent="0.25">
      <c r="T1534" s="98"/>
      <c r="U1534" s="99"/>
    </row>
    <row r="1535" spans="20:21" x14ac:dyDescent="0.25">
      <c r="T1535" s="98"/>
      <c r="U1535" s="99"/>
    </row>
    <row r="1536" spans="20:21" x14ac:dyDescent="0.25">
      <c r="T1536" s="98"/>
      <c r="U1536" s="99"/>
    </row>
    <row r="1537" spans="20:21" x14ac:dyDescent="0.25">
      <c r="T1537" s="98"/>
      <c r="U1537" s="99"/>
    </row>
    <row r="1538" spans="20:21" x14ac:dyDescent="0.25">
      <c r="T1538" s="98"/>
      <c r="U1538" s="99"/>
    </row>
    <row r="1539" spans="20:21" x14ac:dyDescent="0.25">
      <c r="T1539" s="98"/>
      <c r="U1539" s="99"/>
    </row>
    <row r="1540" spans="20:21" x14ac:dyDescent="0.25">
      <c r="T1540" s="98"/>
      <c r="U1540" s="99"/>
    </row>
    <row r="1541" spans="20:21" x14ac:dyDescent="0.25">
      <c r="T1541" s="98"/>
      <c r="U1541" s="99"/>
    </row>
    <row r="1542" spans="20:21" x14ac:dyDescent="0.25">
      <c r="T1542" s="98"/>
      <c r="U1542" s="99"/>
    </row>
    <row r="1543" spans="20:21" x14ac:dyDescent="0.25">
      <c r="T1543" s="98"/>
      <c r="U1543" s="99"/>
    </row>
    <row r="1544" spans="20:21" x14ac:dyDescent="0.25">
      <c r="T1544" s="98"/>
      <c r="U1544" s="99"/>
    </row>
    <row r="1545" spans="20:21" x14ac:dyDescent="0.25">
      <c r="T1545" s="98"/>
      <c r="U1545" s="99"/>
    </row>
    <row r="1546" spans="20:21" x14ac:dyDescent="0.25">
      <c r="T1546" s="98"/>
      <c r="U1546" s="99"/>
    </row>
    <row r="1547" spans="20:21" x14ac:dyDescent="0.25">
      <c r="T1547" s="98"/>
      <c r="U1547" s="99"/>
    </row>
    <row r="1548" spans="20:21" x14ac:dyDescent="0.25">
      <c r="T1548" s="98"/>
      <c r="U1548" s="99"/>
    </row>
    <row r="1549" spans="20:21" x14ac:dyDescent="0.25">
      <c r="T1549" s="98"/>
      <c r="U1549" s="99"/>
    </row>
    <row r="1550" spans="20:21" x14ac:dyDescent="0.25">
      <c r="T1550" s="98"/>
      <c r="U1550" s="99"/>
    </row>
    <row r="1551" spans="20:21" x14ac:dyDescent="0.25">
      <c r="T1551" s="98"/>
      <c r="U1551" s="99"/>
    </row>
    <row r="1552" spans="20:21" x14ac:dyDescent="0.25">
      <c r="T1552" s="98"/>
      <c r="U1552" s="99"/>
    </row>
    <row r="1553" spans="20:21" x14ac:dyDescent="0.25">
      <c r="T1553" s="98"/>
      <c r="U1553" s="99"/>
    </row>
    <row r="1554" spans="20:21" x14ac:dyDescent="0.25">
      <c r="T1554" s="98"/>
      <c r="U1554" s="99"/>
    </row>
    <row r="1555" spans="20:21" x14ac:dyDescent="0.25">
      <c r="T1555" s="98"/>
      <c r="U1555" s="99"/>
    </row>
    <row r="1556" spans="20:21" x14ac:dyDescent="0.25">
      <c r="T1556" s="98"/>
      <c r="U1556" s="99"/>
    </row>
    <row r="1557" spans="20:21" x14ac:dyDescent="0.25">
      <c r="T1557" s="98"/>
      <c r="U1557" s="99"/>
    </row>
    <row r="1558" spans="20:21" x14ac:dyDescent="0.25">
      <c r="T1558" s="98"/>
      <c r="U1558" s="99"/>
    </row>
    <row r="1559" spans="20:21" x14ac:dyDescent="0.25">
      <c r="T1559" s="98"/>
      <c r="U1559" s="99"/>
    </row>
    <row r="1560" spans="20:21" x14ac:dyDescent="0.25">
      <c r="T1560" s="98"/>
      <c r="U1560" s="99"/>
    </row>
    <row r="1561" spans="20:21" x14ac:dyDescent="0.25">
      <c r="T1561" s="98"/>
      <c r="U1561" s="99"/>
    </row>
    <row r="1562" spans="20:21" x14ac:dyDescent="0.25">
      <c r="T1562" s="98"/>
      <c r="U1562" s="99"/>
    </row>
    <row r="1563" spans="20:21" x14ac:dyDescent="0.25">
      <c r="T1563" s="98"/>
      <c r="U1563" s="99"/>
    </row>
    <row r="1564" spans="20:21" x14ac:dyDescent="0.25">
      <c r="T1564" s="98"/>
      <c r="U1564" s="99"/>
    </row>
    <row r="1565" spans="20:21" x14ac:dyDescent="0.25">
      <c r="T1565" s="98"/>
      <c r="U1565" s="99"/>
    </row>
    <row r="1566" spans="20:21" x14ac:dyDescent="0.25">
      <c r="T1566" s="98"/>
      <c r="U1566" s="99"/>
    </row>
    <row r="1567" spans="20:21" x14ac:dyDescent="0.25">
      <c r="T1567" s="98"/>
      <c r="U1567" s="99"/>
    </row>
    <row r="1568" spans="20:21" x14ac:dyDescent="0.25">
      <c r="T1568" s="98"/>
      <c r="U1568" s="99"/>
    </row>
    <row r="1569" spans="20:21" x14ac:dyDescent="0.25">
      <c r="T1569" s="98"/>
      <c r="U1569" s="99"/>
    </row>
    <row r="1570" spans="20:21" x14ac:dyDescent="0.25">
      <c r="T1570" s="98"/>
      <c r="U1570" s="99"/>
    </row>
    <row r="1571" spans="20:21" x14ac:dyDescent="0.25">
      <c r="T1571" s="98"/>
      <c r="U1571" s="99"/>
    </row>
    <row r="1572" spans="20:21" x14ac:dyDescent="0.25">
      <c r="T1572" s="98"/>
      <c r="U1572" s="99"/>
    </row>
    <row r="1573" spans="20:21" x14ac:dyDescent="0.25">
      <c r="T1573" s="98"/>
      <c r="U1573" s="99"/>
    </row>
    <row r="1574" spans="20:21" x14ac:dyDescent="0.25">
      <c r="T1574" s="98"/>
      <c r="U1574" s="99"/>
    </row>
    <row r="1575" spans="20:21" x14ac:dyDescent="0.25">
      <c r="T1575" s="98"/>
      <c r="U1575" s="99"/>
    </row>
    <row r="1576" spans="20:21" x14ac:dyDescent="0.25">
      <c r="T1576" s="98"/>
      <c r="U1576" s="99"/>
    </row>
    <row r="1577" spans="20:21" x14ac:dyDescent="0.25">
      <c r="T1577" s="98"/>
      <c r="U1577" s="99"/>
    </row>
    <row r="1578" spans="20:21" x14ac:dyDescent="0.25">
      <c r="T1578" s="98"/>
      <c r="U1578" s="99"/>
    </row>
    <row r="1579" spans="20:21" x14ac:dyDescent="0.25">
      <c r="T1579" s="98"/>
      <c r="U1579" s="99"/>
    </row>
    <row r="1580" spans="20:21" x14ac:dyDescent="0.25">
      <c r="T1580" s="98"/>
      <c r="U1580" s="99"/>
    </row>
    <row r="1581" spans="20:21" x14ac:dyDescent="0.25">
      <c r="T1581" s="98"/>
      <c r="U1581" s="99"/>
    </row>
    <row r="1582" spans="20:21" x14ac:dyDescent="0.25">
      <c r="T1582" s="98"/>
      <c r="U1582" s="99"/>
    </row>
    <row r="1583" spans="20:21" x14ac:dyDescent="0.25">
      <c r="T1583" s="98"/>
      <c r="U1583" s="99"/>
    </row>
    <row r="1584" spans="20:21" x14ac:dyDescent="0.25">
      <c r="T1584" s="98"/>
      <c r="U1584" s="99"/>
    </row>
    <row r="1585" spans="20:21" x14ac:dyDescent="0.25">
      <c r="T1585" s="98"/>
      <c r="U1585" s="99"/>
    </row>
    <row r="1586" spans="20:21" x14ac:dyDescent="0.25">
      <c r="T1586" s="98"/>
      <c r="U1586" s="99"/>
    </row>
    <row r="1587" spans="20:21" x14ac:dyDescent="0.25">
      <c r="T1587" s="98"/>
      <c r="U1587" s="99"/>
    </row>
    <row r="1588" spans="20:21" x14ac:dyDescent="0.25">
      <c r="T1588" s="98"/>
      <c r="U1588" s="99"/>
    </row>
    <row r="1589" spans="20:21" x14ac:dyDescent="0.25">
      <c r="T1589" s="98"/>
      <c r="U1589" s="99"/>
    </row>
    <row r="1590" spans="20:21" x14ac:dyDescent="0.25">
      <c r="T1590" s="98"/>
      <c r="U1590" s="99"/>
    </row>
    <row r="1591" spans="20:21" x14ac:dyDescent="0.25">
      <c r="T1591" s="98"/>
      <c r="U1591" s="99"/>
    </row>
    <row r="1592" spans="20:21" x14ac:dyDescent="0.25">
      <c r="T1592" s="98"/>
      <c r="U1592" s="99"/>
    </row>
    <row r="1593" spans="20:21" x14ac:dyDescent="0.25">
      <c r="T1593" s="98"/>
      <c r="U1593" s="99"/>
    </row>
    <row r="1594" spans="20:21" x14ac:dyDescent="0.25">
      <c r="T1594" s="98"/>
      <c r="U1594" s="99"/>
    </row>
    <row r="1595" spans="20:21" x14ac:dyDescent="0.25">
      <c r="T1595" s="98"/>
      <c r="U1595" s="99"/>
    </row>
    <row r="1596" spans="20:21" x14ac:dyDescent="0.25">
      <c r="T1596" s="98"/>
      <c r="U1596" s="99"/>
    </row>
    <row r="1597" spans="20:21" x14ac:dyDescent="0.25">
      <c r="T1597" s="98"/>
      <c r="U1597" s="99"/>
    </row>
    <row r="1598" spans="20:21" x14ac:dyDescent="0.25">
      <c r="T1598" s="98"/>
      <c r="U1598" s="99"/>
    </row>
    <row r="1599" spans="20:21" x14ac:dyDescent="0.25">
      <c r="T1599" s="98"/>
      <c r="U1599" s="99"/>
    </row>
    <row r="1600" spans="20:21" x14ac:dyDescent="0.25">
      <c r="T1600" s="98"/>
      <c r="U1600" s="99"/>
    </row>
    <row r="1601" spans="20:21" x14ac:dyDescent="0.25">
      <c r="T1601" s="98"/>
      <c r="U1601" s="99"/>
    </row>
    <row r="1602" spans="20:21" x14ac:dyDescent="0.25">
      <c r="T1602" s="98"/>
      <c r="U1602" s="99"/>
    </row>
    <row r="1603" spans="20:21" x14ac:dyDescent="0.25">
      <c r="T1603" s="98"/>
      <c r="U1603" s="99"/>
    </row>
    <row r="1604" spans="20:21" x14ac:dyDescent="0.25">
      <c r="T1604" s="98"/>
      <c r="U1604" s="99"/>
    </row>
    <row r="1605" spans="20:21" x14ac:dyDescent="0.25">
      <c r="T1605" s="98"/>
      <c r="U1605" s="99"/>
    </row>
    <row r="1606" spans="20:21" x14ac:dyDescent="0.25">
      <c r="T1606" s="98"/>
      <c r="U1606" s="99"/>
    </row>
    <row r="1607" spans="20:21" x14ac:dyDescent="0.25">
      <c r="T1607" s="98"/>
      <c r="U1607" s="99"/>
    </row>
    <row r="1608" spans="20:21" x14ac:dyDescent="0.25">
      <c r="T1608" s="98"/>
      <c r="U1608" s="99"/>
    </row>
    <row r="1609" spans="20:21" x14ac:dyDescent="0.25">
      <c r="T1609" s="98"/>
      <c r="U1609" s="99"/>
    </row>
    <row r="1610" spans="20:21" x14ac:dyDescent="0.25">
      <c r="T1610" s="98"/>
      <c r="U1610" s="99"/>
    </row>
    <row r="1611" spans="20:21" x14ac:dyDescent="0.25">
      <c r="T1611" s="98"/>
      <c r="U1611" s="99"/>
    </row>
    <row r="1612" spans="20:21" x14ac:dyDescent="0.25">
      <c r="T1612" s="98"/>
      <c r="U1612" s="99"/>
    </row>
    <row r="1613" spans="20:21" x14ac:dyDescent="0.25">
      <c r="T1613" s="98"/>
      <c r="U1613" s="99"/>
    </row>
    <row r="1614" spans="20:21" x14ac:dyDescent="0.25">
      <c r="T1614" s="98"/>
      <c r="U1614" s="99"/>
    </row>
    <row r="1615" spans="20:21" x14ac:dyDescent="0.25">
      <c r="T1615" s="98"/>
      <c r="U1615" s="99"/>
    </row>
    <row r="1616" spans="20:21" x14ac:dyDescent="0.25">
      <c r="T1616" s="98"/>
      <c r="U1616" s="99"/>
    </row>
    <row r="1617" spans="20:21" x14ac:dyDescent="0.25">
      <c r="T1617" s="98"/>
      <c r="U1617" s="99"/>
    </row>
    <row r="1618" spans="20:21" x14ac:dyDescent="0.25">
      <c r="T1618" s="98"/>
      <c r="U1618" s="99"/>
    </row>
    <row r="1619" spans="20:21" x14ac:dyDescent="0.25">
      <c r="T1619" s="98"/>
      <c r="U1619" s="99"/>
    </row>
    <row r="1620" spans="20:21" x14ac:dyDescent="0.25">
      <c r="T1620" s="98"/>
      <c r="U1620" s="99"/>
    </row>
    <row r="1621" spans="20:21" x14ac:dyDescent="0.25">
      <c r="T1621" s="98"/>
      <c r="U1621" s="99"/>
    </row>
    <row r="1622" spans="20:21" x14ac:dyDescent="0.25">
      <c r="T1622" s="98"/>
      <c r="U1622" s="99"/>
    </row>
    <row r="1623" spans="20:21" x14ac:dyDescent="0.25">
      <c r="T1623" s="98"/>
      <c r="U1623" s="99"/>
    </row>
    <row r="1624" spans="20:21" x14ac:dyDescent="0.25">
      <c r="T1624" s="98"/>
      <c r="U1624" s="99"/>
    </row>
    <row r="1625" spans="20:21" x14ac:dyDescent="0.25">
      <c r="T1625" s="98"/>
      <c r="U1625" s="99"/>
    </row>
    <row r="1626" spans="20:21" x14ac:dyDescent="0.25">
      <c r="T1626" s="98"/>
      <c r="U1626" s="99"/>
    </row>
    <row r="1627" spans="20:21" x14ac:dyDescent="0.25">
      <c r="T1627" s="98"/>
      <c r="U1627" s="99"/>
    </row>
    <row r="1628" spans="20:21" x14ac:dyDescent="0.25">
      <c r="T1628" s="98"/>
      <c r="U1628" s="99"/>
    </row>
    <row r="1629" spans="20:21" x14ac:dyDescent="0.25">
      <c r="T1629" s="98"/>
      <c r="U1629" s="99"/>
    </row>
    <row r="1630" spans="20:21" x14ac:dyDescent="0.25">
      <c r="T1630" s="98"/>
      <c r="U1630" s="99"/>
    </row>
    <row r="1631" spans="20:21" x14ac:dyDescent="0.25">
      <c r="T1631" s="98"/>
      <c r="U1631" s="99"/>
    </row>
    <row r="1632" spans="20:21" x14ac:dyDescent="0.25">
      <c r="T1632" s="98"/>
      <c r="U1632" s="99"/>
    </row>
    <row r="1633" spans="20:21" x14ac:dyDescent="0.25">
      <c r="T1633" s="98"/>
      <c r="U1633" s="99"/>
    </row>
    <row r="1634" spans="20:21" x14ac:dyDescent="0.25">
      <c r="T1634" s="98"/>
      <c r="U1634" s="99"/>
    </row>
    <row r="1635" spans="20:21" x14ac:dyDescent="0.25">
      <c r="T1635" s="98"/>
      <c r="U1635" s="99"/>
    </row>
    <row r="1636" spans="20:21" x14ac:dyDescent="0.25">
      <c r="T1636" s="98"/>
      <c r="U1636" s="99"/>
    </row>
    <row r="1637" spans="20:21" x14ac:dyDescent="0.25">
      <c r="T1637" s="98"/>
      <c r="U1637" s="99"/>
    </row>
    <row r="1638" spans="20:21" x14ac:dyDescent="0.25">
      <c r="T1638" s="98"/>
      <c r="U1638" s="99"/>
    </row>
    <row r="1639" spans="20:21" x14ac:dyDescent="0.25">
      <c r="T1639" s="98"/>
      <c r="U1639" s="99"/>
    </row>
    <row r="1640" spans="20:21" x14ac:dyDescent="0.25">
      <c r="T1640" s="98"/>
      <c r="U1640" s="99"/>
    </row>
    <row r="1641" spans="20:21" x14ac:dyDescent="0.25">
      <c r="T1641" s="98"/>
      <c r="U1641" s="99"/>
    </row>
    <row r="1642" spans="20:21" x14ac:dyDescent="0.25">
      <c r="T1642" s="98"/>
      <c r="U1642" s="99"/>
    </row>
    <row r="1643" spans="20:21" x14ac:dyDescent="0.25">
      <c r="T1643" s="98"/>
      <c r="U1643" s="99"/>
    </row>
    <row r="1644" spans="20:21" x14ac:dyDescent="0.25">
      <c r="T1644" s="98"/>
      <c r="U1644" s="99"/>
    </row>
    <row r="1645" spans="20:21" x14ac:dyDescent="0.25">
      <c r="T1645" s="98"/>
      <c r="U1645" s="99"/>
    </row>
    <row r="1646" spans="20:21" x14ac:dyDescent="0.25">
      <c r="T1646" s="98"/>
      <c r="U1646" s="99"/>
    </row>
    <row r="1647" spans="20:21" x14ac:dyDescent="0.25">
      <c r="T1647" s="98"/>
      <c r="U1647" s="99"/>
    </row>
    <row r="1648" spans="20:21" x14ac:dyDescent="0.25">
      <c r="T1648" s="98"/>
      <c r="U1648" s="99"/>
    </row>
    <row r="1649" spans="20:21" x14ac:dyDescent="0.25">
      <c r="T1649" s="98"/>
      <c r="U1649" s="99"/>
    </row>
    <row r="1650" spans="20:21" x14ac:dyDescent="0.25">
      <c r="T1650" s="98"/>
      <c r="U1650" s="99"/>
    </row>
    <row r="1651" spans="20:21" x14ac:dyDescent="0.25">
      <c r="T1651" s="98"/>
      <c r="U1651" s="99"/>
    </row>
    <row r="1652" spans="20:21" x14ac:dyDescent="0.25">
      <c r="T1652" s="98"/>
      <c r="U1652" s="99"/>
    </row>
    <row r="1653" spans="20:21" x14ac:dyDescent="0.25">
      <c r="T1653" s="98"/>
      <c r="U1653" s="99"/>
    </row>
    <row r="1654" spans="20:21" x14ac:dyDescent="0.25">
      <c r="T1654" s="98"/>
      <c r="U1654" s="99"/>
    </row>
    <row r="1655" spans="20:21" x14ac:dyDescent="0.25">
      <c r="T1655" s="98"/>
      <c r="U1655" s="99"/>
    </row>
    <row r="1656" spans="20:21" x14ac:dyDescent="0.25">
      <c r="T1656" s="98"/>
      <c r="U1656" s="99"/>
    </row>
    <row r="1657" spans="20:21" x14ac:dyDescent="0.25">
      <c r="T1657" s="98"/>
      <c r="U1657" s="99"/>
    </row>
    <row r="1658" spans="20:21" x14ac:dyDescent="0.25">
      <c r="T1658" s="98"/>
      <c r="U1658" s="99"/>
    </row>
    <row r="1659" spans="20:21" x14ac:dyDescent="0.25">
      <c r="T1659" s="98"/>
      <c r="U1659" s="99"/>
    </row>
    <row r="1660" spans="20:21" x14ac:dyDescent="0.25">
      <c r="T1660" s="98"/>
      <c r="U1660" s="99"/>
    </row>
    <row r="1661" spans="20:21" x14ac:dyDescent="0.25">
      <c r="T1661" s="98"/>
      <c r="U1661" s="99"/>
    </row>
    <row r="1662" spans="20:21" x14ac:dyDescent="0.25">
      <c r="T1662" s="98"/>
      <c r="U1662" s="99"/>
    </row>
    <row r="1663" spans="20:21" x14ac:dyDescent="0.25">
      <c r="T1663" s="98"/>
      <c r="U1663" s="99"/>
    </row>
    <row r="1664" spans="20:21" x14ac:dyDescent="0.25">
      <c r="T1664" s="98"/>
      <c r="U1664" s="99"/>
    </row>
    <row r="1665" spans="20:21" x14ac:dyDescent="0.25">
      <c r="T1665" s="98"/>
      <c r="U1665" s="99"/>
    </row>
    <row r="1666" spans="20:21" x14ac:dyDescent="0.25">
      <c r="T1666" s="98"/>
      <c r="U1666" s="99"/>
    </row>
    <row r="1667" spans="20:21" x14ac:dyDescent="0.25">
      <c r="T1667" s="98"/>
      <c r="U1667" s="99"/>
    </row>
    <row r="1668" spans="20:21" x14ac:dyDescent="0.25">
      <c r="T1668" s="98"/>
      <c r="U1668" s="99"/>
    </row>
    <row r="1669" spans="20:21" x14ac:dyDescent="0.25">
      <c r="T1669" s="98"/>
      <c r="U1669" s="99"/>
    </row>
    <row r="1670" spans="20:21" x14ac:dyDescent="0.25">
      <c r="T1670" s="98"/>
      <c r="U1670" s="99"/>
    </row>
    <row r="1671" spans="20:21" x14ac:dyDescent="0.25">
      <c r="T1671" s="98"/>
      <c r="U1671" s="99"/>
    </row>
    <row r="1672" spans="20:21" x14ac:dyDescent="0.25">
      <c r="T1672" s="98"/>
      <c r="U1672" s="99"/>
    </row>
    <row r="1673" spans="20:21" x14ac:dyDescent="0.25">
      <c r="T1673" s="98"/>
      <c r="U1673" s="99"/>
    </row>
    <row r="1674" spans="20:21" x14ac:dyDescent="0.25">
      <c r="T1674" s="98"/>
      <c r="U1674" s="99"/>
    </row>
    <row r="1675" spans="20:21" x14ac:dyDescent="0.25">
      <c r="T1675" s="98"/>
      <c r="U1675" s="99"/>
    </row>
    <row r="1676" spans="20:21" x14ac:dyDescent="0.25">
      <c r="T1676" s="98"/>
      <c r="U1676" s="99"/>
    </row>
    <row r="1677" spans="20:21" x14ac:dyDescent="0.25">
      <c r="T1677" s="98"/>
      <c r="U1677" s="99"/>
    </row>
    <row r="1678" spans="20:21" x14ac:dyDescent="0.25">
      <c r="T1678" s="98"/>
      <c r="U1678" s="99"/>
    </row>
    <row r="1679" spans="20:21" x14ac:dyDescent="0.25">
      <c r="T1679" s="98"/>
      <c r="U1679" s="99"/>
    </row>
    <row r="1680" spans="20:21" x14ac:dyDescent="0.25">
      <c r="T1680" s="98"/>
      <c r="U1680" s="99"/>
    </row>
    <row r="1681" spans="20:21" x14ac:dyDescent="0.25">
      <c r="T1681" s="98"/>
      <c r="U1681" s="99"/>
    </row>
    <row r="1682" spans="20:21" x14ac:dyDescent="0.25">
      <c r="T1682" s="98"/>
      <c r="U1682" s="99"/>
    </row>
    <row r="1683" spans="20:21" x14ac:dyDescent="0.25">
      <c r="T1683" s="98"/>
      <c r="U1683" s="99"/>
    </row>
    <row r="1684" spans="20:21" x14ac:dyDescent="0.25">
      <c r="T1684" s="98"/>
      <c r="U1684" s="99"/>
    </row>
    <row r="1685" spans="20:21" x14ac:dyDescent="0.25">
      <c r="T1685" s="98"/>
      <c r="U1685" s="99"/>
    </row>
    <row r="1686" spans="20:21" x14ac:dyDescent="0.25">
      <c r="T1686" s="98"/>
      <c r="U1686" s="99"/>
    </row>
    <row r="1687" spans="20:21" x14ac:dyDescent="0.25">
      <c r="T1687" s="98"/>
      <c r="U1687" s="99"/>
    </row>
    <row r="1688" spans="20:21" x14ac:dyDescent="0.25">
      <c r="T1688" s="98"/>
      <c r="U1688" s="99"/>
    </row>
    <row r="1689" spans="20:21" x14ac:dyDescent="0.25">
      <c r="T1689" s="98"/>
      <c r="U1689" s="99"/>
    </row>
    <row r="1690" spans="20:21" x14ac:dyDescent="0.25">
      <c r="T1690" s="98"/>
      <c r="U1690" s="99"/>
    </row>
    <row r="1691" spans="20:21" x14ac:dyDescent="0.25">
      <c r="T1691" s="98"/>
      <c r="U1691" s="99"/>
    </row>
    <row r="1692" spans="20:21" x14ac:dyDescent="0.25">
      <c r="T1692" s="98"/>
      <c r="U1692" s="99"/>
    </row>
    <row r="1693" spans="20:21" x14ac:dyDescent="0.25">
      <c r="T1693" s="98"/>
      <c r="U1693" s="99"/>
    </row>
    <row r="1694" spans="20:21" x14ac:dyDescent="0.25">
      <c r="T1694" s="98"/>
      <c r="U1694" s="99"/>
    </row>
    <row r="1695" spans="20:21" x14ac:dyDescent="0.25">
      <c r="T1695" s="98"/>
      <c r="U1695" s="99"/>
    </row>
    <row r="1696" spans="20:21" x14ac:dyDescent="0.25">
      <c r="T1696" s="98"/>
      <c r="U1696" s="99"/>
    </row>
    <row r="1697" spans="20:21" x14ac:dyDescent="0.25">
      <c r="T1697" s="98"/>
      <c r="U1697" s="99"/>
    </row>
    <row r="1698" spans="20:21" x14ac:dyDescent="0.25">
      <c r="T1698" s="98"/>
      <c r="U1698" s="99"/>
    </row>
    <row r="1699" spans="20:21" x14ac:dyDescent="0.25">
      <c r="T1699" s="98"/>
      <c r="U1699" s="99"/>
    </row>
    <row r="1700" spans="20:21" x14ac:dyDescent="0.25">
      <c r="T1700" s="98"/>
      <c r="U1700" s="99"/>
    </row>
    <row r="1701" spans="20:21" x14ac:dyDescent="0.25">
      <c r="T1701" s="98"/>
      <c r="U1701" s="99"/>
    </row>
    <row r="1702" spans="20:21" x14ac:dyDescent="0.25">
      <c r="T1702" s="98"/>
      <c r="U1702" s="99"/>
    </row>
    <row r="1703" spans="20:21" x14ac:dyDescent="0.25">
      <c r="T1703" s="98"/>
      <c r="U1703" s="99"/>
    </row>
    <row r="1704" spans="20:21" x14ac:dyDescent="0.25">
      <c r="T1704" s="98"/>
      <c r="U1704" s="99"/>
    </row>
    <row r="1705" spans="20:21" x14ac:dyDescent="0.25">
      <c r="T1705" s="98"/>
      <c r="U1705" s="99"/>
    </row>
    <row r="1706" spans="20:21" x14ac:dyDescent="0.25">
      <c r="T1706" s="98"/>
      <c r="U1706" s="99"/>
    </row>
    <row r="1707" spans="20:21" x14ac:dyDescent="0.25">
      <c r="T1707" s="98"/>
      <c r="U1707" s="99"/>
    </row>
    <row r="1708" spans="20:21" x14ac:dyDescent="0.25">
      <c r="T1708" s="98"/>
      <c r="U1708" s="99"/>
    </row>
    <row r="1709" spans="20:21" x14ac:dyDescent="0.25">
      <c r="T1709" s="98"/>
      <c r="U1709" s="99"/>
    </row>
    <row r="1710" spans="20:21" x14ac:dyDescent="0.25">
      <c r="T1710" s="98"/>
      <c r="U1710" s="99"/>
    </row>
    <row r="1711" spans="20:21" x14ac:dyDescent="0.25">
      <c r="T1711" s="98"/>
      <c r="U1711" s="99"/>
    </row>
    <row r="1712" spans="20:21" x14ac:dyDescent="0.25">
      <c r="T1712" s="98"/>
      <c r="U1712" s="99"/>
    </row>
    <row r="1713" spans="20:21" x14ac:dyDescent="0.25">
      <c r="T1713" s="98"/>
      <c r="U1713" s="99"/>
    </row>
    <row r="1714" spans="20:21" x14ac:dyDescent="0.25">
      <c r="T1714" s="98"/>
      <c r="U1714" s="99"/>
    </row>
    <row r="1715" spans="20:21" x14ac:dyDescent="0.25">
      <c r="T1715" s="98"/>
      <c r="U1715" s="99"/>
    </row>
    <row r="1716" spans="20:21" x14ac:dyDescent="0.25">
      <c r="T1716" s="98"/>
      <c r="U1716" s="99"/>
    </row>
    <row r="1717" spans="20:21" x14ac:dyDescent="0.25">
      <c r="T1717" s="98"/>
      <c r="U1717" s="99"/>
    </row>
    <row r="1718" spans="20:21" x14ac:dyDescent="0.25">
      <c r="T1718" s="98"/>
      <c r="U1718" s="99"/>
    </row>
    <row r="1719" spans="20:21" x14ac:dyDescent="0.25">
      <c r="T1719" s="98"/>
      <c r="U1719" s="99"/>
    </row>
    <row r="1720" spans="20:21" x14ac:dyDescent="0.25">
      <c r="T1720" s="98"/>
      <c r="U1720" s="99"/>
    </row>
    <row r="1721" spans="20:21" x14ac:dyDescent="0.25">
      <c r="T1721" s="98"/>
      <c r="U1721" s="99"/>
    </row>
    <row r="1722" spans="20:21" x14ac:dyDescent="0.25">
      <c r="T1722" s="98"/>
      <c r="U1722" s="99"/>
    </row>
    <row r="1723" spans="20:21" x14ac:dyDescent="0.25">
      <c r="T1723" s="98"/>
      <c r="U1723" s="99"/>
    </row>
    <row r="1724" spans="20:21" x14ac:dyDescent="0.25">
      <c r="T1724" s="98"/>
      <c r="U1724" s="99"/>
    </row>
    <row r="1725" spans="20:21" x14ac:dyDescent="0.25">
      <c r="T1725" s="98"/>
      <c r="U1725" s="99"/>
    </row>
    <row r="1726" spans="20:21" x14ac:dyDescent="0.25">
      <c r="T1726" s="98"/>
      <c r="U1726" s="99"/>
    </row>
    <row r="1727" spans="20:21" x14ac:dyDescent="0.25">
      <c r="T1727" s="98"/>
      <c r="U1727" s="99"/>
    </row>
    <row r="1728" spans="20:21" x14ac:dyDescent="0.25">
      <c r="T1728" s="98"/>
      <c r="U1728" s="99"/>
    </row>
    <row r="1729" spans="20:21" x14ac:dyDescent="0.25">
      <c r="T1729" s="98"/>
      <c r="U1729" s="99"/>
    </row>
    <row r="1730" spans="20:21" x14ac:dyDescent="0.25">
      <c r="T1730" s="98"/>
      <c r="U1730" s="99"/>
    </row>
    <row r="1731" spans="20:21" x14ac:dyDescent="0.25">
      <c r="T1731" s="98"/>
      <c r="U1731" s="99"/>
    </row>
    <row r="1732" spans="20:21" x14ac:dyDescent="0.25">
      <c r="T1732" s="98"/>
      <c r="U1732" s="99"/>
    </row>
    <row r="1733" spans="20:21" x14ac:dyDescent="0.25">
      <c r="T1733" s="98"/>
      <c r="U1733" s="99"/>
    </row>
    <row r="1734" spans="20:21" x14ac:dyDescent="0.25">
      <c r="T1734" s="98"/>
      <c r="U1734" s="99"/>
    </row>
    <row r="1735" spans="20:21" x14ac:dyDescent="0.25">
      <c r="T1735" s="98"/>
      <c r="U1735" s="99"/>
    </row>
    <row r="1736" spans="20:21" x14ac:dyDescent="0.25">
      <c r="T1736" s="98"/>
      <c r="U1736" s="99"/>
    </row>
    <row r="1737" spans="20:21" x14ac:dyDescent="0.25">
      <c r="T1737" s="98"/>
      <c r="U1737" s="99"/>
    </row>
    <row r="1738" spans="20:21" x14ac:dyDescent="0.25">
      <c r="T1738" s="98"/>
      <c r="U1738" s="99"/>
    </row>
    <row r="1739" spans="20:21" x14ac:dyDescent="0.25">
      <c r="T1739" s="98"/>
      <c r="U1739" s="99"/>
    </row>
    <row r="1740" spans="20:21" x14ac:dyDescent="0.25">
      <c r="T1740" s="98"/>
      <c r="U1740" s="99"/>
    </row>
    <row r="1741" spans="20:21" x14ac:dyDescent="0.25">
      <c r="T1741" s="98"/>
      <c r="U1741" s="99"/>
    </row>
    <row r="1742" spans="20:21" x14ac:dyDescent="0.25">
      <c r="T1742" s="98"/>
      <c r="U1742" s="99"/>
    </row>
    <row r="1743" spans="20:21" x14ac:dyDescent="0.25">
      <c r="T1743" s="98"/>
      <c r="U1743" s="99"/>
    </row>
    <row r="1744" spans="20:21" x14ac:dyDescent="0.25">
      <c r="T1744" s="98"/>
      <c r="U1744" s="99"/>
    </row>
    <row r="1745" spans="20:21" x14ac:dyDescent="0.25">
      <c r="T1745" s="98"/>
      <c r="U1745" s="99"/>
    </row>
    <row r="1746" spans="20:21" x14ac:dyDescent="0.25">
      <c r="T1746" s="98"/>
      <c r="U1746" s="99"/>
    </row>
    <row r="1747" spans="20:21" x14ac:dyDescent="0.25">
      <c r="T1747" s="98"/>
      <c r="U1747" s="99"/>
    </row>
    <row r="1748" spans="20:21" x14ac:dyDescent="0.25">
      <c r="T1748" s="98"/>
      <c r="U1748" s="99"/>
    </row>
    <row r="1749" spans="20:21" x14ac:dyDescent="0.25">
      <c r="T1749" s="98"/>
      <c r="U1749" s="99"/>
    </row>
    <row r="1750" spans="20:21" x14ac:dyDescent="0.25">
      <c r="T1750" s="98"/>
      <c r="U1750" s="99"/>
    </row>
    <row r="1751" spans="20:21" x14ac:dyDescent="0.25">
      <c r="T1751" s="98"/>
      <c r="U1751" s="99"/>
    </row>
    <row r="1752" spans="20:21" x14ac:dyDescent="0.25">
      <c r="T1752" s="98"/>
      <c r="U1752" s="99"/>
    </row>
    <row r="1753" spans="20:21" x14ac:dyDescent="0.25">
      <c r="T1753" s="98"/>
      <c r="U1753" s="99"/>
    </row>
    <row r="1754" spans="20:21" x14ac:dyDescent="0.25">
      <c r="T1754" s="98"/>
      <c r="U1754" s="99"/>
    </row>
    <row r="1755" spans="20:21" x14ac:dyDescent="0.25">
      <c r="T1755" s="98"/>
      <c r="U1755" s="99"/>
    </row>
    <row r="1756" spans="20:21" x14ac:dyDescent="0.25">
      <c r="T1756" s="98"/>
      <c r="U1756" s="99"/>
    </row>
    <row r="1757" spans="20:21" x14ac:dyDescent="0.25">
      <c r="T1757" s="98"/>
      <c r="U1757" s="99"/>
    </row>
    <row r="1758" spans="20:21" x14ac:dyDescent="0.25">
      <c r="T1758" s="98"/>
      <c r="U1758" s="99"/>
    </row>
    <row r="1759" spans="20:21" x14ac:dyDescent="0.25">
      <c r="T1759" s="98"/>
      <c r="U1759" s="99"/>
    </row>
    <row r="1760" spans="20:21" x14ac:dyDescent="0.25">
      <c r="T1760" s="98"/>
      <c r="U1760" s="99"/>
    </row>
    <row r="1761" spans="20:21" x14ac:dyDescent="0.25">
      <c r="T1761" s="98"/>
      <c r="U1761" s="99"/>
    </row>
    <row r="1762" spans="20:21" x14ac:dyDescent="0.25">
      <c r="T1762" s="98"/>
      <c r="U1762" s="99"/>
    </row>
    <row r="1763" spans="20:21" x14ac:dyDescent="0.25">
      <c r="T1763" s="98"/>
      <c r="U1763" s="99"/>
    </row>
    <row r="1764" spans="20:21" x14ac:dyDescent="0.25">
      <c r="T1764" s="98"/>
      <c r="U1764" s="99"/>
    </row>
    <row r="1765" spans="20:21" x14ac:dyDescent="0.25">
      <c r="T1765" s="98"/>
      <c r="U1765" s="99"/>
    </row>
    <row r="1766" spans="20:21" x14ac:dyDescent="0.25">
      <c r="T1766" s="98"/>
      <c r="U1766" s="99"/>
    </row>
    <row r="1767" spans="20:21" x14ac:dyDescent="0.25">
      <c r="T1767" s="98"/>
      <c r="U1767" s="99"/>
    </row>
    <row r="1768" spans="20:21" x14ac:dyDescent="0.25">
      <c r="T1768" s="98"/>
      <c r="U1768" s="99"/>
    </row>
    <row r="1769" spans="20:21" x14ac:dyDescent="0.25">
      <c r="T1769" s="98"/>
      <c r="U1769" s="99"/>
    </row>
    <row r="1770" spans="20:21" x14ac:dyDescent="0.25">
      <c r="T1770" s="98"/>
      <c r="U1770" s="99"/>
    </row>
    <row r="1771" spans="20:21" x14ac:dyDescent="0.25">
      <c r="T1771" s="98"/>
      <c r="U1771" s="99"/>
    </row>
    <row r="1772" spans="20:21" x14ac:dyDescent="0.25">
      <c r="T1772" s="98"/>
      <c r="U1772" s="99"/>
    </row>
    <row r="1773" spans="20:21" x14ac:dyDescent="0.25">
      <c r="T1773" s="98"/>
      <c r="U1773" s="99"/>
    </row>
    <row r="1774" spans="20:21" x14ac:dyDescent="0.25">
      <c r="T1774" s="98"/>
      <c r="U1774" s="99"/>
    </row>
    <row r="1775" spans="20:21" x14ac:dyDescent="0.25">
      <c r="T1775" s="98"/>
      <c r="U1775" s="99"/>
    </row>
    <row r="1776" spans="20:21" x14ac:dyDescent="0.25">
      <c r="T1776" s="98"/>
      <c r="U1776" s="99"/>
    </row>
    <row r="1777" spans="20:21" x14ac:dyDescent="0.25">
      <c r="T1777" s="98"/>
      <c r="U1777" s="99"/>
    </row>
    <row r="1778" spans="20:21" x14ac:dyDescent="0.25">
      <c r="T1778" s="98"/>
      <c r="U1778" s="99"/>
    </row>
    <row r="1779" spans="20:21" x14ac:dyDescent="0.25">
      <c r="T1779" s="98"/>
      <c r="U1779" s="99"/>
    </row>
    <row r="1780" spans="20:21" x14ac:dyDescent="0.25">
      <c r="T1780" s="98"/>
      <c r="U1780" s="99"/>
    </row>
    <row r="1781" spans="20:21" x14ac:dyDescent="0.25">
      <c r="T1781" s="98"/>
      <c r="U1781" s="99"/>
    </row>
    <row r="1782" spans="20:21" x14ac:dyDescent="0.25">
      <c r="T1782" s="98"/>
      <c r="U1782" s="99"/>
    </row>
    <row r="1783" spans="20:21" x14ac:dyDescent="0.25">
      <c r="T1783" s="98"/>
      <c r="U1783" s="99"/>
    </row>
    <row r="1784" spans="20:21" x14ac:dyDescent="0.25">
      <c r="T1784" s="98"/>
      <c r="U1784" s="99"/>
    </row>
    <row r="1785" spans="20:21" x14ac:dyDescent="0.25">
      <c r="T1785" s="98"/>
      <c r="U1785" s="99"/>
    </row>
    <row r="1786" spans="20:21" x14ac:dyDescent="0.25">
      <c r="T1786" s="98"/>
      <c r="U1786" s="99"/>
    </row>
    <row r="1787" spans="20:21" x14ac:dyDescent="0.25">
      <c r="T1787" s="98"/>
      <c r="U1787" s="99"/>
    </row>
    <row r="1788" spans="20:21" x14ac:dyDescent="0.25">
      <c r="T1788" s="98"/>
      <c r="U1788" s="99"/>
    </row>
    <row r="1789" spans="20:21" x14ac:dyDescent="0.25">
      <c r="T1789" s="98"/>
      <c r="U1789" s="99"/>
    </row>
    <row r="1790" spans="20:21" x14ac:dyDescent="0.25">
      <c r="T1790" s="98"/>
      <c r="U1790" s="99"/>
    </row>
    <row r="1791" spans="20:21" x14ac:dyDescent="0.25">
      <c r="T1791" s="98"/>
      <c r="U1791" s="99"/>
    </row>
    <row r="1792" spans="20:21" x14ac:dyDescent="0.25">
      <c r="T1792" s="98"/>
      <c r="U1792" s="99"/>
    </row>
    <row r="1793" spans="20:21" x14ac:dyDescent="0.25">
      <c r="T1793" s="98"/>
      <c r="U1793" s="99"/>
    </row>
    <row r="1794" spans="20:21" x14ac:dyDescent="0.25">
      <c r="T1794" s="98"/>
      <c r="U1794" s="99"/>
    </row>
    <row r="1795" spans="20:21" x14ac:dyDescent="0.25">
      <c r="T1795" s="98"/>
      <c r="U1795" s="99"/>
    </row>
    <row r="1796" spans="20:21" x14ac:dyDescent="0.25">
      <c r="T1796" s="98"/>
      <c r="U1796" s="99"/>
    </row>
    <row r="1797" spans="20:21" x14ac:dyDescent="0.25">
      <c r="T1797" s="98"/>
      <c r="U1797" s="99"/>
    </row>
    <row r="1798" spans="20:21" x14ac:dyDescent="0.25">
      <c r="T1798" s="98"/>
      <c r="U1798" s="99"/>
    </row>
    <row r="1799" spans="20:21" x14ac:dyDescent="0.25">
      <c r="T1799" s="98"/>
      <c r="U1799" s="99"/>
    </row>
    <row r="1800" spans="20:21" x14ac:dyDescent="0.25">
      <c r="T1800" s="98"/>
      <c r="U1800" s="99"/>
    </row>
    <row r="1801" spans="20:21" x14ac:dyDescent="0.25">
      <c r="T1801" s="98"/>
      <c r="U1801" s="99"/>
    </row>
    <row r="1802" spans="20:21" x14ac:dyDescent="0.25">
      <c r="T1802" s="98"/>
      <c r="U1802" s="99"/>
    </row>
    <row r="1803" spans="20:21" x14ac:dyDescent="0.25">
      <c r="T1803" s="98"/>
      <c r="U1803" s="99"/>
    </row>
    <row r="1804" spans="20:21" x14ac:dyDescent="0.25">
      <c r="T1804" s="98"/>
      <c r="U1804" s="99"/>
    </row>
    <row r="1805" spans="20:21" x14ac:dyDescent="0.25">
      <c r="T1805" s="98"/>
      <c r="U1805" s="99"/>
    </row>
    <row r="1806" spans="20:21" x14ac:dyDescent="0.25">
      <c r="T1806" s="98"/>
      <c r="U1806" s="99"/>
    </row>
    <row r="1807" spans="20:21" x14ac:dyDescent="0.25">
      <c r="T1807" s="98"/>
      <c r="U1807" s="99"/>
    </row>
    <row r="1808" spans="20:21" x14ac:dyDescent="0.25">
      <c r="T1808" s="98"/>
      <c r="U1808" s="99"/>
    </row>
    <row r="1809" spans="20:21" x14ac:dyDescent="0.25">
      <c r="T1809" s="98"/>
      <c r="U1809" s="99"/>
    </row>
    <row r="1810" spans="20:21" x14ac:dyDescent="0.25">
      <c r="T1810" s="98"/>
      <c r="U1810" s="99"/>
    </row>
    <row r="1811" spans="20:21" x14ac:dyDescent="0.25">
      <c r="T1811" s="98"/>
      <c r="U1811" s="99"/>
    </row>
    <row r="1812" spans="20:21" x14ac:dyDescent="0.25">
      <c r="T1812" s="98"/>
      <c r="U1812" s="99"/>
    </row>
    <row r="1813" spans="20:21" x14ac:dyDescent="0.25">
      <c r="T1813" s="98"/>
      <c r="U1813" s="99"/>
    </row>
    <row r="1814" spans="20:21" x14ac:dyDescent="0.25">
      <c r="T1814" s="98"/>
      <c r="U1814" s="99"/>
    </row>
    <row r="1815" spans="20:21" x14ac:dyDescent="0.25">
      <c r="T1815" s="98"/>
      <c r="U1815" s="99"/>
    </row>
    <row r="1816" spans="20:21" x14ac:dyDescent="0.25">
      <c r="T1816" s="98"/>
      <c r="U1816" s="99"/>
    </row>
    <row r="1817" spans="20:21" x14ac:dyDescent="0.25">
      <c r="T1817" s="98"/>
      <c r="U1817" s="99"/>
    </row>
    <row r="1818" spans="20:21" x14ac:dyDescent="0.25">
      <c r="T1818" s="98"/>
      <c r="U1818" s="99"/>
    </row>
    <row r="1819" spans="20:21" x14ac:dyDescent="0.25">
      <c r="T1819" s="98"/>
      <c r="U1819" s="99"/>
    </row>
    <row r="1820" spans="20:21" x14ac:dyDescent="0.25">
      <c r="T1820" s="98"/>
      <c r="U1820" s="99"/>
    </row>
    <row r="1821" spans="20:21" x14ac:dyDescent="0.25">
      <c r="T1821" s="98"/>
      <c r="U1821" s="99"/>
    </row>
    <row r="1822" spans="20:21" x14ac:dyDescent="0.25">
      <c r="T1822" s="98"/>
      <c r="U1822" s="99"/>
    </row>
    <row r="1823" spans="20:21" x14ac:dyDescent="0.25">
      <c r="T1823" s="98"/>
      <c r="U1823" s="99"/>
    </row>
    <row r="1824" spans="20:21" x14ac:dyDescent="0.25">
      <c r="T1824" s="98"/>
      <c r="U1824" s="99"/>
    </row>
    <row r="1825" spans="20:21" x14ac:dyDescent="0.25">
      <c r="T1825" s="98"/>
      <c r="U1825" s="99"/>
    </row>
    <row r="1826" spans="20:21" x14ac:dyDescent="0.25">
      <c r="T1826" s="98"/>
      <c r="U1826" s="99"/>
    </row>
    <row r="1827" spans="20:21" x14ac:dyDescent="0.25">
      <c r="T1827" s="98"/>
      <c r="U1827" s="99"/>
    </row>
    <row r="1828" spans="20:21" x14ac:dyDescent="0.25">
      <c r="T1828" s="98"/>
      <c r="U1828" s="99"/>
    </row>
    <row r="1829" spans="20:21" x14ac:dyDescent="0.25">
      <c r="T1829" s="98"/>
      <c r="U1829" s="99"/>
    </row>
    <row r="1830" spans="20:21" x14ac:dyDescent="0.25">
      <c r="T1830" s="98"/>
      <c r="U1830" s="99"/>
    </row>
    <row r="1831" spans="20:21" x14ac:dyDescent="0.25">
      <c r="T1831" s="98"/>
      <c r="U1831" s="99"/>
    </row>
    <row r="1832" spans="20:21" x14ac:dyDescent="0.25">
      <c r="T1832" s="98"/>
      <c r="U1832" s="99"/>
    </row>
    <row r="1833" spans="20:21" x14ac:dyDescent="0.25">
      <c r="T1833" s="98"/>
      <c r="U1833" s="99"/>
    </row>
    <row r="1834" spans="20:21" x14ac:dyDescent="0.25">
      <c r="T1834" s="98"/>
      <c r="U1834" s="99"/>
    </row>
    <row r="1835" spans="20:21" x14ac:dyDescent="0.25">
      <c r="T1835" s="98"/>
      <c r="U1835" s="99"/>
    </row>
    <row r="1836" spans="20:21" x14ac:dyDescent="0.25">
      <c r="T1836" s="98"/>
      <c r="U1836" s="99"/>
    </row>
    <row r="1837" spans="20:21" x14ac:dyDescent="0.25">
      <c r="T1837" s="98"/>
      <c r="U1837" s="99"/>
    </row>
    <row r="1838" spans="20:21" x14ac:dyDescent="0.25">
      <c r="T1838" s="98"/>
      <c r="U1838" s="99"/>
    </row>
    <row r="1839" spans="20:21" x14ac:dyDescent="0.25">
      <c r="T1839" s="98"/>
      <c r="U1839" s="99"/>
    </row>
    <row r="1840" spans="20:21" x14ac:dyDescent="0.25">
      <c r="T1840" s="98"/>
      <c r="U1840" s="99"/>
    </row>
    <row r="1841" spans="20:21" x14ac:dyDescent="0.25">
      <c r="T1841" s="98"/>
      <c r="U1841" s="99"/>
    </row>
    <row r="1842" spans="20:21" x14ac:dyDescent="0.25">
      <c r="T1842" s="98"/>
      <c r="U1842" s="99"/>
    </row>
    <row r="1843" spans="20:21" x14ac:dyDescent="0.25">
      <c r="T1843" s="98"/>
      <c r="U1843" s="99"/>
    </row>
    <row r="1844" spans="20:21" x14ac:dyDescent="0.25">
      <c r="T1844" s="98"/>
      <c r="U1844" s="99"/>
    </row>
    <row r="1845" spans="20:21" x14ac:dyDescent="0.25">
      <c r="T1845" s="98"/>
      <c r="U1845" s="99"/>
    </row>
    <row r="1846" spans="20:21" x14ac:dyDescent="0.25">
      <c r="T1846" s="98"/>
      <c r="U1846" s="99"/>
    </row>
    <row r="1847" spans="20:21" x14ac:dyDescent="0.25">
      <c r="T1847" s="98"/>
      <c r="U1847" s="99"/>
    </row>
    <row r="1848" spans="20:21" x14ac:dyDescent="0.25">
      <c r="T1848" s="98"/>
      <c r="U1848" s="99"/>
    </row>
    <row r="1849" spans="20:21" x14ac:dyDescent="0.25">
      <c r="T1849" s="98"/>
      <c r="U1849" s="99"/>
    </row>
    <row r="1850" spans="20:21" x14ac:dyDescent="0.25">
      <c r="T1850" s="98"/>
      <c r="U1850" s="99"/>
    </row>
    <row r="1851" spans="20:21" x14ac:dyDescent="0.25">
      <c r="T1851" s="98"/>
      <c r="U1851" s="99"/>
    </row>
    <row r="1852" spans="20:21" x14ac:dyDescent="0.25">
      <c r="T1852" s="98"/>
      <c r="U1852" s="99"/>
    </row>
    <row r="1853" spans="20:21" x14ac:dyDescent="0.25">
      <c r="T1853" s="98"/>
      <c r="U1853" s="99"/>
    </row>
    <row r="1854" spans="20:21" x14ac:dyDescent="0.25">
      <c r="T1854" s="98"/>
      <c r="U1854" s="99"/>
    </row>
    <row r="1855" spans="20:21" x14ac:dyDescent="0.25">
      <c r="T1855" s="98"/>
      <c r="U1855" s="99"/>
    </row>
    <row r="1856" spans="20:21" x14ac:dyDescent="0.25">
      <c r="T1856" s="98"/>
      <c r="U1856" s="99"/>
    </row>
    <row r="1857" spans="20:21" x14ac:dyDescent="0.25">
      <c r="T1857" s="98"/>
      <c r="U1857" s="99"/>
    </row>
    <row r="1858" spans="20:21" x14ac:dyDescent="0.25">
      <c r="T1858" s="98"/>
      <c r="U1858" s="99"/>
    </row>
    <row r="1859" spans="20:21" x14ac:dyDescent="0.25">
      <c r="T1859" s="98"/>
      <c r="U1859" s="99"/>
    </row>
    <row r="1860" spans="20:21" x14ac:dyDescent="0.25">
      <c r="T1860" s="98"/>
      <c r="U1860" s="99"/>
    </row>
    <row r="1861" spans="20:21" x14ac:dyDescent="0.25">
      <c r="T1861" s="98"/>
      <c r="U1861" s="99"/>
    </row>
    <row r="1862" spans="20:21" x14ac:dyDescent="0.25">
      <c r="T1862" s="98"/>
      <c r="U1862" s="99"/>
    </row>
    <row r="1863" spans="20:21" x14ac:dyDescent="0.25">
      <c r="T1863" s="98"/>
      <c r="U1863" s="99"/>
    </row>
    <row r="1864" spans="20:21" x14ac:dyDescent="0.25">
      <c r="T1864" s="98"/>
      <c r="U1864" s="99"/>
    </row>
    <row r="1865" spans="20:21" x14ac:dyDescent="0.25">
      <c r="T1865" s="98"/>
      <c r="U1865" s="99"/>
    </row>
    <row r="1866" spans="20:21" x14ac:dyDescent="0.25">
      <c r="T1866" s="98"/>
      <c r="U1866" s="99"/>
    </row>
    <row r="1867" spans="20:21" x14ac:dyDescent="0.25">
      <c r="T1867" s="98"/>
      <c r="U1867" s="99"/>
    </row>
    <row r="1868" spans="20:21" x14ac:dyDescent="0.25">
      <c r="T1868" s="98"/>
      <c r="U1868" s="99"/>
    </row>
    <row r="1869" spans="20:21" x14ac:dyDescent="0.25">
      <c r="T1869" s="98"/>
      <c r="U1869" s="99"/>
    </row>
    <row r="1870" spans="20:21" x14ac:dyDescent="0.25">
      <c r="T1870" s="98"/>
      <c r="U1870" s="99"/>
    </row>
    <row r="1871" spans="20:21" x14ac:dyDescent="0.25">
      <c r="T1871" s="98"/>
      <c r="U1871" s="99"/>
    </row>
    <row r="1872" spans="20:21" x14ac:dyDescent="0.25">
      <c r="T1872" s="98"/>
      <c r="U1872" s="99"/>
    </row>
    <row r="1873" spans="20:21" x14ac:dyDescent="0.25">
      <c r="T1873" s="98"/>
      <c r="U1873" s="99"/>
    </row>
    <row r="1874" spans="20:21" x14ac:dyDescent="0.25">
      <c r="T1874" s="98"/>
      <c r="U1874" s="99"/>
    </row>
    <row r="1875" spans="20:21" x14ac:dyDescent="0.25">
      <c r="T1875" s="98"/>
      <c r="U1875" s="99"/>
    </row>
    <row r="1876" spans="20:21" x14ac:dyDescent="0.25">
      <c r="T1876" s="98"/>
      <c r="U1876" s="99"/>
    </row>
    <row r="1877" spans="20:21" x14ac:dyDescent="0.25">
      <c r="T1877" s="98"/>
      <c r="U1877" s="99"/>
    </row>
    <row r="1878" spans="20:21" x14ac:dyDescent="0.25">
      <c r="T1878" s="98"/>
      <c r="U1878" s="99"/>
    </row>
    <row r="1879" spans="20:21" x14ac:dyDescent="0.25">
      <c r="T1879" s="98"/>
      <c r="U1879" s="99"/>
    </row>
    <row r="1880" spans="20:21" x14ac:dyDescent="0.25">
      <c r="T1880" s="98"/>
      <c r="U1880" s="99"/>
    </row>
    <row r="1881" spans="20:21" x14ac:dyDescent="0.25">
      <c r="T1881" s="98"/>
      <c r="U1881" s="99"/>
    </row>
    <row r="1882" spans="20:21" x14ac:dyDescent="0.25">
      <c r="T1882" s="98"/>
      <c r="U1882" s="99"/>
    </row>
    <row r="1883" spans="20:21" x14ac:dyDescent="0.25">
      <c r="T1883" s="98"/>
      <c r="U1883" s="99"/>
    </row>
    <row r="1884" spans="20:21" x14ac:dyDescent="0.25">
      <c r="T1884" s="98"/>
      <c r="U1884" s="99"/>
    </row>
    <row r="1885" spans="20:21" x14ac:dyDescent="0.25">
      <c r="T1885" s="98"/>
      <c r="U1885" s="99"/>
    </row>
    <row r="1886" spans="20:21" x14ac:dyDescent="0.25">
      <c r="T1886" s="98"/>
      <c r="U1886" s="99"/>
    </row>
    <row r="1887" spans="20:21" x14ac:dyDescent="0.25">
      <c r="T1887" s="98"/>
      <c r="U1887" s="99"/>
    </row>
    <row r="1888" spans="20:21" x14ac:dyDescent="0.25">
      <c r="T1888" s="98"/>
      <c r="U1888" s="99"/>
    </row>
    <row r="1889" spans="20:21" x14ac:dyDescent="0.25">
      <c r="T1889" s="98"/>
      <c r="U1889" s="99"/>
    </row>
    <row r="1890" spans="20:21" x14ac:dyDescent="0.25">
      <c r="T1890" s="98"/>
      <c r="U1890" s="99"/>
    </row>
    <row r="1891" spans="20:21" x14ac:dyDescent="0.25">
      <c r="T1891" s="98"/>
      <c r="U1891" s="99"/>
    </row>
    <row r="1892" spans="20:21" x14ac:dyDescent="0.25">
      <c r="T1892" s="98"/>
      <c r="U1892" s="99"/>
    </row>
    <row r="1893" spans="20:21" x14ac:dyDescent="0.25">
      <c r="T1893" s="98"/>
      <c r="U1893" s="99"/>
    </row>
    <row r="1894" spans="20:21" x14ac:dyDescent="0.25">
      <c r="T1894" s="98"/>
      <c r="U1894" s="99"/>
    </row>
    <row r="1895" spans="20:21" x14ac:dyDescent="0.25">
      <c r="T1895" s="98"/>
      <c r="U1895" s="99"/>
    </row>
    <row r="1896" spans="20:21" x14ac:dyDescent="0.25">
      <c r="T1896" s="98"/>
      <c r="U1896" s="99"/>
    </row>
    <row r="1897" spans="20:21" x14ac:dyDescent="0.25">
      <c r="T1897" s="98"/>
      <c r="U1897" s="99"/>
    </row>
    <row r="1898" spans="20:21" x14ac:dyDescent="0.25">
      <c r="T1898" s="98"/>
      <c r="U1898" s="99"/>
    </row>
    <row r="1899" spans="20:21" x14ac:dyDescent="0.25">
      <c r="T1899" s="98"/>
      <c r="U1899" s="99"/>
    </row>
    <row r="1900" spans="20:21" x14ac:dyDescent="0.25">
      <c r="T1900" s="98"/>
      <c r="U1900" s="99"/>
    </row>
    <row r="1901" spans="20:21" x14ac:dyDescent="0.25">
      <c r="T1901" s="98"/>
      <c r="U1901" s="99"/>
    </row>
    <row r="1902" spans="20:21" x14ac:dyDescent="0.25">
      <c r="T1902" s="98"/>
      <c r="U1902" s="99"/>
    </row>
    <row r="1903" spans="20:21" x14ac:dyDescent="0.25">
      <c r="T1903" s="98"/>
      <c r="U1903" s="99"/>
    </row>
    <row r="1904" spans="20:21" x14ac:dyDescent="0.25">
      <c r="T1904" s="98"/>
      <c r="U1904" s="99"/>
    </row>
    <row r="1905" spans="20:21" x14ac:dyDescent="0.25">
      <c r="T1905" s="98"/>
      <c r="U1905" s="99"/>
    </row>
    <row r="1906" spans="20:21" x14ac:dyDescent="0.25">
      <c r="T1906" s="98"/>
      <c r="U1906" s="99"/>
    </row>
    <row r="1907" spans="20:21" x14ac:dyDescent="0.25">
      <c r="T1907" s="98"/>
      <c r="U1907" s="99"/>
    </row>
    <row r="1908" spans="20:21" x14ac:dyDescent="0.25">
      <c r="T1908" s="98"/>
      <c r="U1908" s="99"/>
    </row>
    <row r="1909" spans="20:21" x14ac:dyDescent="0.25">
      <c r="T1909" s="98"/>
      <c r="U1909" s="99"/>
    </row>
    <row r="1910" spans="20:21" x14ac:dyDescent="0.25">
      <c r="T1910" s="98"/>
      <c r="U1910" s="99"/>
    </row>
    <row r="1911" spans="20:21" x14ac:dyDescent="0.25">
      <c r="T1911" s="98"/>
      <c r="U1911" s="99"/>
    </row>
    <row r="1912" spans="20:21" x14ac:dyDescent="0.25">
      <c r="T1912" s="98"/>
      <c r="U1912" s="99"/>
    </row>
    <row r="1913" spans="20:21" x14ac:dyDescent="0.25">
      <c r="T1913" s="98"/>
      <c r="U1913" s="99"/>
    </row>
    <row r="1914" spans="20:21" x14ac:dyDescent="0.25">
      <c r="T1914" s="98"/>
      <c r="U1914" s="99"/>
    </row>
    <row r="1915" spans="20:21" x14ac:dyDescent="0.25">
      <c r="T1915" s="98"/>
      <c r="U1915" s="99"/>
    </row>
    <row r="1916" spans="20:21" x14ac:dyDescent="0.25">
      <c r="T1916" s="98"/>
      <c r="U1916" s="99"/>
    </row>
    <row r="1917" spans="20:21" x14ac:dyDescent="0.25">
      <c r="T1917" s="98"/>
      <c r="U1917" s="99"/>
    </row>
    <row r="1918" spans="20:21" x14ac:dyDescent="0.25">
      <c r="T1918" s="98"/>
      <c r="U1918" s="99"/>
    </row>
    <row r="1919" spans="20:21" x14ac:dyDescent="0.25">
      <c r="T1919" s="98"/>
      <c r="U1919" s="99"/>
    </row>
    <row r="1920" spans="20:21" x14ac:dyDescent="0.25">
      <c r="T1920" s="98"/>
      <c r="U1920" s="99"/>
    </row>
    <row r="1921" spans="20:21" x14ac:dyDescent="0.25">
      <c r="T1921" s="98"/>
      <c r="U1921" s="99"/>
    </row>
    <row r="1922" spans="20:21" x14ac:dyDescent="0.25">
      <c r="T1922" s="98"/>
      <c r="U1922" s="99"/>
    </row>
    <row r="1923" spans="20:21" x14ac:dyDescent="0.25">
      <c r="T1923" s="98"/>
      <c r="U1923" s="99"/>
    </row>
    <row r="1924" spans="20:21" x14ac:dyDescent="0.25">
      <c r="T1924" s="98"/>
      <c r="U1924" s="99"/>
    </row>
    <row r="1925" spans="20:21" x14ac:dyDescent="0.25">
      <c r="T1925" s="98"/>
      <c r="U1925" s="99"/>
    </row>
    <row r="1926" spans="20:21" x14ac:dyDescent="0.25">
      <c r="T1926" s="98"/>
      <c r="U1926" s="99"/>
    </row>
    <row r="1927" spans="20:21" x14ac:dyDescent="0.25">
      <c r="T1927" s="98"/>
      <c r="U1927" s="99"/>
    </row>
    <row r="1928" spans="20:21" x14ac:dyDescent="0.25">
      <c r="T1928" s="98"/>
      <c r="U1928" s="99"/>
    </row>
    <row r="1929" spans="20:21" x14ac:dyDescent="0.25">
      <c r="T1929" s="98"/>
      <c r="U1929" s="99"/>
    </row>
    <row r="1930" spans="20:21" x14ac:dyDescent="0.25">
      <c r="T1930" s="98"/>
      <c r="U1930" s="99"/>
    </row>
    <row r="1931" spans="20:21" x14ac:dyDescent="0.25">
      <c r="T1931" s="98"/>
      <c r="U1931" s="99"/>
    </row>
    <row r="1932" spans="20:21" x14ac:dyDescent="0.25">
      <c r="T1932" s="98"/>
      <c r="U1932" s="99"/>
    </row>
    <row r="1933" spans="20:21" x14ac:dyDescent="0.25">
      <c r="T1933" s="98"/>
      <c r="U1933" s="99"/>
    </row>
    <row r="1934" spans="20:21" x14ac:dyDescent="0.25">
      <c r="T1934" s="98"/>
      <c r="U1934" s="99"/>
    </row>
    <row r="1935" spans="20:21" x14ac:dyDescent="0.25">
      <c r="T1935" s="98"/>
      <c r="U1935" s="99"/>
    </row>
    <row r="1936" spans="20:21" x14ac:dyDescent="0.25">
      <c r="T1936" s="98"/>
      <c r="U1936" s="99"/>
    </row>
    <row r="1937" spans="20:21" x14ac:dyDescent="0.25">
      <c r="T1937" s="98"/>
      <c r="U1937" s="99"/>
    </row>
    <row r="1938" spans="20:21" x14ac:dyDescent="0.25">
      <c r="T1938" s="98"/>
      <c r="U1938" s="99"/>
    </row>
    <row r="1939" spans="20:21" x14ac:dyDescent="0.25">
      <c r="T1939" s="98"/>
      <c r="U1939" s="99"/>
    </row>
    <row r="1940" spans="20:21" x14ac:dyDescent="0.25">
      <c r="T1940" s="98"/>
      <c r="U1940" s="99"/>
    </row>
    <row r="1941" spans="20:21" x14ac:dyDescent="0.25">
      <c r="T1941" s="98"/>
      <c r="U1941" s="99"/>
    </row>
    <row r="1942" spans="20:21" x14ac:dyDescent="0.25">
      <c r="T1942" s="98"/>
      <c r="U1942" s="99"/>
    </row>
    <row r="1943" spans="20:21" x14ac:dyDescent="0.25">
      <c r="T1943" s="98"/>
      <c r="U1943" s="99"/>
    </row>
    <row r="1944" spans="20:21" x14ac:dyDescent="0.25">
      <c r="T1944" s="98"/>
      <c r="U1944" s="99"/>
    </row>
    <row r="1945" spans="20:21" x14ac:dyDescent="0.25">
      <c r="T1945" s="98"/>
      <c r="U1945" s="99"/>
    </row>
    <row r="1946" spans="20:21" x14ac:dyDescent="0.25">
      <c r="T1946" s="98"/>
      <c r="U1946" s="99"/>
    </row>
    <row r="1947" spans="20:21" x14ac:dyDescent="0.25">
      <c r="T1947" s="98"/>
      <c r="U1947" s="99"/>
    </row>
    <row r="1948" spans="20:21" x14ac:dyDescent="0.25">
      <c r="T1948" s="98"/>
      <c r="U1948" s="99"/>
    </row>
    <row r="1949" spans="20:21" x14ac:dyDescent="0.25">
      <c r="T1949" s="98"/>
      <c r="U1949" s="99"/>
    </row>
    <row r="1950" spans="20:21" x14ac:dyDescent="0.25">
      <c r="T1950" s="98"/>
      <c r="U1950" s="99"/>
    </row>
    <row r="1951" spans="20:21" x14ac:dyDescent="0.25">
      <c r="T1951" s="98"/>
      <c r="U1951" s="99"/>
    </row>
    <row r="1952" spans="20:21" x14ac:dyDescent="0.25">
      <c r="T1952" s="98"/>
      <c r="U1952" s="99"/>
    </row>
    <row r="1953" spans="20:21" x14ac:dyDescent="0.25">
      <c r="T1953" s="98"/>
      <c r="U1953" s="99"/>
    </row>
    <row r="1954" spans="20:21" x14ac:dyDescent="0.25">
      <c r="T1954" s="98"/>
      <c r="U1954" s="99"/>
    </row>
    <row r="1955" spans="20:21" x14ac:dyDescent="0.25">
      <c r="T1955" s="98"/>
      <c r="U1955" s="99"/>
    </row>
    <row r="1956" spans="20:21" x14ac:dyDescent="0.25">
      <c r="T1956" s="98"/>
      <c r="U1956" s="99"/>
    </row>
    <row r="1957" spans="20:21" x14ac:dyDescent="0.25">
      <c r="T1957" s="98"/>
      <c r="U1957" s="99"/>
    </row>
    <row r="1958" spans="20:21" x14ac:dyDescent="0.25">
      <c r="T1958" s="98"/>
      <c r="U1958" s="99"/>
    </row>
    <row r="1959" spans="20:21" x14ac:dyDescent="0.25">
      <c r="T1959" s="98"/>
      <c r="U1959" s="99"/>
    </row>
    <row r="1960" spans="20:21" x14ac:dyDescent="0.25">
      <c r="T1960" s="98"/>
      <c r="U1960" s="99"/>
    </row>
    <row r="1961" spans="20:21" x14ac:dyDescent="0.25">
      <c r="T1961" s="98"/>
      <c r="U1961" s="99"/>
    </row>
    <row r="1962" spans="20:21" x14ac:dyDescent="0.25">
      <c r="T1962" s="98"/>
      <c r="U1962" s="99"/>
    </row>
    <row r="1963" spans="20:21" x14ac:dyDescent="0.25">
      <c r="T1963" s="98"/>
      <c r="U1963" s="99"/>
    </row>
    <row r="1964" spans="20:21" x14ac:dyDescent="0.25">
      <c r="T1964" s="98"/>
      <c r="U1964" s="99"/>
    </row>
    <row r="1965" spans="20:21" x14ac:dyDescent="0.25">
      <c r="T1965" s="98"/>
      <c r="U1965" s="99"/>
    </row>
    <row r="1966" spans="20:21" x14ac:dyDescent="0.25">
      <c r="T1966" s="98"/>
      <c r="U1966" s="99"/>
    </row>
    <row r="1967" spans="20:21" x14ac:dyDescent="0.25">
      <c r="T1967" s="98"/>
      <c r="U1967" s="99"/>
    </row>
    <row r="1968" spans="20:21" x14ac:dyDescent="0.25">
      <c r="T1968" s="98"/>
      <c r="U1968" s="99"/>
    </row>
    <row r="1969" spans="20:21" x14ac:dyDescent="0.25">
      <c r="T1969" s="98"/>
      <c r="U1969" s="99"/>
    </row>
    <row r="1970" spans="20:21" x14ac:dyDescent="0.25">
      <c r="T1970" s="98"/>
      <c r="U1970" s="99"/>
    </row>
    <row r="1971" spans="20:21" x14ac:dyDescent="0.25">
      <c r="T1971" s="98"/>
      <c r="U1971" s="99"/>
    </row>
    <row r="1972" spans="20:21" x14ac:dyDescent="0.25">
      <c r="T1972" s="98"/>
      <c r="U1972" s="99"/>
    </row>
    <row r="1973" spans="20:21" x14ac:dyDescent="0.25">
      <c r="T1973" s="98"/>
      <c r="U1973" s="99"/>
    </row>
    <row r="1974" spans="20:21" x14ac:dyDescent="0.25">
      <c r="T1974" s="98"/>
      <c r="U1974" s="99"/>
    </row>
    <row r="1975" spans="20:21" x14ac:dyDescent="0.25">
      <c r="T1975" s="98"/>
      <c r="U1975" s="99"/>
    </row>
    <row r="1976" spans="20:21" x14ac:dyDescent="0.25">
      <c r="T1976" s="98"/>
      <c r="U1976" s="99"/>
    </row>
    <row r="1977" spans="20:21" x14ac:dyDescent="0.25">
      <c r="T1977" s="98"/>
      <c r="U1977" s="99"/>
    </row>
    <row r="1978" spans="20:21" x14ac:dyDescent="0.25">
      <c r="T1978" s="98"/>
      <c r="U1978" s="99"/>
    </row>
    <row r="1979" spans="20:21" x14ac:dyDescent="0.25">
      <c r="T1979" s="98"/>
      <c r="U1979" s="99"/>
    </row>
    <row r="1980" spans="20:21" x14ac:dyDescent="0.25">
      <c r="T1980" s="98"/>
      <c r="U1980" s="99"/>
    </row>
    <row r="1981" spans="20:21" x14ac:dyDescent="0.25">
      <c r="T1981" s="98"/>
      <c r="U1981" s="99"/>
    </row>
    <row r="1982" spans="20:21" x14ac:dyDescent="0.25">
      <c r="T1982" s="98"/>
      <c r="U1982" s="99"/>
    </row>
    <row r="1983" spans="20:21" x14ac:dyDescent="0.25">
      <c r="T1983" s="98"/>
      <c r="U1983" s="99"/>
    </row>
    <row r="1984" spans="20:21" x14ac:dyDescent="0.25">
      <c r="T1984" s="98"/>
      <c r="U1984" s="99"/>
    </row>
    <row r="1985" spans="20:21" x14ac:dyDescent="0.25">
      <c r="T1985" s="98"/>
      <c r="U1985" s="99"/>
    </row>
    <row r="1986" spans="20:21" x14ac:dyDescent="0.25">
      <c r="T1986" s="98"/>
      <c r="U1986" s="99"/>
    </row>
    <row r="1987" spans="20:21" x14ac:dyDescent="0.25">
      <c r="T1987" s="98"/>
      <c r="U1987" s="99"/>
    </row>
    <row r="1988" spans="20:21" x14ac:dyDescent="0.25">
      <c r="T1988" s="98"/>
      <c r="U1988" s="99"/>
    </row>
    <row r="1989" spans="20:21" x14ac:dyDescent="0.25">
      <c r="T1989" s="98"/>
      <c r="U1989" s="99"/>
    </row>
    <row r="1990" spans="20:21" x14ac:dyDescent="0.25">
      <c r="T1990" s="98"/>
      <c r="U1990" s="99"/>
    </row>
    <row r="1991" spans="20:21" x14ac:dyDescent="0.25">
      <c r="T1991" s="98"/>
      <c r="U1991" s="99"/>
    </row>
    <row r="1992" spans="20:21" x14ac:dyDescent="0.25">
      <c r="T1992" s="98"/>
      <c r="U1992" s="99"/>
    </row>
    <row r="1993" spans="20:21" x14ac:dyDescent="0.25">
      <c r="T1993" s="98"/>
      <c r="U1993" s="99"/>
    </row>
    <row r="1994" spans="20:21" x14ac:dyDescent="0.25">
      <c r="T1994" s="98"/>
      <c r="U1994" s="99"/>
    </row>
    <row r="1995" spans="20:21" x14ac:dyDescent="0.25">
      <c r="T1995" s="98"/>
      <c r="U1995" s="99"/>
    </row>
    <row r="1996" spans="20:21" x14ac:dyDescent="0.25">
      <c r="T1996" s="98"/>
      <c r="U1996" s="99"/>
    </row>
    <row r="1997" spans="20:21" x14ac:dyDescent="0.25">
      <c r="T1997" s="98"/>
      <c r="U1997" s="99"/>
    </row>
    <row r="1998" spans="20:21" x14ac:dyDescent="0.25">
      <c r="T1998" s="98"/>
      <c r="U1998" s="99"/>
    </row>
    <row r="1999" spans="20:21" x14ac:dyDescent="0.25">
      <c r="T1999" s="98"/>
      <c r="U1999" s="99"/>
    </row>
    <row r="2000" spans="20:21" x14ac:dyDescent="0.25">
      <c r="T2000" s="98"/>
      <c r="U2000" s="99"/>
    </row>
    <row r="2001" spans="20:21" x14ac:dyDescent="0.25">
      <c r="T2001" s="98"/>
      <c r="U2001" s="99"/>
    </row>
    <row r="2002" spans="20:21" x14ac:dyDescent="0.25">
      <c r="T2002" s="98"/>
      <c r="U2002" s="99"/>
    </row>
    <row r="2003" spans="20:21" x14ac:dyDescent="0.25">
      <c r="T2003" s="98"/>
      <c r="U2003" s="99"/>
    </row>
    <row r="2004" spans="20:21" x14ac:dyDescent="0.25">
      <c r="T2004" s="98"/>
      <c r="U2004" s="99"/>
    </row>
    <row r="2005" spans="20:21" x14ac:dyDescent="0.25">
      <c r="T2005" s="98"/>
      <c r="U2005" s="99"/>
    </row>
    <row r="2006" spans="20:21" x14ac:dyDescent="0.25">
      <c r="T2006" s="98"/>
      <c r="U2006" s="99"/>
    </row>
    <row r="2007" spans="20:21" x14ac:dyDescent="0.25">
      <c r="T2007" s="98"/>
      <c r="U2007" s="99"/>
    </row>
    <row r="2008" spans="20:21" x14ac:dyDescent="0.25">
      <c r="T2008" s="98"/>
      <c r="U2008" s="99"/>
    </row>
    <row r="2009" spans="20:21" x14ac:dyDescent="0.25">
      <c r="T2009" s="98"/>
      <c r="U2009" s="99"/>
    </row>
    <row r="2010" spans="20:21" x14ac:dyDescent="0.25">
      <c r="T2010" s="98"/>
      <c r="U2010" s="99"/>
    </row>
    <row r="2011" spans="20:21" x14ac:dyDescent="0.25">
      <c r="T2011" s="98"/>
      <c r="U2011" s="99"/>
    </row>
    <row r="2012" spans="20:21" x14ac:dyDescent="0.25">
      <c r="T2012" s="98"/>
      <c r="U2012" s="99"/>
    </row>
    <row r="2013" spans="20:21" x14ac:dyDescent="0.25">
      <c r="T2013" s="98"/>
      <c r="U2013" s="99"/>
    </row>
    <row r="2014" spans="20:21" x14ac:dyDescent="0.25">
      <c r="T2014" s="98"/>
      <c r="U2014" s="99"/>
    </row>
    <row r="2015" spans="20:21" x14ac:dyDescent="0.25">
      <c r="T2015" s="98"/>
      <c r="U2015" s="99"/>
    </row>
    <row r="2016" spans="20:21" x14ac:dyDescent="0.25">
      <c r="T2016" s="98"/>
      <c r="U2016" s="99"/>
    </row>
    <row r="2017" spans="20:21" x14ac:dyDescent="0.25">
      <c r="T2017" s="98"/>
      <c r="U2017" s="99"/>
    </row>
    <row r="2018" spans="20:21" x14ac:dyDescent="0.25">
      <c r="T2018" s="98"/>
      <c r="U2018" s="99"/>
    </row>
    <row r="2019" spans="20:21" x14ac:dyDescent="0.25">
      <c r="T2019" s="98"/>
      <c r="U2019" s="99"/>
    </row>
    <row r="2020" spans="20:21" x14ac:dyDescent="0.25">
      <c r="T2020" s="98"/>
      <c r="U2020" s="99"/>
    </row>
    <row r="2021" spans="20:21" x14ac:dyDescent="0.25">
      <c r="T2021" s="98"/>
      <c r="U2021" s="99"/>
    </row>
    <row r="2022" spans="20:21" x14ac:dyDescent="0.25">
      <c r="T2022" s="98"/>
      <c r="U2022" s="99"/>
    </row>
    <row r="2023" spans="20:21" x14ac:dyDescent="0.25">
      <c r="T2023" s="98"/>
      <c r="U2023" s="99"/>
    </row>
    <row r="2024" spans="20:21" x14ac:dyDescent="0.25">
      <c r="T2024" s="98"/>
      <c r="U2024" s="99"/>
    </row>
    <row r="2025" spans="20:21" x14ac:dyDescent="0.25">
      <c r="T2025" s="98"/>
      <c r="U2025" s="99"/>
    </row>
    <row r="2026" spans="20:21" x14ac:dyDescent="0.25">
      <c r="T2026" s="98"/>
      <c r="U2026" s="99"/>
    </row>
    <row r="2027" spans="20:21" x14ac:dyDescent="0.25">
      <c r="T2027" s="98"/>
      <c r="U2027" s="99"/>
    </row>
    <row r="2028" spans="20:21" x14ac:dyDescent="0.25">
      <c r="T2028" s="98"/>
      <c r="U2028" s="99"/>
    </row>
    <row r="2029" spans="20:21" x14ac:dyDescent="0.25">
      <c r="T2029" s="98"/>
      <c r="U2029" s="99"/>
    </row>
    <row r="2030" spans="20:21" x14ac:dyDescent="0.25">
      <c r="T2030" s="98"/>
      <c r="U2030" s="99"/>
    </row>
    <row r="2031" spans="20:21" x14ac:dyDescent="0.25">
      <c r="T2031" s="98"/>
      <c r="U2031" s="99"/>
    </row>
    <row r="2032" spans="20:21" x14ac:dyDescent="0.25">
      <c r="T2032" s="98"/>
      <c r="U2032" s="99"/>
    </row>
    <row r="2033" spans="20:21" x14ac:dyDescent="0.25">
      <c r="T2033" s="98"/>
      <c r="U2033" s="99"/>
    </row>
    <row r="2034" spans="20:21" x14ac:dyDescent="0.25">
      <c r="T2034" s="98"/>
      <c r="U2034" s="99"/>
    </row>
    <row r="2035" spans="20:21" x14ac:dyDescent="0.25">
      <c r="T2035" s="98"/>
      <c r="U2035" s="99"/>
    </row>
    <row r="2036" spans="20:21" x14ac:dyDescent="0.25">
      <c r="T2036" s="98"/>
      <c r="U2036" s="99"/>
    </row>
    <row r="2037" spans="20:21" x14ac:dyDescent="0.25">
      <c r="T2037" s="98"/>
      <c r="U2037" s="99"/>
    </row>
    <row r="2038" spans="20:21" x14ac:dyDescent="0.25">
      <c r="T2038" s="98"/>
      <c r="U2038" s="99"/>
    </row>
    <row r="2039" spans="20:21" x14ac:dyDescent="0.25">
      <c r="T2039" s="98"/>
      <c r="U2039" s="99"/>
    </row>
    <row r="2040" spans="20:21" x14ac:dyDescent="0.25">
      <c r="T2040" s="98"/>
      <c r="U2040" s="99"/>
    </row>
    <row r="2041" spans="20:21" x14ac:dyDescent="0.25">
      <c r="T2041" s="98"/>
      <c r="U2041" s="99"/>
    </row>
    <row r="2042" spans="20:21" x14ac:dyDescent="0.25">
      <c r="T2042" s="98"/>
      <c r="U2042" s="99"/>
    </row>
    <row r="2043" spans="20:21" x14ac:dyDescent="0.25">
      <c r="T2043" s="98"/>
      <c r="U2043" s="99"/>
    </row>
    <row r="2044" spans="20:21" x14ac:dyDescent="0.25">
      <c r="T2044" s="98"/>
      <c r="U2044" s="99"/>
    </row>
    <row r="2045" spans="20:21" x14ac:dyDescent="0.25">
      <c r="T2045" s="98"/>
      <c r="U2045" s="99"/>
    </row>
    <row r="2046" spans="20:21" x14ac:dyDescent="0.25">
      <c r="T2046" s="98"/>
      <c r="U2046" s="99"/>
    </row>
    <row r="2047" spans="20:21" x14ac:dyDescent="0.25">
      <c r="T2047" s="98"/>
      <c r="U2047" s="99"/>
    </row>
    <row r="2048" spans="20:21" x14ac:dyDescent="0.25">
      <c r="T2048" s="98"/>
      <c r="U2048" s="99"/>
    </row>
    <row r="2049" spans="20:21" x14ac:dyDescent="0.25">
      <c r="T2049" s="98"/>
      <c r="U2049" s="99"/>
    </row>
    <row r="2050" spans="20:21" x14ac:dyDescent="0.25">
      <c r="T2050" s="98"/>
      <c r="U2050" s="99"/>
    </row>
    <row r="2051" spans="20:21" x14ac:dyDescent="0.25">
      <c r="T2051" s="98"/>
      <c r="U2051" s="99"/>
    </row>
    <row r="2052" spans="20:21" x14ac:dyDescent="0.25">
      <c r="T2052" s="98"/>
      <c r="U2052" s="99"/>
    </row>
    <row r="2053" spans="20:21" x14ac:dyDescent="0.25">
      <c r="T2053" s="98"/>
      <c r="U2053" s="99"/>
    </row>
    <row r="2054" spans="20:21" x14ac:dyDescent="0.25">
      <c r="T2054" s="98"/>
      <c r="U2054" s="99"/>
    </row>
    <row r="2055" spans="20:21" x14ac:dyDescent="0.25">
      <c r="T2055" s="98"/>
      <c r="U2055" s="99"/>
    </row>
    <row r="2056" spans="20:21" x14ac:dyDescent="0.25">
      <c r="T2056" s="98"/>
      <c r="U2056" s="99"/>
    </row>
    <row r="2057" spans="20:21" x14ac:dyDescent="0.25">
      <c r="T2057" s="98"/>
      <c r="U2057" s="99"/>
    </row>
    <row r="2058" spans="20:21" x14ac:dyDescent="0.25">
      <c r="T2058" s="98"/>
      <c r="U2058" s="99"/>
    </row>
    <row r="2059" spans="20:21" x14ac:dyDescent="0.25">
      <c r="T2059" s="98"/>
      <c r="U2059" s="99"/>
    </row>
    <row r="2060" spans="20:21" x14ac:dyDescent="0.25">
      <c r="T2060" s="98"/>
      <c r="U2060" s="99"/>
    </row>
    <row r="2061" spans="20:21" x14ac:dyDescent="0.25">
      <c r="T2061" s="98"/>
      <c r="U2061" s="99"/>
    </row>
    <row r="2062" spans="20:21" x14ac:dyDescent="0.25">
      <c r="T2062" s="98"/>
      <c r="U2062" s="99"/>
    </row>
    <row r="2063" spans="20:21" x14ac:dyDescent="0.25">
      <c r="T2063" s="98"/>
      <c r="U2063" s="99"/>
    </row>
    <row r="2064" spans="20:21" x14ac:dyDescent="0.25">
      <c r="T2064" s="98"/>
      <c r="U2064" s="99"/>
    </row>
    <row r="2065" spans="20:21" x14ac:dyDescent="0.25">
      <c r="T2065" s="98"/>
      <c r="U2065" s="99"/>
    </row>
    <row r="2066" spans="20:21" x14ac:dyDescent="0.25">
      <c r="T2066" s="98"/>
      <c r="U2066" s="99"/>
    </row>
    <row r="2067" spans="20:21" x14ac:dyDescent="0.25">
      <c r="T2067" s="98"/>
      <c r="U2067" s="99"/>
    </row>
    <row r="2068" spans="20:21" x14ac:dyDescent="0.25">
      <c r="T2068" s="98"/>
      <c r="U2068" s="99"/>
    </row>
    <row r="2069" spans="20:21" x14ac:dyDescent="0.25">
      <c r="T2069" s="98"/>
      <c r="U2069" s="99"/>
    </row>
    <row r="2070" spans="20:21" x14ac:dyDescent="0.25">
      <c r="T2070" s="98"/>
      <c r="U2070" s="99"/>
    </row>
    <row r="2071" spans="20:21" x14ac:dyDescent="0.25">
      <c r="T2071" s="98"/>
      <c r="U2071" s="99"/>
    </row>
    <row r="2072" spans="20:21" x14ac:dyDescent="0.25">
      <c r="T2072" s="98"/>
      <c r="U2072" s="99"/>
    </row>
    <row r="2073" spans="20:21" x14ac:dyDescent="0.25">
      <c r="T2073" s="98"/>
      <c r="U2073" s="99"/>
    </row>
    <row r="2074" spans="20:21" x14ac:dyDescent="0.25">
      <c r="T2074" s="98"/>
      <c r="U2074" s="99"/>
    </row>
    <row r="2075" spans="20:21" x14ac:dyDescent="0.25">
      <c r="T2075" s="98"/>
      <c r="U2075" s="99"/>
    </row>
    <row r="2076" spans="20:21" x14ac:dyDescent="0.25">
      <c r="T2076" s="98"/>
      <c r="U2076" s="99"/>
    </row>
    <row r="2077" spans="20:21" x14ac:dyDescent="0.25">
      <c r="T2077" s="98"/>
      <c r="U2077" s="99"/>
    </row>
    <row r="2078" spans="20:21" x14ac:dyDescent="0.25">
      <c r="T2078" s="98"/>
      <c r="U2078" s="99"/>
    </row>
    <row r="2079" spans="20:21" x14ac:dyDescent="0.25">
      <c r="T2079" s="98"/>
      <c r="U2079" s="99"/>
    </row>
    <row r="2080" spans="20:21" x14ac:dyDescent="0.25">
      <c r="T2080" s="98"/>
      <c r="U2080" s="99"/>
    </row>
    <row r="2081" spans="20:21" x14ac:dyDescent="0.25">
      <c r="T2081" s="98"/>
      <c r="U2081" s="99"/>
    </row>
    <row r="2082" spans="20:21" x14ac:dyDescent="0.25">
      <c r="T2082" s="98"/>
      <c r="U2082" s="99"/>
    </row>
    <row r="2083" spans="20:21" x14ac:dyDescent="0.25">
      <c r="T2083" s="98"/>
      <c r="U2083" s="99"/>
    </row>
    <row r="2084" spans="20:21" x14ac:dyDescent="0.25">
      <c r="T2084" s="98"/>
      <c r="U2084" s="99"/>
    </row>
    <row r="2085" spans="20:21" x14ac:dyDescent="0.25">
      <c r="T2085" s="98"/>
      <c r="U2085" s="99"/>
    </row>
    <row r="2086" spans="20:21" x14ac:dyDescent="0.25">
      <c r="T2086" s="98"/>
      <c r="U2086" s="99"/>
    </row>
    <row r="2087" spans="20:21" x14ac:dyDescent="0.25">
      <c r="T2087" s="98"/>
      <c r="U2087" s="99"/>
    </row>
    <row r="2088" spans="20:21" x14ac:dyDescent="0.25">
      <c r="T2088" s="98"/>
      <c r="U2088" s="99"/>
    </row>
    <row r="2089" spans="20:21" x14ac:dyDescent="0.25">
      <c r="T2089" s="98"/>
      <c r="U2089" s="99"/>
    </row>
    <row r="2090" spans="20:21" x14ac:dyDescent="0.25">
      <c r="T2090" s="98"/>
      <c r="U2090" s="99"/>
    </row>
    <row r="2091" spans="20:21" x14ac:dyDescent="0.25">
      <c r="T2091" s="98"/>
      <c r="U2091" s="99"/>
    </row>
    <row r="2092" spans="20:21" x14ac:dyDescent="0.25">
      <c r="T2092" s="98"/>
      <c r="U2092" s="99"/>
    </row>
    <row r="2093" spans="20:21" x14ac:dyDescent="0.25">
      <c r="T2093" s="98"/>
      <c r="U2093" s="99"/>
    </row>
    <row r="2094" spans="20:21" x14ac:dyDescent="0.25">
      <c r="T2094" s="98"/>
      <c r="U2094" s="99"/>
    </row>
    <row r="2095" spans="20:21" x14ac:dyDescent="0.25">
      <c r="T2095" s="98"/>
      <c r="U2095" s="99"/>
    </row>
    <row r="2096" spans="20:21" x14ac:dyDescent="0.25">
      <c r="T2096" s="98"/>
      <c r="U2096" s="99"/>
    </row>
    <row r="2097" spans="20:21" x14ac:dyDescent="0.25">
      <c r="T2097" s="98"/>
      <c r="U2097" s="99"/>
    </row>
    <row r="2098" spans="20:21" x14ac:dyDescent="0.25">
      <c r="T2098" s="98"/>
      <c r="U2098" s="99"/>
    </row>
    <row r="2099" spans="20:21" x14ac:dyDescent="0.25">
      <c r="T2099" s="98"/>
      <c r="U2099" s="99"/>
    </row>
    <row r="2100" spans="20:21" x14ac:dyDescent="0.25">
      <c r="T2100" s="98"/>
      <c r="U2100" s="99"/>
    </row>
    <row r="2101" spans="20:21" x14ac:dyDescent="0.25">
      <c r="T2101" s="98"/>
      <c r="U2101" s="99"/>
    </row>
    <row r="2102" spans="20:21" x14ac:dyDescent="0.25">
      <c r="T2102" s="98"/>
      <c r="U2102" s="99"/>
    </row>
    <row r="2103" spans="20:21" x14ac:dyDescent="0.25">
      <c r="T2103" s="98"/>
      <c r="U2103" s="99"/>
    </row>
    <row r="2104" spans="20:21" x14ac:dyDescent="0.25">
      <c r="T2104" s="98"/>
      <c r="U2104" s="99"/>
    </row>
    <row r="2105" spans="20:21" x14ac:dyDescent="0.25">
      <c r="T2105" s="98"/>
      <c r="U2105" s="99"/>
    </row>
    <row r="2106" spans="20:21" x14ac:dyDescent="0.25">
      <c r="T2106" s="98"/>
      <c r="U2106" s="99"/>
    </row>
    <row r="2107" spans="20:21" x14ac:dyDescent="0.25">
      <c r="T2107" s="98"/>
      <c r="U2107" s="99"/>
    </row>
    <row r="2108" spans="20:21" x14ac:dyDescent="0.25">
      <c r="T2108" s="98"/>
      <c r="U2108" s="99"/>
    </row>
    <row r="2109" spans="20:21" x14ac:dyDescent="0.25">
      <c r="T2109" s="98"/>
      <c r="U2109" s="99"/>
    </row>
    <row r="2110" spans="20:21" x14ac:dyDescent="0.25">
      <c r="T2110" s="98"/>
      <c r="U2110" s="99"/>
    </row>
    <row r="2111" spans="20:21" x14ac:dyDescent="0.25">
      <c r="T2111" s="98"/>
      <c r="U2111" s="99"/>
    </row>
    <row r="2112" spans="20:21" x14ac:dyDescent="0.25">
      <c r="T2112" s="98"/>
      <c r="U2112" s="99"/>
    </row>
    <row r="2113" spans="20:21" x14ac:dyDescent="0.25">
      <c r="T2113" s="98"/>
      <c r="U2113" s="99"/>
    </row>
    <row r="2114" spans="20:21" x14ac:dyDescent="0.25">
      <c r="T2114" s="98"/>
      <c r="U2114" s="99"/>
    </row>
    <row r="2115" spans="20:21" x14ac:dyDescent="0.25">
      <c r="T2115" s="98"/>
      <c r="U2115" s="99"/>
    </row>
    <row r="2116" spans="20:21" x14ac:dyDescent="0.25">
      <c r="T2116" s="98"/>
      <c r="U2116" s="99"/>
    </row>
    <row r="2117" spans="20:21" x14ac:dyDescent="0.25">
      <c r="T2117" s="98"/>
      <c r="U2117" s="99"/>
    </row>
    <row r="2118" spans="20:21" x14ac:dyDescent="0.25">
      <c r="T2118" s="98"/>
      <c r="U2118" s="99"/>
    </row>
    <row r="2119" spans="20:21" x14ac:dyDescent="0.25">
      <c r="T2119" s="98"/>
      <c r="U2119" s="99"/>
    </row>
    <row r="2120" spans="20:21" x14ac:dyDescent="0.25">
      <c r="T2120" s="98"/>
      <c r="U2120" s="99"/>
    </row>
    <row r="2121" spans="20:21" x14ac:dyDescent="0.25">
      <c r="T2121" s="98"/>
      <c r="U2121" s="99"/>
    </row>
    <row r="2122" spans="20:21" x14ac:dyDescent="0.25">
      <c r="T2122" s="98"/>
      <c r="U2122" s="99"/>
    </row>
    <row r="2123" spans="20:21" x14ac:dyDescent="0.25">
      <c r="T2123" s="98"/>
      <c r="U2123" s="99"/>
    </row>
    <row r="2124" spans="20:21" x14ac:dyDescent="0.25">
      <c r="T2124" s="98"/>
      <c r="U2124" s="99"/>
    </row>
    <row r="2125" spans="20:21" x14ac:dyDescent="0.25">
      <c r="T2125" s="98"/>
      <c r="U2125" s="99"/>
    </row>
    <row r="2126" spans="20:21" x14ac:dyDescent="0.25">
      <c r="T2126" s="98"/>
      <c r="U2126" s="99"/>
    </row>
    <row r="2127" spans="20:21" x14ac:dyDescent="0.25">
      <c r="T2127" s="98"/>
      <c r="U2127" s="99"/>
    </row>
    <row r="2128" spans="20:21" x14ac:dyDescent="0.25">
      <c r="T2128" s="98"/>
      <c r="U2128" s="99"/>
    </row>
    <row r="2129" spans="20:21" x14ac:dyDescent="0.25">
      <c r="T2129" s="98"/>
      <c r="U2129" s="99"/>
    </row>
    <row r="2130" spans="20:21" x14ac:dyDescent="0.25">
      <c r="T2130" s="98"/>
      <c r="U2130" s="99"/>
    </row>
    <row r="2131" spans="20:21" x14ac:dyDescent="0.25">
      <c r="T2131" s="98"/>
      <c r="U2131" s="99"/>
    </row>
    <row r="2132" spans="20:21" x14ac:dyDescent="0.25">
      <c r="T2132" s="98"/>
      <c r="U2132" s="99"/>
    </row>
    <row r="2133" spans="20:21" x14ac:dyDescent="0.25">
      <c r="T2133" s="98"/>
      <c r="U2133" s="99"/>
    </row>
    <row r="2134" spans="20:21" x14ac:dyDescent="0.25">
      <c r="T2134" s="98"/>
      <c r="U2134" s="99"/>
    </row>
    <row r="2135" spans="20:21" x14ac:dyDescent="0.25">
      <c r="T2135" s="98"/>
      <c r="U2135" s="99"/>
    </row>
    <row r="2136" spans="20:21" x14ac:dyDescent="0.25">
      <c r="T2136" s="98"/>
      <c r="U2136" s="99"/>
    </row>
    <row r="2137" spans="20:21" x14ac:dyDescent="0.25">
      <c r="T2137" s="98"/>
      <c r="U2137" s="99"/>
    </row>
    <row r="2138" spans="20:21" x14ac:dyDescent="0.25">
      <c r="T2138" s="98"/>
      <c r="U2138" s="99"/>
    </row>
    <row r="2139" spans="20:21" x14ac:dyDescent="0.25">
      <c r="T2139" s="98"/>
      <c r="U2139" s="99"/>
    </row>
    <row r="2140" spans="20:21" x14ac:dyDescent="0.25">
      <c r="T2140" s="98"/>
      <c r="U2140" s="99"/>
    </row>
    <row r="2141" spans="20:21" x14ac:dyDescent="0.25">
      <c r="T2141" s="98"/>
      <c r="U2141" s="99"/>
    </row>
    <row r="2142" spans="20:21" x14ac:dyDescent="0.25">
      <c r="T2142" s="98"/>
      <c r="U2142" s="99"/>
    </row>
    <row r="2143" spans="20:21" x14ac:dyDescent="0.25">
      <c r="T2143" s="98"/>
      <c r="U2143" s="99"/>
    </row>
    <row r="2144" spans="20:21" x14ac:dyDescent="0.25">
      <c r="T2144" s="98"/>
      <c r="U2144" s="99"/>
    </row>
    <row r="2145" spans="20:21" x14ac:dyDescent="0.25">
      <c r="T2145" s="98"/>
      <c r="U2145" s="99"/>
    </row>
    <row r="2146" spans="20:21" x14ac:dyDescent="0.25">
      <c r="T2146" s="98"/>
      <c r="U2146" s="99"/>
    </row>
    <row r="2147" spans="20:21" x14ac:dyDescent="0.25">
      <c r="T2147" s="98"/>
      <c r="U2147" s="99"/>
    </row>
    <row r="2148" spans="20:21" x14ac:dyDescent="0.25">
      <c r="T2148" s="98"/>
      <c r="U2148" s="99"/>
    </row>
    <row r="2149" spans="20:21" x14ac:dyDescent="0.25">
      <c r="T2149" s="98"/>
      <c r="U2149" s="99"/>
    </row>
    <row r="2150" spans="20:21" x14ac:dyDescent="0.25">
      <c r="T2150" s="98"/>
      <c r="U2150" s="99"/>
    </row>
    <row r="2151" spans="20:21" x14ac:dyDescent="0.25">
      <c r="T2151" s="98"/>
      <c r="U2151" s="99"/>
    </row>
    <row r="2152" spans="20:21" x14ac:dyDescent="0.25">
      <c r="T2152" s="98"/>
      <c r="U2152" s="99"/>
    </row>
    <row r="2153" spans="20:21" x14ac:dyDescent="0.25">
      <c r="T2153" s="98"/>
      <c r="U2153" s="99"/>
    </row>
    <row r="2154" spans="20:21" x14ac:dyDescent="0.25">
      <c r="T2154" s="98"/>
      <c r="U2154" s="99"/>
    </row>
    <row r="2155" spans="20:21" x14ac:dyDescent="0.25">
      <c r="T2155" s="98"/>
      <c r="U2155" s="99"/>
    </row>
    <row r="2156" spans="20:21" x14ac:dyDescent="0.25">
      <c r="T2156" s="98"/>
      <c r="U2156" s="99"/>
    </row>
    <row r="2157" spans="20:21" x14ac:dyDescent="0.25">
      <c r="T2157" s="98"/>
      <c r="U2157" s="99"/>
    </row>
    <row r="2158" spans="20:21" x14ac:dyDescent="0.25">
      <c r="T2158" s="98"/>
      <c r="U2158" s="99"/>
    </row>
    <row r="2159" spans="20:21" x14ac:dyDescent="0.25">
      <c r="T2159" s="98"/>
      <c r="U2159" s="99"/>
    </row>
    <row r="2160" spans="20:21" x14ac:dyDescent="0.25">
      <c r="T2160" s="98"/>
      <c r="U2160" s="99"/>
    </row>
    <row r="2161" spans="20:21" x14ac:dyDescent="0.25">
      <c r="T2161" s="98"/>
      <c r="U2161" s="99"/>
    </row>
    <row r="2162" spans="20:21" x14ac:dyDescent="0.25">
      <c r="T2162" s="98"/>
      <c r="U2162" s="99"/>
    </row>
    <row r="2163" spans="20:21" x14ac:dyDescent="0.25">
      <c r="T2163" s="98"/>
      <c r="U2163" s="99"/>
    </row>
    <row r="2164" spans="20:21" x14ac:dyDescent="0.25">
      <c r="T2164" s="98"/>
      <c r="U2164" s="99"/>
    </row>
    <row r="2165" spans="20:21" x14ac:dyDescent="0.25">
      <c r="T2165" s="98"/>
      <c r="U2165" s="99"/>
    </row>
    <row r="2166" spans="20:21" x14ac:dyDescent="0.25">
      <c r="T2166" s="98"/>
      <c r="U2166" s="99"/>
    </row>
    <row r="2167" spans="20:21" x14ac:dyDescent="0.25">
      <c r="T2167" s="98"/>
      <c r="U2167" s="99"/>
    </row>
    <row r="2168" spans="20:21" x14ac:dyDescent="0.25">
      <c r="T2168" s="98"/>
      <c r="U2168" s="99"/>
    </row>
    <row r="2169" spans="20:21" x14ac:dyDescent="0.25">
      <c r="T2169" s="98"/>
      <c r="U2169" s="99"/>
    </row>
    <row r="2170" spans="20:21" x14ac:dyDescent="0.25">
      <c r="T2170" s="98"/>
      <c r="U2170" s="99"/>
    </row>
    <row r="2171" spans="20:21" x14ac:dyDescent="0.25">
      <c r="T2171" s="98"/>
      <c r="U2171" s="99"/>
    </row>
    <row r="2172" spans="20:21" x14ac:dyDescent="0.25">
      <c r="T2172" s="98"/>
      <c r="U2172" s="99"/>
    </row>
    <row r="2173" spans="20:21" x14ac:dyDescent="0.25">
      <c r="T2173" s="98"/>
      <c r="U2173" s="99"/>
    </row>
    <row r="2174" spans="20:21" x14ac:dyDescent="0.25">
      <c r="T2174" s="98"/>
      <c r="U2174" s="99"/>
    </row>
    <row r="2175" spans="20:21" x14ac:dyDescent="0.25">
      <c r="T2175" s="98"/>
      <c r="U2175" s="99"/>
    </row>
    <row r="2176" spans="20:21" x14ac:dyDescent="0.25">
      <c r="T2176" s="98"/>
      <c r="U2176" s="99"/>
    </row>
    <row r="2177" spans="20:21" x14ac:dyDescent="0.25">
      <c r="T2177" s="98"/>
      <c r="U2177" s="99"/>
    </row>
    <row r="2178" spans="20:21" x14ac:dyDescent="0.25">
      <c r="T2178" s="98"/>
      <c r="U2178" s="99"/>
    </row>
    <row r="2179" spans="20:21" x14ac:dyDescent="0.25">
      <c r="T2179" s="98"/>
      <c r="U2179" s="99"/>
    </row>
    <row r="2180" spans="20:21" x14ac:dyDescent="0.25">
      <c r="T2180" s="98"/>
      <c r="U2180" s="99"/>
    </row>
    <row r="2181" spans="20:21" x14ac:dyDescent="0.25">
      <c r="T2181" s="98"/>
      <c r="U2181" s="99"/>
    </row>
    <row r="2182" spans="20:21" x14ac:dyDescent="0.25">
      <c r="T2182" s="98"/>
      <c r="U2182" s="99"/>
    </row>
    <row r="2183" spans="20:21" x14ac:dyDescent="0.25">
      <c r="T2183" s="98"/>
      <c r="U2183" s="99"/>
    </row>
    <row r="2184" spans="20:21" x14ac:dyDescent="0.25">
      <c r="T2184" s="98"/>
      <c r="U2184" s="99"/>
    </row>
    <row r="2185" spans="20:21" x14ac:dyDescent="0.25">
      <c r="T2185" s="98"/>
      <c r="U2185" s="99"/>
    </row>
    <row r="2186" spans="20:21" x14ac:dyDescent="0.25">
      <c r="T2186" s="98"/>
      <c r="U2186" s="99"/>
    </row>
    <row r="2187" spans="20:21" x14ac:dyDescent="0.25">
      <c r="T2187" s="98"/>
      <c r="U2187" s="99"/>
    </row>
    <row r="2188" spans="20:21" x14ac:dyDescent="0.25">
      <c r="T2188" s="98"/>
      <c r="U2188" s="99"/>
    </row>
    <row r="2189" spans="20:21" x14ac:dyDescent="0.25">
      <c r="T2189" s="98"/>
      <c r="U2189" s="99"/>
    </row>
    <row r="2190" spans="20:21" x14ac:dyDescent="0.25">
      <c r="T2190" s="98"/>
      <c r="U2190" s="99"/>
    </row>
    <row r="2191" spans="20:21" x14ac:dyDescent="0.25">
      <c r="T2191" s="98"/>
      <c r="U2191" s="99"/>
    </row>
    <row r="2192" spans="20:21" x14ac:dyDescent="0.25">
      <c r="T2192" s="98"/>
      <c r="U2192" s="99"/>
    </row>
    <row r="2193" spans="20:21" x14ac:dyDescent="0.25">
      <c r="T2193" s="98"/>
      <c r="U2193" s="99"/>
    </row>
    <row r="2194" spans="20:21" x14ac:dyDescent="0.25">
      <c r="T2194" s="98"/>
      <c r="U2194" s="99"/>
    </row>
    <row r="2195" spans="20:21" x14ac:dyDescent="0.25">
      <c r="T2195" s="98"/>
      <c r="U2195" s="99"/>
    </row>
    <row r="2196" spans="20:21" x14ac:dyDescent="0.25">
      <c r="T2196" s="98"/>
      <c r="U2196" s="99"/>
    </row>
    <row r="2197" spans="20:21" x14ac:dyDescent="0.25">
      <c r="T2197" s="98"/>
      <c r="U2197" s="99"/>
    </row>
    <row r="2198" spans="20:21" x14ac:dyDescent="0.25">
      <c r="T2198" s="98"/>
      <c r="U2198" s="99"/>
    </row>
    <row r="2199" spans="20:21" x14ac:dyDescent="0.25">
      <c r="T2199" s="98"/>
      <c r="U2199" s="99"/>
    </row>
    <row r="2200" spans="20:21" x14ac:dyDescent="0.25">
      <c r="T2200" s="98"/>
      <c r="U2200" s="99"/>
    </row>
    <row r="2201" spans="20:21" x14ac:dyDescent="0.25">
      <c r="T2201" s="98"/>
      <c r="U2201" s="99"/>
    </row>
    <row r="2202" spans="20:21" x14ac:dyDescent="0.25">
      <c r="T2202" s="98"/>
      <c r="U2202" s="99"/>
    </row>
    <row r="2203" spans="20:21" x14ac:dyDescent="0.25">
      <c r="T2203" s="98"/>
      <c r="U2203" s="99"/>
    </row>
    <row r="2204" spans="20:21" x14ac:dyDescent="0.25">
      <c r="T2204" s="98"/>
      <c r="U2204" s="99"/>
    </row>
    <row r="2205" spans="20:21" x14ac:dyDescent="0.25">
      <c r="T2205" s="98"/>
      <c r="U2205" s="99"/>
    </row>
    <row r="2206" spans="20:21" x14ac:dyDescent="0.25">
      <c r="T2206" s="98"/>
      <c r="U2206" s="99"/>
    </row>
    <row r="2207" spans="20:21" x14ac:dyDescent="0.25">
      <c r="T2207" s="98"/>
      <c r="U2207" s="99"/>
    </row>
    <row r="2208" spans="20:21" x14ac:dyDescent="0.25">
      <c r="T2208" s="98"/>
      <c r="U2208" s="99"/>
    </row>
    <row r="2209" spans="20:21" x14ac:dyDescent="0.25">
      <c r="T2209" s="98"/>
      <c r="U2209" s="99"/>
    </row>
    <row r="2210" spans="20:21" x14ac:dyDescent="0.25">
      <c r="T2210" s="98"/>
      <c r="U2210" s="99"/>
    </row>
    <row r="2211" spans="20:21" x14ac:dyDescent="0.25">
      <c r="T2211" s="98"/>
      <c r="U2211" s="99"/>
    </row>
    <row r="2212" spans="20:21" x14ac:dyDescent="0.25">
      <c r="T2212" s="98"/>
      <c r="U2212" s="99"/>
    </row>
    <row r="2213" spans="20:21" x14ac:dyDescent="0.25">
      <c r="T2213" s="98"/>
      <c r="U2213" s="99"/>
    </row>
    <row r="2214" spans="20:21" x14ac:dyDescent="0.25">
      <c r="T2214" s="98"/>
      <c r="U2214" s="99"/>
    </row>
    <row r="2215" spans="20:21" x14ac:dyDescent="0.25">
      <c r="T2215" s="98"/>
      <c r="U2215" s="99"/>
    </row>
    <row r="2216" spans="20:21" x14ac:dyDescent="0.25">
      <c r="T2216" s="98"/>
      <c r="U2216" s="99"/>
    </row>
    <row r="2217" spans="20:21" x14ac:dyDescent="0.25">
      <c r="T2217" s="98"/>
      <c r="U2217" s="99"/>
    </row>
    <row r="2218" spans="20:21" x14ac:dyDescent="0.25">
      <c r="T2218" s="98"/>
      <c r="U2218" s="99"/>
    </row>
    <row r="2219" spans="20:21" x14ac:dyDescent="0.25">
      <c r="T2219" s="98"/>
      <c r="U2219" s="99"/>
    </row>
    <row r="2220" spans="20:21" x14ac:dyDescent="0.25">
      <c r="T2220" s="98"/>
      <c r="U2220" s="99"/>
    </row>
    <row r="2221" spans="20:21" x14ac:dyDescent="0.25">
      <c r="T2221" s="98"/>
      <c r="U2221" s="99"/>
    </row>
    <row r="2222" spans="20:21" x14ac:dyDescent="0.25">
      <c r="T2222" s="98"/>
      <c r="U2222" s="99"/>
    </row>
    <row r="2223" spans="20:21" x14ac:dyDescent="0.25">
      <c r="T2223" s="98"/>
      <c r="U2223" s="99"/>
    </row>
    <row r="2224" spans="20:21" x14ac:dyDescent="0.25">
      <c r="T2224" s="98"/>
      <c r="U2224" s="99"/>
    </row>
    <row r="2225" spans="20:21" x14ac:dyDescent="0.25">
      <c r="T2225" s="98"/>
      <c r="U2225" s="99"/>
    </row>
    <row r="2226" spans="20:21" x14ac:dyDescent="0.25">
      <c r="T2226" s="98"/>
      <c r="U2226" s="99"/>
    </row>
    <row r="2227" spans="20:21" x14ac:dyDescent="0.25">
      <c r="T2227" s="98"/>
      <c r="U2227" s="99"/>
    </row>
    <row r="2228" spans="20:21" x14ac:dyDescent="0.25">
      <c r="T2228" s="98"/>
      <c r="U2228" s="99"/>
    </row>
    <row r="2229" spans="20:21" x14ac:dyDescent="0.25">
      <c r="T2229" s="98"/>
      <c r="U2229" s="99"/>
    </row>
    <row r="2230" spans="20:21" x14ac:dyDescent="0.25">
      <c r="T2230" s="98"/>
      <c r="U2230" s="99"/>
    </row>
    <row r="2231" spans="20:21" x14ac:dyDescent="0.25">
      <c r="T2231" s="98"/>
      <c r="U2231" s="99"/>
    </row>
    <row r="2232" spans="20:21" x14ac:dyDescent="0.25">
      <c r="T2232" s="98"/>
      <c r="U2232" s="99"/>
    </row>
    <row r="2233" spans="20:21" x14ac:dyDescent="0.25">
      <c r="T2233" s="98"/>
      <c r="U2233" s="99"/>
    </row>
    <row r="2234" spans="20:21" x14ac:dyDescent="0.25">
      <c r="T2234" s="98"/>
      <c r="U2234" s="99"/>
    </row>
    <row r="2235" spans="20:21" x14ac:dyDescent="0.25">
      <c r="T2235" s="98"/>
      <c r="U2235" s="99"/>
    </row>
    <row r="2236" spans="20:21" x14ac:dyDescent="0.25">
      <c r="T2236" s="98"/>
      <c r="U2236" s="99"/>
    </row>
    <row r="2237" spans="20:21" x14ac:dyDescent="0.25">
      <c r="T2237" s="98"/>
      <c r="U2237" s="99"/>
    </row>
    <row r="2238" spans="20:21" x14ac:dyDescent="0.25">
      <c r="T2238" s="98"/>
      <c r="U2238" s="99"/>
    </row>
    <row r="2239" spans="20:21" x14ac:dyDescent="0.25">
      <c r="T2239" s="98"/>
      <c r="U2239" s="99"/>
    </row>
    <row r="2240" spans="20:21" x14ac:dyDescent="0.25">
      <c r="T2240" s="98"/>
      <c r="U2240" s="99"/>
    </row>
    <row r="2241" spans="20:21" x14ac:dyDescent="0.25">
      <c r="T2241" s="98"/>
      <c r="U2241" s="99"/>
    </row>
    <row r="2242" spans="20:21" x14ac:dyDescent="0.25">
      <c r="T2242" s="98"/>
      <c r="U2242" s="99"/>
    </row>
    <row r="2243" spans="20:21" x14ac:dyDescent="0.25">
      <c r="T2243" s="98"/>
      <c r="U2243" s="99"/>
    </row>
    <row r="2244" spans="20:21" x14ac:dyDescent="0.25">
      <c r="T2244" s="98"/>
      <c r="U2244" s="99"/>
    </row>
    <row r="2245" spans="20:21" x14ac:dyDescent="0.25">
      <c r="T2245" s="98"/>
      <c r="U2245" s="99"/>
    </row>
    <row r="2246" spans="20:21" x14ac:dyDescent="0.25">
      <c r="T2246" s="98"/>
      <c r="U2246" s="99"/>
    </row>
    <row r="2247" spans="20:21" x14ac:dyDescent="0.25">
      <c r="T2247" s="98"/>
      <c r="U2247" s="99"/>
    </row>
    <row r="2248" spans="20:21" x14ac:dyDescent="0.25">
      <c r="T2248" s="98"/>
      <c r="U2248" s="99"/>
    </row>
    <row r="2249" spans="20:21" x14ac:dyDescent="0.25">
      <c r="T2249" s="98"/>
      <c r="U2249" s="99"/>
    </row>
    <row r="2250" spans="20:21" x14ac:dyDescent="0.25">
      <c r="T2250" s="98"/>
      <c r="U2250" s="99"/>
    </row>
    <row r="2251" spans="20:21" x14ac:dyDescent="0.25">
      <c r="T2251" s="98"/>
      <c r="U2251" s="99"/>
    </row>
    <row r="2252" spans="20:21" x14ac:dyDescent="0.25">
      <c r="T2252" s="98"/>
      <c r="U2252" s="99"/>
    </row>
    <row r="2253" spans="20:21" x14ac:dyDescent="0.25">
      <c r="T2253" s="98"/>
      <c r="U2253" s="99"/>
    </row>
    <row r="2254" spans="20:21" x14ac:dyDescent="0.25">
      <c r="T2254" s="98"/>
      <c r="U2254" s="99"/>
    </row>
    <row r="2255" spans="20:21" x14ac:dyDescent="0.25">
      <c r="T2255" s="98"/>
      <c r="U2255" s="99"/>
    </row>
    <row r="2256" spans="20:21" x14ac:dyDescent="0.25">
      <c r="T2256" s="98"/>
      <c r="U2256" s="99"/>
    </row>
    <row r="2257" spans="20:21" x14ac:dyDescent="0.25">
      <c r="T2257" s="98"/>
      <c r="U2257" s="99"/>
    </row>
    <row r="2258" spans="20:21" x14ac:dyDescent="0.25">
      <c r="T2258" s="98"/>
      <c r="U2258" s="99"/>
    </row>
    <row r="2259" spans="20:21" x14ac:dyDescent="0.25">
      <c r="T2259" s="98"/>
      <c r="U2259" s="99"/>
    </row>
    <row r="2260" spans="20:21" x14ac:dyDescent="0.25">
      <c r="T2260" s="98"/>
      <c r="U2260" s="99"/>
    </row>
    <row r="2261" spans="20:21" x14ac:dyDescent="0.25">
      <c r="T2261" s="98"/>
      <c r="U2261" s="99"/>
    </row>
    <row r="2262" spans="20:21" x14ac:dyDescent="0.25">
      <c r="T2262" s="98"/>
      <c r="U2262" s="99"/>
    </row>
    <row r="2263" spans="20:21" x14ac:dyDescent="0.25">
      <c r="T2263" s="98"/>
      <c r="U2263" s="99"/>
    </row>
    <row r="2264" spans="20:21" x14ac:dyDescent="0.25">
      <c r="T2264" s="98"/>
      <c r="U2264" s="99"/>
    </row>
    <row r="2265" spans="20:21" x14ac:dyDescent="0.25">
      <c r="T2265" s="98"/>
      <c r="U2265" s="99"/>
    </row>
    <row r="2266" spans="20:21" x14ac:dyDescent="0.25">
      <c r="T2266" s="98"/>
      <c r="U2266" s="99"/>
    </row>
    <row r="2267" spans="20:21" x14ac:dyDescent="0.25">
      <c r="T2267" s="98"/>
      <c r="U2267" s="99"/>
    </row>
    <row r="2268" spans="20:21" x14ac:dyDescent="0.25">
      <c r="T2268" s="98"/>
      <c r="U2268" s="99"/>
    </row>
    <row r="2269" spans="20:21" x14ac:dyDescent="0.25">
      <c r="T2269" s="98"/>
      <c r="U2269" s="99"/>
    </row>
    <row r="2270" spans="20:21" x14ac:dyDescent="0.25">
      <c r="T2270" s="98"/>
      <c r="U2270" s="99"/>
    </row>
    <row r="2271" spans="20:21" x14ac:dyDescent="0.25">
      <c r="T2271" s="98"/>
      <c r="U2271" s="99"/>
    </row>
    <row r="2272" spans="20:21" x14ac:dyDescent="0.25">
      <c r="T2272" s="98"/>
      <c r="U2272" s="99"/>
    </row>
    <row r="2273" spans="20:21" x14ac:dyDescent="0.25">
      <c r="T2273" s="98"/>
      <c r="U2273" s="99"/>
    </row>
    <row r="2274" spans="20:21" x14ac:dyDescent="0.25">
      <c r="T2274" s="98"/>
      <c r="U2274" s="99"/>
    </row>
    <row r="2275" spans="20:21" x14ac:dyDescent="0.25">
      <c r="T2275" s="98"/>
      <c r="U2275" s="99"/>
    </row>
    <row r="2276" spans="20:21" x14ac:dyDescent="0.25">
      <c r="T2276" s="98"/>
      <c r="U2276" s="99"/>
    </row>
    <row r="2277" spans="20:21" x14ac:dyDescent="0.25">
      <c r="T2277" s="98"/>
      <c r="U2277" s="99"/>
    </row>
    <row r="2278" spans="20:21" x14ac:dyDescent="0.25">
      <c r="T2278" s="98"/>
      <c r="U2278" s="99"/>
    </row>
    <row r="2279" spans="20:21" x14ac:dyDescent="0.25">
      <c r="T2279" s="98"/>
      <c r="U2279" s="99"/>
    </row>
    <row r="2280" spans="20:21" x14ac:dyDescent="0.25">
      <c r="T2280" s="98"/>
      <c r="U2280" s="99"/>
    </row>
    <row r="2281" spans="20:21" x14ac:dyDescent="0.25">
      <c r="T2281" s="98"/>
      <c r="U2281" s="99"/>
    </row>
    <row r="2282" spans="20:21" x14ac:dyDescent="0.25">
      <c r="T2282" s="98"/>
      <c r="U2282" s="99"/>
    </row>
    <row r="2283" spans="20:21" x14ac:dyDescent="0.25">
      <c r="T2283" s="98"/>
      <c r="U2283" s="99"/>
    </row>
    <row r="2284" spans="20:21" x14ac:dyDescent="0.25">
      <c r="T2284" s="98"/>
      <c r="U2284" s="99"/>
    </row>
    <row r="2285" spans="20:21" x14ac:dyDescent="0.25">
      <c r="T2285" s="98"/>
      <c r="U2285" s="99"/>
    </row>
    <row r="2286" spans="20:21" x14ac:dyDescent="0.25">
      <c r="T2286" s="98"/>
      <c r="U2286" s="99"/>
    </row>
    <row r="2287" spans="20:21" x14ac:dyDescent="0.25">
      <c r="T2287" s="98"/>
      <c r="U2287" s="99"/>
    </row>
    <row r="2288" spans="20:21" x14ac:dyDescent="0.25">
      <c r="T2288" s="98"/>
      <c r="U2288" s="99"/>
    </row>
    <row r="2289" spans="20:21" x14ac:dyDescent="0.25">
      <c r="T2289" s="98"/>
      <c r="U2289" s="99"/>
    </row>
    <row r="2290" spans="20:21" x14ac:dyDescent="0.25">
      <c r="T2290" s="98"/>
      <c r="U2290" s="99"/>
    </row>
    <row r="2291" spans="20:21" x14ac:dyDescent="0.25">
      <c r="T2291" s="98"/>
      <c r="U2291" s="99"/>
    </row>
    <row r="2292" spans="20:21" x14ac:dyDescent="0.25">
      <c r="T2292" s="98"/>
      <c r="U2292" s="99"/>
    </row>
    <row r="2293" spans="20:21" x14ac:dyDescent="0.25">
      <c r="T2293" s="98"/>
      <c r="U2293" s="99"/>
    </row>
    <row r="2294" spans="20:21" x14ac:dyDescent="0.25">
      <c r="T2294" s="98"/>
      <c r="U2294" s="99"/>
    </row>
    <row r="2295" spans="20:21" x14ac:dyDescent="0.25">
      <c r="T2295" s="98"/>
      <c r="U2295" s="99"/>
    </row>
    <row r="2296" spans="20:21" x14ac:dyDescent="0.25">
      <c r="T2296" s="98"/>
      <c r="U2296" s="99"/>
    </row>
    <row r="2297" spans="20:21" x14ac:dyDescent="0.25">
      <c r="T2297" s="98"/>
      <c r="U2297" s="99"/>
    </row>
    <row r="2298" spans="20:21" x14ac:dyDescent="0.25">
      <c r="T2298" s="98"/>
      <c r="U2298" s="99"/>
    </row>
    <row r="2299" spans="20:21" x14ac:dyDescent="0.25">
      <c r="T2299" s="98"/>
      <c r="U2299" s="99"/>
    </row>
    <row r="2300" spans="20:21" x14ac:dyDescent="0.25">
      <c r="T2300" s="98"/>
      <c r="U2300" s="99"/>
    </row>
    <row r="2301" spans="20:21" x14ac:dyDescent="0.25">
      <c r="T2301" s="98"/>
      <c r="U2301" s="99"/>
    </row>
    <row r="2302" spans="20:21" x14ac:dyDescent="0.25">
      <c r="T2302" s="98"/>
      <c r="U2302" s="99"/>
    </row>
    <row r="2303" spans="20:21" x14ac:dyDescent="0.25">
      <c r="T2303" s="98"/>
      <c r="U2303" s="99"/>
    </row>
    <row r="2304" spans="20:21" x14ac:dyDescent="0.25">
      <c r="T2304" s="98"/>
      <c r="U2304" s="99"/>
    </row>
    <row r="2305" spans="20:21" x14ac:dyDescent="0.25">
      <c r="T2305" s="98"/>
      <c r="U2305" s="99"/>
    </row>
    <row r="2306" spans="20:21" x14ac:dyDescent="0.25">
      <c r="T2306" s="98"/>
      <c r="U2306" s="99"/>
    </row>
    <row r="2307" spans="20:21" x14ac:dyDescent="0.25">
      <c r="T2307" s="98"/>
      <c r="U2307" s="99"/>
    </row>
    <row r="2308" spans="20:21" x14ac:dyDescent="0.25">
      <c r="T2308" s="98"/>
      <c r="U2308" s="99"/>
    </row>
    <row r="2309" spans="20:21" x14ac:dyDescent="0.25">
      <c r="T2309" s="98"/>
      <c r="U2309" s="99"/>
    </row>
    <row r="2310" spans="20:21" x14ac:dyDescent="0.25">
      <c r="T2310" s="98"/>
      <c r="U2310" s="99"/>
    </row>
    <row r="2311" spans="20:21" x14ac:dyDescent="0.25">
      <c r="T2311" s="98"/>
      <c r="U2311" s="99"/>
    </row>
    <row r="2312" spans="20:21" x14ac:dyDescent="0.25">
      <c r="T2312" s="98"/>
      <c r="U2312" s="99"/>
    </row>
    <row r="2313" spans="20:21" x14ac:dyDescent="0.25">
      <c r="T2313" s="98"/>
      <c r="U2313" s="99"/>
    </row>
    <row r="2314" spans="20:21" x14ac:dyDescent="0.25">
      <c r="T2314" s="98"/>
      <c r="U2314" s="99"/>
    </row>
    <row r="2315" spans="20:21" x14ac:dyDescent="0.25">
      <c r="T2315" s="98"/>
      <c r="U2315" s="99"/>
    </row>
    <row r="2316" spans="20:21" x14ac:dyDescent="0.25">
      <c r="T2316" s="98"/>
      <c r="U2316" s="99"/>
    </row>
    <row r="2317" spans="20:21" x14ac:dyDescent="0.25">
      <c r="T2317" s="98"/>
      <c r="U2317" s="99"/>
    </row>
    <row r="2318" spans="20:21" x14ac:dyDescent="0.25">
      <c r="T2318" s="98"/>
      <c r="U2318" s="99"/>
    </row>
    <row r="2319" spans="20:21" x14ac:dyDescent="0.25">
      <c r="T2319" s="98"/>
      <c r="U2319" s="99"/>
    </row>
    <row r="2320" spans="20:21" x14ac:dyDescent="0.25">
      <c r="T2320" s="98"/>
      <c r="U2320" s="99"/>
    </row>
    <row r="2321" spans="20:21" x14ac:dyDescent="0.25">
      <c r="T2321" s="98"/>
      <c r="U2321" s="99"/>
    </row>
    <row r="2322" spans="20:21" x14ac:dyDescent="0.25">
      <c r="T2322" s="98"/>
      <c r="U2322" s="99"/>
    </row>
    <row r="2323" spans="20:21" x14ac:dyDescent="0.25">
      <c r="T2323" s="98"/>
      <c r="U2323" s="99"/>
    </row>
    <row r="2324" spans="20:21" x14ac:dyDescent="0.25">
      <c r="T2324" s="98"/>
      <c r="U2324" s="99"/>
    </row>
    <row r="2325" spans="20:21" x14ac:dyDescent="0.25">
      <c r="T2325" s="98"/>
      <c r="U2325" s="99"/>
    </row>
    <row r="2326" spans="20:21" x14ac:dyDescent="0.25">
      <c r="T2326" s="98"/>
      <c r="U2326" s="99"/>
    </row>
    <row r="2327" spans="20:21" x14ac:dyDescent="0.25">
      <c r="T2327" s="98"/>
      <c r="U2327" s="99"/>
    </row>
    <row r="2328" spans="20:21" x14ac:dyDescent="0.25">
      <c r="T2328" s="98"/>
      <c r="U2328" s="99"/>
    </row>
    <row r="2329" spans="20:21" x14ac:dyDescent="0.25">
      <c r="T2329" s="98"/>
      <c r="U2329" s="99"/>
    </row>
    <row r="2330" spans="20:21" x14ac:dyDescent="0.25">
      <c r="T2330" s="98"/>
      <c r="U2330" s="99"/>
    </row>
    <row r="2331" spans="20:21" x14ac:dyDescent="0.25">
      <c r="T2331" s="98"/>
      <c r="U2331" s="99"/>
    </row>
    <row r="2332" spans="20:21" x14ac:dyDescent="0.25">
      <c r="T2332" s="98"/>
      <c r="U2332" s="99"/>
    </row>
    <row r="2333" spans="20:21" x14ac:dyDescent="0.25">
      <c r="T2333" s="98"/>
      <c r="U2333" s="99"/>
    </row>
    <row r="2334" spans="20:21" x14ac:dyDescent="0.25">
      <c r="T2334" s="98"/>
      <c r="U2334" s="99"/>
    </row>
    <row r="2335" spans="20:21" x14ac:dyDescent="0.25">
      <c r="T2335" s="98"/>
      <c r="U2335" s="99"/>
    </row>
    <row r="2336" spans="20:21" x14ac:dyDescent="0.25">
      <c r="T2336" s="98"/>
      <c r="U2336" s="99"/>
    </row>
    <row r="2337" spans="20:21" x14ac:dyDescent="0.25">
      <c r="T2337" s="98"/>
      <c r="U2337" s="99"/>
    </row>
    <row r="2338" spans="20:21" x14ac:dyDescent="0.25">
      <c r="T2338" s="98"/>
      <c r="U2338" s="99"/>
    </row>
    <row r="2339" spans="20:21" x14ac:dyDescent="0.25">
      <c r="T2339" s="98"/>
      <c r="U2339" s="99"/>
    </row>
    <row r="2340" spans="20:21" x14ac:dyDescent="0.25">
      <c r="T2340" s="98"/>
      <c r="U2340" s="99"/>
    </row>
    <row r="2341" spans="20:21" x14ac:dyDescent="0.25">
      <c r="T2341" s="98"/>
      <c r="U2341" s="99"/>
    </row>
    <row r="2342" spans="20:21" x14ac:dyDescent="0.25">
      <c r="T2342" s="98"/>
      <c r="U2342" s="99"/>
    </row>
    <row r="2343" spans="20:21" x14ac:dyDescent="0.25">
      <c r="T2343" s="98"/>
      <c r="U2343" s="99"/>
    </row>
    <row r="2344" spans="20:21" x14ac:dyDescent="0.25">
      <c r="T2344" s="98"/>
      <c r="U2344" s="99"/>
    </row>
    <row r="2345" spans="20:21" x14ac:dyDescent="0.25">
      <c r="T2345" s="98"/>
      <c r="U2345" s="99"/>
    </row>
    <row r="2346" spans="20:21" x14ac:dyDescent="0.25">
      <c r="T2346" s="98"/>
      <c r="U2346" s="99"/>
    </row>
    <row r="2347" spans="20:21" x14ac:dyDescent="0.25">
      <c r="T2347" s="98"/>
      <c r="U2347" s="99"/>
    </row>
    <row r="2348" spans="20:21" x14ac:dyDescent="0.25">
      <c r="T2348" s="98"/>
      <c r="U2348" s="99"/>
    </row>
    <row r="2349" spans="20:21" x14ac:dyDescent="0.25">
      <c r="T2349" s="98"/>
      <c r="U2349" s="99"/>
    </row>
    <row r="2350" spans="20:21" x14ac:dyDescent="0.25">
      <c r="T2350" s="98"/>
      <c r="U2350" s="99"/>
    </row>
    <row r="2351" spans="20:21" x14ac:dyDescent="0.25">
      <c r="T2351" s="98"/>
      <c r="U2351" s="99"/>
    </row>
    <row r="2352" spans="20:21" x14ac:dyDescent="0.25">
      <c r="T2352" s="98"/>
      <c r="U2352" s="99"/>
    </row>
    <row r="2353" spans="20:21" x14ac:dyDescent="0.25">
      <c r="T2353" s="98"/>
      <c r="U2353" s="99"/>
    </row>
    <row r="2354" spans="20:21" x14ac:dyDescent="0.25">
      <c r="T2354" s="98"/>
      <c r="U2354" s="99"/>
    </row>
    <row r="2355" spans="20:21" x14ac:dyDescent="0.25">
      <c r="T2355" s="98"/>
      <c r="U2355" s="99"/>
    </row>
    <row r="2356" spans="20:21" x14ac:dyDescent="0.25">
      <c r="T2356" s="98"/>
      <c r="U2356" s="99"/>
    </row>
    <row r="2357" spans="20:21" x14ac:dyDescent="0.25">
      <c r="T2357" s="98"/>
      <c r="U2357" s="99"/>
    </row>
    <row r="2358" spans="20:21" x14ac:dyDescent="0.25">
      <c r="T2358" s="98"/>
      <c r="U2358" s="99"/>
    </row>
    <row r="2359" spans="20:21" x14ac:dyDescent="0.25">
      <c r="T2359" s="98"/>
      <c r="U2359" s="99"/>
    </row>
    <row r="2360" spans="20:21" x14ac:dyDescent="0.25">
      <c r="T2360" s="98"/>
      <c r="U2360" s="99"/>
    </row>
    <row r="2361" spans="20:21" x14ac:dyDescent="0.25">
      <c r="T2361" s="98"/>
      <c r="U2361" s="99"/>
    </row>
    <row r="2362" spans="20:21" x14ac:dyDescent="0.25">
      <c r="T2362" s="98"/>
      <c r="U2362" s="99"/>
    </row>
    <row r="2363" spans="20:21" x14ac:dyDescent="0.25">
      <c r="T2363" s="98"/>
      <c r="U2363" s="99"/>
    </row>
    <row r="2364" spans="20:21" x14ac:dyDescent="0.25">
      <c r="T2364" s="98"/>
      <c r="U2364" s="99"/>
    </row>
    <row r="2365" spans="20:21" x14ac:dyDescent="0.25">
      <c r="T2365" s="98"/>
      <c r="U2365" s="99"/>
    </row>
    <row r="2366" spans="20:21" x14ac:dyDescent="0.25">
      <c r="T2366" s="98"/>
      <c r="U2366" s="99"/>
    </row>
    <row r="2367" spans="20:21" x14ac:dyDescent="0.25">
      <c r="T2367" s="98"/>
      <c r="U2367" s="99"/>
    </row>
    <row r="2368" spans="20:21" x14ac:dyDescent="0.25">
      <c r="T2368" s="98"/>
      <c r="U2368" s="99"/>
    </row>
    <row r="2369" spans="20:21" x14ac:dyDescent="0.25">
      <c r="T2369" s="98"/>
      <c r="U2369" s="99"/>
    </row>
    <row r="2370" spans="20:21" x14ac:dyDescent="0.25">
      <c r="T2370" s="98"/>
      <c r="U2370" s="99"/>
    </row>
    <row r="2371" spans="20:21" x14ac:dyDescent="0.25">
      <c r="T2371" s="98"/>
      <c r="U2371" s="99"/>
    </row>
    <row r="2372" spans="20:21" x14ac:dyDescent="0.25">
      <c r="T2372" s="98"/>
      <c r="U2372" s="99"/>
    </row>
    <row r="2373" spans="20:21" x14ac:dyDescent="0.25">
      <c r="T2373" s="98"/>
      <c r="U2373" s="99"/>
    </row>
    <row r="2374" spans="20:21" x14ac:dyDescent="0.25">
      <c r="T2374" s="98"/>
      <c r="U2374" s="99"/>
    </row>
    <row r="2375" spans="20:21" x14ac:dyDescent="0.25">
      <c r="T2375" s="98"/>
      <c r="U2375" s="99"/>
    </row>
    <row r="2376" spans="20:21" x14ac:dyDescent="0.25">
      <c r="T2376" s="98"/>
      <c r="U2376" s="99"/>
    </row>
    <row r="2377" spans="20:21" x14ac:dyDescent="0.25">
      <c r="T2377" s="98"/>
      <c r="U2377" s="99"/>
    </row>
    <row r="2378" spans="20:21" x14ac:dyDescent="0.25">
      <c r="T2378" s="98"/>
      <c r="U2378" s="99"/>
    </row>
    <row r="2379" spans="20:21" x14ac:dyDescent="0.25">
      <c r="T2379" s="98"/>
      <c r="U2379" s="99"/>
    </row>
    <row r="2380" spans="20:21" x14ac:dyDescent="0.25">
      <c r="T2380" s="98"/>
      <c r="U2380" s="99"/>
    </row>
    <row r="2381" spans="20:21" x14ac:dyDescent="0.25">
      <c r="T2381" s="98"/>
      <c r="U2381" s="99"/>
    </row>
    <row r="2382" spans="20:21" x14ac:dyDescent="0.25">
      <c r="T2382" s="98"/>
      <c r="U2382" s="99"/>
    </row>
    <row r="2383" spans="20:21" x14ac:dyDescent="0.25">
      <c r="T2383" s="98"/>
      <c r="U2383" s="99"/>
    </row>
    <row r="2384" spans="20:21" x14ac:dyDescent="0.25">
      <c r="T2384" s="98"/>
      <c r="U2384" s="99"/>
    </row>
    <row r="2385" spans="20:21" x14ac:dyDescent="0.25">
      <c r="T2385" s="98"/>
      <c r="U2385" s="99"/>
    </row>
    <row r="2386" spans="20:21" x14ac:dyDescent="0.25">
      <c r="T2386" s="98"/>
      <c r="U2386" s="99"/>
    </row>
    <row r="2387" spans="20:21" x14ac:dyDescent="0.25">
      <c r="T2387" s="98"/>
      <c r="U2387" s="99"/>
    </row>
    <row r="2388" spans="20:21" x14ac:dyDescent="0.25">
      <c r="T2388" s="98"/>
      <c r="U2388" s="99"/>
    </row>
    <row r="2389" spans="20:21" x14ac:dyDescent="0.25">
      <c r="T2389" s="98"/>
      <c r="U2389" s="99"/>
    </row>
    <row r="2390" spans="20:21" x14ac:dyDescent="0.25">
      <c r="T2390" s="98"/>
      <c r="U2390" s="99"/>
    </row>
    <row r="2391" spans="20:21" x14ac:dyDescent="0.25">
      <c r="T2391" s="98"/>
      <c r="U2391" s="99"/>
    </row>
    <row r="2392" spans="20:21" x14ac:dyDescent="0.25">
      <c r="T2392" s="98"/>
      <c r="U2392" s="99"/>
    </row>
    <row r="2393" spans="20:21" x14ac:dyDescent="0.25">
      <c r="T2393" s="98"/>
      <c r="U2393" s="99"/>
    </row>
    <row r="2394" spans="20:21" x14ac:dyDescent="0.25">
      <c r="T2394" s="98"/>
      <c r="U2394" s="99"/>
    </row>
    <row r="2395" spans="20:21" x14ac:dyDescent="0.25">
      <c r="T2395" s="98"/>
      <c r="U2395" s="99"/>
    </row>
    <row r="2396" spans="20:21" x14ac:dyDescent="0.25">
      <c r="T2396" s="98"/>
      <c r="U2396" s="99"/>
    </row>
    <row r="2397" spans="20:21" x14ac:dyDescent="0.25">
      <c r="T2397" s="98"/>
      <c r="U2397" s="99"/>
    </row>
    <row r="2398" spans="20:21" x14ac:dyDescent="0.25">
      <c r="T2398" s="98"/>
      <c r="U2398" s="99"/>
    </row>
    <row r="2399" spans="20:21" x14ac:dyDescent="0.25">
      <c r="T2399" s="98"/>
      <c r="U2399" s="99"/>
    </row>
    <row r="2400" spans="20:21" x14ac:dyDescent="0.25">
      <c r="T2400" s="98"/>
      <c r="U2400" s="99"/>
    </row>
    <row r="2401" spans="20:21" x14ac:dyDescent="0.25">
      <c r="T2401" s="98"/>
      <c r="U2401" s="99"/>
    </row>
    <row r="2402" spans="20:21" x14ac:dyDescent="0.25">
      <c r="T2402" s="98"/>
      <c r="U2402" s="99"/>
    </row>
    <row r="2403" spans="20:21" x14ac:dyDescent="0.25">
      <c r="T2403" s="98"/>
      <c r="U2403" s="99"/>
    </row>
    <row r="2404" spans="20:21" x14ac:dyDescent="0.25">
      <c r="T2404" s="98"/>
      <c r="U2404" s="99"/>
    </row>
    <row r="2405" spans="20:21" x14ac:dyDescent="0.25">
      <c r="T2405" s="98"/>
      <c r="U2405" s="99"/>
    </row>
    <row r="2406" spans="20:21" x14ac:dyDescent="0.25">
      <c r="T2406" s="98"/>
      <c r="U2406" s="99"/>
    </row>
    <row r="2407" spans="20:21" x14ac:dyDescent="0.25">
      <c r="T2407" s="98"/>
      <c r="U2407" s="99"/>
    </row>
    <row r="2408" spans="20:21" x14ac:dyDescent="0.25">
      <c r="T2408" s="98"/>
      <c r="U2408" s="99"/>
    </row>
    <row r="2409" spans="20:21" x14ac:dyDescent="0.25">
      <c r="T2409" s="98"/>
      <c r="U2409" s="99"/>
    </row>
    <row r="2410" spans="20:21" x14ac:dyDescent="0.25">
      <c r="T2410" s="98"/>
      <c r="U2410" s="99"/>
    </row>
    <row r="2411" spans="20:21" x14ac:dyDescent="0.25">
      <c r="T2411" s="98"/>
      <c r="U2411" s="99"/>
    </row>
    <row r="2412" spans="20:21" x14ac:dyDescent="0.25">
      <c r="T2412" s="98"/>
      <c r="U2412" s="99"/>
    </row>
    <row r="2413" spans="20:21" x14ac:dyDescent="0.25">
      <c r="T2413" s="98"/>
      <c r="U2413" s="99"/>
    </row>
    <row r="2414" spans="20:21" x14ac:dyDescent="0.25">
      <c r="T2414" s="98"/>
      <c r="U2414" s="99"/>
    </row>
    <row r="2415" spans="20:21" x14ac:dyDescent="0.25">
      <c r="T2415" s="98"/>
      <c r="U2415" s="99"/>
    </row>
    <row r="2416" spans="20:21" x14ac:dyDescent="0.25">
      <c r="T2416" s="98"/>
      <c r="U2416" s="99"/>
    </row>
    <row r="2417" spans="20:21" x14ac:dyDescent="0.25">
      <c r="T2417" s="98"/>
      <c r="U2417" s="99"/>
    </row>
    <row r="2418" spans="20:21" x14ac:dyDescent="0.25">
      <c r="T2418" s="98"/>
      <c r="U2418" s="99"/>
    </row>
    <row r="2419" spans="20:21" x14ac:dyDescent="0.25">
      <c r="T2419" s="98"/>
      <c r="U2419" s="99"/>
    </row>
    <row r="2420" spans="20:21" x14ac:dyDescent="0.25">
      <c r="T2420" s="98"/>
      <c r="U2420" s="99"/>
    </row>
    <row r="2421" spans="20:21" x14ac:dyDescent="0.25">
      <c r="T2421" s="98"/>
      <c r="U2421" s="99"/>
    </row>
    <row r="2422" spans="20:21" x14ac:dyDescent="0.25">
      <c r="T2422" s="98"/>
      <c r="U2422" s="99"/>
    </row>
    <row r="2423" spans="20:21" x14ac:dyDescent="0.25">
      <c r="T2423" s="98"/>
      <c r="U2423" s="99"/>
    </row>
    <row r="2424" spans="20:21" x14ac:dyDescent="0.25">
      <c r="T2424" s="98"/>
      <c r="U2424" s="99"/>
    </row>
    <row r="2425" spans="20:21" x14ac:dyDescent="0.25">
      <c r="T2425" s="98"/>
      <c r="U2425" s="99"/>
    </row>
    <row r="2426" spans="20:21" x14ac:dyDescent="0.25">
      <c r="T2426" s="98"/>
      <c r="U2426" s="99"/>
    </row>
    <row r="2427" spans="20:21" x14ac:dyDescent="0.25">
      <c r="T2427" s="98"/>
      <c r="U2427" s="99"/>
    </row>
    <row r="2428" spans="20:21" x14ac:dyDescent="0.25">
      <c r="T2428" s="98"/>
      <c r="U2428" s="99"/>
    </row>
    <row r="2429" spans="20:21" x14ac:dyDescent="0.25">
      <c r="T2429" s="98"/>
      <c r="U2429" s="99"/>
    </row>
    <row r="2430" spans="20:21" x14ac:dyDescent="0.25">
      <c r="T2430" s="98"/>
      <c r="U2430" s="99"/>
    </row>
    <row r="2431" spans="20:21" x14ac:dyDescent="0.25">
      <c r="T2431" s="98"/>
      <c r="U2431" s="99"/>
    </row>
    <row r="2432" spans="20:21" x14ac:dyDescent="0.25">
      <c r="T2432" s="98"/>
      <c r="U2432" s="99"/>
    </row>
    <row r="2433" spans="20:21" x14ac:dyDescent="0.25">
      <c r="T2433" s="98"/>
      <c r="U2433" s="99"/>
    </row>
    <row r="2434" spans="20:21" x14ac:dyDescent="0.25">
      <c r="T2434" s="98"/>
      <c r="U2434" s="99"/>
    </row>
    <row r="2435" spans="20:21" x14ac:dyDescent="0.25">
      <c r="T2435" s="98"/>
      <c r="U2435" s="99"/>
    </row>
    <row r="2436" spans="20:21" x14ac:dyDescent="0.25">
      <c r="T2436" s="98"/>
      <c r="U2436" s="99"/>
    </row>
    <row r="2437" spans="20:21" x14ac:dyDescent="0.25">
      <c r="T2437" s="98"/>
      <c r="U2437" s="99"/>
    </row>
    <row r="2438" spans="20:21" x14ac:dyDescent="0.25">
      <c r="T2438" s="98"/>
      <c r="U2438" s="99"/>
    </row>
    <row r="2439" spans="20:21" x14ac:dyDescent="0.25">
      <c r="T2439" s="98"/>
      <c r="U2439" s="99"/>
    </row>
    <row r="2440" spans="20:21" x14ac:dyDescent="0.25">
      <c r="T2440" s="98"/>
      <c r="U2440" s="99"/>
    </row>
    <row r="2441" spans="20:21" x14ac:dyDescent="0.25">
      <c r="T2441" s="98"/>
      <c r="U2441" s="99"/>
    </row>
    <row r="2442" spans="20:21" x14ac:dyDescent="0.25">
      <c r="T2442" s="98"/>
      <c r="U2442" s="99"/>
    </row>
    <row r="2443" spans="20:21" x14ac:dyDescent="0.25">
      <c r="T2443" s="98"/>
      <c r="U2443" s="99"/>
    </row>
    <row r="2444" spans="20:21" x14ac:dyDescent="0.25">
      <c r="T2444" s="98"/>
      <c r="U2444" s="99"/>
    </row>
    <row r="2445" spans="20:21" x14ac:dyDescent="0.25">
      <c r="T2445" s="98"/>
      <c r="U2445" s="99"/>
    </row>
    <row r="2446" spans="20:21" x14ac:dyDescent="0.25">
      <c r="T2446" s="98"/>
      <c r="U2446" s="99"/>
    </row>
    <row r="2447" spans="20:21" x14ac:dyDescent="0.25">
      <c r="T2447" s="98"/>
      <c r="U2447" s="99"/>
    </row>
    <row r="2448" spans="20:21" x14ac:dyDescent="0.25">
      <c r="T2448" s="98"/>
      <c r="U2448" s="99"/>
    </row>
    <row r="2449" spans="20:21" x14ac:dyDescent="0.25">
      <c r="T2449" s="98"/>
      <c r="U2449" s="99"/>
    </row>
    <row r="2450" spans="20:21" x14ac:dyDescent="0.25">
      <c r="T2450" s="98"/>
      <c r="U2450" s="99"/>
    </row>
    <row r="2451" spans="20:21" x14ac:dyDescent="0.25">
      <c r="T2451" s="98"/>
      <c r="U2451" s="99"/>
    </row>
    <row r="2452" spans="20:21" x14ac:dyDescent="0.25">
      <c r="T2452" s="98"/>
      <c r="U2452" s="99"/>
    </row>
    <row r="2453" spans="20:21" x14ac:dyDescent="0.25">
      <c r="T2453" s="98"/>
      <c r="U2453" s="99"/>
    </row>
    <row r="2454" spans="20:21" x14ac:dyDescent="0.25">
      <c r="T2454" s="98"/>
      <c r="U2454" s="99"/>
    </row>
    <row r="2455" spans="20:21" x14ac:dyDescent="0.25">
      <c r="T2455" s="98"/>
      <c r="U2455" s="99"/>
    </row>
    <row r="2456" spans="20:21" x14ac:dyDescent="0.25">
      <c r="T2456" s="98"/>
      <c r="U2456" s="99"/>
    </row>
    <row r="2457" spans="20:21" x14ac:dyDescent="0.25">
      <c r="T2457" s="98"/>
      <c r="U2457" s="99"/>
    </row>
    <row r="2458" spans="20:21" x14ac:dyDescent="0.25">
      <c r="T2458" s="98"/>
      <c r="U2458" s="99"/>
    </row>
    <row r="2459" spans="20:21" x14ac:dyDescent="0.25">
      <c r="T2459" s="98"/>
      <c r="U2459" s="99"/>
    </row>
    <row r="2460" spans="20:21" x14ac:dyDescent="0.25">
      <c r="T2460" s="98"/>
      <c r="U2460" s="99"/>
    </row>
    <row r="2461" spans="20:21" x14ac:dyDescent="0.25">
      <c r="T2461" s="98"/>
      <c r="U2461" s="99"/>
    </row>
    <row r="2462" spans="20:21" x14ac:dyDescent="0.25">
      <c r="T2462" s="98"/>
      <c r="U2462" s="99"/>
    </row>
    <row r="2463" spans="20:21" x14ac:dyDescent="0.25">
      <c r="T2463" s="98"/>
      <c r="U2463" s="99"/>
    </row>
    <row r="2464" spans="20:21" x14ac:dyDescent="0.25">
      <c r="T2464" s="98"/>
      <c r="U2464" s="99"/>
    </row>
    <row r="2465" spans="20:21" x14ac:dyDescent="0.25">
      <c r="T2465" s="98"/>
      <c r="U2465" s="99"/>
    </row>
    <row r="2466" spans="20:21" x14ac:dyDescent="0.25">
      <c r="T2466" s="98"/>
      <c r="U2466" s="99"/>
    </row>
    <row r="2467" spans="20:21" x14ac:dyDescent="0.25">
      <c r="T2467" s="98"/>
      <c r="U2467" s="99"/>
    </row>
    <row r="2468" spans="20:21" x14ac:dyDescent="0.25">
      <c r="T2468" s="98"/>
      <c r="U2468" s="99"/>
    </row>
    <row r="2469" spans="20:21" x14ac:dyDescent="0.25">
      <c r="T2469" s="98"/>
      <c r="U2469" s="99"/>
    </row>
    <row r="2470" spans="20:21" x14ac:dyDescent="0.25">
      <c r="T2470" s="98"/>
      <c r="U2470" s="99"/>
    </row>
    <row r="2471" spans="20:21" x14ac:dyDescent="0.25">
      <c r="T2471" s="98"/>
      <c r="U2471" s="99"/>
    </row>
    <row r="2472" spans="20:21" x14ac:dyDescent="0.25">
      <c r="T2472" s="98"/>
      <c r="U2472" s="99"/>
    </row>
    <row r="2473" spans="20:21" x14ac:dyDescent="0.25">
      <c r="T2473" s="98"/>
      <c r="U2473" s="99"/>
    </row>
    <row r="2474" spans="20:21" x14ac:dyDescent="0.25">
      <c r="T2474" s="98"/>
      <c r="U2474" s="99"/>
    </row>
    <row r="2475" spans="20:21" x14ac:dyDescent="0.25">
      <c r="T2475" s="98"/>
      <c r="U2475" s="99"/>
    </row>
    <row r="2476" spans="20:21" x14ac:dyDescent="0.25">
      <c r="T2476" s="98"/>
      <c r="U2476" s="99"/>
    </row>
    <row r="2477" spans="20:21" x14ac:dyDescent="0.25">
      <c r="T2477" s="98"/>
      <c r="U2477" s="99"/>
    </row>
    <row r="2478" spans="20:21" x14ac:dyDescent="0.25">
      <c r="T2478" s="98"/>
      <c r="U2478" s="99"/>
    </row>
    <row r="2479" spans="20:21" x14ac:dyDescent="0.25">
      <c r="T2479" s="98"/>
      <c r="U2479" s="99"/>
    </row>
    <row r="2480" spans="20:21" x14ac:dyDescent="0.25">
      <c r="T2480" s="98"/>
      <c r="U2480" s="99"/>
    </row>
    <row r="2481" spans="20:21" x14ac:dyDescent="0.25">
      <c r="T2481" s="98"/>
      <c r="U2481" s="99"/>
    </row>
    <row r="2482" spans="20:21" x14ac:dyDescent="0.25">
      <c r="T2482" s="98"/>
      <c r="U2482" s="99"/>
    </row>
    <row r="2483" spans="20:21" x14ac:dyDescent="0.25">
      <c r="T2483" s="98"/>
      <c r="U2483" s="99"/>
    </row>
    <row r="2484" spans="20:21" x14ac:dyDescent="0.25">
      <c r="T2484" s="98"/>
      <c r="U2484" s="99"/>
    </row>
    <row r="2485" spans="20:21" x14ac:dyDescent="0.25">
      <c r="T2485" s="98"/>
      <c r="U2485" s="99"/>
    </row>
    <row r="2486" spans="20:21" x14ac:dyDescent="0.25">
      <c r="T2486" s="98"/>
      <c r="U2486" s="99"/>
    </row>
    <row r="2487" spans="20:21" x14ac:dyDescent="0.25">
      <c r="T2487" s="98"/>
      <c r="U2487" s="99"/>
    </row>
    <row r="2488" spans="20:21" x14ac:dyDescent="0.25">
      <c r="T2488" s="98"/>
      <c r="U2488" s="99"/>
    </row>
    <row r="2489" spans="20:21" x14ac:dyDescent="0.25">
      <c r="T2489" s="98"/>
      <c r="U2489" s="99"/>
    </row>
    <row r="2490" spans="20:21" x14ac:dyDescent="0.25">
      <c r="T2490" s="98"/>
      <c r="U2490" s="99"/>
    </row>
    <row r="2491" spans="20:21" x14ac:dyDescent="0.25">
      <c r="T2491" s="98"/>
      <c r="U2491" s="99"/>
    </row>
    <row r="2492" spans="20:21" x14ac:dyDescent="0.25">
      <c r="T2492" s="98"/>
      <c r="U2492" s="99"/>
    </row>
    <row r="2493" spans="20:21" x14ac:dyDescent="0.25">
      <c r="T2493" s="98"/>
      <c r="U2493" s="99"/>
    </row>
    <row r="2494" spans="20:21" x14ac:dyDescent="0.25">
      <c r="T2494" s="98"/>
      <c r="U2494" s="99"/>
    </row>
    <row r="2495" spans="20:21" x14ac:dyDescent="0.25">
      <c r="T2495" s="98"/>
      <c r="U2495" s="99"/>
    </row>
    <row r="2496" spans="20:21" x14ac:dyDescent="0.25">
      <c r="T2496" s="98"/>
      <c r="U2496" s="99"/>
    </row>
    <row r="2497" spans="20:21" x14ac:dyDescent="0.25">
      <c r="T2497" s="98"/>
      <c r="U2497" s="99"/>
    </row>
    <row r="2498" spans="20:21" x14ac:dyDescent="0.25">
      <c r="T2498" s="98"/>
      <c r="U2498" s="99"/>
    </row>
    <row r="2499" spans="20:21" x14ac:dyDescent="0.25">
      <c r="T2499" s="98"/>
      <c r="U2499" s="99"/>
    </row>
    <row r="2500" spans="20:21" x14ac:dyDescent="0.25">
      <c r="T2500" s="98"/>
      <c r="U2500" s="99"/>
    </row>
    <row r="2501" spans="20:21" x14ac:dyDescent="0.25">
      <c r="T2501" s="98"/>
      <c r="U2501" s="99"/>
    </row>
    <row r="2502" spans="20:21" x14ac:dyDescent="0.25">
      <c r="T2502" s="98"/>
      <c r="U2502" s="99"/>
    </row>
    <row r="2503" spans="20:21" x14ac:dyDescent="0.25">
      <c r="T2503" s="98"/>
      <c r="U2503" s="99"/>
    </row>
    <row r="2504" spans="20:21" x14ac:dyDescent="0.25">
      <c r="T2504" s="98"/>
      <c r="U2504" s="99"/>
    </row>
    <row r="2505" spans="20:21" x14ac:dyDescent="0.25">
      <c r="T2505" s="98"/>
      <c r="U2505" s="99"/>
    </row>
    <row r="2506" spans="20:21" x14ac:dyDescent="0.25">
      <c r="T2506" s="98"/>
      <c r="U2506" s="99"/>
    </row>
    <row r="2507" spans="20:21" x14ac:dyDescent="0.25">
      <c r="T2507" s="98"/>
      <c r="U2507" s="99"/>
    </row>
    <row r="2508" spans="20:21" x14ac:dyDescent="0.25">
      <c r="T2508" s="98"/>
      <c r="U2508" s="99"/>
    </row>
    <row r="2509" spans="20:21" x14ac:dyDescent="0.25">
      <c r="T2509" s="98"/>
      <c r="U2509" s="99"/>
    </row>
    <row r="2510" spans="20:21" x14ac:dyDescent="0.25">
      <c r="T2510" s="98"/>
      <c r="U2510" s="99"/>
    </row>
    <row r="2511" spans="20:21" x14ac:dyDescent="0.25">
      <c r="T2511" s="98"/>
      <c r="U2511" s="99"/>
    </row>
    <row r="2512" spans="20:21" x14ac:dyDescent="0.25">
      <c r="T2512" s="98"/>
      <c r="U2512" s="99"/>
    </row>
    <row r="2513" spans="20:21" x14ac:dyDescent="0.25">
      <c r="T2513" s="98"/>
      <c r="U2513" s="99"/>
    </row>
    <row r="2514" spans="20:21" x14ac:dyDescent="0.25">
      <c r="T2514" s="98"/>
      <c r="U2514" s="99"/>
    </row>
    <row r="2515" spans="20:21" x14ac:dyDescent="0.25">
      <c r="T2515" s="98"/>
      <c r="U2515" s="99"/>
    </row>
    <row r="2516" spans="20:21" x14ac:dyDescent="0.25">
      <c r="T2516" s="98"/>
      <c r="U2516" s="99"/>
    </row>
    <row r="2517" spans="20:21" x14ac:dyDescent="0.25">
      <c r="T2517" s="98"/>
      <c r="U2517" s="99"/>
    </row>
    <row r="2518" spans="20:21" x14ac:dyDescent="0.25">
      <c r="T2518" s="98"/>
      <c r="U2518" s="99"/>
    </row>
    <row r="2519" spans="20:21" x14ac:dyDescent="0.25">
      <c r="T2519" s="98"/>
      <c r="U2519" s="99"/>
    </row>
    <row r="2520" spans="20:21" x14ac:dyDescent="0.25">
      <c r="T2520" s="98"/>
      <c r="U2520" s="99"/>
    </row>
    <row r="2521" spans="20:21" x14ac:dyDescent="0.25">
      <c r="T2521" s="98"/>
      <c r="U2521" s="99"/>
    </row>
    <row r="2522" spans="20:21" x14ac:dyDescent="0.25">
      <c r="T2522" s="98"/>
      <c r="U2522" s="99"/>
    </row>
    <row r="2523" spans="20:21" x14ac:dyDescent="0.25">
      <c r="T2523" s="98"/>
      <c r="U2523" s="99"/>
    </row>
    <row r="2524" spans="20:21" x14ac:dyDescent="0.25">
      <c r="T2524" s="98"/>
      <c r="U2524" s="99"/>
    </row>
    <row r="2525" spans="20:21" x14ac:dyDescent="0.25">
      <c r="T2525" s="98"/>
      <c r="U2525" s="99"/>
    </row>
    <row r="2526" spans="20:21" x14ac:dyDescent="0.25">
      <c r="T2526" s="98"/>
      <c r="U2526" s="99"/>
    </row>
    <row r="2527" spans="20:21" x14ac:dyDescent="0.25">
      <c r="T2527" s="98"/>
      <c r="U2527" s="99"/>
    </row>
    <row r="2528" spans="20:21" x14ac:dyDescent="0.25">
      <c r="T2528" s="98"/>
      <c r="U2528" s="99"/>
    </row>
    <row r="2529" spans="20:21" x14ac:dyDescent="0.25">
      <c r="T2529" s="98"/>
      <c r="U2529" s="99"/>
    </row>
    <row r="2530" spans="20:21" x14ac:dyDescent="0.25">
      <c r="T2530" s="98"/>
      <c r="U2530" s="99"/>
    </row>
    <row r="2531" spans="20:21" x14ac:dyDescent="0.25">
      <c r="T2531" s="98"/>
      <c r="U2531" s="99"/>
    </row>
    <row r="2532" spans="20:21" x14ac:dyDescent="0.25">
      <c r="T2532" s="98"/>
      <c r="U2532" s="99"/>
    </row>
    <row r="2533" spans="20:21" x14ac:dyDescent="0.25">
      <c r="T2533" s="98"/>
      <c r="U2533" s="99"/>
    </row>
    <row r="2534" spans="20:21" x14ac:dyDescent="0.25">
      <c r="T2534" s="98"/>
      <c r="U2534" s="99"/>
    </row>
    <row r="2535" spans="20:21" x14ac:dyDescent="0.25">
      <c r="T2535" s="98"/>
      <c r="U2535" s="99"/>
    </row>
    <row r="2536" spans="20:21" x14ac:dyDescent="0.25">
      <c r="T2536" s="98"/>
      <c r="U2536" s="99"/>
    </row>
    <row r="2537" spans="20:21" x14ac:dyDescent="0.25">
      <c r="T2537" s="98"/>
      <c r="U2537" s="99"/>
    </row>
    <row r="2538" spans="20:21" x14ac:dyDescent="0.25">
      <c r="T2538" s="98"/>
      <c r="U2538" s="99"/>
    </row>
    <row r="2539" spans="20:21" x14ac:dyDescent="0.25">
      <c r="T2539" s="98"/>
      <c r="U2539" s="99"/>
    </row>
    <row r="2540" spans="20:21" x14ac:dyDescent="0.25">
      <c r="T2540" s="98"/>
      <c r="U2540" s="99"/>
    </row>
    <row r="2541" spans="20:21" x14ac:dyDescent="0.25">
      <c r="T2541" s="98"/>
      <c r="U2541" s="99"/>
    </row>
    <row r="2542" spans="20:21" x14ac:dyDescent="0.25">
      <c r="T2542" s="98"/>
      <c r="U2542" s="99"/>
    </row>
    <row r="2543" spans="20:21" x14ac:dyDescent="0.25">
      <c r="T2543" s="98"/>
      <c r="U2543" s="99"/>
    </row>
    <row r="2544" spans="20:21" x14ac:dyDescent="0.25">
      <c r="T2544" s="98"/>
      <c r="U2544" s="99"/>
    </row>
    <row r="2545" spans="20:21" x14ac:dyDescent="0.25">
      <c r="T2545" s="98"/>
      <c r="U2545" s="99"/>
    </row>
    <row r="2546" spans="20:21" x14ac:dyDescent="0.25">
      <c r="T2546" s="98"/>
      <c r="U2546" s="99"/>
    </row>
    <row r="2547" spans="20:21" x14ac:dyDescent="0.25">
      <c r="T2547" s="98"/>
      <c r="U2547" s="99"/>
    </row>
    <row r="2548" spans="20:21" x14ac:dyDescent="0.25">
      <c r="T2548" s="98"/>
      <c r="U2548" s="99"/>
    </row>
    <row r="2549" spans="20:21" x14ac:dyDescent="0.25">
      <c r="T2549" s="98"/>
      <c r="U2549" s="99"/>
    </row>
    <row r="2550" spans="20:21" x14ac:dyDescent="0.25">
      <c r="T2550" s="98"/>
      <c r="U2550" s="99"/>
    </row>
    <row r="2551" spans="20:21" x14ac:dyDescent="0.25">
      <c r="T2551" s="98"/>
      <c r="U2551" s="99"/>
    </row>
    <row r="2552" spans="20:21" x14ac:dyDescent="0.25">
      <c r="T2552" s="98"/>
      <c r="U2552" s="99"/>
    </row>
    <row r="2553" spans="20:21" x14ac:dyDescent="0.25">
      <c r="T2553" s="98"/>
      <c r="U2553" s="99"/>
    </row>
    <row r="2554" spans="20:21" x14ac:dyDescent="0.25">
      <c r="T2554" s="98"/>
      <c r="U2554" s="99"/>
    </row>
    <row r="2555" spans="20:21" x14ac:dyDescent="0.25">
      <c r="T2555" s="98"/>
      <c r="U2555" s="99"/>
    </row>
    <row r="2556" spans="20:21" x14ac:dyDescent="0.25">
      <c r="T2556" s="98"/>
      <c r="U2556" s="99"/>
    </row>
    <row r="2557" spans="20:21" x14ac:dyDescent="0.25">
      <c r="T2557" s="98"/>
      <c r="U2557" s="99"/>
    </row>
    <row r="2558" spans="20:21" x14ac:dyDescent="0.25">
      <c r="T2558" s="98"/>
      <c r="U2558" s="99"/>
    </row>
    <row r="2559" spans="20:21" x14ac:dyDescent="0.25">
      <c r="T2559" s="98"/>
      <c r="U2559" s="99"/>
    </row>
    <row r="2560" spans="20:21" x14ac:dyDescent="0.25">
      <c r="T2560" s="98"/>
      <c r="U2560" s="99"/>
    </row>
    <row r="2561" spans="20:21" x14ac:dyDescent="0.25">
      <c r="T2561" s="98"/>
      <c r="U2561" s="99"/>
    </row>
    <row r="2562" spans="20:21" x14ac:dyDescent="0.25">
      <c r="T2562" s="98"/>
      <c r="U2562" s="99"/>
    </row>
    <row r="2563" spans="20:21" x14ac:dyDescent="0.25">
      <c r="T2563" s="98"/>
      <c r="U2563" s="99"/>
    </row>
    <row r="2564" spans="20:21" x14ac:dyDescent="0.25">
      <c r="T2564" s="98"/>
      <c r="U2564" s="99"/>
    </row>
    <row r="2565" spans="20:21" x14ac:dyDescent="0.25">
      <c r="T2565" s="98"/>
      <c r="U2565" s="99"/>
    </row>
    <row r="2566" spans="20:21" x14ac:dyDescent="0.25">
      <c r="T2566" s="98"/>
      <c r="U2566" s="99"/>
    </row>
    <row r="2567" spans="20:21" x14ac:dyDescent="0.25">
      <c r="T2567" s="98"/>
      <c r="U2567" s="99"/>
    </row>
    <row r="2568" spans="20:21" x14ac:dyDescent="0.25">
      <c r="T2568" s="98"/>
      <c r="U2568" s="99"/>
    </row>
    <row r="2569" spans="20:21" x14ac:dyDescent="0.25">
      <c r="T2569" s="98"/>
      <c r="U2569" s="99"/>
    </row>
    <row r="2570" spans="20:21" x14ac:dyDescent="0.25">
      <c r="T2570" s="98"/>
      <c r="U2570" s="99"/>
    </row>
    <row r="2571" spans="20:21" x14ac:dyDescent="0.25">
      <c r="T2571" s="98"/>
      <c r="U2571" s="99"/>
    </row>
    <row r="2572" spans="20:21" x14ac:dyDescent="0.25">
      <c r="T2572" s="98"/>
      <c r="U2572" s="99"/>
    </row>
    <row r="2573" spans="20:21" x14ac:dyDescent="0.25">
      <c r="T2573" s="98"/>
      <c r="U2573" s="99"/>
    </row>
    <row r="2574" spans="20:21" x14ac:dyDescent="0.25">
      <c r="T2574" s="98"/>
      <c r="U2574" s="99"/>
    </row>
    <row r="2575" spans="20:21" x14ac:dyDescent="0.25">
      <c r="T2575" s="98"/>
      <c r="U2575" s="99"/>
    </row>
    <row r="2576" spans="20:21" x14ac:dyDescent="0.25">
      <c r="T2576" s="98"/>
      <c r="U2576" s="99"/>
    </row>
    <row r="2577" spans="20:21" x14ac:dyDescent="0.25">
      <c r="T2577" s="98"/>
      <c r="U2577" s="99"/>
    </row>
    <row r="2578" spans="20:21" x14ac:dyDescent="0.25">
      <c r="T2578" s="98"/>
      <c r="U2578" s="99"/>
    </row>
    <row r="2579" spans="20:21" x14ac:dyDescent="0.25">
      <c r="T2579" s="98"/>
      <c r="U2579" s="99"/>
    </row>
    <row r="2580" spans="20:21" x14ac:dyDescent="0.25">
      <c r="T2580" s="98"/>
      <c r="U2580" s="99"/>
    </row>
    <row r="2581" spans="20:21" x14ac:dyDescent="0.25">
      <c r="T2581" s="98"/>
      <c r="U2581" s="99"/>
    </row>
    <row r="2582" spans="20:21" x14ac:dyDescent="0.25">
      <c r="T2582" s="98"/>
      <c r="U2582" s="99"/>
    </row>
    <row r="2583" spans="20:21" x14ac:dyDescent="0.25">
      <c r="T2583" s="98"/>
      <c r="U2583" s="99"/>
    </row>
    <row r="2584" spans="20:21" x14ac:dyDescent="0.25">
      <c r="T2584" s="98"/>
      <c r="U2584" s="99"/>
    </row>
    <row r="2585" spans="20:21" x14ac:dyDescent="0.25">
      <c r="T2585" s="98"/>
      <c r="U2585" s="99"/>
    </row>
    <row r="2586" spans="20:21" x14ac:dyDescent="0.25">
      <c r="T2586" s="98"/>
      <c r="U2586" s="99"/>
    </row>
    <row r="2587" spans="20:21" x14ac:dyDescent="0.25">
      <c r="T2587" s="98"/>
      <c r="U2587" s="99"/>
    </row>
    <row r="2588" spans="20:21" x14ac:dyDescent="0.25">
      <c r="T2588" s="98"/>
      <c r="U2588" s="99"/>
    </row>
    <row r="2589" spans="20:21" x14ac:dyDescent="0.25">
      <c r="T2589" s="98"/>
      <c r="U2589" s="99"/>
    </row>
    <row r="2590" spans="20:21" x14ac:dyDescent="0.25">
      <c r="T2590" s="98"/>
      <c r="U2590" s="99"/>
    </row>
    <row r="2591" spans="20:21" x14ac:dyDescent="0.25">
      <c r="T2591" s="98"/>
      <c r="U2591" s="99"/>
    </row>
    <row r="2592" spans="20:21" x14ac:dyDescent="0.25">
      <c r="T2592" s="98"/>
      <c r="U2592" s="99"/>
    </row>
    <row r="2593" spans="20:21" x14ac:dyDescent="0.25">
      <c r="T2593" s="98"/>
      <c r="U2593" s="99"/>
    </row>
    <row r="2594" spans="20:21" x14ac:dyDescent="0.25">
      <c r="T2594" s="98"/>
      <c r="U2594" s="99"/>
    </row>
    <row r="2595" spans="20:21" x14ac:dyDescent="0.25">
      <c r="T2595" s="98"/>
      <c r="U2595" s="99"/>
    </row>
    <row r="2596" spans="20:21" x14ac:dyDescent="0.25">
      <c r="T2596" s="98"/>
      <c r="U2596" s="99"/>
    </row>
    <row r="2597" spans="20:21" x14ac:dyDescent="0.25">
      <c r="T2597" s="98"/>
      <c r="U2597" s="99"/>
    </row>
    <row r="2598" spans="20:21" x14ac:dyDescent="0.25">
      <c r="T2598" s="98"/>
      <c r="U2598" s="99"/>
    </row>
    <row r="2599" spans="20:21" x14ac:dyDescent="0.25">
      <c r="T2599" s="98"/>
      <c r="U2599" s="99"/>
    </row>
    <row r="2600" spans="20:21" x14ac:dyDescent="0.25">
      <c r="T2600" s="98"/>
      <c r="U2600" s="99"/>
    </row>
    <row r="2601" spans="20:21" x14ac:dyDescent="0.25">
      <c r="T2601" s="98"/>
      <c r="U2601" s="99"/>
    </row>
    <row r="2602" spans="20:21" x14ac:dyDescent="0.25">
      <c r="T2602" s="98"/>
      <c r="U2602" s="99"/>
    </row>
    <row r="2603" spans="20:21" x14ac:dyDescent="0.25">
      <c r="T2603" s="98"/>
      <c r="U2603" s="99"/>
    </row>
    <row r="2604" spans="20:21" x14ac:dyDescent="0.25">
      <c r="T2604" s="98"/>
      <c r="U2604" s="99"/>
    </row>
    <row r="2605" spans="20:21" x14ac:dyDescent="0.25">
      <c r="T2605" s="98"/>
      <c r="U2605" s="99"/>
    </row>
    <row r="2606" spans="20:21" x14ac:dyDescent="0.25">
      <c r="T2606" s="98"/>
      <c r="U2606" s="99"/>
    </row>
    <row r="2607" spans="20:21" x14ac:dyDescent="0.25">
      <c r="T2607" s="98"/>
      <c r="U2607" s="99"/>
    </row>
    <row r="2608" spans="20:21" x14ac:dyDescent="0.25">
      <c r="T2608" s="98"/>
      <c r="U2608" s="99"/>
    </row>
    <row r="2609" spans="20:21" x14ac:dyDescent="0.25">
      <c r="T2609" s="98"/>
      <c r="U2609" s="99"/>
    </row>
    <row r="2610" spans="20:21" x14ac:dyDescent="0.25">
      <c r="T2610" s="98"/>
      <c r="U2610" s="99"/>
    </row>
    <row r="2611" spans="20:21" x14ac:dyDescent="0.25">
      <c r="T2611" s="98"/>
      <c r="U2611" s="99"/>
    </row>
    <row r="2612" spans="20:21" x14ac:dyDescent="0.25">
      <c r="T2612" s="98"/>
      <c r="U2612" s="99"/>
    </row>
    <row r="2613" spans="20:21" x14ac:dyDescent="0.25">
      <c r="T2613" s="98"/>
      <c r="U2613" s="99"/>
    </row>
    <row r="2614" spans="20:21" x14ac:dyDescent="0.25">
      <c r="T2614" s="98"/>
      <c r="U2614" s="99"/>
    </row>
    <row r="2615" spans="20:21" x14ac:dyDescent="0.25">
      <c r="T2615" s="98"/>
      <c r="U2615" s="99"/>
    </row>
    <row r="2616" spans="20:21" x14ac:dyDescent="0.25">
      <c r="T2616" s="98"/>
      <c r="U2616" s="99"/>
    </row>
    <row r="2617" spans="20:21" x14ac:dyDescent="0.25">
      <c r="T2617" s="98"/>
      <c r="U2617" s="99"/>
    </row>
    <row r="2618" spans="20:21" x14ac:dyDescent="0.25">
      <c r="T2618" s="98"/>
      <c r="U2618" s="99"/>
    </row>
    <row r="2619" spans="20:21" x14ac:dyDescent="0.25">
      <c r="T2619" s="98"/>
      <c r="U2619" s="99"/>
    </row>
    <row r="2620" spans="20:21" x14ac:dyDescent="0.25">
      <c r="T2620" s="98"/>
      <c r="U2620" s="99"/>
    </row>
    <row r="2621" spans="20:21" x14ac:dyDescent="0.25">
      <c r="T2621" s="98"/>
      <c r="U2621" s="99"/>
    </row>
    <row r="2622" spans="20:21" x14ac:dyDescent="0.25">
      <c r="T2622" s="98"/>
      <c r="U2622" s="99"/>
    </row>
    <row r="2623" spans="20:21" x14ac:dyDescent="0.25">
      <c r="T2623" s="98"/>
      <c r="U2623" s="99"/>
    </row>
    <row r="2624" spans="20:21" x14ac:dyDescent="0.25">
      <c r="T2624" s="98"/>
      <c r="U2624" s="99"/>
    </row>
    <row r="2625" spans="20:21" x14ac:dyDescent="0.25">
      <c r="T2625" s="98"/>
      <c r="U2625" s="99"/>
    </row>
    <row r="2626" spans="20:21" x14ac:dyDescent="0.25">
      <c r="T2626" s="98"/>
      <c r="U2626" s="99"/>
    </row>
    <row r="2627" spans="20:21" x14ac:dyDescent="0.25">
      <c r="T2627" s="98"/>
      <c r="U2627" s="99"/>
    </row>
    <row r="2628" spans="20:21" x14ac:dyDescent="0.25">
      <c r="T2628" s="98"/>
      <c r="U2628" s="99"/>
    </row>
    <row r="2629" spans="20:21" x14ac:dyDescent="0.25">
      <c r="T2629" s="98"/>
      <c r="U2629" s="99"/>
    </row>
    <row r="2630" spans="20:21" x14ac:dyDescent="0.25">
      <c r="T2630" s="98"/>
      <c r="U2630" s="99"/>
    </row>
    <row r="2631" spans="20:21" x14ac:dyDescent="0.25">
      <c r="T2631" s="98"/>
      <c r="U2631" s="99"/>
    </row>
    <row r="2632" spans="20:21" x14ac:dyDescent="0.25">
      <c r="T2632" s="98"/>
      <c r="U2632" s="99"/>
    </row>
    <row r="2633" spans="20:21" x14ac:dyDescent="0.25">
      <c r="T2633" s="98"/>
      <c r="U2633" s="99"/>
    </row>
    <row r="2634" spans="20:21" x14ac:dyDescent="0.25">
      <c r="T2634" s="98"/>
      <c r="U2634" s="99"/>
    </row>
    <row r="2635" spans="20:21" x14ac:dyDescent="0.25">
      <c r="T2635" s="98"/>
      <c r="U2635" s="99"/>
    </row>
    <row r="2636" spans="20:21" x14ac:dyDescent="0.25">
      <c r="T2636" s="98"/>
      <c r="U2636" s="99"/>
    </row>
    <row r="2637" spans="20:21" x14ac:dyDescent="0.25">
      <c r="T2637" s="98"/>
      <c r="U2637" s="99"/>
    </row>
    <row r="2638" spans="20:21" x14ac:dyDescent="0.25">
      <c r="T2638" s="98"/>
      <c r="U2638" s="99"/>
    </row>
    <row r="2639" spans="20:21" x14ac:dyDescent="0.25">
      <c r="T2639" s="98"/>
      <c r="U2639" s="99"/>
    </row>
    <row r="2640" spans="20:21" x14ac:dyDescent="0.25">
      <c r="T2640" s="98"/>
      <c r="U2640" s="99"/>
    </row>
    <row r="2641" spans="20:21" x14ac:dyDescent="0.25">
      <c r="T2641" s="98"/>
      <c r="U2641" s="99"/>
    </row>
    <row r="2642" spans="20:21" x14ac:dyDescent="0.25">
      <c r="T2642" s="98"/>
      <c r="U2642" s="99"/>
    </row>
    <row r="2643" spans="20:21" x14ac:dyDescent="0.25">
      <c r="T2643" s="98"/>
      <c r="U2643" s="99"/>
    </row>
    <row r="2644" spans="20:21" x14ac:dyDescent="0.25">
      <c r="T2644" s="98"/>
      <c r="U2644" s="99"/>
    </row>
    <row r="2645" spans="20:21" x14ac:dyDescent="0.25">
      <c r="T2645" s="98"/>
      <c r="U2645" s="99"/>
    </row>
    <row r="2646" spans="20:21" x14ac:dyDescent="0.25">
      <c r="T2646" s="98"/>
      <c r="U2646" s="99"/>
    </row>
    <row r="2647" spans="20:21" x14ac:dyDescent="0.25">
      <c r="T2647" s="98"/>
      <c r="U2647" s="99"/>
    </row>
    <row r="2648" spans="20:21" x14ac:dyDescent="0.25">
      <c r="T2648" s="98"/>
      <c r="U2648" s="99"/>
    </row>
    <row r="2649" spans="20:21" x14ac:dyDescent="0.25">
      <c r="T2649" s="98"/>
      <c r="U2649" s="99"/>
    </row>
    <row r="2650" spans="20:21" x14ac:dyDescent="0.25">
      <c r="T2650" s="98"/>
      <c r="U2650" s="99"/>
    </row>
    <row r="2651" spans="20:21" x14ac:dyDescent="0.25">
      <c r="T2651" s="98"/>
      <c r="U2651" s="99"/>
    </row>
    <row r="2652" spans="20:21" x14ac:dyDescent="0.25">
      <c r="T2652" s="98"/>
      <c r="U2652" s="99"/>
    </row>
    <row r="2653" spans="20:21" x14ac:dyDescent="0.25">
      <c r="T2653" s="98"/>
      <c r="U2653" s="99"/>
    </row>
    <row r="2654" spans="20:21" x14ac:dyDescent="0.25">
      <c r="T2654" s="98"/>
      <c r="U2654" s="99"/>
    </row>
    <row r="2655" spans="20:21" x14ac:dyDescent="0.25">
      <c r="T2655" s="98"/>
      <c r="U2655" s="99"/>
    </row>
    <row r="2656" spans="20:21" x14ac:dyDescent="0.25">
      <c r="T2656" s="98"/>
      <c r="U2656" s="99"/>
    </row>
    <row r="2657" spans="20:21" x14ac:dyDescent="0.25">
      <c r="T2657" s="98"/>
      <c r="U2657" s="99"/>
    </row>
    <row r="2658" spans="20:21" x14ac:dyDescent="0.25">
      <c r="T2658" s="98"/>
      <c r="U2658" s="99"/>
    </row>
    <row r="2659" spans="20:21" x14ac:dyDescent="0.25">
      <c r="T2659" s="98"/>
      <c r="U2659" s="99"/>
    </row>
    <row r="2660" spans="20:21" x14ac:dyDescent="0.25">
      <c r="T2660" s="98"/>
      <c r="U2660" s="99"/>
    </row>
    <row r="2661" spans="20:21" x14ac:dyDescent="0.25">
      <c r="T2661" s="98"/>
      <c r="U2661" s="99"/>
    </row>
    <row r="2662" spans="20:21" x14ac:dyDescent="0.25">
      <c r="T2662" s="98"/>
      <c r="U2662" s="99"/>
    </row>
    <row r="2663" spans="20:21" x14ac:dyDescent="0.25">
      <c r="T2663" s="98"/>
      <c r="U2663" s="99"/>
    </row>
    <row r="2664" spans="20:21" x14ac:dyDescent="0.25">
      <c r="T2664" s="98"/>
      <c r="U2664" s="99"/>
    </row>
    <row r="2665" spans="20:21" x14ac:dyDescent="0.25">
      <c r="T2665" s="98"/>
      <c r="U2665" s="99"/>
    </row>
    <row r="2666" spans="20:21" x14ac:dyDescent="0.25">
      <c r="T2666" s="98"/>
      <c r="U2666" s="99"/>
    </row>
    <row r="2667" spans="20:21" x14ac:dyDescent="0.25">
      <c r="T2667" s="98"/>
      <c r="U2667" s="99"/>
    </row>
    <row r="2668" spans="20:21" x14ac:dyDescent="0.25">
      <c r="T2668" s="98"/>
      <c r="U2668" s="99"/>
    </row>
    <row r="2669" spans="20:21" x14ac:dyDescent="0.25">
      <c r="T2669" s="98"/>
      <c r="U2669" s="99"/>
    </row>
    <row r="2670" spans="20:21" x14ac:dyDescent="0.25">
      <c r="T2670" s="98"/>
      <c r="U2670" s="99"/>
    </row>
    <row r="2671" spans="20:21" x14ac:dyDescent="0.25">
      <c r="T2671" s="98"/>
      <c r="U2671" s="99"/>
    </row>
    <row r="2672" spans="20:21" x14ac:dyDescent="0.25">
      <c r="T2672" s="98"/>
      <c r="U2672" s="99"/>
    </row>
    <row r="2673" spans="20:21" x14ac:dyDescent="0.25">
      <c r="T2673" s="98"/>
      <c r="U2673" s="99"/>
    </row>
    <row r="2674" spans="20:21" x14ac:dyDescent="0.25">
      <c r="T2674" s="98"/>
      <c r="U2674" s="99"/>
    </row>
    <row r="2675" spans="20:21" x14ac:dyDescent="0.25">
      <c r="T2675" s="98"/>
      <c r="U2675" s="99"/>
    </row>
    <row r="2676" spans="20:21" x14ac:dyDescent="0.25">
      <c r="T2676" s="98"/>
      <c r="U2676" s="99"/>
    </row>
    <row r="2677" spans="20:21" x14ac:dyDescent="0.25">
      <c r="T2677" s="98"/>
      <c r="U2677" s="99"/>
    </row>
    <row r="2678" spans="20:21" x14ac:dyDescent="0.25">
      <c r="T2678" s="98"/>
      <c r="U2678" s="99"/>
    </row>
    <row r="2679" spans="20:21" x14ac:dyDescent="0.25">
      <c r="T2679" s="98"/>
      <c r="U2679" s="99"/>
    </row>
    <row r="2680" spans="20:21" x14ac:dyDescent="0.25">
      <c r="T2680" s="98"/>
      <c r="U2680" s="99"/>
    </row>
    <row r="2681" spans="20:21" x14ac:dyDescent="0.25">
      <c r="T2681" s="98"/>
      <c r="U2681" s="99"/>
    </row>
    <row r="2682" spans="20:21" x14ac:dyDescent="0.25">
      <c r="T2682" s="98"/>
      <c r="U2682" s="99"/>
    </row>
    <row r="2683" spans="20:21" x14ac:dyDescent="0.25">
      <c r="T2683" s="98"/>
      <c r="U2683" s="99"/>
    </row>
    <row r="2684" spans="20:21" x14ac:dyDescent="0.25">
      <c r="T2684" s="98"/>
      <c r="U2684" s="99"/>
    </row>
    <row r="2685" spans="20:21" x14ac:dyDescent="0.25">
      <c r="T2685" s="98"/>
      <c r="U2685" s="99"/>
    </row>
    <row r="2686" spans="20:21" x14ac:dyDescent="0.25">
      <c r="T2686" s="98"/>
      <c r="U2686" s="99"/>
    </row>
    <row r="2687" spans="20:21" x14ac:dyDescent="0.25">
      <c r="T2687" s="98"/>
      <c r="U2687" s="99"/>
    </row>
    <row r="2688" spans="20:21" x14ac:dyDescent="0.25">
      <c r="T2688" s="98"/>
      <c r="U2688" s="99"/>
    </row>
    <row r="2689" spans="20:21" x14ac:dyDescent="0.25">
      <c r="T2689" s="98"/>
      <c r="U2689" s="99"/>
    </row>
    <row r="2690" spans="20:21" x14ac:dyDescent="0.25">
      <c r="T2690" s="98"/>
      <c r="U2690" s="99"/>
    </row>
    <row r="2691" spans="20:21" x14ac:dyDescent="0.25">
      <c r="T2691" s="98"/>
      <c r="U2691" s="99"/>
    </row>
    <row r="2692" spans="20:21" x14ac:dyDescent="0.25">
      <c r="T2692" s="98"/>
      <c r="U2692" s="99"/>
    </row>
    <row r="2693" spans="20:21" x14ac:dyDescent="0.25">
      <c r="T2693" s="98"/>
      <c r="U2693" s="99"/>
    </row>
    <row r="2694" spans="20:21" x14ac:dyDescent="0.25">
      <c r="T2694" s="98"/>
      <c r="U2694" s="99"/>
    </row>
    <row r="2695" spans="20:21" x14ac:dyDescent="0.25">
      <c r="T2695" s="98"/>
      <c r="U2695" s="99"/>
    </row>
    <row r="2696" spans="20:21" x14ac:dyDescent="0.25">
      <c r="T2696" s="98"/>
      <c r="U2696" s="99"/>
    </row>
    <row r="2697" spans="20:21" x14ac:dyDescent="0.25">
      <c r="T2697" s="98"/>
      <c r="U2697" s="99"/>
    </row>
    <row r="2698" spans="20:21" x14ac:dyDescent="0.25">
      <c r="T2698" s="98"/>
      <c r="U2698" s="99"/>
    </row>
    <row r="2699" spans="20:21" x14ac:dyDescent="0.25">
      <c r="T2699" s="98"/>
      <c r="U2699" s="99"/>
    </row>
    <row r="2700" spans="20:21" x14ac:dyDescent="0.25">
      <c r="T2700" s="98"/>
      <c r="U2700" s="99"/>
    </row>
    <row r="2701" spans="20:21" x14ac:dyDescent="0.25">
      <c r="T2701" s="98"/>
      <c r="U2701" s="99"/>
    </row>
    <row r="2702" spans="20:21" x14ac:dyDescent="0.25">
      <c r="T2702" s="98"/>
      <c r="U2702" s="99"/>
    </row>
    <row r="2703" spans="20:21" x14ac:dyDescent="0.25">
      <c r="T2703" s="98"/>
      <c r="U2703" s="99"/>
    </row>
    <row r="2704" spans="20:21" x14ac:dyDescent="0.25">
      <c r="T2704" s="98"/>
      <c r="U2704" s="99"/>
    </row>
    <row r="2705" spans="20:21" x14ac:dyDescent="0.25">
      <c r="T2705" s="98"/>
      <c r="U2705" s="99"/>
    </row>
    <row r="2706" spans="20:21" x14ac:dyDescent="0.25">
      <c r="T2706" s="98"/>
      <c r="U2706" s="99"/>
    </row>
    <row r="2707" spans="20:21" x14ac:dyDescent="0.25">
      <c r="T2707" s="98"/>
      <c r="U2707" s="99"/>
    </row>
    <row r="2708" spans="20:21" x14ac:dyDescent="0.25">
      <c r="T2708" s="98"/>
      <c r="U2708" s="99"/>
    </row>
    <row r="2709" spans="20:21" x14ac:dyDescent="0.25">
      <c r="T2709" s="98"/>
      <c r="U2709" s="99"/>
    </row>
    <row r="2710" spans="20:21" x14ac:dyDescent="0.25">
      <c r="T2710" s="98"/>
      <c r="U2710" s="99"/>
    </row>
    <row r="2711" spans="20:21" x14ac:dyDescent="0.25">
      <c r="T2711" s="98"/>
      <c r="U2711" s="99"/>
    </row>
    <row r="2712" spans="20:21" x14ac:dyDescent="0.25">
      <c r="T2712" s="98"/>
      <c r="U2712" s="99"/>
    </row>
    <row r="2713" spans="20:21" x14ac:dyDescent="0.25">
      <c r="T2713" s="98"/>
      <c r="U2713" s="99"/>
    </row>
    <row r="2714" spans="20:21" x14ac:dyDescent="0.25">
      <c r="T2714" s="98"/>
      <c r="U2714" s="99"/>
    </row>
    <row r="2715" spans="20:21" x14ac:dyDescent="0.25">
      <c r="T2715" s="98"/>
      <c r="U2715" s="99"/>
    </row>
    <row r="2716" spans="20:21" x14ac:dyDescent="0.25">
      <c r="T2716" s="98"/>
      <c r="U2716" s="99"/>
    </row>
    <row r="2717" spans="20:21" x14ac:dyDescent="0.25">
      <c r="T2717" s="98"/>
      <c r="U2717" s="99"/>
    </row>
    <row r="2718" spans="20:21" x14ac:dyDescent="0.25">
      <c r="T2718" s="98"/>
      <c r="U2718" s="99"/>
    </row>
    <row r="2719" spans="20:21" x14ac:dyDescent="0.25">
      <c r="T2719" s="98"/>
      <c r="U2719" s="99"/>
    </row>
    <row r="2720" spans="20:21" x14ac:dyDescent="0.25">
      <c r="T2720" s="98"/>
      <c r="U2720" s="99"/>
    </row>
    <row r="2721" spans="20:21" x14ac:dyDescent="0.25">
      <c r="T2721" s="98"/>
      <c r="U2721" s="99"/>
    </row>
    <row r="2722" spans="20:21" x14ac:dyDescent="0.25">
      <c r="T2722" s="98"/>
      <c r="U2722" s="99"/>
    </row>
    <row r="2723" spans="20:21" x14ac:dyDescent="0.25">
      <c r="T2723" s="98"/>
      <c r="U2723" s="99"/>
    </row>
    <row r="2724" spans="20:21" x14ac:dyDescent="0.25">
      <c r="T2724" s="98"/>
      <c r="U2724" s="99"/>
    </row>
    <row r="2725" spans="20:21" x14ac:dyDescent="0.25">
      <c r="T2725" s="98"/>
      <c r="U2725" s="99"/>
    </row>
    <row r="2726" spans="20:21" x14ac:dyDescent="0.25">
      <c r="T2726" s="98"/>
      <c r="U2726" s="99"/>
    </row>
    <row r="2727" spans="20:21" x14ac:dyDescent="0.25">
      <c r="T2727" s="98"/>
      <c r="U2727" s="99"/>
    </row>
    <row r="2728" spans="20:21" x14ac:dyDescent="0.25">
      <c r="T2728" s="98"/>
      <c r="U2728" s="99"/>
    </row>
    <row r="2729" spans="20:21" x14ac:dyDescent="0.25">
      <c r="T2729" s="98"/>
      <c r="U2729" s="99"/>
    </row>
    <row r="2730" spans="20:21" x14ac:dyDescent="0.25">
      <c r="T2730" s="98"/>
      <c r="U2730" s="99"/>
    </row>
    <row r="2731" spans="20:21" x14ac:dyDescent="0.25">
      <c r="T2731" s="98"/>
      <c r="U2731" s="99"/>
    </row>
    <row r="2732" spans="20:21" x14ac:dyDescent="0.25">
      <c r="T2732" s="98"/>
      <c r="U2732" s="99"/>
    </row>
    <row r="2733" spans="20:21" x14ac:dyDescent="0.25">
      <c r="T2733" s="98"/>
      <c r="U2733" s="99"/>
    </row>
    <row r="2734" spans="20:21" x14ac:dyDescent="0.25">
      <c r="T2734" s="98"/>
      <c r="U2734" s="99"/>
    </row>
    <row r="2735" spans="20:21" x14ac:dyDescent="0.25">
      <c r="T2735" s="98"/>
      <c r="U2735" s="99"/>
    </row>
    <row r="2736" spans="20:21" x14ac:dyDescent="0.25">
      <c r="T2736" s="98"/>
      <c r="U2736" s="99"/>
    </row>
    <row r="2737" spans="20:21" x14ac:dyDescent="0.25">
      <c r="T2737" s="98"/>
      <c r="U2737" s="99"/>
    </row>
    <row r="2738" spans="20:21" x14ac:dyDescent="0.25">
      <c r="T2738" s="98"/>
      <c r="U2738" s="99"/>
    </row>
    <row r="2739" spans="20:21" x14ac:dyDescent="0.25">
      <c r="T2739" s="98"/>
      <c r="U2739" s="99"/>
    </row>
    <row r="2740" spans="20:21" x14ac:dyDescent="0.25">
      <c r="T2740" s="98"/>
      <c r="U2740" s="99"/>
    </row>
    <row r="2741" spans="20:21" x14ac:dyDescent="0.25">
      <c r="T2741" s="98"/>
      <c r="U2741" s="99"/>
    </row>
    <row r="2742" spans="20:21" x14ac:dyDescent="0.25">
      <c r="T2742" s="98"/>
      <c r="U2742" s="99"/>
    </row>
    <row r="2743" spans="20:21" x14ac:dyDescent="0.25">
      <c r="T2743" s="98"/>
      <c r="U2743" s="99"/>
    </row>
    <row r="2744" spans="20:21" x14ac:dyDescent="0.25">
      <c r="T2744" s="98"/>
      <c r="U2744" s="99"/>
    </row>
    <row r="2745" spans="20:21" x14ac:dyDescent="0.25">
      <c r="T2745" s="98"/>
      <c r="U2745" s="99"/>
    </row>
    <row r="2746" spans="20:21" x14ac:dyDescent="0.25">
      <c r="T2746" s="98"/>
      <c r="U2746" s="99"/>
    </row>
    <row r="2747" spans="20:21" x14ac:dyDescent="0.25">
      <c r="T2747" s="98"/>
      <c r="U2747" s="99"/>
    </row>
    <row r="2748" spans="20:21" x14ac:dyDescent="0.25">
      <c r="T2748" s="98"/>
      <c r="U2748" s="99"/>
    </row>
    <row r="2749" spans="20:21" x14ac:dyDescent="0.25">
      <c r="T2749" s="98"/>
      <c r="U2749" s="99"/>
    </row>
    <row r="2750" spans="20:21" x14ac:dyDescent="0.25">
      <c r="T2750" s="98"/>
      <c r="U2750" s="99"/>
    </row>
    <row r="2751" spans="20:21" x14ac:dyDescent="0.25">
      <c r="T2751" s="98"/>
      <c r="U2751" s="99"/>
    </row>
    <row r="2752" spans="20:21" x14ac:dyDescent="0.25">
      <c r="T2752" s="98"/>
      <c r="U2752" s="99"/>
    </row>
    <row r="2753" spans="20:21" x14ac:dyDescent="0.25">
      <c r="T2753" s="98"/>
      <c r="U2753" s="99"/>
    </row>
    <row r="2754" spans="20:21" x14ac:dyDescent="0.25">
      <c r="T2754" s="98"/>
      <c r="U2754" s="99"/>
    </row>
    <row r="2755" spans="20:21" x14ac:dyDescent="0.25">
      <c r="T2755" s="98"/>
      <c r="U2755" s="99"/>
    </row>
    <row r="2756" spans="20:21" x14ac:dyDescent="0.25">
      <c r="T2756" s="98"/>
      <c r="U2756" s="99"/>
    </row>
    <row r="2757" spans="20:21" x14ac:dyDescent="0.25">
      <c r="T2757" s="98"/>
      <c r="U2757" s="99"/>
    </row>
    <row r="2758" spans="20:21" x14ac:dyDescent="0.25">
      <c r="T2758" s="98"/>
      <c r="U2758" s="99"/>
    </row>
    <row r="2759" spans="20:21" x14ac:dyDescent="0.25">
      <c r="T2759" s="98"/>
      <c r="U2759" s="99"/>
    </row>
    <row r="2760" spans="20:21" x14ac:dyDescent="0.25">
      <c r="T2760" s="98"/>
      <c r="U2760" s="99"/>
    </row>
    <row r="2761" spans="20:21" x14ac:dyDescent="0.25">
      <c r="T2761" s="98"/>
      <c r="U2761" s="99"/>
    </row>
    <row r="2762" spans="20:21" x14ac:dyDescent="0.25">
      <c r="T2762" s="98"/>
      <c r="U2762" s="99"/>
    </row>
    <row r="2763" spans="20:21" x14ac:dyDescent="0.25">
      <c r="T2763" s="98"/>
      <c r="U2763" s="99"/>
    </row>
    <row r="2764" spans="20:21" x14ac:dyDescent="0.25">
      <c r="T2764" s="98"/>
      <c r="U2764" s="99"/>
    </row>
    <row r="2765" spans="20:21" x14ac:dyDescent="0.25">
      <c r="T2765" s="98"/>
      <c r="U2765" s="99"/>
    </row>
    <row r="2766" spans="20:21" x14ac:dyDescent="0.25">
      <c r="T2766" s="98"/>
      <c r="U2766" s="99"/>
    </row>
    <row r="2767" spans="20:21" x14ac:dyDescent="0.25">
      <c r="T2767" s="98"/>
      <c r="U2767" s="99"/>
    </row>
    <row r="2768" spans="20:21" x14ac:dyDescent="0.25">
      <c r="T2768" s="98"/>
      <c r="U2768" s="99"/>
    </row>
    <row r="2769" spans="20:21" x14ac:dyDescent="0.25">
      <c r="T2769" s="98"/>
      <c r="U2769" s="99"/>
    </row>
    <row r="2770" spans="20:21" x14ac:dyDescent="0.25">
      <c r="T2770" s="98"/>
      <c r="U2770" s="99"/>
    </row>
    <row r="2771" spans="20:21" x14ac:dyDescent="0.25">
      <c r="T2771" s="98"/>
      <c r="U2771" s="99"/>
    </row>
    <row r="2772" spans="20:21" x14ac:dyDescent="0.25">
      <c r="T2772" s="98"/>
      <c r="U2772" s="99"/>
    </row>
    <row r="2773" spans="20:21" x14ac:dyDescent="0.25">
      <c r="T2773" s="98"/>
      <c r="U2773" s="99"/>
    </row>
    <row r="2774" spans="20:21" x14ac:dyDescent="0.25">
      <c r="T2774" s="98"/>
      <c r="U2774" s="99"/>
    </row>
    <row r="2775" spans="20:21" x14ac:dyDescent="0.25">
      <c r="T2775" s="98"/>
      <c r="U2775" s="99"/>
    </row>
    <row r="2776" spans="20:21" x14ac:dyDescent="0.25">
      <c r="T2776" s="98"/>
      <c r="U2776" s="99"/>
    </row>
    <row r="2777" spans="20:21" x14ac:dyDescent="0.25">
      <c r="T2777" s="98"/>
      <c r="U2777" s="99"/>
    </row>
    <row r="2778" spans="20:21" x14ac:dyDescent="0.25">
      <c r="T2778" s="98"/>
      <c r="U2778" s="99"/>
    </row>
    <row r="2779" spans="20:21" x14ac:dyDescent="0.25">
      <c r="T2779" s="98"/>
      <c r="U2779" s="99"/>
    </row>
    <row r="2780" spans="20:21" x14ac:dyDescent="0.25">
      <c r="T2780" s="98"/>
      <c r="U2780" s="99"/>
    </row>
    <row r="2781" spans="20:21" x14ac:dyDescent="0.25">
      <c r="T2781" s="98"/>
      <c r="U2781" s="99"/>
    </row>
    <row r="2782" spans="20:21" x14ac:dyDescent="0.25">
      <c r="T2782" s="98"/>
      <c r="U2782" s="99"/>
    </row>
    <row r="2783" spans="20:21" x14ac:dyDescent="0.25">
      <c r="T2783" s="98"/>
      <c r="U2783" s="99"/>
    </row>
    <row r="2784" spans="20:21" x14ac:dyDescent="0.25">
      <c r="T2784" s="98"/>
      <c r="U2784" s="99"/>
    </row>
    <row r="2785" spans="20:21" x14ac:dyDescent="0.25">
      <c r="T2785" s="98"/>
      <c r="U2785" s="99"/>
    </row>
    <row r="2786" spans="20:21" x14ac:dyDescent="0.25">
      <c r="T2786" s="98"/>
      <c r="U2786" s="99"/>
    </row>
    <row r="2787" spans="20:21" x14ac:dyDescent="0.25">
      <c r="T2787" s="98"/>
      <c r="U2787" s="99"/>
    </row>
    <row r="2788" spans="20:21" x14ac:dyDescent="0.25">
      <c r="T2788" s="98"/>
      <c r="U2788" s="99"/>
    </row>
    <row r="2789" spans="20:21" x14ac:dyDescent="0.25">
      <c r="T2789" s="98"/>
      <c r="U2789" s="99"/>
    </row>
    <row r="2790" spans="20:21" x14ac:dyDescent="0.25">
      <c r="T2790" s="98"/>
      <c r="U2790" s="99"/>
    </row>
    <row r="2791" spans="20:21" x14ac:dyDescent="0.25">
      <c r="T2791" s="98"/>
      <c r="U2791" s="99"/>
    </row>
    <row r="2792" spans="20:21" x14ac:dyDescent="0.25">
      <c r="T2792" s="98"/>
      <c r="U2792" s="99"/>
    </row>
    <row r="2793" spans="20:21" x14ac:dyDescent="0.25">
      <c r="T2793" s="98"/>
      <c r="U2793" s="99"/>
    </row>
    <row r="2794" spans="20:21" x14ac:dyDescent="0.25">
      <c r="T2794" s="98"/>
      <c r="U2794" s="99"/>
    </row>
    <row r="2795" spans="20:21" x14ac:dyDescent="0.25">
      <c r="T2795" s="98"/>
      <c r="U2795" s="99"/>
    </row>
    <row r="2796" spans="20:21" x14ac:dyDescent="0.25">
      <c r="T2796" s="98"/>
      <c r="U2796" s="99"/>
    </row>
    <row r="2797" spans="20:21" x14ac:dyDescent="0.25">
      <c r="T2797" s="98"/>
      <c r="U2797" s="99"/>
    </row>
    <row r="2798" spans="20:21" x14ac:dyDescent="0.25">
      <c r="T2798" s="98"/>
      <c r="U2798" s="99"/>
    </row>
    <row r="2799" spans="20:21" x14ac:dyDescent="0.25">
      <c r="T2799" s="98"/>
      <c r="U2799" s="99"/>
    </row>
    <row r="2800" spans="20:21" x14ac:dyDescent="0.25">
      <c r="T2800" s="98"/>
      <c r="U2800" s="99"/>
    </row>
    <row r="2801" spans="20:21" x14ac:dyDescent="0.25">
      <c r="T2801" s="98"/>
      <c r="U2801" s="99"/>
    </row>
    <row r="2802" spans="20:21" x14ac:dyDescent="0.25">
      <c r="T2802" s="98"/>
      <c r="U2802" s="99"/>
    </row>
    <row r="2803" spans="20:21" x14ac:dyDescent="0.25">
      <c r="T2803" s="98"/>
      <c r="U2803" s="99"/>
    </row>
    <row r="2804" spans="20:21" x14ac:dyDescent="0.25">
      <c r="T2804" s="98"/>
      <c r="U2804" s="99"/>
    </row>
    <row r="2805" spans="20:21" x14ac:dyDescent="0.25">
      <c r="T2805" s="98"/>
      <c r="U2805" s="99"/>
    </row>
    <row r="2806" spans="20:21" x14ac:dyDescent="0.25">
      <c r="T2806" s="98"/>
      <c r="U2806" s="99"/>
    </row>
    <row r="2807" spans="20:21" x14ac:dyDescent="0.25">
      <c r="T2807" s="98"/>
      <c r="U2807" s="99"/>
    </row>
    <row r="2808" spans="20:21" x14ac:dyDescent="0.25">
      <c r="T2808" s="98"/>
      <c r="U2808" s="99"/>
    </row>
    <row r="2809" spans="20:21" x14ac:dyDescent="0.25">
      <c r="T2809" s="98"/>
      <c r="U2809" s="99"/>
    </row>
    <row r="2810" spans="20:21" x14ac:dyDescent="0.25">
      <c r="T2810" s="98"/>
      <c r="U2810" s="99"/>
    </row>
    <row r="2811" spans="20:21" x14ac:dyDescent="0.25">
      <c r="T2811" s="98"/>
      <c r="U2811" s="99"/>
    </row>
    <row r="2812" spans="20:21" x14ac:dyDescent="0.25">
      <c r="T2812" s="98"/>
      <c r="U2812" s="99"/>
    </row>
    <row r="2813" spans="20:21" x14ac:dyDescent="0.25">
      <c r="T2813" s="98"/>
      <c r="U2813" s="99"/>
    </row>
    <row r="2814" spans="20:21" x14ac:dyDescent="0.25">
      <c r="T2814" s="98"/>
      <c r="U2814" s="99"/>
    </row>
    <row r="2815" spans="20:21" x14ac:dyDescent="0.25">
      <c r="T2815" s="98"/>
      <c r="U2815" s="99"/>
    </row>
    <row r="2816" spans="20:21" x14ac:dyDescent="0.25">
      <c r="T2816" s="98"/>
      <c r="U2816" s="99"/>
    </row>
    <row r="2817" spans="20:21" x14ac:dyDescent="0.25">
      <c r="T2817" s="98"/>
      <c r="U2817" s="99"/>
    </row>
    <row r="2818" spans="20:21" x14ac:dyDescent="0.25">
      <c r="T2818" s="98"/>
      <c r="U2818" s="99"/>
    </row>
    <row r="2819" spans="20:21" x14ac:dyDescent="0.25">
      <c r="T2819" s="98"/>
      <c r="U2819" s="99"/>
    </row>
    <row r="2820" spans="20:21" x14ac:dyDescent="0.25">
      <c r="T2820" s="98"/>
      <c r="U2820" s="99"/>
    </row>
    <row r="2821" spans="20:21" x14ac:dyDescent="0.25">
      <c r="T2821" s="98"/>
      <c r="U2821" s="99"/>
    </row>
    <row r="2822" spans="20:21" x14ac:dyDescent="0.25">
      <c r="T2822" s="98"/>
      <c r="U2822" s="99"/>
    </row>
    <row r="2823" spans="20:21" x14ac:dyDescent="0.25">
      <c r="T2823" s="98"/>
      <c r="U2823" s="99"/>
    </row>
    <row r="2824" spans="20:21" x14ac:dyDescent="0.25">
      <c r="T2824" s="98"/>
      <c r="U2824" s="99"/>
    </row>
    <row r="2825" spans="20:21" x14ac:dyDescent="0.25">
      <c r="T2825" s="98"/>
      <c r="U2825" s="99"/>
    </row>
    <row r="2826" spans="20:21" x14ac:dyDescent="0.25">
      <c r="T2826" s="98"/>
      <c r="U2826" s="99"/>
    </row>
    <row r="2827" spans="20:21" x14ac:dyDescent="0.25">
      <c r="T2827" s="98"/>
      <c r="U2827" s="99"/>
    </row>
    <row r="2828" spans="20:21" x14ac:dyDescent="0.25">
      <c r="T2828" s="98"/>
      <c r="U2828" s="99"/>
    </row>
    <row r="2829" spans="20:21" x14ac:dyDescent="0.25">
      <c r="T2829" s="98"/>
      <c r="U2829" s="99"/>
    </row>
    <row r="2830" spans="20:21" x14ac:dyDescent="0.25">
      <c r="T2830" s="98"/>
      <c r="U2830" s="99"/>
    </row>
    <row r="2831" spans="20:21" x14ac:dyDescent="0.25">
      <c r="T2831" s="98"/>
      <c r="U2831" s="99"/>
    </row>
    <row r="2832" spans="20:21" x14ac:dyDescent="0.25">
      <c r="T2832" s="98"/>
      <c r="U2832" s="99"/>
    </row>
    <row r="2833" spans="20:21" x14ac:dyDescent="0.25">
      <c r="T2833" s="98"/>
      <c r="U2833" s="99"/>
    </row>
    <row r="2834" spans="20:21" x14ac:dyDescent="0.25">
      <c r="T2834" s="98"/>
      <c r="U2834" s="99"/>
    </row>
    <row r="2835" spans="20:21" x14ac:dyDescent="0.25">
      <c r="T2835" s="98"/>
      <c r="U2835" s="99"/>
    </row>
    <row r="2836" spans="20:21" x14ac:dyDescent="0.25">
      <c r="T2836" s="98"/>
      <c r="U2836" s="99"/>
    </row>
    <row r="2837" spans="20:21" x14ac:dyDescent="0.25">
      <c r="T2837" s="98"/>
      <c r="U2837" s="99"/>
    </row>
    <row r="2838" spans="20:21" x14ac:dyDescent="0.25">
      <c r="T2838" s="98"/>
      <c r="U2838" s="99"/>
    </row>
    <row r="2839" spans="20:21" x14ac:dyDescent="0.25">
      <c r="T2839" s="98"/>
      <c r="U2839" s="99"/>
    </row>
    <row r="2840" spans="20:21" x14ac:dyDescent="0.25">
      <c r="T2840" s="98"/>
      <c r="U2840" s="99"/>
    </row>
    <row r="2841" spans="20:21" x14ac:dyDescent="0.25">
      <c r="T2841" s="98"/>
      <c r="U2841" s="99"/>
    </row>
    <row r="2842" spans="20:21" x14ac:dyDescent="0.25">
      <c r="T2842" s="98"/>
      <c r="U2842" s="99"/>
    </row>
    <row r="2843" spans="20:21" x14ac:dyDescent="0.25">
      <c r="T2843" s="98"/>
      <c r="U2843" s="99"/>
    </row>
    <row r="2844" spans="20:21" x14ac:dyDescent="0.25">
      <c r="T2844" s="98"/>
      <c r="U2844" s="99"/>
    </row>
    <row r="2845" spans="20:21" x14ac:dyDescent="0.25">
      <c r="T2845" s="98"/>
      <c r="U2845" s="99"/>
    </row>
    <row r="2846" spans="20:21" x14ac:dyDescent="0.25">
      <c r="T2846" s="98"/>
      <c r="U2846" s="99"/>
    </row>
    <row r="2847" spans="20:21" x14ac:dyDescent="0.25">
      <c r="T2847" s="98"/>
      <c r="U2847" s="99"/>
    </row>
    <row r="2848" spans="20:21" x14ac:dyDescent="0.25">
      <c r="T2848" s="98"/>
      <c r="U2848" s="99"/>
    </row>
    <row r="2849" spans="20:21" x14ac:dyDescent="0.25">
      <c r="T2849" s="98"/>
      <c r="U2849" s="99"/>
    </row>
    <row r="2850" spans="20:21" x14ac:dyDescent="0.25">
      <c r="T2850" s="98"/>
      <c r="U2850" s="99"/>
    </row>
    <row r="2851" spans="20:21" x14ac:dyDescent="0.25">
      <c r="T2851" s="98"/>
      <c r="U2851" s="99"/>
    </row>
    <row r="2852" spans="20:21" x14ac:dyDescent="0.25">
      <c r="T2852" s="98"/>
      <c r="U2852" s="99"/>
    </row>
    <row r="2853" spans="20:21" x14ac:dyDescent="0.25">
      <c r="T2853" s="98"/>
      <c r="U2853" s="99"/>
    </row>
    <row r="2854" spans="20:21" x14ac:dyDescent="0.25">
      <c r="T2854" s="98"/>
      <c r="U2854" s="99"/>
    </row>
    <row r="2855" spans="20:21" x14ac:dyDescent="0.25">
      <c r="T2855" s="98"/>
      <c r="U2855" s="99"/>
    </row>
    <row r="2856" spans="20:21" x14ac:dyDescent="0.25">
      <c r="T2856" s="98"/>
      <c r="U2856" s="99"/>
    </row>
    <row r="2857" spans="20:21" x14ac:dyDescent="0.25">
      <c r="T2857" s="98"/>
      <c r="U2857" s="99"/>
    </row>
    <row r="2858" spans="20:21" x14ac:dyDescent="0.25">
      <c r="T2858" s="98"/>
      <c r="U2858" s="99"/>
    </row>
    <row r="2859" spans="20:21" x14ac:dyDescent="0.25">
      <c r="T2859" s="98"/>
      <c r="U2859" s="99"/>
    </row>
    <row r="2860" spans="20:21" x14ac:dyDescent="0.25">
      <c r="T2860" s="98"/>
      <c r="U2860" s="99"/>
    </row>
    <row r="2861" spans="20:21" x14ac:dyDescent="0.25">
      <c r="T2861" s="98"/>
      <c r="U2861" s="99"/>
    </row>
    <row r="2862" spans="20:21" x14ac:dyDescent="0.25">
      <c r="T2862" s="98"/>
      <c r="U2862" s="99"/>
    </row>
    <row r="2863" spans="20:21" x14ac:dyDescent="0.25">
      <c r="T2863" s="98"/>
      <c r="U2863" s="99"/>
    </row>
    <row r="2864" spans="20:21" x14ac:dyDescent="0.25">
      <c r="T2864" s="98"/>
      <c r="U2864" s="99"/>
    </row>
    <row r="2865" spans="20:21" x14ac:dyDescent="0.25">
      <c r="T2865" s="98"/>
      <c r="U2865" s="99"/>
    </row>
    <row r="2866" spans="20:21" x14ac:dyDescent="0.25">
      <c r="T2866" s="98"/>
      <c r="U2866" s="99"/>
    </row>
    <row r="2867" spans="20:21" x14ac:dyDescent="0.25">
      <c r="T2867" s="98"/>
      <c r="U2867" s="99"/>
    </row>
    <row r="2868" spans="20:21" x14ac:dyDescent="0.25">
      <c r="T2868" s="98"/>
      <c r="U2868" s="99"/>
    </row>
    <row r="2869" spans="20:21" x14ac:dyDescent="0.25">
      <c r="T2869" s="98"/>
      <c r="U2869" s="99"/>
    </row>
    <row r="2870" spans="20:21" x14ac:dyDescent="0.25">
      <c r="T2870" s="98"/>
      <c r="U2870" s="99"/>
    </row>
    <row r="2871" spans="20:21" x14ac:dyDescent="0.25">
      <c r="T2871" s="98"/>
      <c r="U2871" s="99"/>
    </row>
    <row r="2872" spans="20:21" x14ac:dyDescent="0.25">
      <c r="T2872" s="98"/>
      <c r="U2872" s="99"/>
    </row>
    <row r="2873" spans="20:21" x14ac:dyDescent="0.25">
      <c r="T2873" s="98"/>
      <c r="U2873" s="99"/>
    </row>
    <row r="2874" spans="20:21" x14ac:dyDescent="0.25">
      <c r="T2874" s="98"/>
      <c r="U2874" s="99"/>
    </row>
    <row r="2875" spans="20:21" x14ac:dyDescent="0.25">
      <c r="T2875" s="98"/>
      <c r="U2875" s="99"/>
    </row>
    <row r="2876" spans="20:21" x14ac:dyDescent="0.25">
      <c r="T2876" s="98"/>
      <c r="U2876" s="99"/>
    </row>
    <row r="2877" spans="20:21" x14ac:dyDescent="0.25">
      <c r="T2877" s="98"/>
      <c r="U2877" s="99"/>
    </row>
    <row r="2878" spans="20:21" x14ac:dyDescent="0.25">
      <c r="T2878" s="98"/>
      <c r="U2878" s="99"/>
    </row>
    <row r="2879" spans="20:21" x14ac:dyDescent="0.25">
      <c r="T2879" s="98"/>
      <c r="U2879" s="99"/>
    </row>
    <row r="2880" spans="20:21" x14ac:dyDescent="0.25">
      <c r="T2880" s="98"/>
      <c r="U2880" s="99"/>
    </row>
    <row r="2881" spans="20:21" x14ac:dyDescent="0.25">
      <c r="T2881" s="98"/>
      <c r="U2881" s="99"/>
    </row>
    <row r="2882" spans="20:21" x14ac:dyDescent="0.25">
      <c r="T2882" s="98"/>
      <c r="U2882" s="99"/>
    </row>
    <row r="2883" spans="20:21" x14ac:dyDescent="0.25">
      <c r="T2883" s="98"/>
      <c r="U2883" s="99"/>
    </row>
    <row r="2884" spans="20:21" x14ac:dyDescent="0.25">
      <c r="T2884" s="98"/>
      <c r="U2884" s="99"/>
    </row>
    <row r="2885" spans="20:21" x14ac:dyDescent="0.25">
      <c r="T2885" s="98"/>
      <c r="U2885" s="99"/>
    </row>
    <row r="2886" spans="20:21" x14ac:dyDescent="0.25">
      <c r="T2886" s="98"/>
      <c r="U2886" s="99"/>
    </row>
    <row r="2887" spans="20:21" x14ac:dyDescent="0.25">
      <c r="T2887" s="98"/>
      <c r="U2887" s="99"/>
    </row>
    <row r="2888" spans="20:21" x14ac:dyDescent="0.25">
      <c r="T2888" s="98"/>
      <c r="U2888" s="99"/>
    </row>
    <row r="2889" spans="20:21" x14ac:dyDescent="0.25">
      <c r="T2889" s="98"/>
      <c r="U2889" s="99"/>
    </row>
    <row r="2890" spans="20:21" x14ac:dyDescent="0.25">
      <c r="T2890" s="98"/>
      <c r="U2890" s="99"/>
    </row>
    <row r="2891" spans="20:21" x14ac:dyDescent="0.25">
      <c r="T2891" s="98"/>
      <c r="U2891" s="99"/>
    </row>
    <row r="2892" spans="20:21" x14ac:dyDescent="0.25">
      <c r="T2892" s="98"/>
      <c r="U2892" s="99"/>
    </row>
    <row r="2893" spans="20:21" x14ac:dyDescent="0.25">
      <c r="T2893" s="98"/>
      <c r="U2893" s="99"/>
    </row>
    <row r="2894" spans="20:21" x14ac:dyDescent="0.25">
      <c r="T2894" s="98"/>
      <c r="U2894" s="99"/>
    </row>
    <row r="2895" spans="20:21" x14ac:dyDescent="0.25">
      <c r="T2895" s="98"/>
      <c r="U2895" s="99"/>
    </row>
    <row r="2896" spans="20:21" x14ac:dyDescent="0.25">
      <c r="T2896" s="98"/>
      <c r="U2896" s="99"/>
    </row>
    <row r="2897" spans="20:21" x14ac:dyDescent="0.25">
      <c r="T2897" s="98"/>
      <c r="U2897" s="99"/>
    </row>
    <row r="2898" spans="20:21" x14ac:dyDescent="0.25">
      <c r="T2898" s="98"/>
      <c r="U2898" s="99"/>
    </row>
    <row r="2899" spans="20:21" x14ac:dyDescent="0.25">
      <c r="T2899" s="98"/>
      <c r="U2899" s="99"/>
    </row>
    <row r="2900" spans="20:21" x14ac:dyDescent="0.25">
      <c r="T2900" s="98"/>
      <c r="U2900" s="99"/>
    </row>
    <row r="2901" spans="20:21" x14ac:dyDescent="0.25">
      <c r="T2901" s="98"/>
      <c r="U2901" s="99"/>
    </row>
    <row r="2902" spans="20:21" x14ac:dyDescent="0.25">
      <c r="T2902" s="98"/>
      <c r="U2902" s="99"/>
    </row>
    <row r="2903" spans="20:21" x14ac:dyDescent="0.25">
      <c r="T2903" s="98"/>
      <c r="U2903" s="99"/>
    </row>
    <row r="2904" spans="20:21" x14ac:dyDescent="0.25">
      <c r="T2904" s="98"/>
      <c r="U2904" s="99"/>
    </row>
    <row r="2905" spans="20:21" x14ac:dyDescent="0.25">
      <c r="T2905" s="98"/>
      <c r="U2905" s="99"/>
    </row>
    <row r="2906" spans="20:21" x14ac:dyDescent="0.25">
      <c r="T2906" s="98"/>
      <c r="U2906" s="99"/>
    </row>
    <row r="2907" spans="20:21" x14ac:dyDescent="0.25">
      <c r="T2907" s="98"/>
      <c r="U2907" s="99"/>
    </row>
    <row r="2908" spans="20:21" x14ac:dyDescent="0.25">
      <c r="T2908" s="98"/>
      <c r="U2908" s="99"/>
    </row>
    <row r="2909" spans="20:21" x14ac:dyDescent="0.25">
      <c r="T2909" s="98"/>
      <c r="U2909" s="99"/>
    </row>
    <row r="2910" spans="20:21" x14ac:dyDescent="0.25">
      <c r="T2910" s="98"/>
      <c r="U2910" s="99"/>
    </row>
    <row r="2911" spans="20:21" x14ac:dyDescent="0.25">
      <c r="T2911" s="98"/>
      <c r="U2911" s="99"/>
    </row>
    <row r="2912" spans="20:21" x14ac:dyDescent="0.25">
      <c r="T2912" s="98"/>
      <c r="U2912" s="99"/>
    </row>
    <row r="2913" spans="20:21" x14ac:dyDescent="0.25">
      <c r="T2913" s="98"/>
      <c r="U2913" s="99"/>
    </row>
    <row r="2914" spans="20:21" x14ac:dyDescent="0.25">
      <c r="T2914" s="98"/>
      <c r="U2914" s="99"/>
    </row>
    <row r="2915" spans="20:21" x14ac:dyDescent="0.25">
      <c r="T2915" s="98"/>
      <c r="U2915" s="99"/>
    </row>
    <row r="2916" spans="20:21" x14ac:dyDescent="0.25">
      <c r="T2916" s="98"/>
      <c r="U2916" s="99"/>
    </row>
    <row r="2917" spans="20:21" x14ac:dyDescent="0.25">
      <c r="T2917" s="98"/>
      <c r="U2917" s="99"/>
    </row>
    <row r="2918" spans="20:21" x14ac:dyDescent="0.25">
      <c r="T2918" s="98"/>
      <c r="U2918" s="99"/>
    </row>
    <row r="2919" spans="20:21" x14ac:dyDescent="0.25">
      <c r="T2919" s="98"/>
      <c r="U2919" s="99"/>
    </row>
    <row r="2920" spans="20:21" x14ac:dyDescent="0.25">
      <c r="T2920" s="98"/>
      <c r="U2920" s="99"/>
    </row>
    <row r="2921" spans="20:21" x14ac:dyDescent="0.25">
      <c r="T2921" s="98"/>
      <c r="U2921" s="99"/>
    </row>
    <row r="2922" spans="20:21" x14ac:dyDescent="0.25">
      <c r="T2922" s="98"/>
      <c r="U2922" s="99"/>
    </row>
    <row r="2923" spans="20:21" x14ac:dyDescent="0.25">
      <c r="T2923" s="98"/>
      <c r="U2923" s="99"/>
    </row>
    <row r="2924" spans="20:21" x14ac:dyDescent="0.25">
      <c r="T2924" s="98"/>
      <c r="U2924" s="99"/>
    </row>
    <row r="2925" spans="20:21" x14ac:dyDescent="0.25">
      <c r="T2925" s="98"/>
      <c r="U2925" s="99"/>
    </row>
    <row r="2926" spans="20:21" x14ac:dyDescent="0.25">
      <c r="T2926" s="98"/>
      <c r="U2926" s="99"/>
    </row>
    <row r="2927" spans="20:21" x14ac:dyDescent="0.25">
      <c r="T2927" s="98"/>
      <c r="U2927" s="99"/>
    </row>
    <row r="2928" spans="20:21" x14ac:dyDescent="0.25">
      <c r="T2928" s="98"/>
      <c r="U2928" s="99"/>
    </row>
    <row r="2929" spans="20:21" x14ac:dyDescent="0.25">
      <c r="T2929" s="98"/>
      <c r="U2929" s="99"/>
    </row>
    <row r="2930" spans="20:21" x14ac:dyDescent="0.25">
      <c r="T2930" s="98"/>
      <c r="U2930" s="99"/>
    </row>
    <row r="2931" spans="20:21" x14ac:dyDescent="0.25">
      <c r="T2931" s="98"/>
      <c r="U2931" s="99"/>
    </row>
    <row r="2932" spans="20:21" x14ac:dyDescent="0.25">
      <c r="T2932" s="98"/>
      <c r="U2932" s="99"/>
    </row>
    <row r="2933" spans="20:21" x14ac:dyDescent="0.25">
      <c r="T2933" s="98"/>
      <c r="U2933" s="99"/>
    </row>
    <row r="2934" spans="20:21" x14ac:dyDescent="0.25">
      <c r="T2934" s="98"/>
      <c r="U2934" s="99"/>
    </row>
    <row r="2935" spans="20:21" x14ac:dyDescent="0.25">
      <c r="T2935" s="98"/>
      <c r="U2935" s="99"/>
    </row>
    <row r="2936" spans="20:21" x14ac:dyDescent="0.25">
      <c r="T2936" s="98"/>
      <c r="U2936" s="99"/>
    </row>
    <row r="2937" spans="20:21" x14ac:dyDescent="0.25">
      <c r="T2937" s="98"/>
      <c r="U2937" s="99"/>
    </row>
    <row r="2938" spans="20:21" x14ac:dyDescent="0.25">
      <c r="T2938" s="98"/>
      <c r="U2938" s="99"/>
    </row>
    <row r="2939" spans="20:21" x14ac:dyDescent="0.25">
      <c r="T2939" s="98"/>
      <c r="U2939" s="99"/>
    </row>
    <row r="2940" spans="20:21" x14ac:dyDescent="0.25">
      <c r="T2940" s="98"/>
      <c r="U2940" s="99"/>
    </row>
    <row r="2941" spans="20:21" x14ac:dyDescent="0.25">
      <c r="T2941" s="98"/>
      <c r="U2941" s="99"/>
    </row>
    <row r="2942" spans="20:21" x14ac:dyDescent="0.25">
      <c r="T2942" s="98"/>
      <c r="U2942" s="99"/>
    </row>
    <row r="2943" spans="20:21" x14ac:dyDescent="0.25">
      <c r="T2943" s="98"/>
      <c r="U2943" s="99"/>
    </row>
    <row r="2944" spans="20:21" x14ac:dyDescent="0.25">
      <c r="T2944" s="98"/>
      <c r="U2944" s="99"/>
    </row>
    <row r="2945" spans="20:21" x14ac:dyDescent="0.25">
      <c r="T2945" s="98"/>
      <c r="U2945" s="99"/>
    </row>
    <row r="2946" spans="20:21" x14ac:dyDescent="0.25">
      <c r="T2946" s="98"/>
      <c r="U2946" s="99"/>
    </row>
    <row r="2947" spans="20:21" x14ac:dyDescent="0.25">
      <c r="T2947" s="98"/>
      <c r="U2947" s="99"/>
    </row>
    <row r="2948" spans="20:21" x14ac:dyDescent="0.25">
      <c r="T2948" s="98"/>
      <c r="U2948" s="99"/>
    </row>
    <row r="2949" spans="20:21" x14ac:dyDescent="0.25">
      <c r="T2949" s="98"/>
      <c r="U2949" s="99"/>
    </row>
    <row r="2950" spans="20:21" x14ac:dyDescent="0.25">
      <c r="T2950" s="98"/>
      <c r="U2950" s="99"/>
    </row>
    <row r="2951" spans="20:21" x14ac:dyDescent="0.25">
      <c r="T2951" s="98"/>
      <c r="U2951" s="99"/>
    </row>
    <row r="2952" spans="20:21" x14ac:dyDescent="0.25">
      <c r="T2952" s="98"/>
      <c r="U2952" s="99"/>
    </row>
    <row r="2953" spans="20:21" x14ac:dyDescent="0.25">
      <c r="T2953" s="98"/>
      <c r="U2953" s="99"/>
    </row>
    <row r="2954" spans="20:21" x14ac:dyDescent="0.25">
      <c r="T2954" s="98"/>
      <c r="U2954" s="99"/>
    </row>
    <row r="2955" spans="20:21" x14ac:dyDescent="0.25">
      <c r="T2955" s="98"/>
      <c r="U2955" s="99"/>
    </row>
    <row r="2956" spans="20:21" x14ac:dyDescent="0.25">
      <c r="T2956" s="98"/>
      <c r="U2956" s="99"/>
    </row>
    <row r="2957" spans="20:21" x14ac:dyDescent="0.25">
      <c r="T2957" s="98"/>
      <c r="U2957" s="99"/>
    </row>
    <row r="2958" spans="20:21" x14ac:dyDescent="0.25">
      <c r="T2958" s="98"/>
      <c r="U2958" s="99"/>
    </row>
    <row r="2959" spans="20:21" x14ac:dyDescent="0.25">
      <c r="T2959" s="98"/>
      <c r="U2959" s="99"/>
    </row>
    <row r="2960" spans="20:21" x14ac:dyDescent="0.25">
      <c r="T2960" s="98"/>
      <c r="U2960" s="99"/>
    </row>
    <row r="2961" spans="20:21" x14ac:dyDescent="0.25">
      <c r="T2961" s="98"/>
      <c r="U2961" s="99"/>
    </row>
    <row r="2962" spans="20:21" x14ac:dyDescent="0.25">
      <c r="T2962" s="98"/>
      <c r="U2962" s="99"/>
    </row>
    <row r="2963" spans="20:21" x14ac:dyDescent="0.25">
      <c r="T2963" s="98"/>
      <c r="U2963" s="99"/>
    </row>
    <row r="2964" spans="20:21" x14ac:dyDescent="0.25">
      <c r="T2964" s="98"/>
      <c r="U2964" s="99"/>
    </row>
    <row r="2965" spans="20:21" x14ac:dyDescent="0.25">
      <c r="T2965" s="98"/>
      <c r="U2965" s="99"/>
    </row>
    <row r="2966" spans="20:21" x14ac:dyDescent="0.25">
      <c r="T2966" s="98"/>
      <c r="U2966" s="99"/>
    </row>
    <row r="2967" spans="20:21" x14ac:dyDescent="0.25">
      <c r="T2967" s="98"/>
      <c r="U2967" s="99"/>
    </row>
    <row r="2968" spans="20:21" x14ac:dyDescent="0.25">
      <c r="T2968" s="98"/>
      <c r="U2968" s="99"/>
    </row>
    <row r="2969" spans="20:21" x14ac:dyDescent="0.25">
      <c r="T2969" s="98"/>
      <c r="U2969" s="99"/>
    </row>
    <row r="2970" spans="20:21" x14ac:dyDescent="0.25">
      <c r="T2970" s="98"/>
      <c r="U2970" s="99"/>
    </row>
    <row r="2971" spans="20:21" x14ac:dyDescent="0.25">
      <c r="T2971" s="98"/>
      <c r="U2971" s="99"/>
    </row>
    <row r="2972" spans="20:21" x14ac:dyDescent="0.25">
      <c r="T2972" s="98"/>
      <c r="U2972" s="99"/>
    </row>
    <row r="2973" spans="20:21" x14ac:dyDescent="0.25">
      <c r="T2973" s="98"/>
      <c r="U2973" s="99"/>
    </row>
    <row r="2974" spans="20:21" x14ac:dyDescent="0.25">
      <c r="T2974" s="98"/>
      <c r="U2974" s="99"/>
    </row>
    <row r="2975" spans="20:21" x14ac:dyDescent="0.25">
      <c r="T2975" s="98"/>
      <c r="U2975" s="99"/>
    </row>
    <row r="2976" spans="20:21" x14ac:dyDescent="0.25">
      <c r="T2976" s="98"/>
      <c r="U2976" s="99"/>
    </row>
    <row r="2977" spans="20:21" x14ac:dyDescent="0.25">
      <c r="T2977" s="98"/>
      <c r="U2977" s="99"/>
    </row>
    <row r="2978" spans="20:21" x14ac:dyDescent="0.25">
      <c r="T2978" s="98"/>
      <c r="U2978" s="99"/>
    </row>
    <row r="2979" spans="20:21" x14ac:dyDescent="0.25">
      <c r="T2979" s="98"/>
      <c r="U2979" s="99"/>
    </row>
    <row r="2980" spans="20:21" x14ac:dyDescent="0.25">
      <c r="T2980" s="98"/>
      <c r="U2980" s="99"/>
    </row>
    <row r="2981" spans="20:21" x14ac:dyDescent="0.25">
      <c r="T2981" s="98"/>
      <c r="U2981" s="99"/>
    </row>
    <row r="2982" spans="20:21" x14ac:dyDescent="0.25">
      <c r="T2982" s="98"/>
      <c r="U2982" s="99"/>
    </row>
    <row r="2983" spans="20:21" x14ac:dyDescent="0.25">
      <c r="T2983" s="98"/>
      <c r="U2983" s="99"/>
    </row>
    <row r="2984" spans="20:21" x14ac:dyDescent="0.25">
      <c r="T2984" s="98"/>
      <c r="U2984" s="99"/>
    </row>
    <row r="2985" spans="20:21" x14ac:dyDescent="0.25">
      <c r="T2985" s="98"/>
      <c r="U2985" s="99"/>
    </row>
    <row r="2986" spans="20:21" x14ac:dyDescent="0.25">
      <c r="T2986" s="98"/>
      <c r="U2986" s="99"/>
    </row>
    <row r="2987" spans="20:21" x14ac:dyDescent="0.25">
      <c r="T2987" s="98"/>
      <c r="U2987" s="99"/>
    </row>
    <row r="2988" spans="20:21" x14ac:dyDescent="0.25">
      <c r="T2988" s="98"/>
      <c r="U2988" s="99"/>
    </row>
    <row r="2989" spans="20:21" x14ac:dyDescent="0.25">
      <c r="T2989" s="98"/>
      <c r="U2989" s="99"/>
    </row>
    <row r="2990" spans="20:21" x14ac:dyDescent="0.25">
      <c r="T2990" s="98"/>
      <c r="U2990" s="99"/>
    </row>
    <row r="2991" spans="20:21" x14ac:dyDescent="0.25">
      <c r="T2991" s="98"/>
      <c r="U2991" s="99"/>
    </row>
    <row r="2992" spans="20:21" x14ac:dyDescent="0.25">
      <c r="T2992" s="98"/>
      <c r="U2992" s="99"/>
    </row>
    <row r="2993" spans="20:21" x14ac:dyDescent="0.25">
      <c r="T2993" s="98"/>
      <c r="U2993" s="99"/>
    </row>
    <row r="2994" spans="20:21" x14ac:dyDescent="0.25">
      <c r="T2994" s="98"/>
      <c r="U2994" s="99"/>
    </row>
    <row r="2995" spans="20:21" x14ac:dyDescent="0.25">
      <c r="T2995" s="98"/>
      <c r="U2995" s="99"/>
    </row>
    <row r="2996" spans="20:21" x14ac:dyDescent="0.25">
      <c r="T2996" s="98"/>
      <c r="U2996" s="99"/>
    </row>
    <row r="2997" spans="20:21" x14ac:dyDescent="0.25">
      <c r="T2997" s="98"/>
      <c r="U2997" s="99"/>
    </row>
    <row r="2998" spans="20:21" x14ac:dyDescent="0.25">
      <c r="T2998" s="98"/>
      <c r="U2998" s="99"/>
    </row>
    <row r="2999" spans="20:21" x14ac:dyDescent="0.25">
      <c r="T2999" s="98"/>
      <c r="U2999" s="99"/>
    </row>
    <row r="3000" spans="20:21" x14ac:dyDescent="0.25">
      <c r="T3000" s="98"/>
      <c r="U3000" s="99"/>
    </row>
    <row r="3001" spans="20:21" x14ac:dyDescent="0.25">
      <c r="T3001" s="98"/>
      <c r="U3001" s="99"/>
    </row>
    <row r="3002" spans="20:21" x14ac:dyDescent="0.25">
      <c r="T3002" s="98"/>
      <c r="U3002" s="99"/>
    </row>
    <row r="3003" spans="20:21" x14ac:dyDescent="0.25">
      <c r="T3003" s="98"/>
      <c r="U3003" s="99"/>
    </row>
    <row r="3004" spans="20:21" x14ac:dyDescent="0.25">
      <c r="T3004" s="98"/>
      <c r="U3004" s="99"/>
    </row>
    <row r="3005" spans="20:21" x14ac:dyDescent="0.25">
      <c r="T3005" s="98"/>
      <c r="U3005" s="99"/>
    </row>
    <row r="3006" spans="20:21" x14ac:dyDescent="0.25">
      <c r="T3006" s="98"/>
      <c r="U3006" s="99"/>
    </row>
    <row r="3007" spans="20:21" x14ac:dyDescent="0.25">
      <c r="T3007" s="98"/>
      <c r="U3007" s="99"/>
    </row>
    <row r="3008" spans="20:21" x14ac:dyDescent="0.25">
      <c r="T3008" s="98"/>
      <c r="U3008" s="99"/>
    </row>
    <row r="3009" spans="20:21" x14ac:dyDescent="0.25">
      <c r="T3009" s="98"/>
      <c r="U3009" s="99"/>
    </row>
    <row r="3010" spans="20:21" x14ac:dyDescent="0.25">
      <c r="T3010" s="98"/>
      <c r="U3010" s="99"/>
    </row>
    <row r="3011" spans="20:21" x14ac:dyDescent="0.25">
      <c r="T3011" s="98"/>
      <c r="U3011" s="99"/>
    </row>
    <row r="3012" spans="20:21" x14ac:dyDescent="0.25">
      <c r="T3012" s="98"/>
      <c r="U3012" s="99"/>
    </row>
    <row r="3013" spans="20:21" x14ac:dyDescent="0.25">
      <c r="T3013" s="98"/>
      <c r="U3013" s="99"/>
    </row>
    <row r="3014" spans="20:21" x14ac:dyDescent="0.25">
      <c r="T3014" s="98"/>
      <c r="U3014" s="99"/>
    </row>
    <row r="3015" spans="20:21" x14ac:dyDescent="0.25">
      <c r="T3015" s="98"/>
      <c r="U3015" s="99"/>
    </row>
    <row r="3016" spans="20:21" x14ac:dyDescent="0.25">
      <c r="T3016" s="98"/>
      <c r="U3016" s="99"/>
    </row>
    <row r="3017" spans="20:21" x14ac:dyDescent="0.25">
      <c r="T3017" s="98"/>
      <c r="U3017" s="99"/>
    </row>
    <row r="3018" spans="20:21" x14ac:dyDescent="0.25">
      <c r="T3018" s="98"/>
      <c r="U3018" s="99"/>
    </row>
    <row r="3019" spans="20:21" x14ac:dyDescent="0.25">
      <c r="T3019" s="98"/>
      <c r="U3019" s="99"/>
    </row>
    <row r="3020" spans="20:21" x14ac:dyDescent="0.25">
      <c r="T3020" s="98"/>
      <c r="U3020" s="99"/>
    </row>
    <row r="3021" spans="20:21" x14ac:dyDescent="0.25">
      <c r="T3021" s="98"/>
      <c r="U3021" s="99"/>
    </row>
    <row r="3022" spans="20:21" x14ac:dyDescent="0.25">
      <c r="T3022" s="98"/>
      <c r="U3022" s="99"/>
    </row>
    <row r="3023" spans="20:21" x14ac:dyDescent="0.25">
      <c r="T3023" s="98"/>
      <c r="U3023" s="99"/>
    </row>
    <row r="3024" spans="20:21" x14ac:dyDescent="0.25">
      <c r="T3024" s="98"/>
      <c r="U3024" s="99"/>
    </row>
    <row r="3025" spans="20:21" x14ac:dyDescent="0.25">
      <c r="T3025" s="98"/>
      <c r="U3025" s="99"/>
    </row>
    <row r="3026" spans="20:21" x14ac:dyDescent="0.25">
      <c r="T3026" s="98"/>
      <c r="U3026" s="99"/>
    </row>
    <row r="3027" spans="20:21" x14ac:dyDescent="0.25">
      <c r="T3027" s="98"/>
      <c r="U3027" s="99"/>
    </row>
    <row r="3028" spans="20:21" x14ac:dyDescent="0.25">
      <c r="T3028" s="98"/>
      <c r="U3028" s="99"/>
    </row>
    <row r="3029" spans="20:21" x14ac:dyDescent="0.25">
      <c r="T3029" s="98"/>
      <c r="U3029" s="99"/>
    </row>
    <row r="3030" spans="20:21" x14ac:dyDescent="0.25">
      <c r="T3030" s="98"/>
      <c r="U3030" s="99"/>
    </row>
    <row r="3031" spans="20:21" x14ac:dyDescent="0.25">
      <c r="T3031" s="98"/>
      <c r="U3031" s="99"/>
    </row>
    <row r="3032" spans="20:21" x14ac:dyDescent="0.25">
      <c r="T3032" s="98"/>
      <c r="U3032" s="99"/>
    </row>
    <row r="3033" spans="20:21" x14ac:dyDescent="0.25">
      <c r="T3033" s="98"/>
      <c r="U3033" s="99"/>
    </row>
    <row r="3034" spans="20:21" x14ac:dyDescent="0.25">
      <c r="T3034" s="98"/>
      <c r="U3034" s="99"/>
    </row>
    <row r="3035" spans="20:21" x14ac:dyDescent="0.25">
      <c r="T3035" s="98"/>
      <c r="U3035" s="99"/>
    </row>
    <row r="3036" spans="20:21" x14ac:dyDescent="0.25">
      <c r="T3036" s="98"/>
      <c r="U3036" s="99"/>
    </row>
    <row r="3037" spans="20:21" x14ac:dyDescent="0.25">
      <c r="T3037" s="98"/>
      <c r="U3037" s="99"/>
    </row>
    <row r="3038" spans="20:21" x14ac:dyDescent="0.25">
      <c r="T3038" s="98"/>
      <c r="U3038" s="99"/>
    </row>
    <row r="3039" spans="20:21" x14ac:dyDescent="0.25">
      <c r="T3039" s="98"/>
      <c r="U3039" s="99"/>
    </row>
    <row r="3040" spans="20:21" x14ac:dyDescent="0.25">
      <c r="T3040" s="98"/>
      <c r="U3040" s="99"/>
    </row>
    <row r="3041" spans="20:21" x14ac:dyDescent="0.25">
      <c r="T3041" s="98"/>
      <c r="U3041" s="99"/>
    </row>
    <row r="3042" spans="20:21" x14ac:dyDescent="0.25">
      <c r="T3042" s="98"/>
      <c r="U3042" s="99"/>
    </row>
    <row r="3043" spans="20:21" x14ac:dyDescent="0.25">
      <c r="T3043" s="98"/>
      <c r="U3043" s="99"/>
    </row>
    <row r="3044" spans="20:21" x14ac:dyDescent="0.25">
      <c r="T3044" s="98"/>
      <c r="U3044" s="99"/>
    </row>
    <row r="3045" spans="20:21" x14ac:dyDescent="0.25">
      <c r="T3045" s="98"/>
      <c r="U3045" s="99"/>
    </row>
    <row r="3046" spans="20:21" x14ac:dyDescent="0.25">
      <c r="T3046" s="98"/>
      <c r="U3046" s="99"/>
    </row>
    <row r="3047" spans="20:21" x14ac:dyDescent="0.25">
      <c r="T3047" s="98"/>
      <c r="U3047" s="99"/>
    </row>
    <row r="3048" spans="20:21" x14ac:dyDescent="0.25">
      <c r="T3048" s="98"/>
      <c r="U3048" s="99"/>
    </row>
    <row r="3049" spans="20:21" x14ac:dyDescent="0.25">
      <c r="T3049" s="98"/>
      <c r="U3049" s="99"/>
    </row>
    <row r="3050" spans="20:21" x14ac:dyDescent="0.25">
      <c r="T3050" s="98"/>
      <c r="U3050" s="99"/>
    </row>
    <row r="3051" spans="20:21" x14ac:dyDescent="0.25">
      <c r="T3051" s="98"/>
      <c r="U3051" s="99"/>
    </row>
    <row r="3052" spans="20:21" x14ac:dyDescent="0.25">
      <c r="T3052" s="98"/>
      <c r="U3052" s="99"/>
    </row>
    <row r="3053" spans="20:21" x14ac:dyDescent="0.25">
      <c r="T3053" s="98"/>
      <c r="U3053" s="99"/>
    </row>
    <row r="3054" spans="20:21" x14ac:dyDescent="0.25">
      <c r="T3054" s="98"/>
      <c r="U3054" s="99"/>
    </row>
    <row r="3055" spans="20:21" x14ac:dyDescent="0.25">
      <c r="T3055" s="98"/>
      <c r="U3055" s="99"/>
    </row>
    <row r="3056" spans="20:21" x14ac:dyDescent="0.25">
      <c r="T3056" s="98"/>
      <c r="U3056" s="99"/>
    </row>
    <row r="3057" spans="20:21" x14ac:dyDescent="0.25">
      <c r="T3057" s="98"/>
      <c r="U3057" s="99"/>
    </row>
    <row r="3058" spans="20:21" x14ac:dyDescent="0.25">
      <c r="T3058" s="98"/>
      <c r="U3058" s="99"/>
    </row>
    <row r="3059" spans="20:21" x14ac:dyDescent="0.25">
      <c r="T3059" s="98"/>
      <c r="U3059" s="99"/>
    </row>
    <row r="3060" spans="20:21" x14ac:dyDescent="0.25">
      <c r="T3060" s="98"/>
      <c r="U3060" s="99"/>
    </row>
    <row r="3061" spans="20:21" x14ac:dyDescent="0.25">
      <c r="T3061" s="98"/>
      <c r="U3061" s="99"/>
    </row>
    <row r="3062" spans="20:21" x14ac:dyDescent="0.25">
      <c r="T3062" s="98"/>
      <c r="U3062" s="99"/>
    </row>
    <row r="3063" spans="20:21" x14ac:dyDescent="0.25">
      <c r="T3063" s="98"/>
      <c r="U3063" s="99"/>
    </row>
    <row r="3064" spans="20:21" x14ac:dyDescent="0.25">
      <c r="T3064" s="98"/>
      <c r="U3064" s="99"/>
    </row>
    <row r="3065" spans="20:21" x14ac:dyDescent="0.25">
      <c r="T3065" s="98"/>
      <c r="U3065" s="99"/>
    </row>
    <row r="3066" spans="20:21" x14ac:dyDescent="0.25">
      <c r="T3066" s="98"/>
      <c r="U3066" s="99"/>
    </row>
    <row r="3067" spans="20:21" x14ac:dyDescent="0.25">
      <c r="T3067" s="98"/>
      <c r="U3067" s="99"/>
    </row>
    <row r="3068" spans="20:21" x14ac:dyDescent="0.25">
      <c r="T3068" s="98"/>
      <c r="U3068" s="99"/>
    </row>
    <row r="3069" spans="20:21" x14ac:dyDescent="0.25">
      <c r="T3069" s="98"/>
      <c r="U3069" s="99"/>
    </row>
    <row r="3070" spans="20:21" x14ac:dyDescent="0.25">
      <c r="T3070" s="98"/>
      <c r="U3070" s="99"/>
    </row>
    <row r="3071" spans="20:21" x14ac:dyDescent="0.25">
      <c r="T3071" s="98"/>
      <c r="U3071" s="99"/>
    </row>
    <row r="3072" spans="20:21" x14ac:dyDescent="0.25">
      <c r="T3072" s="98"/>
      <c r="U3072" s="99"/>
    </row>
    <row r="3073" spans="20:21" x14ac:dyDescent="0.25">
      <c r="T3073" s="98"/>
      <c r="U3073" s="99"/>
    </row>
    <row r="3074" spans="20:21" x14ac:dyDescent="0.25">
      <c r="T3074" s="98"/>
      <c r="U3074" s="99"/>
    </row>
    <row r="3075" spans="20:21" x14ac:dyDescent="0.25">
      <c r="T3075" s="98"/>
      <c r="U3075" s="99"/>
    </row>
    <row r="3076" spans="20:21" x14ac:dyDescent="0.25">
      <c r="T3076" s="98"/>
      <c r="U3076" s="99"/>
    </row>
    <row r="3077" spans="20:21" x14ac:dyDescent="0.25">
      <c r="T3077" s="98"/>
      <c r="U3077" s="99"/>
    </row>
    <row r="3078" spans="20:21" x14ac:dyDescent="0.25">
      <c r="T3078" s="98"/>
      <c r="U3078" s="99"/>
    </row>
    <row r="3079" spans="20:21" x14ac:dyDescent="0.25">
      <c r="T3079" s="98"/>
      <c r="U3079" s="99"/>
    </row>
    <row r="3080" spans="20:21" x14ac:dyDescent="0.25">
      <c r="T3080" s="98"/>
      <c r="U3080" s="99"/>
    </row>
    <row r="3081" spans="20:21" x14ac:dyDescent="0.25">
      <c r="T3081" s="98"/>
      <c r="U3081" s="99"/>
    </row>
    <row r="3082" spans="20:21" x14ac:dyDescent="0.25">
      <c r="T3082" s="98"/>
      <c r="U3082" s="99"/>
    </row>
    <row r="3083" spans="20:21" x14ac:dyDescent="0.25">
      <c r="T3083" s="98"/>
      <c r="U3083" s="99"/>
    </row>
    <row r="3084" spans="20:21" x14ac:dyDescent="0.25">
      <c r="T3084" s="98"/>
      <c r="U3084" s="99"/>
    </row>
    <row r="3085" spans="20:21" x14ac:dyDescent="0.25">
      <c r="T3085" s="98"/>
      <c r="U3085" s="99"/>
    </row>
    <row r="3086" spans="20:21" x14ac:dyDescent="0.25">
      <c r="T3086" s="98"/>
      <c r="U3086" s="99"/>
    </row>
    <row r="3087" spans="20:21" x14ac:dyDescent="0.25">
      <c r="T3087" s="98"/>
      <c r="U3087" s="99"/>
    </row>
    <row r="3088" spans="20:21" x14ac:dyDescent="0.25">
      <c r="T3088" s="98"/>
      <c r="U3088" s="99"/>
    </row>
    <row r="3089" spans="20:21" x14ac:dyDescent="0.25">
      <c r="T3089" s="98"/>
      <c r="U3089" s="99"/>
    </row>
    <row r="3090" spans="20:21" x14ac:dyDescent="0.25">
      <c r="T3090" s="98"/>
      <c r="U3090" s="99"/>
    </row>
    <row r="3091" spans="20:21" x14ac:dyDescent="0.25">
      <c r="T3091" s="98"/>
      <c r="U3091" s="99"/>
    </row>
    <row r="3092" spans="20:21" x14ac:dyDescent="0.25">
      <c r="T3092" s="98"/>
      <c r="U3092" s="99"/>
    </row>
    <row r="3093" spans="20:21" x14ac:dyDescent="0.25">
      <c r="T3093" s="98"/>
      <c r="U3093" s="99"/>
    </row>
    <row r="3094" spans="20:21" x14ac:dyDescent="0.25">
      <c r="T3094" s="98"/>
      <c r="U3094" s="99"/>
    </row>
    <row r="3095" spans="20:21" x14ac:dyDescent="0.25">
      <c r="T3095" s="98"/>
      <c r="U3095" s="99"/>
    </row>
    <row r="3096" spans="20:21" x14ac:dyDescent="0.25">
      <c r="T3096" s="98"/>
      <c r="U3096" s="99"/>
    </row>
    <row r="3097" spans="20:21" x14ac:dyDescent="0.25">
      <c r="T3097" s="98"/>
      <c r="U3097" s="99"/>
    </row>
    <row r="3098" spans="20:21" x14ac:dyDescent="0.25">
      <c r="T3098" s="98"/>
      <c r="U3098" s="99"/>
    </row>
    <row r="3099" spans="20:21" x14ac:dyDescent="0.25">
      <c r="T3099" s="98"/>
      <c r="U3099" s="99"/>
    </row>
    <row r="3100" spans="20:21" x14ac:dyDescent="0.25">
      <c r="T3100" s="98"/>
      <c r="U3100" s="99"/>
    </row>
    <row r="3101" spans="20:21" x14ac:dyDescent="0.25">
      <c r="T3101" s="98"/>
      <c r="U3101" s="99"/>
    </row>
    <row r="3102" spans="20:21" x14ac:dyDescent="0.25">
      <c r="T3102" s="98"/>
      <c r="U3102" s="99"/>
    </row>
    <row r="3103" spans="20:21" x14ac:dyDescent="0.25">
      <c r="T3103" s="98"/>
      <c r="U3103" s="99"/>
    </row>
    <row r="3104" spans="20:21" x14ac:dyDescent="0.25">
      <c r="T3104" s="98"/>
      <c r="U3104" s="99"/>
    </row>
    <row r="3105" spans="20:21" x14ac:dyDescent="0.25">
      <c r="T3105" s="98"/>
      <c r="U3105" s="99"/>
    </row>
    <row r="3106" spans="20:21" x14ac:dyDescent="0.25">
      <c r="T3106" s="98"/>
      <c r="U3106" s="99"/>
    </row>
    <row r="3107" spans="20:21" x14ac:dyDescent="0.25">
      <c r="T3107" s="98"/>
      <c r="U3107" s="99"/>
    </row>
    <row r="3108" spans="20:21" x14ac:dyDescent="0.25">
      <c r="T3108" s="98"/>
      <c r="U3108" s="99"/>
    </row>
    <row r="3109" spans="20:21" x14ac:dyDescent="0.25">
      <c r="T3109" s="98"/>
      <c r="U3109" s="99"/>
    </row>
    <row r="3110" spans="20:21" x14ac:dyDescent="0.25">
      <c r="T3110" s="98"/>
      <c r="U3110" s="99"/>
    </row>
    <row r="3111" spans="20:21" x14ac:dyDescent="0.25">
      <c r="T3111" s="98"/>
      <c r="U3111" s="99"/>
    </row>
    <row r="3112" spans="20:21" x14ac:dyDescent="0.25">
      <c r="T3112" s="98"/>
      <c r="U3112" s="99"/>
    </row>
    <row r="3113" spans="20:21" x14ac:dyDescent="0.25">
      <c r="T3113" s="98"/>
      <c r="U3113" s="99"/>
    </row>
    <row r="3114" spans="20:21" x14ac:dyDescent="0.25">
      <c r="T3114" s="98"/>
      <c r="U3114" s="99"/>
    </row>
    <row r="3115" spans="20:21" x14ac:dyDescent="0.25">
      <c r="T3115" s="98"/>
      <c r="U3115" s="99"/>
    </row>
    <row r="3116" spans="20:21" x14ac:dyDescent="0.25">
      <c r="T3116" s="98"/>
      <c r="U3116" s="99"/>
    </row>
    <row r="3117" spans="20:21" x14ac:dyDescent="0.25">
      <c r="T3117" s="98"/>
      <c r="U3117" s="99"/>
    </row>
    <row r="3118" spans="20:21" x14ac:dyDescent="0.25">
      <c r="T3118" s="98"/>
      <c r="U3118" s="99"/>
    </row>
    <row r="3119" spans="20:21" x14ac:dyDescent="0.25">
      <c r="T3119" s="98"/>
      <c r="U3119" s="99"/>
    </row>
    <row r="3120" spans="20:21" x14ac:dyDescent="0.25">
      <c r="T3120" s="98"/>
      <c r="U3120" s="99"/>
    </row>
    <row r="3121" spans="20:21" x14ac:dyDescent="0.25">
      <c r="T3121" s="98"/>
      <c r="U3121" s="99"/>
    </row>
    <row r="3122" spans="20:21" x14ac:dyDescent="0.25">
      <c r="T3122" s="98"/>
      <c r="U3122" s="99"/>
    </row>
    <row r="3123" spans="20:21" x14ac:dyDescent="0.25">
      <c r="T3123" s="98"/>
      <c r="U3123" s="99"/>
    </row>
    <row r="3124" spans="20:21" x14ac:dyDescent="0.25">
      <c r="T3124" s="98"/>
      <c r="U3124" s="99"/>
    </row>
    <row r="3125" spans="20:21" x14ac:dyDescent="0.25">
      <c r="T3125" s="98"/>
      <c r="U3125" s="99"/>
    </row>
    <row r="3126" spans="20:21" x14ac:dyDescent="0.25">
      <c r="T3126" s="98"/>
      <c r="U3126" s="99"/>
    </row>
    <row r="3127" spans="20:21" x14ac:dyDescent="0.25">
      <c r="T3127" s="98"/>
      <c r="U3127" s="99"/>
    </row>
    <row r="3128" spans="20:21" x14ac:dyDescent="0.25">
      <c r="T3128" s="98"/>
      <c r="U3128" s="99"/>
    </row>
    <row r="3129" spans="20:21" x14ac:dyDescent="0.25">
      <c r="T3129" s="98"/>
      <c r="U3129" s="99"/>
    </row>
    <row r="3130" spans="20:21" x14ac:dyDescent="0.25">
      <c r="T3130" s="98"/>
      <c r="U3130" s="99"/>
    </row>
    <row r="3131" spans="20:21" x14ac:dyDescent="0.25">
      <c r="T3131" s="98"/>
      <c r="U3131" s="99"/>
    </row>
    <row r="3132" spans="20:21" x14ac:dyDescent="0.25">
      <c r="T3132" s="98"/>
      <c r="U3132" s="99"/>
    </row>
    <row r="3133" spans="20:21" x14ac:dyDescent="0.25">
      <c r="T3133" s="98"/>
      <c r="U3133" s="99"/>
    </row>
    <row r="3134" spans="20:21" x14ac:dyDescent="0.25">
      <c r="T3134" s="98"/>
      <c r="U3134" s="99"/>
    </row>
    <row r="3135" spans="20:21" x14ac:dyDescent="0.25">
      <c r="T3135" s="98"/>
      <c r="U3135" s="99"/>
    </row>
    <row r="3136" spans="20:21" x14ac:dyDescent="0.25">
      <c r="T3136" s="98"/>
      <c r="U3136" s="99"/>
    </row>
    <row r="3137" spans="20:21" x14ac:dyDescent="0.25">
      <c r="T3137" s="98"/>
      <c r="U3137" s="99"/>
    </row>
    <row r="3138" spans="20:21" x14ac:dyDescent="0.25">
      <c r="T3138" s="98"/>
      <c r="U3138" s="99"/>
    </row>
    <row r="3139" spans="20:21" x14ac:dyDescent="0.25">
      <c r="T3139" s="98"/>
      <c r="U3139" s="99"/>
    </row>
    <row r="3140" spans="20:21" x14ac:dyDescent="0.25">
      <c r="T3140" s="98"/>
      <c r="U3140" s="99"/>
    </row>
    <row r="3141" spans="20:21" x14ac:dyDescent="0.25">
      <c r="T3141" s="98"/>
      <c r="U3141" s="99"/>
    </row>
    <row r="3142" spans="20:21" x14ac:dyDescent="0.25">
      <c r="T3142" s="98"/>
      <c r="U3142" s="99"/>
    </row>
    <row r="3143" spans="20:21" x14ac:dyDescent="0.25">
      <c r="T3143" s="98"/>
      <c r="U3143" s="99"/>
    </row>
    <row r="3144" spans="20:21" x14ac:dyDescent="0.25">
      <c r="T3144" s="98"/>
      <c r="U3144" s="99"/>
    </row>
    <row r="3145" spans="20:21" x14ac:dyDescent="0.25">
      <c r="T3145" s="98"/>
      <c r="U3145" s="99"/>
    </row>
    <row r="3146" spans="20:21" x14ac:dyDescent="0.25">
      <c r="T3146" s="98"/>
      <c r="U3146" s="99"/>
    </row>
    <row r="3147" spans="20:21" x14ac:dyDescent="0.25">
      <c r="T3147" s="98"/>
      <c r="U3147" s="99"/>
    </row>
    <row r="3148" spans="20:21" x14ac:dyDescent="0.25">
      <c r="T3148" s="98"/>
      <c r="U3148" s="99"/>
    </row>
    <row r="3149" spans="20:21" x14ac:dyDescent="0.25">
      <c r="T3149" s="98"/>
      <c r="U3149" s="99"/>
    </row>
    <row r="3150" spans="20:21" x14ac:dyDescent="0.25">
      <c r="T3150" s="98"/>
      <c r="U3150" s="99"/>
    </row>
    <row r="3151" spans="20:21" x14ac:dyDescent="0.25">
      <c r="T3151" s="98"/>
      <c r="U3151" s="99"/>
    </row>
    <row r="3152" spans="20:21" x14ac:dyDescent="0.25">
      <c r="T3152" s="98"/>
      <c r="U3152" s="99"/>
    </row>
    <row r="3153" spans="20:21" x14ac:dyDescent="0.25">
      <c r="T3153" s="98"/>
      <c r="U3153" s="99"/>
    </row>
    <row r="3154" spans="20:21" x14ac:dyDescent="0.25">
      <c r="T3154" s="98"/>
      <c r="U3154" s="99"/>
    </row>
    <row r="3155" spans="20:21" x14ac:dyDescent="0.25">
      <c r="T3155" s="98"/>
      <c r="U3155" s="99"/>
    </row>
    <row r="3156" spans="20:21" x14ac:dyDescent="0.25">
      <c r="T3156" s="98"/>
      <c r="U3156" s="99"/>
    </row>
    <row r="3157" spans="20:21" x14ac:dyDescent="0.25">
      <c r="T3157" s="98"/>
      <c r="U3157" s="99"/>
    </row>
    <row r="3158" spans="20:21" x14ac:dyDescent="0.25">
      <c r="T3158" s="98"/>
      <c r="U3158" s="99"/>
    </row>
    <row r="3159" spans="20:21" x14ac:dyDescent="0.25">
      <c r="T3159" s="98"/>
      <c r="U3159" s="99"/>
    </row>
    <row r="3160" spans="20:21" x14ac:dyDescent="0.25">
      <c r="T3160" s="98"/>
      <c r="U3160" s="99"/>
    </row>
    <row r="3161" spans="20:21" x14ac:dyDescent="0.25">
      <c r="T3161" s="98"/>
      <c r="U3161" s="99"/>
    </row>
    <row r="3162" spans="20:21" x14ac:dyDescent="0.25">
      <c r="T3162" s="98"/>
      <c r="U3162" s="99"/>
    </row>
    <row r="3163" spans="20:21" x14ac:dyDescent="0.25">
      <c r="T3163" s="98"/>
      <c r="U3163" s="99"/>
    </row>
    <row r="3164" spans="20:21" x14ac:dyDescent="0.25">
      <c r="T3164" s="98"/>
      <c r="U3164" s="99"/>
    </row>
    <row r="3165" spans="20:21" x14ac:dyDescent="0.25">
      <c r="T3165" s="98"/>
      <c r="U3165" s="99"/>
    </row>
    <row r="3166" spans="20:21" x14ac:dyDescent="0.25">
      <c r="T3166" s="98"/>
      <c r="U3166" s="99"/>
    </row>
    <row r="3167" spans="20:21" x14ac:dyDescent="0.25">
      <c r="T3167" s="98"/>
      <c r="U3167" s="99"/>
    </row>
    <row r="3168" spans="20:21" x14ac:dyDescent="0.25">
      <c r="T3168" s="98"/>
      <c r="U3168" s="99"/>
    </row>
    <row r="3169" spans="20:21" x14ac:dyDescent="0.25">
      <c r="T3169" s="98"/>
      <c r="U3169" s="99"/>
    </row>
    <row r="3170" spans="20:21" x14ac:dyDescent="0.25">
      <c r="T3170" s="98"/>
      <c r="U3170" s="99"/>
    </row>
    <row r="3171" spans="20:21" x14ac:dyDescent="0.25">
      <c r="T3171" s="98"/>
      <c r="U3171" s="99"/>
    </row>
    <row r="3172" spans="20:21" x14ac:dyDescent="0.25">
      <c r="T3172" s="98"/>
      <c r="U3172" s="99"/>
    </row>
    <row r="3173" spans="20:21" x14ac:dyDescent="0.25">
      <c r="T3173" s="98"/>
      <c r="U3173" s="99"/>
    </row>
    <row r="3174" spans="20:21" x14ac:dyDescent="0.25">
      <c r="T3174" s="98"/>
      <c r="U3174" s="99"/>
    </row>
    <row r="3175" spans="20:21" x14ac:dyDescent="0.25">
      <c r="T3175" s="98"/>
      <c r="U3175" s="99"/>
    </row>
    <row r="3176" spans="20:21" x14ac:dyDescent="0.25">
      <c r="T3176" s="98"/>
      <c r="U3176" s="99"/>
    </row>
    <row r="3177" spans="20:21" x14ac:dyDescent="0.25">
      <c r="T3177" s="98"/>
      <c r="U3177" s="99"/>
    </row>
    <row r="3178" spans="20:21" x14ac:dyDescent="0.25">
      <c r="T3178" s="98"/>
      <c r="U3178" s="99"/>
    </row>
    <row r="3179" spans="20:21" x14ac:dyDescent="0.25">
      <c r="T3179" s="98"/>
      <c r="U3179" s="99"/>
    </row>
    <row r="3180" spans="20:21" x14ac:dyDescent="0.25">
      <c r="T3180" s="98"/>
      <c r="U3180" s="99"/>
    </row>
    <row r="3181" spans="20:21" x14ac:dyDescent="0.25">
      <c r="T3181" s="98"/>
      <c r="U3181" s="99"/>
    </row>
    <row r="3182" spans="20:21" x14ac:dyDescent="0.25">
      <c r="T3182" s="98"/>
      <c r="U3182" s="99"/>
    </row>
    <row r="3183" spans="20:21" x14ac:dyDescent="0.25">
      <c r="T3183" s="98"/>
      <c r="U3183" s="99"/>
    </row>
    <row r="3184" spans="20:21" x14ac:dyDescent="0.25">
      <c r="T3184" s="98"/>
      <c r="U3184" s="99"/>
    </row>
    <row r="3185" spans="20:21" x14ac:dyDescent="0.25">
      <c r="T3185" s="98"/>
      <c r="U3185" s="99"/>
    </row>
    <row r="3186" spans="20:21" x14ac:dyDescent="0.25">
      <c r="T3186" s="98"/>
      <c r="U3186" s="99"/>
    </row>
    <row r="3187" spans="20:21" x14ac:dyDescent="0.25">
      <c r="T3187" s="98"/>
      <c r="U3187" s="99"/>
    </row>
    <row r="3188" spans="20:21" x14ac:dyDescent="0.25">
      <c r="T3188" s="98"/>
      <c r="U3188" s="99"/>
    </row>
    <row r="3189" spans="20:21" x14ac:dyDescent="0.25">
      <c r="T3189" s="98"/>
      <c r="U3189" s="99"/>
    </row>
    <row r="3190" spans="20:21" x14ac:dyDescent="0.25">
      <c r="T3190" s="98"/>
      <c r="U3190" s="99"/>
    </row>
    <row r="3191" spans="20:21" x14ac:dyDescent="0.25">
      <c r="T3191" s="98"/>
      <c r="U3191" s="99"/>
    </row>
    <row r="3192" spans="20:21" x14ac:dyDescent="0.25">
      <c r="T3192" s="98"/>
      <c r="U3192" s="99"/>
    </row>
    <row r="3193" spans="20:21" x14ac:dyDescent="0.25">
      <c r="T3193" s="98"/>
      <c r="U3193" s="99"/>
    </row>
    <row r="3194" spans="20:21" x14ac:dyDescent="0.25">
      <c r="T3194" s="98"/>
      <c r="U3194" s="99"/>
    </row>
    <row r="3195" spans="20:21" x14ac:dyDescent="0.25">
      <c r="T3195" s="98"/>
      <c r="U3195" s="99"/>
    </row>
    <row r="3196" spans="20:21" x14ac:dyDescent="0.25">
      <c r="T3196" s="98"/>
      <c r="U3196" s="99"/>
    </row>
    <row r="3197" spans="20:21" x14ac:dyDescent="0.25">
      <c r="T3197" s="98"/>
      <c r="U3197" s="99"/>
    </row>
    <row r="3198" spans="20:21" x14ac:dyDescent="0.25">
      <c r="T3198" s="98"/>
      <c r="U3198" s="99"/>
    </row>
    <row r="3199" spans="20:21" x14ac:dyDescent="0.25">
      <c r="T3199" s="98"/>
      <c r="U3199" s="99"/>
    </row>
    <row r="3200" spans="20:21" x14ac:dyDescent="0.25">
      <c r="T3200" s="98"/>
      <c r="U3200" s="99"/>
    </row>
    <row r="3201" spans="20:21" x14ac:dyDescent="0.25">
      <c r="T3201" s="98"/>
      <c r="U3201" s="99"/>
    </row>
    <row r="3202" spans="20:21" x14ac:dyDescent="0.25">
      <c r="T3202" s="98"/>
      <c r="U3202" s="99"/>
    </row>
    <row r="3203" spans="20:21" x14ac:dyDescent="0.25">
      <c r="T3203" s="98"/>
      <c r="U3203" s="99"/>
    </row>
    <row r="3204" spans="20:21" x14ac:dyDescent="0.25">
      <c r="T3204" s="98"/>
      <c r="U3204" s="99"/>
    </row>
    <row r="3205" spans="20:21" x14ac:dyDescent="0.25">
      <c r="T3205" s="98"/>
      <c r="U3205" s="99"/>
    </row>
    <row r="3206" spans="20:21" x14ac:dyDescent="0.25">
      <c r="T3206" s="98"/>
      <c r="U3206" s="99"/>
    </row>
    <row r="3207" spans="20:21" x14ac:dyDescent="0.25">
      <c r="T3207" s="98"/>
      <c r="U3207" s="99"/>
    </row>
    <row r="3208" spans="20:21" x14ac:dyDescent="0.25">
      <c r="T3208" s="98"/>
      <c r="U3208" s="99"/>
    </row>
    <row r="3209" spans="20:21" x14ac:dyDescent="0.25">
      <c r="T3209" s="98"/>
      <c r="U3209" s="99"/>
    </row>
    <row r="3210" spans="20:21" x14ac:dyDescent="0.25">
      <c r="T3210" s="98"/>
      <c r="U3210" s="99"/>
    </row>
    <row r="3211" spans="20:21" x14ac:dyDescent="0.25">
      <c r="T3211" s="98"/>
      <c r="U3211" s="99"/>
    </row>
    <row r="3212" spans="20:21" x14ac:dyDescent="0.25">
      <c r="T3212" s="98"/>
      <c r="U3212" s="99"/>
    </row>
    <row r="3213" spans="20:21" x14ac:dyDescent="0.25">
      <c r="T3213" s="98"/>
      <c r="U3213" s="99"/>
    </row>
    <row r="3214" spans="20:21" x14ac:dyDescent="0.25">
      <c r="T3214" s="98"/>
      <c r="U3214" s="99"/>
    </row>
    <row r="3215" spans="20:21" x14ac:dyDescent="0.25">
      <c r="T3215" s="98"/>
      <c r="U3215" s="99"/>
    </row>
    <row r="3216" spans="20:21" x14ac:dyDescent="0.25">
      <c r="T3216" s="98"/>
      <c r="U3216" s="99"/>
    </row>
    <row r="3217" spans="20:21" x14ac:dyDescent="0.25">
      <c r="T3217" s="98"/>
      <c r="U3217" s="99"/>
    </row>
    <row r="3218" spans="20:21" x14ac:dyDescent="0.25">
      <c r="T3218" s="98"/>
      <c r="U3218" s="99"/>
    </row>
    <row r="3219" spans="20:21" x14ac:dyDescent="0.25">
      <c r="T3219" s="98"/>
      <c r="U3219" s="99"/>
    </row>
    <row r="3220" spans="20:21" x14ac:dyDescent="0.25">
      <c r="T3220" s="98"/>
      <c r="U3220" s="99"/>
    </row>
    <row r="3221" spans="20:21" x14ac:dyDescent="0.25">
      <c r="T3221" s="98"/>
      <c r="U3221" s="99"/>
    </row>
    <row r="3222" spans="20:21" x14ac:dyDescent="0.25">
      <c r="T3222" s="98"/>
      <c r="U3222" s="99"/>
    </row>
    <row r="3223" spans="20:21" x14ac:dyDescent="0.25">
      <c r="T3223" s="98"/>
      <c r="U3223" s="99"/>
    </row>
    <row r="3224" spans="20:21" x14ac:dyDescent="0.25">
      <c r="T3224" s="98"/>
      <c r="U3224" s="99"/>
    </row>
    <row r="3225" spans="20:21" x14ac:dyDescent="0.25">
      <c r="T3225" s="98"/>
      <c r="U3225" s="99"/>
    </row>
    <row r="3226" spans="20:21" x14ac:dyDescent="0.25">
      <c r="T3226" s="98"/>
      <c r="U3226" s="99"/>
    </row>
    <row r="3227" spans="20:21" x14ac:dyDescent="0.25">
      <c r="T3227" s="98"/>
      <c r="U3227" s="99"/>
    </row>
    <row r="3228" spans="20:21" x14ac:dyDescent="0.25">
      <c r="T3228" s="98"/>
      <c r="U3228" s="99"/>
    </row>
    <row r="3229" spans="20:21" x14ac:dyDescent="0.25">
      <c r="T3229" s="98"/>
      <c r="U3229" s="99"/>
    </row>
    <row r="3230" spans="20:21" x14ac:dyDescent="0.25">
      <c r="T3230" s="98"/>
      <c r="U3230" s="99"/>
    </row>
    <row r="3231" spans="20:21" x14ac:dyDescent="0.25">
      <c r="T3231" s="98"/>
      <c r="U3231" s="99"/>
    </row>
    <row r="3232" spans="20:21" x14ac:dyDescent="0.25">
      <c r="T3232" s="98"/>
      <c r="U3232" s="99"/>
    </row>
    <row r="3233" spans="20:21" x14ac:dyDescent="0.25">
      <c r="T3233" s="98"/>
      <c r="U3233" s="99"/>
    </row>
    <row r="3234" spans="20:21" x14ac:dyDescent="0.25">
      <c r="T3234" s="98"/>
      <c r="U3234" s="99"/>
    </row>
    <row r="3235" spans="20:21" x14ac:dyDescent="0.25">
      <c r="T3235" s="98"/>
      <c r="U3235" s="99"/>
    </row>
    <row r="3236" spans="20:21" x14ac:dyDescent="0.25">
      <c r="T3236" s="98"/>
      <c r="U3236" s="99"/>
    </row>
    <row r="3237" spans="20:21" x14ac:dyDescent="0.25">
      <c r="T3237" s="98"/>
      <c r="U3237" s="99"/>
    </row>
    <row r="3238" spans="20:21" x14ac:dyDescent="0.25">
      <c r="T3238" s="98"/>
      <c r="U3238" s="99"/>
    </row>
    <row r="3239" spans="20:21" x14ac:dyDescent="0.25">
      <c r="T3239" s="98"/>
      <c r="U3239" s="99"/>
    </row>
    <row r="3240" spans="20:21" x14ac:dyDescent="0.25">
      <c r="T3240" s="98"/>
      <c r="U3240" s="99"/>
    </row>
    <row r="3241" spans="20:21" x14ac:dyDescent="0.25">
      <c r="T3241" s="98"/>
      <c r="U3241" s="99"/>
    </row>
    <row r="3242" spans="20:21" x14ac:dyDescent="0.25">
      <c r="T3242" s="98"/>
      <c r="U3242" s="99"/>
    </row>
    <row r="3243" spans="20:21" x14ac:dyDescent="0.25">
      <c r="T3243" s="98"/>
      <c r="U3243" s="99"/>
    </row>
    <row r="3244" spans="20:21" x14ac:dyDescent="0.25">
      <c r="T3244" s="98"/>
      <c r="U3244" s="99"/>
    </row>
    <row r="3245" spans="20:21" x14ac:dyDescent="0.25">
      <c r="T3245" s="98"/>
      <c r="U3245" s="99"/>
    </row>
    <row r="3246" spans="20:21" x14ac:dyDescent="0.25">
      <c r="T3246" s="98"/>
      <c r="U3246" s="99"/>
    </row>
    <row r="3247" spans="20:21" x14ac:dyDescent="0.25">
      <c r="T3247" s="98"/>
      <c r="U3247" s="99"/>
    </row>
    <row r="3248" spans="20:21" x14ac:dyDescent="0.25">
      <c r="T3248" s="98"/>
      <c r="U3248" s="99"/>
    </row>
    <row r="3249" spans="20:21" x14ac:dyDescent="0.25">
      <c r="T3249" s="98"/>
      <c r="U3249" s="99"/>
    </row>
    <row r="3250" spans="20:21" x14ac:dyDescent="0.25">
      <c r="T3250" s="98"/>
      <c r="U3250" s="99"/>
    </row>
    <row r="3251" spans="20:21" x14ac:dyDescent="0.25">
      <c r="T3251" s="98"/>
      <c r="U3251" s="99"/>
    </row>
    <row r="3252" spans="20:21" x14ac:dyDescent="0.25">
      <c r="T3252" s="98"/>
      <c r="U3252" s="99"/>
    </row>
    <row r="3253" spans="20:21" x14ac:dyDescent="0.25">
      <c r="T3253" s="98"/>
      <c r="U3253" s="99"/>
    </row>
    <row r="3254" spans="20:21" x14ac:dyDescent="0.25">
      <c r="T3254" s="98"/>
      <c r="U3254" s="99"/>
    </row>
    <row r="3255" spans="20:21" x14ac:dyDescent="0.25">
      <c r="T3255" s="98"/>
      <c r="U3255" s="99"/>
    </row>
    <row r="3256" spans="20:21" x14ac:dyDescent="0.25">
      <c r="T3256" s="98"/>
      <c r="U3256" s="99"/>
    </row>
    <row r="3257" spans="20:21" x14ac:dyDescent="0.25">
      <c r="T3257" s="98"/>
      <c r="U3257" s="99"/>
    </row>
    <row r="3258" spans="20:21" x14ac:dyDescent="0.25">
      <c r="T3258" s="98"/>
      <c r="U3258" s="99"/>
    </row>
    <row r="3259" spans="20:21" x14ac:dyDescent="0.25">
      <c r="T3259" s="98"/>
      <c r="U3259" s="99"/>
    </row>
    <row r="3260" spans="20:21" x14ac:dyDescent="0.25">
      <c r="T3260" s="98"/>
      <c r="U3260" s="99"/>
    </row>
    <row r="3261" spans="20:21" x14ac:dyDescent="0.25">
      <c r="T3261" s="98"/>
      <c r="U3261" s="99"/>
    </row>
    <row r="3262" spans="20:21" x14ac:dyDescent="0.25">
      <c r="T3262" s="98"/>
      <c r="U3262" s="99"/>
    </row>
    <row r="3263" spans="20:21" x14ac:dyDescent="0.25">
      <c r="T3263" s="98"/>
      <c r="U3263" s="99"/>
    </row>
    <row r="3264" spans="20:21" x14ac:dyDescent="0.25">
      <c r="T3264" s="98"/>
      <c r="U3264" s="99"/>
    </row>
    <row r="3265" spans="20:21" x14ac:dyDescent="0.25">
      <c r="T3265" s="98"/>
      <c r="U3265" s="99"/>
    </row>
    <row r="3266" spans="20:21" x14ac:dyDescent="0.25">
      <c r="T3266" s="98"/>
      <c r="U3266" s="99"/>
    </row>
    <row r="3267" spans="20:21" x14ac:dyDescent="0.25">
      <c r="T3267" s="98"/>
      <c r="U3267" s="99"/>
    </row>
    <row r="3268" spans="20:21" x14ac:dyDescent="0.25">
      <c r="T3268" s="98"/>
      <c r="U3268" s="99"/>
    </row>
    <row r="3269" spans="20:21" x14ac:dyDescent="0.25">
      <c r="T3269" s="98"/>
      <c r="U3269" s="99"/>
    </row>
    <row r="3270" spans="20:21" x14ac:dyDescent="0.25">
      <c r="T3270" s="98"/>
      <c r="U3270" s="99"/>
    </row>
    <row r="3271" spans="20:21" x14ac:dyDescent="0.25">
      <c r="T3271" s="98"/>
      <c r="U3271" s="99"/>
    </row>
    <row r="3272" spans="20:21" x14ac:dyDescent="0.25">
      <c r="T3272" s="98"/>
      <c r="U3272" s="99"/>
    </row>
    <row r="3273" spans="20:21" x14ac:dyDescent="0.25">
      <c r="T3273" s="98"/>
      <c r="U3273" s="99"/>
    </row>
    <row r="3274" spans="20:21" x14ac:dyDescent="0.25">
      <c r="T3274" s="98"/>
      <c r="U3274" s="99"/>
    </row>
    <row r="3275" spans="20:21" x14ac:dyDescent="0.25">
      <c r="T3275" s="98"/>
      <c r="U3275" s="99"/>
    </row>
    <row r="3276" spans="20:21" x14ac:dyDescent="0.25">
      <c r="T3276" s="98"/>
      <c r="U3276" s="99"/>
    </row>
    <row r="3277" spans="20:21" x14ac:dyDescent="0.25">
      <c r="T3277" s="98"/>
      <c r="U3277" s="99"/>
    </row>
    <row r="3278" spans="20:21" x14ac:dyDescent="0.25">
      <c r="T3278" s="98"/>
      <c r="U3278" s="99"/>
    </row>
    <row r="3279" spans="20:21" x14ac:dyDescent="0.25">
      <c r="T3279" s="98"/>
      <c r="U3279" s="99"/>
    </row>
    <row r="3280" spans="20:21" x14ac:dyDescent="0.25">
      <c r="T3280" s="98"/>
      <c r="U3280" s="99"/>
    </row>
    <row r="3281" spans="20:21" x14ac:dyDescent="0.25">
      <c r="T3281" s="98"/>
      <c r="U3281" s="99"/>
    </row>
    <row r="3282" spans="20:21" x14ac:dyDescent="0.25">
      <c r="T3282" s="98"/>
      <c r="U3282" s="99"/>
    </row>
    <row r="3283" spans="20:21" x14ac:dyDescent="0.25">
      <c r="T3283" s="98"/>
      <c r="U3283" s="99"/>
    </row>
    <row r="3284" spans="20:21" x14ac:dyDescent="0.25">
      <c r="T3284" s="98"/>
      <c r="U3284" s="99"/>
    </row>
    <row r="3285" spans="20:21" x14ac:dyDescent="0.25">
      <c r="T3285" s="98"/>
      <c r="U3285" s="99"/>
    </row>
    <row r="3286" spans="20:21" x14ac:dyDescent="0.25">
      <c r="T3286" s="98"/>
      <c r="U3286" s="99"/>
    </row>
    <row r="3287" spans="20:21" x14ac:dyDescent="0.25">
      <c r="T3287" s="98"/>
      <c r="U3287" s="99"/>
    </row>
    <row r="3288" spans="20:21" x14ac:dyDescent="0.25">
      <c r="T3288" s="98"/>
      <c r="U3288" s="99"/>
    </row>
    <row r="3289" spans="20:21" x14ac:dyDescent="0.25">
      <c r="T3289" s="98"/>
      <c r="U3289" s="99"/>
    </row>
    <row r="3290" spans="20:21" x14ac:dyDescent="0.25">
      <c r="T3290" s="98"/>
      <c r="U3290" s="99"/>
    </row>
    <row r="3291" spans="20:21" x14ac:dyDescent="0.25">
      <c r="T3291" s="98"/>
      <c r="U3291" s="99"/>
    </row>
    <row r="3292" spans="20:21" x14ac:dyDescent="0.25">
      <c r="T3292" s="98"/>
      <c r="U3292" s="99"/>
    </row>
    <row r="3293" spans="20:21" x14ac:dyDescent="0.25">
      <c r="T3293" s="98"/>
      <c r="U3293" s="99"/>
    </row>
    <row r="3294" spans="20:21" x14ac:dyDescent="0.25">
      <c r="T3294" s="98"/>
      <c r="U3294" s="99"/>
    </row>
    <row r="3295" spans="20:21" x14ac:dyDescent="0.25">
      <c r="T3295" s="98"/>
      <c r="U3295" s="99"/>
    </row>
    <row r="3296" spans="20:21" x14ac:dyDescent="0.25">
      <c r="T3296" s="98"/>
      <c r="U3296" s="99"/>
    </row>
    <row r="3297" spans="20:21" x14ac:dyDescent="0.25">
      <c r="T3297" s="98"/>
      <c r="U3297" s="99"/>
    </row>
    <row r="3298" spans="20:21" x14ac:dyDescent="0.25">
      <c r="T3298" s="98"/>
      <c r="U3298" s="99"/>
    </row>
    <row r="3299" spans="20:21" x14ac:dyDescent="0.25">
      <c r="T3299" s="98"/>
      <c r="U3299" s="99"/>
    </row>
    <row r="3300" spans="20:21" x14ac:dyDescent="0.25">
      <c r="T3300" s="98"/>
      <c r="U3300" s="99"/>
    </row>
    <row r="3301" spans="20:21" x14ac:dyDescent="0.25">
      <c r="T3301" s="98"/>
      <c r="U3301" s="99"/>
    </row>
    <row r="3302" spans="20:21" x14ac:dyDescent="0.25">
      <c r="T3302" s="98"/>
      <c r="U3302" s="99"/>
    </row>
    <row r="3303" spans="20:21" x14ac:dyDescent="0.25">
      <c r="T3303" s="98"/>
      <c r="U3303" s="99"/>
    </row>
    <row r="3304" spans="20:21" x14ac:dyDescent="0.25">
      <c r="T3304" s="98"/>
      <c r="U3304" s="99"/>
    </row>
    <row r="3305" spans="20:21" x14ac:dyDescent="0.25">
      <c r="T3305" s="98"/>
      <c r="U3305" s="99"/>
    </row>
    <row r="3306" spans="20:21" x14ac:dyDescent="0.25">
      <c r="T3306" s="98"/>
      <c r="U3306" s="99"/>
    </row>
    <row r="3307" spans="20:21" x14ac:dyDescent="0.25">
      <c r="T3307" s="98"/>
      <c r="U3307" s="99"/>
    </row>
    <row r="3308" spans="20:21" x14ac:dyDescent="0.25">
      <c r="T3308" s="98"/>
      <c r="U3308" s="99"/>
    </row>
    <row r="3309" spans="20:21" x14ac:dyDescent="0.25">
      <c r="T3309" s="98"/>
      <c r="U3309" s="99"/>
    </row>
    <row r="3310" spans="20:21" x14ac:dyDescent="0.25">
      <c r="T3310" s="98"/>
      <c r="U3310" s="99"/>
    </row>
    <row r="3311" spans="20:21" x14ac:dyDescent="0.25">
      <c r="T3311" s="98"/>
      <c r="U3311" s="99"/>
    </row>
    <row r="3312" spans="20:21" x14ac:dyDescent="0.25">
      <c r="T3312" s="98"/>
      <c r="U3312" s="99"/>
    </row>
    <row r="3313" spans="20:21" x14ac:dyDescent="0.25">
      <c r="T3313" s="98"/>
      <c r="U3313" s="99"/>
    </row>
    <row r="3314" spans="20:21" x14ac:dyDescent="0.25">
      <c r="T3314" s="98"/>
      <c r="U3314" s="99"/>
    </row>
    <row r="3315" spans="20:21" x14ac:dyDescent="0.25">
      <c r="T3315" s="98"/>
      <c r="U3315" s="99"/>
    </row>
    <row r="3316" spans="20:21" x14ac:dyDescent="0.25">
      <c r="T3316" s="98"/>
      <c r="U3316" s="99"/>
    </row>
    <row r="3317" spans="20:21" x14ac:dyDescent="0.25">
      <c r="T3317" s="98"/>
      <c r="U3317" s="99"/>
    </row>
    <row r="3318" spans="20:21" x14ac:dyDescent="0.25">
      <c r="T3318" s="98"/>
      <c r="U3318" s="99"/>
    </row>
    <row r="3319" spans="20:21" x14ac:dyDescent="0.25">
      <c r="T3319" s="98"/>
      <c r="U3319" s="99"/>
    </row>
    <row r="3320" spans="20:21" x14ac:dyDescent="0.25">
      <c r="T3320" s="98"/>
      <c r="U3320" s="99"/>
    </row>
    <row r="3321" spans="20:21" x14ac:dyDescent="0.25">
      <c r="T3321" s="98"/>
      <c r="U3321" s="99"/>
    </row>
    <row r="3322" spans="20:21" x14ac:dyDescent="0.25">
      <c r="T3322" s="98"/>
      <c r="U3322" s="99"/>
    </row>
    <row r="3323" spans="20:21" x14ac:dyDescent="0.25">
      <c r="T3323" s="98"/>
      <c r="U3323" s="99"/>
    </row>
    <row r="3324" spans="20:21" x14ac:dyDescent="0.25">
      <c r="T3324" s="98"/>
      <c r="U3324" s="99"/>
    </row>
    <row r="3325" spans="20:21" x14ac:dyDescent="0.25">
      <c r="T3325" s="98"/>
      <c r="U3325" s="99"/>
    </row>
    <row r="3326" spans="20:21" x14ac:dyDescent="0.25">
      <c r="T3326" s="98"/>
      <c r="U3326" s="99"/>
    </row>
    <row r="3327" spans="20:21" x14ac:dyDescent="0.25">
      <c r="T3327" s="98"/>
      <c r="U3327" s="99"/>
    </row>
    <row r="3328" spans="20:21" x14ac:dyDescent="0.25">
      <c r="T3328" s="98"/>
      <c r="U3328" s="99"/>
    </row>
    <row r="3329" spans="20:21" x14ac:dyDescent="0.25">
      <c r="T3329" s="98"/>
      <c r="U3329" s="99"/>
    </row>
    <row r="3330" spans="20:21" x14ac:dyDescent="0.25">
      <c r="T3330" s="98"/>
      <c r="U3330" s="99"/>
    </row>
    <row r="3331" spans="20:21" x14ac:dyDescent="0.25">
      <c r="T3331" s="98"/>
      <c r="U3331" s="99"/>
    </row>
    <row r="3332" spans="20:21" x14ac:dyDescent="0.25">
      <c r="T3332" s="98"/>
      <c r="U3332" s="99"/>
    </row>
    <row r="3333" spans="20:21" x14ac:dyDescent="0.25">
      <c r="T3333" s="98"/>
      <c r="U3333" s="99"/>
    </row>
    <row r="3334" spans="20:21" x14ac:dyDescent="0.25">
      <c r="T3334" s="98"/>
      <c r="U3334" s="99"/>
    </row>
    <row r="3335" spans="20:21" x14ac:dyDescent="0.25">
      <c r="T3335" s="98"/>
      <c r="U3335" s="99"/>
    </row>
    <row r="3336" spans="20:21" x14ac:dyDescent="0.25">
      <c r="T3336" s="98"/>
      <c r="U3336" s="99"/>
    </row>
    <row r="3337" spans="20:21" x14ac:dyDescent="0.25">
      <c r="T3337" s="98"/>
      <c r="U3337" s="99"/>
    </row>
    <row r="3338" spans="20:21" x14ac:dyDescent="0.25">
      <c r="T3338" s="98"/>
      <c r="U3338" s="99"/>
    </row>
    <row r="3339" spans="20:21" x14ac:dyDescent="0.25">
      <c r="T3339" s="98"/>
      <c r="U3339" s="99"/>
    </row>
    <row r="3340" spans="20:21" x14ac:dyDescent="0.25">
      <c r="T3340" s="98"/>
      <c r="U3340" s="99"/>
    </row>
    <row r="3341" spans="20:21" x14ac:dyDescent="0.25">
      <c r="T3341" s="98"/>
      <c r="U3341" s="99"/>
    </row>
    <row r="3342" spans="20:21" x14ac:dyDescent="0.25">
      <c r="T3342" s="98"/>
      <c r="U3342" s="99"/>
    </row>
    <row r="3343" spans="20:21" x14ac:dyDescent="0.25">
      <c r="T3343" s="98"/>
      <c r="U3343" s="99"/>
    </row>
    <row r="3344" spans="20:21" x14ac:dyDescent="0.25">
      <c r="T3344" s="98"/>
      <c r="U3344" s="99"/>
    </row>
    <row r="3345" spans="20:21" x14ac:dyDescent="0.25">
      <c r="T3345" s="98"/>
      <c r="U3345" s="99"/>
    </row>
    <row r="3346" spans="20:21" x14ac:dyDescent="0.25">
      <c r="T3346" s="98"/>
      <c r="U3346" s="99"/>
    </row>
    <row r="3347" spans="20:21" x14ac:dyDescent="0.25">
      <c r="T3347" s="98"/>
      <c r="U3347" s="99"/>
    </row>
    <row r="3348" spans="20:21" x14ac:dyDescent="0.25">
      <c r="T3348" s="98"/>
      <c r="U3348" s="99"/>
    </row>
    <row r="3349" spans="20:21" x14ac:dyDescent="0.25">
      <c r="T3349" s="98"/>
      <c r="U3349" s="99"/>
    </row>
    <row r="3350" spans="20:21" x14ac:dyDescent="0.25">
      <c r="T3350" s="98"/>
      <c r="U3350" s="99"/>
    </row>
    <row r="3351" spans="20:21" x14ac:dyDescent="0.25">
      <c r="T3351" s="98"/>
      <c r="U3351" s="99"/>
    </row>
    <row r="3352" spans="20:21" x14ac:dyDescent="0.25">
      <c r="T3352" s="98"/>
      <c r="U3352" s="99"/>
    </row>
    <row r="3353" spans="20:21" x14ac:dyDescent="0.25">
      <c r="T3353" s="98"/>
      <c r="U3353" s="99"/>
    </row>
    <row r="3354" spans="20:21" x14ac:dyDescent="0.25">
      <c r="T3354" s="98"/>
      <c r="U3354" s="99"/>
    </row>
    <row r="3355" spans="20:21" x14ac:dyDescent="0.25">
      <c r="T3355" s="98"/>
      <c r="U3355" s="99"/>
    </row>
    <row r="3356" spans="20:21" x14ac:dyDescent="0.25">
      <c r="T3356" s="98"/>
      <c r="U3356" s="99"/>
    </row>
    <row r="3357" spans="20:21" x14ac:dyDescent="0.25">
      <c r="T3357" s="98"/>
      <c r="U3357" s="99"/>
    </row>
    <row r="3358" spans="20:21" x14ac:dyDescent="0.25">
      <c r="T3358" s="98"/>
      <c r="U3358" s="99"/>
    </row>
    <row r="3359" spans="20:21" x14ac:dyDescent="0.25">
      <c r="T3359" s="98"/>
      <c r="U3359" s="99"/>
    </row>
    <row r="3360" spans="20:21" x14ac:dyDescent="0.25">
      <c r="T3360" s="98"/>
      <c r="U3360" s="99"/>
    </row>
    <row r="3361" spans="20:21" x14ac:dyDescent="0.25">
      <c r="T3361" s="98"/>
      <c r="U3361" s="99"/>
    </row>
    <row r="3362" spans="20:21" x14ac:dyDescent="0.25">
      <c r="T3362" s="98"/>
      <c r="U3362" s="99"/>
    </row>
    <row r="3363" spans="20:21" x14ac:dyDescent="0.25">
      <c r="T3363" s="98"/>
      <c r="U3363" s="99"/>
    </row>
    <row r="3364" spans="20:21" x14ac:dyDescent="0.25">
      <c r="T3364" s="98"/>
      <c r="U3364" s="99"/>
    </row>
    <row r="3365" spans="20:21" x14ac:dyDescent="0.25">
      <c r="T3365" s="98"/>
      <c r="U3365" s="99"/>
    </row>
    <row r="3366" spans="20:21" x14ac:dyDescent="0.25">
      <c r="T3366" s="98"/>
      <c r="U3366" s="99"/>
    </row>
    <row r="3367" spans="20:21" x14ac:dyDescent="0.25">
      <c r="T3367" s="98"/>
      <c r="U3367" s="99"/>
    </row>
    <row r="3368" spans="20:21" x14ac:dyDescent="0.25">
      <c r="T3368" s="98"/>
      <c r="U3368" s="99"/>
    </row>
    <row r="3369" spans="20:21" x14ac:dyDescent="0.25">
      <c r="T3369" s="98"/>
      <c r="U3369" s="99"/>
    </row>
    <row r="3370" spans="20:21" x14ac:dyDescent="0.25">
      <c r="T3370" s="98"/>
      <c r="U3370" s="99"/>
    </row>
    <row r="3371" spans="20:21" x14ac:dyDescent="0.25">
      <c r="T3371" s="98"/>
      <c r="U3371" s="99"/>
    </row>
    <row r="3372" spans="20:21" x14ac:dyDescent="0.25">
      <c r="T3372" s="98"/>
      <c r="U3372" s="99"/>
    </row>
    <row r="3373" spans="20:21" x14ac:dyDescent="0.25">
      <c r="T3373" s="98"/>
      <c r="U3373" s="99"/>
    </row>
    <row r="3374" spans="20:21" x14ac:dyDescent="0.25">
      <c r="T3374" s="98"/>
      <c r="U3374" s="99"/>
    </row>
    <row r="3375" spans="20:21" x14ac:dyDescent="0.25">
      <c r="T3375" s="98"/>
      <c r="U3375" s="99"/>
    </row>
    <row r="3376" spans="20:21" x14ac:dyDescent="0.25">
      <c r="T3376" s="98"/>
      <c r="U3376" s="99"/>
    </row>
    <row r="3377" spans="20:21" x14ac:dyDescent="0.25">
      <c r="T3377" s="98"/>
      <c r="U3377" s="99"/>
    </row>
    <row r="3378" spans="20:21" x14ac:dyDescent="0.25">
      <c r="T3378" s="98"/>
      <c r="U3378" s="99"/>
    </row>
    <row r="3379" spans="20:21" x14ac:dyDescent="0.25">
      <c r="T3379" s="98"/>
      <c r="U3379" s="99"/>
    </row>
    <row r="3380" spans="20:21" x14ac:dyDescent="0.25">
      <c r="T3380" s="98"/>
      <c r="U3380" s="99"/>
    </row>
    <row r="3381" spans="20:21" x14ac:dyDescent="0.25">
      <c r="T3381" s="98"/>
      <c r="U3381" s="99"/>
    </row>
    <row r="3382" spans="20:21" x14ac:dyDescent="0.25">
      <c r="T3382" s="98"/>
      <c r="U3382" s="99"/>
    </row>
    <row r="3383" spans="20:21" x14ac:dyDescent="0.25">
      <c r="T3383" s="98"/>
      <c r="U3383" s="99"/>
    </row>
    <row r="3384" spans="20:21" x14ac:dyDescent="0.25">
      <c r="T3384" s="98"/>
      <c r="U3384" s="99"/>
    </row>
    <row r="3385" spans="20:21" x14ac:dyDescent="0.25">
      <c r="T3385" s="98"/>
      <c r="U3385" s="99"/>
    </row>
    <row r="3386" spans="20:21" x14ac:dyDescent="0.25">
      <c r="T3386" s="98"/>
      <c r="U3386" s="99"/>
    </row>
    <row r="3387" spans="20:21" x14ac:dyDescent="0.25">
      <c r="T3387" s="98"/>
      <c r="U3387" s="99"/>
    </row>
    <row r="3388" spans="20:21" x14ac:dyDescent="0.25">
      <c r="T3388" s="98"/>
      <c r="U3388" s="99"/>
    </row>
    <row r="3389" spans="20:21" x14ac:dyDescent="0.25">
      <c r="T3389" s="98"/>
      <c r="U3389" s="99"/>
    </row>
    <row r="3390" spans="20:21" x14ac:dyDescent="0.25">
      <c r="T3390" s="98"/>
      <c r="U3390" s="99"/>
    </row>
    <row r="3391" spans="20:21" x14ac:dyDescent="0.25">
      <c r="T3391" s="98"/>
      <c r="U3391" s="99"/>
    </row>
    <row r="3392" spans="20:21" x14ac:dyDescent="0.25">
      <c r="T3392" s="98"/>
      <c r="U3392" s="99"/>
    </row>
    <row r="3393" spans="20:21" x14ac:dyDescent="0.25">
      <c r="T3393" s="98"/>
      <c r="U3393" s="99"/>
    </row>
    <row r="3394" spans="20:21" x14ac:dyDescent="0.25">
      <c r="T3394" s="98"/>
      <c r="U3394" s="99"/>
    </row>
    <row r="3395" spans="20:21" x14ac:dyDescent="0.25">
      <c r="T3395" s="98"/>
      <c r="U3395" s="99"/>
    </row>
    <row r="3396" spans="20:21" x14ac:dyDescent="0.25">
      <c r="T3396" s="98"/>
      <c r="U3396" s="99"/>
    </row>
    <row r="3397" spans="20:21" x14ac:dyDescent="0.25">
      <c r="T3397" s="98"/>
      <c r="U3397" s="99"/>
    </row>
    <row r="3398" spans="20:21" x14ac:dyDescent="0.25">
      <c r="T3398" s="98"/>
      <c r="U3398" s="99"/>
    </row>
    <row r="3399" spans="20:21" x14ac:dyDescent="0.25">
      <c r="T3399" s="98"/>
      <c r="U3399" s="99"/>
    </row>
    <row r="3400" spans="20:21" x14ac:dyDescent="0.25">
      <c r="T3400" s="98"/>
      <c r="U3400" s="99"/>
    </row>
    <row r="3401" spans="20:21" x14ac:dyDescent="0.25">
      <c r="T3401" s="98"/>
      <c r="U3401" s="99"/>
    </row>
    <row r="3402" spans="20:21" x14ac:dyDescent="0.25">
      <c r="T3402" s="98"/>
      <c r="U3402" s="99"/>
    </row>
    <row r="3403" spans="20:21" x14ac:dyDescent="0.25">
      <c r="T3403" s="98"/>
      <c r="U3403" s="99"/>
    </row>
    <row r="3404" spans="20:21" x14ac:dyDescent="0.25">
      <c r="T3404" s="98"/>
      <c r="U3404" s="99"/>
    </row>
    <row r="3405" spans="20:21" x14ac:dyDescent="0.25">
      <c r="T3405" s="98"/>
      <c r="U3405" s="99"/>
    </row>
    <row r="3406" spans="20:21" x14ac:dyDescent="0.25">
      <c r="T3406" s="98"/>
      <c r="U3406" s="99"/>
    </row>
    <row r="3407" spans="20:21" x14ac:dyDescent="0.25">
      <c r="T3407" s="98"/>
      <c r="U3407" s="99"/>
    </row>
    <row r="3408" spans="20:21" x14ac:dyDescent="0.25">
      <c r="T3408" s="98"/>
      <c r="U3408" s="99"/>
    </row>
    <row r="3409" spans="20:21" x14ac:dyDescent="0.25">
      <c r="T3409" s="98"/>
      <c r="U3409" s="99"/>
    </row>
    <row r="3410" spans="20:21" x14ac:dyDescent="0.25">
      <c r="T3410" s="98"/>
      <c r="U3410" s="99"/>
    </row>
    <row r="3411" spans="20:21" x14ac:dyDescent="0.25">
      <c r="T3411" s="98"/>
      <c r="U3411" s="99"/>
    </row>
    <row r="3412" spans="20:21" x14ac:dyDescent="0.25">
      <c r="T3412" s="98"/>
      <c r="U3412" s="99"/>
    </row>
    <row r="3413" spans="20:21" x14ac:dyDescent="0.25">
      <c r="T3413" s="98"/>
      <c r="U3413" s="99"/>
    </row>
    <row r="3414" spans="20:21" x14ac:dyDescent="0.25">
      <c r="T3414" s="98"/>
      <c r="U3414" s="99"/>
    </row>
    <row r="3415" spans="20:21" x14ac:dyDescent="0.25">
      <c r="T3415" s="98"/>
      <c r="U3415" s="99"/>
    </row>
    <row r="3416" spans="20:21" x14ac:dyDescent="0.25">
      <c r="T3416" s="98"/>
      <c r="U3416" s="99"/>
    </row>
    <row r="3417" spans="20:21" x14ac:dyDescent="0.25">
      <c r="T3417" s="98"/>
      <c r="U3417" s="99"/>
    </row>
    <row r="3418" spans="20:21" x14ac:dyDescent="0.25">
      <c r="T3418" s="98"/>
      <c r="U3418" s="99"/>
    </row>
    <row r="3419" spans="20:21" x14ac:dyDescent="0.25">
      <c r="T3419" s="98"/>
      <c r="U3419" s="99"/>
    </row>
    <row r="3420" spans="20:21" x14ac:dyDescent="0.25">
      <c r="T3420" s="98"/>
      <c r="U3420" s="99"/>
    </row>
    <row r="3421" spans="20:21" x14ac:dyDescent="0.25">
      <c r="T3421" s="98"/>
      <c r="U3421" s="99"/>
    </row>
    <row r="3422" spans="20:21" x14ac:dyDescent="0.25">
      <c r="T3422" s="98"/>
      <c r="U3422" s="99"/>
    </row>
    <row r="3423" spans="20:21" x14ac:dyDescent="0.25">
      <c r="T3423" s="98"/>
      <c r="U3423" s="99"/>
    </row>
    <row r="3424" spans="20:21" x14ac:dyDescent="0.25">
      <c r="T3424" s="98"/>
      <c r="U3424" s="99"/>
    </row>
    <row r="3425" spans="20:21" x14ac:dyDescent="0.25">
      <c r="T3425" s="98"/>
      <c r="U3425" s="99"/>
    </row>
    <row r="3426" spans="20:21" x14ac:dyDescent="0.25">
      <c r="T3426" s="98"/>
      <c r="U3426" s="99"/>
    </row>
    <row r="3427" spans="20:21" x14ac:dyDescent="0.25">
      <c r="T3427" s="98"/>
      <c r="U3427" s="99"/>
    </row>
    <row r="3428" spans="20:21" x14ac:dyDescent="0.25">
      <c r="T3428" s="98"/>
      <c r="U3428" s="99"/>
    </row>
    <row r="3429" spans="20:21" x14ac:dyDescent="0.25">
      <c r="T3429" s="98"/>
      <c r="U3429" s="99"/>
    </row>
    <row r="3430" spans="20:21" x14ac:dyDescent="0.25">
      <c r="T3430" s="98"/>
      <c r="U3430" s="99"/>
    </row>
    <row r="3431" spans="20:21" x14ac:dyDescent="0.25">
      <c r="T3431" s="98"/>
      <c r="U3431" s="99"/>
    </row>
    <row r="3432" spans="20:21" x14ac:dyDescent="0.25">
      <c r="T3432" s="98"/>
      <c r="U3432" s="99"/>
    </row>
    <row r="3433" spans="20:21" x14ac:dyDescent="0.25">
      <c r="T3433" s="98"/>
      <c r="U3433" s="99"/>
    </row>
    <row r="3434" spans="20:21" x14ac:dyDescent="0.25">
      <c r="T3434" s="98"/>
      <c r="U3434" s="99"/>
    </row>
    <row r="3435" spans="20:21" x14ac:dyDescent="0.25">
      <c r="T3435" s="98"/>
      <c r="U3435" s="99"/>
    </row>
    <row r="3436" spans="20:21" x14ac:dyDescent="0.25">
      <c r="T3436" s="98"/>
      <c r="U3436" s="99"/>
    </row>
    <row r="3437" spans="20:21" x14ac:dyDescent="0.25">
      <c r="T3437" s="98"/>
      <c r="U3437" s="99"/>
    </row>
    <row r="3438" spans="20:21" x14ac:dyDescent="0.25">
      <c r="T3438" s="98"/>
      <c r="U3438" s="99"/>
    </row>
    <row r="3439" spans="20:21" x14ac:dyDescent="0.25">
      <c r="T3439" s="98"/>
      <c r="U3439" s="99"/>
    </row>
    <row r="3440" spans="20:21" x14ac:dyDescent="0.25">
      <c r="T3440" s="98"/>
      <c r="U3440" s="99"/>
    </row>
    <row r="3441" spans="20:21" x14ac:dyDescent="0.25">
      <c r="T3441" s="98"/>
      <c r="U3441" s="99"/>
    </row>
    <row r="3442" spans="20:21" x14ac:dyDescent="0.25">
      <c r="T3442" s="98"/>
      <c r="U3442" s="99"/>
    </row>
    <row r="3443" spans="20:21" x14ac:dyDescent="0.25">
      <c r="T3443" s="98"/>
      <c r="U3443" s="99"/>
    </row>
    <row r="3444" spans="20:21" x14ac:dyDescent="0.25">
      <c r="T3444" s="98"/>
      <c r="U3444" s="99"/>
    </row>
    <row r="3445" spans="20:21" x14ac:dyDescent="0.25">
      <c r="T3445" s="98"/>
      <c r="U3445" s="99"/>
    </row>
    <row r="3446" spans="20:21" x14ac:dyDescent="0.25">
      <c r="T3446" s="98"/>
      <c r="U3446" s="99"/>
    </row>
    <row r="3447" spans="20:21" x14ac:dyDescent="0.25">
      <c r="T3447" s="98"/>
      <c r="U3447" s="99"/>
    </row>
    <row r="3448" spans="20:21" x14ac:dyDescent="0.25">
      <c r="T3448" s="98"/>
      <c r="U3448" s="99"/>
    </row>
    <row r="3449" spans="20:21" x14ac:dyDescent="0.25">
      <c r="T3449" s="98"/>
      <c r="U3449" s="99"/>
    </row>
    <row r="3450" spans="20:21" x14ac:dyDescent="0.25">
      <c r="T3450" s="98"/>
      <c r="U3450" s="99"/>
    </row>
    <row r="3451" spans="20:21" x14ac:dyDescent="0.25">
      <c r="T3451" s="98"/>
      <c r="U3451" s="99"/>
    </row>
    <row r="3452" spans="20:21" x14ac:dyDescent="0.25">
      <c r="T3452" s="98"/>
      <c r="U3452" s="99"/>
    </row>
    <row r="3453" spans="20:21" x14ac:dyDescent="0.25">
      <c r="T3453" s="98"/>
      <c r="U3453" s="99"/>
    </row>
    <row r="3454" spans="20:21" x14ac:dyDescent="0.25">
      <c r="T3454" s="98"/>
      <c r="U3454" s="99"/>
    </row>
    <row r="3455" spans="20:21" x14ac:dyDescent="0.25">
      <c r="T3455" s="98"/>
      <c r="U3455" s="99"/>
    </row>
    <row r="3456" spans="20:21" x14ac:dyDescent="0.25">
      <c r="T3456" s="98"/>
      <c r="U3456" s="99"/>
    </row>
    <row r="3457" spans="20:21" x14ac:dyDescent="0.25">
      <c r="T3457" s="98"/>
      <c r="U3457" s="99"/>
    </row>
    <row r="3458" spans="20:21" x14ac:dyDescent="0.25">
      <c r="T3458" s="98"/>
      <c r="U3458" s="99"/>
    </row>
    <row r="3459" spans="20:21" x14ac:dyDescent="0.25">
      <c r="T3459" s="98"/>
      <c r="U3459" s="99"/>
    </row>
    <row r="3460" spans="20:21" x14ac:dyDescent="0.25">
      <c r="T3460" s="98"/>
      <c r="U3460" s="99"/>
    </row>
    <row r="3461" spans="20:21" x14ac:dyDescent="0.25">
      <c r="T3461" s="98"/>
      <c r="U3461" s="99"/>
    </row>
    <row r="3462" spans="20:21" x14ac:dyDescent="0.25">
      <c r="T3462" s="98"/>
      <c r="U3462" s="99"/>
    </row>
    <row r="3463" spans="20:21" x14ac:dyDescent="0.25">
      <c r="T3463" s="98"/>
      <c r="U3463" s="99"/>
    </row>
    <row r="3464" spans="20:21" x14ac:dyDescent="0.25">
      <c r="T3464" s="98"/>
      <c r="U3464" s="99"/>
    </row>
    <row r="3465" spans="20:21" x14ac:dyDescent="0.25">
      <c r="T3465" s="98"/>
      <c r="U3465" s="99"/>
    </row>
    <row r="3466" spans="20:21" x14ac:dyDescent="0.25">
      <c r="T3466" s="98"/>
      <c r="U3466" s="99"/>
    </row>
    <row r="3467" spans="20:21" x14ac:dyDescent="0.25">
      <c r="T3467" s="98"/>
      <c r="U3467" s="99"/>
    </row>
    <row r="3468" spans="20:21" x14ac:dyDescent="0.25">
      <c r="T3468" s="98"/>
      <c r="U3468" s="99"/>
    </row>
    <row r="3469" spans="20:21" x14ac:dyDescent="0.25">
      <c r="T3469" s="98"/>
      <c r="U3469" s="99"/>
    </row>
    <row r="3470" spans="20:21" x14ac:dyDescent="0.25">
      <c r="T3470" s="98"/>
      <c r="U3470" s="99"/>
    </row>
    <row r="3471" spans="20:21" x14ac:dyDescent="0.25">
      <c r="T3471" s="98"/>
      <c r="U3471" s="99"/>
    </row>
    <row r="3472" spans="20:21" x14ac:dyDescent="0.25">
      <c r="T3472" s="98"/>
      <c r="U3472" s="99"/>
    </row>
    <row r="3473" spans="20:21" x14ac:dyDescent="0.25">
      <c r="T3473" s="98"/>
      <c r="U3473" s="99"/>
    </row>
    <row r="3474" spans="20:21" x14ac:dyDescent="0.25">
      <c r="T3474" s="98"/>
      <c r="U3474" s="99"/>
    </row>
    <row r="3475" spans="20:21" x14ac:dyDescent="0.25">
      <c r="T3475" s="98"/>
      <c r="U3475" s="99"/>
    </row>
    <row r="3476" spans="20:21" x14ac:dyDescent="0.25">
      <c r="T3476" s="98"/>
      <c r="U3476" s="99"/>
    </row>
    <row r="3477" spans="20:21" x14ac:dyDescent="0.25">
      <c r="T3477" s="98"/>
      <c r="U3477" s="99"/>
    </row>
    <row r="3478" spans="20:21" x14ac:dyDescent="0.25">
      <c r="T3478" s="98"/>
      <c r="U3478" s="99"/>
    </row>
    <row r="3479" spans="20:21" x14ac:dyDescent="0.25">
      <c r="T3479" s="98"/>
      <c r="U3479" s="99"/>
    </row>
    <row r="3480" spans="20:21" x14ac:dyDescent="0.25">
      <c r="T3480" s="98"/>
      <c r="U3480" s="99"/>
    </row>
    <row r="3481" spans="20:21" x14ac:dyDescent="0.25">
      <c r="T3481" s="98"/>
      <c r="U3481" s="99"/>
    </row>
    <row r="3482" spans="20:21" x14ac:dyDescent="0.25">
      <c r="T3482" s="98"/>
      <c r="U3482" s="99"/>
    </row>
    <row r="3483" spans="20:21" x14ac:dyDescent="0.25">
      <c r="T3483" s="98"/>
      <c r="U3483" s="99"/>
    </row>
    <row r="3484" spans="20:21" x14ac:dyDescent="0.25">
      <c r="T3484" s="98"/>
      <c r="U3484" s="99"/>
    </row>
    <row r="3485" spans="20:21" x14ac:dyDescent="0.25">
      <c r="T3485" s="98"/>
      <c r="U3485" s="99"/>
    </row>
    <row r="3486" spans="20:21" x14ac:dyDescent="0.25">
      <c r="T3486" s="98"/>
      <c r="U3486" s="99"/>
    </row>
    <row r="3487" spans="20:21" x14ac:dyDescent="0.25">
      <c r="T3487" s="98"/>
      <c r="U3487" s="99"/>
    </row>
    <row r="3488" spans="20:21" x14ac:dyDescent="0.25">
      <c r="T3488" s="98"/>
      <c r="U3488" s="99"/>
    </row>
    <row r="3489" spans="20:21" x14ac:dyDescent="0.25">
      <c r="T3489" s="98"/>
      <c r="U3489" s="99"/>
    </row>
    <row r="3490" spans="20:21" x14ac:dyDescent="0.25">
      <c r="T3490" s="98"/>
      <c r="U3490" s="99"/>
    </row>
    <row r="3491" spans="20:21" x14ac:dyDescent="0.25">
      <c r="T3491" s="98"/>
      <c r="U3491" s="99"/>
    </row>
    <row r="3492" spans="20:21" x14ac:dyDescent="0.25">
      <c r="T3492" s="98"/>
      <c r="U3492" s="99"/>
    </row>
    <row r="3493" spans="20:21" x14ac:dyDescent="0.25">
      <c r="T3493" s="98"/>
      <c r="U3493" s="99"/>
    </row>
    <row r="3494" spans="20:21" x14ac:dyDescent="0.25">
      <c r="T3494" s="98"/>
      <c r="U3494" s="99"/>
    </row>
    <row r="3495" spans="20:21" x14ac:dyDescent="0.25">
      <c r="T3495" s="98"/>
      <c r="U3495" s="99"/>
    </row>
    <row r="3496" spans="20:21" x14ac:dyDescent="0.25">
      <c r="T3496" s="98"/>
      <c r="U3496" s="99"/>
    </row>
    <row r="3497" spans="20:21" x14ac:dyDescent="0.25">
      <c r="T3497" s="98"/>
      <c r="U3497" s="99"/>
    </row>
    <row r="3498" spans="20:21" x14ac:dyDescent="0.25">
      <c r="T3498" s="98"/>
      <c r="U3498" s="99"/>
    </row>
    <row r="3499" spans="20:21" x14ac:dyDescent="0.25">
      <c r="T3499" s="98"/>
      <c r="U3499" s="99"/>
    </row>
    <row r="3500" spans="20:21" x14ac:dyDescent="0.25">
      <c r="T3500" s="98"/>
      <c r="U3500" s="99"/>
    </row>
    <row r="3501" spans="20:21" x14ac:dyDescent="0.25">
      <c r="T3501" s="98"/>
      <c r="U3501" s="99"/>
    </row>
    <row r="3502" spans="20:21" x14ac:dyDescent="0.25">
      <c r="T3502" s="98"/>
      <c r="U3502" s="99"/>
    </row>
    <row r="3503" spans="20:21" x14ac:dyDescent="0.25">
      <c r="T3503" s="98"/>
      <c r="U3503" s="99"/>
    </row>
    <row r="3504" spans="20:21" x14ac:dyDescent="0.25">
      <c r="T3504" s="98"/>
      <c r="U3504" s="99"/>
    </row>
    <row r="3505" spans="20:21" x14ac:dyDescent="0.25">
      <c r="T3505" s="98"/>
      <c r="U3505" s="99"/>
    </row>
    <row r="3506" spans="20:21" x14ac:dyDescent="0.25">
      <c r="T3506" s="98"/>
      <c r="U3506" s="99"/>
    </row>
    <row r="3507" spans="20:21" x14ac:dyDescent="0.25">
      <c r="T3507" s="98"/>
      <c r="U3507" s="99"/>
    </row>
    <row r="3508" spans="20:21" x14ac:dyDescent="0.25">
      <c r="T3508" s="98"/>
      <c r="U3508" s="99"/>
    </row>
    <row r="3509" spans="20:21" x14ac:dyDescent="0.25">
      <c r="T3509" s="98"/>
      <c r="U3509" s="99"/>
    </row>
    <row r="3510" spans="20:21" x14ac:dyDescent="0.25">
      <c r="T3510" s="98"/>
      <c r="U3510" s="99"/>
    </row>
    <row r="3511" spans="20:21" x14ac:dyDescent="0.25">
      <c r="T3511" s="98"/>
      <c r="U3511" s="99"/>
    </row>
    <row r="3512" spans="20:21" x14ac:dyDescent="0.25">
      <c r="T3512" s="98"/>
      <c r="U3512" s="99"/>
    </row>
    <row r="3513" spans="20:21" x14ac:dyDescent="0.25">
      <c r="T3513" s="98"/>
      <c r="U3513" s="99"/>
    </row>
    <row r="3514" spans="20:21" x14ac:dyDescent="0.25">
      <c r="T3514" s="98"/>
      <c r="U3514" s="99"/>
    </row>
    <row r="3515" spans="20:21" x14ac:dyDescent="0.25">
      <c r="T3515" s="98"/>
      <c r="U3515" s="99"/>
    </row>
    <row r="3516" spans="20:21" x14ac:dyDescent="0.25">
      <c r="T3516" s="98"/>
      <c r="U3516" s="99"/>
    </row>
    <row r="3517" spans="20:21" x14ac:dyDescent="0.25">
      <c r="T3517" s="98"/>
      <c r="U3517" s="99"/>
    </row>
    <row r="3518" spans="20:21" x14ac:dyDescent="0.25">
      <c r="T3518" s="98"/>
      <c r="U3518" s="99"/>
    </row>
    <row r="3519" spans="20:21" x14ac:dyDescent="0.25">
      <c r="T3519" s="98"/>
      <c r="U3519" s="99"/>
    </row>
    <row r="3520" spans="20:21" x14ac:dyDescent="0.25">
      <c r="T3520" s="98"/>
      <c r="U3520" s="99"/>
    </row>
    <row r="3521" spans="20:21" x14ac:dyDescent="0.25">
      <c r="T3521" s="98"/>
      <c r="U3521" s="99"/>
    </row>
    <row r="3522" spans="20:21" x14ac:dyDescent="0.25">
      <c r="T3522" s="98"/>
      <c r="U3522" s="99"/>
    </row>
    <row r="3523" spans="20:21" x14ac:dyDescent="0.25">
      <c r="T3523" s="98"/>
      <c r="U3523" s="99"/>
    </row>
    <row r="3524" spans="20:21" x14ac:dyDescent="0.25">
      <c r="T3524" s="98"/>
      <c r="U3524" s="99"/>
    </row>
    <row r="3525" spans="20:21" x14ac:dyDescent="0.25">
      <c r="T3525" s="98"/>
      <c r="U3525" s="99"/>
    </row>
    <row r="3526" spans="20:21" x14ac:dyDescent="0.25">
      <c r="T3526" s="98"/>
      <c r="U3526" s="99"/>
    </row>
    <row r="3527" spans="20:21" x14ac:dyDescent="0.25">
      <c r="T3527" s="98"/>
      <c r="U3527" s="99"/>
    </row>
    <row r="3528" spans="20:21" x14ac:dyDescent="0.25">
      <c r="T3528" s="98"/>
      <c r="U3528" s="99"/>
    </row>
    <row r="3529" spans="20:21" x14ac:dyDescent="0.25">
      <c r="T3529" s="98"/>
      <c r="U3529" s="99"/>
    </row>
    <row r="3530" spans="20:21" x14ac:dyDescent="0.25">
      <c r="T3530" s="98"/>
      <c r="U3530" s="99"/>
    </row>
    <row r="3531" spans="20:21" x14ac:dyDescent="0.25">
      <c r="T3531" s="98"/>
      <c r="U3531" s="99"/>
    </row>
    <row r="3532" spans="20:21" x14ac:dyDescent="0.25">
      <c r="T3532" s="98"/>
      <c r="U3532" s="99"/>
    </row>
    <row r="3533" spans="20:21" x14ac:dyDescent="0.25">
      <c r="T3533" s="98"/>
      <c r="U3533" s="99"/>
    </row>
    <row r="3534" spans="20:21" x14ac:dyDescent="0.25">
      <c r="T3534" s="98"/>
      <c r="U3534" s="99"/>
    </row>
    <row r="3535" spans="20:21" x14ac:dyDescent="0.25">
      <c r="T3535" s="98"/>
      <c r="U3535" s="99"/>
    </row>
    <row r="3536" spans="20:21" x14ac:dyDescent="0.25">
      <c r="T3536" s="98"/>
      <c r="U3536" s="99"/>
    </row>
    <row r="3537" spans="20:21" x14ac:dyDescent="0.25">
      <c r="T3537" s="98"/>
      <c r="U3537" s="99"/>
    </row>
    <row r="3538" spans="20:21" x14ac:dyDescent="0.25">
      <c r="T3538" s="98"/>
      <c r="U3538" s="99"/>
    </row>
    <row r="3539" spans="20:21" x14ac:dyDescent="0.25">
      <c r="T3539" s="98"/>
      <c r="U3539" s="99"/>
    </row>
    <row r="3540" spans="20:21" x14ac:dyDescent="0.25">
      <c r="T3540" s="98"/>
      <c r="U3540" s="99"/>
    </row>
    <row r="3541" spans="20:21" x14ac:dyDescent="0.25">
      <c r="T3541" s="98"/>
      <c r="U3541" s="99"/>
    </row>
    <row r="3542" spans="20:21" x14ac:dyDescent="0.25">
      <c r="T3542" s="98"/>
      <c r="U3542" s="99"/>
    </row>
    <row r="3543" spans="20:21" x14ac:dyDescent="0.25">
      <c r="T3543" s="98"/>
      <c r="U3543" s="99"/>
    </row>
    <row r="3544" spans="20:21" x14ac:dyDescent="0.25">
      <c r="T3544" s="98"/>
      <c r="U3544" s="99"/>
    </row>
    <row r="3545" spans="20:21" x14ac:dyDescent="0.25">
      <c r="T3545" s="98"/>
      <c r="U3545" s="99"/>
    </row>
    <row r="3546" spans="20:21" x14ac:dyDescent="0.25">
      <c r="T3546" s="98"/>
      <c r="U3546" s="99"/>
    </row>
    <row r="3547" spans="20:21" x14ac:dyDescent="0.25">
      <c r="T3547" s="98"/>
      <c r="U3547" s="99"/>
    </row>
    <row r="3548" spans="20:21" x14ac:dyDescent="0.25">
      <c r="T3548" s="98"/>
      <c r="U3548" s="99"/>
    </row>
    <row r="3549" spans="20:21" x14ac:dyDescent="0.25">
      <c r="T3549" s="98"/>
      <c r="U3549" s="99"/>
    </row>
    <row r="3550" spans="20:21" x14ac:dyDescent="0.25">
      <c r="T3550" s="98"/>
      <c r="U3550" s="99"/>
    </row>
    <row r="3551" spans="20:21" x14ac:dyDescent="0.25">
      <c r="T3551" s="98"/>
      <c r="U3551" s="99"/>
    </row>
    <row r="3552" spans="20:21" x14ac:dyDescent="0.25">
      <c r="T3552" s="98"/>
      <c r="U3552" s="99"/>
    </row>
    <row r="3553" spans="20:21" x14ac:dyDescent="0.25">
      <c r="T3553" s="98"/>
      <c r="U3553" s="99"/>
    </row>
    <row r="3554" spans="20:21" x14ac:dyDescent="0.25">
      <c r="T3554" s="98"/>
      <c r="U3554" s="99"/>
    </row>
    <row r="3555" spans="20:21" x14ac:dyDescent="0.25">
      <c r="T3555" s="98"/>
      <c r="U3555" s="99"/>
    </row>
    <row r="3556" spans="20:21" x14ac:dyDescent="0.25">
      <c r="T3556" s="98"/>
      <c r="U3556" s="99"/>
    </row>
    <row r="3557" spans="20:21" x14ac:dyDescent="0.25">
      <c r="T3557" s="98"/>
      <c r="U3557" s="99"/>
    </row>
    <row r="3558" spans="20:21" x14ac:dyDescent="0.25">
      <c r="T3558" s="98"/>
      <c r="U3558" s="99"/>
    </row>
    <row r="3559" spans="20:21" x14ac:dyDescent="0.25">
      <c r="T3559" s="98"/>
      <c r="U3559" s="99"/>
    </row>
    <row r="3560" spans="20:21" x14ac:dyDescent="0.25">
      <c r="T3560" s="98"/>
      <c r="U3560" s="99"/>
    </row>
    <row r="3561" spans="20:21" x14ac:dyDescent="0.25">
      <c r="T3561" s="98"/>
      <c r="U3561" s="99"/>
    </row>
    <row r="3562" spans="20:21" x14ac:dyDescent="0.25">
      <c r="T3562" s="98"/>
      <c r="U3562" s="99"/>
    </row>
    <row r="3563" spans="20:21" x14ac:dyDescent="0.25">
      <c r="T3563" s="98"/>
      <c r="U3563" s="99"/>
    </row>
    <row r="3564" spans="20:21" x14ac:dyDescent="0.25">
      <c r="T3564" s="98"/>
      <c r="U3564" s="99"/>
    </row>
    <row r="3565" spans="20:21" x14ac:dyDescent="0.25">
      <c r="T3565" s="98"/>
      <c r="U3565" s="99"/>
    </row>
    <row r="3566" spans="20:21" x14ac:dyDescent="0.25">
      <c r="T3566" s="98"/>
      <c r="U3566" s="99"/>
    </row>
    <row r="3567" spans="20:21" x14ac:dyDescent="0.25">
      <c r="T3567" s="98"/>
      <c r="U3567" s="99"/>
    </row>
    <row r="3568" spans="20:21" x14ac:dyDescent="0.25">
      <c r="T3568" s="98"/>
      <c r="U3568" s="99"/>
    </row>
    <row r="3569" spans="20:21" x14ac:dyDescent="0.25">
      <c r="T3569" s="98"/>
      <c r="U3569" s="99"/>
    </row>
    <row r="3570" spans="20:21" x14ac:dyDescent="0.25">
      <c r="T3570" s="98"/>
      <c r="U3570" s="99"/>
    </row>
    <row r="3571" spans="20:21" x14ac:dyDescent="0.25">
      <c r="T3571" s="98"/>
      <c r="U3571" s="99"/>
    </row>
    <row r="3572" spans="20:21" x14ac:dyDescent="0.25">
      <c r="T3572" s="98"/>
      <c r="U3572" s="99"/>
    </row>
    <row r="3573" spans="20:21" x14ac:dyDescent="0.25">
      <c r="T3573" s="98"/>
      <c r="U3573" s="99"/>
    </row>
    <row r="3574" spans="20:21" x14ac:dyDescent="0.25">
      <c r="T3574" s="98"/>
      <c r="U3574" s="99"/>
    </row>
    <row r="3575" spans="20:21" x14ac:dyDescent="0.25">
      <c r="T3575" s="98"/>
      <c r="U3575" s="99"/>
    </row>
    <row r="3576" spans="20:21" x14ac:dyDescent="0.25">
      <c r="T3576" s="98"/>
      <c r="U3576" s="99"/>
    </row>
    <row r="3577" spans="20:21" x14ac:dyDescent="0.25">
      <c r="T3577" s="98"/>
      <c r="U3577" s="99"/>
    </row>
    <row r="3578" spans="20:21" x14ac:dyDescent="0.25">
      <c r="T3578" s="98"/>
      <c r="U3578" s="99"/>
    </row>
    <row r="3579" spans="20:21" x14ac:dyDescent="0.25">
      <c r="T3579" s="98"/>
      <c r="U3579" s="99"/>
    </row>
    <row r="3580" spans="20:21" x14ac:dyDescent="0.25">
      <c r="T3580" s="98"/>
      <c r="U3580" s="99"/>
    </row>
    <row r="3581" spans="20:21" x14ac:dyDescent="0.25">
      <c r="T3581" s="98"/>
      <c r="U3581" s="99"/>
    </row>
    <row r="3582" spans="20:21" x14ac:dyDescent="0.25">
      <c r="T3582" s="98"/>
      <c r="U3582" s="99"/>
    </row>
    <row r="3583" spans="20:21" x14ac:dyDescent="0.25">
      <c r="T3583" s="98"/>
      <c r="U3583" s="99"/>
    </row>
    <row r="3584" spans="20:21" x14ac:dyDescent="0.25">
      <c r="T3584" s="98"/>
      <c r="U3584" s="99"/>
    </row>
    <row r="3585" spans="20:21" x14ac:dyDescent="0.25">
      <c r="T3585" s="98"/>
      <c r="U3585" s="99"/>
    </row>
    <row r="3586" spans="20:21" x14ac:dyDescent="0.25">
      <c r="T3586" s="98"/>
      <c r="U3586" s="99"/>
    </row>
    <row r="3587" spans="20:21" x14ac:dyDescent="0.25">
      <c r="T3587" s="98"/>
      <c r="U3587" s="99"/>
    </row>
    <row r="3588" spans="20:21" x14ac:dyDescent="0.25">
      <c r="T3588" s="98"/>
      <c r="U3588" s="99"/>
    </row>
    <row r="3589" spans="20:21" x14ac:dyDescent="0.25">
      <c r="T3589" s="98"/>
      <c r="U3589" s="99"/>
    </row>
    <row r="3590" spans="20:21" x14ac:dyDescent="0.25">
      <c r="T3590" s="98"/>
      <c r="U3590" s="99"/>
    </row>
    <row r="3591" spans="20:21" x14ac:dyDescent="0.25">
      <c r="T3591" s="98"/>
      <c r="U3591" s="99"/>
    </row>
    <row r="3592" spans="20:21" x14ac:dyDescent="0.25">
      <c r="T3592" s="98"/>
      <c r="U3592" s="99"/>
    </row>
    <row r="3593" spans="20:21" x14ac:dyDescent="0.25">
      <c r="T3593" s="98"/>
      <c r="U3593" s="99"/>
    </row>
    <row r="3594" spans="20:21" x14ac:dyDescent="0.25">
      <c r="T3594" s="98"/>
      <c r="U3594" s="99"/>
    </row>
    <row r="3595" spans="20:21" x14ac:dyDescent="0.25">
      <c r="T3595" s="98"/>
      <c r="U3595" s="99"/>
    </row>
    <row r="3596" spans="20:21" x14ac:dyDescent="0.25">
      <c r="T3596" s="98"/>
      <c r="U3596" s="99"/>
    </row>
    <row r="3597" spans="20:21" x14ac:dyDescent="0.25">
      <c r="T3597" s="98"/>
      <c r="U3597" s="99"/>
    </row>
    <row r="3598" spans="20:21" x14ac:dyDescent="0.25">
      <c r="T3598" s="98"/>
      <c r="U3598" s="99"/>
    </row>
    <row r="3599" spans="20:21" x14ac:dyDescent="0.25">
      <c r="T3599" s="98"/>
      <c r="U3599" s="99"/>
    </row>
    <row r="3600" spans="20:21" x14ac:dyDescent="0.25">
      <c r="T3600" s="98"/>
      <c r="U3600" s="99"/>
    </row>
    <row r="3601" spans="20:21" x14ac:dyDescent="0.25">
      <c r="T3601" s="98"/>
      <c r="U3601" s="99"/>
    </row>
    <row r="3602" spans="20:21" x14ac:dyDescent="0.25">
      <c r="T3602" s="98"/>
      <c r="U3602" s="99"/>
    </row>
    <row r="3603" spans="20:21" x14ac:dyDescent="0.25">
      <c r="T3603" s="98"/>
      <c r="U3603" s="99"/>
    </row>
    <row r="3604" spans="20:21" x14ac:dyDescent="0.25">
      <c r="T3604" s="98"/>
      <c r="U3604" s="99"/>
    </row>
    <row r="3605" spans="20:21" x14ac:dyDescent="0.25">
      <c r="T3605" s="98"/>
      <c r="U3605" s="99"/>
    </row>
    <row r="3606" spans="20:21" x14ac:dyDescent="0.25">
      <c r="T3606" s="98"/>
      <c r="U3606" s="99"/>
    </row>
    <row r="3607" spans="20:21" x14ac:dyDescent="0.25">
      <c r="T3607" s="98"/>
      <c r="U3607" s="99"/>
    </row>
    <row r="3608" spans="20:21" x14ac:dyDescent="0.25">
      <c r="T3608" s="98"/>
      <c r="U3608" s="99"/>
    </row>
    <row r="3609" spans="20:21" x14ac:dyDescent="0.25">
      <c r="T3609" s="98"/>
      <c r="U3609" s="99"/>
    </row>
    <row r="3610" spans="20:21" x14ac:dyDescent="0.25">
      <c r="T3610" s="98"/>
      <c r="U3610" s="99"/>
    </row>
    <row r="3611" spans="20:21" x14ac:dyDescent="0.25">
      <c r="T3611" s="98"/>
      <c r="U3611" s="99"/>
    </row>
    <row r="3612" spans="20:21" x14ac:dyDescent="0.25">
      <c r="T3612" s="98"/>
      <c r="U3612" s="99"/>
    </row>
    <row r="3613" spans="20:21" x14ac:dyDescent="0.25">
      <c r="T3613" s="98"/>
      <c r="U3613" s="99"/>
    </row>
    <row r="3614" spans="20:21" x14ac:dyDescent="0.25">
      <c r="T3614" s="98"/>
      <c r="U3614" s="99"/>
    </row>
    <row r="3615" spans="20:21" x14ac:dyDescent="0.25">
      <c r="T3615" s="98"/>
      <c r="U3615" s="99"/>
    </row>
    <row r="3616" spans="20:21" x14ac:dyDescent="0.25">
      <c r="T3616" s="98"/>
      <c r="U3616" s="99"/>
    </row>
    <row r="3617" spans="20:21" x14ac:dyDescent="0.25">
      <c r="T3617" s="98"/>
      <c r="U3617" s="99"/>
    </row>
    <row r="3618" spans="20:21" x14ac:dyDescent="0.25">
      <c r="T3618" s="98"/>
      <c r="U3618" s="99"/>
    </row>
    <row r="3619" spans="20:21" x14ac:dyDescent="0.25">
      <c r="T3619" s="98"/>
      <c r="U3619" s="99"/>
    </row>
    <row r="3620" spans="20:21" x14ac:dyDescent="0.25">
      <c r="T3620" s="98"/>
      <c r="U3620" s="99"/>
    </row>
    <row r="3621" spans="20:21" x14ac:dyDescent="0.25">
      <c r="T3621" s="98"/>
      <c r="U3621" s="99"/>
    </row>
    <row r="3622" spans="20:21" x14ac:dyDescent="0.25">
      <c r="T3622" s="98"/>
      <c r="U3622" s="99"/>
    </row>
    <row r="3623" spans="20:21" x14ac:dyDescent="0.25">
      <c r="T3623" s="98"/>
      <c r="U3623" s="99"/>
    </row>
    <row r="3624" spans="20:21" x14ac:dyDescent="0.25">
      <c r="T3624" s="98"/>
      <c r="U3624" s="99"/>
    </row>
    <row r="3625" spans="20:21" x14ac:dyDescent="0.25">
      <c r="T3625" s="98"/>
      <c r="U3625" s="99"/>
    </row>
    <row r="3626" spans="20:21" x14ac:dyDescent="0.25">
      <c r="T3626" s="98"/>
      <c r="U3626" s="99"/>
    </row>
    <row r="3627" spans="20:21" x14ac:dyDescent="0.25">
      <c r="T3627" s="98"/>
      <c r="U3627" s="99"/>
    </row>
    <row r="3628" spans="20:21" x14ac:dyDescent="0.25">
      <c r="T3628" s="98"/>
      <c r="U3628" s="99"/>
    </row>
    <row r="3629" spans="20:21" x14ac:dyDescent="0.25">
      <c r="T3629" s="98"/>
      <c r="U3629" s="99"/>
    </row>
    <row r="3630" spans="20:21" x14ac:dyDescent="0.25">
      <c r="T3630" s="98"/>
      <c r="U3630" s="99"/>
    </row>
    <row r="3631" spans="20:21" x14ac:dyDescent="0.25">
      <c r="T3631" s="98"/>
      <c r="U3631" s="99"/>
    </row>
    <row r="3632" spans="20:21" x14ac:dyDescent="0.25">
      <c r="T3632" s="98"/>
      <c r="U3632" s="99"/>
    </row>
    <row r="3633" spans="20:21" x14ac:dyDescent="0.25">
      <c r="T3633" s="98"/>
      <c r="U3633" s="99"/>
    </row>
    <row r="3634" spans="20:21" x14ac:dyDescent="0.25">
      <c r="T3634" s="98"/>
      <c r="U3634" s="99"/>
    </row>
    <row r="3635" spans="20:21" x14ac:dyDescent="0.25">
      <c r="T3635" s="98"/>
      <c r="U3635" s="99"/>
    </row>
    <row r="3636" spans="20:21" x14ac:dyDescent="0.25">
      <c r="T3636" s="98"/>
      <c r="U3636" s="99"/>
    </row>
    <row r="3637" spans="20:21" x14ac:dyDescent="0.25">
      <c r="T3637" s="98"/>
      <c r="U3637" s="99"/>
    </row>
    <row r="3638" spans="20:21" x14ac:dyDescent="0.25">
      <c r="T3638" s="98"/>
      <c r="U3638" s="99"/>
    </row>
    <row r="3639" spans="20:21" x14ac:dyDescent="0.25">
      <c r="T3639" s="98"/>
      <c r="U3639" s="99"/>
    </row>
    <row r="3640" spans="20:21" x14ac:dyDescent="0.25">
      <c r="T3640" s="98"/>
      <c r="U3640" s="99"/>
    </row>
    <row r="3641" spans="20:21" x14ac:dyDescent="0.25">
      <c r="T3641" s="98"/>
      <c r="U3641" s="99"/>
    </row>
    <row r="3642" spans="20:21" x14ac:dyDescent="0.25">
      <c r="T3642" s="98"/>
      <c r="U3642" s="99"/>
    </row>
    <row r="3643" spans="20:21" x14ac:dyDescent="0.25">
      <c r="T3643" s="98"/>
      <c r="U3643" s="99"/>
    </row>
    <row r="3644" spans="20:21" x14ac:dyDescent="0.25">
      <c r="T3644" s="98"/>
      <c r="U3644" s="99"/>
    </row>
    <row r="3645" spans="20:21" x14ac:dyDescent="0.25">
      <c r="T3645" s="98"/>
      <c r="U3645" s="99"/>
    </row>
    <row r="3646" spans="20:21" x14ac:dyDescent="0.25">
      <c r="T3646" s="98"/>
      <c r="U3646" s="99"/>
    </row>
    <row r="3647" spans="20:21" x14ac:dyDescent="0.25">
      <c r="T3647" s="98"/>
      <c r="U3647" s="99"/>
    </row>
    <row r="3648" spans="20:21" x14ac:dyDescent="0.25">
      <c r="T3648" s="98"/>
      <c r="U3648" s="99"/>
    </row>
    <row r="3649" spans="20:21" x14ac:dyDescent="0.25">
      <c r="T3649" s="98"/>
      <c r="U3649" s="99"/>
    </row>
    <row r="3650" spans="20:21" x14ac:dyDescent="0.25">
      <c r="T3650" s="98"/>
      <c r="U3650" s="99"/>
    </row>
    <row r="3651" spans="20:21" x14ac:dyDescent="0.25">
      <c r="T3651" s="98"/>
      <c r="U3651" s="99"/>
    </row>
    <row r="3652" spans="20:21" x14ac:dyDescent="0.25">
      <c r="T3652" s="98"/>
      <c r="U3652" s="99"/>
    </row>
    <row r="3653" spans="20:21" x14ac:dyDescent="0.25">
      <c r="T3653" s="98"/>
      <c r="U3653" s="99"/>
    </row>
    <row r="3654" spans="20:21" x14ac:dyDescent="0.25">
      <c r="T3654" s="98"/>
      <c r="U3654" s="99"/>
    </row>
    <row r="3655" spans="20:21" x14ac:dyDescent="0.25">
      <c r="T3655" s="98"/>
      <c r="U3655" s="99"/>
    </row>
    <row r="3656" spans="20:21" x14ac:dyDescent="0.25">
      <c r="T3656" s="98"/>
      <c r="U3656" s="99"/>
    </row>
    <row r="3657" spans="20:21" x14ac:dyDescent="0.25">
      <c r="T3657" s="98"/>
      <c r="U3657" s="99"/>
    </row>
    <row r="3658" spans="20:21" x14ac:dyDescent="0.25">
      <c r="T3658" s="98"/>
      <c r="U3658" s="99"/>
    </row>
    <row r="3659" spans="20:21" x14ac:dyDescent="0.25">
      <c r="T3659" s="98"/>
      <c r="U3659" s="99"/>
    </row>
    <row r="3660" spans="20:21" x14ac:dyDescent="0.25">
      <c r="T3660" s="98"/>
      <c r="U3660" s="99"/>
    </row>
    <row r="3661" spans="20:21" x14ac:dyDescent="0.25">
      <c r="T3661" s="98"/>
      <c r="U3661" s="99"/>
    </row>
    <row r="3662" spans="20:21" x14ac:dyDescent="0.25">
      <c r="T3662" s="98"/>
      <c r="U3662" s="99"/>
    </row>
    <row r="3663" spans="20:21" x14ac:dyDescent="0.25">
      <c r="T3663" s="98"/>
      <c r="U3663" s="99"/>
    </row>
    <row r="3664" spans="20:21" x14ac:dyDescent="0.25">
      <c r="T3664" s="98"/>
      <c r="U3664" s="99"/>
    </row>
    <row r="3665" spans="20:21" x14ac:dyDescent="0.25">
      <c r="T3665" s="98"/>
      <c r="U3665" s="99"/>
    </row>
    <row r="3666" spans="20:21" x14ac:dyDescent="0.25">
      <c r="T3666" s="98"/>
      <c r="U3666" s="99"/>
    </row>
    <row r="3667" spans="20:21" x14ac:dyDescent="0.25">
      <c r="T3667" s="98"/>
      <c r="U3667" s="99"/>
    </row>
    <row r="3668" spans="20:21" x14ac:dyDescent="0.25">
      <c r="T3668" s="98"/>
      <c r="U3668" s="99"/>
    </row>
    <row r="3669" spans="20:21" x14ac:dyDescent="0.25">
      <c r="T3669" s="98"/>
      <c r="U3669" s="99"/>
    </row>
    <row r="3670" spans="20:21" x14ac:dyDescent="0.25">
      <c r="T3670" s="98"/>
      <c r="U3670" s="99"/>
    </row>
    <row r="3671" spans="20:21" x14ac:dyDescent="0.25">
      <c r="T3671" s="98"/>
      <c r="U3671" s="99"/>
    </row>
    <row r="3672" spans="20:21" x14ac:dyDescent="0.25">
      <c r="T3672" s="98"/>
      <c r="U3672" s="99"/>
    </row>
    <row r="3673" spans="20:21" x14ac:dyDescent="0.25">
      <c r="T3673" s="98"/>
      <c r="U3673" s="99"/>
    </row>
    <row r="3674" spans="20:21" x14ac:dyDescent="0.25">
      <c r="T3674" s="98"/>
      <c r="U3674" s="99"/>
    </row>
    <row r="3675" spans="20:21" x14ac:dyDescent="0.25">
      <c r="T3675" s="98"/>
      <c r="U3675" s="99"/>
    </row>
    <row r="3676" spans="20:21" x14ac:dyDescent="0.25">
      <c r="T3676" s="98"/>
      <c r="U3676" s="99"/>
    </row>
    <row r="3677" spans="20:21" x14ac:dyDescent="0.25">
      <c r="T3677" s="98"/>
      <c r="U3677" s="99"/>
    </row>
    <row r="3678" spans="20:21" x14ac:dyDescent="0.25">
      <c r="T3678" s="98"/>
      <c r="U3678" s="99"/>
    </row>
    <row r="3679" spans="20:21" x14ac:dyDescent="0.25">
      <c r="T3679" s="98"/>
      <c r="U3679" s="99"/>
    </row>
    <row r="3680" spans="20:21" x14ac:dyDescent="0.25">
      <c r="T3680" s="98"/>
      <c r="U3680" s="99"/>
    </row>
    <row r="3681" spans="20:21" x14ac:dyDescent="0.25">
      <c r="T3681" s="98"/>
      <c r="U3681" s="99"/>
    </row>
    <row r="3682" spans="20:21" x14ac:dyDescent="0.25">
      <c r="T3682" s="98"/>
      <c r="U3682" s="99"/>
    </row>
    <row r="3683" spans="20:21" x14ac:dyDescent="0.25">
      <c r="T3683" s="98"/>
      <c r="U3683" s="99"/>
    </row>
    <row r="3684" spans="20:21" x14ac:dyDescent="0.25">
      <c r="T3684" s="98"/>
      <c r="U3684" s="99"/>
    </row>
    <row r="3685" spans="20:21" x14ac:dyDescent="0.25">
      <c r="T3685" s="98"/>
      <c r="U3685" s="99"/>
    </row>
    <row r="3686" spans="20:21" x14ac:dyDescent="0.25">
      <c r="T3686" s="98"/>
      <c r="U3686" s="99"/>
    </row>
    <row r="3687" spans="20:21" x14ac:dyDescent="0.25">
      <c r="T3687" s="98"/>
      <c r="U3687" s="99"/>
    </row>
    <row r="3688" spans="20:21" x14ac:dyDescent="0.25">
      <c r="T3688" s="98"/>
      <c r="U3688" s="99"/>
    </row>
    <row r="3689" spans="20:21" x14ac:dyDescent="0.25">
      <c r="T3689" s="98"/>
      <c r="U3689" s="99"/>
    </row>
    <row r="3690" spans="20:21" x14ac:dyDescent="0.25">
      <c r="T3690" s="98"/>
      <c r="U3690" s="99"/>
    </row>
    <row r="3691" spans="20:21" x14ac:dyDescent="0.25">
      <c r="T3691" s="98"/>
      <c r="U3691" s="99"/>
    </row>
    <row r="3692" spans="20:21" x14ac:dyDescent="0.25">
      <c r="T3692" s="98"/>
      <c r="U3692" s="99"/>
    </row>
    <row r="3693" spans="20:21" x14ac:dyDescent="0.25">
      <c r="T3693" s="98"/>
      <c r="U3693" s="99"/>
    </row>
    <row r="3694" spans="20:21" x14ac:dyDescent="0.25">
      <c r="T3694" s="98"/>
      <c r="U3694" s="99"/>
    </row>
    <row r="3695" spans="20:21" x14ac:dyDescent="0.25">
      <c r="T3695" s="98"/>
      <c r="U3695" s="99"/>
    </row>
    <row r="3696" spans="20:21" x14ac:dyDescent="0.25">
      <c r="T3696" s="98"/>
      <c r="U3696" s="99"/>
    </row>
    <row r="3697" spans="20:21" x14ac:dyDescent="0.25">
      <c r="T3697" s="98"/>
      <c r="U3697" s="99"/>
    </row>
    <row r="3698" spans="20:21" x14ac:dyDescent="0.25">
      <c r="T3698" s="98"/>
      <c r="U3698" s="99"/>
    </row>
    <row r="3699" spans="20:21" x14ac:dyDescent="0.25">
      <c r="T3699" s="98"/>
      <c r="U3699" s="99"/>
    </row>
    <row r="3700" spans="20:21" x14ac:dyDescent="0.25">
      <c r="T3700" s="98"/>
      <c r="U3700" s="99"/>
    </row>
    <row r="3701" spans="20:21" x14ac:dyDescent="0.25">
      <c r="T3701" s="98"/>
      <c r="U3701" s="99"/>
    </row>
    <row r="3702" spans="20:21" x14ac:dyDescent="0.25">
      <c r="T3702" s="98"/>
      <c r="U3702" s="99"/>
    </row>
    <row r="3703" spans="20:21" x14ac:dyDescent="0.25">
      <c r="T3703" s="98"/>
      <c r="U3703" s="99"/>
    </row>
    <row r="3704" spans="20:21" x14ac:dyDescent="0.25">
      <c r="T3704" s="98"/>
      <c r="U3704" s="99"/>
    </row>
    <row r="3705" spans="20:21" x14ac:dyDescent="0.25">
      <c r="T3705" s="98"/>
      <c r="U3705" s="99"/>
    </row>
    <row r="3706" spans="20:21" x14ac:dyDescent="0.25">
      <c r="T3706" s="98"/>
      <c r="U3706" s="99"/>
    </row>
    <row r="3707" spans="20:21" x14ac:dyDescent="0.25">
      <c r="T3707" s="98"/>
      <c r="U3707" s="99"/>
    </row>
    <row r="3708" spans="20:21" x14ac:dyDescent="0.25">
      <c r="T3708" s="98"/>
      <c r="U3708" s="99"/>
    </row>
    <row r="3709" spans="20:21" x14ac:dyDescent="0.25">
      <c r="T3709" s="98"/>
      <c r="U3709" s="99"/>
    </row>
    <row r="3710" spans="20:21" x14ac:dyDescent="0.25">
      <c r="T3710" s="98"/>
      <c r="U3710" s="99"/>
    </row>
    <row r="3711" spans="20:21" x14ac:dyDescent="0.25">
      <c r="T3711" s="98"/>
      <c r="U3711" s="99"/>
    </row>
    <row r="3712" spans="20:21" x14ac:dyDescent="0.25">
      <c r="T3712" s="98"/>
      <c r="U3712" s="99"/>
    </row>
    <row r="3713" spans="20:21" x14ac:dyDescent="0.25">
      <c r="T3713" s="98"/>
      <c r="U3713" s="99"/>
    </row>
    <row r="3714" spans="20:21" x14ac:dyDescent="0.25">
      <c r="T3714" s="98"/>
      <c r="U3714" s="99"/>
    </row>
    <row r="3715" spans="20:21" x14ac:dyDescent="0.25">
      <c r="T3715" s="98"/>
      <c r="U3715" s="99"/>
    </row>
    <row r="3716" spans="20:21" x14ac:dyDescent="0.25">
      <c r="T3716" s="98"/>
      <c r="U3716" s="99"/>
    </row>
    <row r="3717" spans="20:21" x14ac:dyDescent="0.25">
      <c r="T3717" s="98"/>
      <c r="U3717" s="99"/>
    </row>
    <row r="3718" spans="20:21" x14ac:dyDescent="0.25">
      <c r="T3718" s="98"/>
      <c r="U3718" s="99"/>
    </row>
    <row r="3719" spans="20:21" x14ac:dyDescent="0.25">
      <c r="T3719" s="98"/>
      <c r="U3719" s="99"/>
    </row>
    <row r="3720" spans="20:21" x14ac:dyDescent="0.25">
      <c r="T3720" s="98"/>
      <c r="U3720" s="99"/>
    </row>
    <row r="3721" spans="20:21" x14ac:dyDescent="0.25">
      <c r="T3721" s="98"/>
      <c r="U3721" s="99"/>
    </row>
    <row r="3722" spans="20:21" x14ac:dyDescent="0.25">
      <c r="T3722" s="98"/>
      <c r="U3722" s="99"/>
    </row>
    <row r="3723" spans="20:21" x14ac:dyDescent="0.25">
      <c r="T3723" s="98"/>
      <c r="U3723" s="99"/>
    </row>
    <row r="3724" spans="20:21" x14ac:dyDescent="0.25">
      <c r="T3724" s="98"/>
      <c r="U3724" s="99"/>
    </row>
    <row r="3725" spans="20:21" x14ac:dyDescent="0.25">
      <c r="T3725" s="98"/>
      <c r="U3725" s="99"/>
    </row>
    <row r="3726" spans="20:21" x14ac:dyDescent="0.25">
      <c r="T3726" s="98"/>
      <c r="U3726" s="99"/>
    </row>
    <row r="3727" spans="20:21" x14ac:dyDescent="0.25">
      <c r="T3727" s="98"/>
      <c r="U3727" s="99"/>
    </row>
    <row r="3728" spans="20:21" x14ac:dyDescent="0.25">
      <c r="T3728" s="98"/>
      <c r="U3728" s="99"/>
    </row>
    <row r="3729" spans="20:21" x14ac:dyDescent="0.25">
      <c r="T3729" s="98"/>
      <c r="U3729" s="99"/>
    </row>
    <row r="3730" spans="20:21" x14ac:dyDescent="0.25">
      <c r="T3730" s="98"/>
      <c r="U3730" s="99"/>
    </row>
    <row r="3731" spans="20:21" x14ac:dyDescent="0.25">
      <c r="T3731" s="98"/>
      <c r="U3731" s="99"/>
    </row>
    <row r="3732" spans="20:21" x14ac:dyDescent="0.25">
      <c r="T3732" s="98"/>
      <c r="U3732" s="99"/>
    </row>
    <row r="3733" spans="20:21" x14ac:dyDescent="0.25">
      <c r="T3733" s="98"/>
      <c r="U3733" s="99"/>
    </row>
    <row r="3734" spans="20:21" x14ac:dyDescent="0.25">
      <c r="T3734" s="98"/>
      <c r="U3734" s="99"/>
    </row>
    <row r="3735" spans="20:21" x14ac:dyDescent="0.25">
      <c r="T3735" s="98"/>
      <c r="U3735" s="99"/>
    </row>
    <row r="3736" spans="20:21" x14ac:dyDescent="0.25">
      <c r="T3736" s="98"/>
      <c r="U3736" s="99"/>
    </row>
    <row r="3737" spans="20:21" x14ac:dyDescent="0.25">
      <c r="T3737" s="98"/>
      <c r="U3737" s="99"/>
    </row>
    <row r="3738" spans="20:21" x14ac:dyDescent="0.25">
      <c r="T3738" s="98"/>
      <c r="U3738" s="99"/>
    </row>
    <row r="3739" spans="20:21" x14ac:dyDescent="0.25">
      <c r="T3739" s="98"/>
      <c r="U3739" s="99"/>
    </row>
    <row r="3740" spans="20:21" x14ac:dyDescent="0.25">
      <c r="T3740" s="98"/>
      <c r="U3740" s="99"/>
    </row>
    <row r="3741" spans="20:21" x14ac:dyDescent="0.25">
      <c r="T3741" s="98"/>
      <c r="U3741" s="99"/>
    </row>
    <row r="3742" spans="20:21" x14ac:dyDescent="0.25">
      <c r="T3742" s="98"/>
      <c r="U3742" s="99"/>
    </row>
    <row r="3743" spans="20:21" x14ac:dyDescent="0.25">
      <c r="T3743" s="98"/>
      <c r="U3743" s="99"/>
    </row>
    <row r="3744" spans="20:21" x14ac:dyDescent="0.25">
      <c r="T3744" s="98"/>
      <c r="U3744" s="99"/>
    </row>
    <row r="3745" spans="20:21" x14ac:dyDescent="0.25">
      <c r="T3745" s="98"/>
      <c r="U3745" s="99"/>
    </row>
    <row r="3746" spans="20:21" x14ac:dyDescent="0.25">
      <c r="T3746" s="98"/>
      <c r="U3746" s="99"/>
    </row>
    <row r="3747" spans="20:21" x14ac:dyDescent="0.25">
      <c r="T3747" s="98"/>
      <c r="U3747" s="99"/>
    </row>
    <row r="3748" spans="20:21" x14ac:dyDescent="0.25">
      <c r="T3748" s="98"/>
      <c r="U3748" s="99"/>
    </row>
    <row r="3749" spans="20:21" x14ac:dyDescent="0.25">
      <c r="T3749" s="98"/>
      <c r="U3749" s="99"/>
    </row>
    <row r="3750" spans="20:21" x14ac:dyDescent="0.25">
      <c r="T3750" s="98"/>
      <c r="U3750" s="99"/>
    </row>
    <row r="3751" spans="20:21" x14ac:dyDescent="0.25">
      <c r="T3751" s="98"/>
      <c r="U3751" s="99"/>
    </row>
    <row r="3752" spans="20:21" x14ac:dyDescent="0.25">
      <c r="T3752" s="98"/>
      <c r="U3752" s="99"/>
    </row>
    <row r="3753" spans="20:21" x14ac:dyDescent="0.25">
      <c r="T3753" s="98"/>
      <c r="U3753" s="99"/>
    </row>
    <row r="3754" spans="20:21" x14ac:dyDescent="0.25">
      <c r="T3754" s="98"/>
      <c r="U3754" s="99"/>
    </row>
    <row r="3755" spans="20:21" x14ac:dyDescent="0.25">
      <c r="T3755" s="98"/>
      <c r="U3755" s="99"/>
    </row>
    <row r="3756" spans="20:21" x14ac:dyDescent="0.25">
      <c r="T3756" s="98"/>
      <c r="U3756" s="99"/>
    </row>
    <row r="3757" spans="20:21" x14ac:dyDescent="0.25">
      <c r="T3757" s="98"/>
      <c r="U3757" s="99"/>
    </row>
    <row r="3758" spans="20:21" x14ac:dyDescent="0.25">
      <c r="T3758" s="98"/>
      <c r="U3758" s="99"/>
    </row>
    <row r="3759" spans="20:21" x14ac:dyDescent="0.25">
      <c r="T3759" s="98"/>
      <c r="U3759" s="99"/>
    </row>
    <row r="3760" spans="20:21" x14ac:dyDescent="0.25">
      <c r="T3760" s="98"/>
      <c r="U3760" s="99"/>
    </row>
    <row r="3761" spans="20:21" x14ac:dyDescent="0.25">
      <c r="T3761" s="98"/>
      <c r="U3761" s="99"/>
    </row>
    <row r="3762" spans="20:21" x14ac:dyDescent="0.25">
      <c r="T3762" s="98"/>
      <c r="U3762" s="99"/>
    </row>
    <row r="3763" spans="20:21" x14ac:dyDescent="0.25">
      <c r="T3763" s="98"/>
      <c r="U3763" s="99"/>
    </row>
    <row r="3764" spans="20:21" x14ac:dyDescent="0.25">
      <c r="T3764" s="98"/>
      <c r="U3764" s="99"/>
    </row>
    <row r="3765" spans="20:21" x14ac:dyDescent="0.25">
      <c r="T3765" s="98"/>
      <c r="U3765" s="99"/>
    </row>
    <row r="3766" spans="20:21" x14ac:dyDescent="0.25">
      <c r="T3766" s="98"/>
      <c r="U3766" s="99"/>
    </row>
    <row r="3767" spans="20:21" x14ac:dyDescent="0.25">
      <c r="T3767" s="98"/>
      <c r="U3767" s="99"/>
    </row>
    <row r="3768" spans="20:21" x14ac:dyDescent="0.25">
      <c r="T3768" s="98"/>
      <c r="U3768" s="99"/>
    </row>
    <row r="3769" spans="20:21" x14ac:dyDescent="0.25">
      <c r="T3769" s="98"/>
      <c r="U3769" s="99"/>
    </row>
    <row r="3770" spans="20:21" x14ac:dyDescent="0.25">
      <c r="T3770" s="98"/>
      <c r="U3770" s="99"/>
    </row>
    <row r="3771" spans="20:21" x14ac:dyDescent="0.25">
      <c r="T3771" s="98"/>
      <c r="U3771" s="99"/>
    </row>
    <row r="3772" spans="20:21" x14ac:dyDescent="0.25">
      <c r="T3772" s="98"/>
      <c r="U3772" s="99"/>
    </row>
    <row r="3773" spans="20:21" x14ac:dyDescent="0.25">
      <c r="T3773" s="98"/>
      <c r="U3773" s="99"/>
    </row>
    <row r="3774" spans="20:21" x14ac:dyDescent="0.25">
      <c r="T3774" s="98"/>
      <c r="U3774" s="99"/>
    </row>
    <row r="3775" spans="20:21" x14ac:dyDescent="0.25">
      <c r="T3775" s="98"/>
      <c r="U3775" s="99"/>
    </row>
    <row r="3776" spans="20:21" x14ac:dyDescent="0.25">
      <c r="T3776" s="98"/>
      <c r="U3776" s="99"/>
    </row>
    <row r="3777" spans="20:21" x14ac:dyDescent="0.25">
      <c r="T3777" s="98"/>
      <c r="U3777" s="99"/>
    </row>
    <row r="3778" spans="20:21" x14ac:dyDescent="0.25">
      <c r="T3778" s="98"/>
      <c r="U3778" s="99"/>
    </row>
    <row r="3779" spans="20:21" x14ac:dyDescent="0.25">
      <c r="T3779" s="98"/>
      <c r="U3779" s="99"/>
    </row>
    <row r="3780" spans="20:21" x14ac:dyDescent="0.25">
      <c r="T3780" s="98"/>
      <c r="U3780" s="99"/>
    </row>
    <row r="3781" spans="20:21" x14ac:dyDescent="0.25">
      <c r="T3781" s="98"/>
      <c r="U3781" s="99"/>
    </row>
    <row r="3782" spans="20:21" x14ac:dyDescent="0.25">
      <c r="T3782" s="98"/>
      <c r="U3782" s="99"/>
    </row>
    <row r="3783" spans="20:21" x14ac:dyDescent="0.25">
      <c r="T3783" s="98"/>
      <c r="U3783" s="99"/>
    </row>
    <row r="3784" spans="20:21" x14ac:dyDescent="0.25">
      <c r="T3784" s="98"/>
      <c r="U3784" s="99"/>
    </row>
    <row r="3785" spans="20:21" x14ac:dyDescent="0.25">
      <c r="T3785" s="98"/>
      <c r="U3785" s="99"/>
    </row>
    <row r="3786" spans="20:21" x14ac:dyDescent="0.25">
      <c r="T3786" s="98"/>
      <c r="U3786" s="99"/>
    </row>
    <row r="3787" spans="20:21" x14ac:dyDescent="0.25">
      <c r="T3787" s="98"/>
      <c r="U3787" s="99"/>
    </row>
    <row r="3788" spans="20:21" x14ac:dyDescent="0.25">
      <c r="T3788" s="98"/>
      <c r="U3788" s="99"/>
    </row>
    <row r="3789" spans="20:21" x14ac:dyDescent="0.25">
      <c r="T3789" s="98"/>
      <c r="U3789" s="99"/>
    </row>
    <row r="3790" spans="20:21" x14ac:dyDescent="0.25">
      <c r="T3790" s="98"/>
      <c r="U3790" s="99"/>
    </row>
    <row r="3791" spans="20:21" x14ac:dyDescent="0.25">
      <c r="T3791" s="98"/>
      <c r="U3791" s="99"/>
    </row>
    <row r="3792" spans="20:21" x14ac:dyDescent="0.25">
      <c r="T3792" s="98"/>
      <c r="U3792" s="99"/>
    </row>
    <row r="3793" spans="20:21" x14ac:dyDescent="0.25">
      <c r="T3793" s="98"/>
      <c r="U3793" s="99"/>
    </row>
    <row r="3794" spans="20:21" x14ac:dyDescent="0.25">
      <c r="T3794" s="98"/>
      <c r="U3794" s="99"/>
    </row>
    <row r="3795" spans="20:21" x14ac:dyDescent="0.25">
      <c r="T3795" s="98"/>
      <c r="U3795" s="99"/>
    </row>
    <row r="3796" spans="20:21" x14ac:dyDescent="0.25">
      <c r="T3796" s="98"/>
      <c r="U3796" s="99"/>
    </row>
    <row r="3797" spans="20:21" x14ac:dyDescent="0.25">
      <c r="T3797" s="98"/>
      <c r="U3797" s="99"/>
    </row>
    <row r="3798" spans="20:21" x14ac:dyDescent="0.25">
      <c r="T3798" s="98"/>
      <c r="U3798" s="99"/>
    </row>
    <row r="3799" spans="20:21" x14ac:dyDescent="0.25">
      <c r="T3799" s="98"/>
      <c r="U3799" s="99"/>
    </row>
    <row r="3800" spans="20:21" x14ac:dyDescent="0.25">
      <c r="T3800" s="98"/>
      <c r="U3800" s="99"/>
    </row>
    <row r="3801" spans="20:21" x14ac:dyDescent="0.25">
      <c r="T3801" s="98"/>
      <c r="U3801" s="99"/>
    </row>
    <row r="3802" spans="20:21" x14ac:dyDescent="0.25">
      <c r="T3802" s="98"/>
      <c r="U3802" s="99"/>
    </row>
    <row r="3803" spans="20:21" x14ac:dyDescent="0.25">
      <c r="T3803" s="98"/>
      <c r="U3803" s="99"/>
    </row>
    <row r="3804" spans="20:21" x14ac:dyDescent="0.25">
      <c r="T3804" s="98"/>
      <c r="U3804" s="99"/>
    </row>
    <row r="3805" spans="20:21" x14ac:dyDescent="0.25">
      <c r="T3805" s="98"/>
      <c r="U3805" s="99"/>
    </row>
    <row r="3806" spans="20:21" x14ac:dyDescent="0.25">
      <c r="T3806" s="98"/>
      <c r="U3806" s="99"/>
    </row>
    <row r="3807" spans="20:21" x14ac:dyDescent="0.25">
      <c r="T3807" s="98"/>
      <c r="U3807" s="99"/>
    </row>
    <row r="3808" spans="20:21" x14ac:dyDescent="0.25">
      <c r="T3808" s="98"/>
      <c r="U3808" s="99"/>
    </row>
    <row r="3809" spans="20:21" x14ac:dyDescent="0.25">
      <c r="T3809" s="98"/>
      <c r="U3809" s="99"/>
    </row>
    <row r="3810" spans="20:21" x14ac:dyDescent="0.25">
      <c r="T3810" s="98"/>
      <c r="U3810" s="99"/>
    </row>
    <row r="3811" spans="20:21" x14ac:dyDescent="0.25">
      <c r="T3811" s="98"/>
      <c r="U3811" s="99"/>
    </row>
    <row r="3812" spans="20:21" x14ac:dyDescent="0.25">
      <c r="T3812" s="98"/>
      <c r="U3812" s="99"/>
    </row>
    <row r="3813" spans="20:21" x14ac:dyDescent="0.25">
      <c r="T3813" s="98"/>
      <c r="U3813" s="99"/>
    </row>
    <row r="3814" spans="20:21" x14ac:dyDescent="0.25">
      <c r="T3814" s="98"/>
      <c r="U3814" s="99"/>
    </row>
    <row r="3815" spans="20:21" x14ac:dyDescent="0.25">
      <c r="T3815" s="98"/>
      <c r="U3815" s="99"/>
    </row>
    <row r="3816" spans="20:21" x14ac:dyDescent="0.25">
      <c r="T3816" s="98"/>
      <c r="U3816" s="99"/>
    </row>
    <row r="3817" spans="20:21" x14ac:dyDescent="0.25">
      <c r="T3817" s="98"/>
      <c r="U3817" s="99"/>
    </row>
    <row r="3818" spans="20:21" x14ac:dyDescent="0.25">
      <c r="T3818" s="98"/>
      <c r="U3818" s="99"/>
    </row>
    <row r="3819" spans="20:21" x14ac:dyDescent="0.25">
      <c r="T3819" s="98"/>
      <c r="U3819" s="99"/>
    </row>
    <row r="3820" spans="20:21" x14ac:dyDescent="0.25">
      <c r="T3820" s="98"/>
      <c r="U3820" s="99"/>
    </row>
    <row r="3821" spans="20:21" x14ac:dyDescent="0.25">
      <c r="T3821" s="98"/>
      <c r="U3821" s="99"/>
    </row>
    <row r="3822" spans="20:21" x14ac:dyDescent="0.25">
      <c r="T3822" s="98"/>
      <c r="U3822" s="99"/>
    </row>
    <row r="3823" spans="20:21" x14ac:dyDescent="0.25">
      <c r="T3823" s="98"/>
      <c r="U3823" s="99"/>
    </row>
    <row r="3824" spans="20:21" x14ac:dyDescent="0.25">
      <c r="T3824" s="98"/>
      <c r="U3824" s="99"/>
    </row>
    <row r="3825" spans="20:21" x14ac:dyDescent="0.25">
      <c r="T3825" s="98"/>
      <c r="U3825" s="99"/>
    </row>
    <row r="3826" spans="20:21" x14ac:dyDescent="0.25">
      <c r="T3826" s="98"/>
      <c r="U3826" s="99"/>
    </row>
    <row r="3827" spans="20:21" x14ac:dyDescent="0.25">
      <c r="T3827" s="98"/>
      <c r="U3827" s="99"/>
    </row>
    <row r="3828" spans="20:21" x14ac:dyDescent="0.25">
      <c r="T3828" s="98"/>
      <c r="U3828" s="99"/>
    </row>
    <row r="3829" spans="20:21" x14ac:dyDescent="0.25">
      <c r="T3829" s="98"/>
      <c r="U3829" s="99"/>
    </row>
    <row r="3830" spans="20:21" x14ac:dyDescent="0.25">
      <c r="T3830" s="98"/>
      <c r="U3830" s="99"/>
    </row>
    <row r="3831" spans="20:21" x14ac:dyDescent="0.25">
      <c r="T3831" s="98"/>
      <c r="U3831" s="99"/>
    </row>
    <row r="3832" spans="20:21" x14ac:dyDescent="0.25">
      <c r="T3832" s="98"/>
      <c r="U3832" s="99"/>
    </row>
    <row r="3833" spans="20:21" x14ac:dyDescent="0.25">
      <c r="T3833" s="98"/>
      <c r="U3833" s="99"/>
    </row>
    <row r="3834" spans="20:21" x14ac:dyDescent="0.25">
      <c r="T3834" s="98"/>
      <c r="U3834" s="99"/>
    </row>
    <row r="3835" spans="20:21" x14ac:dyDescent="0.25">
      <c r="T3835" s="98"/>
      <c r="U3835" s="99"/>
    </row>
    <row r="3836" spans="20:21" x14ac:dyDescent="0.25">
      <c r="T3836" s="98"/>
      <c r="U3836" s="99"/>
    </row>
    <row r="3837" spans="20:21" x14ac:dyDescent="0.25">
      <c r="T3837" s="98"/>
      <c r="U3837" s="99"/>
    </row>
    <row r="3838" spans="20:21" x14ac:dyDescent="0.25">
      <c r="T3838" s="98"/>
      <c r="U3838" s="99"/>
    </row>
    <row r="3839" spans="20:21" x14ac:dyDescent="0.25">
      <c r="T3839" s="98"/>
      <c r="U3839" s="99"/>
    </row>
    <row r="3840" spans="20:21" x14ac:dyDescent="0.25">
      <c r="T3840" s="98"/>
      <c r="U3840" s="99"/>
    </row>
    <row r="3841" spans="20:21" x14ac:dyDescent="0.25">
      <c r="T3841" s="98"/>
      <c r="U3841" s="99"/>
    </row>
    <row r="3842" spans="20:21" x14ac:dyDescent="0.25">
      <c r="T3842" s="98"/>
      <c r="U3842" s="99"/>
    </row>
    <row r="3843" spans="20:21" x14ac:dyDescent="0.25">
      <c r="T3843" s="98"/>
      <c r="U3843" s="99"/>
    </row>
    <row r="3844" spans="20:21" x14ac:dyDescent="0.25">
      <c r="T3844" s="98"/>
      <c r="U3844" s="99"/>
    </row>
    <row r="3845" spans="20:21" x14ac:dyDescent="0.25">
      <c r="T3845" s="98"/>
      <c r="U3845" s="99"/>
    </row>
    <row r="3846" spans="20:21" x14ac:dyDescent="0.25">
      <c r="T3846" s="98"/>
      <c r="U3846" s="99"/>
    </row>
    <row r="3847" spans="20:21" x14ac:dyDescent="0.25">
      <c r="T3847" s="98"/>
      <c r="U3847" s="99"/>
    </row>
    <row r="3848" spans="20:21" x14ac:dyDescent="0.25">
      <c r="T3848" s="98"/>
      <c r="U3848" s="99"/>
    </row>
    <row r="3849" spans="20:21" x14ac:dyDescent="0.25">
      <c r="T3849" s="98"/>
      <c r="U3849" s="99"/>
    </row>
    <row r="3850" spans="20:21" x14ac:dyDescent="0.25">
      <c r="T3850" s="98"/>
      <c r="U3850" s="99"/>
    </row>
    <row r="3851" spans="20:21" x14ac:dyDescent="0.25">
      <c r="T3851" s="98"/>
      <c r="U3851" s="99"/>
    </row>
    <row r="3852" spans="20:21" x14ac:dyDescent="0.25">
      <c r="T3852" s="98"/>
      <c r="U3852" s="99"/>
    </row>
    <row r="3853" spans="20:21" x14ac:dyDescent="0.25">
      <c r="T3853" s="98"/>
      <c r="U3853" s="99"/>
    </row>
    <row r="3854" spans="20:21" x14ac:dyDescent="0.25">
      <c r="T3854" s="98"/>
      <c r="U3854" s="99"/>
    </row>
    <row r="3855" spans="20:21" x14ac:dyDescent="0.25">
      <c r="T3855" s="98"/>
      <c r="U3855" s="99"/>
    </row>
    <row r="3856" spans="20:21" x14ac:dyDescent="0.25">
      <c r="T3856" s="98"/>
      <c r="U3856" s="99"/>
    </row>
    <row r="3857" spans="20:21" x14ac:dyDescent="0.25">
      <c r="T3857" s="98"/>
      <c r="U3857" s="99"/>
    </row>
    <row r="3858" spans="20:21" x14ac:dyDescent="0.25">
      <c r="T3858" s="98"/>
      <c r="U3858" s="99"/>
    </row>
    <row r="3859" spans="20:21" x14ac:dyDescent="0.25">
      <c r="T3859" s="98"/>
      <c r="U3859" s="99"/>
    </row>
    <row r="3860" spans="20:21" x14ac:dyDescent="0.25">
      <c r="T3860" s="98"/>
      <c r="U3860" s="99"/>
    </row>
    <row r="3861" spans="20:21" x14ac:dyDescent="0.25">
      <c r="T3861" s="98"/>
      <c r="U3861" s="99"/>
    </row>
    <row r="3862" spans="20:21" x14ac:dyDescent="0.25">
      <c r="T3862" s="98"/>
      <c r="U3862" s="99"/>
    </row>
    <row r="3863" spans="20:21" x14ac:dyDescent="0.25">
      <c r="T3863" s="98"/>
      <c r="U3863" s="99"/>
    </row>
    <row r="3864" spans="20:21" x14ac:dyDescent="0.25">
      <c r="T3864" s="98"/>
      <c r="U3864" s="99"/>
    </row>
    <row r="3865" spans="20:21" x14ac:dyDescent="0.25">
      <c r="T3865" s="98"/>
      <c r="U3865" s="99"/>
    </row>
    <row r="3866" spans="20:21" x14ac:dyDescent="0.25">
      <c r="T3866" s="98"/>
      <c r="U3866" s="99"/>
    </row>
    <row r="3867" spans="20:21" x14ac:dyDescent="0.25">
      <c r="T3867" s="98"/>
      <c r="U3867" s="99"/>
    </row>
    <row r="3868" spans="20:21" x14ac:dyDescent="0.25">
      <c r="T3868" s="98"/>
      <c r="U3868" s="99"/>
    </row>
    <row r="3869" spans="20:21" x14ac:dyDescent="0.25">
      <c r="T3869" s="98"/>
      <c r="U3869" s="99"/>
    </row>
    <row r="3870" spans="20:21" x14ac:dyDescent="0.25">
      <c r="T3870" s="98"/>
      <c r="U3870" s="99"/>
    </row>
    <row r="3871" spans="20:21" x14ac:dyDescent="0.25">
      <c r="T3871" s="98"/>
      <c r="U3871" s="99"/>
    </row>
    <row r="3872" spans="20:21" x14ac:dyDescent="0.25">
      <c r="T3872" s="98"/>
      <c r="U3872" s="99"/>
    </row>
    <row r="3873" spans="20:21" x14ac:dyDescent="0.25">
      <c r="T3873" s="98"/>
      <c r="U3873" s="99"/>
    </row>
    <row r="3874" spans="20:21" x14ac:dyDescent="0.25">
      <c r="T3874" s="98"/>
      <c r="U3874" s="99"/>
    </row>
    <row r="3875" spans="20:21" x14ac:dyDescent="0.25">
      <c r="T3875" s="98"/>
      <c r="U3875" s="99"/>
    </row>
    <row r="3876" spans="20:21" x14ac:dyDescent="0.25">
      <c r="T3876" s="98"/>
      <c r="U3876" s="99"/>
    </row>
    <row r="3877" spans="20:21" x14ac:dyDescent="0.25">
      <c r="T3877" s="98"/>
      <c r="U3877" s="99"/>
    </row>
    <row r="3878" spans="20:21" x14ac:dyDescent="0.25">
      <c r="T3878" s="98"/>
      <c r="U3878" s="99"/>
    </row>
    <row r="3879" spans="20:21" x14ac:dyDescent="0.25">
      <c r="T3879" s="98"/>
      <c r="U3879" s="99"/>
    </row>
    <row r="3880" spans="20:21" x14ac:dyDescent="0.25">
      <c r="T3880" s="98"/>
      <c r="U3880" s="99"/>
    </row>
    <row r="3881" spans="20:21" x14ac:dyDescent="0.25">
      <c r="T3881" s="98"/>
      <c r="U3881" s="99"/>
    </row>
    <row r="3882" spans="20:21" x14ac:dyDescent="0.25">
      <c r="T3882" s="98"/>
      <c r="U3882" s="99"/>
    </row>
    <row r="3883" spans="20:21" x14ac:dyDescent="0.25">
      <c r="T3883" s="98"/>
      <c r="U3883" s="99"/>
    </row>
    <row r="3884" spans="20:21" x14ac:dyDescent="0.25">
      <c r="T3884" s="98"/>
      <c r="U3884" s="99"/>
    </row>
    <row r="3885" spans="20:21" x14ac:dyDescent="0.25">
      <c r="T3885" s="98"/>
      <c r="U3885" s="99"/>
    </row>
    <row r="3886" spans="20:21" x14ac:dyDescent="0.25">
      <c r="T3886" s="98"/>
      <c r="U3886" s="99"/>
    </row>
    <row r="3887" spans="20:21" x14ac:dyDescent="0.25">
      <c r="T3887" s="98"/>
      <c r="U3887" s="99"/>
    </row>
    <row r="3888" spans="20:21" x14ac:dyDescent="0.25">
      <c r="T3888" s="98"/>
      <c r="U3888" s="99"/>
    </row>
    <row r="3889" spans="20:21" x14ac:dyDescent="0.25">
      <c r="T3889" s="98"/>
      <c r="U3889" s="99"/>
    </row>
    <row r="3890" spans="20:21" x14ac:dyDescent="0.25">
      <c r="T3890" s="98"/>
      <c r="U3890" s="99"/>
    </row>
    <row r="3891" spans="20:21" x14ac:dyDescent="0.25">
      <c r="T3891" s="98"/>
      <c r="U3891" s="99"/>
    </row>
    <row r="3892" spans="20:21" x14ac:dyDescent="0.25">
      <c r="T3892" s="98"/>
      <c r="U3892" s="99"/>
    </row>
    <row r="3893" spans="20:21" x14ac:dyDescent="0.25">
      <c r="T3893" s="98"/>
      <c r="U3893" s="99"/>
    </row>
    <row r="3894" spans="20:21" x14ac:dyDescent="0.25">
      <c r="T3894" s="98"/>
      <c r="U3894" s="99"/>
    </row>
    <row r="3895" spans="20:21" x14ac:dyDescent="0.25">
      <c r="T3895" s="98"/>
      <c r="U3895" s="99"/>
    </row>
    <row r="3896" spans="20:21" x14ac:dyDescent="0.25">
      <c r="T3896" s="98"/>
      <c r="U3896" s="99"/>
    </row>
    <row r="3897" spans="20:21" x14ac:dyDescent="0.25">
      <c r="T3897" s="98"/>
      <c r="U3897" s="99"/>
    </row>
    <row r="3898" spans="20:21" x14ac:dyDescent="0.25">
      <c r="T3898" s="98"/>
      <c r="U3898" s="99"/>
    </row>
    <row r="3899" spans="20:21" x14ac:dyDescent="0.25">
      <c r="T3899" s="98"/>
      <c r="U3899" s="99"/>
    </row>
    <row r="3900" spans="20:21" x14ac:dyDescent="0.25">
      <c r="T3900" s="98"/>
      <c r="U3900" s="99"/>
    </row>
    <row r="3901" spans="20:21" x14ac:dyDescent="0.25">
      <c r="T3901" s="98"/>
      <c r="U3901" s="99"/>
    </row>
    <row r="3902" spans="20:21" x14ac:dyDescent="0.25">
      <c r="T3902" s="98"/>
      <c r="U3902" s="99"/>
    </row>
    <row r="3903" spans="20:21" x14ac:dyDescent="0.25">
      <c r="T3903" s="98"/>
      <c r="U3903" s="99"/>
    </row>
    <row r="3904" spans="20:21" x14ac:dyDescent="0.25">
      <c r="T3904" s="98"/>
      <c r="U3904" s="99"/>
    </row>
    <row r="3905" spans="20:21" x14ac:dyDescent="0.25">
      <c r="T3905" s="98"/>
      <c r="U3905" s="99"/>
    </row>
    <row r="3906" spans="20:21" x14ac:dyDescent="0.25">
      <c r="T3906" s="98"/>
      <c r="U3906" s="99"/>
    </row>
    <row r="3907" spans="20:21" x14ac:dyDescent="0.25">
      <c r="T3907" s="98"/>
      <c r="U3907" s="99"/>
    </row>
    <row r="3908" spans="20:21" x14ac:dyDescent="0.25">
      <c r="T3908" s="98"/>
      <c r="U3908" s="99"/>
    </row>
    <row r="3909" spans="20:21" x14ac:dyDescent="0.25">
      <c r="T3909" s="98"/>
      <c r="U3909" s="99"/>
    </row>
    <row r="3910" spans="20:21" x14ac:dyDescent="0.25">
      <c r="T3910" s="98"/>
      <c r="U3910" s="99"/>
    </row>
    <row r="3911" spans="20:21" x14ac:dyDescent="0.25">
      <c r="T3911" s="98"/>
      <c r="U3911" s="99"/>
    </row>
    <row r="3912" spans="20:21" x14ac:dyDescent="0.25">
      <c r="T3912" s="98"/>
      <c r="U3912" s="99"/>
    </row>
    <row r="3913" spans="20:21" x14ac:dyDescent="0.25">
      <c r="T3913" s="98"/>
      <c r="U3913" s="99"/>
    </row>
    <row r="3914" spans="20:21" x14ac:dyDescent="0.25">
      <c r="T3914" s="98"/>
      <c r="U3914" s="99"/>
    </row>
    <row r="3915" spans="20:21" x14ac:dyDescent="0.25">
      <c r="T3915" s="98"/>
      <c r="U3915" s="99"/>
    </row>
    <row r="3916" spans="20:21" x14ac:dyDescent="0.25">
      <c r="T3916" s="98"/>
      <c r="U3916" s="99"/>
    </row>
    <row r="3917" spans="20:21" x14ac:dyDescent="0.25">
      <c r="T3917" s="98"/>
      <c r="U3917" s="99"/>
    </row>
    <row r="3918" spans="20:21" x14ac:dyDescent="0.25">
      <c r="T3918" s="98"/>
      <c r="U3918" s="99"/>
    </row>
    <row r="3919" spans="20:21" x14ac:dyDescent="0.25">
      <c r="T3919" s="98"/>
      <c r="U3919" s="99"/>
    </row>
    <row r="3920" spans="20:21" x14ac:dyDescent="0.25">
      <c r="T3920" s="98"/>
      <c r="U3920" s="99"/>
    </row>
    <row r="3921" spans="20:21" x14ac:dyDescent="0.25">
      <c r="T3921" s="98"/>
      <c r="U3921" s="99"/>
    </row>
    <row r="3922" spans="20:21" x14ac:dyDescent="0.25">
      <c r="T3922" s="98"/>
      <c r="U3922" s="99"/>
    </row>
    <row r="3923" spans="20:21" x14ac:dyDescent="0.25">
      <c r="T3923" s="98"/>
      <c r="U3923" s="99"/>
    </row>
    <row r="3924" spans="20:21" x14ac:dyDescent="0.25">
      <c r="T3924" s="98"/>
      <c r="U3924" s="99"/>
    </row>
    <row r="3925" spans="20:21" x14ac:dyDescent="0.25">
      <c r="T3925" s="98"/>
      <c r="U3925" s="99"/>
    </row>
    <row r="3926" spans="20:21" x14ac:dyDescent="0.25">
      <c r="T3926" s="98"/>
      <c r="U3926" s="99"/>
    </row>
    <row r="3927" spans="20:21" x14ac:dyDescent="0.25">
      <c r="T3927" s="98"/>
      <c r="U3927" s="99"/>
    </row>
    <row r="3928" spans="20:21" x14ac:dyDescent="0.25">
      <c r="T3928" s="98"/>
      <c r="U3928" s="99"/>
    </row>
    <row r="3929" spans="20:21" x14ac:dyDescent="0.25">
      <c r="T3929" s="98"/>
      <c r="U3929" s="99"/>
    </row>
    <row r="3930" spans="20:21" x14ac:dyDescent="0.25">
      <c r="T3930" s="98"/>
      <c r="U3930" s="99"/>
    </row>
    <row r="3931" spans="20:21" x14ac:dyDescent="0.25">
      <c r="T3931" s="98"/>
      <c r="U3931" s="99"/>
    </row>
    <row r="3932" spans="20:21" x14ac:dyDescent="0.25">
      <c r="T3932" s="98"/>
      <c r="U3932" s="99"/>
    </row>
    <row r="3933" spans="20:21" x14ac:dyDescent="0.25">
      <c r="T3933" s="98"/>
      <c r="U3933" s="99"/>
    </row>
    <row r="3934" spans="20:21" x14ac:dyDescent="0.25">
      <c r="T3934" s="98"/>
      <c r="U3934" s="99"/>
    </row>
    <row r="3935" spans="20:21" x14ac:dyDescent="0.25">
      <c r="T3935" s="98"/>
      <c r="U3935" s="99"/>
    </row>
    <row r="3936" spans="20:21" x14ac:dyDescent="0.25">
      <c r="T3936" s="98"/>
      <c r="U3936" s="99"/>
    </row>
    <row r="3937" spans="20:21" x14ac:dyDescent="0.25">
      <c r="T3937" s="98"/>
      <c r="U3937" s="99"/>
    </row>
    <row r="3938" spans="20:21" x14ac:dyDescent="0.25">
      <c r="T3938" s="98"/>
      <c r="U3938" s="99"/>
    </row>
    <row r="3939" spans="20:21" x14ac:dyDescent="0.25">
      <c r="T3939" s="98"/>
      <c r="U3939" s="99"/>
    </row>
    <row r="3940" spans="20:21" x14ac:dyDescent="0.25">
      <c r="T3940" s="98"/>
      <c r="U3940" s="99"/>
    </row>
    <row r="3941" spans="20:21" x14ac:dyDescent="0.25">
      <c r="T3941" s="98"/>
      <c r="U3941" s="99"/>
    </row>
    <row r="3942" spans="20:21" x14ac:dyDescent="0.25">
      <c r="T3942" s="98"/>
      <c r="U3942" s="99"/>
    </row>
    <row r="3943" spans="20:21" x14ac:dyDescent="0.25">
      <c r="T3943" s="98"/>
      <c r="U3943" s="99"/>
    </row>
    <row r="3944" spans="20:21" x14ac:dyDescent="0.25">
      <c r="T3944" s="98"/>
      <c r="U3944" s="99"/>
    </row>
    <row r="3945" spans="20:21" x14ac:dyDescent="0.25">
      <c r="T3945" s="98"/>
      <c r="U3945" s="99"/>
    </row>
    <row r="3946" spans="20:21" x14ac:dyDescent="0.25">
      <c r="T3946" s="98"/>
      <c r="U3946" s="99"/>
    </row>
    <row r="3947" spans="20:21" x14ac:dyDescent="0.25">
      <c r="T3947" s="98"/>
      <c r="U3947" s="99"/>
    </row>
    <row r="3948" spans="20:21" x14ac:dyDescent="0.25">
      <c r="T3948" s="98"/>
      <c r="U3948" s="99"/>
    </row>
    <row r="3949" spans="20:21" x14ac:dyDescent="0.25">
      <c r="T3949" s="98"/>
      <c r="U3949" s="99"/>
    </row>
    <row r="3950" spans="20:21" x14ac:dyDescent="0.25">
      <c r="T3950" s="98"/>
      <c r="U3950" s="99"/>
    </row>
    <row r="3951" spans="20:21" x14ac:dyDescent="0.25">
      <c r="T3951" s="98"/>
      <c r="U3951" s="99"/>
    </row>
    <row r="3952" spans="20:21" x14ac:dyDescent="0.25">
      <c r="T3952" s="98"/>
      <c r="U3952" s="99"/>
    </row>
    <row r="3953" spans="20:21" x14ac:dyDescent="0.25">
      <c r="T3953" s="98"/>
      <c r="U3953" s="99"/>
    </row>
    <row r="3954" spans="20:21" x14ac:dyDescent="0.25">
      <c r="T3954" s="98"/>
      <c r="U3954" s="99"/>
    </row>
    <row r="3955" spans="20:21" x14ac:dyDescent="0.25">
      <c r="T3955" s="98"/>
      <c r="U3955" s="99"/>
    </row>
    <row r="3956" spans="20:21" x14ac:dyDescent="0.25">
      <c r="T3956" s="98"/>
      <c r="U3956" s="99"/>
    </row>
    <row r="3957" spans="20:21" x14ac:dyDescent="0.25">
      <c r="T3957" s="98"/>
      <c r="U3957" s="99"/>
    </row>
    <row r="3958" spans="20:21" x14ac:dyDescent="0.25">
      <c r="T3958" s="98"/>
      <c r="U3958" s="99"/>
    </row>
    <row r="3959" spans="20:21" x14ac:dyDescent="0.25">
      <c r="T3959" s="98"/>
      <c r="U3959" s="99"/>
    </row>
    <row r="3960" spans="20:21" x14ac:dyDescent="0.25">
      <c r="T3960" s="98"/>
      <c r="U3960" s="99"/>
    </row>
    <row r="3961" spans="20:21" x14ac:dyDescent="0.25">
      <c r="T3961" s="98"/>
      <c r="U3961" s="99"/>
    </row>
    <row r="3962" spans="20:21" x14ac:dyDescent="0.25">
      <c r="T3962" s="98"/>
      <c r="U3962" s="99"/>
    </row>
    <row r="3963" spans="20:21" x14ac:dyDescent="0.25">
      <c r="T3963" s="98"/>
      <c r="U3963" s="99"/>
    </row>
    <row r="3964" spans="20:21" x14ac:dyDescent="0.25">
      <c r="T3964" s="98"/>
      <c r="U3964" s="99"/>
    </row>
    <row r="3965" spans="20:21" x14ac:dyDescent="0.25">
      <c r="T3965" s="98"/>
      <c r="U3965" s="99"/>
    </row>
    <row r="3966" spans="20:21" x14ac:dyDescent="0.25">
      <c r="T3966" s="98"/>
      <c r="U3966" s="99"/>
    </row>
    <row r="3967" spans="20:21" x14ac:dyDescent="0.25">
      <c r="T3967" s="98"/>
      <c r="U3967" s="99"/>
    </row>
    <row r="3968" spans="20:21" x14ac:dyDescent="0.25">
      <c r="T3968" s="98"/>
      <c r="U3968" s="99"/>
    </row>
    <row r="3969" spans="20:21" x14ac:dyDescent="0.25">
      <c r="T3969" s="98"/>
      <c r="U3969" s="99"/>
    </row>
    <row r="3970" spans="20:21" x14ac:dyDescent="0.25">
      <c r="T3970" s="98"/>
      <c r="U3970" s="99"/>
    </row>
    <row r="3971" spans="20:21" x14ac:dyDescent="0.25">
      <c r="T3971" s="98"/>
      <c r="U3971" s="99"/>
    </row>
    <row r="3972" spans="20:21" x14ac:dyDescent="0.25">
      <c r="T3972" s="98"/>
      <c r="U3972" s="99"/>
    </row>
    <row r="3973" spans="20:21" x14ac:dyDescent="0.25">
      <c r="T3973" s="98"/>
      <c r="U3973" s="99"/>
    </row>
    <row r="3974" spans="20:21" x14ac:dyDescent="0.25">
      <c r="T3974" s="98"/>
      <c r="U3974" s="99"/>
    </row>
    <row r="3975" spans="20:21" x14ac:dyDescent="0.25">
      <c r="T3975" s="98"/>
      <c r="U3975" s="99"/>
    </row>
    <row r="3976" spans="20:21" x14ac:dyDescent="0.25">
      <c r="T3976" s="98"/>
      <c r="U3976" s="99"/>
    </row>
    <row r="3977" spans="20:21" x14ac:dyDescent="0.25">
      <c r="T3977" s="98"/>
      <c r="U3977" s="99"/>
    </row>
    <row r="3978" spans="20:21" x14ac:dyDescent="0.25">
      <c r="T3978" s="98"/>
      <c r="U3978" s="99"/>
    </row>
    <row r="3979" spans="20:21" x14ac:dyDescent="0.25">
      <c r="T3979" s="98"/>
      <c r="U3979" s="99"/>
    </row>
    <row r="3980" spans="20:21" x14ac:dyDescent="0.25">
      <c r="T3980" s="98"/>
      <c r="U3980" s="99"/>
    </row>
    <row r="3981" spans="20:21" x14ac:dyDescent="0.25">
      <c r="T3981" s="98"/>
      <c r="U3981" s="99"/>
    </row>
    <row r="3982" spans="20:21" x14ac:dyDescent="0.25">
      <c r="T3982" s="98"/>
      <c r="U3982" s="99"/>
    </row>
    <row r="3983" spans="20:21" x14ac:dyDescent="0.25">
      <c r="T3983" s="98"/>
      <c r="U3983" s="99"/>
    </row>
    <row r="3984" spans="20:21" x14ac:dyDescent="0.25">
      <c r="T3984" s="98"/>
      <c r="U3984" s="99"/>
    </row>
    <row r="3985" spans="20:21" x14ac:dyDescent="0.25">
      <c r="T3985" s="98"/>
      <c r="U3985" s="99"/>
    </row>
    <row r="3986" spans="20:21" x14ac:dyDescent="0.25">
      <c r="T3986" s="98"/>
      <c r="U3986" s="99"/>
    </row>
    <row r="3987" spans="20:21" x14ac:dyDescent="0.25">
      <c r="T3987" s="98"/>
      <c r="U3987" s="99"/>
    </row>
    <row r="3988" spans="20:21" x14ac:dyDescent="0.25">
      <c r="T3988" s="98"/>
      <c r="U3988" s="99"/>
    </row>
    <row r="3989" spans="20:21" x14ac:dyDescent="0.25">
      <c r="T3989" s="98"/>
      <c r="U3989" s="99"/>
    </row>
    <row r="3990" spans="20:21" x14ac:dyDescent="0.25">
      <c r="T3990" s="98"/>
      <c r="U3990" s="99"/>
    </row>
    <row r="3991" spans="20:21" x14ac:dyDescent="0.25">
      <c r="T3991" s="98"/>
      <c r="U3991" s="99"/>
    </row>
    <row r="3992" spans="20:21" x14ac:dyDescent="0.25">
      <c r="T3992" s="98"/>
      <c r="U3992" s="99"/>
    </row>
    <row r="3993" spans="20:21" x14ac:dyDescent="0.25">
      <c r="T3993" s="98"/>
      <c r="U3993" s="99"/>
    </row>
    <row r="3994" spans="20:21" x14ac:dyDescent="0.25">
      <c r="T3994" s="98"/>
      <c r="U3994" s="99"/>
    </row>
    <row r="3995" spans="20:21" x14ac:dyDescent="0.25">
      <c r="T3995" s="98"/>
      <c r="U3995" s="99"/>
    </row>
    <row r="3996" spans="20:21" x14ac:dyDescent="0.25">
      <c r="T3996" s="98"/>
      <c r="U3996" s="99"/>
    </row>
    <row r="3997" spans="20:21" x14ac:dyDescent="0.25">
      <c r="T3997" s="98"/>
      <c r="U3997" s="99"/>
    </row>
    <row r="3998" spans="20:21" x14ac:dyDescent="0.25">
      <c r="T3998" s="98"/>
      <c r="U3998" s="99"/>
    </row>
    <row r="3999" spans="20:21" x14ac:dyDescent="0.25">
      <c r="T3999" s="98"/>
      <c r="U3999" s="99"/>
    </row>
    <row r="4000" spans="20:21" x14ac:dyDescent="0.25">
      <c r="T4000" s="98"/>
      <c r="U4000" s="99"/>
    </row>
    <row r="4001" spans="20:21" x14ac:dyDescent="0.25">
      <c r="T4001" s="98"/>
      <c r="U4001" s="99"/>
    </row>
    <row r="4002" spans="20:21" x14ac:dyDescent="0.25">
      <c r="T4002" s="98"/>
      <c r="U4002" s="99"/>
    </row>
    <row r="4003" spans="20:21" x14ac:dyDescent="0.25">
      <c r="T4003" s="98"/>
      <c r="U4003" s="99"/>
    </row>
    <row r="4004" spans="20:21" x14ac:dyDescent="0.25">
      <c r="T4004" s="98"/>
      <c r="U4004" s="99"/>
    </row>
    <row r="4005" spans="20:21" x14ac:dyDescent="0.25">
      <c r="T4005" s="98"/>
      <c r="U4005" s="99"/>
    </row>
    <row r="4006" spans="20:21" x14ac:dyDescent="0.25">
      <c r="T4006" s="98"/>
      <c r="U4006" s="99"/>
    </row>
    <row r="4007" spans="20:21" x14ac:dyDescent="0.25">
      <c r="T4007" s="98"/>
      <c r="U4007" s="99"/>
    </row>
    <row r="4008" spans="20:21" x14ac:dyDescent="0.25">
      <c r="T4008" s="98"/>
      <c r="U4008" s="99"/>
    </row>
    <row r="4009" spans="20:21" x14ac:dyDescent="0.25">
      <c r="T4009" s="98"/>
      <c r="U4009" s="99"/>
    </row>
    <row r="4010" spans="20:21" x14ac:dyDescent="0.25">
      <c r="T4010" s="98"/>
      <c r="U4010" s="99"/>
    </row>
    <row r="4011" spans="20:21" x14ac:dyDescent="0.25">
      <c r="T4011" s="98"/>
      <c r="U4011" s="99"/>
    </row>
    <row r="4012" spans="20:21" x14ac:dyDescent="0.25">
      <c r="T4012" s="98"/>
      <c r="U4012" s="99"/>
    </row>
    <row r="4013" spans="20:21" x14ac:dyDescent="0.25">
      <c r="T4013" s="98"/>
      <c r="U4013" s="99"/>
    </row>
    <row r="4014" spans="20:21" x14ac:dyDescent="0.25">
      <c r="T4014" s="98"/>
      <c r="U4014" s="99"/>
    </row>
    <row r="4015" spans="20:21" x14ac:dyDescent="0.25">
      <c r="T4015" s="98"/>
      <c r="U4015" s="99"/>
    </row>
    <row r="4016" spans="20:21" x14ac:dyDescent="0.25">
      <c r="T4016" s="98"/>
      <c r="U4016" s="99"/>
    </row>
    <row r="4017" spans="20:21" x14ac:dyDescent="0.25">
      <c r="T4017" s="98"/>
      <c r="U4017" s="99"/>
    </row>
    <row r="4018" spans="20:21" x14ac:dyDescent="0.25">
      <c r="T4018" s="98"/>
      <c r="U4018" s="99"/>
    </row>
    <row r="4019" spans="20:21" x14ac:dyDescent="0.25">
      <c r="T4019" s="98"/>
      <c r="U4019" s="99"/>
    </row>
    <row r="4020" spans="20:21" x14ac:dyDescent="0.25">
      <c r="T4020" s="98"/>
      <c r="U4020" s="99"/>
    </row>
    <row r="4021" spans="20:21" x14ac:dyDescent="0.25">
      <c r="T4021" s="98"/>
      <c r="U4021" s="99"/>
    </row>
    <row r="4022" spans="20:21" x14ac:dyDescent="0.25">
      <c r="T4022" s="98"/>
      <c r="U4022" s="99"/>
    </row>
    <row r="4023" spans="20:21" x14ac:dyDescent="0.25">
      <c r="T4023" s="98"/>
      <c r="U4023" s="99"/>
    </row>
    <row r="4024" spans="20:21" x14ac:dyDescent="0.25">
      <c r="T4024" s="98"/>
      <c r="U4024" s="99"/>
    </row>
    <row r="4025" spans="20:21" x14ac:dyDescent="0.25">
      <c r="T4025" s="98"/>
      <c r="U4025" s="99"/>
    </row>
    <row r="4026" spans="20:21" x14ac:dyDescent="0.25">
      <c r="T4026" s="98"/>
      <c r="U4026" s="99"/>
    </row>
    <row r="4027" spans="20:21" x14ac:dyDescent="0.25">
      <c r="T4027" s="98"/>
      <c r="U4027" s="99"/>
    </row>
    <row r="4028" spans="20:21" x14ac:dyDescent="0.25">
      <c r="T4028" s="98"/>
      <c r="U4028" s="99"/>
    </row>
    <row r="4029" spans="20:21" x14ac:dyDescent="0.25">
      <c r="T4029" s="98"/>
      <c r="U4029" s="99"/>
    </row>
    <row r="4030" spans="20:21" x14ac:dyDescent="0.25">
      <c r="T4030" s="98"/>
      <c r="U4030" s="99"/>
    </row>
    <row r="4031" spans="20:21" x14ac:dyDescent="0.25">
      <c r="T4031" s="98"/>
      <c r="U4031" s="99"/>
    </row>
    <row r="4032" spans="20:21" x14ac:dyDescent="0.25">
      <c r="T4032" s="98"/>
      <c r="U4032" s="99"/>
    </row>
    <row r="4033" spans="20:21" x14ac:dyDescent="0.25">
      <c r="T4033" s="98"/>
      <c r="U4033" s="99"/>
    </row>
    <row r="4034" spans="20:21" x14ac:dyDescent="0.25">
      <c r="T4034" s="98"/>
      <c r="U4034" s="99"/>
    </row>
    <row r="4035" spans="20:21" x14ac:dyDescent="0.25">
      <c r="T4035" s="98"/>
      <c r="U4035" s="99"/>
    </row>
    <row r="4036" spans="20:21" x14ac:dyDescent="0.25">
      <c r="T4036" s="98"/>
      <c r="U4036" s="99"/>
    </row>
    <row r="4037" spans="20:21" x14ac:dyDescent="0.25">
      <c r="T4037" s="98"/>
      <c r="U4037" s="99"/>
    </row>
    <row r="4038" spans="20:21" x14ac:dyDescent="0.25">
      <c r="T4038" s="98"/>
      <c r="U4038" s="99"/>
    </row>
    <row r="4039" spans="20:21" x14ac:dyDescent="0.25">
      <c r="T4039" s="98"/>
      <c r="U4039" s="99"/>
    </row>
    <row r="4040" spans="20:21" x14ac:dyDescent="0.25">
      <c r="T4040" s="98"/>
      <c r="U4040" s="99"/>
    </row>
    <row r="4041" spans="20:21" x14ac:dyDescent="0.25">
      <c r="T4041" s="98"/>
      <c r="U4041" s="99"/>
    </row>
    <row r="4042" spans="20:21" x14ac:dyDescent="0.25">
      <c r="T4042" s="98"/>
      <c r="U4042" s="99"/>
    </row>
    <row r="4043" spans="20:21" x14ac:dyDescent="0.25">
      <c r="T4043" s="98"/>
      <c r="U4043" s="99"/>
    </row>
    <row r="4044" spans="20:21" x14ac:dyDescent="0.25">
      <c r="T4044" s="98"/>
      <c r="U4044" s="99"/>
    </row>
    <row r="4045" spans="20:21" x14ac:dyDescent="0.25">
      <c r="T4045" s="98"/>
      <c r="U4045" s="99"/>
    </row>
    <row r="4046" spans="20:21" x14ac:dyDescent="0.25">
      <c r="T4046" s="98"/>
      <c r="U4046" s="99"/>
    </row>
    <row r="4047" spans="20:21" x14ac:dyDescent="0.25">
      <c r="T4047" s="98"/>
      <c r="U4047" s="99"/>
    </row>
    <row r="4048" spans="20:21" x14ac:dyDescent="0.25">
      <c r="T4048" s="98"/>
      <c r="U4048" s="99"/>
    </row>
    <row r="4049" spans="20:21" x14ac:dyDescent="0.25">
      <c r="T4049" s="98"/>
      <c r="U4049" s="99"/>
    </row>
    <row r="4050" spans="20:21" x14ac:dyDescent="0.25">
      <c r="T4050" s="98"/>
      <c r="U4050" s="99"/>
    </row>
    <row r="4051" spans="20:21" x14ac:dyDescent="0.25">
      <c r="T4051" s="98"/>
      <c r="U4051" s="99"/>
    </row>
    <row r="4052" spans="20:21" x14ac:dyDescent="0.25">
      <c r="T4052" s="98"/>
      <c r="U4052" s="99"/>
    </row>
    <row r="4053" spans="20:21" x14ac:dyDescent="0.25">
      <c r="T4053" s="98"/>
      <c r="U4053" s="99"/>
    </row>
    <row r="4054" spans="20:21" x14ac:dyDescent="0.25">
      <c r="T4054" s="98"/>
      <c r="U4054" s="99"/>
    </row>
    <row r="4055" spans="20:21" x14ac:dyDescent="0.25">
      <c r="T4055" s="98"/>
      <c r="U4055" s="99"/>
    </row>
    <row r="4056" spans="20:21" x14ac:dyDescent="0.25">
      <c r="T4056" s="98"/>
      <c r="U4056" s="99"/>
    </row>
    <row r="4057" spans="20:21" x14ac:dyDescent="0.25">
      <c r="T4057" s="98"/>
      <c r="U4057" s="99"/>
    </row>
    <row r="4058" spans="20:21" x14ac:dyDescent="0.25">
      <c r="T4058" s="98"/>
      <c r="U4058" s="99"/>
    </row>
    <row r="4059" spans="20:21" x14ac:dyDescent="0.25">
      <c r="T4059" s="98"/>
      <c r="U4059" s="99"/>
    </row>
    <row r="4060" spans="20:21" x14ac:dyDescent="0.25">
      <c r="T4060" s="98"/>
      <c r="U4060" s="99"/>
    </row>
    <row r="4061" spans="20:21" x14ac:dyDescent="0.25">
      <c r="T4061" s="98"/>
      <c r="U4061" s="99"/>
    </row>
    <row r="4062" spans="20:21" x14ac:dyDescent="0.25">
      <c r="T4062" s="98"/>
      <c r="U4062" s="99"/>
    </row>
    <row r="4063" spans="20:21" x14ac:dyDescent="0.25">
      <c r="T4063" s="98"/>
      <c r="U4063" s="99"/>
    </row>
    <row r="4064" spans="20:21" x14ac:dyDescent="0.25">
      <c r="T4064" s="98"/>
      <c r="U4064" s="99"/>
    </row>
    <row r="4065" spans="20:21" x14ac:dyDescent="0.25">
      <c r="T4065" s="98"/>
      <c r="U4065" s="99"/>
    </row>
    <row r="4066" spans="20:21" x14ac:dyDescent="0.25">
      <c r="T4066" s="98"/>
      <c r="U4066" s="99"/>
    </row>
    <row r="4067" spans="20:21" x14ac:dyDescent="0.25">
      <c r="T4067" s="98"/>
      <c r="U4067" s="99"/>
    </row>
    <row r="4068" spans="20:21" x14ac:dyDescent="0.25">
      <c r="T4068" s="98"/>
      <c r="U4068" s="99"/>
    </row>
    <row r="4069" spans="20:21" x14ac:dyDescent="0.25">
      <c r="T4069" s="98"/>
      <c r="U4069" s="99"/>
    </row>
    <row r="4070" spans="20:21" x14ac:dyDescent="0.25">
      <c r="T4070" s="98"/>
      <c r="U4070" s="99"/>
    </row>
    <row r="4071" spans="20:21" x14ac:dyDescent="0.25">
      <c r="T4071" s="98"/>
      <c r="U4071" s="99"/>
    </row>
    <row r="4072" spans="20:21" x14ac:dyDescent="0.25">
      <c r="T4072" s="98"/>
      <c r="U4072" s="99"/>
    </row>
    <row r="4073" spans="20:21" x14ac:dyDescent="0.25">
      <c r="T4073" s="98"/>
      <c r="U4073" s="99"/>
    </row>
    <row r="4074" spans="20:21" x14ac:dyDescent="0.25">
      <c r="T4074" s="98"/>
      <c r="U4074" s="99"/>
    </row>
    <row r="4075" spans="20:21" x14ac:dyDescent="0.25">
      <c r="T4075" s="98"/>
      <c r="U4075" s="99"/>
    </row>
    <row r="4076" spans="20:21" x14ac:dyDescent="0.25">
      <c r="T4076" s="98"/>
      <c r="U4076" s="99"/>
    </row>
    <row r="4077" spans="20:21" x14ac:dyDescent="0.25">
      <c r="T4077" s="98"/>
      <c r="U4077" s="99"/>
    </row>
    <row r="4078" spans="20:21" x14ac:dyDescent="0.25">
      <c r="T4078" s="98"/>
      <c r="U4078" s="99"/>
    </row>
    <row r="4079" spans="20:21" x14ac:dyDescent="0.25">
      <c r="T4079" s="98"/>
      <c r="U4079" s="99"/>
    </row>
    <row r="4080" spans="20:21" x14ac:dyDescent="0.25">
      <c r="T4080" s="98"/>
      <c r="U4080" s="99"/>
    </row>
    <row r="4081" spans="20:21" x14ac:dyDescent="0.25">
      <c r="T4081" s="98"/>
      <c r="U4081" s="99"/>
    </row>
    <row r="4082" spans="20:21" x14ac:dyDescent="0.25">
      <c r="T4082" s="98"/>
      <c r="U4082" s="99"/>
    </row>
    <row r="4083" spans="20:21" x14ac:dyDescent="0.25">
      <c r="T4083" s="98"/>
      <c r="U4083" s="99"/>
    </row>
    <row r="4084" spans="20:21" x14ac:dyDescent="0.25">
      <c r="T4084" s="98"/>
      <c r="U4084" s="99"/>
    </row>
    <row r="4085" spans="20:21" x14ac:dyDescent="0.25">
      <c r="T4085" s="98"/>
      <c r="U4085" s="99"/>
    </row>
    <row r="4086" spans="20:21" x14ac:dyDescent="0.25">
      <c r="T4086" s="98"/>
      <c r="U4086" s="99"/>
    </row>
    <row r="4087" spans="20:21" x14ac:dyDescent="0.25">
      <c r="T4087" s="98"/>
      <c r="U4087" s="99"/>
    </row>
    <row r="4088" spans="20:21" x14ac:dyDescent="0.25">
      <c r="T4088" s="98"/>
      <c r="U4088" s="99"/>
    </row>
    <row r="4089" spans="20:21" x14ac:dyDescent="0.25">
      <c r="T4089" s="98"/>
      <c r="U4089" s="99"/>
    </row>
    <row r="4090" spans="20:21" x14ac:dyDescent="0.25">
      <c r="T4090" s="98"/>
      <c r="U4090" s="99"/>
    </row>
    <row r="4091" spans="20:21" x14ac:dyDescent="0.25">
      <c r="T4091" s="98"/>
      <c r="U4091" s="99"/>
    </row>
    <row r="4092" spans="20:21" x14ac:dyDescent="0.25">
      <c r="T4092" s="98"/>
      <c r="U4092" s="99"/>
    </row>
    <row r="4093" spans="20:21" x14ac:dyDescent="0.25">
      <c r="T4093" s="98"/>
      <c r="U4093" s="99"/>
    </row>
    <row r="4094" spans="20:21" x14ac:dyDescent="0.25">
      <c r="T4094" s="98"/>
      <c r="U4094" s="99"/>
    </row>
    <row r="4095" spans="20:21" x14ac:dyDescent="0.25">
      <c r="T4095" s="98"/>
      <c r="U4095" s="99"/>
    </row>
    <row r="4096" spans="20:21" x14ac:dyDescent="0.25">
      <c r="T4096" s="98"/>
      <c r="U4096" s="99"/>
    </row>
    <row r="4097" spans="20:21" x14ac:dyDescent="0.25">
      <c r="T4097" s="98"/>
      <c r="U4097" s="99"/>
    </row>
    <row r="4098" spans="20:21" x14ac:dyDescent="0.25">
      <c r="T4098" s="98"/>
      <c r="U4098" s="99"/>
    </row>
    <row r="4099" spans="20:21" x14ac:dyDescent="0.25">
      <c r="T4099" s="98"/>
      <c r="U4099" s="99"/>
    </row>
    <row r="4100" spans="20:21" x14ac:dyDescent="0.25">
      <c r="T4100" s="98"/>
      <c r="U4100" s="99"/>
    </row>
    <row r="4101" spans="20:21" x14ac:dyDescent="0.25">
      <c r="T4101" s="98"/>
      <c r="U4101" s="99"/>
    </row>
    <row r="4102" spans="20:21" x14ac:dyDescent="0.25">
      <c r="T4102" s="98"/>
      <c r="U4102" s="99"/>
    </row>
    <row r="4103" spans="20:21" x14ac:dyDescent="0.25">
      <c r="T4103" s="98"/>
      <c r="U4103" s="99"/>
    </row>
    <row r="4104" spans="20:21" x14ac:dyDescent="0.25">
      <c r="T4104" s="98"/>
      <c r="U4104" s="99"/>
    </row>
    <row r="4105" spans="20:21" x14ac:dyDescent="0.25">
      <c r="T4105" s="98"/>
      <c r="U4105" s="99"/>
    </row>
    <row r="4106" spans="20:21" x14ac:dyDescent="0.25">
      <c r="T4106" s="98"/>
      <c r="U4106" s="99"/>
    </row>
    <row r="4107" spans="20:21" x14ac:dyDescent="0.25">
      <c r="T4107" s="98"/>
      <c r="U4107" s="99"/>
    </row>
    <row r="4108" spans="20:21" x14ac:dyDescent="0.25">
      <c r="T4108" s="98"/>
      <c r="U4108" s="99"/>
    </row>
    <row r="4109" spans="20:21" x14ac:dyDescent="0.25">
      <c r="T4109" s="98"/>
      <c r="U4109" s="99"/>
    </row>
    <row r="4110" spans="20:21" x14ac:dyDescent="0.25">
      <c r="T4110" s="98"/>
      <c r="U4110" s="99"/>
    </row>
    <row r="4111" spans="20:21" x14ac:dyDescent="0.25">
      <c r="T4111" s="98"/>
      <c r="U4111" s="99"/>
    </row>
    <row r="4112" spans="20:21" x14ac:dyDescent="0.25">
      <c r="T4112" s="98"/>
      <c r="U4112" s="99"/>
    </row>
    <row r="4113" spans="20:21" x14ac:dyDescent="0.25">
      <c r="T4113" s="98"/>
      <c r="U4113" s="99"/>
    </row>
    <row r="4114" spans="20:21" x14ac:dyDescent="0.25">
      <c r="T4114" s="98"/>
      <c r="U4114" s="99"/>
    </row>
    <row r="4115" spans="20:21" x14ac:dyDescent="0.25">
      <c r="T4115" s="98"/>
      <c r="U4115" s="99"/>
    </row>
    <row r="4116" spans="20:21" x14ac:dyDescent="0.25">
      <c r="T4116" s="98"/>
      <c r="U4116" s="99"/>
    </row>
    <row r="4117" spans="20:21" x14ac:dyDescent="0.25">
      <c r="T4117" s="98"/>
      <c r="U4117" s="99"/>
    </row>
    <row r="4118" spans="20:21" x14ac:dyDescent="0.25">
      <c r="T4118" s="98"/>
      <c r="U4118" s="99"/>
    </row>
    <row r="4119" spans="20:21" x14ac:dyDescent="0.25">
      <c r="T4119" s="98"/>
      <c r="U4119" s="99"/>
    </row>
    <row r="4120" spans="20:21" x14ac:dyDescent="0.25">
      <c r="T4120" s="98"/>
      <c r="U4120" s="99"/>
    </row>
    <row r="4121" spans="20:21" x14ac:dyDescent="0.25">
      <c r="T4121" s="98"/>
      <c r="U4121" s="99"/>
    </row>
    <row r="4122" spans="20:21" x14ac:dyDescent="0.25">
      <c r="T4122" s="98"/>
      <c r="U4122" s="99"/>
    </row>
    <row r="4123" spans="20:21" x14ac:dyDescent="0.25">
      <c r="T4123" s="98"/>
      <c r="U4123" s="99"/>
    </row>
    <row r="4124" spans="20:21" x14ac:dyDescent="0.25">
      <c r="T4124" s="98"/>
      <c r="U4124" s="99"/>
    </row>
    <row r="4125" spans="20:21" x14ac:dyDescent="0.25">
      <c r="T4125" s="98"/>
      <c r="U4125" s="99"/>
    </row>
    <row r="4126" spans="20:21" x14ac:dyDescent="0.25">
      <c r="T4126" s="98"/>
      <c r="U4126" s="99"/>
    </row>
    <row r="4127" spans="20:21" x14ac:dyDescent="0.25">
      <c r="T4127" s="98"/>
      <c r="U4127" s="99"/>
    </row>
    <row r="4128" spans="20:21" x14ac:dyDescent="0.25">
      <c r="T4128" s="98"/>
      <c r="U4128" s="99"/>
    </row>
    <row r="4129" spans="20:21" x14ac:dyDescent="0.25">
      <c r="T4129" s="98"/>
      <c r="U4129" s="99"/>
    </row>
    <row r="4130" spans="20:21" x14ac:dyDescent="0.25">
      <c r="T4130" s="98"/>
      <c r="U4130" s="99"/>
    </row>
    <row r="4131" spans="20:21" x14ac:dyDescent="0.25">
      <c r="T4131" s="98"/>
      <c r="U4131" s="99"/>
    </row>
    <row r="4132" spans="20:21" x14ac:dyDescent="0.25">
      <c r="T4132" s="98"/>
      <c r="U4132" s="99"/>
    </row>
    <row r="4133" spans="20:21" x14ac:dyDescent="0.25">
      <c r="T4133" s="98"/>
      <c r="U4133" s="99"/>
    </row>
    <row r="4134" spans="20:21" x14ac:dyDescent="0.25">
      <c r="T4134" s="98"/>
      <c r="U4134" s="99"/>
    </row>
    <row r="4135" spans="20:21" x14ac:dyDescent="0.25">
      <c r="T4135" s="98"/>
      <c r="U4135" s="99"/>
    </row>
    <row r="4136" spans="20:21" x14ac:dyDescent="0.25">
      <c r="T4136" s="98"/>
      <c r="U4136" s="99"/>
    </row>
    <row r="4137" spans="20:21" x14ac:dyDescent="0.25">
      <c r="T4137" s="98"/>
      <c r="U4137" s="99"/>
    </row>
    <row r="4138" spans="20:21" x14ac:dyDescent="0.25">
      <c r="T4138" s="98"/>
      <c r="U4138" s="99"/>
    </row>
    <row r="4139" spans="20:21" x14ac:dyDescent="0.25">
      <c r="T4139" s="98"/>
      <c r="U4139" s="99"/>
    </row>
    <row r="4140" spans="20:21" x14ac:dyDescent="0.25">
      <c r="T4140" s="98"/>
      <c r="U4140" s="99"/>
    </row>
    <row r="4141" spans="20:21" x14ac:dyDescent="0.25">
      <c r="T4141" s="98"/>
      <c r="U4141" s="99"/>
    </row>
    <row r="4142" spans="20:21" x14ac:dyDescent="0.25">
      <c r="T4142" s="98"/>
      <c r="U4142" s="99"/>
    </row>
    <row r="4143" spans="20:21" x14ac:dyDescent="0.25">
      <c r="T4143" s="98"/>
      <c r="U4143" s="99"/>
    </row>
    <row r="4144" spans="20:21" x14ac:dyDescent="0.25">
      <c r="T4144" s="98"/>
      <c r="U4144" s="99"/>
    </row>
    <row r="4145" spans="20:21" x14ac:dyDescent="0.25">
      <c r="T4145" s="98"/>
      <c r="U4145" s="99"/>
    </row>
    <row r="4146" spans="20:21" x14ac:dyDescent="0.25">
      <c r="T4146" s="98"/>
      <c r="U4146" s="99"/>
    </row>
    <row r="4147" spans="20:21" x14ac:dyDescent="0.25">
      <c r="T4147" s="98"/>
      <c r="U4147" s="99"/>
    </row>
    <row r="4148" spans="20:21" x14ac:dyDescent="0.25">
      <c r="T4148" s="98"/>
      <c r="U4148" s="99"/>
    </row>
    <row r="4149" spans="20:21" x14ac:dyDescent="0.25">
      <c r="T4149" s="98"/>
      <c r="U4149" s="99"/>
    </row>
    <row r="4150" spans="20:21" x14ac:dyDescent="0.25">
      <c r="T4150" s="98"/>
      <c r="U4150" s="99"/>
    </row>
    <row r="4151" spans="20:21" x14ac:dyDescent="0.25">
      <c r="T4151" s="98"/>
      <c r="U4151" s="99"/>
    </row>
    <row r="4152" spans="20:21" x14ac:dyDescent="0.25">
      <c r="T4152" s="98"/>
      <c r="U4152" s="99"/>
    </row>
    <row r="4153" spans="20:21" x14ac:dyDescent="0.25">
      <c r="T4153" s="98"/>
      <c r="U4153" s="99"/>
    </row>
    <row r="4154" spans="20:21" x14ac:dyDescent="0.25">
      <c r="T4154" s="98"/>
      <c r="U4154" s="99"/>
    </row>
    <row r="4155" spans="20:21" x14ac:dyDescent="0.25">
      <c r="T4155" s="98"/>
      <c r="U4155" s="99"/>
    </row>
    <row r="4156" spans="20:21" x14ac:dyDescent="0.25">
      <c r="T4156" s="98"/>
      <c r="U4156" s="99"/>
    </row>
    <row r="4157" spans="20:21" x14ac:dyDescent="0.25">
      <c r="T4157" s="98"/>
      <c r="U4157" s="99"/>
    </row>
    <row r="4158" spans="20:21" x14ac:dyDescent="0.25">
      <c r="T4158" s="98"/>
      <c r="U4158" s="99"/>
    </row>
    <row r="4159" spans="20:21" x14ac:dyDescent="0.25">
      <c r="T4159" s="98"/>
      <c r="U4159" s="99"/>
    </row>
    <row r="4160" spans="20:21" x14ac:dyDescent="0.25">
      <c r="T4160" s="98"/>
      <c r="U4160" s="99"/>
    </row>
    <row r="4161" spans="20:21" x14ac:dyDescent="0.25">
      <c r="T4161" s="98"/>
      <c r="U4161" s="99"/>
    </row>
    <row r="4162" spans="20:21" x14ac:dyDescent="0.25">
      <c r="T4162" s="98"/>
      <c r="U4162" s="99"/>
    </row>
    <row r="4163" spans="20:21" x14ac:dyDescent="0.25">
      <c r="T4163" s="98"/>
      <c r="U4163" s="99"/>
    </row>
    <row r="4164" spans="20:21" x14ac:dyDescent="0.25">
      <c r="T4164" s="98"/>
      <c r="U4164" s="99"/>
    </row>
    <row r="4165" spans="20:21" x14ac:dyDescent="0.25">
      <c r="T4165" s="98"/>
      <c r="U4165" s="99"/>
    </row>
    <row r="4166" spans="20:21" x14ac:dyDescent="0.25">
      <c r="T4166" s="98"/>
      <c r="U4166" s="99"/>
    </row>
    <row r="4167" spans="20:21" x14ac:dyDescent="0.25">
      <c r="T4167" s="98"/>
      <c r="U4167" s="99"/>
    </row>
    <row r="4168" spans="20:21" x14ac:dyDescent="0.25">
      <c r="T4168" s="98"/>
      <c r="U4168" s="99"/>
    </row>
    <row r="4169" spans="20:21" x14ac:dyDescent="0.25">
      <c r="T4169" s="98"/>
      <c r="U4169" s="99"/>
    </row>
    <row r="4170" spans="20:21" x14ac:dyDescent="0.25">
      <c r="T4170" s="98"/>
      <c r="U4170" s="99"/>
    </row>
    <row r="4171" spans="20:21" x14ac:dyDescent="0.25">
      <c r="T4171" s="98"/>
      <c r="U4171" s="99"/>
    </row>
    <row r="4172" spans="20:21" x14ac:dyDescent="0.25">
      <c r="T4172" s="98"/>
      <c r="U4172" s="99"/>
    </row>
    <row r="4173" spans="20:21" x14ac:dyDescent="0.25">
      <c r="T4173" s="98"/>
      <c r="U4173" s="99"/>
    </row>
    <row r="4174" spans="20:21" x14ac:dyDescent="0.25">
      <c r="T4174" s="98"/>
      <c r="U4174" s="99"/>
    </row>
    <row r="4175" spans="20:21" x14ac:dyDescent="0.25">
      <c r="T4175" s="98"/>
      <c r="U4175" s="99"/>
    </row>
    <row r="4176" spans="20:21" x14ac:dyDescent="0.25">
      <c r="T4176" s="98"/>
      <c r="U4176" s="99"/>
    </row>
    <row r="4177" spans="20:21" x14ac:dyDescent="0.25">
      <c r="T4177" s="98"/>
      <c r="U4177" s="99"/>
    </row>
    <row r="4178" spans="20:21" x14ac:dyDescent="0.25">
      <c r="T4178" s="98"/>
      <c r="U4178" s="99"/>
    </row>
    <row r="4179" spans="20:21" x14ac:dyDescent="0.25">
      <c r="T4179" s="98"/>
      <c r="U4179" s="99"/>
    </row>
    <row r="4180" spans="20:21" x14ac:dyDescent="0.25">
      <c r="T4180" s="98"/>
      <c r="U4180" s="99"/>
    </row>
    <row r="4181" spans="20:21" x14ac:dyDescent="0.25">
      <c r="T4181" s="98"/>
      <c r="U4181" s="99"/>
    </row>
    <row r="4182" spans="20:21" x14ac:dyDescent="0.25">
      <c r="T4182" s="98"/>
      <c r="U4182" s="99"/>
    </row>
    <row r="4183" spans="20:21" x14ac:dyDescent="0.25">
      <c r="T4183" s="98"/>
      <c r="U4183" s="99"/>
    </row>
    <row r="4184" spans="20:21" x14ac:dyDescent="0.25">
      <c r="T4184" s="98"/>
      <c r="U4184" s="99"/>
    </row>
    <row r="4185" spans="20:21" x14ac:dyDescent="0.25">
      <c r="T4185" s="98"/>
      <c r="U4185" s="99"/>
    </row>
    <row r="4186" spans="20:21" x14ac:dyDescent="0.25">
      <c r="T4186" s="98"/>
      <c r="U4186" s="99"/>
    </row>
    <row r="4187" spans="20:21" x14ac:dyDescent="0.25">
      <c r="T4187" s="98"/>
      <c r="U4187" s="99"/>
    </row>
    <row r="4188" spans="20:21" x14ac:dyDescent="0.25">
      <c r="T4188" s="98"/>
      <c r="U4188" s="99"/>
    </row>
    <row r="4189" spans="20:21" x14ac:dyDescent="0.25">
      <c r="T4189" s="98"/>
      <c r="U4189" s="99"/>
    </row>
    <row r="4190" spans="20:21" x14ac:dyDescent="0.25">
      <c r="T4190" s="98"/>
      <c r="U4190" s="99"/>
    </row>
    <row r="4191" spans="20:21" x14ac:dyDescent="0.25">
      <c r="T4191" s="98"/>
      <c r="U4191" s="99"/>
    </row>
    <row r="4192" spans="20:21" x14ac:dyDescent="0.25">
      <c r="T4192" s="98"/>
      <c r="U4192" s="99"/>
    </row>
    <row r="4193" spans="20:21" x14ac:dyDescent="0.25">
      <c r="T4193" s="98"/>
      <c r="U4193" s="99"/>
    </row>
    <row r="4194" spans="20:21" x14ac:dyDescent="0.25">
      <c r="T4194" s="98"/>
      <c r="U4194" s="99"/>
    </row>
    <row r="4195" spans="20:21" x14ac:dyDescent="0.25">
      <c r="T4195" s="98"/>
      <c r="U4195" s="99"/>
    </row>
    <row r="4196" spans="20:21" x14ac:dyDescent="0.25">
      <c r="T4196" s="98"/>
      <c r="U4196" s="99"/>
    </row>
    <row r="4197" spans="20:21" x14ac:dyDescent="0.25">
      <c r="T4197" s="98"/>
      <c r="U4197" s="99"/>
    </row>
    <row r="4198" spans="20:21" x14ac:dyDescent="0.25">
      <c r="T4198" s="98"/>
      <c r="U4198" s="99"/>
    </row>
    <row r="4199" spans="20:21" x14ac:dyDescent="0.25">
      <c r="T4199" s="98"/>
      <c r="U4199" s="99"/>
    </row>
    <row r="4200" spans="20:21" x14ac:dyDescent="0.25">
      <c r="T4200" s="98"/>
      <c r="U4200" s="99"/>
    </row>
    <row r="4201" spans="20:21" x14ac:dyDescent="0.25">
      <c r="T4201" s="98"/>
      <c r="U4201" s="99"/>
    </row>
    <row r="4202" spans="20:21" x14ac:dyDescent="0.25">
      <c r="T4202" s="98"/>
      <c r="U4202" s="99"/>
    </row>
    <row r="4203" spans="20:21" x14ac:dyDescent="0.25">
      <c r="T4203" s="98"/>
      <c r="U4203" s="99"/>
    </row>
    <row r="4204" spans="20:21" x14ac:dyDescent="0.25">
      <c r="T4204" s="98"/>
      <c r="U4204" s="99"/>
    </row>
    <row r="4205" spans="20:21" x14ac:dyDescent="0.25">
      <c r="T4205" s="98"/>
      <c r="U4205" s="99"/>
    </row>
    <row r="4206" spans="20:21" x14ac:dyDescent="0.25">
      <c r="T4206" s="98"/>
      <c r="U4206" s="99"/>
    </row>
    <row r="4207" spans="20:21" x14ac:dyDescent="0.25">
      <c r="T4207" s="98"/>
      <c r="U4207" s="99"/>
    </row>
    <row r="4208" spans="20:21" x14ac:dyDescent="0.25">
      <c r="T4208" s="98"/>
      <c r="U4208" s="99"/>
    </row>
    <row r="4209" spans="20:21" x14ac:dyDescent="0.25">
      <c r="T4209" s="98"/>
      <c r="U4209" s="99"/>
    </row>
    <row r="4210" spans="20:21" x14ac:dyDescent="0.25">
      <c r="T4210" s="98"/>
      <c r="U4210" s="99"/>
    </row>
    <row r="4211" spans="20:21" x14ac:dyDescent="0.25">
      <c r="T4211" s="98"/>
      <c r="U4211" s="99"/>
    </row>
    <row r="4212" spans="20:21" x14ac:dyDescent="0.25">
      <c r="T4212" s="98"/>
      <c r="U4212" s="99"/>
    </row>
    <row r="4213" spans="20:21" x14ac:dyDescent="0.25">
      <c r="T4213" s="98"/>
      <c r="U4213" s="99"/>
    </row>
    <row r="4214" spans="20:21" x14ac:dyDescent="0.25">
      <c r="T4214" s="98"/>
      <c r="U4214" s="99"/>
    </row>
    <row r="4215" spans="20:21" x14ac:dyDescent="0.25">
      <c r="T4215" s="98"/>
      <c r="U4215" s="99"/>
    </row>
    <row r="4216" spans="20:21" x14ac:dyDescent="0.25">
      <c r="T4216" s="98"/>
      <c r="U4216" s="99"/>
    </row>
    <row r="4217" spans="20:21" x14ac:dyDescent="0.25">
      <c r="T4217" s="98"/>
      <c r="U4217" s="99"/>
    </row>
    <row r="4218" spans="20:21" x14ac:dyDescent="0.25">
      <c r="T4218" s="98"/>
      <c r="U4218" s="99"/>
    </row>
    <row r="4219" spans="20:21" x14ac:dyDescent="0.25">
      <c r="T4219" s="98"/>
      <c r="U4219" s="99"/>
    </row>
    <row r="4220" spans="20:21" x14ac:dyDescent="0.25">
      <c r="T4220" s="98"/>
      <c r="U4220" s="99"/>
    </row>
    <row r="4221" spans="20:21" x14ac:dyDescent="0.25">
      <c r="T4221" s="98"/>
      <c r="U4221" s="99"/>
    </row>
    <row r="4222" spans="20:21" x14ac:dyDescent="0.25">
      <c r="T4222" s="98"/>
      <c r="U4222" s="99"/>
    </row>
    <row r="4223" spans="20:21" x14ac:dyDescent="0.25">
      <c r="T4223" s="98"/>
      <c r="U4223" s="99"/>
    </row>
    <row r="4224" spans="20:21" x14ac:dyDescent="0.25">
      <c r="T4224" s="98"/>
      <c r="U4224" s="99"/>
    </row>
    <row r="4225" spans="20:21" x14ac:dyDescent="0.25">
      <c r="T4225" s="98"/>
      <c r="U4225" s="99"/>
    </row>
    <row r="4226" spans="20:21" x14ac:dyDescent="0.25">
      <c r="T4226" s="98"/>
      <c r="U4226" s="99"/>
    </row>
    <row r="4227" spans="20:21" x14ac:dyDescent="0.25">
      <c r="T4227" s="98"/>
      <c r="U4227" s="99"/>
    </row>
    <row r="4228" spans="20:21" x14ac:dyDescent="0.25">
      <c r="T4228" s="98"/>
      <c r="U4228" s="99"/>
    </row>
    <row r="4229" spans="20:21" x14ac:dyDescent="0.25">
      <c r="T4229" s="98"/>
      <c r="U4229" s="99"/>
    </row>
    <row r="4230" spans="20:21" x14ac:dyDescent="0.25">
      <c r="T4230" s="98"/>
      <c r="U4230" s="99"/>
    </row>
    <row r="4231" spans="20:21" x14ac:dyDescent="0.25">
      <c r="T4231" s="98"/>
      <c r="U4231" s="99"/>
    </row>
    <row r="4232" spans="20:21" x14ac:dyDescent="0.25">
      <c r="T4232" s="98"/>
      <c r="U4232" s="99"/>
    </row>
    <row r="4233" spans="20:21" x14ac:dyDescent="0.25">
      <c r="T4233" s="98"/>
      <c r="U4233" s="99"/>
    </row>
    <row r="4234" spans="20:21" x14ac:dyDescent="0.25">
      <c r="T4234" s="98"/>
      <c r="U4234" s="99"/>
    </row>
    <row r="4235" spans="20:21" x14ac:dyDescent="0.25">
      <c r="T4235" s="98"/>
      <c r="U4235" s="99"/>
    </row>
    <row r="4236" spans="20:21" x14ac:dyDescent="0.25">
      <c r="T4236" s="98"/>
      <c r="U4236" s="99"/>
    </row>
    <row r="4237" spans="20:21" x14ac:dyDescent="0.25">
      <c r="T4237" s="98"/>
      <c r="U4237" s="99"/>
    </row>
    <row r="4238" spans="20:21" x14ac:dyDescent="0.25">
      <c r="T4238" s="98"/>
      <c r="U4238" s="99"/>
    </row>
    <row r="4239" spans="20:21" x14ac:dyDescent="0.25">
      <c r="T4239" s="98"/>
      <c r="U4239" s="99"/>
    </row>
    <row r="4240" spans="20:21" x14ac:dyDescent="0.25">
      <c r="T4240" s="98"/>
      <c r="U4240" s="99"/>
    </row>
    <row r="4241" spans="20:21" x14ac:dyDescent="0.25">
      <c r="T4241" s="98"/>
      <c r="U4241" s="99"/>
    </row>
    <row r="4242" spans="20:21" x14ac:dyDescent="0.25">
      <c r="T4242" s="98"/>
      <c r="U4242" s="99"/>
    </row>
    <row r="4243" spans="20:21" x14ac:dyDescent="0.25">
      <c r="T4243" s="98"/>
      <c r="U4243" s="99"/>
    </row>
    <row r="4244" spans="20:21" x14ac:dyDescent="0.25">
      <c r="T4244" s="98"/>
      <c r="U4244" s="99"/>
    </row>
    <row r="4245" spans="20:21" x14ac:dyDescent="0.25">
      <c r="T4245" s="98"/>
      <c r="U4245" s="99"/>
    </row>
    <row r="4246" spans="20:21" x14ac:dyDescent="0.25">
      <c r="T4246" s="98"/>
      <c r="U4246" s="99"/>
    </row>
    <row r="4247" spans="20:21" x14ac:dyDescent="0.25">
      <c r="T4247" s="98"/>
      <c r="U4247" s="99"/>
    </row>
    <row r="4248" spans="20:21" x14ac:dyDescent="0.25">
      <c r="T4248" s="98"/>
      <c r="U4248" s="99"/>
    </row>
    <row r="4249" spans="20:21" x14ac:dyDescent="0.25">
      <c r="T4249" s="98"/>
      <c r="U4249" s="99"/>
    </row>
    <row r="4250" spans="20:21" x14ac:dyDescent="0.25">
      <c r="T4250" s="98"/>
      <c r="U4250" s="99"/>
    </row>
    <row r="4251" spans="20:21" x14ac:dyDescent="0.25">
      <c r="T4251" s="98"/>
      <c r="U4251" s="99"/>
    </row>
    <row r="4252" spans="20:21" x14ac:dyDescent="0.25">
      <c r="T4252" s="98"/>
      <c r="U4252" s="99"/>
    </row>
    <row r="4253" spans="20:21" x14ac:dyDescent="0.25">
      <c r="T4253" s="98"/>
      <c r="U4253" s="99"/>
    </row>
    <row r="4254" spans="20:21" x14ac:dyDescent="0.25">
      <c r="T4254" s="98"/>
      <c r="U4254" s="99"/>
    </row>
    <row r="4255" spans="20:21" x14ac:dyDescent="0.25">
      <c r="T4255" s="98"/>
      <c r="U4255" s="99"/>
    </row>
    <row r="4256" spans="20:21" x14ac:dyDescent="0.25">
      <c r="T4256" s="98"/>
      <c r="U4256" s="99"/>
    </row>
    <row r="4257" spans="20:21" x14ac:dyDescent="0.25">
      <c r="T4257" s="98"/>
      <c r="U4257" s="99"/>
    </row>
    <row r="4258" spans="20:21" x14ac:dyDescent="0.25">
      <c r="T4258" s="98"/>
      <c r="U4258" s="99"/>
    </row>
    <row r="4259" spans="20:21" x14ac:dyDescent="0.25">
      <c r="T4259" s="98"/>
      <c r="U4259" s="99"/>
    </row>
    <row r="4260" spans="20:21" x14ac:dyDescent="0.25">
      <c r="T4260" s="98"/>
      <c r="U4260" s="99"/>
    </row>
    <row r="4261" spans="20:21" x14ac:dyDescent="0.25">
      <c r="T4261" s="98"/>
      <c r="U4261" s="99"/>
    </row>
    <row r="4262" spans="20:21" x14ac:dyDescent="0.25">
      <c r="T4262" s="98"/>
      <c r="U4262" s="99"/>
    </row>
    <row r="4263" spans="20:21" x14ac:dyDescent="0.25">
      <c r="T4263" s="98"/>
      <c r="U4263" s="99"/>
    </row>
    <row r="4264" spans="20:21" x14ac:dyDescent="0.25">
      <c r="T4264" s="98"/>
      <c r="U4264" s="99"/>
    </row>
    <row r="4265" spans="20:21" x14ac:dyDescent="0.25">
      <c r="T4265" s="98"/>
      <c r="U4265" s="99"/>
    </row>
    <row r="4266" spans="20:21" x14ac:dyDescent="0.25">
      <c r="T4266" s="98"/>
      <c r="U4266" s="99"/>
    </row>
    <row r="4267" spans="20:21" x14ac:dyDescent="0.25">
      <c r="T4267" s="98"/>
      <c r="U4267" s="99"/>
    </row>
    <row r="4268" spans="20:21" x14ac:dyDescent="0.25">
      <c r="T4268" s="98"/>
      <c r="U4268" s="99"/>
    </row>
    <row r="4269" spans="20:21" x14ac:dyDescent="0.25">
      <c r="T4269" s="98"/>
      <c r="U4269" s="99"/>
    </row>
    <row r="4270" spans="20:21" x14ac:dyDescent="0.25">
      <c r="T4270" s="98"/>
      <c r="U4270" s="99"/>
    </row>
    <row r="4271" spans="20:21" x14ac:dyDescent="0.25">
      <c r="T4271" s="98"/>
      <c r="U4271" s="99"/>
    </row>
    <row r="4272" spans="20:21" x14ac:dyDescent="0.25">
      <c r="T4272" s="98"/>
      <c r="U4272" s="99"/>
    </row>
    <row r="4273" spans="20:21" x14ac:dyDescent="0.25">
      <c r="T4273" s="98"/>
      <c r="U4273" s="99"/>
    </row>
    <row r="4274" spans="20:21" x14ac:dyDescent="0.25">
      <c r="T4274" s="98"/>
      <c r="U4274" s="99"/>
    </row>
    <row r="4275" spans="20:21" x14ac:dyDescent="0.25">
      <c r="T4275" s="98"/>
      <c r="U4275" s="99"/>
    </row>
    <row r="4276" spans="20:21" x14ac:dyDescent="0.25">
      <c r="T4276" s="98"/>
      <c r="U4276" s="99"/>
    </row>
    <row r="4277" spans="20:21" x14ac:dyDescent="0.25">
      <c r="T4277" s="98"/>
      <c r="U4277" s="99"/>
    </row>
    <row r="4278" spans="20:21" x14ac:dyDescent="0.25">
      <c r="T4278" s="98"/>
      <c r="U4278" s="99"/>
    </row>
    <row r="4279" spans="20:21" x14ac:dyDescent="0.25">
      <c r="T4279" s="98"/>
      <c r="U4279" s="99"/>
    </row>
    <row r="4280" spans="20:21" x14ac:dyDescent="0.25">
      <c r="T4280" s="98"/>
      <c r="U4280" s="99"/>
    </row>
    <row r="4281" spans="20:21" x14ac:dyDescent="0.25">
      <c r="T4281" s="98"/>
      <c r="U4281" s="99"/>
    </row>
    <row r="4282" spans="20:21" x14ac:dyDescent="0.25">
      <c r="T4282" s="98"/>
      <c r="U4282" s="99"/>
    </row>
    <row r="4283" spans="20:21" x14ac:dyDescent="0.25">
      <c r="T4283" s="98"/>
      <c r="U4283" s="99"/>
    </row>
    <row r="4284" spans="20:21" x14ac:dyDescent="0.25">
      <c r="T4284" s="98"/>
      <c r="U4284" s="99"/>
    </row>
    <row r="4285" spans="20:21" x14ac:dyDescent="0.25">
      <c r="T4285" s="98"/>
      <c r="U4285" s="99"/>
    </row>
    <row r="4286" spans="20:21" x14ac:dyDescent="0.25">
      <c r="T4286" s="98"/>
      <c r="U4286" s="99"/>
    </row>
    <row r="4287" spans="20:21" x14ac:dyDescent="0.25">
      <c r="T4287" s="98"/>
      <c r="U4287" s="99"/>
    </row>
    <row r="4288" spans="20:21" x14ac:dyDescent="0.25">
      <c r="T4288" s="98"/>
      <c r="U4288" s="99"/>
    </row>
    <row r="4289" spans="20:21" x14ac:dyDescent="0.25">
      <c r="T4289" s="98"/>
      <c r="U4289" s="99"/>
    </row>
    <row r="4290" spans="20:21" x14ac:dyDescent="0.25">
      <c r="T4290" s="98"/>
      <c r="U4290" s="99"/>
    </row>
    <row r="4291" spans="20:21" x14ac:dyDescent="0.25">
      <c r="T4291" s="98"/>
      <c r="U4291" s="99"/>
    </row>
    <row r="4292" spans="20:21" x14ac:dyDescent="0.25">
      <c r="T4292" s="98"/>
      <c r="U4292" s="99"/>
    </row>
    <row r="4293" spans="20:21" x14ac:dyDescent="0.25">
      <c r="T4293" s="98"/>
      <c r="U4293" s="99"/>
    </row>
    <row r="4294" spans="20:21" x14ac:dyDescent="0.25">
      <c r="T4294" s="98"/>
      <c r="U4294" s="99"/>
    </row>
    <row r="4295" spans="20:21" x14ac:dyDescent="0.25">
      <c r="T4295" s="98"/>
      <c r="U4295" s="99"/>
    </row>
    <row r="4296" spans="20:21" x14ac:dyDescent="0.25">
      <c r="T4296" s="98"/>
      <c r="U4296" s="99"/>
    </row>
    <row r="4297" spans="20:21" x14ac:dyDescent="0.25">
      <c r="T4297" s="98"/>
      <c r="U4297" s="99"/>
    </row>
    <row r="4298" spans="20:21" x14ac:dyDescent="0.25">
      <c r="T4298" s="98"/>
      <c r="U4298" s="99"/>
    </row>
    <row r="4299" spans="20:21" x14ac:dyDescent="0.25">
      <c r="T4299" s="98"/>
      <c r="U4299" s="99"/>
    </row>
    <row r="4300" spans="20:21" x14ac:dyDescent="0.25">
      <c r="T4300" s="98"/>
      <c r="U4300" s="99"/>
    </row>
    <row r="4301" spans="20:21" x14ac:dyDescent="0.25">
      <c r="T4301" s="98"/>
      <c r="U4301" s="99"/>
    </row>
    <row r="4302" spans="20:21" x14ac:dyDescent="0.25">
      <c r="T4302" s="98"/>
      <c r="U4302" s="99"/>
    </row>
    <row r="4303" spans="20:21" x14ac:dyDescent="0.25">
      <c r="T4303" s="98"/>
      <c r="U4303" s="99"/>
    </row>
    <row r="4304" spans="20:21" x14ac:dyDescent="0.25">
      <c r="T4304" s="98"/>
      <c r="U4304" s="99"/>
    </row>
    <row r="4305" spans="20:21" x14ac:dyDescent="0.25">
      <c r="T4305" s="98"/>
      <c r="U4305" s="99"/>
    </row>
    <row r="4306" spans="20:21" x14ac:dyDescent="0.25">
      <c r="T4306" s="98"/>
      <c r="U4306" s="99"/>
    </row>
    <row r="4307" spans="20:21" x14ac:dyDescent="0.25">
      <c r="T4307" s="98"/>
      <c r="U4307" s="99"/>
    </row>
    <row r="4308" spans="20:21" x14ac:dyDescent="0.25">
      <c r="T4308" s="98"/>
      <c r="U4308" s="99"/>
    </row>
    <row r="4309" spans="20:21" x14ac:dyDescent="0.25">
      <c r="T4309" s="98"/>
      <c r="U4309" s="99"/>
    </row>
    <row r="4310" spans="20:21" x14ac:dyDescent="0.25">
      <c r="T4310" s="98"/>
      <c r="U4310" s="99"/>
    </row>
    <row r="4311" spans="20:21" x14ac:dyDescent="0.25">
      <c r="T4311" s="98"/>
      <c r="U4311" s="99"/>
    </row>
    <row r="4312" spans="20:21" x14ac:dyDescent="0.25">
      <c r="T4312" s="98"/>
      <c r="U4312" s="99"/>
    </row>
    <row r="4313" spans="20:21" x14ac:dyDescent="0.25">
      <c r="T4313" s="98"/>
      <c r="U4313" s="99"/>
    </row>
    <row r="4314" spans="20:21" x14ac:dyDescent="0.25">
      <c r="T4314" s="98"/>
      <c r="U4314" s="99"/>
    </row>
    <row r="4315" spans="20:21" x14ac:dyDescent="0.25">
      <c r="T4315" s="98"/>
      <c r="U4315" s="99"/>
    </row>
    <row r="4316" spans="20:21" x14ac:dyDescent="0.25">
      <c r="T4316" s="98"/>
      <c r="U4316" s="99"/>
    </row>
    <row r="4317" spans="20:21" x14ac:dyDescent="0.25">
      <c r="T4317" s="98"/>
      <c r="U4317" s="99"/>
    </row>
    <row r="4318" spans="20:21" x14ac:dyDescent="0.25">
      <c r="T4318" s="98"/>
      <c r="U4318" s="99"/>
    </row>
    <row r="4319" spans="20:21" x14ac:dyDescent="0.25">
      <c r="T4319" s="98"/>
      <c r="U4319" s="99"/>
    </row>
    <row r="4320" spans="20:21" x14ac:dyDescent="0.25">
      <c r="T4320" s="98"/>
      <c r="U4320" s="99"/>
    </row>
    <row r="4321" spans="20:21" x14ac:dyDescent="0.25">
      <c r="T4321" s="98"/>
      <c r="U4321" s="99"/>
    </row>
    <row r="4322" spans="20:21" x14ac:dyDescent="0.25">
      <c r="T4322" s="98"/>
      <c r="U4322" s="99"/>
    </row>
    <row r="4323" spans="20:21" x14ac:dyDescent="0.25">
      <c r="T4323" s="98"/>
      <c r="U4323" s="99"/>
    </row>
    <row r="4324" spans="20:21" x14ac:dyDescent="0.25">
      <c r="T4324" s="98"/>
      <c r="U4324" s="99"/>
    </row>
    <row r="4325" spans="20:21" x14ac:dyDescent="0.25">
      <c r="T4325" s="98"/>
      <c r="U4325" s="99"/>
    </row>
    <row r="4326" spans="20:21" x14ac:dyDescent="0.25">
      <c r="T4326" s="98"/>
      <c r="U4326" s="99"/>
    </row>
    <row r="4327" spans="20:21" x14ac:dyDescent="0.25">
      <c r="T4327" s="98"/>
      <c r="U4327" s="99"/>
    </row>
    <row r="4328" spans="20:21" x14ac:dyDescent="0.25">
      <c r="T4328" s="98"/>
      <c r="U4328" s="99"/>
    </row>
    <row r="4329" spans="20:21" x14ac:dyDescent="0.25">
      <c r="T4329" s="98"/>
      <c r="U4329" s="99"/>
    </row>
    <row r="4330" spans="20:21" x14ac:dyDescent="0.25">
      <c r="T4330" s="98"/>
      <c r="U4330" s="99"/>
    </row>
    <row r="4331" spans="20:21" x14ac:dyDescent="0.25">
      <c r="T4331" s="98"/>
      <c r="U4331" s="99"/>
    </row>
    <row r="4332" spans="20:21" x14ac:dyDescent="0.25">
      <c r="T4332" s="98"/>
      <c r="U4332" s="99"/>
    </row>
    <row r="4333" spans="20:21" x14ac:dyDescent="0.25">
      <c r="T4333" s="98"/>
      <c r="U4333" s="99"/>
    </row>
    <row r="4334" spans="20:21" x14ac:dyDescent="0.25">
      <c r="T4334" s="98"/>
      <c r="U4334" s="99"/>
    </row>
    <row r="4335" spans="20:21" x14ac:dyDescent="0.25">
      <c r="T4335" s="98"/>
      <c r="U4335" s="99"/>
    </row>
    <row r="4336" spans="20:21" x14ac:dyDescent="0.25">
      <c r="T4336" s="98"/>
      <c r="U4336" s="99"/>
    </row>
    <row r="4337" spans="20:21" x14ac:dyDescent="0.25">
      <c r="T4337" s="98"/>
      <c r="U4337" s="99"/>
    </row>
    <row r="4338" spans="20:21" x14ac:dyDescent="0.25">
      <c r="T4338" s="98"/>
      <c r="U4338" s="99"/>
    </row>
    <row r="4339" spans="20:21" x14ac:dyDescent="0.25">
      <c r="T4339" s="98"/>
      <c r="U4339" s="99"/>
    </row>
    <row r="4340" spans="20:21" x14ac:dyDescent="0.25">
      <c r="T4340" s="98"/>
      <c r="U4340" s="99"/>
    </row>
    <row r="4341" spans="20:21" x14ac:dyDescent="0.25">
      <c r="T4341" s="98"/>
      <c r="U4341" s="99"/>
    </row>
    <row r="4342" spans="20:21" x14ac:dyDescent="0.25">
      <c r="T4342" s="98"/>
      <c r="U4342" s="99"/>
    </row>
    <row r="4343" spans="20:21" x14ac:dyDescent="0.25">
      <c r="T4343" s="98"/>
      <c r="U4343" s="99"/>
    </row>
    <row r="4344" spans="20:21" x14ac:dyDescent="0.25">
      <c r="T4344" s="98"/>
      <c r="U4344" s="99"/>
    </row>
    <row r="4345" spans="20:21" x14ac:dyDescent="0.25">
      <c r="T4345" s="98"/>
      <c r="U4345" s="99"/>
    </row>
    <row r="4346" spans="20:21" x14ac:dyDescent="0.25">
      <c r="T4346" s="98"/>
      <c r="U4346" s="99"/>
    </row>
    <row r="4347" spans="20:21" x14ac:dyDescent="0.25">
      <c r="T4347" s="98"/>
      <c r="U4347" s="99"/>
    </row>
    <row r="4348" spans="20:21" x14ac:dyDescent="0.25">
      <c r="T4348" s="98"/>
      <c r="U4348" s="99"/>
    </row>
    <row r="4349" spans="20:21" x14ac:dyDescent="0.25">
      <c r="T4349" s="98"/>
      <c r="U4349" s="99"/>
    </row>
    <row r="4350" spans="20:21" x14ac:dyDescent="0.25">
      <c r="T4350" s="98"/>
      <c r="U4350" s="99"/>
    </row>
    <row r="4351" spans="20:21" x14ac:dyDescent="0.25">
      <c r="T4351" s="98"/>
      <c r="U4351" s="99"/>
    </row>
    <row r="4352" spans="20:21" x14ac:dyDescent="0.25">
      <c r="T4352" s="98"/>
      <c r="U4352" s="99"/>
    </row>
    <row r="4353" spans="20:21" x14ac:dyDescent="0.25">
      <c r="T4353" s="98"/>
      <c r="U4353" s="99"/>
    </row>
    <row r="4354" spans="20:21" x14ac:dyDescent="0.25">
      <c r="T4354" s="98"/>
      <c r="U4354" s="99"/>
    </row>
    <row r="4355" spans="20:21" x14ac:dyDescent="0.25">
      <c r="T4355" s="98"/>
      <c r="U4355" s="99"/>
    </row>
    <row r="4356" spans="20:21" x14ac:dyDescent="0.25">
      <c r="T4356" s="98"/>
      <c r="U4356" s="99"/>
    </row>
    <row r="4357" spans="20:21" x14ac:dyDescent="0.25">
      <c r="T4357" s="98"/>
      <c r="U4357" s="99"/>
    </row>
    <row r="4358" spans="20:21" x14ac:dyDescent="0.25">
      <c r="T4358" s="98"/>
      <c r="U4358" s="99"/>
    </row>
    <row r="4359" spans="20:21" x14ac:dyDescent="0.25">
      <c r="T4359" s="98"/>
      <c r="U4359" s="99"/>
    </row>
    <row r="4360" spans="20:21" x14ac:dyDescent="0.25">
      <c r="T4360" s="98"/>
      <c r="U4360" s="99"/>
    </row>
    <row r="4361" spans="20:21" x14ac:dyDescent="0.25">
      <c r="T4361" s="98"/>
      <c r="U4361" s="99"/>
    </row>
    <row r="4362" spans="20:21" x14ac:dyDescent="0.25">
      <c r="T4362" s="98"/>
      <c r="U4362" s="99"/>
    </row>
    <row r="4363" spans="20:21" x14ac:dyDescent="0.25">
      <c r="T4363" s="98"/>
      <c r="U4363" s="99"/>
    </row>
    <row r="4364" spans="20:21" x14ac:dyDescent="0.25">
      <c r="T4364" s="98"/>
      <c r="U4364" s="99"/>
    </row>
    <row r="4365" spans="20:21" x14ac:dyDescent="0.25">
      <c r="T4365" s="98"/>
      <c r="U4365" s="99"/>
    </row>
    <row r="4366" spans="20:21" x14ac:dyDescent="0.25">
      <c r="T4366" s="98"/>
      <c r="U4366" s="99"/>
    </row>
    <row r="4367" spans="20:21" x14ac:dyDescent="0.25">
      <c r="T4367" s="98"/>
      <c r="U4367" s="99"/>
    </row>
    <row r="4368" spans="20:21" x14ac:dyDescent="0.25">
      <c r="T4368" s="98"/>
      <c r="U4368" s="99"/>
    </row>
    <row r="4369" spans="20:21" x14ac:dyDescent="0.25">
      <c r="T4369" s="98"/>
      <c r="U4369" s="99"/>
    </row>
    <row r="4370" spans="20:21" x14ac:dyDescent="0.25">
      <c r="T4370" s="98"/>
      <c r="U4370" s="99"/>
    </row>
    <row r="4371" spans="20:21" x14ac:dyDescent="0.25">
      <c r="T4371" s="98"/>
      <c r="U4371" s="99"/>
    </row>
    <row r="4372" spans="20:21" x14ac:dyDescent="0.25">
      <c r="T4372" s="98"/>
      <c r="U4372" s="99"/>
    </row>
    <row r="4373" spans="20:21" x14ac:dyDescent="0.25">
      <c r="T4373" s="98"/>
      <c r="U4373" s="99"/>
    </row>
    <row r="4374" spans="20:21" x14ac:dyDescent="0.25">
      <c r="T4374" s="98"/>
      <c r="U4374" s="99"/>
    </row>
    <row r="4375" spans="20:21" x14ac:dyDescent="0.25">
      <c r="T4375" s="98"/>
      <c r="U4375" s="99"/>
    </row>
    <row r="4376" spans="20:21" x14ac:dyDescent="0.25">
      <c r="T4376" s="98"/>
      <c r="U4376" s="99"/>
    </row>
    <row r="4377" spans="20:21" x14ac:dyDescent="0.25">
      <c r="T4377" s="98"/>
      <c r="U4377" s="99"/>
    </row>
    <row r="4378" spans="20:21" x14ac:dyDescent="0.25">
      <c r="T4378" s="98"/>
      <c r="U4378" s="99"/>
    </row>
    <row r="4379" spans="20:21" x14ac:dyDescent="0.25">
      <c r="T4379" s="98"/>
      <c r="U4379" s="99"/>
    </row>
    <row r="4380" spans="20:21" x14ac:dyDescent="0.25">
      <c r="T4380" s="98"/>
      <c r="U4380" s="99"/>
    </row>
    <row r="4381" spans="20:21" x14ac:dyDescent="0.25">
      <c r="T4381" s="98"/>
      <c r="U4381" s="99"/>
    </row>
    <row r="4382" spans="20:21" x14ac:dyDescent="0.25">
      <c r="T4382" s="98"/>
      <c r="U4382" s="99"/>
    </row>
    <row r="4383" spans="20:21" x14ac:dyDescent="0.25">
      <c r="T4383" s="98"/>
      <c r="U4383" s="99"/>
    </row>
    <row r="4384" spans="20:21" x14ac:dyDescent="0.25">
      <c r="T4384" s="98"/>
      <c r="U4384" s="99"/>
    </row>
    <row r="4385" spans="20:21" x14ac:dyDescent="0.25">
      <c r="T4385" s="98"/>
      <c r="U4385" s="99"/>
    </row>
    <row r="4386" spans="20:21" x14ac:dyDescent="0.25">
      <c r="T4386" s="98"/>
      <c r="U4386" s="99"/>
    </row>
    <row r="4387" spans="20:21" x14ac:dyDescent="0.25">
      <c r="T4387" s="98"/>
      <c r="U4387" s="99"/>
    </row>
    <row r="4388" spans="20:21" x14ac:dyDescent="0.25">
      <c r="T4388" s="98"/>
      <c r="U4388" s="99"/>
    </row>
    <row r="4389" spans="20:21" x14ac:dyDescent="0.25">
      <c r="T4389" s="98"/>
      <c r="U4389" s="99"/>
    </row>
    <row r="4390" spans="20:21" x14ac:dyDescent="0.25">
      <c r="T4390" s="98"/>
      <c r="U4390" s="99"/>
    </row>
    <row r="4391" spans="20:21" x14ac:dyDescent="0.25">
      <c r="T4391" s="98"/>
      <c r="U4391" s="99"/>
    </row>
    <row r="4392" spans="20:21" x14ac:dyDescent="0.25">
      <c r="T4392" s="98"/>
      <c r="U4392" s="99"/>
    </row>
    <row r="4393" spans="20:21" x14ac:dyDescent="0.25">
      <c r="T4393" s="98"/>
      <c r="U4393" s="99"/>
    </row>
    <row r="4394" spans="20:21" x14ac:dyDescent="0.25">
      <c r="T4394" s="98"/>
      <c r="U4394" s="99"/>
    </row>
    <row r="4395" spans="20:21" x14ac:dyDescent="0.25">
      <c r="T4395" s="98"/>
      <c r="U4395" s="99"/>
    </row>
    <row r="4396" spans="20:21" x14ac:dyDescent="0.25">
      <c r="T4396" s="98"/>
      <c r="U4396" s="99"/>
    </row>
    <row r="4397" spans="20:21" x14ac:dyDescent="0.25">
      <c r="T4397" s="98"/>
      <c r="U4397" s="99"/>
    </row>
    <row r="4398" spans="20:21" x14ac:dyDescent="0.25">
      <c r="T4398" s="98"/>
      <c r="U4398" s="99"/>
    </row>
    <row r="4399" spans="20:21" x14ac:dyDescent="0.25">
      <c r="T4399" s="98"/>
      <c r="U4399" s="99"/>
    </row>
    <row r="4400" spans="20:21" x14ac:dyDescent="0.25">
      <c r="T4400" s="98"/>
      <c r="U4400" s="99"/>
    </row>
    <row r="4401" spans="20:21" x14ac:dyDescent="0.25">
      <c r="T4401" s="98"/>
      <c r="U4401" s="99"/>
    </row>
    <row r="4402" spans="20:21" x14ac:dyDescent="0.25">
      <c r="T4402" s="98"/>
      <c r="U4402" s="99"/>
    </row>
    <row r="4403" spans="20:21" x14ac:dyDescent="0.25">
      <c r="T4403" s="98"/>
      <c r="U4403" s="99"/>
    </row>
    <row r="4404" spans="20:21" x14ac:dyDescent="0.25">
      <c r="T4404" s="98"/>
      <c r="U4404" s="99"/>
    </row>
    <row r="4405" spans="20:21" x14ac:dyDescent="0.25">
      <c r="T4405" s="98"/>
      <c r="U4405" s="99"/>
    </row>
    <row r="4406" spans="20:21" x14ac:dyDescent="0.25">
      <c r="T4406" s="98"/>
      <c r="U4406" s="99"/>
    </row>
    <row r="4407" spans="20:21" x14ac:dyDescent="0.25">
      <c r="T4407" s="98"/>
      <c r="U4407" s="99"/>
    </row>
    <row r="4408" spans="20:21" x14ac:dyDescent="0.25">
      <c r="T4408" s="98"/>
      <c r="U4408" s="99"/>
    </row>
    <row r="4409" spans="20:21" x14ac:dyDescent="0.25">
      <c r="T4409" s="98"/>
      <c r="U4409" s="99"/>
    </row>
    <row r="4410" spans="20:21" x14ac:dyDescent="0.25">
      <c r="T4410" s="98"/>
      <c r="U4410" s="99"/>
    </row>
    <row r="4411" spans="20:21" x14ac:dyDescent="0.25">
      <c r="T4411" s="98"/>
      <c r="U4411" s="99"/>
    </row>
    <row r="4412" spans="20:21" x14ac:dyDescent="0.25">
      <c r="T4412" s="98"/>
      <c r="U4412" s="99"/>
    </row>
    <row r="4413" spans="20:21" x14ac:dyDescent="0.25">
      <c r="T4413" s="98"/>
      <c r="U4413" s="99"/>
    </row>
    <row r="4414" spans="20:21" x14ac:dyDescent="0.25">
      <c r="T4414" s="98"/>
      <c r="U4414" s="99"/>
    </row>
    <row r="4415" spans="20:21" x14ac:dyDescent="0.25">
      <c r="T4415" s="98"/>
      <c r="U4415" s="99"/>
    </row>
    <row r="4416" spans="20:21" x14ac:dyDescent="0.25">
      <c r="T4416" s="98"/>
      <c r="U4416" s="99"/>
    </row>
    <row r="4417" spans="20:21" x14ac:dyDescent="0.25">
      <c r="T4417" s="98"/>
      <c r="U4417" s="99"/>
    </row>
    <row r="4418" spans="20:21" x14ac:dyDescent="0.25">
      <c r="T4418" s="98"/>
      <c r="U4418" s="99"/>
    </row>
    <row r="4419" spans="20:21" x14ac:dyDescent="0.25">
      <c r="T4419" s="98"/>
      <c r="U4419" s="99"/>
    </row>
    <row r="4420" spans="20:21" x14ac:dyDescent="0.25">
      <c r="T4420" s="98"/>
      <c r="U4420" s="99"/>
    </row>
    <row r="4421" spans="20:21" x14ac:dyDescent="0.25">
      <c r="T4421" s="98"/>
      <c r="U4421" s="99"/>
    </row>
    <row r="4422" spans="20:21" x14ac:dyDescent="0.25">
      <c r="T4422" s="98"/>
      <c r="U4422" s="99"/>
    </row>
    <row r="4423" spans="20:21" x14ac:dyDescent="0.25">
      <c r="T4423" s="98"/>
      <c r="U4423" s="99"/>
    </row>
    <row r="4424" spans="20:21" x14ac:dyDescent="0.25">
      <c r="T4424" s="98"/>
      <c r="U4424" s="99"/>
    </row>
    <row r="4425" spans="20:21" x14ac:dyDescent="0.25">
      <c r="T4425" s="98"/>
      <c r="U4425" s="99"/>
    </row>
    <row r="4426" spans="20:21" x14ac:dyDescent="0.25">
      <c r="T4426" s="98"/>
      <c r="U4426" s="99"/>
    </row>
    <row r="4427" spans="20:21" x14ac:dyDescent="0.25">
      <c r="T4427" s="98"/>
      <c r="U4427" s="99"/>
    </row>
    <row r="4428" spans="20:21" x14ac:dyDescent="0.25">
      <c r="T4428" s="98"/>
      <c r="U4428" s="99"/>
    </row>
    <row r="4429" spans="20:21" x14ac:dyDescent="0.25">
      <c r="T4429" s="98"/>
      <c r="U4429" s="99"/>
    </row>
    <row r="4430" spans="20:21" x14ac:dyDescent="0.25">
      <c r="T4430" s="98"/>
      <c r="U4430" s="99"/>
    </row>
    <row r="4431" spans="20:21" x14ac:dyDescent="0.25">
      <c r="T4431" s="98"/>
      <c r="U4431" s="99"/>
    </row>
    <row r="4432" spans="20:21" x14ac:dyDescent="0.25">
      <c r="T4432" s="98"/>
      <c r="U4432" s="99"/>
    </row>
    <row r="4433" spans="20:21" x14ac:dyDescent="0.25">
      <c r="T4433" s="98"/>
      <c r="U4433" s="99"/>
    </row>
    <row r="4434" spans="20:21" x14ac:dyDescent="0.25">
      <c r="T4434" s="98"/>
      <c r="U4434" s="99"/>
    </row>
    <row r="4435" spans="20:21" x14ac:dyDescent="0.25">
      <c r="T4435" s="98"/>
      <c r="U4435" s="99"/>
    </row>
    <row r="4436" spans="20:21" x14ac:dyDescent="0.25">
      <c r="T4436" s="98"/>
      <c r="U4436" s="99"/>
    </row>
    <row r="4437" spans="20:21" x14ac:dyDescent="0.25">
      <c r="T4437" s="98"/>
      <c r="U4437" s="99"/>
    </row>
    <row r="4438" spans="20:21" x14ac:dyDescent="0.25">
      <c r="T4438" s="98"/>
      <c r="U4438" s="99"/>
    </row>
    <row r="4439" spans="20:21" x14ac:dyDescent="0.25">
      <c r="T4439" s="98"/>
      <c r="U4439" s="99"/>
    </row>
    <row r="4440" spans="20:21" x14ac:dyDescent="0.25">
      <c r="T4440" s="98"/>
      <c r="U4440" s="99"/>
    </row>
    <row r="4441" spans="20:21" x14ac:dyDescent="0.25">
      <c r="T4441" s="98"/>
      <c r="U4441" s="99"/>
    </row>
    <row r="4442" spans="20:21" x14ac:dyDescent="0.25">
      <c r="T4442" s="98"/>
      <c r="U4442" s="99"/>
    </row>
    <row r="4443" spans="20:21" x14ac:dyDescent="0.25">
      <c r="T4443" s="98"/>
      <c r="U4443" s="99"/>
    </row>
    <row r="4444" spans="20:21" x14ac:dyDescent="0.25">
      <c r="T4444" s="98"/>
      <c r="U4444" s="99"/>
    </row>
    <row r="4445" spans="20:21" x14ac:dyDescent="0.25">
      <c r="T4445" s="98"/>
      <c r="U4445" s="99"/>
    </row>
    <row r="4446" spans="20:21" x14ac:dyDescent="0.25">
      <c r="T4446" s="98"/>
      <c r="U4446" s="99"/>
    </row>
    <row r="4447" spans="20:21" x14ac:dyDescent="0.25">
      <c r="T4447" s="98"/>
      <c r="U4447" s="99"/>
    </row>
    <row r="4448" spans="20:21" x14ac:dyDescent="0.25">
      <c r="T4448" s="98"/>
      <c r="U4448" s="99"/>
    </row>
    <row r="4449" spans="20:21" x14ac:dyDescent="0.25">
      <c r="T4449" s="98"/>
      <c r="U4449" s="99"/>
    </row>
    <row r="4450" spans="20:21" x14ac:dyDescent="0.25">
      <c r="T4450" s="98"/>
      <c r="U4450" s="99"/>
    </row>
    <row r="4451" spans="20:21" x14ac:dyDescent="0.25">
      <c r="T4451" s="98"/>
      <c r="U4451" s="99"/>
    </row>
    <row r="4452" spans="20:21" x14ac:dyDescent="0.25">
      <c r="T4452" s="98"/>
      <c r="U4452" s="99"/>
    </row>
    <row r="4453" spans="20:21" x14ac:dyDescent="0.25">
      <c r="T4453" s="98"/>
      <c r="U4453" s="99"/>
    </row>
    <row r="4454" spans="20:21" x14ac:dyDescent="0.25">
      <c r="T4454" s="98"/>
      <c r="U4454" s="99"/>
    </row>
    <row r="4455" spans="20:21" x14ac:dyDescent="0.25">
      <c r="T4455" s="98"/>
      <c r="U4455" s="99"/>
    </row>
    <row r="4456" spans="20:21" x14ac:dyDescent="0.25">
      <c r="T4456" s="98"/>
      <c r="U4456" s="99"/>
    </row>
    <row r="4457" spans="20:21" x14ac:dyDescent="0.25">
      <c r="T4457" s="98"/>
      <c r="U4457" s="99"/>
    </row>
    <row r="4458" spans="20:21" x14ac:dyDescent="0.25">
      <c r="T4458" s="98"/>
      <c r="U4458" s="99"/>
    </row>
    <row r="4459" spans="20:21" x14ac:dyDescent="0.25">
      <c r="T4459" s="98"/>
      <c r="U4459" s="99"/>
    </row>
    <row r="4460" spans="20:21" x14ac:dyDescent="0.25">
      <c r="T4460" s="98"/>
      <c r="U4460" s="99"/>
    </row>
    <row r="4461" spans="20:21" x14ac:dyDescent="0.25">
      <c r="T4461" s="98"/>
      <c r="U4461" s="99"/>
    </row>
    <row r="4462" spans="20:21" x14ac:dyDescent="0.25">
      <c r="T4462" s="98"/>
      <c r="U4462" s="99"/>
    </row>
    <row r="4463" spans="20:21" x14ac:dyDescent="0.25">
      <c r="T4463" s="98"/>
      <c r="U4463" s="99"/>
    </row>
    <row r="4464" spans="20:21" x14ac:dyDescent="0.25">
      <c r="T4464" s="98"/>
      <c r="U4464" s="99"/>
    </row>
    <row r="4465" spans="20:21" x14ac:dyDescent="0.25">
      <c r="T4465" s="98"/>
      <c r="U4465" s="99"/>
    </row>
    <row r="4466" spans="20:21" x14ac:dyDescent="0.25">
      <c r="T4466" s="98"/>
      <c r="U4466" s="99"/>
    </row>
    <row r="4467" spans="20:21" x14ac:dyDescent="0.25">
      <c r="T4467" s="98"/>
      <c r="U4467" s="99"/>
    </row>
    <row r="4468" spans="20:21" x14ac:dyDescent="0.25">
      <c r="T4468" s="98"/>
      <c r="U4468" s="99"/>
    </row>
    <row r="4469" spans="20:21" x14ac:dyDescent="0.25">
      <c r="T4469" s="98"/>
      <c r="U4469" s="99"/>
    </row>
    <row r="4470" spans="20:21" x14ac:dyDescent="0.25">
      <c r="T4470" s="98"/>
      <c r="U4470" s="99"/>
    </row>
    <row r="4471" spans="20:21" x14ac:dyDescent="0.25">
      <c r="T4471" s="98"/>
      <c r="U4471" s="99"/>
    </row>
    <row r="4472" spans="20:21" x14ac:dyDescent="0.25">
      <c r="T4472" s="98"/>
      <c r="U4472" s="99"/>
    </row>
    <row r="4473" spans="20:21" x14ac:dyDescent="0.25">
      <c r="T4473" s="98"/>
      <c r="U4473" s="99"/>
    </row>
    <row r="4474" spans="20:21" x14ac:dyDescent="0.25">
      <c r="T4474" s="98"/>
      <c r="U4474" s="99"/>
    </row>
    <row r="4475" spans="20:21" x14ac:dyDescent="0.25">
      <c r="T4475" s="98"/>
      <c r="U4475" s="99"/>
    </row>
    <row r="4476" spans="20:21" x14ac:dyDescent="0.25">
      <c r="T4476" s="98"/>
      <c r="U4476" s="99"/>
    </row>
    <row r="4477" spans="20:21" x14ac:dyDescent="0.25">
      <c r="T4477" s="98"/>
      <c r="U4477" s="99"/>
    </row>
    <row r="4478" spans="20:21" x14ac:dyDescent="0.25">
      <c r="T4478" s="98"/>
      <c r="U4478" s="99"/>
    </row>
    <row r="4479" spans="20:21" x14ac:dyDescent="0.25">
      <c r="T4479" s="98"/>
      <c r="U4479" s="99"/>
    </row>
    <row r="4480" spans="20:21" x14ac:dyDescent="0.25">
      <c r="T4480" s="98"/>
      <c r="U4480" s="99"/>
    </row>
    <row r="4481" spans="20:21" x14ac:dyDescent="0.25">
      <c r="T4481" s="98"/>
      <c r="U4481" s="99"/>
    </row>
    <row r="4482" spans="20:21" x14ac:dyDescent="0.25">
      <c r="T4482" s="98"/>
      <c r="U4482" s="99"/>
    </row>
    <row r="4483" spans="20:21" x14ac:dyDescent="0.25">
      <c r="T4483" s="98"/>
      <c r="U4483" s="99"/>
    </row>
    <row r="4484" spans="20:21" x14ac:dyDescent="0.25">
      <c r="T4484" s="98"/>
      <c r="U4484" s="99"/>
    </row>
    <row r="4485" spans="20:21" x14ac:dyDescent="0.25">
      <c r="T4485" s="98"/>
      <c r="U4485" s="99"/>
    </row>
    <row r="4486" spans="20:21" x14ac:dyDescent="0.25">
      <c r="T4486" s="98"/>
      <c r="U4486" s="99"/>
    </row>
    <row r="4487" spans="20:21" x14ac:dyDescent="0.25">
      <c r="T4487" s="98"/>
      <c r="U4487" s="99"/>
    </row>
    <row r="4488" spans="20:21" x14ac:dyDescent="0.25">
      <c r="T4488" s="98"/>
      <c r="U4488" s="99"/>
    </row>
    <row r="4489" spans="20:21" x14ac:dyDescent="0.25">
      <c r="T4489" s="98"/>
      <c r="U4489" s="99"/>
    </row>
    <row r="4490" spans="20:21" x14ac:dyDescent="0.25">
      <c r="T4490" s="98"/>
      <c r="U4490" s="99"/>
    </row>
    <row r="4491" spans="20:21" x14ac:dyDescent="0.25">
      <c r="T4491" s="98"/>
      <c r="U4491" s="99"/>
    </row>
    <row r="4492" spans="20:21" x14ac:dyDescent="0.25">
      <c r="T4492" s="98"/>
      <c r="U4492" s="99"/>
    </row>
    <row r="4493" spans="20:21" x14ac:dyDescent="0.25">
      <c r="T4493" s="98"/>
      <c r="U4493" s="99"/>
    </row>
    <row r="4494" spans="20:21" x14ac:dyDescent="0.25">
      <c r="T4494" s="98"/>
      <c r="U4494" s="99"/>
    </row>
    <row r="4495" spans="20:21" x14ac:dyDescent="0.25">
      <c r="T4495" s="98"/>
      <c r="U4495" s="99"/>
    </row>
    <row r="4496" spans="20:21" x14ac:dyDescent="0.25">
      <c r="T4496" s="98"/>
      <c r="U4496" s="99"/>
    </row>
    <row r="4497" spans="20:21" x14ac:dyDescent="0.25">
      <c r="T4497" s="98"/>
      <c r="U4497" s="99"/>
    </row>
    <row r="4498" spans="20:21" x14ac:dyDescent="0.25">
      <c r="T4498" s="98"/>
      <c r="U4498" s="99"/>
    </row>
    <row r="4499" spans="20:21" x14ac:dyDescent="0.25">
      <c r="T4499" s="98"/>
      <c r="U4499" s="99"/>
    </row>
    <row r="4500" spans="20:21" x14ac:dyDescent="0.25">
      <c r="T4500" s="98"/>
      <c r="U4500" s="99"/>
    </row>
    <row r="4501" spans="20:21" x14ac:dyDescent="0.25">
      <c r="T4501" s="98"/>
      <c r="U4501" s="99"/>
    </row>
    <row r="4502" spans="20:21" x14ac:dyDescent="0.25">
      <c r="T4502" s="98"/>
      <c r="U4502" s="99"/>
    </row>
    <row r="4503" spans="20:21" x14ac:dyDescent="0.25">
      <c r="T4503" s="98"/>
      <c r="U4503" s="99"/>
    </row>
    <row r="4504" spans="20:21" x14ac:dyDescent="0.25">
      <c r="T4504" s="98"/>
      <c r="U4504" s="99"/>
    </row>
    <row r="4505" spans="20:21" x14ac:dyDescent="0.25">
      <c r="T4505" s="98"/>
      <c r="U4505" s="99"/>
    </row>
    <row r="4506" spans="20:21" x14ac:dyDescent="0.25">
      <c r="T4506" s="98"/>
      <c r="U4506" s="99"/>
    </row>
    <row r="4507" spans="20:21" x14ac:dyDescent="0.25">
      <c r="T4507" s="98"/>
      <c r="U4507" s="99"/>
    </row>
    <row r="4508" spans="20:21" x14ac:dyDescent="0.25">
      <c r="T4508" s="98"/>
      <c r="U4508" s="99"/>
    </row>
    <row r="4509" spans="20:21" x14ac:dyDescent="0.25">
      <c r="T4509" s="98"/>
      <c r="U4509" s="99"/>
    </row>
    <row r="4510" spans="20:21" x14ac:dyDescent="0.25">
      <c r="T4510" s="98"/>
      <c r="U4510" s="99"/>
    </row>
    <row r="4511" spans="20:21" x14ac:dyDescent="0.25">
      <c r="T4511" s="98"/>
      <c r="U4511" s="99"/>
    </row>
    <row r="4512" spans="20:21" x14ac:dyDescent="0.25">
      <c r="T4512" s="98"/>
      <c r="U4512" s="99"/>
    </row>
    <row r="4513" spans="20:21" x14ac:dyDescent="0.25">
      <c r="T4513" s="98"/>
      <c r="U4513" s="99"/>
    </row>
    <row r="4514" spans="20:21" x14ac:dyDescent="0.25">
      <c r="T4514" s="98"/>
      <c r="U4514" s="99"/>
    </row>
    <row r="4515" spans="20:21" x14ac:dyDescent="0.25">
      <c r="T4515" s="98"/>
      <c r="U4515" s="99"/>
    </row>
    <row r="4516" spans="20:21" x14ac:dyDescent="0.25">
      <c r="T4516" s="98"/>
      <c r="U4516" s="99"/>
    </row>
    <row r="4517" spans="20:21" x14ac:dyDescent="0.25">
      <c r="T4517" s="98"/>
      <c r="U4517" s="99"/>
    </row>
    <row r="4518" spans="20:21" x14ac:dyDescent="0.25">
      <c r="T4518" s="98"/>
      <c r="U4518" s="99"/>
    </row>
    <row r="4519" spans="20:21" x14ac:dyDescent="0.25">
      <c r="T4519" s="98"/>
      <c r="U4519" s="99"/>
    </row>
    <row r="4520" spans="20:21" x14ac:dyDescent="0.25">
      <c r="T4520" s="98"/>
      <c r="U4520" s="99"/>
    </row>
    <row r="4521" spans="20:21" x14ac:dyDescent="0.25">
      <c r="T4521" s="98"/>
      <c r="U4521" s="99"/>
    </row>
    <row r="4522" spans="20:21" x14ac:dyDescent="0.25">
      <c r="T4522" s="98"/>
      <c r="U4522" s="99"/>
    </row>
    <row r="4523" spans="20:21" x14ac:dyDescent="0.25">
      <c r="T4523" s="98"/>
      <c r="U4523" s="99"/>
    </row>
    <row r="4524" spans="20:21" x14ac:dyDescent="0.25">
      <c r="T4524" s="98"/>
      <c r="U4524" s="99"/>
    </row>
    <row r="4525" spans="20:21" x14ac:dyDescent="0.25">
      <c r="T4525" s="98"/>
      <c r="U4525" s="99"/>
    </row>
    <row r="4526" spans="20:21" x14ac:dyDescent="0.25">
      <c r="T4526" s="98"/>
      <c r="U4526" s="99"/>
    </row>
    <row r="4527" spans="20:21" x14ac:dyDescent="0.25">
      <c r="T4527" s="98"/>
      <c r="U4527" s="99"/>
    </row>
    <row r="4528" spans="20:21" x14ac:dyDescent="0.25">
      <c r="T4528" s="98"/>
      <c r="U4528" s="99"/>
    </row>
    <row r="4529" spans="20:21" x14ac:dyDescent="0.25">
      <c r="T4529" s="98"/>
      <c r="U4529" s="99"/>
    </row>
    <row r="4530" spans="20:21" x14ac:dyDescent="0.25">
      <c r="T4530" s="98"/>
      <c r="U4530" s="99"/>
    </row>
    <row r="4531" spans="20:21" x14ac:dyDescent="0.25">
      <c r="T4531" s="98"/>
      <c r="U4531" s="99"/>
    </row>
    <row r="4532" spans="20:21" x14ac:dyDescent="0.25">
      <c r="T4532" s="98"/>
      <c r="U4532" s="99"/>
    </row>
    <row r="4533" spans="20:21" x14ac:dyDescent="0.25">
      <c r="T4533" s="98"/>
      <c r="U4533" s="99"/>
    </row>
    <row r="4534" spans="20:21" x14ac:dyDescent="0.25">
      <c r="T4534" s="98"/>
      <c r="U4534" s="99"/>
    </row>
    <row r="4535" spans="20:21" x14ac:dyDescent="0.25">
      <c r="T4535" s="98"/>
      <c r="U4535" s="99"/>
    </row>
    <row r="4536" spans="20:21" x14ac:dyDescent="0.25">
      <c r="T4536" s="98"/>
      <c r="U4536" s="99"/>
    </row>
    <row r="4537" spans="20:21" x14ac:dyDescent="0.25">
      <c r="T4537" s="98"/>
      <c r="U4537" s="99"/>
    </row>
    <row r="4538" spans="20:21" x14ac:dyDescent="0.25">
      <c r="T4538" s="98"/>
      <c r="U4538" s="99"/>
    </row>
    <row r="4539" spans="20:21" x14ac:dyDescent="0.25">
      <c r="T4539" s="98"/>
      <c r="U4539" s="99"/>
    </row>
    <row r="4540" spans="20:21" x14ac:dyDescent="0.25">
      <c r="T4540" s="98"/>
      <c r="U4540" s="99"/>
    </row>
    <row r="4541" spans="20:21" x14ac:dyDescent="0.25">
      <c r="T4541" s="98"/>
      <c r="U4541" s="99"/>
    </row>
    <row r="4542" spans="20:21" x14ac:dyDescent="0.25">
      <c r="T4542" s="98"/>
      <c r="U4542" s="99"/>
    </row>
    <row r="4543" spans="20:21" x14ac:dyDescent="0.25">
      <c r="T4543" s="98"/>
      <c r="U4543" s="99"/>
    </row>
    <row r="4544" spans="20:21" x14ac:dyDescent="0.25">
      <c r="T4544" s="98"/>
      <c r="U4544" s="99"/>
    </row>
    <row r="4545" spans="20:21" x14ac:dyDescent="0.25">
      <c r="T4545" s="98"/>
      <c r="U4545" s="99"/>
    </row>
    <row r="4546" spans="20:21" x14ac:dyDescent="0.25">
      <c r="T4546" s="98"/>
      <c r="U4546" s="99"/>
    </row>
    <row r="4547" spans="20:21" x14ac:dyDescent="0.25">
      <c r="T4547" s="98"/>
      <c r="U4547" s="99"/>
    </row>
    <row r="4548" spans="20:21" x14ac:dyDescent="0.25">
      <c r="T4548" s="98"/>
      <c r="U4548" s="99"/>
    </row>
    <row r="4549" spans="20:21" x14ac:dyDescent="0.25">
      <c r="T4549" s="98"/>
      <c r="U4549" s="99"/>
    </row>
    <row r="4550" spans="20:21" x14ac:dyDescent="0.25">
      <c r="T4550" s="98"/>
      <c r="U4550" s="99"/>
    </row>
    <row r="4551" spans="20:21" x14ac:dyDescent="0.25">
      <c r="T4551" s="98"/>
      <c r="U4551" s="99"/>
    </row>
    <row r="4552" spans="20:21" x14ac:dyDescent="0.25">
      <c r="T4552" s="98"/>
      <c r="U4552" s="99"/>
    </row>
    <row r="4553" spans="20:21" x14ac:dyDescent="0.25">
      <c r="T4553" s="98"/>
      <c r="U4553" s="99"/>
    </row>
    <row r="4554" spans="20:21" x14ac:dyDescent="0.25">
      <c r="T4554" s="98"/>
      <c r="U4554" s="99"/>
    </row>
    <row r="4555" spans="20:21" x14ac:dyDescent="0.25">
      <c r="T4555" s="98"/>
      <c r="U4555" s="99"/>
    </row>
    <row r="4556" spans="20:21" x14ac:dyDescent="0.25">
      <c r="T4556" s="98"/>
      <c r="U4556" s="99"/>
    </row>
    <row r="4557" spans="20:21" x14ac:dyDescent="0.25">
      <c r="T4557" s="98"/>
      <c r="U4557" s="99"/>
    </row>
    <row r="4558" spans="20:21" x14ac:dyDescent="0.25">
      <c r="T4558" s="98"/>
      <c r="U4558" s="99"/>
    </row>
    <row r="4559" spans="20:21" x14ac:dyDescent="0.25">
      <c r="T4559" s="98"/>
      <c r="U4559" s="99"/>
    </row>
    <row r="4560" spans="20:21" x14ac:dyDescent="0.25">
      <c r="T4560" s="98"/>
      <c r="U4560" s="99"/>
    </row>
    <row r="4561" spans="20:21" x14ac:dyDescent="0.25">
      <c r="T4561" s="98"/>
      <c r="U4561" s="99"/>
    </row>
    <row r="4562" spans="20:21" x14ac:dyDescent="0.25">
      <c r="T4562" s="98"/>
      <c r="U4562" s="99"/>
    </row>
    <row r="4563" spans="20:21" x14ac:dyDescent="0.25">
      <c r="T4563" s="98"/>
      <c r="U4563" s="99"/>
    </row>
    <row r="4564" spans="20:21" x14ac:dyDescent="0.25">
      <c r="T4564" s="98"/>
      <c r="U4564" s="99"/>
    </row>
    <row r="4565" spans="20:21" x14ac:dyDescent="0.25">
      <c r="T4565" s="98"/>
      <c r="U4565" s="99"/>
    </row>
    <row r="4566" spans="20:21" x14ac:dyDescent="0.25">
      <c r="T4566" s="98"/>
      <c r="U4566" s="99"/>
    </row>
    <row r="4567" spans="20:21" x14ac:dyDescent="0.25">
      <c r="T4567" s="98"/>
      <c r="U4567" s="99"/>
    </row>
    <row r="4568" spans="20:21" x14ac:dyDescent="0.25">
      <c r="T4568" s="98"/>
      <c r="U4568" s="99"/>
    </row>
    <row r="4569" spans="20:21" x14ac:dyDescent="0.25">
      <c r="T4569" s="98"/>
      <c r="U4569" s="99"/>
    </row>
    <row r="4570" spans="20:21" x14ac:dyDescent="0.25">
      <c r="T4570" s="98"/>
      <c r="U4570" s="99"/>
    </row>
    <row r="4571" spans="20:21" x14ac:dyDescent="0.25">
      <c r="T4571" s="98"/>
      <c r="U4571" s="99"/>
    </row>
    <row r="4572" spans="20:21" x14ac:dyDescent="0.25">
      <c r="T4572" s="98"/>
      <c r="U4572" s="99"/>
    </row>
    <row r="4573" spans="20:21" x14ac:dyDescent="0.25">
      <c r="T4573" s="98"/>
      <c r="U4573" s="99"/>
    </row>
    <row r="4574" spans="20:21" x14ac:dyDescent="0.25">
      <c r="T4574" s="98"/>
      <c r="U4574" s="99"/>
    </row>
    <row r="4575" spans="20:21" x14ac:dyDescent="0.25">
      <c r="T4575" s="98"/>
      <c r="U4575" s="99"/>
    </row>
    <row r="4576" spans="20:21" x14ac:dyDescent="0.25">
      <c r="T4576" s="98"/>
      <c r="U4576" s="99"/>
    </row>
    <row r="4577" spans="20:21" x14ac:dyDescent="0.25">
      <c r="T4577" s="98"/>
      <c r="U4577" s="99"/>
    </row>
    <row r="4578" spans="20:21" x14ac:dyDescent="0.25">
      <c r="T4578" s="98"/>
      <c r="U4578" s="99"/>
    </row>
    <row r="4579" spans="20:21" x14ac:dyDescent="0.25">
      <c r="T4579" s="98"/>
      <c r="U4579" s="99"/>
    </row>
    <row r="4580" spans="20:21" x14ac:dyDescent="0.25">
      <c r="T4580" s="98"/>
      <c r="U4580" s="99"/>
    </row>
    <row r="4581" spans="20:21" x14ac:dyDescent="0.25">
      <c r="T4581" s="98"/>
      <c r="U4581" s="99"/>
    </row>
    <row r="4582" spans="20:21" x14ac:dyDescent="0.25">
      <c r="T4582" s="98"/>
      <c r="U4582" s="99"/>
    </row>
    <row r="4583" spans="20:21" x14ac:dyDescent="0.25">
      <c r="T4583" s="98"/>
      <c r="U4583" s="99"/>
    </row>
    <row r="4584" spans="20:21" x14ac:dyDescent="0.25">
      <c r="T4584" s="98"/>
      <c r="U4584" s="99"/>
    </row>
    <row r="4585" spans="20:21" x14ac:dyDescent="0.25">
      <c r="T4585" s="98"/>
      <c r="U4585" s="99"/>
    </row>
    <row r="4586" spans="20:21" x14ac:dyDescent="0.25">
      <c r="T4586" s="98"/>
      <c r="U4586" s="99"/>
    </row>
    <row r="4587" spans="20:21" x14ac:dyDescent="0.25">
      <c r="T4587" s="98"/>
      <c r="U4587" s="99"/>
    </row>
    <row r="4588" spans="20:21" x14ac:dyDescent="0.25">
      <c r="T4588" s="98"/>
      <c r="U4588" s="99"/>
    </row>
    <row r="4589" spans="20:21" x14ac:dyDescent="0.25">
      <c r="T4589" s="98"/>
      <c r="U4589" s="99"/>
    </row>
    <row r="4590" spans="20:21" x14ac:dyDescent="0.25">
      <c r="T4590" s="98"/>
      <c r="U4590" s="99"/>
    </row>
    <row r="4591" spans="20:21" x14ac:dyDescent="0.25">
      <c r="T4591" s="98"/>
      <c r="U4591" s="99"/>
    </row>
    <row r="4592" spans="20:21" x14ac:dyDescent="0.25">
      <c r="T4592" s="98"/>
      <c r="U4592" s="99"/>
    </row>
    <row r="4593" spans="20:21" x14ac:dyDescent="0.25">
      <c r="T4593" s="98"/>
      <c r="U4593" s="99"/>
    </row>
    <row r="4594" spans="20:21" x14ac:dyDescent="0.25">
      <c r="T4594" s="98"/>
      <c r="U4594" s="99"/>
    </row>
    <row r="4595" spans="20:21" x14ac:dyDescent="0.25">
      <c r="T4595" s="98"/>
      <c r="U4595" s="99"/>
    </row>
    <row r="4596" spans="20:21" x14ac:dyDescent="0.25">
      <c r="T4596" s="98"/>
      <c r="U4596" s="99"/>
    </row>
    <row r="4597" spans="20:21" x14ac:dyDescent="0.25">
      <c r="T4597" s="98"/>
      <c r="U4597" s="99"/>
    </row>
    <row r="4598" spans="20:21" x14ac:dyDescent="0.25">
      <c r="T4598" s="98"/>
      <c r="U4598" s="99"/>
    </row>
    <row r="4599" spans="20:21" x14ac:dyDescent="0.25">
      <c r="T4599" s="98"/>
      <c r="U4599" s="99"/>
    </row>
    <row r="4600" spans="20:21" x14ac:dyDescent="0.25">
      <c r="T4600" s="98"/>
      <c r="U4600" s="99"/>
    </row>
    <row r="4601" spans="20:21" x14ac:dyDescent="0.25">
      <c r="T4601" s="98"/>
      <c r="U4601" s="99"/>
    </row>
    <row r="4602" spans="20:21" x14ac:dyDescent="0.25">
      <c r="T4602" s="98"/>
      <c r="U4602" s="99"/>
    </row>
    <row r="4603" spans="20:21" x14ac:dyDescent="0.25">
      <c r="T4603" s="98"/>
      <c r="U4603" s="99"/>
    </row>
    <row r="4604" spans="20:21" x14ac:dyDescent="0.25">
      <c r="T4604" s="98"/>
      <c r="U4604" s="99"/>
    </row>
    <row r="4605" spans="20:21" x14ac:dyDescent="0.25">
      <c r="T4605" s="98"/>
      <c r="U4605" s="99"/>
    </row>
    <row r="4606" spans="20:21" x14ac:dyDescent="0.25">
      <c r="T4606" s="98"/>
      <c r="U4606" s="99"/>
    </row>
    <row r="4607" spans="20:21" x14ac:dyDescent="0.25">
      <c r="T4607" s="98"/>
      <c r="U4607" s="99"/>
    </row>
    <row r="4608" spans="20:21" x14ac:dyDescent="0.25">
      <c r="T4608" s="98"/>
      <c r="U4608" s="99"/>
    </row>
    <row r="4609" spans="20:21" x14ac:dyDescent="0.25">
      <c r="T4609" s="98"/>
      <c r="U4609" s="99"/>
    </row>
    <row r="4610" spans="20:21" x14ac:dyDescent="0.25">
      <c r="T4610" s="98"/>
      <c r="U4610" s="99"/>
    </row>
    <row r="4611" spans="20:21" x14ac:dyDescent="0.25">
      <c r="T4611" s="98"/>
      <c r="U4611" s="99"/>
    </row>
    <row r="4612" spans="20:21" x14ac:dyDescent="0.25">
      <c r="T4612" s="98"/>
      <c r="U4612" s="99"/>
    </row>
    <row r="4613" spans="20:21" x14ac:dyDescent="0.25">
      <c r="T4613" s="98"/>
      <c r="U4613" s="99"/>
    </row>
    <row r="4614" spans="20:21" x14ac:dyDescent="0.25">
      <c r="T4614" s="98"/>
      <c r="U4614" s="99"/>
    </row>
    <row r="4615" spans="20:21" x14ac:dyDescent="0.25">
      <c r="T4615" s="98"/>
      <c r="U4615" s="99"/>
    </row>
    <row r="4616" spans="20:21" x14ac:dyDescent="0.25">
      <c r="T4616" s="98"/>
      <c r="U4616" s="99"/>
    </row>
    <row r="4617" spans="20:21" x14ac:dyDescent="0.25">
      <c r="T4617" s="98"/>
      <c r="U4617" s="99"/>
    </row>
    <row r="4618" spans="20:21" x14ac:dyDescent="0.25">
      <c r="T4618" s="98"/>
      <c r="U4618" s="99"/>
    </row>
    <row r="4619" spans="20:21" x14ac:dyDescent="0.25">
      <c r="T4619" s="98"/>
      <c r="U4619" s="99"/>
    </row>
    <row r="4620" spans="20:21" x14ac:dyDescent="0.25">
      <c r="T4620" s="98"/>
      <c r="U4620" s="99"/>
    </row>
    <row r="4621" spans="20:21" x14ac:dyDescent="0.25">
      <c r="T4621" s="98"/>
      <c r="U4621" s="99"/>
    </row>
    <row r="4622" spans="20:21" x14ac:dyDescent="0.25">
      <c r="T4622" s="98"/>
      <c r="U4622" s="99"/>
    </row>
    <row r="4623" spans="20:21" x14ac:dyDescent="0.25">
      <c r="T4623" s="98"/>
      <c r="U4623" s="99"/>
    </row>
    <row r="4624" spans="20:21" x14ac:dyDescent="0.25">
      <c r="T4624" s="98"/>
      <c r="U4624" s="99"/>
    </row>
    <row r="4625" spans="20:21" x14ac:dyDescent="0.25">
      <c r="T4625" s="98"/>
      <c r="U4625" s="99"/>
    </row>
    <row r="4626" spans="20:21" x14ac:dyDescent="0.25">
      <c r="T4626" s="98"/>
      <c r="U4626" s="99"/>
    </row>
    <row r="4627" spans="20:21" x14ac:dyDescent="0.25">
      <c r="T4627" s="98"/>
      <c r="U4627" s="99"/>
    </row>
    <row r="4628" spans="20:21" x14ac:dyDescent="0.25">
      <c r="T4628" s="98"/>
      <c r="U4628" s="99"/>
    </row>
    <row r="4629" spans="20:21" x14ac:dyDescent="0.25">
      <c r="T4629" s="98"/>
      <c r="U4629" s="99"/>
    </row>
    <row r="4630" spans="20:21" x14ac:dyDescent="0.25">
      <c r="T4630" s="98"/>
      <c r="U4630" s="99"/>
    </row>
    <row r="4631" spans="20:21" x14ac:dyDescent="0.25">
      <c r="T4631" s="98"/>
      <c r="U4631" s="99"/>
    </row>
    <row r="4632" spans="20:21" x14ac:dyDescent="0.25">
      <c r="T4632" s="98"/>
      <c r="U4632" s="99"/>
    </row>
    <row r="4633" spans="20:21" x14ac:dyDescent="0.25">
      <c r="T4633" s="98"/>
      <c r="U4633" s="99"/>
    </row>
    <row r="4634" spans="20:21" x14ac:dyDescent="0.25">
      <c r="T4634" s="98"/>
      <c r="U4634" s="99"/>
    </row>
    <row r="4635" spans="20:21" x14ac:dyDescent="0.25">
      <c r="T4635" s="98"/>
      <c r="U4635" s="99"/>
    </row>
    <row r="4636" spans="20:21" x14ac:dyDescent="0.25">
      <c r="T4636" s="98"/>
      <c r="U4636" s="99"/>
    </row>
    <row r="4637" spans="20:21" x14ac:dyDescent="0.25">
      <c r="T4637" s="98"/>
      <c r="U4637" s="99"/>
    </row>
    <row r="4638" spans="20:21" x14ac:dyDescent="0.25">
      <c r="T4638" s="98"/>
      <c r="U4638" s="99"/>
    </row>
    <row r="4639" spans="20:21" x14ac:dyDescent="0.25">
      <c r="T4639" s="98"/>
      <c r="U4639" s="99"/>
    </row>
    <row r="4640" spans="20:21" x14ac:dyDescent="0.25">
      <c r="T4640" s="98"/>
      <c r="U4640" s="99"/>
    </row>
    <row r="4641" spans="20:21" x14ac:dyDescent="0.25">
      <c r="T4641" s="98"/>
      <c r="U4641" s="99"/>
    </row>
    <row r="4642" spans="20:21" x14ac:dyDescent="0.25">
      <c r="T4642" s="98"/>
      <c r="U4642" s="99"/>
    </row>
    <row r="4643" spans="20:21" x14ac:dyDescent="0.25">
      <c r="T4643" s="98"/>
      <c r="U4643" s="99"/>
    </row>
    <row r="4644" spans="20:21" x14ac:dyDescent="0.25">
      <c r="T4644" s="98"/>
      <c r="U4644" s="99"/>
    </row>
    <row r="4645" spans="20:21" x14ac:dyDescent="0.25">
      <c r="T4645" s="98"/>
      <c r="U4645" s="99"/>
    </row>
    <row r="4646" spans="20:21" x14ac:dyDescent="0.25">
      <c r="T4646" s="98"/>
      <c r="U4646" s="99"/>
    </row>
    <row r="4647" spans="20:21" x14ac:dyDescent="0.25">
      <c r="T4647" s="98"/>
      <c r="U4647" s="99"/>
    </row>
    <row r="4648" spans="20:21" x14ac:dyDescent="0.25">
      <c r="T4648" s="98"/>
      <c r="U4648" s="99"/>
    </row>
    <row r="4649" spans="20:21" x14ac:dyDescent="0.25">
      <c r="T4649" s="98"/>
      <c r="U4649" s="99"/>
    </row>
    <row r="4650" spans="20:21" x14ac:dyDescent="0.25">
      <c r="T4650" s="98"/>
      <c r="U4650" s="99"/>
    </row>
    <row r="4651" spans="20:21" x14ac:dyDescent="0.25">
      <c r="T4651" s="98"/>
      <c r="U4651" s="99"/>
    </row>
    <row r="4652" spans="20:21" x14ac:dyDescent="0.25">
      <c r="T4652" s="98"/>
      <c r="U4652" s="99"/>
    </row>
    <row r="4653" spans="20:21" x14ac:dyDescent="0.25">
      <c r="T4653" s="98"/>
      <c r="U4653" s="99"/>
    </row>
    <row r="4654" spans="20:21" x14ac:dyDescent="0.25">
      <c r="T4654" s="98"/>
      <c r="U4654" s="99"/>
    </row>
    <row r="4655" spans="20:21" x14ac:dyDescent="0.25">
      <c r="T4655" s="98"/>
      <c r="U4655" s="99"/>
    </row>
    <row r="4656" spans="20:21" x14ac:dyDescent="0.25">
      <c r="T4656" s="98"/>
      <c r="U4656" s="99"/>
    </row>
    <row r="4657" spans="20:21" x14ac:dyDescent="0.25">
      <c r="T4657" s="98"/>
      <c r="U4657" s="99"/>
    </row>
    <row r="4658" spans="20:21" x14ac:dyDescent="0.25">
      <c r="T4658" s="98"/>
      <c r="U4658" s="99"/>
    </row>
    <row r="4659" spans="20:21" x14ac:dyDescent="0.25">
      <c r="T4659" s="98"/>
      <c r="U4659" s="99"/>
    </row>
    <row r="4660" spans="20:21" x14ac:dyDescent="0.25">
      <c r="T4660" s="98"/>
      <c r="U4660" s="99"/>
    </row>
    <row r="4661" spans="20:21" x14ac:dyDescent="0.25">
      <c r="T4661" s="98"/>
      <c r="U4661" s="99"/>
    </row>
    <row r="4662" spans="20:21" x14ac:dyDescent="0.25">
      <c r="T4662" s="98"/>
      <c r="U4662" s="99"/>
    </row>
    <row r="4663" spans="20:21" x14ac:dyDescent="0.25">
      <c r="T4663" s="98"/>
      <c r="U4663" s="99"/>
    </row>
    <row r="4664" spans="20:21" x14ac:dyDescent="0.25">
      <c r="T4664" s="98"/>
      <c r="U4664" s="99"/>
    </row>
    <row r="4665" spans="20:21" x14ac:dyDescent="0.25">
      <c r="T4665" s="98"/>
      <c r="U4665" s="99"/>
    </row>
    <row r="4666" spans="20:21" x14ac:dyDescent="0.25">
      <c r="T4666" s="98"/>
      <c r="U4666" s="99"/>
    </row>
    <row r="4667" spans="20:21" x14ac:dyDescent="0.25">
      <c r="T4667" s="98"/>
      <c r="U4667" s="99"/>
    </row>
    <row r="4668" spans="20:21" x14ac:dyDescent="0.25">
      <c r="T4668" s="98"/>
      <c r="U4668" s="99"/>
    </row>
    <row r="4669" spans="20:21" x14ac:dyDescent="0.25">
      <c r="T4669" s="98"/>
      <c r="U4669" s="99"/>
    </row>
    <row r="4670" spans="20:21" x14ac:dyDescent="0.25">
      <c r="T4670" s="98"/>
      <c r="U4670" s="99"/>
    </row>
    <row r="4671" spans="20:21" x14ac:dyDescent="0.25">
      <c r="T4671" s="98"/>
      <c r="U4671" s="99"/>
    </row>
    <row r="4672" spans="20:21" x14ac:dyDescent="0.25">
      <c r="T4672" s="98"/>
      <c r="U4672" s="99"/>
    </row>
    <row r="4673" spans="20:21" x14ac:dyDescent="0.25">
      <c r="T4673" s="98"/>
      <c r="U4673" s="99"/>
    </row>
    <row r="4674" spans="20:21" x14ac:dyDescent="0.25">
      <c r="T4674" s="98"/>
      <c r="U4674" s="99"/>
    </row>
    <row r="4675" spans="20:21" x14ac:dyDescent="0.25">
      <c r="T4675" s="98"/>
      <c r="U4675" s="99"/>
    </row>
    <row r="4676" spans="20:21" x14ac:dyDescent="0.25">
      <c r="T4676" s="98"/>
      <c r="U4676" s="99"/>
    </row>
    <row r="4677" spans="20:21" x14ac:dyDescent="0.25">
      <c r="T4677" s="98"/>
      <c r="U4677" s="99"/>
    </row>
    <row r="4678" spans="20:21" x14ac:dyDescent="0.25">
      <c r="T4678" s="98"/>
      <c r="U4678" s="99"/>
    </row>
    <row r="4679" spans="20:21" x14ac:dyDescent="0.25">
      <c r="T4679" s="98"/>
      <c r="U4679" s="99"/>
    </row>
    <row r="4680" spans="20:21" x14ac:dyDescent="0.25">
      <c r="T4680" s="98"/>
      <c r="U4680" s="99"/>
    </row>
    <row r="4681" spans="20:21" x14ac:dyDescent="0.25">
      <c r="T4681" s="98"/>
      <c r="U4681" s="99"/>
    </row>
    <row r="4682" spans="20:21" x14ac:dyDescent="0.25">
      <c r="T4682" s="98"/>
      <c r="U4682" s="99"/>
    </row>
    <row r="4683" spans="20:21" x14ac:dyDescent="0.25">
      <c r="T4683" s="98"/>
      <c r="U4683" s="99"/>
    </row>
    <row r="4684" spans="20:21" x14ac:dyDescent="0.25">
      <c r="T4684" s="98"/>
      <c r="U4684" s="99"/>
    </row>
    <row r="4685" spans="20:21" x14ac:dyDescent="0.25">
      <c r="T4685" s="98"/>
      <c r="U4685" s="99"/>
    </row>
    <row r="4686" spans="20:21" x14ac:dyDescent="0.25">
      <c r="T4686" s="98"/>
      <c r="U4686" s="99"/>
    </row>
    <row r="4687" spans="20:21" x14ac:dyDescent="0.25">
      <c r="T4687" s="98"/>
      <c r="U4687" s="99"/>
    </row>
    <row r="4688" spans="20:21" x14ac:dyDescent="0.25">
      <c r="T4688" s="98"/>
      <c r="U4688" s="99"/>
    </row>
    <row r="4689" spans="20:21" x14ac:dyDescent="0.25">
      <c r="T4689" s="98"/>
      <c r="U4689" s="99"/>
    </row>
    <row r="4690" spans="20:21" x14ac:dyDescent="0.25">
      <c r="T4690" s="98"/>
      <c r="U4690" s="99"/>
    </row>
    <row r="4691" spans="20:21" x14ac:dyDescent="0.25">
      <c r="T4691" s="98"/>
      <c r="U4691" s="99"/>
    </row>
    <row r="4692" spans="20:21" x14ac:dyDescent="0.25">
      <c r="T4692" s="98"/>
      <c r="U4692" s="99"/>
    </row>
    <row r="4693" spans="20:21" x14ac:dyDescent="0.25">
      <c r="T4693" s="98"/>
      <c r="U4693" s="99"/>
    </row>
    <row r="4694" spans="20:21" x14ac:dyDescent="0.25">
      <c r="T4694" s="98"/>
      <c r="U4694" s="99"/>
    </row>
    <row r="4695" spans="20:21" x14ac:dyDescent="0.25">
      <c r="T4695" s="98"/>
      <c r="U4695" s="99"/>
    </row>
    <row r="4696" spans="20:21" x14ac:dyDescent="0.25">
      <c r="T4696" s="98"/>
      <c r="U4696" s="99"/>
    </row>
    <row r="4697" spans="20:21" x14ac:dyDescent="0.25">
      <c r="T4697" s="98"/>
      <c r="U4697" s="99"/>
    </row>
    <row r="4698" spans="20:21" x14ac:dyDescent="0.25">
      <c r="T4698" s="98"/>
      <c r="U4698" s="99"/>
    </row>
    <row r="4699" spans="20:21" x14ac:dyDescent="0.25">
      <c r="T4699" s="98"/>
      <c r="U4699" s="99"/>
    </row>
    <row r="4700" spans="20:21" x14ac:dyDescent="0.25">
      <c r="T4700" s="98"/>
      <c r="U4700" s="99"/>
    </row>
    <row r="4701" spans="20:21" x14ac:dyDescent="0.25">
      <c r="T4701" s="98"/>
      <c r="U4701" s="99"/>
    </row>
    <row r="4702" spans="20:21" x14ac:dyDescent="0.25">
      <c r="T4702" s="98"/>
      <c r="U4702" s="99"/>
    </row>
    <row r="4703" spans="20:21" x14ac:dyDescent="0.25">
      <c r="T4703" s="98"/>
      <c r="U4703" s="99"/>
    </row>
    <row r="4704" spans="20:21" x14ac:dyDescent="0.25">
      <c r="T4704" s="98"/>
      <c r="U4704" s="99"/>
    </row>
    <row r="4705" spans="20:21" x14ac:dyDescent="0.25">
      <c r="T4705" s="98"/>
      <c r="U4705" s="99"/>
    </row>
    <row r="4706" spans="20:21" x14ac:dyDescent="0.25">
      <c r="T4706" s="98"/>
      <c r="U4706" s="99"/>
    </row>
    <row r="4707" spans="20:21" x14ac:dyDescent="0.25">
      <c r="T4707" s="98"/>
      <c r="U4707" s="99"/>
    </row>
    <row r="4708" spans="20:21" x14ac:dyDescent="0.25">
      <c r="T4708" s="98"/>
      <c r="U4708" s="99"/>
    </row>
    <row r="4709" spans="20:21" x14ac:dyDescent="0.25">
      <c r="T4709" s="98"/>
      <c r="U4709" s="99"/>
    </row>
    <row r="4710" spans="20:21" x14ac:dyDescent="0.25">
      <c r="T4710" s="98"/>
      <c r="U4710" s="99"/>
    </row>
    <row r="4711" spans="20:21" x14ac:dyDescent="0.25">
      <c r="T4711" s="98"/>
      <c r="U4711" s="99"/>
    </row>
    <row r="4712" spans="20:21" x14ac:dyDescent="0.25">
      <c r="T4712" s="98"/>
      <c r="U4712" s="99"/>
    </row>
    <row r="4713" spans="20:21" x14ac:dyDescent="0.25">
      <c r="T4713" s="98"/>
      <c r="U4713" s="99"/>
    </row>
    <row r="4714" spans="20:21" x14ac:dyDescent="0.25">
      <c r="T4714" s="98"/>
      <c r="U4714" s="99"/>
    </row>
    <row r="4715" spans="20:21" x14ac:dyDescent="0.25">
      <c r="T4715" s="98"/>
      <c r="U4715" s="99"/>
    </row>
    <row r="4716" spans="20:21" x14ac:dyDescent="0.25">
      <c r="T4716" s="98"/>
      <c r="U4716" s="99"/>
    </row>
    <row r="4717" spans="20:21" x14ac:dyDescent="0.25">
      <c r="T4717" s="98"/>
      <c r="U4717" s="99"/>
    </row>
    <row r="4718" spans="20:21" x14ac:dyDescent="0.25">
      <c r="T4718" s="98"/>
      <c r="U4718" s="99"/>
    </row>
    <row r="4719" spans="20:21" x14ac:dyDescent="0.25">
      <c r="T4719" s="98"/>
      <c r="U4719" s="99"/>
    </row>
    <row r="4720" spans="20:21" x14ac:dyDescent="0.25">
      <c r="T4720" s="98"/>
      <c r="U4720" s="99"/>
    </row>
    <row r="4721" spans="20:21" x14ac:dyDescent="0.25">
      <c r="T4721" s="98"/>
      <c r="U4721" s="99"/>
    </row>
    <row r="4722" spans="20:21" x14ac:dyDescent="0.25">
      <c r="T4722" s="98"/>
      <c r="U4722" s="99"/>
    </row>
    <row r="4723" spans="20:21" x14ac:dyDescent="0.25">
      <c r="T4723" s="98"/>
      <c r="U4723" s="99"/>
    </row>
    <row r="4724" spans="20:21" x14ac:dyDescent="0.25">
      <c r="T4724" s="98"/>
      <c r="U4724" s="99"/>
    </row>
    <row r="4725" spans="20:21" x14ac:dyDescent="0.25">
      <c r="T4725" s="98"/>
      <c r="U4725" s="99"/>
    </row>
    <row r="4726" spans="20:21" x14ac:dyDescent="0.25">
      <c r="T4726" s="98"/>
      <c r="U4726" s="99"/>
    </row>
    <row r="4727" spans="20:21" x14ac:dyDescent="0.25">
      <c r="T4727" s="98"/>
      <c r="U4727" s="99"/>
    </row>
    <row r="4728" spans="20:21" x14ac:dyDescent="0.25">
      <c r="T4728" s="98"/>
      <c r="U4728" s="99"/>
    </row>
    <row r="4729" spans="20:21" x14ac:dyDescent="0.25">
      <c r="T4729" s="98"/>
      <c r="U4729" s="99"/>
    </row>
    <row r="4730" spans="20:21" x14ac:dyDescent="0.25">
      <c r="T4730" s="98"/>
      <c r="U4730" s="99"/>
    </row>
    <row r="4731" spans="20:21" x14ac:dyDescent="0.25">
      <c r="T4731" s="98"/>
      <c r="U4731" s="99"/>
    </row>
    <row r="4732" spans="20:21" x14ac:dyDescent="0.25">
      <c r="T4732" s="98"/>
      <c r="U4732" s="99"/>
    </row>
    <row r="4733" spans="20:21" x14ac:dyDescent="0.25">
      <c r="T4733" s="98"/>
      <c r="U4733" s="99"/>
    </row>
    <row r="4734" spans="20:21" x14ac:dyDescent="0.25">
      <c r="T4734" s="98"/>
      <c r="U4734" s="99"/>
    </row>
    <row r="4735" spans="20:21" x14ac:dyDescent="0.25">
      <c r="T4735" s="98"/>
      <c r="U4735" s="99"/>
    </row>
    <row r="4736" spans="20:21" x14ac:dyDescent="0.25">
      <c r="T4736" s="98"/>
      <c r="U4736" s="99"/>
    </row>
    <row r="4737" spans="20:21" x14ac:dyDescent="0.25">
      <c r="T4737" s="98"/>
      <c r="U4737" s="99"/>
    </row>
    <row r="4738" spans="20:21" x14ac:dyDescent="0.25">
      <c r="T4738" s="98"/>
      <c r="U4738" s="99"/>
    </row>
    <row r="4739" spans="20:21" x14ac:dyDescent="0.25">
      <c r="T4739" s="98"/>
      <c r="U4739" s="99"/>
    </row>
    <row r="4740" spans="20:21" x14ac:dyDescent="0.25">
      <c r="T4740" s="98"/>
      <c r="U4740" s="99"/>
    </row>
    <row r="4741" spans="20:21" x14ac:dyDescent="0.25">
      <c r="T4741" s="98"/>
      <c r="U4741" s="99"/>
    </row>
    <row r="4742" spans="20:21" x14ac:dyDescent="0.25">
      <c r="T4742" s="98"/>
      <c r="U4742" s="99"/>
    </row>
    <row r="4743" spans="20:21" x14ac:dyDescent="0.25">
      <c r="T4743" s="98"/>
      <c r="U4743" s="99"/>
    </row>
    <row r="4744" spans="20:21" x14ac:dyDescent="0.25">
      <c r="T4744" s="98"/>
      <c r="U4744" s="99"/>
    </row>
    <row r="4745" spans="20:21" x14ac:dyDescent="0.25">
      <c r="T4745" s="98"/>
      <c r="U4745" s="99"/>
    </row>
    <row r="4746" spans="20:21" x14ac:dyDescent="0.25">
      <c r="T4746" s="98"/>
      <c r="U4746" s="99"/>
    </row>
    <row r="4747" spans="20:21" x14ac:dyDescent="0.25">
      <c r="T4747" s="98"/>
      <c r="U4747" s="99"/>
    </row>
    <row r="4748" spans="20:21" x14ac:dyDescent="0.25">
      <c r="T4748" s="98"/>
      <c r="U4748" s="99"/>
    </row>
    <row r="4749" spans="20:21" x14ac:dyDescent="0.25">
      <c r="T4749" s="98"/>
      <c r="U4749" s="99"/>
    </row>
    <row r="4750" spans="20:21" x14ac:dyDescent="0.25">
      <c r="T4750" s="98"/>
      <c r="U4750" s="99"/>
    </row>
    <row r="4751" spans="20:21" x14ac:dyDescent="0.25">
      <c r="T4751" s="98"/>
      <c r="U4751" s="99"/>
    </row>
    <row r="4752" spans="20:21" x14ac:dyDescent="0.25">
      <c r="T4752" s="98"/>
      <c r="U4752" s="99"/>
    </row>
    <row r="4753" spans="20:21" x14ac:dyDescent="0.25">
      <c r="T4753" s="98"/>
      <c r="U4753" s="99"/>
    </row>
    <row r="4754" spans="20:21" x14ac:dyDescent="0.25">
      <c r="T4754" s="98"/>
      <c r="U4754" s="99"/>
    </row>
    <row r="4755" spans="20:21" x14ac:dyDescent="0.25">
      <c r="T4755" s="98"/>
      <c r="U4755" s="99"/>
    </row>
    <row r="4756" spans="20:21" x14ac:dyDescent="0.25">
      <c r="T4756" s="98"/>
      <c r="U4756" s="99"/>
    </row>
    <row r="4757" spans="20:21" x14ac:dyDescent="0.25">
      <c r="T4757" s="98"/>
      <c r="U4757" s="99"/>
    </row>
    <row r="4758" spans="20:21" x14ac:dyDescent="0.25">
      <c r="T4758" s="98"/>
      <c r="U4758" s="99"/>
    </row>
    <row r="4759" spans="20:21" x14ac:dyDescent="0.25">
      <c r="T4759" s="98"/>
      <c r="U4759" s="99"/>
    </row>
    <row r="4760" spans="20:21" x14ac:dyDescent="0.25">
      <c r="T4760" s="98"/>
      <c r="U4760" s="99"/>
    </row>
    <row r="4761" spans="20:21" x14ac:dyDescent="0.25">
      <c r="T4761" s="98"/>
      <c r="U4761" s="99"/>
    </row>
    <row r="4762" spans="20:21" x14ac:dyDescent="0.25">
      <c r="T4762" s="98"/>
      <c r="U4762" s="99"/>
    </row>
    <row r="4763" spans="20:21" x14ac:dyDescent="0.25">
      <c r="T4763" s="98"/>
      <c r="U4763" s="99"/>
    </row>
    <row r="4764" spans="20:21" x14ac:dyDescent="0.25">
      <c r="T4764" s="98"/>
      <c r="U4764" s="99"/>
    </row>
    <row r="4765" spans="20:21" x14ac:dyDescent="0.25">
      <c r="T4765" s="98"/>
      <c r="U4765" s="99"/>
    </row>
    <row r="4766" spans="20:21" x14ac:dyDescent="0.25">
      <c r="T4766" s="98"/>
      <c r="U4766" s="99"/>
    </row>
    <row r="4767" spans="20:21" x14ac:dyDescent="0.25">
      <c r="T4767" s="98"/>
      <c r="U4767" s="99"/>
    </row>
    <row r="4768" spans="20:21" x14ac:dyDescent="0.25">
      <c r="T4768" s="98"/>
      <c r="U4768" s="99"/>
    </row>
    <row r="4769" spans="20:21" x14ac:dyDescent="0.25">
      <c r="T4769" s="98"/>
      <c r="U4769" s="99"/>
    </row>
    <row r="4770" spans="20:21" x14ac:dyDescent="0.25">
      <c r="T4770" s="98"/>
      <c r="U4770" s="99"/>
    </row>
    <row r="4771" spans="20:21" x14ac:dyDescent="0.25">
      <c r="T4771" s="98"/>
      <c r="U4771" s="99"/>
    </row>
    <row r="4772" spans="20:21" x14ac:dyDescent="0.25">
      <c r="T4772" s="98"/>
      <c r="U4772" s="99"/>
    </row>
    <row r="4773" spans="20:21" x14ac:dyDescent="0.25">
      <c r="T4773" s="98"/>
      <c r="U4773" s="99"/>
    </row>
    <row r="4774" spans="20:21" x14ac:dyDescent="0.25">
      <c r="T4774" s="98"/>
      <c r="U4774" s="99"/>
    </row>
    <row r="4775" spans="20:21" x14ac:dyDescent="0.25">
      <c r="T4775" s="98"/>
      <c r="U4775" s="99"/>
    </row>
    <row r="4776" spans="20:21" x14ac:dyDescent="0.25">
      <c r="T4776" s="98"/>
      <c r="U4776" s="99"/>
    </row>
    <row r="4777" spans="20:21" x14ac:dyDescent="0.25">
      <c r="T4777" s="98"/>
      <c r="U4777" s="99"/>
    </row>
    <row r="4778" spans="20:21" x14ac:dyDescent="0.25">
      <c r="T4778" s="98"/>
      <c r="U4778" s="99"/>
    </row>
    <row r="4779" spans="20:21" x14ac:dyDescent="0.25">
      <c r="T4779" s="98"/>
      <c r="U4779" s="99"/>
    </row>
    <row r="4780" spans="20:21" x14ac:dyDescent="0.25">
      <c r="T4780" s="98"/>
      <c r="U4780" s="99"/>
    </row>
    <row r="4781" spans="20:21" x14ac:dyDescent="0.25">
      <c r="T4781" s="98"/>
      <c r="U4781" s="99"/>
    </row>
    <row r="4782" spans="20:21" x14ac:dyDescent="0.25">
      <c r="T4782" s="98"/>
      <c r="U4782" s="99"/>
    </row>
    <row r="4783" spans="20:21" x14ac:dyDescent="0.25">
      <c r="T4783" s="98"/>
      <c r="U4783" s="99"/>
    </row>
    <row r="4784" spans="20:21" x14ac:dyDescent="0.25">
      <c r="T4784" s="98"/>
      <c r="U4784" s="99"/>
    </row>
    <row r="4785" spans="20:21" x14ac:dyDescent="0.25">
      <c r="T4785" s="98"/>
      <c r="U4785" s="99"/>
    </row>
    <row r="4786" spans="20:21" x14ac:dyDescent="0.25">
      <c r="T4786" s="98"/>
      <c r="U4786" s="99"/>
    </row>
    <row r="4787" spans="20:21" x14ac:dyDescent="0.25">
      <c r="T4787" s="98"/>
      <c r="U4787" s="99"/>
    </row>
    <row r="4788" spans="20:21" x14ac:dyDescent="0.25">
      <c r="T4788" s="98"/>
      <c r="U4788" s="99"/>
    </row>
    <row r="4789" spans="20:21" x14ac:dyDescent="0.25">
      <c r="T4789" s="98"/>
      <c r="U4789" s="99"/>
    </row>
    <row r="4790" spans="20:21" x14ac:dyDescent="0.25">
      <c r="T4790" s="98"/>
      <c r="U4790" s="99"/>
    </row>
    <row r="4791" spans="20:21" x14ac:dyDescent="0.25">
      <c r="T4791" s="98"/>
      <c r="U4791" s="99"/>
    </row>
    <row r="4792" spans="20:21" x14ac:dyDescent="0.25">
      <c r="T4792" s="98"/>
      <c r="U4792" s="99"/>
    </row>
    <row r="4793" spans="20:21" x14ac:dyDescent="0.25">
      <c r="T4793" s="98"/>
      <c r="U4793" s="99"/>
    </row>
    <row r="4794" spans="20:21" x14ac:dyDescent="0.25">
      <c r="T4794" s="98"/>
      <c r="U4794" s="99"/>
    </row>
    <row r="4795" spans="20:21" x14ac:dyDescent="0.25">
      <c r="T4795" s="98"/>
      <c r="U4795" s="99"/>
    </row>
    <row r="4796" spans="20:21" x14ac:dyDescent="0.25">
      <c r="T4796" s="98"/>
      <c r="U4796" s="99"/>
    </row>
    <row r="4797" spans="20:21" x14ac:dyDescent="0.25">
      <c r="T4797" s="98"/>
      <c r="U4797" s="99"/>
    </row>
    <row r="4798" spans="20:21" x14ac:dyDescent="0.25">
      <c r="T4798" s="98"/>
      <c r="U4798" s="99"/>
    </row>
    <row r="4799" spans="20:21" x14ac:dyDescent="0.25">
      <c r="T4799" s="98"/>
      <c r="U4799" s="99"/>
    </row>
    <row r="4800" spans="20:21" x14ac:dyDescent="0.25">
      <c r="T4800" s="98"/>
      <c r="U4800" s="99"/>
    </row>
    <row r="4801" spans="20:21" x14ac:dyDescent="0.25">
      <c r="T4801" s="98"/>
      <c r="U4801" s="99"/>
    </row>
    <row r="4802" spans="20:21" x14ac:dyDescent="0.25">
      <c r="T4802" s="98"/>
      <c r="U4802" s="99"/>
    </row>
    <row r="4803" spans="20:21" x14ac:dyDescent="0.25">
      <c r="T4803" s="98"/>
      <c r="U4803" s="99"/>
    </row>
    <row r="4804" spans="20:21" x14ac:dyDescent="0.25">
      <c r="T4804" s="98"/>
      <c r="U4804" s="99"/>
    </row>
    <row r="4805" spans="20:21" x14ac:dyDescent="0.25">
      <c r="T4805" s="98"/>
      <c r="U4805" s="99"/>
    </row>
    <row r="4806" spans="20:21" x14ac:dyDescent="0.25">
      <c r="T4806" s="98"/>
      <c r="U4806" s="99"/>
    </row>
    <row r="4807" spans="20:21" x14ac:dyDescent="0.25">
      <c r="T4807" s="98"/>
      <c r="U4807" s="99"/>
    </row>
    <row r="4808" spans="20:21" x14ac:dyDescent="0.25">
      <c r="T4808" s="98"/>
      <c r="U4808" s="99"/>
    </row>
    <row r="4809" spans="20:21" x14ac:dyDescent="0.25">
      <c r="T4809" s="98"/>
      <c r="U4809" s="99"/>
    </row>
    <row r="4810" spans="20:21" x14ac:dyDescent="0.25">
      <c r="T4810" s="98"/>
      <c r="U4810" s="99"/>
    </row>
    <row r="4811" spans="20:21" x14ac:dyDescent="0.25">
      <c r="T4811" s="98"/>
      <c r="U4811" s="99"/>
    </row>
    <row r="4812" spans="20:21" x14ac:dyDescent="0.25">
      <c r="T4812" s="98"/>
      <c r="U4812" s="99"/>
    </row>
    <row r="4813" spans="20:21" x14ac:dyDescent="0.25">
      <c r="T4813" s="98"/>
      <c r="U4813" s="99"/>
    </row>
    <row r="4814" spans="20:21" x14ac:dyDescent="0.25">
      <c r="T4814" s="98"/>
      <c r="U4814" s="99"/>
    </row>
    <row r="4815" spans="20:21" x14ac:dyDescent="0.25">
      <c r="T4815" s="98"/>
      <c r="U4815" s="99"/>
    </row>
    <row r="4816" spans="20:21" x14ac:dyDescent="0.25">
      <c r="T4816" s="98"/>
      <c r="U4816" s="99"/>
    </row>
    <row r="4817" spans="20:21" x14ac:dyDescent="0.25">
      <c r="T4817" s="98"/>
      <c r="U4817" s="99"/>
    </row>
    <row r="4818" spans="20:21" x14ac:dyDescent="0.25">
      <c r="T4818" s="98"/>
      <c r="U4818" s="99"/>
    </row>
    <row r="4819" spans="20:21" x14ac:dyDescent="0.25">
      <c r="T4819" s="98"/>
      <c r="U4819" s="99"/>
    </row>
    <row r="4820" spans="20:21" x14ac:dyDescent="0.25">
      <c r="T4820" s="98"/>
      <c r="U4820" s="99"/>
    </row>
    <row r="4821" spans="20:21" x14ac:dyDescent="0.25">
      <c r="T4821" s="98"/>
      <c r="U4821" s="99"/>
    </row>
    <row r="4822" spans="20:21" x14ac:dyDescent="0.25">
      <c r="T4822" s="98"/>
      <c r="U4822" s="99"/>
    </row>
    <row r="4823" spans="20:21" x14ac:dyDescent="0.25">
      <c r="T4823" s="98"/>
      <c r="U4823" s="99"/>
    </row>
    <row r="4824" spans="20:21" x14ac:dyDescent="0.25">
      <c r="T4824" s="98"/>
      <c r="U4824" s="99"/>
    </row>
    <row r="4825" spans="20:21" x14ac:dyDescent="0.25">
      <c r="T4825" s="98"/>
      <c r="U4825" s="99"/>
    </row>
    <row r="4826" spans="20:21" x14ac:dyDescent="0.25">
      <c r="T4826" s="98"/>
      <c r="U4826" s="99"/>
    </row>
    <row r="4827" spans="20:21" x14ac:dyDescent="0.25">
      <c r="T4827" s="98"/>
      <c r="U4827" s="99"/>
    </row>
    <row r="4828" spans="20:21" x14ac:dyDescent="0.25">
      <c r="T4828" s="98"/>
      <c r="U4828" s="99"/>
    </row>
    <row r="4829" spans="20:21" x14ac:dyDescent="0.25">
      <c r="T4829" s="98"/>
      <c r="U4829" s="99"/>
    </row>
    <row r="4830" spans="20:21" x14ac:dyDescent="0.25">
      <c r="T4830" s="98"/>
      <c r="U4830" s="99"/>
    </row>
    <row r="4831" spans="20:21" x14ac:dyDescent="0.25">
      <c r="T4831" s="98"/>
      <c r="U4831" s="99"/>
    </row>
    <row r="4832" spans="20:21" x14ac:dyDescent="0.25">
      <c r="T4832" s="98"/>
      <c r="U4832" s="99"/>
    </row>
    <row r="4833" spans="20:21" x14ac:dyDescent="0.25">
      <c r="T4833" s="98"/>
      <c r="U4833" s="99"/>
    </row>
    <row r="4834" spans="20:21" x14ac:dyDescent="0.25">
      <c r="T4834" s="98"/>
      <c r="U4834" s="99"/>
    </row>
    <row r="4835" spans="20:21" x14ac:dyDescent="0.25">
      <c r="T4835" s="98"/>
      <c r="U4835" s="99"/>
    </row>
    <row r="4836" spans="20:21" x14ac:dyDescent="0.25">
      <c r="T4836" s="98"/>
      <c r="U4836" s="99"/>
    </row>
    <row r="4837" spans="20:21" x14ac:dyDescent="0.25">
      <c r="T4837" s="98"/>
      <c r="U4837" s="99"/>
    </row>
    <row r="4838" spans="20:21" x14ac:dyDescent="0.25">
      <c r="T4838" s="98"/>
      <c r="U4838" s="99"/>
    </row>
    <row r="4839" spans="20:21" x14ac:dyDescent="0.25">
      <c r="T4839" s="98"/>
      <c r="U4839" s="99"/>
    </row>
    <row r="4840" spans="20:21" x14ac:dyDescent="0.25">
      <c r="T4840" s="98"/>
      <c r="U4840" s="99"/>
    </row>
    <row r="4841" spans="20:21" x14ac:dyDescent="0.25">
      <c r="T4841" s="98"/>
      <c r="U4841" s="99"/>
    </row>
    <row r="4842" spans="20:21" x14ac:dyDescent="0.25">
      <c r="T4842" s="98"/>
      <c r="U4842" s="99"/>
    </row>
    <row r="4843" spans="20:21" x14ac:dyDescent="0.25">
      <c r="T4843" s="98"/>
      <c r="U4843" s="99"/>
    </row>
    <row r="4844" spans="20:21" x14ac:dyDescent="0.25">
      <c r="T4844" s="98"/>
      <c r="U4844" s="99"/>
    </row>
    <row r="4845" spans="20:21" x14ac:dyDescent="0.25">
      <c r="T4845" s="98"/>
      <c r="U4845" s="99"/>
    </row>
    <row r="4846" spans="20:21" x14ac:dyDescent="0.25">
      <c r="T4846" s="98"/>
      <c r="U4846" s="99"/>
    </row>
    <row r="4847" spans="20:21" x14ac:dyDescent="0.25">
      <c r="T4847" s="98"/>
      <c r="U4847" s="99"/>
    </row>
    <row r="4848" spans="20:21" x14ac:dyDescent="0.25">
      <c r="T4848" s="98"/>
      <c r="U4848" s="99"/>
    </row>
    <row r="4849" spans="20:21" x14ac:dyDescent="0.25">
      <c r="T4849" s="98"/>
      <c r="U4849" s="99"/>
    </row>
    <row r="4850" spans="20:21" x14ac:dyDescent="0.25">
      <c r="T4850" s="98"/>
      <c r="U4850" s="99"/>
    </row>
    <row r="4851" spans="20:21" x14ac:dyDescent="0.25">
      <c r="T4851" s="98"/>
      <c r="U4851" s="99"/>
    </row>
    <row r="4852" spans="20:21" x14ac:dyDescent="0.25">
      <c r="T4852" s="98"/>
      <c r="U4852" s="99"/>
    </row>
    <row r="4853" spans="20:21" x14ac:dyDescent="0.25">
      <c r="T4853" s="98"/>
      <c r="U4853" s="99"/>
    </row>
    <row r="4854" spans="20:21" x14ac:dyDescent="0.25">
      <c r="T4854" s="98"/>
      <c r="U4854" s="99"/>
    </row>
    <row r="4855" spans="20:21" x14ac:dyDescent="0.25">
      <c r="T4855" s="98"/>
      <c r="U4855" s="99"/>
    </row>
    <row r="4856" spans="20:21" x14ac:dyDescent="0.25">
      <c r="T4856" s="98"/>
      <c r="U4856" s="99"/>
    </row>
    <row r="4857" spans="20:21" x14ac:dyDescent="0.25">
      <c r="T4857" s="98"/>
      <c r="U4857" s="99"/>
    </row>
    <row r="4858" spans="20:21" x14ac:dyDescent="0.25">
      <c r="T4858" s="98"/>
      <c r="U4858" s="99"/>
    </row>
    <row r="4859" spans="20:21" x14ac:dyDescent="0.25">
      <c r="T4859" s="98"/>
      <c r="U4859" s="99"/>
    </row>
    <row r="4860" spans="20:21" x14ac:dyDescent="0.25">
      <c r="T4860" s="98"/>
      <c r="U4860" s="99"/>
    </row>
    <row r="4861" spans="20:21" x14ac:dyDescent="0.25">
      <c r="T4861" s="98"/>
      <c r="U4861" s="99"/>
    </row>
    <row r="4862" spans="20:21" x14ac:dyDescent="0.25">
      <c r="T4862" s="98"/>
      <c r="U4862" s="99"/>
    </row>
    <row r="4863" spans="20:21" x14ac:dyDescent="0.25">
      <c r="T4863" s="98"/>
      <c r="U4863" s="99"/>
    </row>
    <row r="4864" spans="20:21" x14ac:dyDescent="0.25">
      <c r="T4864" s="98"/>
      <c r="U4864" s="99"/>
    </row>
    <row r="4865" spans="20:21" x14ac:dyDescent="0.25">
      <c r="T4865" s="98"/>
      <c r="U4865" s="99"/>
    </row>
    <row r="4866" spans="20:21" x14ac:dyDescent="0.25">
      <c r="T4866" s="98"/>
      <c r="U4866" s="99"/>
    </row>
    <row r="4867" spans="20:21" x14ac:dyDescent="0.25">
      <c r="T4867" s="98"/>
      <c r="U4867" s="99"/>
    </row>
    <row r="4868" spans="20:21" x14ac:dyDescent="0.25">
      <c r="T4868" s="98"/>
      <c r="U4868" s="99"/>
    </row>
    <row r="4869" spans="20:21" x14ac:dyDescent="0.25">
      <c r="T4869" s="98"/>
      <c r="U4869" s="99"/>
    </row>
    <row r="4870" spans="20:21" x14ac:dyDescent="0.25">
      <c r="T4870" s="98"/>
      <c r="U4870" s="99"/>
    </row>
    <row r="4871" spans="20:21" x14ac:dyDescent="0.25">
      <c r="T4871" s="98"/>
      <c r="U4871" s="99"/>
    </row>
    <row r="4872" spans="20:21" x14ac:dyDescent="0.25">
      <c r="T4872" s="98"/>
      <c r="U4872" s="99"/>
    </row>
    <row r="4873" spans="20:21" x14ac:dyDescent="0.25">
      <c r="T4873" s="98"/>
      <c r="U4873" s="99"/>
    </row>
    <row r="4874" spans="20:21" x14ac:dyDescent="0.25">
      <c r="T4874" s="98"/>
      <c r="U4874" s="99"/>
    </row>
    <row r="4875" spans="20:21" x14ac:dyDescent="0.25">
      <c r="T4875" s="98"/>
      <c r="U4875" s="99"/>
    </row>
    <row r="4876" spans="20:21" x14ac:dyDescent="0.25">
      <c r="T4876" s="98"/>
      <c r="U4876" s="99"/>
    </row>
    <row r="4877" spans="20:21" x14ac:dyDescent="0.25">
      <c r="T4877" s="98"/>
      <c r="U4877" s="99"/>
    </row>
    <row r="4878" spans="20:21" x14ac:dyDescent="0.25">
      <c r="T4878" s="98"/>
      <c r="U4878" s="99"/>
    </row>
    <row r="4879" spans="20:21" x14ac:dyDescent="0.25">
      <c r="T4879" s="98"/>
      <c r="U4879" s="99"/>
    </row>
    <row r="4880" spans="20:21" x14ac:dyDescent="0.25">
      <c r="T4880" s="98"/>
      <c r="U4880" s="99"/>
    </row>
    <row r="4881" spans="20:21" x14ac:dyDescent="0.25">
      <c r="T4881" s="98"/>
      <c r="U4881" s="99"/>
    </row>
    <row r="4882" spans="20:21" x14ac:dyDescent="0.25">
      <c r="T4882" s="98"/>
      <c r="U4882" s="99"/>
    </row>
    <row r="4883" spans="20:21" x14ac:dyDescent="0.25">
      <c r="T4883" s="98"/>
      <c r="U4883" s="99"/>
    </row>
    <row r="4884" spans="20:21" x14ac:dyDescent="0.25">
      <c r="T4884" s="98"/>
      <c r="U4884" s="99"/>
    </row>
    <row r="4885" spans="20:21" x14ac:dyDescent="0.25">
      <c r="T4885" s="98"/>
      <c r="U4885" s="99"/>
    </row>
    <row r="4886" spans="20:21" x14ac:dyDescent="0.25">
      <c r="T4886" s="98"/>
      <c r="U4886" s="99"/>
    </row>
    <row r="4887" spans="20:21" x14ac:dyDescent="0.25">
      <c r="T4887" s="98"/>
      <c r="U4887" s="99"/>
    </row>
    <row r="4888" spans="20:21" x14ac:dyDescent="0.25">
      <c r="T4888" s="98"/>
      <c r="U4888" s="99"/>
    </row>
    <row r="4889" spans="20:21" x14ac:dyDescent="0.25">
      <c r="T4889" s="98"/>
      <c r="U4889" s="99"/>
    </row>
    <row r="4890" spans="20:21" x14ac:dyDescent="0.25">
      <c r="T4890" s="98"/>
      <c r="U4890" s="99"/>
    </row>
    <row r="4891" spans="20:21" x14ac:dyDescent="0.25">
      <c r="T4891" s="98"/>
      <c r="U4891" s="99"/>
    </row>
    <row r="4892" spans="20:21" x14ac:dyDescent="0.25">
      <c r="T4892" s="98"/>
      <c r="U4892" s="99"/>
    </row>
    <row r="4893" spans="20:21" x14ac:dyDescent="0.25">
      <c r="T4893" s="98"/>
      <c r="U4893" s="99"/>
    </row>
    <row r="4894" spans="20:21" x14ac:dyDescent="0.25">
      <c r="T4894" s="98"/>
      <c r="U4894" s="99"/>
    </row>
    <row r="4895" spans="20:21" x14ac:dyDescent="0.25">
      <c r="T4895" s="98"/>
      <c r="U4895" s="99"/>
    </row>
    <row r="4896" spans="20:21" x14ac:dyDescent="0.25">
      <c r="T4896" s="98"/>
      <c r="U4896" s="99"/>
    </row>
    <row r="4897" spans="20:21" x14ac:dyDescent="0.25">
      <c r="T4897" s="98"/>
      <c r="U4897" s="99"/>
    </row>
    <row r="4898" spans="20:21" x14ac:dyDescent="0.25">
      <c r="T4898" s="98"/>
      <c r="U4898" s="99"/>
    </row>
    <row r="4899" spans="20:21" x14ac:dyDescent="0.25">
      <c r="T4899" s="98"/>
      <c r="U4899" s="99"/>
    </row>
    <row r="4900" spans="20:21" x14ac:dyDescent="0.25">
      <c r="T4900" s="98"/>
      <c r="U4900" s="99"/>
    </row>
    <row r="4901" spans="20:21" x14ac:dyDescent="0.25">
      <c r="T4901" s="98"/>
      <c r="U4901" s="99"/>
    </row>
    <row r="4902" spans="20:21" x14ac:dyDescent="0.25">
      <c r="T4902" s="98"/>
      <c r="U4902" s="99"/>
    </row>
    <row r="4903" spans="20:21" x14ac:dyDescent="0.25">
      <c r="T4903" s="98"/>
      <c r="U4903" s="99"/>
    </row>
    <row r="4904" spans="20:21" x14ac:dyDescent="0.25">
      <c r="T4904" s="98"/>
      <c r="U4904" s="99"/>
    </row>
    <row r="4905" spans="20:21" x14ac:dyDescent="0.25">
      <c r="T4905" s="98"/>
      <c r="U4905" s="99"/>
    </row>
    <row r="4906" spans="20:21" x14ac:dyDescent="0.25">
      <c r="T4906" s="98"/>
      <c r="U4906" s="99"/>
    </row>
    <row r="4907" spans="20:21" x14ac:dyDescent="0.25">
      <c r="T4907" s="98"/>
      <c r="U4907" s="99"/>
    </row>
    <row r="4908" spans="20:21" x14ac:dyDescent="0.25">
      <c r="T4908" s="98"/>
      <c r="U4908" s="99"/>
    </row>
    <row r="4909" spans="20:21" x14ac:dyDescent="0.25">
      <c r="T4909" s="98"/>
      <c r="U4909" s="99"/>
    </row>
    <row r="4910" spans="20:21" x14ac:dyDescent="0.25">
      <c r="T4910" s="98"/>
      <c r="U4910" s="99"/>
    </row>
    <row r="4911" spans="20:21" x14ac:dyDescent="0.25">
      <c r="T4911" s="98"/>
      <c r="U4911" s="99"/>
    </row>
    <row r="4912" spans="20:21" x14ac:dyDescent="0.25">
      <c r="T4912" s="98"/>
      <c r="U4912" s="99"/>
    </row>
    <row r="4913" spans="20:21" x14ac:dyDescent="0.25">
      <c r="T4913" s="98"/>
      <c r="U4913" s="99"/>
    </row>
    <row r="4914" spans="20:21" x14ac:dyDescent="0.25">
      <c r="T4914" s="98"/>
      <c r="U4914" s="99"/>
    </row>
    <row r="4915" spans="20:21" x14ac:dyDescent="0.25">
      <c r="T4915" s="98"/>
      <c r="U4915" s="99"/>
    </row>
    <row r="4916" spans="20:21" x14ac:dyDescent="0.25">
      <c r="T4916" s="98"/>
      <c r="U4916" s="99"/>
    </row>
    <row r="4917" spans="20:21" x14ac:dyDescent="0.25">
      <c r="T4917" s="98"/>
      <c r="U4917" s="99"/>
    </row>
    <row r="4918" spans="20:21" x14ac:dyDescent="0.25">
      <c r="T4918" s="98"/>
      <c r="U4918" s="99"/>
    </row>
    <row r="4919" spans="20:21" x14ac:dyDescent="0.25">
      <c r="T4919" s="98"/>
      <c r="U4919" s="99"/>
    </row>
    <row r="4920" spans="20:21" x14ac:dyDescent="0.25">
      <c r="T4920" s="98"/>
      <c r="U4920" s="99"/>
    </row>
    <row r="4921" spans="20:21" x14ac:dyDescent="0.25">
      <c r="T4921" s="98"/>
      <c r="U4921" s="99"/>
    </row>
    <row r="4922" spans="20:21" x14ac:dyDescent="0.25">
      <c r="T4922" s="98"/>
      <c r="U4922" s="99"/>
    </row>
    <row r="4923" spans="20:21" x14ac:dyDescent="0.25">
      <c r="T4923" s="98"/>
      <c r="U4923" s="99"/>
    </row>
    <row r="4924" spans="20:21" x14ac:dyDescent="0.25">
      <c r="T4924" s="98"/>
      <c r="U4924" s="99"/>
    </row>
    <row r="4925" spans="20:21" x14ac:dyDescent="0.25">
      <c r="T4925" s="98"/>
      <c r="U4925" s="99"/>
    </row>
    <row r="4926" spans="20:21" x14ac:dyDescent="0.25">
      <c r="T4926" s="98"/>
      <c r="U4926" s="99"/>
    </row>
    <row r="4927" spans="20:21" x14ac:dyDescent="0.25">
      <c r="T4927" s="98"/>
      <c r="U4927" s="99"/>
    </row>
    <row r="4928" spans="20:21" x14ac:dyDescent="0.25">
      <c r="T4928" s="98"/>
      <c r="U4928" s="99"/>
    </row>
    <row r="4929" spans="20:21" x14ac:dyDescent="0.25">
      <c r="T4929" s="98"/>
      <c r="U4929" s="99"/>
    </row>
    <row r="4930" spans="20:21" x14ac:dyDescent="0.25">
      <c r="T4930" s="98"/>
      <c r="U4930" s="99"/>
    </row>
    <row r="4931" spans="20:21" x14ac:dyDescent="0.25">
      <c r="T4931" s="98"/>
      <c r="U4931" s="99"/>
    </row>
    <row r="4932" spans="20:21" x14ac:dyDescent="0.25">
      <c r="T4932" s="98"/>
      <c r="U4932" s="99"/>
    </row>
    <row r="4933" spans="20:21" x14ac:dyDescent="0.25">
      <c r="T4933" s="98"/>
      <c r="U4933" s="99"/>
    </row>
    <row r="4934" spans="20:21" x14ac:dyDescent="0.25">
      <c r="T4934" s="98"/>
      <c r="U4934" s="99"/>
    </row>
    <row r="4935" spans="20:21" x14ac:dyDescent="0.25">
      <c r="T4935" s="98"/>
      <c r="U4935" s="99"/>
    </row>
    <row r="4936" spans="20:21" x14ac:dyDescent="0.25">
      <c r="T4936" s="98"/>
      <c r="U4936" s="99"/>
    </row>
    <row r="4937" spans="20:21" x14ac:dyDescent="0.25">
      <c r="T4937" s="98"/>
      <c r="U4937" s="99"/>
    </row>
    <row r="4938" spans="20:21" x14ac:dyDescent="0.25">
      <c r="T4938" s="98"/>
      <c r="U4938" s="99"/>
    </row>
    <row r="4939" spans="20:21" x14ac:dyDescent="0.25">
      <c r="T4939" s="98"/>
      <c r="U4939" s="99"/>
    </row>
    <row r="4940" spans="20:21" x14ac:dyDescent="0.25">
      <c r="T4940" s="98"/>
      <c r="U4940" s="99"/>
    </row>
    <row r="4941" spans="20:21" x14ac:dyDescent="0.25">
      <c r="T4941" s="98"/>
      <c r="U4941" s="99"/>
    </row>
    <row r="4942" spans="20:21" x14ac:dyDescent="0.25">
      <c r="T4942" s="98"/>
      <c r="U4942" s="99"/>
    </row>
    <row r="4943" spans="20:21" x14ac:dyDescent="0.25">
      <c r="T4943" s="98"/>
      <c r="U4943" s="99"/>
    </row>
    <row r="4944" spans="20:21" x14ac:dyDescent="0.25">
      <c r="T4944" s="98"/>
      <c r="U4944" s="99"/>
    </row>
    <row r="4945" spans="20:21" x14ac:dyDescent="0.25">
      <c r="T4945" s="98"/>
      <c r="U4945" s="99"/>
    </row>
    <row r="4946" spans="20:21" x14ac:dyDescent="0.25">
      <c r="T4946" s="98"/>
      <c r="U4946" s="99"/>
    </row>
    <row r="4947" spans="20:21" x14ac:dyDescent="0.25">
      <c r="T4947" s="98"/>
      <c r="U4947" s="99"/>
    </row>
    <row r="4948" spans="20:21" x14ac:dyDescent="0.25">
      <c r="T4948" s="98"/>
      <c r="U4948" s="99"/>
    </row>
    <row r="4949" spans="20:21" x14ac:dyDescent="0.25">
      <c r="T4949" s="98"/>
      <c r="U4949" s="99"/>
    </row>
    <row r="4950" spans="20:21" x14ac:dyDescent="0.25">
      <c r="T4950" s="98"/>
      <c r="U4950" s="99"/>
    </row>
    <row r="4951" spans="20:21" x14ac:dyDescent="0.25">
      <c r="T4951" s="98"/>
      <c r="U4951" s="99"/>
    </row>
    <row r="4952" spans="20:21" x14ac:dyDescent="0.25">
      <c r="T4952" s="98"/>
      <c r="U4952" s="99"/>
    </row>
    <row r="4953" spans="20:21" x14ac:dyDescent="0.25">
      <c r="T4953" s="98"/>
      <c r="U4953" s="99"/>
    </row>
    <row r="4954" spans="20:21" x14ac:dyDescent="0.25">
      <c r="T4954" s="98"/>
      <c r="U4954" s="99"/>
    </row>
    <row r="4955" spans="20:21" x14ac:dyDescent="0.25">
      <c r="T4955" s="98"/>
      <c r="U4955" s="99"/>
    </row>
    <row r="4956" spans="20:21" x14ac:dyDescent="0.25">
      <c r="T4956" s="98"/>
      <c r="U4956" s="99"/>
    </row>
    <row r="4957" spans="20:21" x14ac:dyDescent="0.25">
      <c r="T4957" s="98"/>
      <c r="U4957" s="99"/>
    </row>
    <row r="4958" spans="20:21" x14ac:dyDescent="0.25">
      <c r="T4958" s="98"/>
      <c r="U4958" s="99"/>
    </row>
    <row r="4959" spans="20:21" x14ac:dyDescent="0.25">
      <c r="T4959" s="98"/>
      <c r="U4959" s="99"/>
    </row>
    <row r="4960" spans="20:21" x14ac:dyDescent="0.25">
      <c r="T4960" s="98"/>
      <c r="U4960" s="99"/>
    </row>
    <row r="4961" spans="20:21" x14ac:dyDescent="0.25">
      <c r="T4961" s="98"/>
      <c r="U4961" s="99"/>
    </row>
    <row r="4962" spans="20:21" x14ac:dyDescent="0.25">
      <c r="T4962" s="98"/>
      <c r="U4962" s="99"/>
    </row>
    <row r="4963" spans="20:21" x14ac:dyDescent="0.25">
      <c r="T4963" s="98"/>
      <c r="U4963" s="99"/>
    </row>
    <row r="4964" spans="20:21" x14ac:dyDescent="0.25">
      <c r="T4964" s="98"/>
      <c r="U4964" s="99"/>
    </row>
    <row r="4965" spans="20:21" x14ac:dyDescent="0.25">
      <c r="T4965" s="98"/>
      <c r="U4965" s="99"/>
    </row>
    <row r="4966" spans="20:21" x14ac:dyDescent="0.25">
      <c r="T4966" s="98"/>
      <c r="U4966" s="99"/>
    </row>
    <row r="4967" spans="20:21" x14ac:dyDescent="0.25">
      <c r="T4967" s="98"/>
      <c r="U4967" s="99"/>
    </row>
    <row r="4968" spans="20:21" x14ac:dyDescent="0.25">
      <c r="T4968" s="98"/>
      <c r="U4968" s="99"/>
    </row>
    <row r="4969" spans="20:21" x14ac:dyDescent="0.25">
      <c r="T4969" s="98"/>
      <c r="U4969" s="99"/>
    </row>
    <row r="4970" spans="20:21" x14ac:dyDescent="0.25">
      <c r="T4970" s="98"/>
      <c r="U4970" s="99"/>
    </row>
    <row r="4971" spans="20:21" x14ac:dyDescent="0.25">
      <c r="T4971" s="98"/>
      <c r="U4971" s="99"/>
    </row>
    <row r="4972" spans="20:21" x14ac:dyDescent="0.25">
      <c r="T4972" s="98"/>
      <c r="U4972" s="99"/>
    </row>
    <row r="4973" spans="20:21" x14ac:dyDescent="0.25">
      <c r="T4973" s="98"/>
      <c r="U4973" s="99"/>
    </row>
    <row r="4974" spans="20:21" x14ac:dyDescent="0.25">
      <c r="T4974" s="98"/>
      <c r="U4974" s="99"/>
    </row>
    <row r="4975" spans="20:21" x14ac:dyDescent="0.25">
      <c r="T4975" s="98"/>
      <c r="U4975" s="99"/>
    </row>
    <row r="4976" spans="20:21" x14ac:dyDescent="0.25">
      <c r="T4976" s="98"/>
      <c r="U4976" s="99"/>
    </row>
    <row r="4977" spans="20:21" x14ac:dyDescent="0.25">
      <c r="T4977" s="98"/>
      <c r="U4977" s="99"/>
    </row>
    <row r="4978" spans="20:21" x14ac:dyDescent="0.25">
      <c r="T4978" s="98"/>
      <c r="U4978" s="99"/>
    </row>
    <row r="4979" spans="20:21" x14ac:dyDescent="0.25">
      <c r="T4979" s="98"/>
      <c r="U4979" s="99"/>
    </row>
    <row r="4980" spans="20:21" x14ac:dyDescent="0.25">
      <c r="T4980" s="98"/>
      <c r="U4980" s="99"/>
    </row>
    <row r="4981" spans="20:21" x14ac:dyDescent="0.25">
      <c r="T4981" s="98"/>
      <c r="U4981" s="99"/>
    </row>
    <row r="4982" spans="20:21" x14ac:dyDescent="0.25">
      <c r="T4982" s="98"/>
      <c r="U4982" s="99"/>
    </row>
    <row r="4983" spans="20:21" x14ac:dyDescent="0.25">
      <c r="T4983" s="98"/>
      <c r="U4983" s="99"/>
    </row>
    <row r="4984" spans="20:21" x14ac:dyDescent="0.25">
      <c r="T4984" s="98"/>
      <c r="U4984" s="99"/>
    </row>
    <row r="4985" spans="20:21" x14ac:dyDescent="0.25">
      <c r="T4985" s="98"/>
      <c r="U4985" s="99"/>
    </row>
    <row r="4986" spans="20:21" x14ac:dyDescent="0.25">
      <c r="T4986" s="98"/>
      <c r="U4986" s="99"/>
    </row>
    <row r="4987" spans="20:21" x14ac:dyDescent="0.25">
      <c r="T4987" s="98"/>
      <c r="U4987" s="99"/>
    </row>
    <row r="4988" spans="20:21" x14ac:dyDescent="0.25">
      <c r="T4988" s="98"/>
      <c r="U4988" s="99"/>
    </row>
    <row r="4989" spans="20:21" x14ac:dyDescent="0.25">
      <c r="T4989" s="98"/>
      <c r="U4989" s="99"/>
    </row>
    <row r="4990" spans="20:21" x14ac:dyDescent="0.25">
      <c r="T4990" s="98"/>
      <c r="U4990" s="99"/>
    </row>
    <row r="4991" spans="20:21" x14ac:dyDescent="0.25">
      <c r="T4991" s="98"/>
      <c r="U4991" s="99"/>
    </row>
    <row r="4992" spans="20:21" x14ac:dyDescent="0.25">
      <c r="T4992" s="98"/>
      <c r="U4992" s="99"/>
    </row>
    <row r="4993" spans="20:21" x14ac:dyDescent="0.25">
      <c r="T4993" s="98"/>
      <c r="U4993" s="99"/>
    </row>
    <row r="4994" spans="20:21" x14ac:dyDescent="0.25">
      <c r="T4994" s="98"/>
      <c r="U4994" s="99"/>
    </row>
    <row r="4995" spans="20:21" x14ac:dyDescent="0.25">
      <c r="T4995" s="98"/>
      <c r="U4995" s="99"/>
    </row>
    <row r="4996" spans="20:21" x14ac:dyDescent="0.25">
      <c r="T4996" s="98"/>
      <c r="U4996" s="99"/>
    </row>
    <row r="4997" spans="20:21" x14ac:dyDescent="0.25">
      <c r="T4997" s="98"/>
      <c r="U4997" s="99"/>
    </row>
    <row r="4998" spans="20:21" x14ac:dyDescent="0.25">
      <c r="T4998" s="98"/>
      <c r="U4998" s="99"/>
    </row>
    <row r="4999" spans="20:21" x14ac:dyDescent="0.25">
      <c r="T4999" s="98"/>
      <c r="U4999" s="99"/>
    </row>
    <row r="5000" spans="20:21" x14ac:dyDescent="0.25">
      <c r="T5000" s="98"/>
      <c r="U5000" s="99"/>
    </row>
    <row r="5001" spans="20:21" x14ac:dyDescent="0.25">
      <c r="T5001" s="98"/>
      <c r="U5001" s="99"/>
    </row>
    <row r="5002" spans="20:21" x14ac:dyDescent="0.25">
      <c r="T5002" s="98"/>
      <c r="U5002" s="99"/>
    </row>
    <row r="5003" spans="20:21" x14ac:dyDescent="0.25">
      <c r="T5003" s="98"/>
      <c r="U5003" s="99"/>
    </row>
    <row r="5004" spans="20:21" x14ac:dyDescent="0.25">
      <c r="T5004" s="98"/>
      <c r="U5004" s="99"/>
    </row>
    <row r="5005" spans="20:21" x14ac:dyDescent="0.25">
      <c r="T5005" s="98"/>
      <c r="U5005" s="99"/>
    </row>
    <row r="5006" spans="20:21" x14ac:dyDescent="0.25">
      <c r="T5006" s="98"/>
      <c r="U5006" s="99"/>
    </row>
    <row r="5007" spans="20:21" x14ac:dyDescent="0.25">
      <c r="T5007" s="98"/>
      <c r="U5007" s="99"/>
    </row>
    <row r="5008" spans="20:21" x14ac:dyDescent="0.25">
      <c r="T5008" s="98"/>
      <c r="U5008" s="99"/>
    </row>
    <row r="5009" spans="20:21" x14ac:dyDescent="0.25">
      <c r="T5009" s="98"/>
      <c r="U5009" s="99"/>
    </row>
    <row r="5010" spans="20:21" x14ac:dyDescent="0.25">
      <c r="T5010" s="98"/>
      <c r="U5010" s="99"/>
    </row>
    <row r="5011" spans="20:21" x14ac:dyDescent="0.25">
      <c r="T5011" s="98"/>
      <c r="U5011" s="99"/>
    </row>
    <row r="5012" spans="20:21" x14ac:dyDescent="0.25">
      <c r="T5012" s="98"/>
    </row>
    <row r="5013" spans="20:21" x14ac:dyDescent="0.25">
      <c r="T5013" s="98"/>
    </row>
    <row r="5014" spans="20:21" x14ac:dyDescent="0.25">
      <c r="T5014" s="98"/>
    </row>
    <row r="5015" spans="20:21" x14ac:dyDescent="0.25">
      <c r="T5015" s="98"/>
    </row>
    <row r="5016" spans="20:21" x14ac:dyDescent="0.25">
      <c r="T5016" s="98"/>
    </row>
    <row r="5017" spans="20:21" x14ac:dyDescent="0.25">
      <c r="T5017" s="98"/>
    </row>
    <row r="5018" spans="20:21" x14ac:dyDescent="0.25">
      <c r="T5018" s="98"/>
    </row>
    <row r="5019" spans="20:21" x14ac:dyDescent="0.25">
      <c r="T5019" s="98"/>
    </row>
    <row r="5020" spans="20:21" x14ac:dyDescent="0.25">
      <c r="T5020" s="98"/>
    </row>
    <row r="5021" spans="20:21" x14ac:dyDescent="0.25">
      <c r="T5021" s="98"/>
    </row>
    <row r="5022" spans="20:21" x14ac:dyDescent="0.25">
      <c r="T5022" s="98"/>
    </row>
    <row r="5023" spans="20:21" x14ac:dyDescent="0.25">
      <c r="T5023" s="98"/>
    </row>
    <row r="5024" spans="20:21" x14ac:dyDescent="0.25">
      <c r="T5024" s="98"/>
    </row>
    <row r="5025" spans="20:20" x14ac:dyDescent="0.25">
      <c r="T5025" s="98"/>
    </row>
    <row r="5026" spans="20:20" x14ac:dyDescent="0.25">
      <c r="T5026" s="98"/>
    </row>
    <row r="5027" spans="20:20" x14ac:dyDescent="0.25">
      <c r="T5027" s="98"/>
    </row>
    <row r="5028" spans="20:20" x14ac:dyDescent="0.25">
      <c r="T5028" s="98"/>
    </row>
    <row r="5029" spans="20:20" x14ac:dyDescent="0.25">
      <c r="T5029" s="98"/>
    </row>
    <row r="5030" spans="20:20" x14ac:dyDescent="0.25">
      <c r="T5030" s="98"/>
    </row>
    <row r="5031" spans="20:20" x14ac:dyDescent="0.25">
      <c r="T5031" s="98"/>
    </row>
    <row r="5032" spans="20:20" x14ac:dyDescent="0.25">
      <c r="T5032" s="98"/>
    </row>
    <row r="5033" spans="20:20" x14ac:dyDescent="0.25">
      <c r="T5033" s="98"/>
    </row>
    <row r="5034" spans="20:20" x14ac:dyDescent="0.25">
      <c r="T5034" s="98"/>
    </row>
    <row r="5035" spans="20:20" x14ac:dyDescent="0.25">
      <c r="T5035" s="98"/>
    </row>
    <row r="5036" spans="20:20" x14ac:dyDescent="0.25">
      <c r="T5036" s="98"/>
    </row>
    <row r="5037" spans="20:20" x14ac:dyDescent="0.25">
      <c r="T5037" s="98"/>
    </row>
    <row r="5038" spans="20:20" x14ac:dyDescent="0.25">
      <c r="T5038" s="98"/>
    </row>
    <row r="5039" spans="20:20" x14ac:dyDescent="0.25">
      <c r="T5039" s="98"/>
    </row>
    <row r="5040" spans="20:20" x14ac:dyDescent="0.25">
      <c r="T5040" s="98"/>
    </row>
    <row r="5041" spans="20:20" x14ac:dyDescent="0.25">
      <c r="T5041" s="98"/>
    </row>
    <row r="5042" spans="20:20" x14ac:dyDescent="0.25">
      <c r="T5042" s="98"/>
    </row>
    <row r="5043" spans="20:20" x14ac:dyDescent="0.25">
      <c r="T5043" s="98"/>
    </row>
    <row r="5044" spans="20:20" x14ac:dyDescent="0.25">
      <c r="T5044" s="98"/>
    </row>
    <row r="5045" spans="20:20" x14ac:dyDescent="0.25">
      <c r="T5045" s="98"/>
    </row>
    <row r="5046" spans="20:20" x14ac:dyDescent="0.25">
      <c r="T5046" s="98"/>
    </row>
    <row r="5047" spans="20:20" x14ac:dyDescent="0.25">
      <c r="T5047" s="98"/>
    </row>
    <row r="5048" spans="20:20" x14ac:dyDescent="0.25">
      <c r="T5048" s="98"/>
    </row>
    <row r="5049" spans="20:20" x14ac:dyDescent="0.25">
      <c r="T5049" s="98"/>
    </row>
    <row r="5050" spans="20:20" x14ac:dyDescent="0.25">
      <c r="T5050" s="98"/>
    </row>
    <row r="5051" spans="20:20" x14ac:dyDescent="0.25">
      <c r="T5051" s="98"/>
    </row>
    <row r="5052" spans="20:20" x14ac:dyDescent="0.25">
      <c r="T5052" s="98"/>
    </row>
    <row r="5053" spans="20:20" x14ac:dyDescent="0.25">
      <c r="T5053" s="98"/>
    </row>
    <row r="5054" spans="20:20" x14ac:dyDescent="0.25">
      <c r="T5054" s="98"/>
    </row>
    <row r="5055" spans="20:20" x14ac:dyDescent="0.25">
      <c r="T5055" s="98"/>
    </row>
    <row r="5056" spans="20:20" x14ac:dyDescent="0.25">
      <c r="T5056" s="98"/>
    </row>
    <row r="5057" spans="20:20" x14ac:dyDescent="0.25">
      <c r="T5057" s="98"/>
    </row>
    <row r="5058" spans="20:20" x14ac:dyDescent="0.25">
      <c r="T5058" s="98"/>
    </row>
    <row r="5059" spans="20:20" x14ac:dyDescent="0.25">
      <c r="T5059" s="98"/>
    </row>
    <row r="5060" spans="20:20" x14ac:dyDescent="0.25">
      <c r="T5060" s="98"/>
    </row>
    <row r="5061" spans="20:20" x14ac:dyDescent="0.25">
      <c r="T5061" s="98"/>
    </row>
    <row r="5062" spans="20:20" x14ac:dyDescent="0.25">
      <c r="T5062" s="98"/>
    </row>
    <row r="5063" spans="20:20" x14ac:dyDescent="0.25">
      <c r="T5063" s="98"/>
    </row>
    <row r="5064" spans="20:20" x14ac:dyDescent="0.25">
      <c r="T5064" s="98"/>
    </row>
    <row r="5065" spans="20:20" x14ac:dyDescent="0.25">
      <c r="T5065" s="98"/>
    </row>
    <row r="5066" spans="20:20" x14ac:dyDescent="0.25">
      <c r="T5066" s="98"/>
    </row>
    <row r="5067" spans="20:20" x14ac:dyDescent="0.25">
      <c r="T5067" s="98"/>
    </row>
    <row r="5068" spans="20:20" x14ac:dyDescent="0.25">
      <c r="T5068" s="98"/>
    </row>
    <row r="5069" spans="20:20" x14ac:dyDescent="0.25">
      <c r="T5069" s="98"/>
    </row>
    <row r="5070" spans="20:20" x14ac:dyDescent="0.25">
      <c r="T5070" s="98"/>
    </row>
    <row r="5071" spans="20:20" x14ac:dyDescent="0.25">
      <c r="T5071" s="98"/>
    </row>
    <row r="5072" spans="20:20" x14ac:dyDescent="0.25">
      <c r="T5072" s="98"/>
    </row>
    <row r="5073" spans="20:20" x14ac:dyDescent="0.25">
      <c r="T5073" s="98"/>
    </row>
    <row r="5074" spans="20:20" x14ac:dyDescent="0.25">
      <c r="T5074" s="98"/>
    </row>
    <row r="5075" spans="20:20" x14ac:dyDescent="0.25">
      <c r="T5075" s="98"/>
    </row>
    <row r="5076" spans="20:20" x14ac:dyDescent="0.25">
      <c r="T5076" s="98"/>
    </row>
    <row r="5077" spans="20:20" x14ac:dyDescent="0.25">
      <c r="T5077" s="98"/>
    </row>
    <row r="5078" spans="20:20" x14ac:dyDescent="0.25">
      <c r="T5078" s="98"/>
    </row>
    <row r="5079" spans="20:20" x14ac:dyDescent="0.25">
      <c r="T5079" s="98"/>
    </row>
    <row r="5080" spans="20:20" x14ac:dyDescent="0.25">
      <c r="T5080" s="98"/>
    </row>
    <row r="5081" spans="20:20" x14ac:dyDescent="0.25">
      <c r="T5081" s="98"/>
    </row>
    <row r="5082" spans="20:20" x14ac:dyDescent="0.25">
      <c r="T5082" s="98"/>
    </row>
    <row r="5083" spans="20:20" x14ac:dyDescent="0.25">
      <c r="T5083" s="98"/>
    </row>
    <row r="5084" spans="20:20" x14ac:dyDescent="0.25">
      <c r="T5084" s="98"/>
    </row>
    <row r="5085" spans="20:20" x14ac:dyDescent="0.25">
      <c r="T5085" s="98"/>
    </row>
    <row r="5086" spans="20:20" x14ac:dyDescent="0.25">
      <c r="T5086" s="98"/>
    </row>
    <row r="5087" spans="20:20" x14ac:dyDescent="0.25">
      <c r="T5087" s="98"/>
    </row>
    <row r="5088" spans="20:20" x14ac:dyDescent="0.25">
      <c r="T5088" s="98"/>
    </row>
    <row r="5089" spans="20:20" x14ac:dyDescent="0.25">
      <c r="T5089" s="98"/>
    </row>
    <row r="5090" spans="20:20" x14ac:dyDescent="0.25">
      <c r="T5090" s="98"/>
    </row>
    <row r="5091" spans="20:20" x14ac:dyDescent="0.25">
      <c r="T5091" s="98"/>
    </row>
    <row r="5092" spans="20:20" x14ac:dyDescent="0.25">
      <c r="T5092" s="98"/>
    </row>
    <row r="5093" spans="20:20" x14ac:dyDescent="0.25">
      <c r="T5093" s="98"/>
    </row>
    <row r="5094" spans="20:20" x14ac:dyDescent="0.25">
      <c r="T5094" s="98"/>
    </row>
    <row r="5095" spans="20:20" x14ac:dyDescent="0.25">
      <c r="T5095" s="98"/>
    </row>
    <row r="5096" spans="20:20" x14ac:dyDescent="0.25">
      <c r="T5096" s="98"/>
    </row>
    <row r="5097" spans="20:20" x14ac:dyDescent="0.25">
      <c r="T5097" s="98"/>
    </row>
    <row r="5098" spans="20:20" x14ac:dyDescent="0.25">
      <c r="T5098" s="98"/>
    </row>
    <row r="5099" spans="20:20" x14ac:dyDescent="0.25">
      <c r="T5099" s="98"/>
    </row>
    <row r="5100" spans="20:20" x14ac:dyDescent="0.25">
      <c r="T5100" s="98"/>
    </row>
    <row r="5101" spans="20:20" x14ac:dyDescent="0.25">
      <c r="T5101" s="98"/>
    </row>
    <row r="5102" spans="20:20" x14ac:dyDescent="0.25">
      <c r="T5102" s="98"/>
    </row>
    <row r="5103" spans="20:20" x14ac:dyDescent="0.25">
      <c r="T5103" s="98"/>
    </row>
    <row r="5104" spans="20:20" x14ac:dyDescent="0.25">
      <c r="T5104" s="98"/>
    </row>
    <row r="5105" spans="20:20" x14ac:dyDescent="0.25">
      <c r="T5105" s="98"/>
    </row>
    <row r="5106" spans="20:20" x14ac:dyDescent="0.25">
      <c r="T5106" s="98"/>
    </row>
    <row r="5107" spans="20:20" x14ac:dyDescent="0.25">
      <c r="T5107" s="98"/>
    </row>
    <row r="5108" spans="20:20" x14ac:dyDescent="0.25">
      <c r="T5108" s="98"/>
    </row>
    <row r="5109" spans="20:20" x14ac:dyDescent="0.25">
      <c r="T5109" s="98"/>
    </row>
    <row r="5110" spans="20:20" x14ac:dyDescent="0.25">
      <c r="T5110" s="98"/>
    </row>
    <row r="5111" spans="20:20" x14ac:dyDescent="0.25">
      <c r="T5111" s="98"/>
    </row>
    <row r="5112" spans="20:20" x14ac:dyDescent="0.25">
      <c r="T5112" s="98"/>
    </row>
    <row r="5113" spans="20:20" x14ac:dyDescent="0.25">
      <c r="T5113" s="98"/>
    </row>
    <row r="5114" spans="20:20" x14ac:dyDescent="0.25">
      <c r="T5114" s="98"/>
    </row>
    <row r="5115" spans="20:20" x14ac:dyDescent="0.25">
      <c r="T5115" s="98"/>
    </row>
    <row r="5116" spans="20:20" x14ac:dyDescent="0.25">
      <c r="T5116" s="98"/>
    </row>
    <row r="5117" spans="20:20" x14ac:dyDescent="0.25">
      <c r="T5117" s="98"/>
    </row>
    <row r="5118" spans="20:20" x14ac:dyDescent="0.25">
      <c r="T5118" s="98"/>
    </row>
    <row r="5119" spans="20:20" x14ac:dyDescent="0.25">
      <c r="T5119" s="98"/>
    </row>
    <row r="5120" spans="20:20" x14ac:dyDescent="0.25">
      <c r="T5120" s="98"/>
    </row>
    <row r="5121" spans="20:20" x14ac:dyDescent="0.25">
      <c r="T5121" s="98"/>
    </row>
    <row r="5122" spans="20:20" x14ac:dyDescent="0.25">
      <c r="T5122" s="98"/>
    </row>
    <row r="5123" spans="20:20" x14ac:dyDescent="0.25">
      <c r="T5123" s="98"/>
    </row>
    <row r="5124" spans="20:20" x14ac:dyDescent="0.25">
      <c r="T5124" s="98"/>
    </row>
    <row r="5125" spans="20:20" x14ac:dyDescent="0.25">
      <c r="T5125" s="98"/>
    </row>
    <row r="5126" spans="20:20" x14ac:dyDescent="0.25">
      <c r="T5126" s="98"/>
    </row>
    <row r="5127" spans="20:20" x14ac:dyDescent="0.25">
      <c r="T5127" s="98"/>
    </row>
    <row r="5128" spans="20:20" x14ac:dyDescent="0.25">
      <c r="T5128" s="98"/>
    </row>
    <row r="5129" spans="20:20" x14ac:dyDescent="0.25">
      <c r="T5129" s="98"/>
    </row>
    <row r="5130" spans="20:20" x14ac:dyDescent="0.25">
      <c r="T5130" s="98"/>
    </row>
    <row r="5131" spans="20:20" x14ac:dyDescent="0.25">
      <c r="T5131" s="98"/>
    </row>
    <row r="5132" spans="20:20" x14ac:dyDescent="0.25">
      <c r="T5132" s="98"/>
    </row>
    <row r="5133" spans="20:20" x14ac:dyDescent="0.25">
      <c r="T5133" s="98"/>
    </row>
    <row r="5134" spans="20:20" x14ac:dyDescent="0.25">
      <c r="T5134" s="98"/>
    </row>
    <row r="5135" spans="20:20" x14ac:dyDescent="0.25">
      <c r="T5135" s="98"/>
    </row>
    <row r="5136" spans="20:20" x14ac:dyDescent="0.25">
      <c r="T5136" s="98"/>
    </row>
    <row r="5137" spans="20:20" x14ac:dyDescent="0.25">
      <c r="T5137" s="98"/>
    </row>
    <row r="5138" spans="20:20" x14ac:dyDescent="0.25">
      <c r="T5138" s="98"/>
    </row>
    <row r="5139" spans="20:20" x14ac:dyDescent="0.25">
      <c r="T5139" s="98"/>
    </row>
    <row r="5140" spans="20:20" x14ac:dyDescent="0.25">
      <c r="T5140" s="98"/>
    </row>
    <row r="5141" spans="20:20" x14ac:dyDescent="0.25">
      <c r="T5141" s="98"/>
    </row>
    <row r="5142" spans="20:20" x14ac:dyDescent="0.25">
      <c r="T5142" s="98"/>
    </row>
    <row r="5143" spans="20:20" x14ac:dyDescent="0.25">
      <c r="T5143" s="98"/>
    </row>
    <row r="5144" spans="20:20" x14ac:dyDescent="0.25">
      <c r="T5144" s="98"/>
    </row>
    <row r="5145" spans="20:20" x14ac:dyDescent="0.25">
      <c r="T5145" s="98"/>
    </row>
    <row r="5146" spans="20:20" x14ac:dyDescent="0.25">
      <c r="T5146" s="98"/>
    </row>
    <row r="5147" spans="20:20" x14ac:dyDescent="0.25">
      <c r="T5147" s="98"/>
    </row>
    <row r="5148" spans="20:20" x14ac:dyDescent="0.25">
      <c r="T5148" s="98"/>
    </row>
    <row r="5149" spans="20:20" x14ac:dyDescent="0.25">
      <c r="T5149" s="98"/>
    </row>
    <row r="5150" spans="20:20" x14ac:dyDescent="0.25">
      <c r="T5150" s="98"/>
    </row>
    <row r="5151" spans="20:20" x14ac:dyDescent="0.25">
      <c r="T5151" s="98"/>
    </row>
    <row r="5152" spans="20:20" x14ac:dyDescent="0.25">
      <c r="T5152" s="98"/>
    </row>
    <row r="5153" spans="20:20" x14ac:dyDescent="0.25">
      <c r="T5153" s="98"/>
    </row>
    <row r="5154" spans="20:20" x14ac:dyDescent="0.25">
      <c r="T5154" s="98"/>
    </row>
    <row r="5155" spans="20:20" x14ac:dyDescent="0.25">
      <c r="T5155" s="98"/>
    </row>
    <row r="5156" spans="20:20" x14ac:dyDescent="0.25">
      <c r="T5156" s="98"/>
    </row>
    <row r="5157" spans="20:20" x14ac:dyDescent="0.25">
      <c r="T5157" s="98"/>
    </row>
    <row r="5158" spans="20:20" x14ac:dyDescent="0.25">
      <c r="T5158" s="98"/>
    </row>
    <row r="5159" spans="20:20" x14ac:dyDescent="0.25">
      <c r="T5159" s="98"/>
    </row>
    <row r="5160" spans="20:20" x14ac:dyDescent="0.25">
      <c r="T5160" s="98"/>
    </row>
    <row r="5161" spans="20:20" x14ac:dyDescent="0.25">
      <c r="T5161" s="98"/>
    </row>
    <row r="5162" spans="20:20" x14ac:dyDescent="0.25">
      <c r="T5162" s="98"/>
    </row>
    <row r="5163" spans="20:20" x14ac:dyDescent="0.25">
      <c r="T5163" s="98"/>
    </row>
    <row r="5164" spans="20:20" x14ac:dyDescent="0.25">
      <c r="T5164" s="98"/>
    </row>
    <row r="5165" spans="20:20" x14ac:dyDescent="0.25">
      <c r="T5165" s="98"/>
    </row>
    <row r="5166" spans="20:20" x14ac:dyDescent="0.25">
      <c r="T5166" s="98"/>
    </row>
    <row r="5167" spans="20:20" x14ac:dyDescent="0.25">
      <c r="T5167" s="98"/>
    </row>
    <row r="5168" spans="20:20" x14ac:dyDescent="0.25">
      <c r="T5168" s="98"/>
    </row>
    <row r="5169" spans="20:20" x14ac:dyDescent="0.25">
      <c r="T5169" s="98"/>
    </row>
    <row r="5170" spans="20:20" x14ac:dyDescent="0.25">
      <c r="T5170" s="98"/>
    </row>
    <row r="5171" spans="20:20" x14ac:dyDescent="0.25">
      <c r="T5171" s="98"/>
    </row>
    <row r="5172" spans="20:20" x14ac:dyDescent="0.25">
      <c r="T5172" s="98"/>
    </row>
    <row r="5173" spans="20:20" x14ac:dyDescent="0.25">
      <c r="T5173" s="98"/>
    </row>
    <row r="5174" spans="20:20" x14ac:dyDescent="0.25">
      <c r="T5174" s="98"/>
    </row>
    <row r="5175" spans="20:20" x14ac:dyDescent="0.25">
      <c r="T5175" s="98"/>
    </row>
    <row r="5176" spans="20:20" x14ac:dyDescent="0.25">
      <c r="T5176" s="98"/>
    </row>
    <row r="5177" spans="20:20" x14ac:dyDescent="0.25">
      <c r="T5177" s="98"/>
    </row>
    <row r="5178" spans="20:20" x14ac:dyDescent="0.25">
      <c r="T5178" s="98"/>
    </row>
    <row r="5179" spans="20:20" x14ac:dyDescent="0.25">
      <c r="T5179" s="98"/>
    </row>
    <row r="5180" spans="20:20" x14ac:dyDescent="0.25">
      <c r="T5180" s="98"/>
    </row>
    <row r="5181" spans="20:20" x14ac:dyDescent="0.25">
      <c r="T5181" s="98"/>
    </row>
    <row r="5182" spans="20:20" x14ac:dyDescent="0.25">
      <c r="T5182" s="98"/>
    </row>
    <row r="5183" spans="20:20" x14ac:dyDescent="0.25">
      <c r="T5183" s="98"/>
    </row>
    <row r="5184" spans="20:20" x14ac:dyDescent="0.25">
      <c r="T5184" s="98"/>
    </row>
    <row r="5185" spans="20:20" x14ac:dyDescent="0.25">
      <c r="T5185" s="98"/>
    </row>
    <row r="5186" spans="20:20" x14ac:dyDescent="0.25">
      <c r="T5186" s="98"/>
    </row>
    <row r="5187" spans="20:20" x14ac:dyDescent="0.25">
      <c r="T5187" s="98"/>
    </row>
    <row r="5188" spans="20:20" x14ac:dyDescent="0.25">
      <c r="T5188" s="98"/>
    </row>
    <row r="5189" spans="20:20" x14ac:dyDescent="0.25">
      <c r="T5189" s="98"/>
    </row>
    <row r="5190" spans="20:20" x14ac:dyDescent="0.25">
      <c r="T5190" s="98"/>
    </row>
    <row r="5191" spans="20:20" x14ac:dyDescent="0.25">
      <c r="T5191" s="98"/>
    </row>
    <row r="5192" spans="20:20" x14ac:dyDescent="0.25">
      <c r="T5192" s="98"/>
    </row>
    <row r="5193" spans="20:20" x14ac:dyDescent="0.25">
      <c r="T5193" s="98"/>
    </row>
    <row r="5194" spans="20:20" x14ac:dyDescent="0.25">
      <c r="T5194" s="98"/>
    </row>
    <row r="5195" spans="20:20" x14ac:dyDescent="0.25">
      <c r="T5195" s="98"/>
    </row>
    <row r="5196" spans="20:20" x14ac:dyDescent="0.25">
      <c r="T5196" s="98"/>
    </row>
    <row r="5197" spans="20:20" x14ac:dyDescent="0.25">
      <c r="T5197" s="98"/>
    </row>
    <row r="5198" spans="20:20" x14ac:dyDescent="0.25">
      <c r="T5198" s="98"/>
    </row>
    <row r="5199" spans="20:20" x14ac:dyDescent="0.25">
      <c r="T5199" s="98"/>
    </row>
    <row r="5200" spans="20:20" x14ac:dyDescent="0.25">
      <c r="T5200" s="98"/>
    </row>
    <row r="5201" spans="20:20" x14ac:dyDescent="0.25">
      <c r="T5201" s="98"/>
    </row>
    <row r="5202" spans="20:20" x14ac:dyDescent="0.25">
      <c r="T5202" s="98"/>
    </row>
    <row r="5203" spans="20:20" x14ac:dyDescent="0.25">
      <c r="T5203" s="98"/>
    </row>
    <row r="5204" spans="20:20" x14ac:dyDescent="0.25">
      <c r="T5204" s="98"/>
    </row>
    <row r="5205" spans="20:20" x14ac:dyDescent="0.25">
      <c r="T5205" s="98"/>
    </row>
    <row r="5206" spans="20:20" x14ac:dyDescent="0.25">
      <c r="T5206" s="98"/>
    </row>
    <row r="5207" spans="20:20" x14ac:dyDescent="0.25">
      <c r="T5207" s="98"/>
    </row>
    <row r="5208" spans="20:20" x14ac:dyDescent="0.25">
      <c r="T5208" s="98"/>
    </row>
    <row r="5209" spans="20:20" x14ac:dyDescent="0.25">
      <c r="T5209" s="98"/>
    </row>
    <row r="5210" spans="20:20" x14ac:dyDescent="0.25">
      <c r="T5210" s="98"/>
    </row>
    <row r="5211" spans="20:20" x14ac:dyDescent="0.25">
      <c r="T5211" s="98"/>
    </row>
    <row r="5212" spans="20:20" x14ac:dyDescent="0.25">
      <c r="T5212" s="98"/>
    </row>
    <row r="5213" spans="20:20" x14ac:dyDescent="0.25">
      <c r="T5213" s="98"/>
    </row>
    <row r="5214" spans="20:20" x14ac:dyDescent="0.25">
      <c r="T5214" s="98"/>
    </row>
    <row r="5215" spans="20:20" x14ac:dyDescent="0.25">
      <c r="T5215" s="98"/>
    </row>
    <row r="5216" spans="20:20" x14ac:dyDescent="0.25">
      <c r="T5216" s="98"/>
    </row>
    <row r="5217" spans="20:20" x14ac:dyDescent="0.25">
      <c r="T5217" s="98"/>
    </row>
    <row r="5218" spans="20:20" x14ac:dyDescent="0.25">
      <c r="T5218" s="98"/>
    </row>
    <row r="5219" spans="20:20" x14ac:dyDescent="0.25">
      <c r="T5219" s="98"/>
    </row>
    <row r="5220" spans="20:20" x14ac:dyDescent="0.25">
      <c r="T5220" s="98"/>
    </row>
    <row r="5221" spans="20:20" x14ac:dyDescent="0.25">
      <c r="T5221" s="98"/>
    </row>
    <row r="5222" spans="20:20" x14ac:dyDescent="0.25">
      <c r="T5222" s="98"/>
    </row>
    <row r="5223" spans="20:20" x14ac:dyDescent="0.25">
      <c r="T5223" s="98"/>
    </row>
    <row r="5224" spans="20:20" x14ac:dyDescent="0.25">
      <c r="T5224" s="98"/>
    </row>
    <row r="5225" spans="20:20" x14ac:dyDescent="0.25">
      <c r="T5225" s="98"/>
    </row>
    <row r="5226" spans="20:20" x14ac:dyDescent="0.25">
      <c r="T5226" s="98"/>
    </row>
    <row r="5227" spans="20:20" x14ac:dyDescent="0.25">
      <c r="T5227" s="98"/>
    </row>
    <row r="5228" spans="20:20" x14ac:dyDescent="0.25">
      <c r="T5228" s="98"/>
    </row>
    <row r="5229" spans="20:20" x14ac:dyDescent="0.25">
      <c r="T5229" s="98"/>
    </row>
    <row r="5230" spans="20:20" x14ac:dyDescent="0.25">
      <c r="T5230" s="98"/>
    </row>
    <row r="5231" spans="20:20" x14ac:dyDescent="0.25">
      <c r="T5231" s="98"/>
    </row>
    <row r="5232" spans="20:20" x14ac:dyDescent="0.25">
      <c r="T5232" s="98"/>
    </row>
    <row r="5233" spans="20:20" x14ac:dyDescent="0.25">
      <c r="T5233" s="98"/>
    </row>
    <row r="5234" spans="20:20" x14ac:dyDescent="0.25">
      <c r="T5234" s="98"/>
    </row>
    <row r="5235" spans="20:20" x14ac:dyDescent="0.25">
      <c r="T5235" s="98"/>
    </row>
    <row r="5236" spans="20:20" x14ac:dyDescent="0.25">
      <c r="T5236" s="98"/>
    </row>
    <row r="5237" spans="20:20" x14ac:dyDescent="0.25">
      <c r="T5237" s="98"/>
    </row>
    <row r="5238" spans="20:20" x14ac:dyDescent="0.25">
      <c r="T5238" s="98"/>
    </row>
    <row r="5239" spans="20:20" x14ac:dyDescent="0.25">
      <c r="T5239" s="98"/>
    </row>
    <row r="5240" spans="20:20" x14ac:dyDescent="0.25">
      <c r="T5240" s="98"/>
    </row>
    <row r="5241" spans="20:20" x14ac:dyDescent="0.25">
      <c r="T5241" s="98"/>
    </row>
    <row r="5242" spans="20:20" x14ac:dyDescent="0.25">
      <c r="T5242" s="98"/>
    </row>
    <row r="5243" spans="20:20" x14ac:dyDescent="0.25">
      <c r="T5243" s="98"/>
    </row>
    <row r="5244" spans="20:20" x14ac:dyDescent="0.25">
      <c r="T5244" s="98"/>
    </row>
    <row r="5245" spans="20:20" x14ac:dyDescent="0.25">
      <c r="T5245" s="98"/>
    </row>
    <row r="5246" spans="20:20" x14ac:dyDescent="0.25">
      <c r="T5246" s="98"/>
    </row>
    <row r="5247" spans="20:20" x14ac:dyDescent="0.25">
      <c r="T5247" s="98"/>
    </row>
    <row r="5248" spans="20:20" x14ac:dyDescent="0.25">
      <c r="T5248" s="98"/>
    </row>
    <row r="5249" spans="20:20" x14ac:dyDescent="0.25">
      <c r="T5249" s="98"/>
    </row>
    <row r="5250" spans="20:20" x14ac:dyDescent="0.25">
      <c r="T5250" s="98"/>
    </row>
    <row r="5251" spans="20:20" x14ac:dyDescent="0.25">
      <c r="T5251" s="98"/>
    </row>
    <row r="5252" spans="20:20" x14ac:dyDescent="0.25">
      <c r="T5252" s="98"/>
    </row>
    <row r="5253" spans="20:20" x14ac:dyDescent="0.25">
      <c r="T5253" s="98"/>
    </row>
    <row r="5254" spans="20:20" x14ac:dyDescent="0.25">
      <c r="T5254" s="98"/>
    </row>
    <row r="5255" spans="20:20" x14ac:dyDescent="0.25">
      <c r="T5255" s="98"/>
    </row>
    <row r="5256" spans="20:20" x14ac:dyDescent="0.25">
      <c r="T5256" s="98"/>
    </row>
    <row r="5257" spans="20:20" x14ac:dyDescent="0.25">
      <c r="T5257" s="98"/>
    </row>
    <row r="5258" spans="20:20" x14ac:dyDescent="0.25">
      <c r="T5258" s="98"/>
    </row>
    <row r="5259" spans="20:20" x14ac:dyDescent="0.25">
      <c r="T5259" s="98"/>
    </row>
    <row r="5260" spans="20:20" x14ac:dyDescent="0.25">
      <c r="T5260" s="98"/>
    </row>
    <row r="5261" spans="20:20" x14ac:dyDescent="0.25">
      <c r="T5261" s="98"/>
    </row>
    <row r="5262" spans="20:20" x14ac:dyDescent="0.25">
      <c r="T5262" s="98"/>
    </row>
    <row r="5263" spans="20:20" x14ac:dyDescent="0.25">
      <c r="T5263" s="98"/>
    </row>
    <row r="5264" spans="20:20" x14ac:dyDescent="0.25">
      <c r="T5264" s="98"/>
    </row>
    <row r="5265" spans="20:20" x14ac:dyDescent="0.25">
      <c r="T5265" s="98"/>
    </row>
    <row r="5266" spans="20:20" x14ac:dyDescent="0.25">
      <c r="T5266" s="98"/>
    </row>
    <row r="5267" spans="20:20" x14ac:dyDescent="0.25">
      <c r="T5267" s="98"/>
    </row>
    <row r="5268" spans="20:20" x14ac:dyDescent="0.25">
      <c r="T5268" s="98"/>
    </row>
    <row r="5269" spans="20:20" x14ac:dyDescent="0.25">
      <c r="T5269" s="98"/>
    </row>
    <row r="5270" spans="20:20" x14ac:dyDescent="0.25">
      <c r="T5270" s="98"/>
    </row>
    <row r="5271" spans="20:20" x14ac:dyDescent="0.25">
      <c r="T5271" s="98"/>
    </row>
    <row r="5272" spans="20:20" x14ac:dyDescent="0.25">
      <c r="T5272" s="98"/>
    </row>
    <row r="5273" spans="20:20" x14ac:dyDescent="0.25">
      <c r="T5273" s="98"/>
    </row>
    <row r="5274" spans="20:20" x14ac:dyDescent="0.25">
      <c r="T5274" s="98"/>
    </row>
    <row r="5275" spans="20:20" x14ac:dyDescent="0.25">
      <c r="T5275" s="98"/>
    </row>
    <row r="5276" spans="20:20" x14ac:dyDescent="0.25">
      <c r="T5276" s="98"/>
    </row>
    <row r="5277" spans="20:20" x14ac:dyDescent="0.25">
      <c r="T5277" s="98"/>
    </row>
    <row r="5278" spans="20:20" x14ac:dyDescent="0.25">
      <c r="T5278" s="98"/>
    </row>
    <row r="5279" spans="20:20" x14ac:dyDescent="0.25">
      <c r="T5279" s="98"/>
    </row>
    <row r="5280" spans="20:20" x14ac:dyDescent="0.25">
      <c r="T5280" s="98"/>
    </row>
    <row r="5281" spans="20:20" x14ac:dyDescent="0.25">
      <c r="T5281" s="98"/>
    </row>
    <row r="5282" spans="20:20" x14ac:dyDescent="0.25">
      <c r="T5282" s="98"/>
    </row>
    <row r="5283" spans="20:20" x14ac:dyDescent="0.25">
      <c r="T5283" s="98"/>
    </row>
    <row r="5284" spans="20:20" x14ac:dyDescent="0.25">
      <c r="T5284" s="98"/>
    </row>
    <row r="5285" spans="20:20" x14ac:dyDescent="0.25">
      <c r="T5285" s="98"/>
    </row>
    <row r="5286" spans="20:20" x14ac:dyDescent="0.25">
      <c r="T5286" s="98"/>
    </row>
    <row r="5287" spans="20:20" x14ac:dyDescent="0.25">
      <c r="T5287" s="98"/>
    </row>
    <row r="5288" spans="20:20" x14ac:dyDescent="0.25">
      <c r="T5288" s="98"/>
    </row>
    <row r="5289" spans="20:20" x14ac:dyDescent="0.25">
      <c r="T5289" s="98"/>
    </row>
    <row r="5290" spans="20:20" x14ac:dyDescent="0.25">
      <c r="T5290" s="98"/>
    </row>
    <row r="5291" spans="20:20" x14ac:dyDescent="0.25">
      <c r="T5291" s="98"/>
    </row>
    <row r="5292" spans="20:20" x14ac:dyDescent="0.25">
      <c r="T5292" s="98"/>
    </row>
    <row r="5293" spans="20:20" x14ac:dyDescent="0.25">
      <c r="T5293" s="98"/>
    </row>
    <row r="5294" spans="20:20" x14ac:dyDescent="0.25">
      <c r="T5294" s="98"/>
    </row>
    <row r="5295" spans="20:20" x14ac:dyDescent="0.25">
      <c r="T5295" s="98"/>
    </row>
    <row r="5296" spans="20:20" x14ac:dyDescent="0.25">
      <c r="T5296" s="98"/>
    </row>
    <row r="5297" spans="20:20" x14ac:dyDescent="0.25">
      <c r="T5297" s="98"/>
    </row>
    <row r="5298" spans="20:20" x14ac:dyDescent="0.25">
      <c r="T5298" s="98"/>
    </row>
    <row r="5299" spans="20:20" x14ac:dyDescent="0.25">
      <c r="T5299" s="98"/>
    </row>
    <row r="5300" spans="20:20" x14ac:dyDescent="0.25">
      <c r="T5300" s="98"/>
    </row>
    <row r="5301" spans="20:20" x14ac:dyDescent="0.25">
      <c r="T5301" s="98"/>
    </row>
    <row r="5302" spans="20:20" x14ac:dyDescent="0.25">
      <c r="T5302" s="98"/>
    </row>
    <row r="5303" spans="20:20" x14ac:dyDescent="0.25">
      <c r="T5303" s="98"/>
    </row>
    <row r="5304" spans="20:20" x14ac:dyDescent="0.25">
      <c r="T5304" s="98"/>
    </row>
    <row r="5305" spans="20:20" x14ac:dyDescent="0.25">
      <c r="T5305" s="98"/>
    </row>
    <row r="5306" spans="20:20" x14ac:dyDescent="0.25">
      <c r="T5306" s="98"/>
    </row>
    <row r="5307" spans="20:20" x14ac:dyDescent="0.25">
      <c r="T5307" s="98"/>
    </row>
    <row r="5308" spans="20:20" x14ac:dyDescent="0.25">
      <c r="T5308" s="98"/>
    </row>
    <row r="5309" spans="20:20" x14ac:dyDescent="0.25">
      <c r="T5309" s="98"/>
    </row>
    <row r="5310" spans="20:20" x14ac:dyDescent="0.25">
      <c r="T5310" s="98"/>
    </row>
    <row r="5311" spans="20:20" x14ac:dyDescent="0.25">
      <c r="T5311" s="98"/>
    </row>
    <row r="5312" spans="20:20" x14ac:dyDescent="0.25">
      <c r="T5312" s="98"/>
    </row>
    <row r="5313" spans="20:20" x14ac:dyDescent="0.25">
      <c r="T5313" s="98"/>
    </row>
    <row r="5314" spans="20:20" x14ac:dyDescent="0.25">
      <c r="T5314" s="98"/>
    </row>
    <row r="5315" spans="20:20" x14ac:dyDescent="0.25">
      <c r="T5315" s="98"/>
    </row>
    <row r="5316" spans="20:20" x14ac:dyDescent="0.25">
      <c r="T5316" s="98"/>
    </row>
    <row r="5317" spans="20:20" x14ac:dyDescent="0.25">
      <c r="T5317" s="98"/>
    </row>
    <row r="5318" spans="20:20" x14ac:dyDescent="0.25">
      <c r="T5318" s="98"/>
    </row>
    <row r="5319" spans="20:20" x14ac:dyDescent="0.25">
      <c r="T5319" s="98"/>
    </row>
    <row r="5320" spans="20:20" x14ac:dyDescent="0.25">
      <c r="T5320" s="98"/>
    </row>
    <row r="5321" spans="20:20" x14ac:dyDescent="0.25">
      <c r="T5321" s="98"/>
    </row>
    <row r="5322" spans="20:20" x14ac:dyDescent="0.25">
      <c r="T5322" s="98"/>
    </row>
    <row r="5323" spans="20:20" x14ac:dyDescent="0.25">
      <c r="T5323" s="98"/>
    </row>
    <row r="5324" spans="20:20" x14ac:dyDescent="0.25">
      <c r="T5324" s="98"/>
    </row>
    <row r="5325" spans="20:20" x14ac:dyDescent="0.25">
      <c r="T5325" s="98"/>
    </row>
    <row r="5326" spans="20:20" x14ac:dyDescent="0.25">
      <c r="T5326" s="98"/>
    </row>
    <row r="5327" spans="20:20" x14ac:dyDescent="0.25">
      <c r="T5327" s="98"/>
    </row>
    <row r="5328" spans="20:20" x14ac:dyDescent="0.25">
      <c r="T5328" s="98"/>
    </row>
    <row r="5329" spans="20:20" x14ac:dyDescent="0.25">
      <c r="T5329" s="98"/>
    </row>
    <row r="5330" spans="20:20" x14ac:dyDescent="0.25">
      <c r="T5330" s="98"/>
    </row>
    <row r="5331" spans="20:20" x14ac:dyDescent="0.25">
      <c r="T5331" s="98"/>
    </row>
    <row r="5332" spans="20:20" x14ac:dyDescent="0.25">
      <c r="T5332" s="98"/>
    </row>
    <row r="5333" spans="20:20" x14ac:dyDescent="0.25">
      <c r="T5333" s="98"/>
    </row>
    <row r="5334" spans="20:20" x14ac:dyDescent="0.25">
      <c r="T5334" s="98"/>
    </row>
    <row r="5335" spans="20:20" x14ac:dyDescent="0.25">
      <c r="T5335" s="98"/>
    </row>
    <row r="5336" spans="20:20" x14ac:dyDescent="0.25">
      <c r="T5336" s="98"/>
    </row>
    <row r="5337" spans="20:20" x14ac:dyDescent="0.25">
      <c r="T5337" s="98"/>
    </row>
    <row r="5338" spans="20:20" x14ac:dyDescent="0.25">
      <c r="T5338" s="98"/>
    </row>
    <row r="5339" spans="20:20" x14ac:dyDescent="0.25">
      <c r="T5339" s="98"/>
    </row>
    <row r="5340" spans="20:20" x14ac:dyDescent="0.25">
      <c r="T5340" s="98"/>
    </row>
    <row r="5341" spans="20:20" x14ac:dyDescent="0.25">
      <c r="T5341" s="98"/>
    </row>
    <row r="5342" spans="20:20" x14ac:dyDescent="0.25">
      <c r="T5342" s="98"/>
    </row>
    <row r="5343" spans="20:20" x14ac:dyDescent="0.25">
      <c r="T5343" s="98"/>
    </row>
    <row r="5344" spans="20:20" x14ac:dyDescent="0.25">
      <c r="T5344" s="98"/>
    </row>
    <row r="5345" spans="20:20" x14ac:dyDescent="0.25">
      <c r="T5345" s="98"/>
    </row>
    <row r="5346" spans="20:20" x14ac:dyDescent="0.25">
      <c r="T5346" s="98"/>
    </row>
    <row r="5347" spans="20:20" x14ac:dyDescent="0.25">
      <c r="T5347" s="98"/>
    </row>
    <row r="5348" spans="20:20" x14ac:dyDescent="0.25">
      <c r="T5348" s="98"/>
    </row>
    <row r="5349" spans="20:20" x14ac:dyDescent="0.25">
      <c r="T5349" s="98"/>
    </row>
    <row r="5350" spans="20:20" x14ac:dyDescent="0.25">
      <c r="T5350" s="98"/>
    </row>
    <row r="5351" spans="20:20" x14ac:dyDescent="0.25">
      <c r="T5351" s="98"/>
    </row>
    <row r="5352" spans="20:20" x14ac:dyDescent="0.25">
      <c r="T5352" s="98"/>
    </row>
    <row r="5353" spans="20:20" x14ac:dyDescent="0.25">
      <c r="T5353" s="98"/>
    </row>
    <row r="5354" spans="20:20" x14ac:dyDescent="0.25">
      <c r="T5354" s="98"/>
    </row>
    <row r="5355" spans="20:20" x14ac:dyDescent="0.25">
      <c r="T5355" s="98"/>
    </row>
    <row r="5356" spans="20:20" x14ac:dyDescent="0.25">
      <c r="T5356" s="98"/>
    </row>
    <row r="5357" spans="20:20" x14ac:dyDescent="0.25">
      <c r="T5357" s="98"/>
    </row>
    <row r="5358" spans="20:20" x14ac:dyDescent="0.25">
      <c r="T5358" s="98"/>
    </row>
    <row r="5359" spans="20:20" x14ac:dyDescent="0.25">
      <c r="T5359" s="98"/>
    </row>
    <row r="5360" spans="20:20" x14ac:dyDescent="0.25">
      <c r="T5360" s="98"/>
    </row>
    <row r="5361" spans="20:20" x14ac:dyDescent="0.25">
      <c r="T5361" s="98"/>
    </row>
    <row r="5362" spans="20:20" x14ac:dyDescent="0.25">
      <c r="T5362" s="98"/>
    </row>
    <row r="5363" spans="20:20" x14ac:dyDescent="0.25">
      <c r="T5363" s="98"/>
    </row>
    <row r="5364" spans="20:20" x14ac:dyDescent="0.25">
      <c r="T5364" s="98"/>
    </row>
    <row r="5365" spans="20:20" x14ac:dyDescent="0.25">
      <c r="T5365" s="98"/>
    </row>
    <row r="5366" spans="20:20" x14ac:dyDescent="0.25">
      <c r="T5366" s="98"/>
    </row>
    <row r="5367" spans="20:20" x14ac:dyDescent="0.25">
      <c r="T5367" s="98"/>
    </row>
    <row r="5368" spans="20:20" x14ac:dyDescent="0.25">
      <c r="T5368" s="98"/>
    </row>
    <row r="5369" spans="20:20" x14ac:dyDescent="0.25">
      <c r="T5369" s="98"/>
    </row>
    <row r="5370" spans="20:20" x14ac:dyDescent="0.25">
      <c r="T5370" s="98"/>
    </row>
    <row r="5371" spans="20:20" x14ac:dyDescent="0.25">
      <c r="T5371" s="98"/>
    </row>
    <row r="5372" spans="20:20" x14ac:dyDescent="0.25">
      <c r="T5372" s="98"/>
    </row>
    <row r="5373" spans="20:20" x14ac:dyDescent="0.25">
      <c r="T5373" s="98"/>
    </row>
    <row r="5374" spans="20:20" x14ac:dyDescent="0.25">
      <c r="T5374" s="98"/>
    </row>
    <row r="5375" spans="20:20" x14ac:dyDescent="0.25">
      <c r="T5375" s="98"/>
    </row>
    <row r="5376" spans="20:20" x14ac:dyDescent="0.25">
      <c r="T5376" s="98"/>
    </row>
    <row r="5377" spans="20:20" x14ac:dyDescent="0.25">
      <c r="T5377" s="98"/>
    </row>
    <row r="5378" spans="20:20" x14ac:dyDescent="0.25">
      <c r="T5378" s="98"/>
    </row>
    <row r="5379" spans="20:20" x14ac:dyDescent="0.25">
      <c r="T5379" s="98"/>
    </row>
    <row r="5380" spans="20:20" x14ac:dyDescent="0.25">
      <c r="T5380" s="98"/>
    </row>
    <row r="5381" spans="20:20" x14ac:dyDescent="0.25">
      <c r="T5381" s="98"/>
    </row>
    <row r="5382" spans="20:20" x14ac:dyDescent="0.25">
      <c r="T5382" s="98"/>
    </row>
    <row r="5383" spans="20:20" x14ac:dyDescent="0.25">
      <c r="T5383" s="98"/>
    </row>
    <row r="5384" spans="20:20" x14ac:dyDescent="0.25">
      <c r="T5384" s="98"/>
    </row>
    <row r="5385" spans="20:20" x14ac:dyDescent="0.25">
      <c r="T5385" s="98"/>
    </row>
    <row r="5386" spans="20:20" x14ac:dyDescent="0.25">
      <c r="T5386" s="98"/>
    </row>
    <row r="5387" spans="20:20" x14ac:dyDescent="0.25">
      <c r="T5387" s="98"/>
    </row>
    <row r="5388" spans="20:20" x14ac:dyDescent="0.25">
      <c r="T5388" s="98"/>
    </row>
    <row r="5389" spans="20:20" x14ac:dyDescent="0.25">
      <c r="T5389" s="98"/>
    </row>
    <row r="5390" spans="20:20" x14ac:dyDescent="0.25">
      <c r="T5390" s="98"/>
    </row>
    <row r="5391" spans="20:20" x14ac:dyDescent="0.25">
      <c r="T5391" s="98"/>
    </row>
    <row r="5392" spans="20:20" x14ac:dyDescent="0.25">
      <c r="T5392" s="98"/>
    </row>
    <row r="5393" spans="20:20" x14ac:dyDescent="0.25">
      <c r="T5393" s="98"/>
    </row>
    <row r="5394" spans="20:20" x14ac:dyDescent="0.25">
      <c r="T5394" s="98"/>
    </row>
    <row r="5395" spans="20:20" x14ac:dyDescent="0.25">
      <c r="T5395" s="98"/>
    </row>
    <row r="5396" spans="20:20" x14ac:dyDescent="0.25">
      <c r="T5396" s="98"/>
    </row>
    <row r="5397" spans="20:20" x14ac:dyDescent="0.25">
      <c r="T5397" s="98"/>
    </row>
    <row r="5398" spans="20:20" x14ac:dyDescent="0.25">
      <c r="T5398" s="98"/>
    </row>
    <row r="5399" spans="20:20" x14ac:dyDescent="0.25">
      <c r="T5399" s="98"/>
    </row>
    <row r="5400" spans="20:20" x14ac:dyDescent="0.25">
      <c r="T5400" s="98"/>
    </row>
    <row r="5401" spans="20:20" x14ac:dyDescent="0.25">
      <c r="T5401" s="98"/>
    </row>
    <row r="5402" spans="20:20" x14ac:dyDescent="0.25">
      <c r="T5402" s="98"/>
    </row>
    <row r="5403" spans="20:20" x14ac:dyDescent="0.25">
      <c r="T5403" s="98"/>
    </row>
    <row r="5404" spans="20:20" x14ac:dyDescent="0.25">
      <c r="T5404" s="98"/>
    </row>
    <row r="5405" spans="20:20" x14ac:dyDescent="0.25">
      <c r="T5405" s="98"/>
    </row>
    <row r="5406" spans="20:20" x14ac:dyDescent="0.25">
      <c r="T5406" s="98"/>
    </row>
    <row r="5407" spans="20:20" x14ac:dyDescent="0.25">
      <c r="T5407" s="98"/>
    </row>
    <row r="5408" spans="20:20" x14ac:dyDescent="0.25">
      <c r="T5408" s="98"/>
    </row>
    <row r="5409" spans="20:20" x14ac:dyDescent="0.25">
      <c r="T5409" s="98"/>
    </row>
    <row r="5410" spans="20:20" x14ac:dyDescent="0.25">
      <c r="T5410" s="98"/>
    </row>
    <row r="5411" spans="20:20" x14ac:dyDescent="0.25">
      <c r="T5411" s="98"/>
    </row>
    <row r="5412" spans="20:20" x14ac:dyDescent="0.25">
      <c r="T5412" s="98"/>
    </row>
    <row r="5413" spans="20:20" x14ac:dyDescent="0.25">
      <c r="T5413" s="98"/>
    </row>
    <row r="5414" spans="20:20" x14ac:dyDescent="0.25">
      <c r="T5414" s="98"/>
    </row>
    <row r="5415" spans="20:20" x14ac:dyDescent="0.25">
      <c r="T5415" s="98"/>
    </row>
    <row r="5416" spans="20:20" x14ac:dyDescent="0.25">
      <c r="T5416" s="98"/>
    </row>
    <row r="5417" spans="20:20" x14ac:dyDescent="0.25">
      <c r="T5417" s="98"/>
    </row>
    <row r="5418" spans="20:20" x14ac:dyDescent="0.25">
      <c r="T5418" s="98"/>
    </row>
    <row r="5419" spans="20:20" x14ac:dyDescent="0.25">
      <c r="T5419" s="98"/>
    </row>
    <row r="5420" spans="20:20" x14ac:dyDescent="0.25">
      <c r="T5420" s="98"/>
    </row>
    <row r="5421" spans="20:20" x14ac:dyDescent="0.25">
      <c r="T5421" s="98"/>
    </row>
    <row r="5422" spans="20:20" x14ac:dyDescent="0.25">
      <c r="T5422" s="98"/>
    </row>
    <row r="5423" spans="20:20" x14ac:dyDescent="0.25">
      <c r="T5423" s="98"/>
    </row>
    <row r="5424" spans="20:20" x14ac:dyDescent="0.25">
      <c r="T5424" s="98"/>
    </row>
    <row r="5425" spans="20:20" x14ac:dyDescent="0.25">
      <c r="T5425" s="98"/>
    </row>
    <row r="5426" spans="20:20" x14ac:dyDescent="0.25">
      <c r="T5426" s="98"/>
    </row>
    <row r="5427" spans="20:20" x14ac:dyDescent="0.25">
      <c r="T5427" s="98"/>
    </row>
    <row r="5428" spans="20:20" x14ac:dyDescent="0.25">
      <c r="T5428" s="98"/>
    </row>
    <row r="5429" spans="20:20" x14ac:dyDescent="0.25">
      <c r="T5429" s="98"/>
    </row>
    <row r="5430" spans="20:20" x14ac:dyDescent="0.25">
      <c r="T5430" s="98"/>
    </row>
    <row r="5431" spans="20:20" x14ac:dyDescent="0.25">
      <c r="T5431" s="98"/>
    </row>
    <row r="5432" spans="20:20" x14ac:dyDescent="0.25">
      <c r="T5432" s="98"/>
    </row>
    <row r="5433" spans="20:20" x14ac:dyDescent="0.25">
      <c r="T5433" s="98"/>
    </row>
    <row r="5434" spans="20:20" x14ac:dyDescent="0.25">
      <c r="T5434" s="98"/>
    </row>
    <row r="5435" spans="20:20" x14ac:dyDescent="0.25">
      <c r="T5435" s="98"/>
    </row>
    <row r="5436" spans="20:20" x14ac:dyDescent="0.25">
      <c r="T5436" s="98"/>
    </row>
    <row r="5437" spans="20:20" x14ac:dyDescent="0.25">
      <c r="T5437" s="98"/>
    </row>
    <row r="5438" spans="20:20" x14ac:dyDescent="0.25">
      <c r="T5438" s="98"/>
    </row>
    <row r="5439" spans="20:20" x14ac:dyDescent="0.25">
      <c r="T5439" s="98"/>
    </row>
    <row r="5440" spans="20:20" x14ac:dyDescent="0.25">
      <c r="T5440" s="98"/>
    </row>
    <row r="5441" spans="20:20" x14ac:dyDescent="0.25">
      <c r="T5441" s="98"/>
    </row>
    <row r="5442" spans="20:20" x14ac:dyDescent="0.25">
      <c r="T5442" s="98"/>
    </row>
    <row r="5443" spans="20:20" x14ac:dyDescent="0.25">
      <c r="T5443" s="98"/>
    </row>
    <row r="5444" spans="20:20" x14ac:dyDescent="0.25">
      <c r="T5444" s="98"/>
    </row>
    <row r="5445" spans="20:20" x14ac:dyDescent="0.25">
      <c r="T5445" s="98"/>
    </row>
    <row r="5446" spans="20:20" x14ac:dyDescent="0.25">
      <c r="T5446" s="98"/>
    </row>
    <row r="5447" spans="20:20" x14ac:dyDescent="0.25">
      <c r="T5447" s="98"/>
    </row>
    <row r="5448" spans="20:20" x14ac:dyDescent="0.25">
      <c r="T5448" s="98"/>
    </row>
    <row r="5449" spans="20:20" x14ac:dyDescent="0.25">
      <c r="T5449" s="98"/>
    </row>
    <row r="5450" spans="20:20" x14ac:dyDescent="0.25">
      <c r="T5450" s="98"/>
    </row>
    <row r="5451" spans="20:20" x14ac:dyDescent="0.25">
      <c r="T5451" s="98"/>
    </row>
    <row r="5452" spans="20:20" x14ac:dyDescent="0.25">
      <c r="T5452" s="98"/>
    </row>
    <row r="5453" spans="20:20" x14ac:dyDescent="0.25">
      <c r="T5453" s="98"/>
    </row>
    <row r="5454" spans="20:20" x14ac:dyDescent="0.25">
      <c r="T5454" s="98"/>
    </row>
    <row r="5455" spans="20:20" x14ac:dyDescent="0.25">
      <c r="T5455" s="98"/>
    </row>
    <row r="5456" spans="20:20" x14ac:dyDescent="0.25">
      <c r="T5456" s="98"/>
    </row>
    <row r="5457" spans="20:20" x14ac:dyDescent="0.25">
      <c r="T5457" s="98"/>
    </row>
    <row r="5458" spans="20:20" x14ac:dyDescent="0.25">
      <c r="T5458" s="98"/>
    </row>
    <row r="5459" spans="20:20" x14ac:dyDescent="0.25">
      <c r="T5459" s="98"/>
    </row>
    <row r="5460" spans="20:20" x14ac:dyDescent="0.25">
      <c r="T5460" s="98"/>
    </row>
    <row r="5461" spans="20:20" x14ac:dyDescent="0.25">
      <c r="T5461" s="98"/>
    </row>
    <row r="5462" spans="20:20" x14ac:dyDescent="0.25">
      <c r="T5462" s="98"/>
    </row>
    <row r="5463" spans="20:20" x14ac:dyDescent="0.25">
      <c r="T5463" s="98"/>
    </row>
    <row r="5464" spans="20:20" x14ac:dyDescent="0.25">
      <c r="T5464" s="98"/>
    </row>
    <row r="5465" spans="20:20" x14ac:dyDescent="0.25">
      <c r="T5465" s="98"/>
    </row>
    <row r="5466" spans="20:20" x14ac:dyDescent="0.25">
      <c r="T5466" s="98"/>
    </row>
    <row r="5467" spans="20:20" x14ac:dyDescent="0.25">
      <c r="T5467" s="98"/>
    </row>
    <row r="5468" spans="20:20" x14ac:dyDescent="0.25">
      <c r="T5468" s="98"/>
    </row>
    <row r="5469" spans="20:20" x14ac:dyDescent="0.25">
      <c r="T5469" s="98"/>
    </row>
    <row r="5470" spans="20:20" x14ac:dyDescent="0.25">
      <c r="T5470" s="98"/>
    </row>
    <row r="5471" spans="20:20" x14ac:dyDescent="0.25">
      <c r="T5471" s="98"/>
    </row>
    <row r="5472" spans="20:20" x14ac:dyDescent="0.25">
      <c r="T5472" s="98"/>
    </row>
    <row r="5473" spans="20:20" x14ac:dyDescent="0.25">
      <c r="T5473" s="98"/>
    </row>
    <row r="5474" spans="20:20" x14ac:dyDescent="0.25">
      <c r="T5474" s="98"/>
    </row>
    <row r="5475" spans="20:20" x14ac:dyDescent="0.25">
      <c r="T5475" s="98"/>
    </row>
    <row r="5476" spans="20:20" x14ac:dyDescent="0.25">
      <c r="T5476" s="98"/>
    </row>
    <row r="5477" spans="20:20" x14ac:dyDescent="0.25">
      <c r="T5477" s="98"/>
    </row>
    <row r="5478" spans="20:20" x14ac:dyDescent="0.25">
      <c r="T5478" s="98"/>
    </row>
    <row r="5479" spans="20:20" x14ac:dyDescent="0.25">
      <c r="T5479" s="98"/>
    </row>
    <row r="5480" spans="20:20" x14ac:dyDescent="0.25">
      <c r="T5480" s="98"/>
    </row>
    <row r="5481" spans="20:20" x14ac:dyDescent="0.25">
      <c r="T5481" s="98"/>
    </row>
    <row r="5482" spans="20:20" x14ac:dyDescent="0.25">
      <c r="T5482" s="98"/>
    </row>
    <row r="5483" spans="20:20" x14ac:dyDescent="0.25">
      <c r="T5483" s="98"/>
    </row>
    <row r="5484" spans="20:20" x14ac:dyDescent="0.25">
      <c r="T5484" s="98"/>
    </row>
    <row r="5485" spans="20:20" x14ac:dyDescent="0.25">
      <c r="T5485" s="98"/>
    </row>
    <row r="5486" spans="20:20" x14ac:dyDescent="0.25">
      <c r="T5486" s="98"/>
    </row>
    <row r="5487" spans="20:20" x14ac:dyDescent="0.25">
      <c r="T5487" s="98"/>
    </row>
    <row r="5488" spans="20:20" x14ac:dyDescent="0.25">
      <c r="T5488" s="98"/>
    </row>
    <row r="5489" spans="20:20" x14ac:dyDescent="0.25">
      <c r="T5489" s="98"/>
    </row>
    <row r="5490" spans="20:20" x14ac:dyDescent="0.25">
      <c r="T5490" s="98"/>
    </row>
    <row r="5491" spans="20:20" x14ac:dyDescent="0.25">
      <c r="T5491" s="98"/>
    </row>
    <row r="5492" spans="20:20" x14ac:dyDescent="0.25">
      <c r="T5492" s="98"/>
    </row>
    <row r="5493" spans="20:20" x14ac:dyDescent="0.25">
      <c r="T5493" s="98"/>
    </row>
    <row r="5494" spans="20:20" x14ac:dyDescent="0.25">
      <c r="T5494" s="98"/>
    </row>
    <row r="5495" spans="20:20" x14ac:dyDescent="0.25">
      <c r="T5495" s="98"/>
    </row>
    <row r="5496" spans="20:20" x14ac:dyDescent="0.25">
      <c r="T5496" s="98"/>
    </row>
    <row r="5497" spans="20:20" x14ac:dyDescent="0.25">
      <c r="T5497" s="98"/>
    </row>
    <row r="5498" spans="20:20" x14ac:dyDescent="0.25">
      <c r="T5498" s="98"/>
    </row>
    <row r="5499" spans="20:20" x14ac:dyDescent="0.25">
      <c r="T5499" s="98"/>
    </row>
    <row r="5500" spans="20:20" x14ac:dyDescent="0.25">
      <c r="T5500" s="98"/>
    </row>
    <row r="5501" spans="20:20" x14ac:dyDescent="0.25">
      <c r="T5501" s="98"/>
    </row>
    <row r="5502" spans="20:20" x14ac:dyDescent="0.25">
      <c r="T5502" s="98"/>
    </row>
    <row r="5503" spans="20:20" x14ac:dyDescent="0.25">
      <c r="T5503" s="98"/>
    </row>
    <row r="5504" spans="20:20" x14ac:dyDescent="0.25">
      <c r="T5504" s="98"/>
    </row>
    <row r="5505" spans="20:20" x14ac:dyDescent="0.25">
      <c r="T5505" s="98"/>
    </row>
    <row r="5506" spans="20:20" x14ac:dyDescent="0.25">
      <c r="T5506" s="98"/>
    </row>
    <row r="5507" spans="20:20" x14ac:dyDescent="0.25">
      <c r="T5507" s="98"/>
    </row>
    <row r="5508" spans="20:20" x14ac:dyDescent="0.25">
      <c r="T5508" s="98"/>
    </row>
    <row r="5509" spans="20:20" x14ac:dyDescent="0.25">
      <c r="T5509" s="98"/>
    </row>
    <row r="5510" spans="20:20" x14ac:dyDescent="0.25">
      <c r="T5510" s="98"/>
    </row>
    <row r="5511" spans="20:20" x14ac:dyDescent="0.25">
      <c r="T5511" s="98"/>
    </row>
    <row r="5512" spans="20:20" x14ac:dyDescent="0.25">
      <c r="T5512" s="98"/>
    </row>
    <row r="5513" spans="20:20" x14ac:dyDescent="0.25">
      <c r="T5513" s="98"/>
    </row>
    <row r="5514" spans="20:20" x14ac:dyDescent="0.25">
      <c r="T5514" s="98"/>
    </row>
    <row r="5515" spans="20:20" x14ac:dyDescent="0.25">
      <c r="T5515" s="98"/>
    </row>
    <row r="5516" spans="20:20" x14ac:dyDescent="0.25">
      <c r="T5516" s="98"/>
    </row>
    <row r="5517" spans="20:20" x14ac:dyDescent="0.25">
      <c r="T5517" s="98"/>
    </row>
    <row r="5518" spans="20:20" x14ac:dyDescent="0.25">
      <c r="T5518" s="98"/>
    </row>
    <row r="5519" spans="20:20" x14ac:dyDescent="0.25">
      <c r="T5519" s="98"/>
    </row>
    <row r="5520" spans="20:20" x14ac:dyDescent="0.25">
      <c r="T5520" s="98"/>
    </row>
    <row r="5521" spans="20:20" x14ac:dyDescent="0.25">
      <c r="T5521" s="98"/>
    </row>
    <row r="5522" spans="20:20" x14ac:dyDescent="0.25">
      <c r="T5522" s="98"/>
    </row>
    <row r="5523" spans="20:20" x14ac:dyDescent="0.25">
      <c r="T5523" s="98"/>
    </row>
    <row r="5524" spans="20:20" x14ac:dyDescent="0.25">
      <c r="T5524" s="98"/>
    </row>
    <row r="5525" spans="20:20" x14ac:dyDescent="0.25">
      <c r="T5525" s="98"/>
    </row>
    <row r="5526" spans="20:20" x14ac:dyDescent="0.25">
      <c r="T5526" s="98"/>
    </row>
    <row r="5527" spans="20:20" x14ac:dyDescent="0.25">
      <c r="T5527" s="98"/>
    </row>
    <row r="5528" spans="20:20" x14ac:dyDescent="0.25">
      <c r="T5528" s="98"/>
    </row>
    <row r="5529" spans="20:20" x14ac:dyDescent="0.25">
      <c r="T5529" s="98"/>
    </row>
    <row r="5530" spans="20:20" x14ac:dyDescent="0.25">
      <c r="T5530" s="98"/>
    </row>
    <row r="5531" spans="20:20" x14ac:dyDescent="0.25">
      <c r="T5531" s="98"/>
    </row>
    <row r="5532" spans="20:20" x14ac:dyDescent="0.25">
      <c r="T5532" s="98"/>
    </row>
    <row r="5533" spans="20:20" x14ac:dyDescent="0.25">
      <c r="T5533" s="98"/>
    </row>
    <row r="5534" spans="20:20" x14ac:dyDescent="0.25">
      <c r="T5534" s="98"/>
    </row>
    <row r="5535" spans="20:20" x14ac:dyDescent="0.25">
      <c r="T5535" s="98"/>
    </row>
    <row r="5536" spans="20:20" x14ac:dyDescent="0.25">
      <c r="T5536" s="98"/>
    </row>
    <row r="5537" spans="20:20" x14ac:dyDescent="0.25">
      <c r="T5537" s="98"/>
    </row>
    <row r="5538" spans="20:20" x14ac:dyDescent="0.25">
      <c r="T5538" s="98"/>
    </row>
    <row r="5539" spans="20:20" x14ac:dyDescent="0.25">
      <c r="T5539" s="98"/>
    </row>
    <row r="5540" spans="20:20" x14ac:dyDescent="0.25">
      <c r="T5540" s="98"/>
    </row>
    <row r="5541" spans="20:20" x14ac:dyDescent="0.25">
      <c r="T5541" s="98"/>
    </row>
    <row r="5542" spans="20:20" x14ac:dyDescent="0.25">
      <c r="T5542" s="98"/>
    </row>
    <row r="5543" spans="20:20" x14ac:dyDescent="0.25">
      <c r="T5543" s="98"/>
    </row>
    <row r="5544" spans="20:20" x14ac:dyDescent="0.25">
      <c r="T5544" s="98"/>
    </row>
    <row r="5545" spans="20:20" x14ac:dyDescent="0.25">
      <c r="T5545" s="98"/>
    </row>
    <row r="5546" spans="20:20" x14ac:dyDescent="0.25">
      <c r="T5546" s="98"/>
    </row>
    <row r="5547" spans="20:20" x14ac:dyDescent="0.25">
      <c r="T5547" s="98"/>
    </row>
    <row r="5548" spans="20:20" x14ac:dyDescent="0.25">
      <c r="T5548" s="98"/>
    </row>
    <row r="5549" spans="20:20" x14ac:dyDescent="0.25">
      <c r="T5549" s="98"/>
    </row>
    <row r="5550" spans="20:20" x14ac:dyDescent="0.25">
      <c r="T5550" s="98"/>
    </row>
    <row r="5551" spans="20:20" x14ac:dyDescent="0.25">
      <c r="T5551" s="98"/>
    </row>
    <row r="5552" spans="20:20" x14ac:dyDescent="0.25">
      <c r="T5552" s="98"/>
    </row>
    <row r="5553" spans="20:20" x14ac:dyDescent="0.25">
      <c r="T5553" s="98"/>
    </row>
    <row r="5554" spans="20:20" x14ac:dyDescent="0.25">
      <c r="T5554" s="98"/>
    </row>
    <row r="5555" spans="20:20" x14ac:dyDescent="0.25">
      <c r="T5555" s="98"/>
    </row>
    <row r="5556" spans="20:20" x14ac:dyDescent="0.25">
      <c r="T5556" s="98"/>
    </row>
    <row r="5557" spans="20:20" x14ac:dyDescent="0.25">
      <c r="T5557" s="98"/>
    </row>
    <row r="5558" spans="20:20" x14ac:dyDescent="0.25">
      <c r="T5558" s="98"/>
    </row>
    <row r="5559" spans="20:20" x14ac:dyDescent="0.25">
      <c r="T5559" s="98"/>
    </row>
    <row r="5560" spans="20:20" x14ac:dyDescent="0.25">
      <c r="T5560" s="98"/>
    </row>
    <row r="5561" spans="20:20" x14ac:dyDescent="0.25">
      <c r="T5561" s="98"/>
    </row>
    <row r="5562" spans="20:20" x14ac:dyDescent="0.25">
      <c r="T5562" s="98"/>
    </row>
    <row r="5563" spans="20:20" x14ac:dyDescent="0.25">
      <c r="T5563" s="98"/>
    </row>
    <row r="5564" spans="20:20" x14ac:dyDescent="0.25">
      <c r="T5564" s="98"/>
    </row>
    <row r="5565" spans="20:20" x14ac:dyDescent="0.25">
      <c r="T5565" s="98"/>
    </row>
    <row r="5566" spans="20:20" x14ac:dyDescent="0.25">
      <c r="T5566" s="98"/>
    </row>
    <row r="5567" spans="20:20" x14ac:dyDescent="0.25">
      <c r="T5567" s="98"/>
    </row>
    <row r="5568" spans="20:20" x14ac:dyDescent="0.25">
      <c r="T5568" s="98"/>
    </row>
    <row r="5569" spans="20:20" x14ac:dyDescent="0.25">
      <c r="T5569" s="98"/>
    </row>
    <row r="5570" spans="20:20" x14ac:dyDescent="0.25">
      <c r="T5570" s="98"/>
    </row>
    <row r="5571" spans="20:20" x14ac:dyDescent="0.25">
      <c r="T5571" s="98"/>
    </row>
    <row r="5572" spans="20:20" x14ac:dyDescent="0.25">
      <c r="T5572" s="98"/>
    </row>
    <row r="5573" spans="20:20" x14ac:dyDescent="0.25">
      <c r="T5573" s="98"/>
    </row>
    <row r="5574" spans="20:20" x14ac:dyDescent="0.25">
      <c r="T5574" s="98"/>
    </row>
    <row r="5575" spans="20:20" x14ac:dyDescent="0.25">
      <c r="T5575" s="98"/>
    </row>
    <row r="5576" spans="20:20" x14ac:dyDescent="0.25">
      <c r="T5576" s="98"/>
    </row>
    <row r="5577" spans="20:20" x14ac:dyDescent="0.25">
      <c r="T5577" s="98"/>
    </row>
    <row r="5578" spans="20:20" x14ac:dyDescent="0.25">
      <c r="T5578" s="98"/>
    </row>
    <row r="5579" spans="20:20" x14ac:dyDescent="0.25">
      <c r="T5579" s="98"/>
    </row>
    <row r="5580" spans="20:20" x14ac:dyDescent="0.25">
      <c r="T5580" s="98"/>
    </row>
    <row r="5581" spans="20:20" x14ac:dyDescent="0.25">
      <c r="T5581" s="98"/>
    </row>
    <row r="5582" spans="20:20" x14ac:dyDescent="0.25">
      <c r="T5582" s="98"/>
    </row>
    <row r="5583" spans="20:20" x14ac:dyDescent="0.25">
      <c r="T5583" s="98"/>
    </row>
    <row r="5584" spans="20:20" x14ac:dyDescent="0.25">
      <c r="T5584" s="98"/>
    </row>
    <row r="5585" spans="20:20" x14ac:dyDescent="0.25">
      <c r="T5585" s="98"/>
    </row>
    <row r="5586" spans="20:20" x14ac:dyDescent="0.25">
      <c r="T5586" s="98"/>
    </row>
    <row r="5587" spans="20:20" x14ac:dyDescent="0.25">
      <c r="T5587" s="98"/>
    </row>
    <row r="5588" spans="20:20" x14ac:dyDescent="0.25">
      <c r="T5588" s="98"/>
    </row>
    <row r="5589" spans="20:20" x14ac:dyDescent="0.25">
      <c r="T5589" s="98"/>
    </row>
    <row r="5590" spans="20:20" x14ac:dyDescent="0.25">
      <c r="T5590" s="98"/>
    </row>
    <row r="5591" spans="20:20" x14ac:dyDescent="0.25">
      <c r="T5591" s="98"/>
    </row>
    <row r="5592" spans="20:20" x14ac:dyDescent="0.25">
      <c r="T5592" s="98"/>
    </row>
    <row r="5593" spans="20:20" x14ac:dyDescent="0.25">
      <c r="T5593" s="98"/>
    </row>
    <row r="5594" spans="20:20" x14ac:dyDescent="0.25">
      <c r="T5594" s="98"/>
    </row>
    <row r="5595" spans="20:20" x14ac:dyDescent="0.25">
      <c r="T5595" s="98"/>
    </row>
    <row r="5596" spans="20:20" x14ac:dyDescent="0.25">
      <c r="T5596" s="98"/>
    </row>
    <row r="5597" spans="20:20" x14ac:dyDescent="0.25">
      <c r="T5597" s="98"/>
    </row>
    <row r="5598" spans="20:20" x14ac:dyDescent="0.25">
      <c r="T5598" s="98"/>
    </row>
    <row r="5599" spans="20:20" x14ac:dyDescent="0.25">
      <c r="T5599" s="98"/>
    </row>
    <row r="5600" spans="20:20" x14ac:dyDescent="0.25">
      <c r="T5600" s="98"/>
    </row>
    <row r="5601" spans="20:20" x14ac:dyDescent="0.25">
      <c r="T5601" s="98"/>
    </row>
    <row r="5602" spans="20:20" x14ac:dyDescent="0.25">
      <c r="T5602" s="98"/>
    </row>
    <row r="5603" spans="20:20" x14ac:dyDescent="0.25">
      <c r="T5603" s="98"/>
    </row>
    <row r="5604" spans="20:20" x14ac:dyDescent="0.25">
      <c r="T5604" s="98"/>
    </row>
    <row r="5605" spans="20:20" x14ac:dyDescent="0.25">
      <c r="T5605" s="98"/>
    </row>
    <row r="5606" spans="20:20" x14ac:dyDescent="0.25">
      <c r="T5606" s="98"/>
    </row>
    <row r="5607" spans="20:20" x14ac:dyDescent="0.25">
      <c r="T5607" s="98"/>
    </row>
    <row r="5608" spans="20:20" x14ac:dyDescent="0.25">
      <c r="T5608" s="98"/>
    </row>
    <row r="5609" spans="20:20" x14ac:dyDescent="0.25">
      <c r="T5609" s="98"/>
    </row>
    <row r="5610" spans="20:20" x14ac:dyDescent="0.25">
      <c r="T5610" s="98"/>
    </row>
    <row r="5611" spans="20:20" x14ac:dyDescent="0.25">
      <c r="T5611" s="98"/>
    </row>
    <row r="5612" spans="20:20" x14ac:dyDescent="0.25">
      <c r="T5612" s="98"/>
    </row>
    <row r="5613" spans="20:20" x14ac:dyDescent="0.25">
      <c r="T5613" s="98"/>
    </row>
    <row r="5614" spans="20:20" x14ac:dyDescent="0.25">
      <c r="T5614" s="98"/>
    </row>
    <row r="5615" spans="20:20" x14ac:dyDescent="0.25">
      <c r="T5615" s="98"/>
    </row>
    <row r="5616" spans="20:20" x14ac:dyDescent="0.25">
      <c r="T5616" s="98"/>
    </row>
    <row r="5617" spans="20:20" x14ac:dyDescent="0.25">
      <c r="T5617" s="98"/>
    </row>
    <row r="5618" spans="20:20" x14ac:dyDescent="0.25">
      <c r="T5618" s="98"/>
    </row>
    <row r="5619" spans="20:20" x14ac:dyDescent="0.25">
      <c r="T5619" s="98"/>
    </row>
    <row r="5620" spans="20:20" x14ac:dyDescent="0.25">
      <c r="T5620" s="98"/>
    </row>
    <row r="5621" spans="20:20" x14ac:dyDescent="0.25">
      <c r="T5621" s="98"/>
    </row>
    <row r="5622" spans="20:20" x14ac:dyDescent="0.25">
      <c r="T5622" s="98"/>
    </row>
    <row r="5623" spans="20:20" x14ac:dyDescent="0.25">
      <c r="T5623" s="98"/>
    </row>
    <row r="5624" spans="20:20" x14ac:dyDescent="0.25">
      <c r="T5624" s="98"/>
    </row>
    <row r="5625" spans="20:20" x14ac:dyDescent="0.25">
      <c r="T5625" s="98"/>
    </row>
    <row r="5626" spans="20:20" x14ac:dyDescent="0.25">
      <c r="T5626" s="98"/>
    </row>
    <row r="5627" spans="20:20" x14ac:dyDescent="0.25">
      <c r="T5627" s="98"/>
    </row>
    <row r="5628" spans="20:20" x14ac:dyDescent="0.25">
      <c r="T5628" s="98"/>
    </row>
    <row r="5629" spans="20:20" x14ac:dyDescent="0.25">
      <c r="T5629" s="98"/>
    </row>
    <row r="5630" spans="20:20" x14ac:dyDescent="0.25">
      <c r="T5630" s="98"/>
    </row>
    <row r="5631" spans="20:20" x14ac:dyDescent="0.25">
      <c r="T5631" s="98"/>
    </row>
    <row r="5632" spans="20:20" x14ac:dyDescent="0.25">
      <c r="T5632" s="98"/>
    </row>
    <row r="5633" spans="20:20" x14ac:dyDescent="0.25">
      <c r="T5633" s="98"/>
    </row>
    <row r="5634" spans="20:20" x14ac:dyDescent="0.25">
      <c r="T5634" s="98"/>
    </row>
    <row r="5635" spans="20:20" x14ac:dyDescent="0.25">
      <c r="T5635" s="98"/>
    </row>
    <row r="5636" spans="20:20" x14ac:dyDescent="0.25">
      <c r="T5636" s="98"/>
    </row>
    <row r="5637" spans="20:20" x14ac:dyDescent="0.25">
      <c r="T5637" s="98"/>
    </row>
    <row r="5638" spans="20:20" x14ac:dyDescent="0.25">
      <c r="T5638" s="98"/>
    </row>
    <row r="5639" spans="20:20" x14ac:dyDescent="0.25">
      <c r="T5639" s="98"/>
    </row>
    <row r="5640" spans="20:20" x14ac:dyDescent="0.25">
      <c r="T5640" s="98"/>
    </row>
    <row r="5641" spans="20:20" x14ac:dyDescent="0.25">
      <c r="T5641" s="98"/>
    </row>
    <row r="5642" spans="20:20" x14ac:dyDescent="0.25">
      <c r="T5642" s="98"/>
    </row>
    <row r="5643" spans="20:20" x14ac:dyDescent="0.25">
      <c r="T5643" s="98"/>
    </row>
    <row r="5644" spans="20:20" x14ac:dyDescent="0.25">
      <c r="T5644" s="98"/>
    </row>
    <row r="5645" spans="20:20" x14ac:dyDescent="0.25">
      <c r="T5645" s="98"/>
    </row>
    <row r="5646" spans="20:20" x14ac:dyDescent="0.25">
      <c r="T5646" s="98"/>
    </row>
    <row r="5647" spans="20:20" x14ac:dyDescent="0.25">
      <c r="T5647" s="98"/>
    </row>
    <row r="5648" spans="20:20" x14ac:dyDescent="0.25">
      <c r="T5648" s="98"/>
    </row>
    <row r="5649" spans="20:20" x14ac:dyDescent="0.25">
      <c r="T5649" s="98"/>
    </row>
    <row r="5650" spans="20:20" x14ac:dyDescent="0.25">
      <c r="T5650" s="98"/>
    </row>
    <row r="5651" spans="20:20" x14ac:dyDescent="0.25">
      <c r="T5651" s="98"/>
    </row>
    <row r="5652" spans="20:20" x14ac:dyDescent="0.25">
      <c r="T5652" s="98"/>
    </row>
    <row r="5653" spans="20:20" x14ac:dyDescent="0.25">
      <c r="T5653" s="98"/>
    </row>
    <row r="5654" spans="20:20" x14ac:dyDescent="0.25">
      <c r="T5654" s="98"/>
    </row>
    <row r="5655" spans="20:20" x14ac:dyDescent="0.25">
      <c r="T5655" s="98"/>
    </row>
    <row r="5656" spans="20:20" x14ac:dyDescent="0.25">
      <c r="T5656" s="98"/>
    </row>
    <row r="5657" spans="20:20" x14ac:dyDescent="0.25">
      <c r="T5657" s="98"/>
    </row>
    <row r="5658" spans="20:20" x14ac:dyDescent="0.25">
      <c r="T5658" s="98"/>
    </row>
    <row r="5659" spans="20:20" x14ac:dyDescent="0.25">
      <c r="T5659" s="98"/>
    </row>
    <row r="5660" spans="20:20" x14ac:dyDescent="0.25">
      <c r="T5660" s="98"/>
    </row>
    <row r="5661" spans="20:20" x14ac:dyDescent="0.25">
      <c r="T5661" s="98"/>
    </row>
    <row r="5662" spans="20:20" x14ac:dyDescent="0.25">
      <c r="T5662" s="98"/>
    </row>
    <row r="5663" spans="20:20" x14ac:dyDescent="0.25">
      <c r="T5663" s="98"/>
    </row>
    <row r="5664" spans="20:20" x14ac:dyDescent="0.25">
      <c r="T5664" s="98"/>
    </row>
    <row r="5665" spans="20:20" x14ac:dyDescent="0.25">
      <c r="T5665" s="98"/>
    </row>
    <row r="5666" spans="20:20" x14ac:dyDescent="0.25">
      <c r="T5666" s="98"/>
    </row>
    <row r="5667" spans="20:20" x14ac:dyDescent="0.25">
      <c r="T5667" s="98"/>
    </row>
    <row r="5668" spans="20:20" x14ac:dyDescent="0.25">
      <c r="T5668" s="98"/>
    </row>
    <row r="5669" spans="20:20" x14ac:dyDescent="0.25">
      <c r="T5669" s="98"/>
    </row>
    <row r="5670" spans="20:20" x14ac:dyDescent="0.25">
      <c r="T5670" s="98"/>
    </row>
    <row r="5671" spans="20:20" x14ac:dyDescent="0.25">
      <c r="T5671" s="98"/>
    </row>
    <row r="5672" spans="20:20" x14ac:dyDescent="0.25">
      <c r="T5672" s="98"/>
    </row>
    <row r="5673" spans="20:20" x14ac:dyDescent="0.25">
      <c r="T5673" s="98"/>
    </row>
    <row r="5674" spans="20:20" x14ac:dyDescent="0.25">
      <c r="T5674" s="98"/>
    </row>
    <row r="5675" spans="20:20" x14ac:dyDescent="0.25">
      <c r="T5675" s="98"/>
    </row>
    <row r="5676" spans="20:20" x14ac:dyDescent="0.25">
      <c r="T5676" s="98"/>
    </row>
    <row r="5677" spans="20:20" x14ac:dyDescent="0.25">
      <c r="T5677" s="98"/>
    </row>
    <row r="5678" spans="20:20" x14ac:dyDescent="0.25">
      <c r="T5678" s="98"/>
    </row>
    <row r="5679" spans="20:20" x14ac:dyDescent="0.25">
      <c r="T5679" s="98"/>
    </row>
    <row r="5680" spans="20:20" x14ac:dyDescent="0.25">
      <c r="T5680" s="98"/>
    </row>
    <row r="5681" spans="20:20" x14ac:dyDescent="0.25">
      <c r="T5681" s="98"/>
    </row>
    <row r="5682" spans="20:20" x14ac:dyDescent="0.25">
      <c r="T5682" s="98"/>
    </row>
    <row r="5683" spans="20:20" x14ac:dyDescent="0.25">
      <c r="T5683" s="98"/>
    </row>
    <row r="5684" spans="20:20" x14ac:dyDescent="0.25">
      <c r="T5684" s="98"/>
    </row>
    <row r="5685" spans="20:20" x14ac:dyDescent="0.25">
      <c r="T5685" s="98"/>
    </row>
    <row r="5686" spans="20:20" x14ac:dyDescent="0.25">
      <c r="T5686" s="98"/>
    </row>
    <row r="5687" spans="20:20" x14ac:dyDescent="0.25">
      <c r="T5687" s="98"/>
    </row>
    <row r="5688" spans="20:20" x14ac:dyDescent="0.25">
      <c r="T5688" s="98"/>
    </row>
    <row r="5689" spans="20:20" x14ac:dyDescent="0.25">
      <c r="T5689" s="98"/>
    </row>
    <row r="5690" spans="20:20" x14ac:dyDescent="0.25">
      <c r="T5690" s="98"/>
    </row>
    <row r="5691" spans="20:20" x14ac:dyDescent="0.25">
      <c r="T5691" s="98"/>
    </row>
    <row r="5692" spans="20:20" x14ac:dyDescent="0.25">
      <c r="T5692" s="98"/>
    </row>
    <row r="5693" spans="20:20" x14ac:dyDescent="0.25">
      <c r="T5693" s="98"/>
    </row>
    <row r="5694" spans="20:20" x14ac:dyDescent="0.25">
      <c r="T5694" s="98"/>
    </row>
    <row r="5695" spans="20:20" x14ac:dyDescent="0.25">
      <c r="T5695" s="98"/>
    </row>
    <row r="5696" spans="20:20" x14ac:dyDescent="0.25">
      <c r="T5696" s="98"/>
    </row>
    <row r="5697" spans="20:20" x14ac:dyDescent="0.25">
      <c r="T5697" s="98"/>
    </row>
    <row r="5698" spans="20:20" x14ac:dyDescent="0.25">
      <c r="T5698" s="98"/>
    </row>
    <row r="5699" spans="20:20" x14ac:dyDescent="0.25">
      <c r="T5699" s="98"/>
    </row>
    <row r="5700" spans="20:20" x14ac:dyDescent="0.25">
      <c r="T5700" s="98"/>
    </row>
    <row r="5701" spans="20:20" x14ac:dyDescent="0.25">
      <c r="T5701" s="98"/>
    </row>
    <row r="5702" spans="20:20" x14ac:dyDescent="0.25">
      <c r="T5702" s="98"/>
    </row>
    <row r="5703" spans="20:20" x14ac:dyDescent="0.25">
      <c r="T5703" s="98"/>
    </row>
    <row r="5704" spans="20:20" x14ac:dyDescent="0.25">
      <c r="T5704" s="98"/>
    </row>
    <row r="5705" spans="20:20" x14ac:dyDescent="0.25">
      <c r="T5705" s="98"/>
    </row>
    <row r="5706" spans="20:20" x14ac:dyDescent="0.25">
      <c r="T5706" s="98"/>
    </row>
    <row r="5707" spans="20:20" x14ac:dyDescent="0.25">
      <c r="T5707" s="98"/>
    </row>
    <row r="5708" spans="20:20" x14ac:dyDescent="0.25">
      <c r="T5708" s="98"/>
    </row>
    <row r="5709" spans="20:20" x14ac:dyDescent="0.25">
      <c r="T5709" s="98"/>
    </row>
    <row r="5710" spans="20:20" x14ac:dyDescent="0.25">
      <c r="T5710" s="98"/>
    </row>
    <row r="5711" spans="20:20" x14ac:dyDescent="0.25">
      <c r="T5711" s="98"/>
    </row>
    <row r="5712" spans="20:20" x14ac:dyDescent="0.25">
      <c r="T5712" s="98"/>
    </row>
    <row r="5713" spans="20:20" x14ac:dyDescent="0.25">
      <c r="T5713" s="98"/>
    </row>
    <row r="5714" spans="20:20" x14ac:dyDescent="0.25">
      <c r="T5714" s="98"/>
    </row>
    <row r="5715" spans="20:20" x14ac:dyDescent="0.25">
      <c r="T5715" s="98"/>
    </row>
    <row r="5716" spans="20:20" x14ac:dyDescent="0.25">
      <c r="T5716" s="98"/>
    </row>
    <row r="5717" spans="20:20" x14ac:dyDescent="0.25">
      <c r="T5717" s="98"/>
    </row>
    <row r="5718" spans="20:20" x14ac:dyDescent="0.25">
      <c r="T5718" s="98"/>
    </row>
    <row r="5719" spans="20:20" x14ac:dyDescent="0.25">
      <c r="T5719" s="98"/>
    </row>
    <row r="5720" spans="20:20" x14ac:dyDescent="0.25">
      <c r="T5720" s="98"/>
    </row>
    <row r="5721" spans="20:20" x14ac:dyDescent="0.25">
      <c r="T5721" s="98"/>
    </row>
    <row r="5722" spans="20:20" x14ac:dyDescent="0.25">
      <c r="T5722" s="98"/>
    </row>
    <row r="5723" spans="20:20" x14ac:dyDescent="0.25">
      <c r="T5723" s="98"/>
    </row>
    <row r="5724" spans="20:20" x14ac:dyDescent="0.25">
      <c r="T5724" s="98"/>
    </row>
    <row r="5725" spans="20:20" x14ac:dyDescent="0.25">
      <c r="T5725" s="98"/>
    </row>
    <row r="5726" spans="20:20" x14ac:dyDescent="0.25">
      <c r="T5726" s="98"/>
    </row>
    <row r="5727" spans="20:20" x14ac:dyDescent="0.25">
      <c r="T5727" s="98"/>
    </row>
    <row r="5728" spans="20:20" x14ac:dyDescent="0.25">
      <c r="T5728" s="98"/>
    </row>
    <row r="5729" spans="20:20" x14ac:dyDescent="0.25">
      <c r="T5729" s="98"/>
    </row>
    <row r="5730" spans="20:20" x14ac:dyDescent="0.25">
      <c r="T5730" s="98"/>
    </row>
    <row r="5731" spans="20:20" x14ac:dyDescent="0.25">
      <c r="T5731" s="98"/>
    </row>
    <row r="5732" spans="20:20" x14ac:dyDescent="0.25">
      <c r="T5732" s="98"/>
    </row>
    <row r="5733" spans="20:20" x14ac:dyDescent="0.25">
      <c r="T5733" s="98"/>
    </row>
    <row r="5734" spans="20:20" x14ac:dyDescent="0.25">
      <c r="T5734" s="98"/>
    </row>
    <row r="5735" spans="20:20" x14ac:dyDescent="0.25">
      <c r="T5735" s="98"/>
    </row>
    <row r="5736" spans="20:20" x14ac:dyDescent="0.25">
      <c r="T5736" s="98"/>
    </row>
    <row r="5737" spans="20:20" x14ac:dyDescent="0.25">
      <c r="T5737" s="98"/>
    </row>
    <row r="5738" spans="20:20" x14ac:dyDescent="0.25">
      <c r="T5738" s="98"/>
    </row>
    <row r="5739" spans="20:20" x14ac:dyDescent="0.25">
      <c r="T5739" s="98"/>
    </row>
    <row r="5740" spans="20:20" x14ac:dyDescent="0.25">
      <c r="T5740" s="98"/>
    </row>
    <row r="5741" spans="20:20" x14ac:dyDescent="0.25">
      <c r="T5741" s="98"/>
    </row>
    <row r="5742" spans="20:20" x14ac:dyDescent="0.25">
      <c r="T5742" s="98"/>
    </row>
    <row r="5743" spans="20:20" x14ac:dyDescent="0.25">
      <c r="T5743" s="98"/>
    </row>
    <row r="5744" spans="20:20" x14ac:dyDescent="0.25">
      <c r="T5744" s="98"/>
    </row>
    <row r="5745" spans="20:20" x14ac:dyDescent="0.25">
      <c r="T5745" s="98"/>
    </row>
    <row r="5746" spans="20:20" x14ac:dyDescent="0.25">
      <c r="T5746" s="98"/>
    </row>
    <row r="5747" spans="20:20" x14ac:dyDescent="0.25">
      <c r="T5747" s="98"/>
    </row>
    <row r="5748" spans="20:20" x14ac:dyDescent="0.25">
      <c r="T5748" s="98"/>
    </row>
    <row r="5749" spans="20:20" x14ac:dyDescent="0.25">
      <c r="T5749" s="98"/>
    </row>
    <row r="5750" spans="20:20" x14ac:dyDescent="0.25">
      <c r="T5750" s="98"/>
    </row>
    <row r="5751" spans="20:20" x14ac:dyDescent="0.25">
      <c r="T5751" s="98"/>
    </row>
    <row r="5752" spans="20:20" x14ac:dyDescent="0.25">
      <c r="T5752" s="98"/>
    </row>
    <row r="5753" spans="20:20" x14ac:dyDescent="0.25">
      <c r="T5753" s="98"/>
    </row>
    <row r="5754" spans="20:20" x14ac:dyDescent="0.25">
      <c r="T5754" s="98"/>
    </row>
    <row r="5755" spans="20:20" x14ac:dyDescent="0.25">
      <c r="T5755" s="98"/>
    </row>
    <row r="5756" spans="20:20" x14ac:dyDescent="0.25">
      <c r="T5756" s="98"/>
    </row>
    <row r="5757" spans="20:20" x14ac:dyDescent="0.25">
      <c r="T5757" s="98"/>
    </row>
    <row r="5758" spans="20:20" x14ac:dyDescent="0.25">
      <c r="T5758" s="98"/>
    </row>
    <row r="5759" spans="20:20" x14ac:dyDescent="0.25">
      <c r="T5759" s="98"/>
    </row>
    <row r="5760" spans="20:20" x14ac:dyDescent="0.25">
      <c r="T5760" s="98"/>
    </row>
    <row r="5761" spans="20:20" x14ac:dyDescent="0.25">
      <c r="T5761" s="98"/>
    </row>
    <row r="5762" spans="20:20" x14ac:dyDescent="0.25">
      <c r="T5762" s="98"/>
    </row>
    <row r="5763" spans="20:20" x14ac:dyDescent="0.25">
      <c r="T5763" s="98"/>
    </row>
    <row r="5764" spans="20:20" x14ac:dyDescent="0.25">
      <c r="T5764" s="98"/>
    </row>
    <row r="5765" spans="20:20" x14ac:dyDescent="0.25">
      <c r="T5765" s="98"/>
    </row>
    <row r="5766" spans="20:20" x14ac:dyDescent="0.25">
      <c r="T5766" s="98"/>
    </row>
    <row r="5767" spans="20:20" x14ac:dyDescent="0.25">
      <c r="T5767" s="98"/>
    </row>
    <row r="5768" spans="20:20" x14ac:dyDescent="0.25">
      <c r="T5768" s="98"/>
    </row>
    <row r="5769" spans="20:20" x14ac:dyDescent="0.25">
      <c r="T5769" s="98"/>
    </row>
    <row r="5770" spans="20:20" x14ac:dyDescent="0.25">
      <c r="T5770" s="98"/>
    </row>
    <row r="5771" spans="20:20" x14ac:dyDescent="0.25">
      <c r="T5771" s="98"/>
    </row>
    <row r="5772" spans="20:20" x14ac:dyDescent="0.25">
      <c r="T5772" s="98"/>
    </row>
    <row r="5773" spans="20:20" x14ac:dyDescent="0.25">
      <c r="T5773" s="98"/>
    </row>
    <row r="5774" spans="20:20" x14ac:dyDescent="0.25">
      <c r="T5774" s="98"/>
    </row>
    <row r="5775" spans="20:20" x14ac:dyDescent="0.25">
      <c r="T5775" s="98"/>
    </row>
    <row r="5776" spans="20:20" x14ac:dyDescent="0.25">
      <c r="T5776" s="98"/>
    </row>
    <row r="5777" spans="20:20" x14ac:dyDescent="0.25">
      <c r="T5777" s="98"/>
    </row>
    <row r="5778" spans="20:20" x14ac:dyDescent="0.25">
      <c r="T5778" s="98"/>
    </row>
    <row r="5779" spans="20:20" x14ac:dyDescent="0.25">
      <c r="T5779" s="98"/>
    </row>
    <row r="5780" spans="20:20" x14ac:dyDescent="0.25">
      <c r="T5780" s="98"/>
    </row>
    <row r="5781" spans="20:20" x14ac:dyDescent="0.25">
      <c r="T5781" s="98"/>
    </row>
    <row r="5782" spans="20:20" x14ac:dyDescent="0.25">
      <c r="T5782" s="98"/>
    </row>
    <row r="5783" spans="20:20" x14ac:dyDescent="0.25">
      <c r="T5783" s="98"/>
    </row>
    <row r="5784" spans="20:20" x14ac:dyDescent="0.25">
      <c r="T5784" s="98"/>
    </row>
    <row r="5785" spans="20:20" x14ac:dyDescent="0.25">
      <c r="T5785" s="98"/>
    </row>
    <row r="5786" spans="20:20" x14ac:dyDescent="0.25">
      <c r="T5786" s="98"/>
    </row>
    <row r="5787" spans="20:20" x14ac:dyDescent="0.25">
      <c r="T5787" s="98"/>
    </row>
    <row r="5788" spans="20:20" x14ac:dyDescent="0.25">
      <c r="T5788" s="98"/>
    </row>
    <row r="5789" spans="20:20" x14ac:dyDescent="0.25">
      <c r="T5789" s="98"/>
    </row>
    <row r="5790" spans="20:20" x14ac:dyDescent="0.25">
      <c r="T5790" s="98"/>
    </row>
    <row r="5791" spans="20:20" x14ac:dyDescent="0.25">
      <c r="T5791" s="98"/>
    </row>
    <row r="5792" spans="20:20" x14ac:dyDescent="0.25">
      <c r="T5792" s="98"/>
    </row>
    <row r="5793" spans="20:20" x14ac:dyDescent="0.25">
      <c r="T5793" s="98"/>
    </row>
    <row r="5794" spans="20:20" x14ac:dyDescent="0.25">
      <c r="T5794" s="98"/>
    </row>
    <row r="5795" spans="20:20" x14ac:dyDescent="0.25">
      <c r="T5795" s="98"/>
    </row>
    <row r="5796" spans="20:20" x14ac:dyDescent="0.25">
      <c r="T5796" s="98"/>
    </row>
    <row r="5797" spans="20:20" x14ac:dyDescent="0.25">
      <c r="T5797" s="98"/>
    </row>
    <row r="5798" spans="20:20" x14ac:dyDescent="0.25">
      <c r="T5798" s="98"/>
    </row>
    <row r="5799" spans="20:20" x14ac:dyDescent="0.25">
      <c r="T5799" s="98"/>
    </row>
    <row r="5800" spans="20:20" x14ac:dyDescent="0.25">
      <c r="T5800" s="98"/>
    </row>
    <row r="5801" spans="20:20" x14ac:dyDescent="0.25">
      <c r="T5801" s="98"/>
    </row>
    <row r="5802" spans="20:20" x14ac:dyDescent="0.25">
      <c r="T5802" s="98"/>
    </row>
    <row r="5803" spans="20:20" x14ac:dyDescent="0.25">
      <c r="T5803" s="98"/>
    </row>
    <row r="5804" spans="20:20" x14ac:dyDescent="0.25">
      <c r="T5804" s="98"/>
    </row>
    <row r="5805" spans="20:20" x14ac:dyDescent="0.25">
      <c r="T5805" s="98"/>
    </row>
    <row r="5806" spans="20:20" x14ac:dyDescent="0.25">
      <c r="T5806" s="98"/>
    </row>
    <row r="5807" spans="20:20" x14ac:dyDescent="0.25">
      <c r="T5807" s="98"/>
    </row>
    <row r="5808" spans="20:20" x14ac:dyDescent="0.25">
      <c r="T5808" s="98"/>
    </row>
    <row r="5809" spans="20:20" x14ac:dyDescent="0.25">
      <c r="T5809" s="98"/>
    </row>
    <row r="5810" spans="20:20" x14ac:dyDescent="0.25">
      <c r="T5810" s="98"/>
    </row>
    <row r="5811" spans="20:20" x14ac:dyDescent="0.25">
      <c r="T5811" s="98"/>
    </row>
    <row r="5812" spans="20:20" x14ac:dyDescent="0.25">
      <c r="T5812" s="98"/>
    </row>
    <row r="5813" spans="20:20" x14ac:dyDescent="0.25">
      <c r="T5813" s="98"/>
    </row>
    <row r="5814" spans="20:20" x14ac:dyDescent="0.25">
      <c r="T5814" s="98"/>
    </row>
    <row r="5815" spans="20:20" x14ac:dyDescent="0.25">
      <c r="T5815" s="98"/>
    </row>
    <row r="5816" spans="20:20" x14ac:dyDescent="0.25">
      <c r="T5816" s="98"/>
    </row>
    <row r="5817" spans="20:20" x14ac:dyDescent="0.25">
      <c r="T5817" s="98"/>
    </row>
    <row r="5818" spans="20:20" x14ac:dyDescent="0.25">
      <c r="T5818" s="98"/>
    </row>
    <row r="5819" spans="20:20" x14ac:dyDescent="0.25">
      <c r="T5819" s="98"/>
    </row>
    <row r="5820" spans="20:20" x14ac:dyDescent="0.25">
      <c r="T5820" s="98"/>
    </row>
    <row r="5821" spans="20:20" x14ac:dyDescent="0.25">
      <c r="T5821" s="98"/>
    </row>
    <row r="5822" spans="20:20" x14ac:dyDescent="0.25">
      <c r="T5822" s="98"/>
    </row>
    <row r="5823" spans="20:20" x14ac:dyDescent="0.25">
      <c r="T5823" s="98"/>
    </row>
    <row r="5824" spans="20:20" x14ac:dyDescent="0.25">
      <c r="T5824" s="98"/>
    </row>
    <row r="5825" spans="20:20" x14ac:dyDescent="0.25">
      <c r="T5825" s="98"/>
    </row>
    <row r="5826" spans="20:20" x14ac:dyDescent="0.25">
      <c r="T5826" s="98"/>
    </row>
    <row r="5827" spans="20:20" x14ac:dyDescent="0.25">
      <c r="T5827" s="98"/>
    </row>
    <row r="5828" spans="20:20" x14ac:dyDescent="0.25">
      <c r="T5828" s="98"/>
    </row>
    <row r="5829" spans="20:20" x14ac:dyDescent="0.25">
      <c r="T5829" s="98"/>
    </row>
    <row r="5830" spans="20:20" x14ac:dyDescent="0.25">
      <c r="T5830" s="98"/>
    </row>
    <row r="5831" spans="20:20" x14ac:dyDescent="0.25">
      <c r="T5831" s="98"/>
    </row>
    <row r="5832" spans="20:20" x14ac:dyDescent="0.25">
      <c r="T5832" s="98"/>
    </row>
    <row r="5833" spans="20:20" x14ac:dyDescent="0.25">
      <c r="T5833" s="98"/>
    </row>
    <row r="5834" spans="20:20" x14ac:dyDescent="0.25">
      <c r="T5834" s="98"/>
    </row>
    <row r="5835" spans="20:20" x14ac:dyDescent="0.25">
      <c r="T5835" s="98"/>
    </row>
    <row r="5836" spans="20:20" x14ac:dyDescent="0.25">
      <c r="T5836" s="98"/>
    </row>
    <row r="5837" spans="20:20" x14ac:dyDescent="0.25">
      <c r="T5837" s="98"/>
    </row>
    <row r="5838" spans="20:20" x14ac:dyDescent="0.25">
      <c r="T5838" s="98"/>
    </row>
    <row r="5839" spans="20:20" x14ac:dyDescent="0.25">
      <c r="T5839" s="98"/>
    </row>
    <row r="5840" spans="20:20" x14ac:dyDescent="0.25">
      <c r="T5840" s="98"/>
    </row>
    <row r="5841" spans="20:20" x14ac:dyDescent="0.25">
      <c r="T5841" s="98"/>
    </row>
    <row r="5842" spans="20:20" x14ac:dyDescent="0.25">
      <c r="T5842" s="98"/>
    </row>
    <row r="5843" spans="20:20" x14ac:dyDescent="0.25">
      <c r="T5843" s="98"/>
    </row>
    <row r="5844" spans="20:20" x14ac:dyDescent="0.25">
      <c r="T5844" s="98"/>
    </row>
    <row r="5845" spans="20:20" x14ac:dyDescent="0.25">
      <c r="T5845" s="98"/>
    </row>
    <row r="5846" spans="20:20" x14ac:dyDescent="0.25">
      <c r="T5846" s="98"/>
    </row>
    <row r="5847" spans="20:20" x14ac:dyDescent="0.25">
      <c r="T5847" s="98"/>
    </row>
    <row r="5848" spans="20:20" x14ac:dyDescent="0.25">
      <c r="T5848" s="98"/>
    </row>
    <row r="5849" spans="20:20" x14ac:dyDescent="0.25">
      <c r="T5849" s="98"/>
    </row>
    <row r="5850" spans="20:20" x14ac:dyDescent="0.25">
      <c r="T5850" s="98"/>
    </row>
    <row r="5851" spans="20:20" x14ac:dyDescent="0.25">
      <c r="T5851" s="98"/>
    </row>
    <row r="5852" spans="20:20" x14ac:dyDescent="0.25">
      <c r="T5852" s="98"/>
    </row>
    <row r="5853" spans="20:20" x14ac:dyDescent="0.25">
      <c r="T5853" s="98"/>
    </row>
    <row r="5854" spans="20:20" x14ac:dyDescent="0.25">
      <c r="T5854" s="98"/>
    </row>
    <row r="5855" spans="20:20" x14ac:dyDescent="0.25">
      <c r="T5855" s="98"/>
    </row>
    <row r="5856" spans="20:20" x14ac:dyDescent="0.25">
      <c r="T5856" s="98"/>
    </row>
    <row r="5857" spans="20:20" x14ac:dyDescent="0.25">
      <c r="T5857" s="98"/>
    </row>
    <row r="5858" spans="20:20" x14ac:dyDescent="0.25">
      <c r="T5858" s="98"/>
    </row>
    <row r="5859" spans="20:20" x14ac:dyDescent="0.25">
      <c r="T5859" s="98"/>
    </row>
    <row r="5860" spans="20:20" x14ac:dyDescent="0.25">
      <c r="T5860" s="98"/>
    </row>
    <row r="5861" spans="20:20" x14ac:dyDescent="0.25">
      <c r="T5861" s="98"/>
    </row>
    <row r="5862" spans="20:20" x14ac:dyDescent="0.25">
      <c r="T5862" s="98"/>
    </row>
    <row r="5863" spans="20:20" x14ac:dyDescent="0.25">
      <c r="T5863" s="98"/>
    </row>
    <row r="5864" spans="20:20" x14ac:dyDescent="0.25">
      <c r="T5864" s="98"/>
    </row>
    <row r="5865" spans="20:20" x14ac:dyDescent="0.25">
      <c r="T5865" s="98"/>
    </row>
    <row r="5866" spans="20:20" x14ac:dyDescent="0.25">
      <c r="T5866" s="98"/>
    </row>
    <row r="5867" spans="20:20" x14ac:dyDescent="0.25">
      <c r="T5867" s="98"/>
    </row>
    <row r="5868" spans="20:20" x14ac:dyDescent="0.25">
      <c r="T5868" s="98"/>
    </row>
    <row r="5869" spans="20:20" x14ac:dyDescent="0.25">
      <c r="T5869" s="98"/>
    </row>
    <row r="5870" spans="20:20" x14ac:dyDescent="0.25">
      <c r="T5870" s="98"/>
    </row>
    <row r="5871" spans="20:20" x14ac:dyDescent="0.25">
      <c r="T5871" s="98"/>
    </row>
    <row r="5872" spans="20:20" x14ac:dyDescent="0.25">
      <c r="T5872" s="98"/>
    </row>
    <row r="5873" spans="20:20" x14ac:dyDescent="0.25">
      <c r="T5873" s="98"/>
    </row>
    <row r="5874" spans="20:20" x14ac:dyDescent="0.25">
      <c r="T5874" s="98"/>
    </row>
    <row r="5875" spans="20:20" x14ac:dyDescent="0.25">
      <c r="T5875" s="98"/>
    </row>
    <row r="5876" spans="20:20" x14ac:dyDescent="0.25">
      <c r="T5876" s="98"/>
    </row>
    <row r="5877" spans="20:20" x14ac:dyDescent="0.25">
      <c r="T5877" s="98"/>
    </row>
    <row r="5878" spans="20:20" x14ac:dyDescent="0.25">
      <c r="T5878" s="98"/>
    </row>
    <row r="5879" spans="20:20" x14ac:dyDescent="0.25">
      <c r="T5879" s="98"/>
    </row>
    <row r="5880" spans="20:20" x14ac:dyDescent="0.25">
      <c r="T5880" s="98"/>
    </row>
    <row r="5881" spans="20:20" x14ac:dyDescent="0.25">
      <c r="T5881" s="98"/>
    </row>
    <row r="5882" spans="20:20" x14ac:dyDescent="0.25">
      <c r="T5882" s="98"/>
    </row>
    <row r="5883" spans="20:20" x14ac:dyDescent="0.25">
      <c r="T5883" s="98"/>
    </row>
    <row r="5884" spans="20:20" x14ac:dyDescent="0.25">
      <c r="T5884" s="98"/>
    </row>
    <row r="5885" spans="20:20" x14ac:dyDescent="0.25">
      <c r="T5885" s="98"/>
    </row>
    <row r="5886" spans="20:20" x14ac:dyDescent="0.25">
      <c r="T5886" s="98"/>
    </row>
    <row r="5887" spans="20:20" x14ac:dyDescent="0.25">
      <c r="T5887" s="98"/>
    </row>
    <row r="5888" spans="20:20" x14ac:dyDescent="0.25">
      <c r="T5888" s="98"/>
    </row>
    <row r="5889" spans="20:20" x14ac:dyDescent="0.25">
      <c r="T5889" s="98"/>
    </row>
    <row r="5890" spans="20:20" x14ac:dyDescent="0.25">
      <c r="T5890" s="98"/>
    </row>
    <row r="5891" spans="20:20" x14ac:dyDescent="0.25">
      <c r="T5891" s="98"/>
    </row>
    <row r="5892" spans="20:20" x14ac:dyDescent="0.25">
      <c r="T5892" s="98"/>
    </row>
    <row r="5893" spans="20:20" x14ac:dyDescent="0.25">
      <c r="T5893" s="98"/>
    </row>
    <row r="5894" spans="20:20" x14ac:dyDescent="0.25">
      <c r="T5894" s="98"/>
    </row>
    <row r="5895" spans="20:20" x14ac:dyDescent="0.25">
      <c r="T5895" s="98"/>
    </row>
    <row r="5896" spans="20:20" x14ac:dyDescent="0.25">
      <c r="T5896" s="98"/>
    </row>
    <row r="5897" spans="20:20" x14ac:dyDescent="0.25">
      <c r="T5897" s="98"/>
    </row>
    <row r="5898" spans="20:20" x14ac:dyDescent="0.25">
      <c r="T5898" s="98"/>
    </row>
    <row r="5899" spans="20:20" x14ac:dyDescent="0.25">
      <c r="T5899" s="98"/>
    </row>
    <row r="5900" spans="20:20" x14ac:dyDescent="0.25">
      <c r="T5900" s="98"/>
    </row>
    <row r="5901" spans="20:20" x14ac:dyDescent="0.25">
      <c r="T5901" s="98"/>
    </row>
    <row r="5902" spans="20:20" x14ac:dyDescent="0.25">
      <c r="T5902" s="98"/>
    </row>
    <row r="5903" spans="20:20" x14ac:dyDescent="0.25">
      <c r="T5903" s="98"/>
    </row>
    <row r="5904" spans="20:20" x14ac:dyDescent="0.25">
      <c r="T5904" s="98"/>
    </row>
    <row r="5905" spans="20:20" x14ac:dyDescent="0.25">
      <c r="T5905" s="98"/>
    </row>
    <row r="5906" spans="20:20" x14ac:dyDescent="0.25">
      <c r="T5906" s="98"/>
    </row>
    <row r="5907" spans="20:20" x14ac:dyDescent="0.25">
      <c r="T5907" s="98"/>
    </row>
    <row r="5908" spans="20:20" x14ac:dyDescent="0.25">
      <c r="T5908" s="98"/>
    </row>
    <row r="5909" spans="20:20" x14ac:dyDescent="0.25">
      <c r="T5909" s="98"/>
    </row>
    <row r="5910" spans="20:20" x14ac:dyDescent="0.25">
      <c r="T5910" s="98"/>
    </row>
    <row r="5911" spans="20:20" x14ac:dyDescent="0.25">
      <c r="T5911" s="98"/>
    </row>
    <row r="5912" spans="20:20" x14ac:dyDescent="0.25">
      <c r="T5912" s="98"/>
    </row>
    <row r="5913" spans="20:20" x14ac:dyDescent="0.25">
      <c r="T5913" s="98"/>
    </row>
    <row r="5914" spans="20:20" x14ac:dyDescent="0.25">
      <c r="T5914" s="98"/>
    </row>
    <row r="5915" spans="20:20" x14ac:dyDescent="0.25">
      <c r="T5915" s="98"/>
    </row>
    <row r="5916" spans="20:20" x14ac:dyDescent="0.25">
      <c r="T5916" s="98"/>
    </row>
    <row r="5917" spans="20:20" x14ac:dyDescent="0.25">
      <c r="T5917" s="98"/>
    </row>
    <row r="5918" spans="20:20" x14ac:dyDescent="0.25">
      <c r="T5918" s="98"/>
    </row>
    <row r="5919" spans="20:20" x14ac:dyDescent="0.25">
      <c r="T5919" s="98"/>
    </row>
    <row r="5920" spans="20:20" x14ac:dyDescent="0.25">
      <c r="T5920" s="98"/>
    </row>
    <row r="5921" spans="20:20" x14ac:dyDescent="0.25">
      <c r="T5921" s="98"/>
    </row>
    <row r="5922" spans="20:20" x14ac:dyDescent="0.25">
      <c r="T5922" s="98"/>
    </row>
    <row r="5923" spans="20:20" x14ac:dyDescent="0.25">
      <c r="T5923" s="98"/>
    </row>
    <row r="5924" spans="20:20" x14ac:dyDescent="0.25">
      <c r="T5924" s="98"/>
    </row>
    <row r="5925" spans="20:20" x14ac:dyDescent="0.25">
      <c r="T5925" s="98"/>
    </row>
    <row r="5926" spans="20:20" x14ac:dyDescent="0.25">
      <c r="T5926" s="98"/>
    </row>
    <row r="5927" spans="20:20" x14ac:dyDescent="0.25">
      <c r="T5927" s="98"/>
    </row>
    <row r="5928" spans="20:20" x14ac:dyDescent="0.25">
      <c r="T5928" s="98"/>
    </row>
    <row r="5929" spans="20:20" x14ac:dyDescent="0.25">
      <c r="T5929" s="98"/>
    </row>
    <row r="5930" spans="20:20" x14ac:dyDescent="0.25">
      <c r="T5930" s="98"/>
    </row>
    <row r="5931" spans="20:20" x14ac:dyDescent="0.25">
      <c r="T5931" s="98"/>
    </row>
    <row r="5932" spans="20:20" x14ac:dyDescent="0.25">
      <c r="T5932" s="98"/>
    </row>
    <row r="5933" spans="20:20" x14ac:dyDescent="0.25">
      <c r="T5933" s="98"/>
    </row>
    <row r="5934" spans="20:20" x14ac:dyDescent="0.25">
      <c r="T5934" s="98"/>
    </row>
    <row r="5935" spans="20:20" x14ac:dyDescent="0.25">
      <c r="T5935" s="98"/>
    </row>
    <row r="5936" spans="20:20" x14ac:dyDescent="0.25">
      <c r="T5936" s="98"/>
    </row>
    <row r="5937" spans="20:20" x14ac:dyDescent="0.25">
      <c r="T5937" s="98"/>
    </row>
    <row r="5938" spans="20:20" x14ac:dyDescent="0.25">
      <c r="T5938" s="98"/>
    </row>
    <row r="5939" spans="20:20" x14ac:dyDescent="0.25">
      <c r="T5939" s="98"/>
    </row>
    <row r="5940" spans="20:20" x14ac:dyDescent="0.25">
      <c r="T5940" s="98"/>
    </row>
    <row r="5941" spans="20:20" x14ac:dyDescent="0.25">
      <c r="T5941" s="98"/>
    </row>
    <row r="5942" spans="20:20" x14ac:dyDescent="0.25">
      <c r="T5942" s="98"/>
    </row>
    <row r="5943" spans="20:20" x14ac:dyDescent="0.25">
      <c r="T5943" s="98"/>
    </row>
    <row r="5944" spans="20:20" x14ac:dyDescent="0.25">
      <c r="T5944" s="98"/>
    </row>
    <row r="5945" spans="20:20" x14ac:dyDescent="0.25">
      <c r="T5945" s="98"/>
    </row>
    <row r="5946" spans="20:20" x14ac:dyDescent="0.25">
      <c r="T5946" s="98"/>
    </row>
    <row r="5947" spans="20:20" x14ac:dyDescent="0.25">
      <c r="T5947" s="98"/>
    </row>
    <row r="5948" spans="20:20" x14ac:dyDescent="0.25">
      <c r="T5948" s="98"/>
    </row>
    <row r="5949" spans="20:20" x14ac:dyDescent="0.25">
      <c r="T5949" s="98"/>
    </row>
    <row r="5950" spans="20:20" x14ac:dyDescent="0.25">
      <c r="T5950" s="98"/>
    </row>
    <row r="5951" spans="20:20" x14ac:dyDescent="0.25">
      <c r="T5951" s="98"/>
    </row>
    <row r="5952" spans="20:20" x14ac:dyDescent="0.25">
      <c r="T5952" s="98"/>
    </row>
    <row r="5953" spans="20:20" x14ac:dyDescent="0.25">
      <c r="T5953" s="98"/>
    </row>
    <row r="5954" spans="20:20" x14ac:dyDescent="0.25">
      <c r="T5954" s="98"/>
    </row>
    <row r="5955" spans="20:20" x14ac:dyDescent="0.25">
      <c r="T5955" s="98"/>
    </row>
    <row r="5956" spans="20:20" x14ac:dyDescent="0.25">
      <c r="T5956" s="98"/>
    </row>
    <row r="5957" spans="20:20" x14ac:dyDescent="0.25">
      <c r="T5957" s="98"/>
    </row>
    <row r="5958" spans="20:20" x14ac:dyDescent="0.25">
      <c r="T5958" s="98"/>
    </row>
    <row r="5959" spans="20:20" x14ac:dyDescent="0.25">
      <c r="T5959" s="98"/>
    </row>
    <row r="5960" spans="20:20" x14ac:dyDescent="0.25">
      <c r="T5960" s="98"/>
    </row>
    <row r="5961" spans="20:20" x14ac:dyDescent="0.25">
      <c r="T5961" s="98"/>
    </row>
    <row r="5962" spans="20:20" x14ac:dyDescent="0.25">
      <c r="T5962" s="98"/>
    </row>
    <row r="5963" spans="20:20" x14ac:dyDescent="0.25">
      <c r="T5963" s="98"/>
    </row>
    <row r="5964" spans="20:20" x14ac:dyDescent="0.25">
      <c r="T5964" s="98"/>
    </row>
    <row r="5965" spans="20:20" x14ac:dyDescent="0.25">
      <c r="T5965" s="98"/>
    </row>
    <row r="5966" spans="20:20" x14ac:dyDescent="0.25">
      <c r="T5966" s="98"/>
    </row>
    <row r="5967" spans="20:20" x14ac:dyDescent="0.25">
      <c r="T5967" s="98"/>
    </row>
    <row r="5968" spans="20:20" x14ac:dyDescent="0.25">
      <c r="T5968" s="98"/>
    </row>
    <row r="5969" spans="20:20" x14ac:dyDescent="0.25">
      <c r="T5969" s="98"/>
    </row>
    <row r="5970" spans="20:20" x14ac:dyDescent="0.25">
      <c r="T5970" s="98"/>
    </row>
    <row r="5971" spans="20:20" x14ac:dyDescent="0.25">
      <c r="T5971" s="98"/>
    </row>
    <row r="5972" spans="20:20" x14ac:dyDescent="0.25">
      <c r="T5972" s="98"/>
    </row>
    <row r="5973" spans="20:20" x14ac:dyDescent="0.25">
      <c r="T5973" s="98"/>
    </row>
    <row r="5974" spans="20:20" x14ac:dyDescent="0.25">
      <c r="T5974" s="98"/>
    </row>
    <row r="5975" spans="20:20" x14ac:dyDescent="0.25">
      <c r="T5975" s="98"/>
    </row>
    <row r="5976" spans="20:20" x14ac:dyDescent="0.25">
      <c r="T5976" s="98"/>
    </row>
    <row r="5977" spans="20:20" x14ac:dyDescent="0.25">
      <c r="T5977" s="98"/>
    </row>
    <row r="5978" spans="20:20" x14ac:dyDescent="0.25">
      <c r="T5978" s="98"/>
    </row>
    <row r="5979" spans="20:20" x14ac:dyDescent="0.25">
      <c r="T5979" s="98"/>
    </row>
    <row r="5980" spans="20:20" x14ac:dyDescent="0.25">
      <c r="T5980" s="98"/>
    </row>
    <row r="5981" spans="20:20" x14ac:dyDescent="0.25">
      <c r="T5981" s="98"/>
    </row>
    <row r="5982" spans="20:20" x14ac:dyDescent="0.25">
      <c r="T5982" s="98"/>
    </row>
    <row r="5983" spans="20:20" x14ac:dyDescent="0.25">
      <c r="T5983" s="98"/>
    </row>
    <row r="5984" spans="20:20" x14ac:dyDescent="0.25">
      <c r="T5984" s="98"/>
    </row>
    <row r="5985" spans="20:20" x14ac:dyDescent="0.25">
      <c r="T5985" s="98"/>
    </row>
    <row r="5986" spans="20:20" x14ac:dyDescent="0.25">
      <c r="T5986" s="98"/>
    </row>
    <row r="5987" spans="20:20" x14ac:dyDescent="0.25">
      <c r="T5987" s="98"/>
    </row>
    <row r="5988" spans="20:20" x14ac:dyDescent="0.25">
      <c r="T5988" s="98"/>
    </row>
    <row r="5989" spans="20:20" x14ac:dyDescent="0.25">
      <c r="T5989" s="98"/>
    </row>
    <row r="5990" spans="20:20" x14ac:dyDescent="0.25">
      <c r="T5990" s="98"/>
    </row>
    <row r="5991" spans="20:20" x14ac:dyDescent="0.25">
      <c r="T5991" s="98"/>
    </row>
    <row r="5992" spans="20:20" x14ac:dyDescent="0.25">
      <c r="T5992" s="98"/>
    </row>
    <row r="5993" spans="20:20" x14ac:dyDescent="0.25">
      <c r="T5993" s="98"/>
    </row>
    <row r="5994" spans="20:20" x14ac:dyDescent="0.25">
      <c r="T5994" s="98"/>
    </row>
    <row r="5995" spans="20:20" x14ac:dyDescent="0.25">
      <c r="T5995" s="98"/>
    </row>
    <row r="5996" spans="20:20" x14ac:dyDescent="0.25">
      <c r="T5996" s="98"/>
    </row>
    <row r="5997" spans="20:20" x14ac:dyDescent="0.25">
      <c r="T5997" s="98"/>
    </row>
    <row r="5998" spans="20:20" x14ac:dyDescent="0.25">
      <c r="T5998" s="98"/>
    </row>
    <row r="5999" spans="20:20" x14ac:dyDescent="0.25">
      <c r="T5999" s="98"/>
    </row>
    <row r="6000" spans="20:20" x14ac:dyDescent="0.25">
      <c r="T6000" s="98"/>
    </row>
    <row r="6001" spans="20:20" x14ac:dyDescent="0.25">
      <c r="T6001" s="98"/>
    </row>
    <row r="6002" spans="20:20" x14ac:dyDescent="0.25">
      <c r="T6002" s="98"/>
    </row>
    <row r="6003" spans="20:20" x14ac:dyDescent="0.25">
      <c r="T6003" s="98"/>
    </row>
    <row r="6004" spans="20:20" x14ac:dyDescent="0.25">
      <c r="T6004" s="98"/>
    </row>
    <row r="6005" spans="20:20" x14ac:dyDescent="0.25">
      <c r="T6005" s="98"/>
    </row>
    <row r="6006" spans="20:20" x14ac:dyDescent="0.25">
      <c r="T6006" s="98"/>
    </row>
    <row r="6007" spans="20:20" x14ac:dyDescent="0.25">
      <c r="T6007" s="98"/>
    </row>
    <row r="6008" spans="20:20" x14ac:dyDescent="0.25">
      <c r="T6008" s="98"/>
    </row>
    <row r="6009" spans="20:20" x14ac:dyDescent="0.25">
      <c r="T6009" s="98"/>
    </row>
    <row r="6010" spans="20:20" x14ac:dyDescent="0.25">
      <c r="T6010" s="98"/>
    </row>
    <row r="6011" spans="20:20" x14ac:dyDescent="0.25">
      <c r="T6011" s="98"/>
    </row>
    <row r="6012" spans="20:20" x14ac:dyDescent="0.25">
      <c r="T6012" s="98"/>
    </row>
    <row r="6013" spans="20:20" x14ac:dyDescent="0.25">
      <c r="T6013" s="98"/>
    </row>
    <row r="6014" spans="20:20" x14ac:dyDescent="0.25">
      <c r="T6014" s="98"/>
    </row>
    <row r="6015" spans="20:20" x14ac:dyDescent="0.25">
      <c r="T6015" s="98"/>
    </row>
    <row r="6016" spans="20:20" x14ac:dyDescent="0.25">
      <c r="T6016" s="98"/>
    </row>
    <row r="6017" spans="20:20" x14ac:dyDescent="0.25">
      <c r="T6017" s="98"/>
    </row>
    <row r="6018" spans="20:20" x14ac:dyDescent="0.25">
      <c r="T6018" s="98"/>
    </row>
    <row r="6019" spans="20:20" x14ac:dyDescent="0.25">
      <c r="T6019" s="98"/>
    </row>
    <row r="6020" spans="20:20" x14ac:dyDescent="0.25">
      <c r="T6020" s="98"/>
    </row>
    <row r="6021" spans="20:20" x14ac:dyDescent="0.25">
      <c r="T6021" s="98"/>
    </row>
    <row r="6022" spans="20:20" x14ac:dyDescent="0.25">
      <c r="T6022" s="98"/>
    </row>
    <row r="6023" spans="20:20" x14ac:dyDescent="0.25">
      <c r="T6023" s="98"/>
    </row>
    <row r="6024" spans="20:20" x14ac:dyDescent="0.25">
      <c r="T6024" s="98"/>
    </row>
    <row r="6025" spans="20:20" x14ac:dyDescent="0.25">
      <c r="T6025" s="98"/>
    </row>
    <row r="6026" spans="20:20" x14ac:dyDescent="0.25">
      <c r="T6026" s="98"/>
    </row>
    <row r="6027" spans="20:20" x14ac:dyDescent="0.25">
      <c r="T6027" s="98"/>
    </row>
    <row r="6028" spans="20:20" x14ac:dyDescent="0.25">
      <c r="T6028" s="98"/>
    </row>
    <row r="6029" spans="20:20" x14ac:dyDescent="0.25">
      <c r="T6029" s="98"/>
    </row>
    <row r="6030" spans="20:20" x14ac:dyDescent="0.25">
      <c r="T6030" s="98"/>
    </row>
    <row r="6031" spans="20:20" x14ac:dyDescent="0.25">
      <c r="T6031" s="98"/>
    </row>
    <row r="6032" spans="20:20" x14ac:dyDescent="0.25">
      <c r="T6032" s="98"/>
    </row>
    <row r="6033" spans="20:20" x14ac:dyDescent="0.25">
      <c r="T6033" s="98"/>
    </row>
    <row r="6034" spans="20:20" x14ac:dyDescent="0.25">
      <c r="T6034" s="98"/>
    </row>
    <row r="6035" spans="20:20" x14ac:dyDescent="0.25">
      <c r="T6035" s="98"/>
    </row>
    <row r="6036" spans="20:20" x14ac:dyDescent="0.25">
      <c r="T6036" s="98"/>
    </row>
    <row r="6037" spans="20:20" x14ac:dyDescent="0.25">
      <c r="T6037" s="98"/>
    </row>
    <row r="6038" spans="20:20" x14ac:dyDescent="0.25">
      <c r="T6038" s="98"/>
    </row>
    <row r="6039" spans="20:20" x14ac:dyDescent="0.25">
      <c r="T6039" s="98"/>
    </row>
    <row r="6040" spans="20:20" x14ac:dyDescent="0.25">
      <c r="T6040" s="98"/>
    </row>
    <row r="6041" spans="20:20" x14ac:dyDescent="0.25">
      <c r="T6041" s="98"/>
    </row>
    <row r="6042" spans="20:20" x14ac:dyDescent="0.25">
      <c r="T6042" s="98"/>
    </row>
    <row r="6043" spans="20:20" x14ac:dyDescent="0.25">
      <c r="T6043" s="98"/>
    </row>
    <row r="6044" spans="20:20" x14ac:dyDescent="0.25">
      <c r="T6044" s="98"/>
    </row>
    <row r="6045" spans="20:20" x14ac:dyDescent="0.25">
      <c r="T6045" s="98"/>
    </row>
    <row r="6046" spans="20:20" x14ac:dyDescent="0.25">
      <c r="T6046" s="98"/>
    </row>
    <row r="6047" spans="20:20" x14ac:dyDescent="0.25">
      <c r="T6047" s="98"/>
    </row>
    <row r="6048" spans="20:20" x14ac:dyDescent="0.25">
      <c r="T6048" s="98"/>
    </row>
    <row r="6049" spans="20:20" x14ac:dyDescent="0.25">
      <c r="T6049" s="98"/>
    </row>
    <row r="6050" spans="20:20" x14ac:dyDescent="0.25">
      <c r="T6050" s="98"/>
    </row>
    <row r="6051" spans="20:20" x14ac:dyDescent="0.25">
      <c r="T6051" s="98"/>
    </row>
    <row r="6052" spans="20:20" x14ac:dyDescent="0.25">
      <c r="T6052" s="98"/>
    </row>
    <row r="6053" spans="20:20" x14ac:dyDescent="0.25">
      <c r="T6053" s="98"/>
    </row>
    <row r="6054" spans="20:20" x14ac:dyDescent="0.25">
      <c r="T6054" s="98"/>
    </row>
    <row r="6055" spans="20:20" x14ac:dyDescent="0.25">
      <c r="T6055" s="98"/>
    </row>
    <row r="6056" spans="20:20" x14ac:dyDescent="0.25">
      <c r="T6056" s="98"/>
    </row>
    <row r="6057" spans="20:20" x14ac:dyDescent="0.25">
      <c r="T6057" s="98"/>
    </row>
    <row r="6058" spans="20:20" x14ac:dyDescent="0.25">
      <c r="T6058" s="98"/>
    </row>
    <row r="6059" spans="20:20" x14ac:dyDescent="0.25">
      <c r="T6059" s="98"/>
    </row>
    <row r="6060" spans="20:20" x14ac:dyDescent="0.25">
      <c r="T6060" s="98"/>
    </row>
    <row r="6061" spans="20:20" x14ac:dyDescent="0.25">
      <c r="T6061" s="98"/>
    </row>
    <row r="6062" spans="20:20" x14ac:dyDescent="0.25">
      <c r="T6062" s="98"/>
    </row>
    <row r="6063" spans="20:20" x14ac:dyDescent="0.25">
      <c r="T6063" s="98"/>
    </row>
    <row r="6064" spans="20:20" x14ac:dyDescent="0.25">
      <c r="T6064" s="98"/>
    </row>
    <row r="6065" spans="20:20" x14ac:dyDescent="0.25">
      <c r="T6065" s="98"/>
    </row>
    <row r="6066" spans="20:20" x14ac:dyDescent="0.25">
      <c r="T6066" s="98"/>
    </row>
    <row r="6067" spans="20:20" x14ac:dyDescent="0.25">
      <c r="T6067" s="98"/>
    </row>
    <row r="6068" spans="20:20" x14ac:dyDescent="0.25">
      <c r="T6068" s="98"/>
    </row>
    <row r="6069" spans="20:20" x14ac:dyDescent="0.25">
      <c r="T6069" s="98"/>
    </row>
    <row r="6070" spans="20:20" x14ac:dyDescent="0.25">
      <c r="T6070" s="98"/>
    </row>
    <row r="6071" spans="20:20" x14ac:dyDescent="0.25">
      <c r="T6071" s="98"/>
    </row>
    <row r="6072" spans="20:20" x14ac:dyDescent="0.25">
      <c r="T6072" s="98"/>
    </row>
    <row r="6073" spans="20:20" x14ac:dyDescent="0.25">
      <c r="T6073" s="98"/>
    </row>
    <row r="6074" spans="20:20" x14ac:dyDescent="0.25">
      <c r="T6074" s="98"/>
    </row>
    <row r="6075" spans="20:20" x14ac:dyDescent="0.25">
      <c r="T6075" s="98"/>
    </row>
    <row r="6076" spans="20:20" x14ac:dyDescent="0.25">
      <c r="T6076" s="98"/>
    </row>
    <row r="6077" spans="20:20" x14ac:dyDescent="0.25">
      <c r="T6077" s="98"/>
    </row>
    <row r="6078" spans="20:20" x14ac:dyDescent="0.25">
      <c r="T6078" s="98"/>
    </row>
    <row r="6079" spans="20:20" x14ac:dyDescent="0.25">
      <c r="T6079" s="98"/>
    </row>
    <row r="6080" spans="20:20" x14ac:dyDescent="0.25">
      <c r="T6080" s="98"/>
    </row>
    <row r="6081" spans="20:20" x14ac:dyDescent="0.25">
      <c r="T6081" s="98"/>
    </row>
    <row r="6082" spans="20:20" x14ac:dyDescent="0.25">
      <c r="T6082" s="98"/>
    </row>
    <row r="6083" spans="20:20" x14ac:dyDescent="0.25">
      <c r="T6083" s="98"/>
    </row>
    <row r="6084" spans="20:20" x14ac:dyDescent="0.25">
      <c r="T6084" s="98"/>
    </row>
    <row r="6085" spans="20:20" x14ac:dyDescent="0.25">
      <c r="T6085" s="98"/>
    </row>
    <row r="6086" spans="20:20" x14ac:dyDescent="0.25">
      <c r="T6086" s="98"/>
    </row>
    <row r="6087" spans="20:20" x14ac:dyDescent="0.25">
      <c r="T6087" s="98"/>
    </row>
    <row r="6088" spans="20:20" x14ac:dyDescent="0.25">
      <c r="T6088" s="98"/>
    </row>
    <row r="6089" spans="20:20" x14ac:dyDescent="0.25">
      <c r="T6089" s="98"/>
    </row>
    <row r="6090" spans="20:20" x14ac:dyDescent="0.25">
      <c r="T6090" s="98"/>
    </row>
    <row r="6091" spans="20:20" x14ac:dyDescent="0.25">
      <c r="T6091" s="98"/>
    </row>
    <row r="6092" spans="20:20" x14ac:dyDescent="0.25">
      <c r="T6092" s="98"/>
    </row>
    <row r="6093" spans="20:20" x14ac:dyDescent="0.25">
      <c r="T6093" s="98"/>
    </row>
    <row r="6094" spans="20:20" x14ac:dyDescent="0.25">
      <c r="T6094" s="98"/>
    </row>
    <row r="6095" spans="20:20" x14ac:dyDescent="0.25">
      <c r="T6095" s="98"/>
    </row>
    <row r="6096" spans="20:20" x14ac:dyDescent="0.25">
      <c r="T6096" s="98"/>
    </row>
    <row r="6097" spans="20:20" x14ac:dyDescent="0.25">
      <c r="T6097" s="98"/>
    </row>
    <row r="6098" spans="20:20" x14ac:dyDescent="0.25">
      <c r="T6098" s="98"/>
    </row>
    <row r="6099" spans="20:20" x14ac:dyDescent="0.25">
      <c r="T6099" s="98"/>
    </row>
    <row r="6100" spans="20:20" x14ac:dyDescent="0.25">
      <c r="T6100" s="98"/>
    </row>
    <row r="6101" spans="20:20" x14ac:dyDescent="0.25">
      <c r="T6101" s="98"/>
    </row>
    <row r="6102" spans="20:20" x14ac:dyDescent="0.25">
      <c r="T6102" s="98"/>
    </row>
    <row r="6103" spans="20:20" x14ac:dyDescent="0.25">
      <c r="T6103" s="98"/>
    </row>
    <row r="6104" spans="20:20" x14ac:dyDescent="0.25">
      <c r="T6104" s="98"/>
    </row>
    <row r="6105" spans="20:20" x14ac:dyDescent="0.25">
      <c r="T6105" s="98"/>
    </row>
    <row r="6106" spans="20:20" x14ac:dyDescent="0.25">
      <c r="T6106" s="98"/>
    </row>
    <row r="6107" spans="20:20" x14ac:dyDescent="0.25">
      <c r="T6107" s="98"/>
    </row>
    <row r="6108" spans="20:20" x14ac:dyDescent="0.25">
      <c r="T6108" s="98"/>
    </row>
    <row r="6109" spans="20:20" x14ac:dyDescent="0.25">
      <c r="T6109" s="98"/>
    </row>
    <row r="6110" spans="20:20" x14ac:dyDescent="0.25">
      <c r="T6110" s="98"/>
    </row>
    <row r="6111" spans="20:20" x14ac:dyDescent="0.25">
      <c r="T6111" s="98"/>
    </row>
    <row r="6112" spans="20:20" x14ac:dyDescent="0.25">
      <c r="T6112" s="98"/>
    </row>
    <row r="6113" spans="20:20" x14ac:dyDescent="0.25">
      <c r="T6113" s="98"/>
    </row>
    <row r="6114" spans="20:20" x14ac:dyDescent="0.25">
      <c r="T6114" s="98"/>
    </row>
    <row r="6115" spans="20:20" x14ac:dyDescent="0.25">
      <c r="T6115" s="98"/>
    </row>
    <row r="6116" spans="20:20" x14ac:dyDescent="0.25">
      <c r="T6116" s="98"/>
    </row>
    <row r="6117" spans="20:20" x14ac:dyDescent="0.25">
      <c r="T6117" s="98"/>
    </row>
    <row r="6118" spans="20:20" x14ac:dyDescent="0.25">
      <c r="T6118" s="98"/>
    </row>
    <row r="6119" spans="20:20" x14ac:dyDescent="0.25">
      <c r="T6119" s="98"/>
    </row>
    <row r="6120" spans="20:20" x14ac:dyDescent="0.25">
      <c r="T6120" s="98"/>
    </row>
    <row r="6121" spans="20:20" x14ac:dyDescent="0.25">
      <c r="T6121" s="98"/>
    </row>
    <row r="6122" spans="20:20" x14ac:dyDescent="0.25">
      <c r="T6122" s="98"/>
    </row>
    <row r="6123" spans="20:20" x14ac:dyDescent="0.25">
      <c r="T6123" s="98"/>
    </row>
    <row r="6124" spans="20:20" x14ac:dyDescent="0.25">
      <c r="T6124" s="98"/>
    </row>
    <row r="6125" spans="20:20" x14ac:dyDescent="0.25">
      <c r="T6125" s="98"/>
    </row>
    <row r="6126" spans="20:20" x14ac:dyDescent="0.25">
      <c r="T6126" s="98"/>
    </row>
    <row r="6127" spans="20:20" x14ac:dyDescent="0.25">
      <c r="T6127" s="98"/>
    </row>
    <row r="6128" spans="20:20" x14ac:dyDescent="0.25">
      <c r="T6128" s="98"/>
    </row>
    <row r="6129" spans="20:20" x14ac:dyDescent="0.25">
      <c r="T6129" s="98"/>
    </row>
    <row r="6130" spans="20:20" x14ac:dyDescent="0.25">
      <c r="T6130" s="98"/>
    </row>
    <row r="6131" spans="20:20" x14ac:dyDescent="0.25">
      <c r="T6131" s="98"/>
    </row>
    <row r="6132" spans="20:20" x14ac:dyDescent="0.25">
      <c r="T6132" s="98"/>
    </row>
    <row r="6133" spans="20:20" x14ac:dyDescent="0.25">
      <c r="T6133" s="98"/>
    </row>
    <row r="6134" spans="20:20" x14ac:dyDescent="0.25">
      <c r="T6134" s="98"/>
    </row>
    <row r="6135" spans="20:20" x14ac:dyDescent="0.25">
      <c r="T6135" s="98"/>
    </row>
    <row r="6136" spans="20:20" x14ac:dyDescent="0.25">
      <c r="T6136" s="98"/>
    </row>
    <row r="6137" spans="20:20" x14ac:dyDescent="0.25">
      <c r="T6137" s="98"/>
    </row>
    <row r="6138" spans="20:20" x14ac:dyDescent="0.25">
      <c r="T6138" s="98"/>
    </row>
    <row r="6139" spans="20:20" x14ac:dyDescent="0.25">
      <c r="T6139" s="98"/>
    </row>
    <row r="6140" spans="20:20" x14ac:dyDescent="0.25">
      <c r="T6140" s="98"/>
    </row>
    <row r="6141" spans="20:20" x14ac:dyDescent="0.25">
      <c r="T6141" s="98"/>
    </row>
    <row r="6142" spans="20:20" x14ac:dyDescent="0.25">
      <c r="T6142" s="98"/>
    </row>
    <row r="6143" spans="20:20" x14ac:dyDescent="0.25">
      <c r="T6143" s="98"/>
    </row>
    <row r="6144" spans="20:20" x14ac:dyDescent="0.25">
      <c r="T6144" s="98"/>
    </row>
    <row r="6145" spans="20:20" x14ac:dyDescent="0.25">
      <c r="T6145" s="98"/>
    </row>
    <row r="6146" spans="20:20" x14ac:dyDescent="0.25">
      <c r="T6146" s="98"/>
    </row>
    <row r="6147" spans="20:20" x14ac:dyDescent="0.25">
      <c r="T6147" s="98"/>
    </row>
    <row r="6148" spans="20:20" x14ac:dyDescent="0.25">
      <c r="T6148" s="98"/>
    </row>
    <row r="6149" spans="20:20" x14ac:dyDescent="0.25">
      <c r="T6149" s="98"/>
    </row>
    <row r="6150" spans="20:20" x14ac:dyDescent="0.25">
      <c r="T6150" s="98"/>
    </row>
    <row r="6151" spans="20:20" x14ac:dyDescent="0.25">
      <c r="T6151" s="98"/>
    </row>
    <row r="6152" spans="20:20" x14ac:dyDescent="0.25">
      <c r="T6152" s="98"/>
    </row>
    <row r="6153" spans="20:20" x14ac:dyDescent="0.25">
      <c r="T6153" s="98"/>
    </row>
    <row r="6154" spans="20:20" x14ac:dyDescent="0.25">
      <c r="T6154" s="98"/>
    </row>
    <row r="6155" spans="20:20" x14ac:dyDescent="0.25">
      <c r="T6155" s="98"/>
    </row>
    <row r="6156" spans="20:20" x14ac:dyDescent="0.25">
      <c r="T6156" s="98"/>
    </row>
    <row r="6157" spans="20:20" x14ac:dyDescent="0.25">
      <c r="T6157" s="98"/>
    </row>
    <row r="6158" spans="20:20" x14ac:dyDescent="0.25">
      <c r="T6158" s="98"/>
    </row>
    <row r="6159" spans="20:20" x14ac:dyDescent="0.25">
      <c r="T6159" s="98"/>
    </row>
    <row r="6160" spans="20:20" x14ac:dyDescent="0.25">
      <c r="T6160" s="98"/>
    </row>
    <row r="6161" spans="20:20" x14ac:dyDescent="0.25">
      <c r="T6161" s="98"/>
    </row>
    <row r="6162" spans="20:20" x14ac:dyDescent="0.25">
      <c r="T6162" s="98"/>
    </row>
    <row r="6163" spans="20:20" x14ac:dyDescent="0.25">
      <c r="T6163" s="98"/>
    </row>
    <row r="6164" spans="20:20" x14ac:dyDescent="0.25">
      <c r="T6164" s="98"/>
    </row>
    <row r="6165" spans="20:20" x14ac:dyDescent="0.25">
      <c r="T6165" s="98"/>
    </row>
    <row r="6166" spans="20:20" x14ac:dyDescent="0.25">
      <c r="T6166" s="98"/>
    </row>
    <row r="6167" spans="20:20" x14ac:dyDescent="0.25">
      <c r="T6167" s="98"/>
    </row>
    <row r="6168" spans="20:20" x14ac:dyDescent="0.25">
      <c r="T6168" s="98"/>
    </row>
    <row r="6169" spans="20:20" x14ac:dyDescent="0.25">
      <c r="T6169" s="98"/>
    </row>
    <row r="6170" spans="20:20" x14ac:dyDescent="0.25">
      <c r="T6170" s="98"/>
    </row>
    <row r="6171" spans="20:20" x14ac:dyDescent="0.25">
      <c r="T6171" s="98"/>
    </row>
    <row r="6172" spans="20:20" x14ac:dyDescent="0.25">
      <c r="T6172" s="98"/>
    </row>
    <row r="6173" spans="20:20" x14ac:dyDescent="0.25">
      <c r="T6173" s="98"/>
    </row>
    <row r="6174" spans="20:20" x14ac:dyDescent="0.25">
      <c r="T6174" s="98"/>
    </row>
    <row r="6175" spans="20:20" x14ac:dyDescent="0.25">
      <c r="T6175" s="98"/>
    </row>
    <row r="6176" spans="20:20" x14ac:dyDescent="0.25">
      <c r="T6176" s="98"/>
    </row>
    <row r="6177" spans="20:20" x14ac:dyDescent="0.25">
      <c r="T6177" s="98"/>
    </row>
    <row r="6178" spans="20:20" x14ac:dyDescent="0.25">
      <c r="T6178" s="98"/>
    </row>
    <row r="6179" spans="20:20" x14ac:dyDescent="0.25">
      <c r="T6179" s="98"/>
    </row>
    <row r="6180" spans="20:20" x14ac:dyDescent="0.25">
      <c r="T6180" s="98"/>
    </row>
    <row r="6181" spans="20:20" x14ac:dyDescent="0.25">
      <c r="T6181" s="98"/>
    </row>
    <row r="6182" spans="20:20" x14ac:dyDescent="0.25">
      <c r="T6182" s="98"/>
    </row>
    <row r="6183" spans="20:20" x14ac:dyDescent="0.25">
      <c r="T6183" s="98"/>
    </row>
    <row r="6184" spans="20:20" x14ac:dyDescent="0.25">
      <c r="T6184" s="98"/>
    </row>
    <row r="6185" spans="20:20" x14ac:dyDescent="0.25">
      <c r="T6185" s="98"/>
    </row>
    <row r="6186" spans="20:20" x14ac:dyDescent="0.25">
      <c r="T6186" s="98"/>
    </row>
    <row r="6187" spans="20:20" x14ac:dyDescent="0.25">
      <c r="T6187" s="98"/>
    </row>
    <row r="6188" spans="20:20" x14ac:dyDescent="0.25">
      <c r="T6188" s="98"/>
    </row>
    <row r="6189" spans="20:20" x14ac:dyDescent="0.25">
      <c r="T6189" s="98"/>
    </row>
    <row r="6190" spans="20:20" x14ac:dyDescent="0.25">
      <c r="T6190" s="98"/>
    </row>
    <row r="6191" spans="20:20" x14ac:dyDescent="0.25">
      <c r="T6191" s="98"/>
    </row>
    <row r="6192" spans="20:20" x14ac:dyDescent="0.25">
      <c r="T6192" s="98"/>
    </row>
    <row r="6193" spans="20:20" x14ac:dyDescent="0.25">
      <c r="T6193" s="98"/>
    </row>
    <row r="6194" spans="20:20" x14ac:dyDescent="0.25">
      <c r="T6194" s="98"/>
    </row>
    <row r="6195" spans="20:20" x14ac:dyDescent="0.25">
      <c r="T6195" s="98"/>
    </row>
    <row r="6196" spans="20:20" x14ac:dyDescent="0.25">
      <c r="T6196" s="98"/>
    </row>
    <row r="6197" spans="20:20" x14ac:dyDescent="0.25">
      <c r="T6197" s="98"/>
    </row>
    <row r="6198" spans="20:20" x14ac:dyDescent="0.25">
      <c r="T6198" s="98"/>
    </row>
    <row r="6199" spans="20:20" x14ac:dyDescent="0.25">
      <c r="T6199" s="98"/>
    </row>
    <row r="6200" spans="20:20" x14ac:dyDescent="0.25">
      <c r="T6200" s="98"/>
    </row>
    <row r="6201" spans="20:20" x14ac:dyDescent="0.25">
      <c r="T6201" s="98"/>
    </row>
    <row r="6202" spans="20:20" x14ac:dyDescent="0.25">
      <c r="T6202" s="98"/>
    </row>
    <row r="6203" spans="20:20" x14ac:dyDescent="0.25">
      <c r="T6203" s="98"/>
    </row>
    <row r="6204" spans="20:20" x14ac:dyDescent="0.25">
      <c r="T6204" s="98"/>
    </row>
    <row r="6205" spans="20:20" x14ac:dyDescent="0.25">
      <c r="T6205" s="98"/>
    </row>
    <row r="6206" spans="20:20" x14ac:dyDescent="0.25">
      <c r="T6206" s="98"/>
    </row>
    <row r="6207" spans="20:20" x14ac:dyDescent="0.25">
      <c r="T6207" s="98"/>
    </row>
    <row r="6208" spans="20:20" x14ac:dyDescent="0.25">
      <c r="T6208" s="98"/>
    </row>
    <row r="6209" spans="20:20" x14ac:dyDescent="0.25">
      <c r="T6209" s="98"/>
    </row>
    <row r="6210" spans="20:20" x14ac:dyDescent="0.25">
      <c r="T6210" s="98"/>
    </row>
    <row r="6211" spans="20:20" x14ac:dyDescent="0.25">
      <c r="T6211" s="98"/>
    </row>
    <row r="6212" spans="20:20" x14ac:dyDescent="0.25">
      <c r="T6212" s="98"/>
    </row>
    <row r="6213" spans="20:20" x14ac:dyDescent="0.25">
      <c r="T6213" s="98"/>
    </row>
    <row r="6214" spans="20:20" x14ac:dyDescent="0.25">
      <c r="T6214" s="98"/>
    </row>
    <row r="6215" spans="20:20" x14ac:dyDescent="0.25">
      <c r="T6215" s="98"/>
    </row>
    <row r="6216" spans="20:20" x14ac:dyDescent="0.25">
      <c r="T6216" s="98"/>
    </row>
    <row r="6217" spans="20:20" x14ac:dyDescent="0.25">
      <c r="T6217" s="98"/>
    </row>
    <row r="6218" spans="20:20" x14ac:dyDescent="0.25">
      <c r="T6218" s="98"/>
    </row>
    <row r="6219" spans="20:20" x14ac:dyDescent="0.25">
      <c r="T6219" s="98"/>
    </row>
    <row r="6220" spans="20:20" x14ac:dyDescent="0.25">
      <c r="T6220" s="98"/>
    </row>
    <row r="6221" spans="20:20" x14ac:dyDescent="0.25">
      <c r="T6221" s="98"/>
    </row>
    <row r="6222" spans="20:20" x14ac:dyDescent="0.25">
      <c r="T6222" s="98"/>
    </row>
    <row r="6223" spans="20:20" x14ac:dyDescent="0.25">
      <c r="T6223" s="98"/>
    </row>
    <row r="6224" spans="20:20" x14ac:dyDescent="0.25">
      <c r="T6224" s="98"/>
    </row>
    <row r="6225" spans="20:20" x14ac:dyDescent="0.25">
      <c r="T6225" s="98"/>
    </row>
    <row r="6226" spans="20:20" x14ac:dyDescent="0.25">
      <c r="T6226" s="98"/>
    </row>
    <row r="6227" spans="20:20" x14ac:dyDescent="0.25">
      <c r="T6227" s="98"/>
    </row>
    <row r="6228" spans="20:20" x14ac:dyDescent="0.25">
      <c r="T6228" s="98"/>
    </row>
    <row r="6229" spans="20:20" x14ac:dyDescent="0.25">
      <c r="T6229" s="98"/>
    </row>
    <row r="6230" spans="20:20" x14ac:dyDescent="0.25">
      <c r="T6230" s="98"/>
    </row>
    <row r="6231" spans="20:20" x14ac:dyDescent="0.25">
      <c r="T6231" s="98"/>
    </row>
    <row r="6232" spans="20:20" x14ac:dyDescent="0.25">
      <c r="T6232" s="98"/>
    </row>
    <row r="6233" spans="20:20" x14ac:dyDescent="0.25">
      <c r="T6233" s="98"/>
    </row>
    <row r="6234" spans="20:20" x14ac:dyDescent="0.25">
      <c r="T6234" s="98"/>
    </row>
    <row r="6235" spans="20:20" x14ac:dyDescent="0.25">
      <c r="T6235" s="98"/>
    </row>
    <row r="6236" spans="20:20" x14ac:dyDescent="0.25">
      <c r="T6236" s="98"/>
    </row>
    <row r="6237" spans="20:20" x14ac:dyDescent="0.25">
      <c r="T6237" s="98"/>
    </row>
    <row r="6238" spans="20:20" x14ac:dyDescent="0.25">
      <c r="T6238" s="98"/>
    </row>
    <row r="6239" spans="20:20" x14ac:dyDescent="0.25">
      <c r="T6239" s="98"/>
    </row>
    <row r="6240" spans="20:20" x14ac:dyDescent="0.25">
      <c r="T6240" s="98"/>
    </row>
    <row r="6241" spans="20:20" x14ac:dyDescent="0.25">
      <c r="T6241" s="98"/>
    </row>
    <row r="6242" spans="20:20" x14ac:dyDescent="0.25">
      <c r="T6242" s="98"/>
    </row>
    <row r="6243" spans="20:20" x14ac:dyDescent="0.25">
      <c r="T6243" s="98"/>
    </row>
    <row r="6244" spans="20:20" x14ac:dyDescent="0.25">
      <c r="T6244" s="98"/>
    </row>
    <row r="6245" spans="20:20" x14ac:dyDescent="0.25">
      <c r="T6245" s="98"/>
    </row>
    <row r="6246" spans="20:20" x14ac:dyDescent="0.25">
      <c r="T6246" s="98"/>
    </row>
    <row r="6247" spans="20:20" x14ac:dyDescent="0.25">
      <c r="T6247" s="98"/>
    </row>
    <row r="6248" spans="20:20" x14ac:dyDescent="0.25">
      <c r="T6248" s="98"/>
    </row>
    <row r="6249" spans="20:20" x14ac:dyDescent="0.25">
      <c r="T6249" s="98"/>
    </row>
    <row r="6250" spans="20:20" x14ac:dyDescent="0.25">
      <c r="T6250" s="98"/>
    </row>
    <row r="6251" spans="20:20" x14ac:dyDescent="0.25">
      <c r="T6251" s="98"/>
    </row>
    <row r="6252" spans="20:20" x14ac:dyDescent="0.25">
      <c r="T6252" s="98"/>
    </row>
    <row r="6253" spans="20:20" x14ac:dyDescent="0.25">
      <c r="T6253" s="98"/>
    </row>
    <row r="6254" spans="20:20" x14ac:dyDescent="0.25">
      <c r="T6254" s="98"/>
    </row>
    <row r="6255" spans="20:20" x14ac:dyDescent="0.25">
      <c r="T6255" s="98"/>
    </row>
    <row r="6256" spans="20:20" x14ac:dyDescent="0.25">
      <c r="T6256" s="98"/>
    </row>
    <row r="6257" spans="20:20" x14ac:dyDescent="0.25">
      <c r="T6257" s="98"/>
    </row>
    <row r="6258" spans="20:20" x14ac:dyDescent="0.25">
      <c r="T6258" s="98"/>
    </row>
    <row r="6259" spans="20:20" x14ac:dyDescent="0.25">
      <c r="T6259" s="98"/>
    </row>
    <row r="6260" spans="20:20" x14ac:dyDescent="0.25">
      <c r="T6260" s="98"/>
    </row>
    <row r="6261" spans="20:20" x14ac:dyDescent="0.25">
      <c r="T6261" s="98"/>
    </row>
    <row r="6262" spans="20:20" x14ac:dyDescent="0.25">
      <c r="T6262" s="98"/>
    </row>
    <row r="6263" spans="20:20" x14ac:dyDescent="0.25">
      <c r="T6263" s="98"/>
    </row>
    <row r="6264" spans="20:20" x14ac:dyDescent="0.25">
      <c r="T6264" s="98"/>
    </row>
    <row r="6265" spans="20:20" x14ac:dyDescent="0.25">
      <c r="T6265" s="98"/>
    </row>
    <row r="6266" spans="20:20" x14ac:dyDescent="0.25">
      <c r="T6266" s="98"/>
    </row>
    <row r="6267" spans="20:20" x14ac:dyDescent="0.25">
      <c r="T6267" s="98"/>
    </row>
    <row r="6268" spans="20:20" x14ac:dyDescent="0.25">
      <c r="T6268" s="98"/>
    </row>
    <row r="6269" spans="20:20" x14ac:dyDescent="0.25">
      <c r="T6269" s="98"/>
    </row>
    <row r="6270" spans="20:20" x14ac:dyDescent="0.25">
      <c r="T6270" s="98"/>
    </row>
    <row r="6271" spans="20:20" x14ac:dyDescent="0.25">
      <c r="T6271" s="98"/>
    </row>
    <row r="6272" spans="20:20" x14ac:dyDescent="0.25">
      <c r="T6272" s="98"/>
    </row>
    <row r="6273" spans="20:20" x14ac:dyDescent="0.25">
      <c r="T6273" s="98"/>
    </row>
    <row r="6274" spans="20:20" x14ac:dyDescent="0.25">
      <c r="T6274" s="98"/>
    </row>
    <row r="6275" spans="20:20" x14ac:dyDescent="0.25">
      <c r="T6275" s="98"/>
    </row>
    <row r="6276" spans="20:20" x14ac:dyDescent="0.25">
      <c r="T6276" s="98"/>
    </row>
    <row r="6277" spans="20:20" x14ac:dyDescent="0.25">
      <c r="T6277" s="98"/>
    </row>
    <row r="6278" spans="20:20" x14ac:dyDescent="0.25">
      <c r="T6278" s="98"/>
    </row>
    <row r="6279" spans="20:20" x14ac:dyDescent="0.25">
      <c r="T6279" s="98"/>
    </row>
    <row r="6280" spans="20:20" x14ac:dyDescent="0.25">
      <c r="T6280" s="98"/>
    </row>
    <row r="6281" spans="20:20" x14ac:dyDescent="0.25">
      <c r="T6281" s="98"/>
    </row>
    <row r="6282" spans="20:20" x14ac:dyDescent="0.25">
      <c r="T6282" s="98"/>
    </row>
    <row r="6283" spans="20:20" x14ac:dyDescent="0.25">
      <c r="T6283" s="98"/>
    </row>
    <row r="6284" spans="20:20" x14ac:dyDescent="0.25">
      <c r="T6284" s="98"/>
    </row>
    <row r="6285" spans="20:20" x14ac:dyDescent="0.25">
      <c r="T6285" s="98"/>
    </row>
    <row r="6286" spans="20:20" x14ac:dyDescent="0.25">
      <c r="T6286" s="98"/>
    </row>
    <row r="6287" spans="20:20" x14ac:dyDescent="0.25">
      <c r="T6287" s="98"/>
    </row>
    <row r="6288" spans="20:20" x14ac:dyDescent="0.25">
      <c r="T6288" s="98"/>
    </row>
    <row r="6289" spans="20:20" x14ac:dyDescent="0.25">
      <c r="T6289" s="98"/>
    </row>
    <row r="6290" spans="20:20" x14ac:dyDescent="0.25">
      <c r="T6290" s="98"/>
    </row>
    <row r="6291" spans="20:20" x14ac:dyDescent="0.25">
      <c r="T6291" s="98"/>
    </row>
    <row r="6292" spans="20:20" x14ac:dyDescent="0.25">
      <c r="T6292" s="98"/>
    </row>
    <row r="6293" spans="20:20" x14ac:dyDescent="0.25">
      <c r="T6293" s="98"/>
    </row>
    <row r="6294" spans="20:20" x14ac:dyDescent="0.25">
      <c r="T6294" s="98"/>
    </row>
    <row r="6295" spans="20:20" x14ac:dyDescent="0.25">
      <c r="T6295" s="98"/>
    </row>
    <row r="6296" spans="20:20" x14ac:dyDescent="0.25">
      <c r="T6296" s="98"/>
    </row>
    <row r="6297" spans="20:20" x14ac:dyDescent="0.25">
      <c r="T6297" s="98"/>
    </row>
    <row r="6298" spans="20:20" x14ac:dyDescent="0.25">
      <c r="T6298" s="98"/>
    </row>
    <row r="6299" spans="20:20" x14ac:dyDescent="0.25">
      <c r="T6299" s="98"/>
    </row>
    <row r="6300" spans="20:20" x14ac:dyDescent="0.25">
      <c r="T6300" s="98"/>
    </row>
    <row r="6301" spans="20:20" x14ac:dyDescent="0.25">
      <c r="T6301" s="98"/>
    </row>
    <row r="6302" spans="20:20" x14ac:dyDescent="0.25">
      <c r="T6302" s="98"/>
    </row>
    <row r="6303" spans="20:20" x14ac:dyDescent="0.25">
      <c r="T6303" s="98"/>
    </row>
    <row r="6304" spans="20:20" x14ac:dyDescent="0.25">
      <c r="T6304" s="98"/>
    </row>
    <row r="6305" spans="20:20" x14ac:dyDescent="0.25">
      <c r="T6305" s="98"/>
    </row>
    <row r="6306" spans="20:20" x14ac:dyDescent="0.25">
      <c r="T6306" s="98"/>
    </row>
    <row r="6307" spans="20:20" x14ac:dyDescent="0.25">
      <c r="T6307" s="98"/>
    </row>
    <row r="6308" spans="20:20" x14ac:dyDescent="0.25">
      <c r="T6308" s="98"/>
    </row>
    <row r="6309" spans="20:20" x14ac:dyDescent="0.25">
      <c r="T6309" s="98"/>
    </row>
    <row r="6310" spans="20:20" x14ac:dyDescent="0.25">
      <c r="T6310" s="98"/>
    </row>
    <row r="6311" spans="20:20" x14ac:dyDescent="0.25">
      <c r="T6311" s="98"/>
    </row>
    <row r="6312" spans="20:20" x14ac:dyDescent="0.25">
      <c r="T6312" s="98"/>
    </row>
    <row r="6313" spans="20:20" x14ac:dyDescent="0.25">
      <c r="T6313" s="98"/>
    </row>
    <row r="6314" spans="20:20" x14ac:dyDescent="0.25">
      <c r="T6314" s="98"/>
    </row>
    <row r="6315" spans="20:20" x14ac:dyDescent="0.25">
      <c r="T6315" s="98"/>
    </row>
    <row r="6316" spans="20:20" x14ac:dyDescent="0.25">
      <c r="T6316" s="98"/>
    </row>
    <row r="6317" spans="20:20" x14ac:dyDescent="0.25">
      <c r="T6317" s="98"/>
    </row>
    <row r="6318" spans="20:20" x14ac:dyDescent="0.25">
      <c r="T6318" s="98"/>
    </row>
    <row r="6319" spans="20:20" x14ac:dyDescent="0.25">
      <c r="T6319" s="98"/>
    </row>
    <row r="6320" spans="20:20" x14ac:dyDescent="0.25">
      <c r="T6320" s="98"/>
    </row>
    <row r="6321" spans="20:20" x14ac:dyDescent="0.25">
      <c r="T6321" s="98"/>
    </row>
    <row r="6322" spans="20:20" x14ac:dyDescent="0.25">
      <c r="T6322" s="98"/>
    </row>
    <row r="6323" spans="20:20" x14ac:dyDescent="0.25">
      <c r="T6323" s="98"/>
    </row>
    <row r="6324" spans="20:20" x14ac:dyDescent="0.25">
      <c r="T6324" s="98"/>
    </row>
    <row r="6325" spans="20:20" x14ac:dyDescent="0.25">
      <c r="T6325" s="98"/>
    </row>
    <row r="6326" spans="20:20" x14ac:dyDescent="0.25">
      <c r="T6326" s="98"/>
    </row>
    <row r="6327" spans="20:20" x14ac:dyDescent="0.25">
      <c r="T6327" s="98"/>
    </row>
    <row r="6328" spans="20:20" x14ac:dyDescent="0.25">
      <c r="T6328" s="98"/>
    </row>
    <row r="6329" spans="20:20" x14ac:dyDescent="0.25">
      <c r="T6329" s="98"/>
    </row>
    <row r="6330" spans="20:20" x14ac:dyDescent="0.25">
      <c r="T6330" s="98"/>
    </row>
    <row r="6331" spans="20:20" x14ac:dyDescent="0.25">
      <c r="T6331" s="98"/>
    </row>
    <row r="6332" spans="20:20" x14ac:dyDescent="0.25">
      <c r="T6332" s="98"/>
    </row>
    <row r="6333" spans="20:20" x14ac:dyDescent="0.25">
      <c r="T6333" s="98"/>
    </row>
    <row r="6334" spans="20:20" x14ac:dyDescent="0.25">
      <c r="T6334" s="98"/>
    </row>
    <row r="6335" spans="20:20" x14ac:dyDescent="0.25">
      <c r="T6335" s="98"/>
    </row>
    <row r="6336" spans="20:20" x14ac:dyDescent="0.25">
      <c r="T6336" s="98"/>
    </row>
    <row r="6337" spans="20:20" x14ac:dyDescent="0.25">
      <c r="T6337" s="98"/>
    </row>
    <row r="6338" spans="20:20" x14ac:dyDescent="0.25">
      <c r="T6338" s="98"/>
    </row>
    <row r="6339" spans="20:20" x14ac:dyDescent="0.25">
      <c r="T6339" s="98"/>
    </row>
    <row r="6340" spans="20:20" x14ac:dyDescent="0.25">
      <c r="T6340" s="98"/>
    </row>
    <row r="6341" spans="20:20" x14ac:dyDescent="0.25">
      <c r="T6341" s="98"/>
    </row>
    <row r="6342" spans="20:20" x14ac:dyDescent="0.25">
      <c r="T6342" s="98"/>
    </row>
    <row r="6343" spans="20:20" x14ac:dyDescent="0.25">
      <c r="T6343" s="98"/>
    </row>
    <row r="6344" spans="20:20" x14ac:dyDescent="0.25">
      <c r="T6344" s="98"/>
    </row>
    <row r="6345" spans="20:20" x14ac:dyDescent="0.25">
      <c r="T6345" s="98"/>
    </row>
    <row r="6346" spans="20:20" x14ac:dyDescent="0.25">
      <c r="T6346" s="98"/>
    </row>
    <row r="6347" spans="20:20" x14ac:dyDescent="0.25">
      <c r="T6347" s="98"/>
    </row>
    <row r="6348" spans="20:20" x14ac:dyDescent="0.25">
      <c r="T6348" s="98"/>
    </row>
    <row r="6349" spans="20:20" x14ac:dyDescent="0.25">
      <c r="T6349" s="98"/>
    </row>
    <row r="6350" spans="20:20" x14ac:dyDescent="0.25">
      <c r="T6350" s="98"/>
    </row>
    <row r="6351" spans="20:20" x14ac:dyDescent="0.25">
      <c r="T6351" s="98"/>
    </row>
    <row r="6352" spans="20:20" x14ac:dyDescent="0.25">
      <c r="T6352" s="98"/>
    </row>
    <row r="6353" spans="20:20" x14ac:dyDescent="0.25">
      <c r="T6353" s="98"/>
    </row>
    <row r="6354" spans="20:20" x14ac:dyDescent="0.25">
      <c r="T6354" s="98"/>
    </row>
    <row r="6355" spans="20:20" x14ac:dyDescent="0.25">
      <c r="T6355" s="98"/>
    </row>
    <row r="6356" spans="20:20" x14ac:dyDescent="0.25">
      <c r="T6356" s="98"/>
    </row>
    <row r="6357" spans="20:20" x14ac:dyDescent="0.25">
      <c r="T6357" s="98"/>
    </row>
    <row r="6358" spans="20:20" x14ac:dyDescent="0.25">
      <c r="T6358" s="98"/>
    </row>
    <row r="6359" spans="20:20" x14ac:dyDescent="0.25">
      <c r="T6359" s="98"/>
    </row>
    <row r="6360" spans="20:20" x14ac:dyDescent="0.25">
      <c r="T6360" s="98"/>
    </row>
    <row r="6361" spans="20:20" x14ac:dyDescent="0.25">
      <c r="T6361" s="98"/>
    </row>
    <row r="6362" spans="20:20" x14ac:dyDescent="0.25">
      <c r="T6362" s="98"/>
    </row>
    <row r="6363" spans="20:20" x14ac:dyDescent="0.25">
      <c r="T6363" s="98"/>
    </row>
    <row r="6364" spans="20:20" x14ac:dyDescent="0.25">
      <c r="T6364" s="98"/>
    </row>
    <row r="6365" spans="20:20" x14ac:dyDescent="0.25">
      <c r="T6365" s="98"/>
    </row>
    <row r="6366" spans="20:20" x14ac:dyDescent="0.25">
      <c r="T6366" s="98"/>
    </row>
    <row r="6367" spans="20:20" x14ac:dyDescent="0.25">
      <c r="T6367" s="98"/>
    </row>
    <row r="6368" spans="20:20" x14ac:dyDescent="0.25">
      <c r="T6368" s="98"/>
    </row>
    <row r="6369" spans="20:20" x14ac:dyDescent="0.25">
      <c r="T6369" s="98"/>
    </row>
    <row r="6370" spans="20:20" x14ac:dyDescent="0.25">
      <c r="T6370" s="98"/>
    </row>
    <row r="6371" spans="20:20" x14ac:dyDescent="0.25">
      <c r="T6371" s="98"/>
    </row>
    <row r="6372" spans="20:20" x14ac:dyDescent="0.25">
      <c r="T6372" s="98"/>
    </row>
    <row r="6373" spans="20:20" x14ac:dyDescent="0.25">
      <c r="T6373" s="98"/>
    </row>
    <row r="6374" spans="20:20" x14ac:dyDescent="0.25">
      <c r="T6374" s="98"/>
    </row>
    <row r="6375" spans="20:20" x14ac:dyDescent="0.25">
      <c r="T6375" s="98"/>
    </row>
    <row r="6376" spans="20:20" x14ac:dyDescent="0.25">
      <c r="T6376" s="98"/>
    </row>
    <row r="6377" spans="20:20" x14ac:dyDescent="0.25">
      <c r="T6377" s="98"/>
    </row>
    <row r="6378" spans="20:20" x14ac:dyDescent="0.25">
      <c r="T6378" s="98"/>
    </row>
    <row r="6379" spans="20:20" x14ac:dyDescent="0.25">
      <c r="T6379" s="98"/>
    </row>
    <row r="6380" spans="20:20" x14ac:dyDescent="0.25">
      <c r="T6380" s="98"/>
    </row>
    <row r="6381" spans="20:20" x14ac:dyDescent="0.25">
      <c r="T6381" s="98"/>
    </row>
    <row r="6382" spans="20:20" x14ac:dyDescent="0.25">
      <c r="T6382" s="98"/>
    </row>
    <row r="6383" spans="20:20" x14ac:dyDescent="0.25">
      <c r="T6383" s="98"/>
    </row>
    <row r="6384" spans="20:20" x14ac:dyDescent="0.25">
      <c r="T6384" s="98"/>
    </row>
    <row r="6385" spans="20:20" x14ac:dyDescent="0.25">
      <c r="T6385" s="98"/>
    </row>
    <row r="6386" spans="20:20" x14ac:dyDescent="0.25">
      <c r="T6386" s="98"/>
    </row>
    <row r="6387" spans="20:20" x14ac:dyDescent="0.25">
      <c r="T6387" s="98"/>
    </row>
    <row r="6388" spans="20:20" x14ac:dyDescent="0.25">
      <c r="T6388" s="98"/>
    </row>
    <row r="6389" spans="20:20" x14ac:dyDescent="0.25">
      <c r="T6389" s="98"/>
    </row>
    <row r="6390" spans="20:20" x14ac:dyDescent="0.25">
      <c r="T6390" s="98"/>
    </row>
    <row r="6391" spans="20:20" x14ac:dyDescent="0.25">
      <c r="T6391" s="98"/>
    </row>
    <row r="6392" spans="20:20" x14ac:dyDescent="0.25">
      <c r="T6392" s="98"/>
    </row>
    <row r="6393" spans="20:20" x14ac:dyDescent="0.25">
      <c r="T6393" s="98"/>
    </row>
    <row r="6394" spans="20:20" x14ac:dyDescent="0.25">
      <c r="T6394" s="98"/>
    </row>
    <row r="6395" spans="20:20" x14ac:dyDescent="0.25">
      <c r="T6395" s="98"/>
    </row>
    <row r="6396" spans="20:20" x14ac:dyDescent="0.25">
      <c r="T6396" s="98"/>
    </row>
    <row r="6397" spans="20:20" x14ac:dyDescent="0.25">
      <c r="T6397" s="98"/>
    </row>
    <row r="6398" spans="20:20" x14ac:dyDescent="0.25">
      <c r="T6398" s="98"/>
    </row>
    <row r="6399" spans="20:20" x14ac:dyDescent="0.25">
      <c r="T6399" s="98"/>
    </row>
    <row r="6400" spans="20:20" x14ac:dyDescent="0.25">
      <c r="T6400" s="98"/>
    </row>
    <row r="6401" spans="20:20" x14ac:dyDescent="0.25">
      <c r="T6401" s="98"/>
    </row>
    <row r="6402" spans="20:20" x14ac:dyDescent="0.25">
      <c r="T6402" s="98"/>
    </row>
    <row r="6403" spans="20:20" x14ac:dyDescent="0.25">
      <c r="T6403" s="98"/>
    </row>
    <row r="6404" spans="20:20" x14ac:dyDescent="0.25">
      <c r="T6404" s="98"/>
    </row>
    <row r="6405" spans="20:20" x14ac:dyDescent="0.25">
      <c r="T6405" s="98"/>
    </row>
    <row r="6406" spans="20:20" x14ac:dyDescent="0.25">
      <c r="T6406" s="98"/>
    </row>
    <row r="6407" spans="20:20" x14ac:dyDescent="0.25">
      <c r="T6407" s="98"/>
    </row>
    <row r="6408" spans="20:20" x14ac:dyDescent="0.25">
      <c r="T6408" s="98"/>
    </row>
    <row r="6409" spans="20:20" x14ac:dyDescent="0.25">
      <c r="T6409" s="98"/>
    </row>
    <row r="6410" spans="20:20" x14ac:dyDescent="0.25">
      <c r="T6410" s="98"/>
    </row>
    <row r="6411" spans="20:20" x14ac:dyDescent="0.25">
      <c r="T6411" s="98"/>
    </row>
    <row r="6412" spans="20:20" x14ac:dyDescent="0.25">
      <c r="T6412" s="98"/>
    </row>
    <row r="6413" spans="20:20" x14ac:dyDescent="0.25">
      <c r="T6413" s="98"/>
    </row>
    <row r="6414" spans="20:20" x14ac:dyDescent="0.25">
      <c r="T6414" s="98"/>
    </row>
    <row r="6415" spans="20:20" x14ac:dyDescent="0.25">
      <c r="T6415" s="98"/>
    </row>
    <row r="6416" spans="20:20" x14ac:dyDescent="0.25">
      <c r="T6416" s="98"/>
    </row>
    <row r="6417" spans="20:20" x14ac:dyDescent="0.25">
      <c r="T6417" s="98"/>
    </row>
    <row r="6418" spans="20:20" x14ac:dyDescent="0.25">
      <c r="T6418" s="98"/>
    </row>
    <row r="6419" spans="20:20" x14ac:dyDescent="0.25">
      <c r="T6419" s="98"/>
    </row>
    <row r="6420" spans="20:20" x14ac:dyDescent="0.25">
      <c r="T6420" s="98"/>
    </row>
    <row r="6421" spans="20:20" x14ac:dyDescent="0.25">
      <c r="T6421" s="98"/>
    </row>
    <row r="6422" spans="20:20" x14ac:dyDescent="0.25">
      <c r="T6422" s="98"/>
    </row>
    <row r="6423" spans="20:20" x14ac:dyDescent="0.25">
      <c r="T6423" s="98"/>
    </row>
    <row r="6424" spans="20:20" x14ac:dyDescent="0.25">
      <c r="T6424" s="98"/>
    </row>
    <row r="6425" spans="20:20" x14ac:dyDescent="0.25">
      <c r="T6425" s="98"/>
    </row>
    <row r="6426" spans="20:20" x14ac:dyDescent="0.25">
      <c r="T6426" s="98"/>
    </row>
    <row r="6427" spans="20:20" x14ac:dyDescent="0.25">
      <c r="T6427" s="98"/>
    </row>
    <row r="6428" spans="20:20" x14ac:dyDescent="0.25">
      <c r="T6428" s="98"/>
    </row>
    <row r="6429" spans="20:20" x14ac:dyDescent="0.25">
      <c r="T6429" s="98"/>
    </row>
    <row r="6430" spans="20:20" x14ac:dyDescent="0.25">
      <c r="T6430" s="98"/>
    </row>
    <row r="6431" spans="20:20" x14ac:dyDescent="0.25">
      <c r="T6431" s="98"/>
    </row>
    <row r="6432" spans="20:20" x14ac:dyDescent="0.25">
      <c r="T6432" s="98"/>
    </row>
    <row r="6433" spans="20:20" x14ac:dyDescent="0.25">
      <c r="T6433" s="98"/>
    </row>
    <row r="6434" spans="20:20" x14ac:dyDescent="0.25">
      <c r="T6434" s="98"/>
    </row>
    <row r="6435" spans="20:20" x14ac:dyDescent="0.25">
      <c r="T6435" s="98"/>
    </row>
    <row r="6436" spans="20:20" x14ac:dyDescent="0.25">
      <c r="T6436" s="98"/>
    </row>
    <row r="6437" spans="20:20" x14ac:dyDescent="0.25">
      <c r="T6437" s="98"/>
    </row>
    <row r="6438" spans="20:20" x14ac:dyDescent="0.25">
      <c r="T6438" s="98"/>
    </row>
    <row r="6439" spans="20:20" x14ac:dyDescent="0.25">
      <c r="T6439" s="98"/>
    </row>
    <row r="6440" spans="20:20" x14ac:dyDescent="0.25">
      <c r="T6440" s="98"/>
    </row>
    <row r="6441" spans="20:20" x14ac:dyDescent="0.25">
      <c r="T6441" s="98"/>
    </row>
    <row r="6442" spans="20:20" x14ac:dyDescent="0.25">
      <c r="T6442" s="98"/>
    </row>
    <row r="6443" spans="20:20" x14ac:dyDescent="0.25">
      <c r="T6443" s="98"/>
    </row>
    <row r="6444" spans="20:20" x14ac:dyDescent="0.25">
      <c r="T6444" s="98"/>
    </row>
    <row r="6445" spans="20:20" x14ac:dyDescent="0.25">
      <c r="T6445" s="98"/>
    </row>
    <row r="6446" spans="20:20" x14ac:dyDescent="0.25">
      <c r="T6446" s="98"/>
    </row>
    <row r="6447" spans="20:20" x14ac:dyDescent="0.25">
      <c r="T6447" s="98"/>
    </row>
    <row r="6448" spans="20:20" x14ac:dyDescent="0.25">
      <c r="T6448" s="98"/>
    </row>
    <row r="6449" spans="20:20" x14ac:dyDescent="0.25">
      <c r="T6449" s="98"/>
    </row>
    <row r="6450" spans="20:20" x14ac:dyDescent="0.25">
      <c r="T6450" s="98"/>
    </row>
    <row r="6451" spans="20:20" x14ac:dyDescent="0.25">
      <c r="T6451" s="98"/>
    </row>
    <row r="6452" spans="20:20" x14ac:dyDescent="0.25">
      <c r="T6452" s="98"/>
    </row>
    <row r="6453" spans="20:20" x14ac:dyDescent="0.25">
      <c r="T6453" s="98"/>
    </row>
    <row r="6454" spans="20:20" x14ac:dyDescent="0.25">
      <c r="T6454" s="98"/>
    </row>
    <row r="6455" spans="20:20" x14ac:dyDescent="0.25">
      <c r="T6455" s="98"/>
    </row>
    <row r="6456" spans="20:20" x14ac:dyDescent="0.25">
      <c r="T6456" s="98"/>
    </row>
    <row r="6457" spans="20:20" x14ac:dyDescent="0.25">
      <c r="T6457" s="98"/>
    </row>
    <row r="6458" spans="20:20" x14ac:dyDescent="0.25">
      <c r="T6458" s="98"/>
    </row>
    <row r="6459" spans="20:20" x14ac:dyDescent="0.25">
      <c r="T6459" s="98"/>
    </row>
    <row r="6460" spans="20:20" x14ac:dyDescent="0.25">
      <c r="T6460" s="98"/>
    </row>
    <row r="6461" spans="20:20" x14ac:dyDescent="0.25">
      <c r="T6461" s="98"/>
    </row>
    <row r="6462" spans="20:20" x14ac:dyDescent="0.25">
      <c r="T6462" s="98"/>
    </row>
    <row r="6463" spans="20:20" x14ac:dyDescent="0.25">
      <c r="T6463" s="98"/>
    </row>
    <row r="6464" spans="20:20" x14ac:dyDescent="0.25">
      <c r="T6464" s="98"/>
    </row>
    <row r="6465" spans="20:20" x14ac:dyDescent="0.25">
      <c r="T6465" s="98"/>
    </row>
    <row r="6466" spans="20:20" x14ac:dyDescent="0.25">
      <c r="T6466" s="98"/>
    </row>
    <row r="6467" spans="20:20" x14ac:dyDescent="0.25">
      <c r="T6467" s="98"/>
    </row>
    <row r="6468" spans="20:20" x14ac:dyDescent="0.25">
      <c r="T6468" s="98"/>
    </row>
    <row r="6469" spans="20:20" x14ac:dyDescent="0.25">
      <c r="T6469" s="98"/>
    </row>
    <row r="6470" spans="20:20" x14ac:dyDescent="0.25">
      <c r="T6470" s="98"/>
    </row>
    <row r="6471" spans="20:20" x14ac:dyDescent="0.25">
      <c r="T6471" s="98"/>
    </row>
    <row r="6472" spans="20:20" x14ac:dyDescent="0.25">
      <c r="T6472" s="98"/>
    </row>
    <row r="6473" spans="20:20" x14ac:dyDescent="0.25">
      <c r="T6473" s="98"/>
    </row>
    <row r="6474" spans="20:20" x14ac:dyDescent="0.25">
      <c r="T6474" s="98"/>
    </row>
    <row r="6475" spans="20:20" x14ac:dyDescent="0.25">
      <c r="T6475" s="98"/>
    </row>
    <row r="6476" spans="20:20" x14ac:dyDescent="0.25">
      <c r="T6476" s="98"/>
    </row>
    <row r="6477" spans="20:20" x14ac:dyDescent="0.25">
      <c r="T6477" s="98"/>
    </row>
    <row r="6478" spans="20:20" x14ac:dyDescent="0.25">
      <c r="T6478" s="98"/>
    </row>
    <row r="6479" spans="20:20" x14ac:dyDescent="0.25">
      <c r="T6479" s="98"/>
    </row>
    <row r="6480" spans="20:20" x14ac:dyDescent="0.25">
      <c r="T6480" s="98"/>
    </row>
    <row r="6481" spans="20:20" x14ac:dyDescent="0.25">
      <c r="T6481" s="98"/>
    </row>
    <row r="6482" spans="20:20" x14ac:dyDescent="0.25">
      <c r="T6482" s="98"/>
    </row>
    <row r="6483" spans="20:20" x14ac:dyDescent="0.25">
      <c r="T6483" s="98"/>
    </row>
    <row r="6484" spans="20:20" x14ac:dyDescent="0.25">
      <c r="T6484" s="98"/>
    </row>
    <row r="6485" spans="20:20" x14ac:dyDescent="0.25">
      <c r="T6485" s="98"/>
    </row>
    <row r="6486" spans="20:20" x14ac:dyDescent="0.25">
      <c r="T6486" s="98"/>
    </row>
    <row r="6487" spans="20:20" x14ac:dyDescent="0.25">
      <c r="T6487" s="98"/>
    </row>
    <row r="6488" spans="20:20" x14ac:dyDescent="0.25">
      <c r="T6488" s="98"/>
    </row>
    <row r="6489" spans="20:20" x14ac:dyDescent="0.25">
      <c r="T6489" s="98"/>
    </row>
    <row r="6490" spans="20:20" x14ac:dyDescent="0.25">
      <c r="T6490" s="98"/>
    </row>
    <row r="6491" spans="20:20" x14ac:dyDescent="0.25">
      <c r="T6491" s="98"/>
    </row>
    <row r="6492" spans="20:20" x14ac:dyDescent="0.25">
      <c r="T6492" s="98"/>
    </row>
    <row r="6493" spans="20:20" x14ac:dyDescent="0.25">
      <c r="T6493" s="98"/>
    </row>
    <row r="6494" spans="20:20" x14ac:dyDescent="0.25">
      <c r="T6494" s="98"/>
    </row>
    <row r="6495" spans="20:20" x14ac:dyDescent="0.25">
      <c r="T6495" s="98"/>
    </row>
    <row r="6496" spans="20:20" x14ac:dyDescent="0.25">
      <c r="T6496" s="98"/>
    </row>
    <row r="6497" spans="20:20" x14ac:dyDescent="0.25">
      <c r="T6497" s="98"/>
    </row>
    <row r="6498" spans="20:20" x14ac:dyDescent="0.25">
      <c r="T6498" s="98"/>
    </row>
    <row r="6499" spans="20:20" x14ac:dyDescent="0.25">
      <c r="T6499" s="98"/>
    </row>
    <row r="6500" spans="20:20" x14ac:dyDescent="0.25">
      <c r="T6500" s="98"/>
    </row>
    <row r="6501" spans="20:20" x14ac:dyDescent="0.25">
      <c r="T6501" s="98"/>
    </row>
    <row r="6502" spans="20:20" x14ac:dyDescent="0.25">
      <c r="T6502" s="98"/>
    </row>
    <row r="6503" spans="20:20" x14ac:dyDescent="0.25">
      <c r="T6503" s="98"/>
    </row>
    <row r="6504" spans="20:20" x14ac:dyDescent="0.25">
      <c r="T6504" s="98"/>
    </row>
    <row r="6505" spans="20:20" x14ac:dyDescent="0.25">
      <c r="T6505" s="98"/>
    </row>
    <row r="6506" spans="20:20" x14ac:dyDescent="0.25">
      <c r="T6506" s="98"/>
    </row>
    <row r="6507" spans="20:20" x14ac:dyDescent="0.25">
      <c r="T6507" s="98"/>
    </row>
    <row r="6508" spans="20:20" x14ac:dyDescent="0.25">
      <c r="T6508" s="98"/>
    </row>
    <row r="6509" spans="20:20" x14ac:dyDescent="0.25">
      <c r="T6509" s="98"/>
    </row>
    <row r="6510" spans="20:20" x14ac:dyDescent="0.25">
      <c r="T6510" s="98"/>
    </row>
    <row r="6511" spans="20:20" x14ac:dyDescent="0.25">
      <c r="T6511" s="98"/>
    </row>
    <row r="6512" spans="20:20" x14ac:dyDescent="0.25">
      <c r="T6512" s="98"/>
    </row>
    <row r="6513" spans="20:20" x14ac:dyDescent="0.25">
      <c r="T6513" s="98"/>
    </row>
    <row r="6514" spans="20:20" x14ac:dyDescent="0.25">
      <c r="T6514" s="98"/>
    </row>
    <row r="6515" spans="20:20" x14ac:dyDescent="0.25">
      <c r="T6515" s="98"/>
    </row>
    <row r="6516" spans="20:20" x14ac:dyDescent="0.25">
      <c r="T6516" s="98"/>
    </row>
    <row r="6517" spans="20:20" x14ac:dyDescent="0.25">
      <c r="T6517" s="98"/>
    </row>
    <row r="6518" spans="20:20" x14ac:dyDescent="0.25">
      <c r="T6518" s="98"/>
    </row>
    <row r="6519" spans="20:20" x14ac:dyDescent="0.25">
      <c r="T6519" s="98"/>
    </row>
    <row r="6520" spans="20:20" x14ac:dyDescent="0.25">
      <c r="T6520" s="98"/>
    </row>
    <row r="6521" spans="20:20" x14ac:dyDescent="0.25">
      <c r="T6521" s="98"/>
    </row>
    <row r="6522" spans="20:20" x14ac:dyDescent="0.25">
      <c r="T6522" s="98"/>
    </row>
    <row r="6523" spans="20:20" x14ac:dyDescent="0.25">
      <c r="T6523" s="98"/>
    </row>
    <row r="6524" spans="20:20" x14ac:dyDescent="0.25">
      <c r="T6524" s="98"/>
    </row>
    <row r="6525" spans="20:20" x14ac:dyDescent="0.25">
      <c r="T6525" s="98"/>
    </row>
    <row r="6526" spans="20:20" x14ac:dyDescent="0.25">
      <c r="T6526" s="98"/>
    </row>
    <row r="6527" spans="20:20" x14ac:dyDescent="0.25">
      <c r="T6527" s="98"/>
    </row>
    <row r="6528" spans="20:20" x14ac:dyDescent="0.25">
      <c r="T6528" s="98"/>
    </row>
    <row r="6529" spans="20:20" x14ac:dyDescent="0.25">
      <c r="T6529" s="98"/>
    </row>
    <row r="6530" spans="20:20" x14ac:dyDescent="0.25">
      <c r="T6530" s="98"/>
    </row>
    <row r="6531" spans="20:20" x14ac:dyDescent="0.25">
      <c r="T6531" s="98"/>
    </row>
    <row r="6532" spans="20:20" x14ac:dyDescent="0.25">
      <c r="T6532" s="98"/>
    </row>
    <row r="6533" spans="20:20" x14ac:dyDescent="0.25">
      <c r="T6533" s="98"/>
    </row>
    <row r="6534" spans="20:20" x14ac:dyDescent="0.25">
      <c r="T6534" s="98"/>
    </row>
    <row r="6535" spans="20:20" x14ac:dyDescent="0.25">
      <c r="T6535" s="98"/>
    </row>
    <row r="6536" spans="20:20" x14ac:dyDescent="0.25">
      <c r="T6536" s="98"/>
    </row>
    <row r="6537" spans="20:20" x14ac:dyDescent="0.25">
      <c r="T6537" s="98"/>
    </row>
    <row r="6538" spans="20:20" x14ac:dyDescent="0.25">
      <c r="T6538" s="98"/>
    </row>
    <row r="6539" spans="20:20" x14ac:dyDescent="0.25">
      <c r="T6539" s="98"/>
    </row>
    <row r="6540" spans="20:20" x14ac:dyDescent="0.25">
      <c r="T6540" s="98"/>
    </row>
    <row r="6541" spans="20:20" x14ac:dyDescent="0.25">
      <c r="T6541" s="98"/>
    </row>
    <row r="6542" spans="20:20" x14ac:dyDescent="0.25">
      <c r="T6542" s="98"/>
    </row>
    <row r="6543" spans="20:20" x14ac:dyDescent="0.25">
      <c r="T6543" s="98"/>
    </row>
    <row r="6544" spans="20:20" x14ac:dyDescent="0.25">
      <c r="T6544" s="98"/>
    </row>
    <row r="6545" spans="20:20" x14ac:dyDescent="0.25">
      <c r="T6545" s="98"/>
    </row>
    <row r="6546" spans="20:20" x14ac:dyDescent="0.25">
      <c r="T6546" s="98"/>
    </row>
    <row r="6547" spans="20:20" x14ac:dyDescent="0.25">
      <c r="T6547" s="98"/>
    </row>
    <row r="6548" spans="20:20" x14ac:dyDescent="0.25">
      <c r="T6548" s="98"/>
    </row>
    <row r="6549" spans="20:20" x14ac:dyDescent="0.25">
      <c r="T6549" s="98"/>
    </row>
    <row r="6550" spans="20:20" x14ac:dyDescent="0.25">
      <c r="T6550" s="98"/>
    </row>
    <row r="6551" spans="20:20" x14ac:dyDescent="0.25">
      <c r="T6551" s="98"/>
    </row>
    <row r="6552" spans="20:20" x14ac:dyDescent="0.25">
      <c r="T6552" s="98"/>
    </row>
    <row r="6553" spans="20:20" x14ac:dyDescent="0.25">
      <c r="T6553" s="98"/>
    </row>
    <row r="6554" spans="20:20" x14ac:dyDescent="0.25">
      <c r="T6554" s="98"/>
    </row>
    <row r="6555" spans="20:20" x14ac:dyDescent="0.25">
      <c r="T6555" s="98"/>
    </row>
    <row r="6556" spans="20:20" x14ac:dyDescent="0.25">
      <c r="T6556" s="98"/>
    </row>
    <row r="6557" spans="20:20" x14ac:dyDescent="0.25">
      <c r="T6557" s="98"/>
    </row>
    <row r="6558" spans="20:20" x14ac:dyDescent="0.25">
      <c r="T6558" s="98"/>
    </row>
    <row r="6559" spans="20:20" x14ac:dyDescent="0.25">
      <c r="T6559" s="98"/>
    </row>
    <row r="6560" spans="20:20" x14ac:dyDescent="0.25">
      <c r="T6560" s="98"/>
    </row>
    <row r="6561" spans="20:20" x14ac:dyDescent="0.25">
      <c r="T6561" s="98"/>
    </row>
    <row r="6562" spans="20:20" x14ac:dyDescent="0.25">
      <c r="T6562" s="98"/>
    </row>
    <row r="6563" spans="20:20" x14ac:dyDescent="0.25">
      <c r="T6563" s="98"/>
    </row>
    <row r="6564" spans="20:20" x14ac:dyDescent="0.25">
      <c r="T6564" s="98"/>
    </row>
    <row r="6565" spans="20:20" x14ac:dyDescent="0.25">
      <c r="T6565" s="98"/>
    </row>
    <row r="6566" spans="20:20" x14ac:dyDescent="0.25">
      <c r="T6566" s="98"/>
    </row>
    <row r="6567" spans="20:20" x14ac:dyDescent="0.25">
      <c r="T6567" s="98"/>
    </row>
    <row r="6568" spans="20:20" x14ac:dyDescent="0.25">
      <c r="T6568" s="98"/>
    </row>
    <row r="6569" spans="20:20" x14ac:dyDescent="0.25">
      <c r="T6569" s="98"/>
    </row>
    <row r="6570" spans="20:20" x14ac:dyDescent="0.25">
      <c r="T6570" s="98"/>
    </row>
    <row r="6571" spans="20:20" x14ac:dyDescent="0.25">
      <c r="T6571" s="98"/>
    </row>
    <row r="6572" spans="20:20" x14ac:dyDescent="0.25">
      <c r="T6572" s="98"/>
    </row>
    <row r="6573" spans="20:20" x14ac:dyDescent="0.25">
      <c r="T6573" s="98"/>
    </row>
    <row r="6574" spans="20:20" x14ac:dyDescent="0.25">
      <c r="T6574" s="98"/>
    </row>
    <row r="6575" spans="20:20" x14ac:dyDescent="0.25">
      <c r="T6575" s="98"/>
    </row>
    <row r="6576" spans="20:20" x14ac:dyDescent="0.25">
      <c r="T6576" s="98"/>
    </row>
    <row r="6577" spans="20:20" x14ac:dyDescent="0.25">
      <c r="T6577" s="98"/>
    </row>
    <row r="6578" spans="20:20" x14ac:dyDescent="0.25">
      <c r="T6578" s="98"/>
    </row>
    <row r="6579" spans="20:20" x14ac:dyDescent="0.25">
      <c r="T6579" s="98"/>
    </row>
    <row r="6580" spans="20:20" x14ac:dyDescent="0.25">
      <c r="T6580" s="98"/>
    </row>
    <row r="6581" spans="20:20" x14ac:dyDescent="0.25">
      <c r="T6581" s="98"/>
    </row>
    <row r="6582" spans="20:20" x14ac:dyDescent="0.25">
      <c r="T6582" s="98"/>
    </row>
    <row r="6583" spans="20:20" x14ac:dyDescent="0.25">
      <c r="T6583" s="98"/>
    </row>
    <row r="6584" spans="20:20" x14ac:dyDescent="0.25">
      <c r="T6584" s="98"/>
    </row>
    <row r="6585" spans="20:20" x14ac:dyDescent="0.25">
      <c r="T6585" s="98"/>
    </row>
    <row r="6586" spans="20:20" x14ac:dyDescent="0.25">
      <c r="T6586" s="98"/>
    </row>
    <row r="6587" spans="20:20" x14ac:dyDescent="0.25">
      <c r="T6587" s="98"/>
    </row>
    <row r="6588" spans="20:20" x14ac:dyDescent="0.25">
      <c r="T6588" s="98"/>
    </row>
    <row r="6589" spans="20:20" x14ac:dyDescent="0.25">
      <c r="T6589" s="98"/>
    </row>
    <row r="6590" spans="20:20" x14ac:dyDescent="0.25">
      <c r="T6590" s="98"/>
    </row>
    <row r="6591" spans="20:20" x14ac:dyDescent="0.25">
      <c r="T6591" s="98"/>
    </row>
    <row r="6592" spans="20:20" x14ac:dyDescent="0.25">
      <c r="T6592" s="98"/>
    </row>
    <row r="6593" spans="20:20" x14ac:dyDescent="0.25">
      <c r="T6593" s="98"/>
    </row>
    <row r="6594" spans="20:20" x14ac:dyDescent="0.25">
      <c r="T6594" s="98"/>
    </row>
    <row r="6595" spans="20:20" x14ac:dyDescent="0.25">
      <c r="T6595" s="98"/>
    </row>
    <row r="6596" spans="20:20" x14ac:dyDescent="0.25">
      <c r="T6596" s="98"/>
    </row>
    <row r="6597" spans="20:20" x14ac:dyDescent="0.25">
      <c r="T6597" s="98"/>
    </row>
    <row r="6598" spans="20:20" x14ac:dyDescent="0.25">
      <c r="T6598" s="98"/>
    </row>
    <row r="6599" spans="20:20" x14ac:dyDescent="0.25">
      <c r="T6599" s="98"/>
    </row>
    <row r="6600" spans="20:20" x14ac:dyDescent="0.25">
      <c r="T6600" s="98"/>
    </row>
    <row r="6601" spans="20:20" x14ac:dyDescent="0.25">
      <c r="T6601" s="98"/>
    </row>
    <row r="6602" spans="20:20" x14ac:dyDescent="0.25">
      <c r="T6602" s="98"/>
    </row>
    <row r="6603" spans="20:20" x14ac:dyDescent="0.25">
      <c r="T6603" s="98"/>
    </row>
    <row r="6604" spans="20:20" x14ac:dyDescent="0.25">
      <c r="T6604" s="98"/>
    </row>
    <row r="6605" spans="20:20" x14ac:dyDescent="0.25">
      <c r="T6605" s="98"/>
    </row>
    <row r="6606" spans="20:20" x14ac:dyDescent="0.25">
      <c r="T6606" s="98"/>
    </row>
    <row r="6607" spans="20:20" x14ac:dyDescent="0.25">
      <c r="T6607" s="98"/>
    </row>
    <row r="6608" spans="20:20" x14ac:dyDescent="0.25">
      <c r="T6608" s="98"/>
    </row>
    <row r="6609" spans="20:20" x14ac:dyDescent="0.25">
      <c r="T6609" s="98"/>
    </row>
    <row r="6610" spans="20:20" x14ac:dyDescent="0.25">
      <c r="T6610" s="98"/>
    </row>
    <row r="6611" spans="20:20" x14ac:dyDescent="0.25">
      <c r="T6611" s="98"/>
    </row>
    <row r="6612" spans="20:20" x14ac:dyDescent="0.25">
      <c r="T6612" s="98"/>
    </row>
    <row r="6613" spans="20:20" x14ac:dyDescent="0.25">
      <c r="T6613" s="98"/>
    </row>
    <row r="6614" spans="20:20" x14ac:dyDescent="0.25">
      <c r="T6614" s="98"/>
    </row>
    <row r="6615" spans="20:20" x14ac:dyDescent="0.25">
      <c r="T6615" s="98"/>
    </row>
    <row r="6616" spans="20:20" x14ac:dyDescent="0.25">
      <c r="T6616" s="98"/>
    </row>
    <row r="6617" spans="20:20" x14ac:dyDescent="0.25">
      <c r="T6617" s="98"/>
    </row>
    <row r="6618" spans="20:20" x14ac:dyDescent="0.25">
      <c r="T6618" s="98"/>
    </row>
    <row r="6619" spans="20:20" x14ac:dyDescent="0.25">
      <c r="T6619" s="98"/>
    </row>
    <row r="6620" spans="20:20" x14ac:dyDescent="0.25">
      <c r="T6620" s="98"/>
    </row>
    <row r="6621" spans="20:20" x14ac:dyDescent="0.25">
      <c r="T6621" s="98"/>
    </row>
    <row r="6622" spans="20:20" x14ac:dyDescent="0.25">
      <c r="T6622" s="98"/>
    </row>
    <row r="6623" spans="20:20" x14ac:dyDescent="0.25">
      <c r="T6623" s="98"/>
    </row>
    <row r="6624" spans="20:20" x14ac:dyDescent="0.25">
      <c r="T6624" s="98"/>
    </row>
    <row r="6625" spans="20:20" x14ac:dyDescent="0.25">
      <c r="T6625" s="98"/>
    </row>
    <row r="6626" spans="20:20" x14ac:dyDescent="0.25">
      <c r="T6626" s="98"/>
    </row>
    <row r="6627" spans="20:20" x14ac:dyDescent="0.25">
      <c r="T6627" s="98"/>
    </row>
    <row r="6628" spans="20:20" x14ac:dyDescent="0.25">
      <c r="T6628" s="98"/>
    </row>
    <row r="6629" spans="20:20" x14ac:dyDescent="0.25">
      <c r="T6629" s="98"/>
    </row>
    <row r="6630" spans="20:20" x14ac:dyDescent="0.25">
      <c r="T6630" s="98"/>
    </row>
    <row r="6631" spans="20:20" x14ac:dyDescent="0.25">
      <c r="T6631" s="98"/>
    </row>
    <row r="6632" spans="20:20" x14ac:dyDescent="0.25">
      <c r="T6632" s="98"/>
    </row>
    <row r="6633" spans="20:20" x14ac:dyDescent="0.25">
      <c r="T6633" s="98"/>
    </row>
    <row r="6634" spans="20:20" x14ac:dyDescent="0.25">
      <c r="T6634" s="98"/>
    </row>
    <row r="6635" spans="20:20" x14ac:dyDescent="0.25">
      <c r="T6635" s="98"/>
    </row>
    <row r="6636" spans="20:20" x14ac:dyDescent="0.25">
      <c r="T6636" s="98"/>
    </row>
    <row r="6637" spans="20:20" x14ac:dyDescent="0.25">
      <c r="T6637" s="98"/>
    </row>
    <row r="6638" spans="20:20" x14ac:dyDescent="0.25">
      <c r="T6638" s="98"/>
    </row>
    <row r="6639" spans="20:20" x14ac:dyDescent="0.25">
      <c r="T6639" s="98"/>
    </row>
    <row r="6640" spans="20:20" x14ac:dyDescent="0.25">
      <c r="T6640" s="98"/>
    </row>
    <row r="6641" spans="20:20" x14ac:dyDescent="0.25">
      <c r="T6641" s="98"/>
    </row>
    <row r="6642" spans="20:20" x14ac:dyDescent="0.25">
      <c r="T6642" s="98"/>
    </row>
    <row r="6643" spans="20:20" x14ac:dyDescent="0.25">
      <c r="T6643" s="98"/>
    </row>
    <row r="6644" spans="20:20" x14ac:dyDescent="0.25">
      <c r="T6644" s="98"/>
    </row>
    <row r="6645" spans="20:20" x14ac:dyDescent="0.25">
      <c r="T6645" s="98"/>
    </row>
    <row r="6646" spans="20:20" x14ac:dyDescent="0.25">
      <c r="T6646" s="98"/>
    </row>
    <row r="6647" spans="20:20" x14ac:dyDescent="0.25">
      <c r="T6647" s="98"/>
    </row>
    <row r="6648" spans="20:20" x14ac:dyDescent="0.25">
      <c r="T6648" s="98"/>
    </row>
    <row r="6649" spans="20:20" x14ac:dyDescent="0.25">
      <c r="T6649" s="98"/>
    </row>
    <row r="6650" spans="20:20" x14ac:dyDescent="0.25">
      <c r="T6650" s="98"/>
    </row>
    <row r="6651" spans="20:20" x14ac:dyDescent="0.25">
      <c r="T6651" s="98"/>
    </row>
    <row r="6652" spans="20:20" x14ac:dyDescent="0.25">
      <c r="T6652" s="98"/>
    </row>
    <row r="6653" spans="20:20" x14ac:dyDescent="0.25">
      <c r="T6653" s="98"/>
    </row>
    <row r="6654" spans="20:20" x14ac:dyDescent="0.25">
      <c r="T6654" s="98"/>
    </row>
    <row r="6655" spans="20:20" x14ac:dyDescent="0.25">
      <c r="T6655" s="98"/>
    </row>
    <row r="6656" spans="20:20" x14ac:dyDescent="0.25">
      <c r="T6656" s="98"/>
    </row>
    <row r="6657" spans="20:20" x14ac:dyDescent="0.25">
      <c r="T6657" s="98"/>
    </row>
    <row r="6658" spans="20:20" x14ac:dyDescent="0.25">
      <c r="T6658" s="98"/>
    </row>
    <row r="6659" spans="20:20" x14ac:dyDescent="0.25">
      <c r="T6659" s="98"/>
    </row>
    <row r="6660" spans="20:20" x14ac:dyDescent="0.25">
      <c r="T6660" s="98"/>
    </row>
    <row r="6661" spans="20:20" x14ac:dyDescent="0.25">
      <c r="T6661" s="98"/>
    </row>
    <row r="6662" spans="20:20" x14ac:dyDescent="0.25">
      <c r="T6662" s="98"/>
    </row>
    <row r="6663" spans="20:20" x14ac:dyDescent="0.25">
      <c r="T6663" s="98"/>
    </row>
    <row r="6664" spans="20:20" x14ac:dyDescent="0.25">
      <c r="T6664" s="98"/>
    </row>
    <row r="6665" spans="20:20" x14ac:dyDescent="0.25">
      <c r="T6665" s="98"/>
    </row>
    <row r="6666" spans="20:20" x14ac:dyDescent="0.25">
      <c r="T6666" s="98"/>
    </row>
    <row r="6667" spans="20:20" x14ac:dyDescent="0.25">
      <c r="T6667" s="98"/>
    </row>
    <row r="6668" spans="20:20" x14ac:dyDescent="0.25">
      <c r="T6668" s="98"/>
    </row>
    <row r="6669" spans="20:20" x14ac:dyDescent="0.25">
      <c r="T6669" s="98"/>
    </row>
    <row r="6670" spans="20:20" x14ac:dyDescent="0.25">
      <c r="T6670" s="98"/>
    </row>
    <row r="6671" spans="20:20" x14ac:dyDescent="0.25">
      <c r="T6671" s="98"/>
    </row>
    <row r="6672" spans="20:20" x14ac:dyDescent="0.25">
      <c r="T6672" s="98"/>
    </row>
    <row r="6673" spans="20:20" x14ac:dyDescent="0.25">
      <c r="T6673" s="98"/>
    </row>
    <row r="6674" spans="20:20" x14ac:dyDescent="0.25">
      <c r="T6674" s="98"/>
    </row>
    <row r="6675" spans="20:20" x14ac:dyDescent="0.25">
      <c r="T6675" s="98"/>
    </row>
    <row r="6676" spans="20:20" x14ac:dyDescent="0.25">
      <c r="T6676" s="98"/>
    </row>
    <row r="6677" spans="20:20" x14ac:dyDescent="0.25">
      <c r="T6677" s="98"/>
    </row>
    <row r="6678" spans="20:20" x14ac:dyDescent="0.25">
      <c r="T6678" s="98"/>
    </row>
    <row r="6679" spans="20:20" x14ac:dyDescent="0.25">
      <c r="T6679" s="98"/>
    </row>
    <row r="6680" spans="20:20" x14ac:dyDescent="0.25">
      <c r="T6680" s="98"/>
    </row>
    <row r="6681" spans="20:20" x14ac:dyDescent="0.25">
      <c r="T6681" s="98"/>
    </row>
    <row r="6682" spans="20:20" x14ac:dyDescent="0.25">
      <c r="T6682" s="98"/>
    </row>
    <row r="6683" spans="20:20" x14ac:dyDescent="0.25">
      <c r="T6683" s="98"/>
    </row>
    <row r="6684" spans="20:20" x14ac:dyDescent="0.25">
      <c r="T6684" s="98"/>
    </row>
    <row r="6685" spans="20:20" x14ac:dyDescent="0.25">
      <c r="T6685" s="98"/>
    </row>
    <row r="6686" spans="20:20" x14ac:dyDescent="0.25">
      <c r="T6686" s="98"/>
    </row>
    <row r="6687" spans="20:20" x14ac:dyDescent="0.25">
      <c r="T6687" s="98"/>
    </row>
    <row r="6688" spans="20:20" x14ac:dyDescent="0.25">
      <c r="T6688" s="98"/>
    </row>
    <row r="6689" spans="20:20" x14ac:dyDescent="0.25">
      <c r="T6689" s="98"/>
    </row>
    <row r="6690" spans="20:20" x14ac:dyDescent="0.25">
      <c r="T6690" s="98"/>
    </row>
    <row r="6691" spans="20:20" x14ac:dyDescent="0.25">
      <c r="T6691" s="98"/>
    </row>
    <row r="6692" spans="20:20" x14ac:dyDescent="0.25">
      <c r="T6692" s="98"/>
    </row>
    <row r="6693" spans="20:20" x14ac:dyDescent="0.25">
      <c r="T6693" s="98"/>
    </row>
    <row r="6694" spans="20:20" x14ac:dyDescent="0.25">
      <c r="T6694" s="98"/>
    </row>
    <row r="6695" spans="20:20" x14ac:dyDescent="0.25">
      <c r="T6695" s="98"/>
    </row>
    <row r="6696" spans="20:20" x14ac:dyDescent="0.25">
      <c r="T6696" s="98"/>
    </row>
    <row r="6697" spans="20:20" x14ac:dyDescent="0.25">
      <c r="T6697" s="98"/>
    </row>
    <row r="6698" spans="20:20" x14ac:dyDescent="0.25">
      <c r="T6698" s="98"/>
    </row>
    <row r="6699" spans="20:20" x14ac:dyDescent="0.25">
      <c r="T6699" s="98"/>
    </row>
    <row r="6700" spans="20:20" x14ac:dyDescent="0.25">
      <c r="T6700" s="98"/>
    </row>
    <row r="6701" spans="20:20" x14ac:dyDescent="0.25">
      <c r="T6701" s="98"/>
    </row>
    <row r="6702" spans="20:20" x14ac:dyDescent="0.25">
      <c r="T6702" s="98"/>
    </row>
    <row r="6703" spans="20:20" x14ac:dyDescent="0.25">
      <c r="T6703" s="98"/>
    </row>
    <row r="6704" spans="20:20" x14ac:dyDescent="0.25">
      <c r="T6704" s="98"/>
    </row>
    <row r="6705" spans="20:20" x14ac:dyDescent="0.25">
      <c r="T6705" s="98"/>
    </row>
    <row r="6706" spans="20:20" x14ac:dyDescent="0.25">
      <c r="T6706" s="98"/>
    </row>
    <row r="6707" spans="20:20" x14ac:dyDescent="0.25">
      <c r="T6707" s="98"/>
    </row>
    <row r="6708" spans="20:20" x14ac:dyDescent="0.25">
      <c r="T6708" s="98"/>
    </row>
    <row r="6709" spans="20:20" x14ac:dyDescent="0.25">
      <c r="T6709" s="98"/>
    </row>
    <row r="6710" spans="20:20" x14ac:dyDescent="0.25">
      <c r="T6710" s="98"/>
    </row>
    <row r="6711" spans="20:20" x14ac:dyDescent="0.25">
      <c r="T6711" s="98"/>
    </row>
    <row r="6712" spans="20:20" x14ac:dyDescent="0.25">
      <c r="T6712" s="98"/>
    </row>
    <row r="6713" spans="20:20" x14ac:dyDescent="0.25">
      <c r="T6713" s="98"/>
    </row>
    <row r="6714" spans="20:20" x14ac:dyDescent="0.25">
      <c r="T6714" s="98"/>
    </row>
    <row r="6715" spans="20:20" x14ac:dyDescent="0.25">
      <c r="T6715" s="98"/>
    </row>
    <row r="6716" spans="20:20" x14ac:dyDescent="0.25">
      <c r="T6716" s="98"/>
    </row>
    <row r="6717" spans="20:20" x14ac:dyDescent="0.25">
      <c r="T6717" s="98"/>
    </row>
    <row r="6718" spans="20:20" x14ac:dyDescent="0.25">
      <c r="T6718" s="98"/>
    </row>
    <row r="6719" spans="20:20" x14ac:dyDescent="0.25">
      <c r="T6719" s="98"/>
    </row>
    <row r="6720" spans="20:20" x14ac:dyDescent="0.25">
      <c r="T6720" s="98"/>
    </row>
    <row r="6721" spans="20:20" x14ac:dyDescent="0.25">
      <c r="T6721" s="98"/>
    </row>
    <row r="6722" spans="20:20" x14ac:dyDescent="0.25">
      <c r="T6722" s="98"/>
    </row>
    <row r="6723" spans="20:20" x14ac:dyDescent="0.25">
      <c r="T6723" s="98"/>
    </row>
    <row r="6724" spans="20:20" x14ac:dyDescent="0.25">
      <c r="T6724" s="98"/>
    </row>
    <row r="6725" spans="20:20" x14ac:dyDescent="0.25">
      <c r="T6725" s="98"/>
    </row>
    <row r="6726" spans="20:20" x14ac:dyDescent="0.25">
      <c r="T6726" s="98"/>
    </row>
    <row r="6727" spans="20:20" x14ac:dyDescent="0.25">
      <c r="T6727" s="98"/>
    </row>
    <row r="6728" spans="20:20" x14ac:dyDescent="0.25">
      <c r="T6728" s="98"/>
    </row>
    <row r="6729" spans="20:20" x14ac:dyDescent="0.25">
      <c r="T6729" s="98"/>
    </row>
    <row r="6730" spans="20:20" x14ac:dyDescent="0.25">
      <c r="T6730" s="98"/>
    </row>
    <row r="6731" spans="20:20" x14ac:dyDescent="0.25">
      <c r="T6731" s="98"/>
    </row>
    <row r="6732" spans="20:20" x14ac:dyDescent="0.25">
      <c r="T6732" s="98"/>
    </row>
    <row r="6733" spans="20:20" x14ac:dyDescent="0.25">
      <c r="T6733" s="98"/>
    </row>
    <row r="6734" spans="20:20" x14ac:dyDescent="0.25">
      <c r="T6734" s="98"/>
    </row>
    <row r="6735" spans="20:20" x14ac:dyDescent="0.25">
      <c r="T6735" s="98"/>
    </row>
    <row r="6736" spans="20:20" x14ac:dyDescent="0.25">
      <c r="T6736" s="98"/>
    </row>
    <row r="6737" spans="20:20" x14ac:dyDescent="0.25">
      <c r="T6737" s="98"/>
    </row>
    <row r="6738" spans="20:20" x14ac:dyDescent="0.25">
      <c r="T6738" s="98"/>
    </row>
    <row r="6739" spans="20:20" x14ac:dyDescent="0.25">
      <c r="T6739" s="98"/>
    </row>
    <row r="6740" spans="20:20" x14ac:dyDescent="0.25">
      <c r="T6740" s="98"/>
    </row>
    <row r="6741" spans="20:20" x14ac:dyDescent="0.25">
      <c r="T6741" s="98"/>
    </row>
    <row r="6742" spans="20:20" x14ac:dyDescent="0.25">
      <c r="T6742" s="98"/>
    </row>
    <row r="6743" spans="20:20" x14ac:dyDescent="0.25">
      <c r="T6743" s="98"/>
    </row>
    <row r="6744" spans="20:20" x14ac:dyDescent="0.25">
      <c r="T6744" s="98"/>
    </row>
    <row r="6745" spans="20:20" x14ac:dyDescent="0.25">
      <c r="T6745" s="98"/>
    </row>
    <row r="6746" spans="20:20" x14ac:dyDescent="0.25">
      <c r="T6746" s="98"/>
    </row>
    <row r="6747" spans="20:20" x14ac:dyDescent="0.25">
      <c r="T6747" s="98"/>
    </row>
    <row r="6748" spans="20:20" x14ac:dyDescent="0.25">
      <c r="T6748" s="98"/>
    </row>
    <row r="6749" spans="20:20" x14ac:dyDescent="0.25">
      <c r="T6749" s="98"/>
    </row>
    <row r="6750" spans="20:20" x14ac:dyDescent="0.25">
      <c r="T6750" s="98"/>
    </row>
    <row r="6751" spans="20:20" x14ac:dyDescent="0.25">
      <c r="T6751" s="98"/>
    </row>
    <row r="6752" spans="20:20" x14ac:dyDescent="0.25">
      <c r="T6752" s="98"/>
    </row>
    <row r="6753" spans="20:20" x14ac:dyDescent="0.25">
      <c r="T6753" s="98"/>
    </row>
    <row r="6754" spans="20:20" x14ac:dyDescent="0.25">
      <c r="T6754" s="98"/>
    </row>
    <row r="6755" spans="20:20" x14ac:dyDescent="0.25">
      <c r="T6755" s="98"/>
    </row>
    <row r="6756" spans="20:20" x14ac:dyDescent="0.25">
      <c r="T6756" s="98"/>
    </row>
    <row r="6757" spans="20:20" x14ac:dyDescent="0.25">
      <c r="T6757" s="98"/>
    </row>
    <row r="6758" spans="20:20" x14ac:dyDescent="0.25">
      <c r="T6758" s="98"/>
    </row>
    <row r="6759" spans="20:20" x14ac:dyDescent="0.25">
      <c r="T6759" s="98"/>
    </row>
    <row r="6760" spans="20:20" x14ac:dyDescent="0.25">
      <c r="T6760" s="98"/>
    </row>
    <row r="6761" spans="20:20" x14ac:dyDescent="0.25">
      <c r="T6761" s="98"/>
    </row>
    <row r="6762" spans="20:20" x14ac:dyDescent="0.25">
      <c r="T6762" s="98"/>
    </row>
    <row r="6763" spans="20:20" x14ac:dyDescent="0.25">
      <c r="T6763" s="98"/>
    </row>
    <row r="6764" spans="20:20" x14ac:dyDescent="0.25">
      <c r="T6764" s="98"/>
    </row>
    <row r="6765" spans="20:20" x14ac:dyDescent="0.25">
      <c r="T6765" s="98"/>
    </row>
    <row r="6766" spans="20:20" x14ac:dyDescent="0.25">
      <c r="T6766" s="98"/>
    </row>
    <row r="6767" spans="20:20" x14ac:dyDescent="0.25">
      <c r="T6767" s="98"/>
    </row>
    <row r="6768" spans="20:20" x14ac:dyDescent="0.25">
      <c r="T6768" s="98"/>
    </row>
    <row r="6769" spans="20:20" x14ac:dyDescent="0.25">
      <c r="T6769" s="98"/>
    </row>
    <row r="6770" spans="20:20" x14ac:dyDescent="0.25">
      <c r="T6770" s="98"/>
    </row>
    <row r="6771" spans="20:20" x14ac:dyDescent="0.25">
      <c r="T6771" s="98"/>
    </row>
    <row r="6772" spans="20:20" x14ac:dyDescent="0.25">
      <c r="T6772" s="98"/>
    </row>
    <row r="6773" spans="20:20" x14ac:dyDescent="0.25">
      <c r="T6773" s="98"/>
    </row>
    <row r="6774" spans="20:20" x14ac:dyDescent="0.25">
      <c r="T6774" s="98"/>
    </row>
    <row r="6775" spans="20:20" x14ac:dyDescent="0.25">
      <c r="T6775" s="98"/>
    </row>
    <row r="6776" spans="20:20" x14ac:dyDescent="0.25">
      <c r="T6776" s="98"/>
    </row>
    <row r="6777" spans="20:20" x14ac:dyDescent="0.25">
      <c r="T6777" s="98"/>
    </row>
    <row r="6778" spans="20:20" x14ac:dyDescent="0.25">
      <c r="T6778" s="98"/>
    </row>
    <row r="6779" spans="20:20" x14ac:dyDescent="0.25">
      <c r="T6779" s="98"/>
    </row>
    <row r="6780" spans="20:20" x14ac:dyDescent="0.25">
      <c r="T6780" s="98"/>
    </row>
    <row r="6781" spans="20:20" x14ac:dyDescent="0.25">
      <c r="T6781" s="98"/>
    </row>
    <row r="6782" spans="20:20" x14ac:dyDescent="0.25">
      <c r="T6782" s="98"/>
    </row>
    <row r="6783" spans="20:20" x14ac:dyDescent="0.25">
      <c r="T6783" s="98"/>
    </row>
    <row r="6784" spans="20:20" x14ac:dyDescent="0.25">
      <c r="T6784" s="98"/>
    </row>
    <row r="6785" spans="20:20" x14ac:dyDescent="0.25">
      <c r="T6785" s="98"/>
    </row>
    <row r="6786" spans="20:20" x14ac:dyDescent="0.25">
      <c r="T6786" s="98"/>
    </row>
    <row r="6787" spans="20:20" x14ac:dyDescent="0.25">
      <c r="T6787" s="98"/>
    </row>
    <row r="6788" spans="20:20" x14ac:dyDescent="0.25">
      <c r="T6788" s="98"/>
    </row>
    <row r="6789" spans="20:20" x14ac:dyDescent="0.25">
      <c r="T6789" s="98"/>
    </row>
    <row r="6790" spans="20:20" x14ac:dyDescent="0.25">
      <c r="T6790" s="98"/>
    </row>
    <row r="6791" spans="20:20" x14ac:dyDescent="0.25">
      <c r="T6791" s="98"/>
    </row>
    <row r="6792" spans="20:20" x14ac:dyDescent="0.25">
      <c r="T6792" s="98"/>
    </row>
    <row r="6793" spans="20:20" x14ac:dyDescent="0.25">
      <c r="T6793" s="98"/>
    </row>
    <row r="6794" spans="20:20" x14ac:dyDescent="0.25">
      <c r="T6794" s="98"/>
    </row>
    <row r="6795" spans="20:20" x14ac:dyDescent="0.25">
      <c r="T6795" s="98"/>
    </row>
    <row r="6796" spans="20:20" x14ac:dyDescent="0.25">
      <c r="T6796" s="98"/>
    </row>
    <row r="6797" spans="20:20" x14ac:dyDescent="0.25">
      <c r="T6797" s="98"/>
    </row>
    <row r="6798" spans="20:20" x14ac:dyDescent="0.25">
      <c r="T6798" s="98"/>
    </row>
    <row r="6799" spans="20:20" x14ac:dyDescent="0.25">
      <c r="T6799" s="98"/>
    </row>
    <row r="6800" spans="20:20" x14ac:dyDescent="0.25">
      <c r="T6800" s="98"/>
    </row>
    <row r="6801" spans="20:20" x14ac:dyDescent="0.25">
      <c r="T6801" s="98"/>
    </row>
    <row r="6802" spans="20:20" x14ac:dyDescent="0.25">
      <c r="T6802" s="98"/>
    </row>
    <row r="6803" spans="20:20" x14ac:dyDescent="0.25">
      <c r="T6803" s="98"/>
    </row>
    <row r="6804" spans="20:20" x14ac:dyDescent="0.25">
      <c r="T6804" s="98"/>
    </row>
    <row r="6805" spans="20:20" x14ac:dyDescent="0.25">
      <c r="T6805" s="98"/>
    </row>
    <row r="6806" spans="20:20" x14ac:dyDescent="0.25">
      <c r="T6806" s="98"/>
    </row>
    <row r="6807" spans="20:20" x14ac:dyDescent="0.25">
      <c r="T6807" s="98"/>
    </row>
    <row r="6808" spans="20:20" x14ac:dyDescent="0.25">
      <c r="T6808" s="98"/>
    </row>
    <row r="6809" spans="20:20" x14ac:dyDescent="0.25">
      <c r="T6809" s="98"/>
    </row>
    <row r="6810" spans="20:20" x14ac:dyDescent="0.25">
      <c r="T6810" s="98"/>
    </row>
    <row r="6811" spans="20:20" x14ac:dyDescent="0.25">
      <c r="T6811" s="98"/>
    </row>
    <row r="6812" spans="20:20" x14ac:dyDescent="0.25">
      <c r="T6812" s="98"/>
    </row>
    <row r="6813" spans="20:20" x14ac:dyDescent="0.25">
      <c r="T6813" s="98"/>
    </row>
    <row r="6814" spans="20:20" x14ac:dyDescent="0.25">
      <c r="T6814" s="98"/>
    </row>
    <row r="6815" spans="20:20" x14ac:dyDescent="0.25">
      <c r="T6815" s="98"/>
    </row>
    <row r="6816" spans="20:20" x14ac:dyDescent="0.25">
      <c r="T6816" s="98"/>
    </row>
    <row r="6817" spans="20:20" x14ac:dyDescent="0.25">
      <c r="T6817" s="98"/>
    </row>
    <row r="6818" spans="20:20" x14ac:dyDescent="0.25">
      <c r="T6818" s="98"/>
    </row>
    <row r="6819" spans="20:20" x14ac:dyDescent="0.25">
      <c r="T6819" s="98"/>
    </row>
    <row r="6820" spans="20:20" x14ac:dyDescent="0.25">
      <c r="T6820" s="98"/>
    </row>
    <row r="6821" spans="20:20" x14ac:dyDescent="0.25">
      <c r="T6821" s="98"/>
    </row>
    <row r="6822" spans="20:20" x14ac:dyDescent="0.25">
      <c r="T6822" s="98"/>
    </row>
    <row r="6823" spans="20:20" x14ac:dyDescent="0.25">
      <c r="T6823" s="98"/>
    </row>
    <row r="6824" spans="20:20" x14ac:dyDescent="0.25">
      <c r="T6824" s="98"/>
    </row>
    <row r="6825" spans="20:20" x14ac:dyDescent="0.25">
      <c r="T6825" s="98"/>
    </row>
    <row r="6826" spans="20:20" x14ac:dyDescent="0.25">
      <c r="T6826" s="98"/>
    </row>
    <row r="6827" spans="20:20" x14ac:dyDescent="0.25">
      <c r="T6827" s="98"/>
    </row>
    <row r="6828" spans="20:20" x14ac:dyDescent="0.25">
      <c r="T6828" s="98"/>
    </row>
    <row r="6829" spans="20:20" x14ac:dyDescent="0.25">
      <c r="T6829" s="98"/>
    </row>
    <row r="6830" spans="20:20" x14ac:dyDescent="0.25">
      <c r="T6830" s="98"/>
    </row>
    <row r="6831" spans="20:20" x14ac:dyDescent="0.25">
      <c r="T6831" s="98"/>
    </row>
    <row r="6832" spans="20:20" x14ac:dyDescent="0.25">
      <c r="T6832" s="98"/>
    </row>
    <row r="6833" spans="20:20" x14ac:dyDescent="0.25">
      <c r="T6833" s="98"/>
    </row>
    <row r="6834" spans="20:20" x14ac:dyDescent="0.25">
      <c r="T6834" s="98"/>
    </row>
    <row r="6835" spans="20:20" x14ac:dyDescent="0.25">
      <c r="T6835" s="98"/>
    </row>
    <row r="6836" spans="20:20" x14ac:dyDescent="0.25">
      <c r="T6836" s="98"/>
    </row>
    <row r="6837" spans="20:20" x14ac:dyDescent="0.25">
      <c r="T6837" s="98"/>
    </row>
    <row r="6838" spans="20:20" x14ac:dyDescent="0.25">
      <c r="T6838" s="98"/>
    </row>
    <row r="6839" spans="20:20" x14ac:dyDescent="0.25">
      <c r="T6839" s="98"/>
    </row>
    <row r="6840" spans="20:20" x14ac:dyDescent="0.25">
      <c r="T6840" s="98"/>
    </row>
    <row r="6841" spans="20:20" x14ac:dyDescent="0.25">
      <c r="T6841" s="98"/>
    </row>
    <row r="6842" spans="20:20" x14ac:dyDescent="0.25">
      <c r="T6842" s="98"/>
    </row>
    <row r="6843" spans="20:20" x14ac:dyDescent="0.25">
      <c r="T6843" s="98"/>
    </row>
    <row r="6844" spans="20:20" x14ac:dyDescent="0.25">
      <c r="T6844" s="98"/>
    </row>
    <row r="6845" spans="20:20" x14ac:dyDescent="0.25">
      <c r="T6845" s="98"/>
    </row>
    <row r="6846" spans="20:20" x14ac:dyDescent="0.25">
      <c r="T6846" s="98"/>
    </row>
    <row r="6847" spans="20:20" x14ac:dyDescent="0.25">
      <c r="T6847" s="98"/>
    </row>
    <row r="6848" spans="20:20" x14ac:dyDescent="0.25">
      <c r="T6848" s="98"/>
    </row>
    <row r="6849" spans="20:20" x14ac:dyDescent="0.25">
      <c r="T6849" s="98"/>
    </row>
    <row r="6850" spans="20:20" x14ac:dyDescent="0.25">
      <c r="T6850" s="98"/>
    </row>
    <row r="6851" spans="20:20" x14ac:dyDescent="0.25">
      <c r="T6851" s="98"/>
    </row>
    <row r="6852" spans="20:20" x14ac:dyDescent="0.25">
      <c r="T6852" s="98"/>
    </row>
    <row r="6853" spans="20:20" x14ac:dyDescent="0.25">
      <c r="T6853" s="98"/>
    </row>
    <row r="6854" spans="20:20" x14ac:dyDescent="0.25">
      <c r="T6854" s="98"/>
    </row>
    <row r="6855" spans="20:20" x14ac:dyDescent="0.25">
      <c r="T6855" s="98"/>
    </row>
    <row r="6856" spans="20:20" x14ac:dyDescent="0.25">
      <c r="T6856" s="98"/>
    </row>
    <row r="6857" spans="20:20" x14ac:dyDescent="0.25">
      <c r="T6857" s="98"/>
    </row>
    <row r="6858" spans="20:20" x14ac:dyDescent="0.25">
      <c r="T6858" s="98"/>
    </row>
    <row r="6859" spans="20:20" x14ac:dyDescent="0.25">
      <c r="T6859" s="98"/>
    </row>
    <row r="6860" spans="20:20" x14ac:dyDescent="0.25">
      <c r="T6860" s="98"/>
    </row>
    <row r="6861" spans="20:20" x14ac:dyDescent="0.25">
      <c r="T6861" s="98"/>
    </row>
    <row r="6862" spans="20:20" x14ac:dyDescent="0.25">
      <c r="T6862" s="98"/>
    </row>
    <row r="6863" spans="20:20" x14ac:dyDescent="0.25">
      <c r="T6863" s="98"/>
    </row>
    <row r="6864" spans="20:20" x14ac:dyDescent="0.25">
      <c r="T6864" s="98"/>
    </row>
    <row r="6865" spans="20:20" x14ac:dyDescent="0.25">
      <c r="T6865" s="98"/>
    </row>
    <row r="6866" spans="20:20" x14ac:dyDescent="0.25">
      <c r="T6866" s="98"/>
    </row>
    <row r="6867" spans="20:20" x14ac:dyDescent="0.25">
      <c r="T6867" s="98"/>
    </row>
    <row r="6868" spans="20:20" x14ac:dyDescent="0.25">
      <c r="T6868" s="98"/>
    </row>
    <row r="6869" spans="20:20" x14ac:dyDescent="0.25">
      <c r="T6869" s="98"/>
    </row>
    <row r="6870" spans="20:20" x14ac:dyDescent="0.25">
      <c r="T6870" s="98"/>
    </row>
    <row r="6871" spans="20:20" x14ac:dyDescent="0.25">
      <c r="T6871" s="98"/>
    </row>
    <row r="6872" spans="20:20" x14ac:dyDescent="0.25">
      <c r="T6872" s="98"/>
    </row>
    <row r="6873" spans="20:20" x14ac:dyDescent="0.25">
      <c r="T6873" s="98"/>
    </row>
    <row r="6874" spans="20:20" x14ac:dyDescent="0.25">
      <c r="T6874" s="98"/>
    </row>
    <row r="6875" spans="20:20" x14ac:dyDescent="0.25">
      <c r="T6875" s="98"/>
    </row>
    <row r="6876" spans="20:20" x14ac:dyDescent="0.25">
      <c r="T6876" s="98"/>
    </row>
    <row r="6877" spans="20:20" x14ac:dyDescent="0.25">
      <c r="T6877" s="98"/>
    </row>
    <row r="6878" spans="20:20" x14ac:dyDescent="0.25">
      <c r="T6878" s="98"/>
    </row>
    <row r="6879" spans="20:20" x14ac:dyDescent="0.25">
      <c r="T6879" s="98"/>
    </row>
    <row r="6880" spans="20:20" x14ac:dyDescent="0.25">
      <c r="T6880" s="98"/>
    </row>
    <row r="6881" spans="20:20" x14ac:dyDescent="0.25">
      <c r="T6881" s="98"/>
    </row>
    <row r="6882" spans="20:20" x14ac:dyDescent="0.25">
      <c r="T6882" s="98"/>
    </row>
    <row r="6883" spans="20:20" x14ac:dyDescent="0.25">
      <c r="T6883" s="98"/>
    </row>
    <row r="6884" spans="20:20" x14ac:dyDescent="0.25">
      <c r="T6884" s="98"/>
    </row>
    <row r="6885" spans="20:20" x14ac:dyDescent="0.25">
      <c r="T6885" s="98"/>
    </row>
    <row r="6886" spans="20:20" x14ac:dyDescent="0.25">
      <c r="T6886" s="98"/>
    </row>
    <row r="6887" spans="20:20" x14ac:dyDescent="0.25">
      <c r="T6887" s="98"/>
    </row>
    <row r="6888" spans="20:20" x14ac:dyDescent="0.25">
      <c r="T6888" s="98"/>
    </row>
    <row r="6889" spans="20:20" x14ac:dyDescent="0.25">
      <c r="T6889" s="98"/>
    </row>
    <row r="6890" spans="20:20" x14ac:dyDescent="0.25">
      <c r="T6890" s="98"/>
    </row>
    <row r="6891" spans="20:20" x14ac:dyDescent="0.25">
      <c r="T6891" s="98"/>
    </row>
    <row r="6892" spans="20:20" x14ac:dyDescent="0.25">
      <c r="T6892" s="98"/>
    </row>
    <row r="6893" spans="20:20" x14ac:dyDescent="0.25">
      <c r="T6893" s="98"/>
    </row>
    <row r="6894" spans="20:20" x14ac:dyDescent="0.25">
      <c r="T6894" s="98"/>
    </row>
    <row r="6895" spans="20:20" x14ac:dyDescent="0.25">
      <c r="T6895" s="98"/>
    </row>
    <row r="6896" spans="20:20" x14ac:dyDescent="0.25">
      <c r="T6896" s="98"/>
    </row>
    <row r="6897" spans="20:20" x14ac:dyDescent="0.25">
      <c r="T6897" s="98"/>
    </row>
    <row r="6898" spans="20:20" x14ac:dyDescent="0.25">
      <c r="T6898" s="98"/>
    </row>
    <row r="6899" spans="20:20" x14ac:dyDescent="0.25">
      <c r="T6899" s="98"/>
    </row>
    <row r="6900" spans="20:20" x14ac:dyDescent="0.25">
      <c r="T6900" s="98"/>
    </row>
    <row r="6901" spans="20:20" x14ac:dyDescent="0.25">
      <c r="T6901" s="98"/>
    </row>
    <row r="6902" spans="20:20" x14ac:dyDescent="0.25">
      <c r="T6902" s="98"/>
    </row>
    <row r="6903" spans="20:20" x14ac:dyDescent="0.25">
      <c r="T6903" s="98"/>
    </row>
    <row r="6904" spans="20:20" x14ac:dyDescent="0.25">
      <c r="T6904" s="98"/>
    </row>
    <row r="6905" spans="20:20" x14ac:dyDescent="0.25">
      <c r="T6905" s="98"/>
    </row>
    <row r="6906" spans="20:20" x14ac:dyDescent="0.25">
      <c r="T6906" s="98"/>
    </row>
    <row r="6907" spans="20:20" x14ac:dyDescent="0.25">
      <c r="T6907" s="98"/>
    </row>
    <row r="6908" spans="20:20" x14ac:dyDescent="0.25">
      <c r="T6908" s="98"/>
    </row>
    <row r="6909" spans="20:20" x14ac:dyDescent="0.25">
      <c r="T6909" s="98"/>
    </row>
    <row r="6910" spans="20:20" x14ac:dyDescent="0.25">
      <c r="T6910" s="98"/>
    </row>
    <row r="6911" spans="20:20" x14ac:dyDescent="0.25">
      <c r="T6911" s="98"/>
    </row>
    <row r="6912" spans="20:20" x14ac:dyDescent="0.25">
      <c r="T6912" s="98"/>
    </row>
    <row r="6913" spans="20:20" x14ac:dyDescent="0.25">
      <c r="T6913" s="98"/>
    </row>
    <row r="6914" spans="20:20" x14ac:dyDescent="0.25">
      <c r="T6914" s="98"/>
    </row>
    <row r="6915" spans="20:20" x14ac:dyDescent="0.25">
      <c r="T6915" s="98"/>
    </row>
    <row r="6916" spans="20:20" x14ac:dyDescent="0.25">
      <c r="T6916" s="98"/>
    </row>
    <row r="6917" spans="20:20" x14ac:dyDescent="0.25">
      <c r="T6917" s="98"/>
    </row>
    <row r="6918" spans="20:20" x14ac:dyDescent="0.25">
      <c r="T6918" s="98"/>
    </row>
    <row r="6919" spans="20:20" x14ac:dyDescent="0.25">
      <c r="T6919" s="98"/>
    </row>
    <row r="6920" spans="20:20" x14ac:dyDescent="0.25">
      <c r="T6920" s="98"/>
    </row>
    <row r="6921" spans="20:20" x14ac:dyDescent="0.25">
      <c r="T6921" s="98"/>
    </row>
    <row r="6922" spans="20:20" x14ac:dyDescent="0.25">
      <c r="T6922" s="98"/>
    </row>
    <row r="6923" spans="20:20" x14ac:dyDescent="0.25">
      <c r="T6923" s="98"/>
    </row>
    <row r="6924" spans="20:20" x14ac:dyDescent="0.25">
      <c r="T6924" s="98"/>
    </row>
    <row r="6925" spans="20:20" x14ac:dyDescent="0.25">
      <c r="T6925" s="98"/>
    </row>
    <row r="6926" spans="20:20" x14ac:dyDescent="0.25">
      <c r="T6926" s="98"/>
    </row>
    <row r="6927" spans="20:20" x14ac:dyDescent="0.25">
      <c r="T6927" s="98"/>
    </row>
    <row r="6928" spans="20:20" x14ac:dyDescent="0.25">
      <c r="T6928" s="98"/>
    </row>
    <row r="6929" spans="20:20" x14ac:dyDescent="0.25">
      <c r="T6929" s="98"/>
    </row>
    <row r="6930" spans="20:20" x14ac:dyDescent="0.25">
      <c r="T6930" s="98"/>
    </row>
    <row r="6931" spans="20:20" x14ac:dyDescent="0.25">
      <c r="T6931" s="98"/>
    </row>
    <row r="6932" spans="20:20" x14ac:dyDescent="0.25">
      <c r="T6932" s="98"/>
    </row>
    <row r="6933" spans="20:20" x14ac:dyDescent="0.25">
      <c r="T6933" s="98"/>
    </row>
    <row r="6934" spans="20:20" x14ac:dyDescent="0.25">
      <c r="T6934" s="98"/>
    </row>
    <row r="6935" spans="20:20" x14ac:dyDescent="0.25">
      <c r="T6935" s="98"/>
    </row>
    <row r="6936" spans="20:20" x14ac:dyDescent="0.25">
      <c r="T6936" s="98"/>
    </row>
    <row r="6937" spans="20:20" x14ac:dyDescent="0.25">
      <c r="T6937" s="98"/>
    </row>
    <row r="6938" spans="20:20" x14ac:dyDescent="0.25">
      <c r="T6938" s="98"/>
    </row>
    <row r="6939" spans="20:20" x14ac:dyDescent="0.25">
      <c r="T6939" s="98"/>
    </row>
    <row r="6940" spans="20:20" x14ac:dyDescent="0.25">
      <c r="T6940" s="98"/>
    </row>
    <row r="6941" spans="20:20" x14ac:dyDescent="0.25">
      <c r="T6941" s="98"/>
    </row>
    <row r="6942" spans="20:20" x14ac:dyDescent="0.25">
      <c r="T6942" s="98"/>
    </row>
    <row r="6943" spans="20:20" x14ac:dyDescent="0.25">
      <c r="T6943" s="98"/>
    </row>
    <row r="6944" spans="20:20" x14ac:dyDescent="0.25">
      <c r="T6944" s="98"/>
    </row>
    <row r="6945" spans="20:20" x14ac:dyDescent="0.25">
      <c r="T6945" s="98"/>
    </row>
    <row r="6946" spans="20:20" x14ac:dyDescent="0.25">
      <c r="T6946" s="98"/>
    </row>
    <row r="6947" spans="20:20" x14ac:dyDescent="0.25">
      <c r="T6947" s="98"/>
    </row>
    <row r="6948" spans="20:20" x14ac:dyDescent="0.25">
      <c r="T6948" s="98"/>
    </row>
    <row r="6949" spans="20:20" x14ac:dyDescent="0.25">
      <c r="T6949" s="98"/>
    </row>
    <row r="6950" spans="20:20" x14ac:dyDescent="0.25">
      <c r="T6950" s="98"/>
    </row>
    <row r="6951" spans="20:20" x14ac:dyDescent="0.25">
      <c r="T6951" s="98"/>
    </row>
    <row r="6952" spans="20:20" x14ac:dyDescent="0.25">
      <c r="T6952" s="98"/>
    </row>
    <row r="6953" spans="20:20" x14ac:dyDescent="0.25">
      <c r="T6953" s="98"/>
    </row>
    <row r="6954" spans="20:20" x14ac:dyDescent="0.25">
      <c r="T6954" s="98"/>
    </row>
    <row r="6955" spans="20:20" x14ac:dyDescent="0.25">
      <c r="T6955" s="98"/>
    </row>
    <row r="6956" spans="20:20" x14ac:dyDescent="0.25">
      <c r="T6956" s="98"/>
    </row>
    <row r="6957" spans="20:20" x14ac:dyDescent="0.25">
      <c r="T6957" s="98"/>
    </row>
    <row r="6958" spans="20:20" x14ac:dyDescent="0.25">
      <c r="T6958" s="98"/>
    </row>
    <row r="6959" spans="20:20" x14ac:dyDescent="0.25">
      <c r="T6959" s="98"/>
    </row>
    <row r="6960" spans="20:20" x14ac:dyDescent="0.25">
      <c r="T6960" s="98"/>
    </row>
    <row r="6961" spans="20:20" x14ac:dyDescent="0.25">
      <c r="T6961" s="98"/>
    </row>
    <row r="6962" spans="20:20" x14ac:dyDescent="0.25">
      <c r="T6962" s="98"/>
    </row>
    <row r="6963" spans="20:20" x14ac:dyDescent="0.25">
      <c r="T6963" s="98"/>
    </row>
    <row r="6964" spans="20:20" x14ac:dyDescent="0.25">
      <c r="T6964" s="98"/>
    </row>
    <row r="6965" spans="20:20" x14ac:dyDescent="0.25">
      <c r="T6965" s="98"/>
    </row>
    <row r="6966" spans="20:20" x14ac:dyDescent="0.25">
      <c r="T6966" s="98"/>
    </row>
    <row r="6967" spans="20:20" x14ac:dyDescent="0.25">
      <c r="T6967" s="98"/>
    </row>
    <row r="6968" spans="20:20" x14ac:dyDescent="0.25">
      <c r="T6968" s="98"/>
    </row>
    <row r="6969" spans="20:20" x14ac:dyDescent="0.25">
      <c r="T6969" s="98"/>
    </row>
    <row r="6970" spans="20:20" x14ac:dyDescent="0.25">
      <c r="T6970" s="98"/>
    </row>
    <row r="6971" spans="20:20" x14ac:dyDescent="0.25">
      <c r="T6971" s="98"/>
    </row>
    <row r="6972" spans="20:20" x14ac:dyDescent="0.25">
      <c r="T6972" s="98"/>
    </row>
    <row r="6973" spans="20:20" x14ac:dyDescent="0.25">
      <c r="T6973" s="98"/>
    </row>
    <row r="6974" spans="20:20" x14ac:dyDescent="0.25">
      <c r="T6974" s="98"/>
    </row>
    <row r="6975" spans="20:20" x14ac:dyDescent="0.25">
      <c r="T6975" s="98"/>
    </row>
    <row r="6976" spans="20:20" x14ac:dyDescent="0.25">
      <c r="T6976" s="98"/>
    </row>
    <row r="6977" spans="20:20" x14ac:dyDescent="0.25">
      <c r="T6977" s="98"/>
    </row>
    <row r="6978" spans="20:20" x14ac:dyDescent="0.25">
      <c r="T6978" s="98"/>
    </row>
    <row r="6979" spans="20:20" x14ac:dyDescent="0.25">
      <c r="T6979" s="98"/>
    </row>
    <row r="6980" spans="20:20" x14ac:dyDescent="0.25">
      <c r="T6980" s="98"/>
    </row>
    <row r="6981" spans="20:20" x14ac:dyDescent="0.25">
      <c r="T6981" s="98"/>
    </row>
    <row r="6982" spans="20:20" x14ac:dyDescent="0.25">
      <c r="T6982" s="98"/>
    </row>
    <row r="6983" spans="20:20" x14ac:dyDescent="0.25">
      <c r="T6983" s="98"/>
    </row>
    <row r="6984" spans="20:20" x14ac:dyDescent="0.25">
      <c r="T6984" s="98"/>
    </row>
    <row r="6985" spans="20:20" x14ac:dyDescent="0.25">
      <c r="T6985" s="98"/>
    </row>
    <row r="6986" spans="20:20" x14ac:dyDescent="0.25">
      <c r="T6986" s="98"/>
    </row>
    <row r="6987" spans="20:20" x14ac:dyDescent="0.25">
      <c r="T6987" s="98"/>
    </row>
    <row r="6988" spans="20:20" x14ac:dyDescent="0.25">
      <c r="T6988" s="98"/>
    </row>
    <row r="6989" spans="20:20" x14ac:dyDescent="0.25">
      <c r="T6989" s="98"/>
    </row>
    <row r="6990" spans="20:20" x14ac:dyDescent="0.25">
      <c r="T6990" s="98"/>
    </row>
    <row r="6991" spans="20:20" x14ac:dyDescent="0.25">
      <c r="T6991" s="98"/>
    </row>
    <row r="6992" spans="20:20" x14ac:dyDescent="0.25">
      <c r="T6992" s="98"/>
    </row>
    <row r="6993" spans="20:20" x14ac:dyDescent="0.25">
      <c r="T6993" s="98"/>
    </row>
    <row r="6994" spans="20:20" x14ac:dyDescent="0.25">
      <c r="T6994" s="98"/>
    </row>
    <row r="6995" spans="20:20" x14ac:dyDescent="0.25">
      <c r="T6995" s="98"/>
    </row>
    <row r="6996" spans="20:20" x14ac:dyDescent="0.25">
      <c r="T6996" s="98"/>
    </row>
    <row r="6997" spans="20:20" x14ac:dyDescent="0.25">
      <c r="T6997" s="98"/>
    </row>
    <row r="6998" spans="20:20" x14ac:dyDescent="0.25">
      <c r="T6998" s="98"/>
    </row>
    <row r="6999" spans="20:20" x14ac:dyDescent="0.25">
      <c r="T6999" s="98"/>
    </row>
    <row r="7000" spans="20:20" x14ac:dyDescent="0.25">
      <c r="T7000" s="98"/>
    </row>
    <row r="7001" spans="20:20" x14ac:dyDescent="0.25">
      <c r="T7001" s="98"/>
    </row>
    <row r="7002" spans="20:20" x14ac:dyDescent="0.25">
      <c r="T7002" s="98"/>
    </row>
    <row r="7003" spans="20:20" x14ac:dyDescent="0.25">
      <c r="T7003" s="98"/>
    </row>
    <row r="7004" spans="20:20" x14ac:dyDescent="0.25">
      <c r="T7004" s="98"/>
    </row>
    <row r="7005" spans="20:20" x14ac:dyDescent="0.25">
      <c r="T7005" s="98"/>
    </row>
    <row r="7006" spans="20:20" x14ac:dyDescent="0.25">
      <c r="T7006" s="98"/>
    </row>
    <row r="7007" spans="20:20" x14ac:dyDescent="0.25">
      <c r="T7007" s="98"/>
    </row>
    <row r="7008" spans="20:20" x14ac:dyDescent="0.25">
      <c r="T7008" s="98"/>
    </row>
    <row r="7009" spans="20:20" x14ac:dyDescent="0.25">
      <c r="T7009" s="98"/>
    </row>
    <row r="7010" spans="20:20" x14ac:dyDescent="0.25">
      <c r="T7010" s="98"/>
    </row>
    <row r="7011" spans="20:20" x14ac:dyDescent="0.25">
      <c r="T7011" s="98"/>
    </row>
    <row r="7012" spans="20:20" x14ac:dyDescent="0.25">
      <c r="T7012" s="98"/>
    </row>
    <row r="7013" spans="20:20" x14ac:dyDescent="0.25">
      <c r="T7013" s="98"/>
    </row>
    <row r="7014" spans="20:20" x14ac:dyDescent="0.25">
      <c r="T7014" s="98"/>
    </row>
    <row r="7015" spans="20:20" x14ac:dyDescent="0.25">
      <c r="T7015" s="98"/>
    </row>
    <row r="7016" spans="20:20" x14ac:dyDescent="0.25">
      <c r="T7016" s="98"/>
    </row>
    <row r="7017" spans="20:20" x14ac:dyDescent="0.25">
      <c r="T7017" s="98"/>
    </row>
    <row r="7018" spans="20:20" x14ac:dyDescent="0.25">
      <c r="T7018" s="98"/>
    </row>
    <row r="7019" spans="20:20" x14ac:dyDescent="0.25">
      <c r="T7019" s="98"/>
    </row>
    <row r="7020" spans="20:20" x14ac:dyDescent="0.25">
      <c r="T7020" s="98"/>
    </row>
    <row r="7021" spans="20:20" x14ac:dyDescent="0.25">
      <c r="T7021" s="98"/>
    </row>
    <row r="7022" spans="20:20" x14ac:dyDescent="0.25">
      <c r="T7022" s="98"/>
    </row>
    <row r="7023" spans="20:20" x14ac:dyDescent="0.25">
      <c r="T7023" s="98"/>
    </row>
    <row r="7024" spans="20:20" x14ac:dyDescent="0.25">
      <c r="T7024" s="98"/>
    </row>
    <row r="7025" spans="20:20" x14ac:dyDescent="0.25">
      <c r="T7025" s="98"/>
    </row>
    <row r="7026" spans="20:20" x14ac:dyDescent="0.25">
      <c r="T7026" s="98"/>
    </row>
    <row r="7027" spans="20:20" x14ac:dyDescent="0.25">
      <c r="T7027" s="98"/>
    </row>
    <row r="7028" spans="20:20" x14ac:dyDescent="0.25">
      <c r="T7028" s="98"/>
    </row>
    <row r="7029" spans="20:20" x14ac:dyDescent="0.25">
      <c r="T7029" s="98"/>
    </row>
    <row r="7030" spans="20:20" x14ac:dyDescent="0.25">
      <c r="T7030" s="98"/>
    </row>
    <row r="7031" spans="20:20" x14ac:dyDescent="0.25">
      <c r="T7031" s="98"/>
    </row>
    <row r="7032" spans="20:20" x14ac:dyDescent="0.25">
      <c r="T7032" s="98"/>
    </row>
    <row r="7033" spans="20:20" x14ac:dyDescent="0.25">
      <c r="T7033" s="98"/>
    </row>
    <row r="7034" spans="20:20" x14ac:dyDescent="0.25">
      <c r="T7034" s="98"/>
    </row>
    <row r="7035" spans="20:20" x14ac:dyDescent="0.25">
      <c r="T7035" s="98"/>
    </row>
    <row r="7036" spans="20:20" x14ac:dyDescent="0.25">
      <c r="T7036" s="98"/>
    </row>
    <row r="7037" spans="20:20" x14ac:dyDescent="0.25">
      <c r="T7037" s="98"/>
    </row>
    <row r="7038" spans="20:20" x14ac:dyDescent="0.25">
      <c r="T7038" s="98"/>
    </row>
    <row r="7039" spans="20:20" x14ac:dyDescent="0.25">
      <c r="T7039" s="98"/>
    </row>
    <row r="7040" spans="20:20" x14ac:dyDescent="0.25">
      <c r="T7040" s="98"/>
    </row>
    <row r="7041" spans="20:20" x14ac:dyDescent="0.25">
      <c r="T7041" s="98"/>
    </row>
    <row r="7042" spans="20:20" x14ac:dyDescent="0.25">
      <c r="T7042" s="98"/>
    </row>
    <row r="7043" spans="20:20" x14ac:dyDescent="0.25">
      <c r="T7043" s="98"/>
    </row>
    <row r="7044" spans="20:20" x14ac:dyDescent="0.25">
      <c r="T7044" s="98"/>
    </row>
    <row r="7045" spans="20:20" x14ac:dyDescent="0.25">
      <c r="T7045" s="98"/>
    </row>
    <row r="7046" spans="20:20" x14ac:dyDescent="0.25">
      <c r="T7046" s="98"/>
    </row>
    <row r="7047" spans="20:20" x14ac:dyDescent="0.25">
      <c r="T7047" s="98"/>
    </row>
    <row r="7048" spans="20:20" x14ac:dyDescent="0.25">
      <c r="T7048" s="98"/>
    </row>
    <row r="7049" spans="20:20" x14ac:dyDescent="0.25">
      <c r="T7049" s="98"/>
    </row>
    <row r="7050" spans="20:20" x14ac:dyDescent="0.25">
      <c r="T7050" s="98"/>
    </row>
    <row r="7051" spans="20:20" x14ac:dyDescent="0.25">
      <c r="T7051" s="98"/>
    </row>
    <row r="7052" spans="20:20" x14ac:dyDescent="0.25">
      <c r="T7052" s="98"/>
    </row>
    <row r="7053" spans="20:20" x14ac:dyDescent="0.25">
      <c r="T7053" s="98"/>
    </row>
    <row r="7054" spans="20:20" x14ac:dyDescent="0.25">
      <c r="T7054" s="98"/>
    </row>
    <row r="7055" spans="20:20" x14ac:dyDescent="0.25">
      <c r="T7055" s="98"/>
    </row>
    <row r="7056" spans="20:20" x14ac:dyDescent="0.25">
      <c r="T7056" s="98"/>
    </row>
    <row r="7057" spans="20:20" x14ac:dyDescent="0.25">
      <c r="T7057" s="98"/>
    </row>
    <row r="7058" spans="20:20" x14ac:dyDescent="0.25">
      <c r="T7058" s="98"/>
    </row>
    <row r="7059" spans="20:20" x14ac:dyDescent="0.25">
      <c r="T7059" s="98"/>
    </row>
    <row r="7060" spans="20:20" x14ac:dyDescent="0.25">
      <c r="T7060" s="98"/>
    </row>
    <row r="7061" spans="20:20" x14ac:dyDescent="0.25">
      <c r="T7061" s="98"/>
    </row>
    <row r="7062" spans="20:20" x14ac:dyDescent="0.25">
      <c r="T7062" s="98"/>
    </row>
    <row r="7063" spans="20:20" x14ac:dyDescent="0.25">
      <c r="T7063" s="98"/>
    </row>
    <row r="7064" spans="20:20" x14ac:dyDescent="0.25">
      <c r="T7064" s="98"/>
    </row>
    <row r="7065" spans="20:20" x14ac:dyDescent="0.25">
      <c r="T7065" s="98"/>
    </row>
    <row r="7066" spans="20:20" x14ac:dyDescent="0.25">
      <c r="T7066" s="98"/>
    </row>
    <row r="7067" spans="20:20" x14ac:dyDescent="0.25">
      <c r="T7067" s="98"/>
    </row>
    <row r="7068" spans="20:20" x14ac:dyDescent="0.25">
      <c r="T7068" s="98"/>
    </row>
    <row r="7069" spans="20:20" x14ac:dyDescent="0.25">
      <c r="T7069" s="98"/>
    </row>
    <row r="7070" spans="20:20" x14ac:dyDescent="0.25">
      <c r="T7070" s="98"/>
    </row>
    <row r="7071" spans="20:20" x14ac:dyDescent="0.25">
      <c r="T7071" s="98"/>
    </row>
    <row r="7072" spans="20:20" x14ac:dyDescent="0.25">
      <c r="T7072" s="98"/>
    </row>
    <row r="7073" spans="20:20" x14ac:dyDescent="0.25">
      <c r="T7073" s="98"/>
    </row>
    <row r="7074" spans="20:20" x14ac:dyDescent="0.25">
      <c r="T7074" s="98"/>
    </row>
    <row r="7075" spans="20:20" x14ac:dyDescent="0.25">
      <c r="T7075" s="98"/>
    </row>
    <row r="7076" spans="20:20" x14ac:dyDescent="0.25">
      <c r="T7076" s="98"/>
    </row>
    <row r="7077" spans="20:20" x14ac:dyDescent="0.25">
      <c r="T7077" s="98"/>
    </row>
    <row r="7078" spans="20:20" x14ac:dyDescent="0.25">
      <c r="T7078" s="98"/>
    </row>
    <row r="7079" spans="20:20" x14ac:dyDescent="0.25">
      <c r="T7079" s="98"/>
    </row>
    <row r="7080" spans="20:20" x14ac:dyDescent="0.25">
      <c r="T7080" s="98"/>
    </row>
    <row r="7081" spans="20:20" x14ac:dyDescent="0.25">
      <c r="T7081" s="98"/>
    </row>
    <row r="7082" spans="20:20" x14ac:dyDescent="0.25">
      <c r="T7082" s="98"/>
    </row>
    <row r="7083" spans="20:20" x14ac:dyDescent="0.25">
      <c r="T7083" s="98"/>
    </row>
    <row r="7084" spans="20:20" x14ac:dyDescent="0.25">
      <c r="T7084" s="98"/>
    </row>
    <row r="7085" spans="20:20" x14ac:dyDescent="0.25">
      <c r="T7085" s="98"/>
    </row>
    <row r="7086" spans="20:20" x14ac:dyDescent="0.25">
      <c r="T7086" s="98"/>
    </row>
    <row r="7087" spans="20:20" x14ac:dyDescent="0.25">
      <c r="T7087" s="98"/>
    </row>
    <row r="7088" spans="20:20" x14ac:dyDescent="0.25">
      <c r="T7088" s="98"/>
    </row>
    <row r="7089" spans="20:20" x14ac:dyDescent="0.25">
      <c r="T7089" s="98"/>
    </row>
    <row r="7090" spans="20:20" x14ac:dyDescent="0.25">
      <c r="T7090" s="98"/>
    </row>
    <row r="7091" spans="20:20" x14ac:dyDescent="0.25">
      <c r="T7091" s="98"/>
    </row>
    <row r="7092" spans="20:20" x14ac:dyDescent="0.25">
      <c r="T7092" s="98"/>
    </row>
    <row r="7093" spans="20:20" x14ac:dyDescent="0.25">
      <c r="T7093" s="98"/>
    </row>
    <row r="7094" spans="20:20" x14ac:dyDescent="0.25">
      <c r="T7094" s="98"/>
    </row>
    <row r="7095" spans="20:20" x14ac:dyDescent="0.25">
      <c r="T7095" s="98"/>
    </row>
    <row r="7096" spans="20:20" x14ac:dyDescent="0.25">
      <c r="T7096" s="98"/>
    </row>
    <row r="7097" spans="20:20" x14ac:dyDescent="0.25">
      <c r="T7097" s="98"/>
    </row>
    <row r="7098" spans="20:20" x14ac:dyDescent="0.25">
      <c r="T7098" s="98"/>
    </row>
    <row r="7099" spans="20:20" x14ac:dyDescent="0.25">
      <c r="T7099" s="98"/>
    </row>
    <row r="7100" spans="20:20" x14ac:dyDescent="0.25">
      <c r="T7100" s="98"/>
    </row>
    <row r="7101" spans="20:20" x14ac:dyDescent="0.25">
      <c r="T7101" s="98"/>
    </row>
    <row r="7102" spans="20:20" x14ac:dyDescent="0.25">
      <c r="T7102" s="98"/>
    </row>
    <row r="7103" spans="20:20" x14ac:dyDescent="0.25">
      <c r="T7103" s="98"/>
    </row>
    <row r="7104" spans="20:20" x14ac:dyDescent="0.25">
      <c r="T7104" s="98"/>
    </row>
    <row r="7105" spans="20:20" x14ac:dyDescent="0.25">
      <c r="T7105" s="98"/>
    </row>
    <row r="7106" spans="20:20" x14ac:dyDescent="0.25">
      <c r="T7106" s="98"/>
    </row>
    <row r="7107" spans="20:20" x14ac:dyDescent="0.25">
      <c r="T7107" s="98"/>
    </row>
    <row r="7108" spans="20:20" x14ac:dyDescent="0.25">
      <c r="T7108" s="98"/>
    </row>
    <row r="7109" spans="20:20" x14ac:dyDescent="0.25">
      <c r="T7109" s="98"/>
    </row>
    <row r="7110" spans="20:20" x14ac:dyDescent="0.25">
      <c r="T7110" s="98"/>
    </row>
    <row r="7111" spans="20:20" x14ac:dyDescent="0.25">
      <c r="T7111" s="98"/>
    </row>
    <row r="7112" spans="20:20" x14ac:dyDescent="0.25">
      <c r="T7112" s="98"/>
    </row>
    <row r="7113" spans="20:20" x14ac:dyDescent="0.25">
      <c r="T7113" s="98"/>
    </row>
    <row r="7114" spans="20:20" x14ac:dyDescent="0.25">
      <c r="T7114" s="98"/>
    </row>
    <row r="7115" spans="20:20" x14ac:dyDescent="0.25">
      <c r="T7115" s="98"/>
    </row>
    <row r="7116" spans="20:20" x14ac:dyDescent="0.25">
      <c r="T7116" s="98"/>
    </row>
    <row r="7117" spans="20:20" x14ac:dyDescent="0.25">
      <c r="T7117" s="98"/>
    </row>
    <row r="7118" spans="20:20" x14ac:dyDescent="0.25">
      <c r="T7118" s="98"/>
    </row>
    <row r="7119" spans="20:20" x14ac:dyDescent="0.25">
      <c r="T7119" s="98"/>
    </row>
    <row r="7120" spans="20:20" x14ac:dyDescent="0.25">
      <c r="T7120" s="98"/>
    </row>
    <row r="7121" spans="20:20" x14ac:dyDescent="0.25">
      <c r="T7121" s="98"/>
    </row>
    <row r="7122" spans="20:20" x14ac:dyDescent="0.25">
      <c r="T7122" s="98"/>
    </row>
    <row r="7123" spans="20:20" x14ac:dyDescent="0.25">
      <c r="T7123" s="98"/>
    </row>
    <row r="7124" spans="20:20" x14ac:dyDescent="0.25">
      <c r="T7124" s="98"/>
    </row>
    <row r="7125" spans="20:20" x14ac:dyDescent="0.25">
      <c r="T7125" s="98"/>
    </row>
    <row r="7126" spans="20:20" x14ac:dyDescent="0.25">
      <c r="T7126" s="98"/>
    </row>
    <row r="7127" spans="20:20" x14ac:dyDescent="0.25">
      <c r="T7127" s="98"/>
    </row>
    <row r="7128" spans="20:20" x14ac:dyDescent="0.25">
      <c r="T7128" s="98"/>
    </row>
    <row r="7129" spans="20:20" x14ac:dyDescent="0.25">
      <c r="T7129" s="98"/>
    </row>
    <row r="7130" spans="20:20" x14ac:dyDescent="0.25">
      <c r="T7130" s="98"/>
    </row>
    <row r="7131" spans="20:20" x14ac:dyDescent="0.25">
      <c r="T7131" s="98"/>
    </row>
    <row r="7132" spans="20:20" x14ac:dyDescent="0.25">
      <c r="T7132" s="98"/>
    </row>
    <row r="7133" spans="20:20" x14ac:dyDescent="0.25">
      <c r="T7133" s="98"/>
    </row>
    <row r="7134" spans="20:20" x14ac:dyDescent="0.25">
      <c r="T7134" s="98"/>
    </row>
    <row r="7135" spans="20:20" x14ac:dyDescent="0.25">
      <c r="T7135" s="98"/>
    </row>
    <row r="7136" spans="20:20" x14ac:dyDescent="0.25">
      <c r="T7136" s="98"/>
    </row>
    <row r="7137" spans="20:20" x14ac:dyDescent="0.25">
      <c r="T7137" s="98"/>
    </row>
    <row r="7138" spans="20:20" x14ac:dyDescent="0.25">
      <c r="T7138" s="98"/>
    </row>
    <row r="7139" spans="20:20" x14ac:dyDescent="0.25">
      <c r="T7139" s="98"/>
    </row>
    <row r="7140" spans="20:20" x14ac:dyDescent="0.25">
      <c r="T7140" s="98"/>
    </row>
    <row r="7141" spans="20:20" x14ac:dyDescent="0.25">
      <c r="T7141" s="98"/>
    </row>
    <row r="7142" spans="20:20" x14ac:dyDescent="0.25">
      <c r="T7142" s="98"/>
    </row>
    <row r="7143" spans="20:20" x14ac:dyDescent="0.25">
      <c r="T7143" s="98"/>
    </row>
    <row r="7144" spans="20:20" x14ac:dyDescent="0.25">
      <c r="T7144" s="98"/>
    </row>
    <row r="7145" spans="20:20" x14ac:dyDescent="0.25">
      <c r="T7145" s="98"/>
    </row>
    <row r="7146" spans="20:20" x14ac:dyDescent="0.25">
      <c r="T7146" s="98"/>
    </row>
    <row r="7147" spans="20:20" x14ac:dyDescent="0.25">
      <c r="T7147" s="98"/>
    </row>
    <row r="7148" spans="20:20" x14ac:dyDescent="0.25">
      <c r="T7148" s="98"/>
    </row>
    <row r="7149" spans="20:20" x14ac:dyDescent="0.25">
      <c r="T7149" s="98"/>
    </row>
    <row r="7150" spans="20:20" x14ac:dyDescent="0.25">
      <c r="T7150" s="98"/>
    </row>
    <row r="7151" spans="20:20" x14ac:dyDescent="0.25">
      <c r="T7151" s="98"/>
    </row>
    <row r="7152" spans="20:20" x14ac:dyDescent="0.25">
      <c r="T7152" s="98"/>
    </row>
    <row r="7153" spans="20:20" x14ac:dyDescent="0.25">
      <c r="T7153" s="98"/>
    </row>
    <row r="7154" spans="20:20" x14ac:dyDescent="0.25">
      <c r="T7154" s="98"/>
    </row>
    <row r="7155" spans="20:20" x14ac:dyDescent="0.25">
      <c r="T7155" s="98"/>
    </row>
    <row r="7156" spans="20:20" x14ac:dyDescent="0.25">
      <c r="T7156" s="98"/>
    </row>
    <row r="7157" spans="20:20" x14ac:dyDescent="0.25">
      <c r="T7157" s="98"/>
    </row>
    <row r="7158" spans="20:20" x14ac:dyDescent="0.25">
      <c r="T7158" s="98"/>
    </row>
    <row r="7159" spans="20:20" x14ac:dyDescent="0.25">
      <c r="T7159" s="98"/>
    </row>
    <row r="7160" spans="20:20" x14ac:dyDescent="0.25">
      <c r="T7160" s="98"/>
    </row>
    <row r="7161" spans="20:20" x14ac:dyDescent="0.25">
      <c r="T7161" s="98"/>
    </row>
    <row r="7162" spans="20:20" x14ac:dyDescent="0.25">
      <c r="T7162" s="98"/>
    </row>
    <row r="7163" spans="20:20" x14ac:dyDescent="0.25">
      <c r="T7163" s="98"/>
    </row>
    <row r="7164" spans="20:20" x14ac:dyDescent="0.25">
      <c r="T7164" s="98"/>
    </row>
    <row r="7165" spans="20:20" x14ac:dyDescent="0.25">
      <c r="T7165" s="98"/>
    </row>
    <row r="7166" spans="20:20" x14ac:dyDescent="0.25">
      <c r="T7166" s="98"/>
    </row>
    <row r="7167" spans="20:20" x14ac:dyDescent="0.25">
      <c r="T7167" s="98"/>
    </row>
    <row r="7168" spans="20:20" x14ac:dyDescent="0.25">
      <c r="T7168" s="98"/>
    </row>
    <row r="7169" spans="20:20" x14ac:dyDescent="0.25">
      <c r="T7169" s="98"/>
    </row>
    <row r="7170" spans="20:20" x14ac:dyDescent="0.25">
      <c r="T7170" s="98"/>
    </row>
    <row r="7171" spans="20:20" x14ac:dyDescent="0.25">
      <c r="T7171" s="98"/>
    </row>
    <row r="7172" spans="20:20" x14ac:dyDescent="0.25">
      <c r="T7172" s="98"/>
    </row>
    <row r="7173" spans="20:20" x14ac:dyDescent="0.25">
      <c r="T7173" s="98"/>
    </row>
    <row r="7174" spans="20:20" x14ac:dyDescent="0.25">
      <c r="T7174" s="98"/>
    </row>
    <row r="7175" spans="20:20" x14ac:dyDescent="0.25">
      <c r="T7175" s="98"/>
    </row>
    <row r="7176" spans="20:20" x14ac:dyDescent="0.25">
      <c r="T7176" s="98"/>
    </row>
    <row r="7177" spans="20:20" x14ac:dyDescent="0.25">
      <c r="T7177" s="98"/>
    </row>
    <row r="7178" spans="20:20" x14ac:dyDescent="0.25">
      <c r="T7178" s="98"/>
    </row>
    <row r="7179" spans="20:20" x14ac:dyDescent="0.25">
      <c r="T7179" s="98"/>
    </row>
    <row r="7180" spans="20:20" x14ac:dyDescent="0.25">
      <c r="T7180" s="98"/>
    </row>
    <row r="7181" spans="20:20" x14ac:dyDescent="0.25">
      <c r="T7181" s="98"/>
    </row>
    <row r="7182" spans="20:20" x14ac:dyDescent="0.25">
      <c r="T7182" s="98"/>
    </row>
    <row r="7183" spans="20:20" x14ac:dyDescent="0.25">
      <c r="T7183" s="98"/>
    </row>
    <row r="7184" spans="20:20" x14ac:dyDescent="0.25">
      <c r="T7184" s="98"/>
    </row>
    <row r="7185" spans="20:20" x14ac:dyDescent="0.25">
      <c r="T7185" s="98"/>
    </row>
    <row r="7186" spans="20:20" x14ac:dyDescent="0.25">
      <c r="T7186" s="98"/>
    </row>
    <row r="7187" spans="20:20" x14ac:dyDescent="0.25">
      <c r="T7187" s="98"/>
    </row>
    <row r="7188" spans="20:20" x14ac:dyDescent="0.25">
      <c r="T7188" s="98"/>
    </row>
    <row r="7189" spans="20:20" x14ac:dyDescent="0.25">
      <c r="T7189" s="98"/>
    </row>
    <row r="7190" spans="20:20" x14ac:dyDescent="0.25">
      <c r="T7190" s="98"/>
    </row>
    <row r="7191" spans="20:20" x14ac:dyDescent="0.25">
      <c r="T7191" s="98"/>
    </row>
    <row r="7192" spans="20:20" x14ac:dyDescent="0.25">
      <c r="T7192" s="98"/>
    </row>
    <row r="7193" spans="20:20" x14ac:dyDescent="0.25">
      <c r="T7193" s="98"/>
    </row>
    <row r="7194" spans="20:20" x14ac:dyDescent="0.25">
      <c r="T7194" s="98"/>
    </row>
    <row r="7195" spans="20:20" x14ac:dyDescent="0.25">
      <c r="T7195" s="98"/>
    </row>
    <row r="7196" spans="20:20" x14ac:dyDescent="0.25">
      <c r="T7196" s="98"/>
    </row>
    <row r="7197" spans="20:20" x14ac:dyDescent="0.25">
      <c r="T7197" s="98"/>
    </row>
    <row r="7198" spans="20:20" x14ac:dyDescent="0.25">
      <c r="T7198" s="98"/>
    </row>
    <row r="7199" spans="20:20" x14ac:dyDescent="0.25">
      <c r="T7199" s="98"/>
    </row>
    <row r="7200" spans="20:20" x14ac:dyDescent="0.25">
      <c r="T7200" s="98"/>
    </row>
    <row r="7201" spans="20:20" x14ac:dyDescent="0.25">
      <c r="T7201" s="98"/>
    </row>
    <row r="7202" spans="20:20" x14ac:dyDescent="0.25">
      <c r="T7202" s="98"/>
    </row>
    <row r="7203" spans="20:20" x14ac:dyDescent="0.25">
      <c r="T7203" s="98"/>
    </row>
    <row r="7204" spans="20:20" x14ac:dyDescent="0.25">
      <c r="T7204" s="98"/>
    </row>
    <row r="7205" spans="20:20" x14ac:dyDescent="0.25">
      <c r="T7205" s="98"/>
    </row>
    <row r="7206" spans="20:20" x14ac:dyDescent="0.25">
      <c r="T7206" s="98"/>
    </row>
    <row r="7207" spans="20:20" x14ac:dyDescent="0.25">
      <c r="T7207" s="98"/>
    </row>
    <row r="7208" spans="20:20" x14ac:dyDescent="0.25">
      <c r="T7208" s="98"/>
    </row>
    <row r="7209" spans="20:20" x14ac:dyDescent="0.25">
      <c r="T7209" s="98"/>
    </row>
    <row r="7210" spans="20:20" x14ac:dyDescent="0.25">
      <c r="T7210" s="98"/>
    </row>
    <row r="7211" spans="20:20" x14ac:dyDescent="0.25">
      <c r="T7211" s="98"/>
    </row>
    <row r="7212" spans="20:20" x14ac:dyDescent="0.25">
      <c r="T7212" s="98"/>
    </row>
    <row r="7213" spans="20:20" x14ac:dyDescent="0.25">
      <c r="T7213" s="98"/>
    </row>
    <row r="7214" spans="20:20" x14ac:dyDescent="0.25">
      <c r="T7214" s="98"/>
    </row>
    <row r="7215" spans="20:20" x14ac:dyDescent="0.25">
      <c r="T7215" s="98"/>
    </row>
    <row r="7216" spans="20:20" x14ac:dyDescent="0.25">
      <c r="T7216" s="98"/>
    </row>
    <row r="7217" spans="20:20" x14ac:dyDescent="0.25">
      <c r="T7217" s="98"/>
    </row>
    <row r="7218" spans="20:20" x14ac:dyDescent="0.25">
      <c r="T7218" s="98"/>
    </row>
    <row r="7219" spans="20:20" x14ac:dyDescent="0.25">
      <c r="T7219" s="98"/>
    </row>
    <row r="7220" spans="20:20" x14ac:dyDescent="0.25">
      <c r="T7220" s="98"/>
    </row>
    <row r="7221" spans="20:20" x14ac:dyDescent="0.25">
      <c r="T7221" s="98"/>
    </row>
    <row r="7222" spans="20:20" x14ac:dyDescent="0.25">
      <c r="T7222" s="98"/>
    </row>
    <row r="7223" spans="20:20" x14ac:dyDescent="0.25">
      <c r="T7223" s="98"/>
    </row>
    <row r="7224" spans="20:20" x14ac:dyDescent="0.25">
      <c r="T7224" s="98"/>
    </row>
    <row r="7225" spans="20:20" x14ac:dyDescent="0.25">
      <c r="T7225" s="98"/>
    </row>
    <row r="7226" spans="20:20" x14ac:dyDescent="0.25">
      <c r="T7226" s="98"/>
    </row>
    <row r="7227" spans="20:20" x14ac:dyDescent="0.25">
      <c r="T7227" s="98"/>
    </row>
    <row r="7228" spans="20:20" x14ac:dyDescent="0.25">
      <c r="T7228" s="98"/>
    </row>
    <row r="7229" spans="20:20" x14ac:dyDescent="0.25">
      <c r="T7229" s="98"/>
    </row>
    <row r="7230" spans="20:20" x14ac:dyDescent="0.25">
      <c r="T7230" s="98"/>
    </row>
    <row r="7231" spans="20:20" x14ac:dyDescent="0.25">
      <c r="T7231" s="98"/>
    </row>
    <row r="7232" spans="20:20" x14ac:dyDescent="0.25">
      <c r="T7232" s="98"/>
    </row>
    <row r="7233" spans="20:20" x14ac:dyDescent="0.25">
      <c r="T7233" s="98"/>
    </row>
    <row r="7234" spans="20:20" x14ac:dyDescent="0.25">
      <c r="T7234" s="98"/>
    </row>
    <row r="7235" spans="20:20" x14ac:dyDescent="0.25">
      <c r="T7235" s="98"/>
    </row>
    <row r="7236" spans="20:20" x14ac:dyDescent="0.25">
      <c r="T7236" s="98"/>
    </row>
    <row r="7237" spans="20:20" x14ac:dyDescent="0.25">
      <c r="T7237" s="98"/>
    </row>
    <row r="7238" spans="20:20" x14ac:dyDescent="0.25">
      <c r="T7238" s="98"/>
    </row>
    <row r="7239" spans="20:20" x14ac:dyDescent="0.25">
      <c r="T7239" s="98"/>
    </row>
    <row r="7240" spans="20:20" x14ac:dyDescent="0.25">
      <c r="T7240" s="98"/>
    </row>
    <row r="7241" spans="20:20" x14ac:dyDescent="0.25">
      <c r="T7241" s="98"/>
    </row>
    <row r="7242" spans="20:20" x14ac:dyDescent="0.25">
      <c r="T7242" s="98"/>
    </row>
    <row r="7243" spans="20:20" x14ac:dyDescent="0.25">
      <c r="T7243" s="98"/>
    </row>
    <row r="7244" spans="20:20" x14ac:dyDescent="0.25">
      <c r="T7244" s="98"/>
    </row>
    <row r="7245" spans="20:20" x14ac:dyDescent="0.25">
      <c r="T7245" s="98"/>
    </row>
    <row r="7246" spans="20:20" x14ac:dyDescent="0.25">
      <c r="T7246" s="98"/>
    </row>
    <row r="7247" spans="20:20" x14ac:dyDescent="0.25">
      <c r="T7247" s="98"/>
    </row>
    <row r="7248" spans="20:20" x14ac:dyDescent="0.25">
      <c r="T7248" s="98"/>
    </row>
    <row r="7249" spans="20:20" x14ac:dyDescent="0.25">
      <c r="T7249" s="98"/>
    </row>
    <row r="7250" spans="20:20" x14ac:dyDescent="0.25">
      <c r="T7250" s="98"/>
    </row>
    <row r="7251" spans="20:20" x14ac:dyDescent="0.25">
      <c r="T7251" s="98"/>
    </row>
    <row r="7252" spans="20:20" x14ac:dyDescent="0.25">
      <c r="T7252" s="98"/>
    </row>
    <row r="7253" spans="20:20" x14ac:dyDescent="0.25">
      <c r="T7253" s="98"/>
    </row>
    <row r="7254" spans="20:20" x14ac:dyDescent="0.25">
      <c r="T7254" s="98"/>
    </row>
    <row r="7255" spans="20:20" x14ac:dyDescent="0.25">
      <c r="T7255" s="98"/>
    </row>
    <row r="7256" spans="20:20" x14ac:dyDescent="0.25">
      <c r="T7256" s="98"/>
    </row>
    <row r="7257" spans="20:20" x14ac:dyDescent="0.25">
      <c r="T7257" s="98"/>
    </row>
    <row r="7258" spans="20:20" x14ac:dyDescent="0.25">
      <c r="T7258" s="98"/>
    </row>
    <row r="7259" spans="20:20" x14ac:dyDescent="0.25">
      <c r="T7259" s="98"/>
    </row>
    <row r="7260" spans="20:20" x14ac:dyDescent="0.25">
      <c r="T7260" s="98"/>
    </row>
    <row r="7261" spans="20:20" x14ac:dyDescent="0.25">
      <c r="T7261" s="98"/>
    </row>
    <row r="7262" spans="20:20" x14ac:dyDescent="0.25">
      <c r="T7262" s="98"/>
    </row>
    <row r="7263" spans="20:20" x14ac:dyDescent="0.25">
      <c r="T7263" s="98"/>
    </row>
    <row r="7264" spans="20:20" x14ac:dyDescent="0.25">
      <c r="T7264" s="98"/>
    </row>
    <row r="7265" spans="20:20" x14ac:dyDescent="0.25">
      <c r="T7265" s="98"/>
    </row>
    <row r="7266" spans="20:20" x14ac:dyDescent="0.25">
      <c r="T7266" s="98"/>
    </row>
    <row r="7267" spans="20:20" x14ac:dyDescent="0.25">
      <c r="T7267" s="98"/>
    </row>
    <row r="7268" spans="20:20" x14ac:dyDescent="0.25">
      <c r="T7268" s="98"/>
    </row>
    <row r="7269" spans="20:20" x14ac:dyDescent="0.25">
      <c r="T7269" s="98"/>
    </row>
    <row r="7270" spans="20:20" x14ac:dyDescent="0.25">
      <c r="T7270" s="98"/>
    </row>
    <row r="7271" spans="20:20" x14ac:dyDescent="0.25">
      <c r="T7271" s="98"/>
    </row>
    <row r="7272" spans="20:20" x14ac:dyDescent="0.25">
      <c r="T7272" s="98"/>
    </row>
    <row r="7273" spans="20:20" x14ac:dyDescent="0.25">
      <c r="T7273" s="98"/>
    </row>
    <row r="7274" spans="20:20" x14ac:dyDescent="0.25">
      <c r="T7274" s="98"/>
    </row>
    <row r="7275" spans="20:20" x14ac:dyDescent="0.25">
      <c r="T7275" s="98"/>
    </row>
    <row r="7276" spans="20:20" x14ac:dyDescent="0.25">
      <c r="T7276" s="98"/>
    </row>
    <row r="7277" spans="20:20" x14ac:dyDescent="0.25">
      <c r="T7277" s="98"/>
    </row>
    <row r="7278" spans="20:20" x14ac:dyDescent="0.25">
      <c r="T7278" s="98"/>
    </row>
    <row r="7279" spans="20:20" x14ac:dyDescent="0.25">
      <c r="T7279" s="98"/>
    </row>
    <row r="7280" spans="20:20" x14ac:dyDescent="0.25">
      <c r="T7280" s="98"/>
    </row>
    <row r="7281" spans="20:20" x14ac:dyDescent="0.25">
      <c r="T7281" s="98"/>
    </row>
    <row r="7282" spans="20:20" x14ac:dyDescent="0.25">
      <c r="T7282" s="98"/>
    </row>
    <row r="7283" spans="20:20" x14ac:dyDescent="0.25">
      <c r="T7283" s="98"/>
    </row>
    <row r="7284" spans="20:20" x14ac:dyDescent="0.25">
      <c r="T7284" s="98"/>
    </row>
    <row r="7285" spans="20:20" x14ac:dyDescent="0.25">
      <c r="T7285" s="98"/>
    </row>
    <row r="7286" spans="20:20" x14ac:dyDescent="0.25">
      <c r="T7286" s="98"/>
    </row>
    <row r="7287" spans="20:20" x14ac:dyDescent="0.25">
      <c r="T7287" s="98"/>
    </row>
    <row r="7288" spans="20:20" x14ac:dyDescent="0.25">
      <c r="T7288" s="98"/>
    </row>
    <row r="7289" spans="20:20" x14ac:dyDescent="0.25">
      <c r="T7289" s="98"/>
    </row>
    <row r="7290" spans="20:20" x14ac:dyDescent="0.25">
      <c r="T7290" s="98"/>
    </row>
    <row r="7291" spans="20:20" x14ac:dyDescent="0.25">
      <c r="T7291" s="98"/>
    </row>
    <row r="7292" spans="20:20" x14ac:dyDescent="0.25">
      <c r="T7292" s="98"/>
    </row>
    <row r="7293" spans="20:20" x14ac:dyDescent="0.25">
      <c r="T7293" s="98"/>
    </row>
    <row r="7294" spans="20:20" x14ac:dyDescent="0.25">
      <c r="T7294" s="98"/>
    </row>
    <row r="7295" spans="20:20" x14ac:dyDescent="0.25">
      <c r="T7295" s="98"/>
    </row>
    <row r="7296" spans="20:20" x14ac:dyDescent="0.25">
      <c r="T7296" s="98"/>
    </row>
    <row r="7297" spans="20:20" x14ac:dyDescent="0.25">
      <c r="T7297" s="98"/>
    </row>
    <row r="7298" spans="20:20" x14ac:dyDescent="0.25">
      <c r="T7298" s="98"/>
    </row>
    <row r="7299" spans="20:20" x14ac:dyDescent="0.25">
      <c r="T7299" s="98"/>
    </row>
    <row r="7300" spans="20:20" x14ac:dyDescent="0.25">
      <c r="T7300" s="98"/>
    </row>
    <row r="7301" spans="20:20" x14ac:dyDescent="0.25">
      <c r="T7301" s="98"/>
    </row>
    <row r="7302" spans="20:20" x14ac:dyDescent="0.25">
      <c r="T7302" s="98"/>
    </row>
    <row r="7303" spans="20:20" x14ac:dyDescent="0.25">
      <c r="T7303" s="98"/>
    </row>
    <row r="7304" spans="20:20" x14ac:dyDescent="0.25">
      <c r="T7304" s="98"/>
    </row>
    <row r="7305" spans="20:20" x14ac:dyDescent="0.25">
      <c r="T7305" s="98"/>
    </row>
    <row r="7306" spans="20:20" x14ac:dyDescent="0.25">
      <c r="T7306" s="98"/>
    </row>
    <row r="7307" spans="20:20" x14ac:dyDescent="0.25">
      <c r="T7307" s="98"/>
    </row>
    <row r="7308" spans="20:20" x14ac:dyDescent="0.25">
      <c r="T7308" s="98"/>
    </row>
    <row r="7309" spans="20:20" x14ac:dyDescent="0.25">
      <c r="T7309" s="98"/>
    </row>
    <row r="7310" spans="20:20" x14ac:dyDescent="0.25">
      <c r="T7310" s="98"/>
    </row>
    <row r="7311" spans="20:20" x14ac:dyDescent="0.25">
      <c r="T7311" s="98"/>
    </row>
    <row r="7312" spans="20:20" x14ac:dyDescent="0.25">
      <c r="T7312" s="98"/>
    </row>
    <row r="7313" spans="20:20" x14ac:dyDescent="0.25">
      <c r="T7313" s="98"/>
    </row>
    <row r="7314" spans="20:20" x14ac:dyDescent="0.25">
      <c r="T7314" s="98"/>
    </row>
    <row r="7315" spans="20:20" x14ac:dyDescent="0.25">
      <c r="T7315" s="98"/>
    </row>
    <row r="7316" spans="20:20" x14ac:dyDescent="0.25">
      <c r="T7316" s="98"/>
    </row>
    <row r="7317" spans="20:20" x14ac:dyDescent="0.25">
      <c r="T7317" s="98"/>
    </row>
    <row r="7318" spans="20:20" x14ac:dyDescent="0.25">
      <c r="T7318" s="98"/>
    </row>
    <row r="7319" spans="20:20" x14ac:dyDescent="0.25">
      <c r="T7319" s="98"/>
    </row>
    <row r="7320" spans="20:20" x14ac:dyDescent="0.25">
      <c r="T7320" s="98"/>
    </row>
    <row r="7321" spans="20:20" x14ac:dyDescent="0.25">
      <c r="T7321" s="98"/>
    </row>
    <row r="7322" spans="20:20" x14ac:dyDescent="0.25">
      <c r="T7322" s="98"/>
    </row>
    <row r="7323" spans="20:20" x14ac:dyDescent="0.25">
      <c r="T7323" s="98"/>
    </row>
    <row r="7324" spans="20:20" x14ac:dyDescent="0.25">
      <c r="T7324" s="98"/>
    </row>
    <row r="7325" spans="20:20" x14ac:dyDescent="0.25">
      <c r="T7325" s="98"/>
    </row>
    <row r="7326" spans="20:20" x14ac:dyDescent="0.25">
      <c r="T7326" s="98"/>
    </row>
    <row r="7327" spans="20:20" x14ac:dyDescent="0.25">
      <c r="T7327" s="98"/>
    </row>
    <row r="7328" spans="20:20" x14ac:dyDescent="0.25">
      <c r="T7328" s="98"/>
    </row>
    <row r="7329" spans="20:20" x14ac:dyDescent="0.25">
      <c r="T7329" s="98"/>
    </row>
    <row r="7330" spans="20:20" x14ac:dyDescent="0.25">
      <c r="T7330" s="98"/>
    </row>
    <row r="7331" spans="20:20" x14ac:dyDescent="0.25">
      <c r="T7331" s="98"/>
    </row>
    <row r="7332" spans="20:20" x14ac:dyDescent="0.25">
      <c r="T7332" s="98"/>
    </row>
    <row r="7333" spans="20:20" x14ac:dyDescent="0.25">
      <c r="T7333" s="98"/>
    </row>
    <row r="7334" spans="20:20" x14ac:dyDescent="0.25">
      <c r="T7334" s="98"/>
    </row>
    <row r="7335" spans="20:20" x14ac:dyDescent="0.25">
      <c r="T7335" s="98"/>
    </row>
    <row r="7336" spans="20:20" x14ac:dyDescent="0.25">
      <c r="T7336" s="98"/>
    </row>
    <row r="7337" spans="20:20" x14ac:dyDescent="0.25">
      <c r="T7337" s="98"/>
    </row>
    <row r="7338" spans="20:20" x14ac:dyDescent="0.25">
      <c r="T7338" s="98"/>
    </row>
    <row r="7339" spans="20:20" x14ac:dyDescent="0.25">
      <c r="T7339" s="98"/>
    </row>
    <row r="7340" spans="20:20" x14ac:dyDescent="0.25">
      <c r="T7340" s="98"/>
    </row>
    <row r="7341" spans="20:20" x14ac:dyDescent="0.25">
      <c r="T7341" s="98"/>
    </row>
    <row r="7342" spans="20:20" x14ac:dyDescent="0.25">
      <c r="T7342" s="98"/>
    </row>
    <row r="7343" spans="20:20" x14ac:dyDescent="0.25">
      <c r="T7343" s="98"/>
    </row>
    <row r="7344" spans="20:20" x14ac:dyDescent="0.25">
      <c r="T7344" s="98"/>
    </row>
    <row r="7345" spans="20:20" x14ac:dyDescent="0.25">
      <c r="T7345" s="98"/>
    </row>
    <row r="7346" spans="20:20" x14ac:dyDescent="0.25">
      <c r="T7346" s="98"/>
    </row>
    <row r="7347" spans="20:20" x14ac:dyDescent="0.25">
      <c r="T7347" s="98"/>
    </row>
    <row r="7348" spans="20:20" x14ac:dyDescent="0.25">
      <c r="T7348" s="98"/>
    </row>
    <row r="7349" spans="20:20" x14ac:dyDescent="0.25">
      <c r="T7349" s="98"/>
    </row>
    <row r="7350" spans="20:20" x14ac:dyDescent="0.25">
      <c r="T7350" s="98"/>
    </row>
    <row r="7351" spans="20:20" x14ac:dyDescent="0.25">
      <c r="T7351" s="98"/>
    </row>
    <row r="7352" spans="20:20" x14ac:dyDescent="0.25">
      <c r="T7352" s="98"/>
    </row>
    <row r="7353" spans="20:20" x14ac:dyDescent="0.25">
      <c r="T7353" s="98"/>
    </row>
    <row r="7354" spans="20:20" x14ac:dyDescent="0.25">
      <c r="T7354" s="98"/>
    </row>
    <row r="7355" spans="20:20" x14ac:dyDescent="0.25">
      <c r="T7355" s="98"/>
    </row>
    <row r="7356" spans="20:20" x14ac:dyDescent="0.25">
      <c r="T7356" s="98"/>
    </row>
    <row r="7357" spans="20:20" x14ac:dyDescent="0.25">
      <c r="T7357" s="98"/>
    </row>
    <row r="7358" spans="20:20" x14ac:dyDescent="0.25">
      <c r="T7358" s="98"/>
    </row>
    <row r="7359" spans="20:20" x14ac:dyDescent="0.25">
      <c r="T7359" s="98"/>
    </row>
    <row r="7360" spans="20:20" x14ac:dyDescent="0.25">
      <c r="T7360" s="98"/>
    </row>
    <row r="7361" spans="20:20" x14ac:dyDescent="0.25">
      <c r="T7361" s="98"/>
    </row>
    <row r="7362" spans="20:20" x14ac:dyDescent="0.25">
      <c r="T7362" s="98"/>
    </row>
    <row r="7363" spans="20:20" x14ac:dyDescent="0.25">
      <c r="T7363" s="98"/>
    </row>
    <row r="7364" spans="20:20" x14ac:dyDescent="0.25">
      <c r="T7364" s="98"/>
    </row>
    <row r="7365" spans="20:20" x14ac:dyDescent="0.25">
      <c r="T7365" s="98"/>
    </row>
    <row r="7366" spans="20:20" x14ac:dyDescent="0.25">
      <c r="T7366" s="98"/>
    </row>
    <row r="7367" spans="20:20" x14ac:dyDescent="0.25">
      <c r="T7367" s="98"/>
    </row>
    <row r="7368" spans="20:20" x14ac:dyDescent="0.25">
      <c r="T7368" s="98"/>
    </row>
    <row r="7369" spans="20:20" x14ac:dyDescent="0.25">
      <c r="T7369" s="98"/>
    </row>
    <row r="7370" spans="20:20" x14ac:dyDescent="0.25">
      <c r="T7370" s="98"/>
    </row>
    <row r="7371" spans="20:20" x14ac:dyDescent="0.25">
      <c r="T7371" s="98"/>
    </row>
    <row r="7372" spans="20:20" x14ac:dyDescent="0.25">
      <c r="T7372" s="98"/>
    </row>
    <row r="7373" spans="20:20" x14ac:dyDescent="0.25">
      <c r="T7373" s="98"/>
    </row>
    <row r="7374" spans="20:20" x14ac:dyDescent="0.25">
      <c r="T7374" s="98"/>
    </row>
    <row r="7375" spans="20:20" x14ac:dyDescent="0.25">
      <c r="T7375" s="98"/>
    </row>
    <row r="7376" spans="20:20" x14ac:dyDescent="0.25">
      <c r="T7376" s="98"/>
    </row>
    <row r="7377" spans="20:20" x14ac:dyDescent="0.25">
      <c r="T7377" s="98"/>
    </row>
    <row r="7378" spans="20:20" x14ac:dyDescent="0.25">
      <c r="T7378" s="98"/>
    </row>
    <row r="7379" spans="20:20" x14ac:dyDescent="0.25">
      <c r="T7379" s="98"/>
    </row>
    <row r="7380" spans="20:20" x14ac:dyDescent="0.25">
      <c r="T7380" s="98"/>
    </row>
    <row r="7381" spans="20:20" x14ac:dyDescent="0.25">
      <c r="T7381" s="98"/>
    </row>
    <row r="7382" spans="20:20" x14ac:dyDescent="0.25">
      <c r="T7382" s="98"/>
    </row>
    <row r="7383" spans="20:20" x14ac:dyDescent="0.25">
      <c r="T7383" s="98"/>
    </row>
    <row r="7384" spans="20:20" x14ac:dyDescent="0.25">
      <c r="T7384" s="98"/>
    </row>
    <row r="7385" spans="20:20" x14ac:dyDescent="0.25">
      <c r="T7385" s="98"/>
    </row>
    <row r="7386" spans="20:20" x14ac:dyDescent="0.25">
      <c r="T7386" s="98"/>
    </row>
    <row r="7387" spans="20:20" x14ac:dyDescent="0.25">
      <c r="T7387" s="98"/>
    </row>
    <row r="7388" spans="20:20" x14ac:dyDescent="0.25">
      <c r="T7388" s="98"/>
    </row>
    <row r="7389" spans="20:20" x14ac:dyDescent="0.25">
      <c r="T7389" s="98"/>
    </row>
    <row r="7390" spans="20:20" x14ac:dyDescent="0.25">
      <c r="T7390" s="98"/>
    </row>
    <row r="7391" spans="20:20" x14ac:dyDescent="0.25">
      <c r="T7391" s="98"/>
    </row>
    <row r="7392" spans="20:20" x14ac:dyDescent="0.25">
      <c r="T7392" s="98"/>
    </row>
    <row r="7393" spans="20:20" x14ac:dyDescent="0.25">
      <c r="T7393" s="98"/>
    </row>
    <row r="7394" spans="20:20" x14ac:dyDescent="0.25">
      <c r="T7394" s="98"/>
    </row>
    <row r="7395" spans="20:20" x14ac:dyDescent="0.25">
      <c r="T7395" s="98"/>
    </row>
    <row r="7396" spans="20:20" x14ac:dyDescent="0.25">
      <c r="T7396" s="98"/>
    </row>
    <row r="7397" spans="20:20" x14ac:dyDescent="0.25">
      <c r="T7397" s="98"/>
    </row>
    <row r="7398" spans="20:20" x14ac:dyDescent="0.25">
      <c r="T7398" s="98"/>
    </row>
    <row r="7399" spans="20:20" x14ac:dyDescent="0.25">
      <c r="T7399" s="98"/>
    </row>
    <row r="7400" spans="20:20" x14ac:dyDescent="0.25">
      <c r="T7400" s="98"/>
    </row>
    <row r="7401" spans="20:20" x14ac:dyDescent="0.25">
      <c r="T7401" s="98"/>
    </row>
    <row r="7402" spans="20:20" x14ac:dyDescent="0.25">
      <c r="T7402" s="98"/>
    </row>
    <row r="7403" spans="20:20" x14ac:dyDescent="0.25">
      <c r="T7403" s="98"/>
    </row>
    <row r="7404" spans="20:20" x14ac:dyDescent="0.25">
      <c r="T7404" s="98"/>
    </row>
    <row r="7405" spans="20:20" x14ac:dyDescent="0.25">
      <c r="T7405" s="98"/>
    </row>
    <row r="7406" spans="20:20" x14ac:dyDescent="0.25">
      <c r="T7406" s="98"/>
    </row>
    <row r="7407" spans="20:20" x14ac:dyDescent="0.25">
      <c r="T7407" s="98"/>
    </row>
    <row r="7408" spans="20:20" x14ac:dyDescent="0.25">
      <c r="T7408" s="98"/>
    </row>
    <row r="7409" spans="20:20" x14ac:dyDescent="0.25">
      <c r="T7409" s="98"/>
    </row>
    <row r="7410" spans="20:20" x14ac:dyDescent="0.25">
      <c r="T7410" s="98"/>
    </row>
    <row r="7411" spans="20:20" x14ac:dyDescent="0.25">
      <c r="T7411" s="98"/>
    </row>
    <row r="7412" spans="20:20" x14ac:dyDescent="0.25">
      <c r="T7412" s="98"/>
    </row>
    <row r="7413" spans="20:20" x14ac:dyDescent="0.25">
      <c r="T7413" s="98"/>
    </row>
    <row r="7414" spans="20:20" x14ac:dyDescent="0.25">
      <c r="T7414" s="98"/>
    </row>
    <row r="7415" spans="20:20" x14ac:dyDescent="0.25">
      <c r="T7415" s="98"/>
    </row>
    <row r="7416" spans="20:20" x14ac:dyDescent="0.25">
      <c r="T7416" s="98"/>
    </row>
    <row r="7417" spans="20:20" x14ac:dyDescent="0.25">
      <c r="T7417" s="98"/>
    </row>
    <row r="7418" spans="20:20" x14ac:dyDescent="0.25">
      <c r="T7418" s="98"/>
    </row>
    <row r="7419" spans="20:20" x14ac:dyDescent="0.25">
      <c r="T7419" s="98"/>
    </row>
    <row r="7420" spans="20:20" x14ac:dyDescent="0.25">
      <c r="T7420" s="98"/>
    </row>
    <row r="7421" spans="20:20" x14ac:dyDescent="0.25">
      <c r="T7421" s="98"/>
    </row>
    <row r="7422" spans="20:20" x14ac:dyDescent="0.25">
      <c r="T7422" s="98"/>
    </row>
    <row r="7423" spans="20:20" x14ac:dyDescent="0.25">
      <c r="T7423" s="98"/>
    </row>
    <row r="7424" spans="20:20" x14ac:dyDescent="0.25">
      <c r="T7424" s="98"/>
    </row>
    <row r="7425" spans="20:20" x14ac:dyDescent="0.25">
      <c r="T7425" s="98"/>
    </row>
    <row r="7426" spans="20:20" x14ac:dyDescent="0.25">
      <c r="T7426" s="98"/>
    </row>
    <row r="7427" spans="20:20" x14ac:dyDescent="0.25">
      <c r="T7427" s="98"/>
    </row>
    <row r="7428" spans="20:20" x14ac:dyDescent="0.25">
      <c r="T7428" s="98"/>
    </row>
    <row r="7429" spans="20:20" x14ac:dyDescent="0.25">
      <c r="T7429" s="98"/>
    </row>
    <row r="7430" spans="20:20" x14ac:dyDescent="0.25">
      <c r="T7430" s="98"/>
    </row>
    <row r="7431" spans="20:20" x14ac:dyDescent="0.25">
      <c r="T7431" s="98"/>
    </row>
    <row r="7432" spans="20:20" x14ac:dyDescent="0.25">
      <c r="T7432" s="98"/>
    </row>
    <row r="7433" spans="20:20" x14ac:dyDescent="0.25">
      <c r="T7433" s="98"/>
    </row>
    <row r="7434" spans="20:20" x14ac:dyDescent="0.25">
      <c r="T7434" s="98"/>
    </row>
    <row r="7435" spans="20:20" x14ac:dyDescent="0.25">
      <c r="T7435" s="98"/>
    </row>
    <row r="7436" spans="20:20" x14ac:dyDescent="0.25">
      <c r="T7436" s="98"/>
    </row>
    <row r="7437" spans="20:20" x14ac:dyDescent="0.25">
      <c r="T7437" s="98"/>
    </row>
    <row r="7438" spans="20:20" x14ac:dyDescent="0.25">
      <c r="T7438" s="98"/>
    </row>
    <row r="7439" spans="20:20" x14ac:dyDescent="0.25">
      <c r="T7439" s="98"/>
    </row>
    <row r="7440" spans="20:20" x14ac:dyDescent="0.25">
      <c r="T7440" s="98"/>
    </row>
    <row r="7441" spans="20:20" x14ac:dyDescent="0.25">
      <c r="T7441" s="98"/>
    </row>
    <row r="7442" spans="20:20" x14ac:dyDescent="0.25">
      <c r="T7442" s="98"/>
    </row>
    <row r="7443" spans="20:20" x14ac:dyDescent="0.25">
      <c r="T7443" s="98"/>
    </row>
    <row r="7444" spans="20:20" x14ac:dyDescent="0.25">
      <c r="T7444" s="98"/>
    </row>
    <row r="7445" spans="20:20" x14ac:dyDescent="0.25">
      <c r="T7445" s="98"/>
    </row>
    <row r="7446" spans="20:20" x14ac:dyDescent="0.25">
      <c r="T7446" s="98"/>
    </row>
    <row r="7447" spans="20:20" x14ac:dyDescent="0.25">
      <c r="T7447" s="98"/>
    </row>
    <row r="7448" spans="20:20" x14ac:dyDescent="0.25">
      <c r="T7448" s="98"/>
    </row>
    <row r="7449" spans="20:20" x14ac:dyDescent="0.25">
      <c r="T7449" s="98"/>
    </row>
    <row r="7450" spans="20:20" x14ac:dyDescent="0.25">
      <c r="T7450" s="98"/>
    </row>
    <row r="7451" spans="20:20" x14ac:dyDescent="0.25">
      <c r="T7451" s="98"/>
    </row>
    <row r="7452" spans="20:20" x14ac:dyDescent="0.25">
      <c r="T7452" s="98"/>
    </row>
    <row r="7453" spans="20:20" x14ac:dyDescent="0.25">
      <c r="T7453" s="98"/>
    </row>
    <row r="7454" spans="20:20" x14ac:dyDescent="0.25">
      <c r="T7454" s="98"/>
    </row>
    <row r="7455" spans="20:20" x14ac:dyDescent="0.25">
      <c r="T7455" s="98"/>
    </row>
    <row r="7456" spans="20:20" x14ac:dyDescent="0.25">
      <c r="T7456" s="98"/>
    </row>
    <row r="7457" spans="20:20" x14ac:dyDescent="0.25">
      <c r="T7457" s="98"/>
    </row>
    <row r="7458" spans="20:20" x14ac:dyDescent="0.25">
      <c r="T7458" s="98"/>
    </row>
    <row r="7459" spans="20:20" x14ac:dyDescent="0.25">
      <c r="T7459" s="98"/>
    </row>
    <row r="7460" spans="20:20" x14ac:dyDescent="0.25">
      <c r="T7460" s="98"/>
    </row>
    <row r="7461" spans="20:20" x14ac:dyDescent="0.25">
      <c r="T7461" s="98"/>
    </row>
    <row r="7462" spans="20:20" x14ac:dyDescent="0.25">
      <c r="T7462" s="98"/>
    </row>
    <row r="7463" spans="20:20" x14ac:dyDescent="0.25">
      <c r="T7463" s="98"/>
    </row>
    <row r="7464" spans="20:20" x14ac:dyDescent="0.25">
      <c r="T7464" s="98"/>
    </row>
    <row r="7465" spans="20:20" x14ac:dyDescent="0.25">
      <c r="T7465" s="98"/>
    </row>
    <row r="7466" spans="20:20" x14ac:dyDescent="0.25">
      <c r="T7466" s="98"/>
    </row>
    <row r="7467" spans="20:20" x14ac:dyDescent="0.25">
      <c r="T7467" s="98"/>
    </row>
    <row r="7468" spans="20:20" x14ac:dyDescent="0.25">
      <c r="T7468" s="98"/>
    </row>
    <row r="7469" spans="20:20" x14ac:dyDescent="0.25">
      <c r="T7469" s="98"/>
    </row>
    <row r="7470" spans="20:20" x14ac:dyDescent="0.25">
      <c r="T7470" s="98"/>
    </row>
    <row r="7471" spans="20:20" x14ac:dyDescent="0.25">
      <c r="T7471" s="98"/>
    </row>
    <row r="7472" spans="20:20" x14ac:dyDescent="0.25">
      <c r="T7472" s="98"/>
    </row>
    <row r="7473" spans="20:20" x14ac:dyDescent="0.25">
      <c r="T7473" s="98"/>
    </row>
    <row r="7474" spans="20:20" x14ac:dyDescent="0.25">
      <c r="T7474" s="98"/>
    </row>
    <row r="7475" spans="20:20" x14ac:dyDescent="0.25">
      <c r="T7475" s="98"/>
    </row>
    <row r="7476" spans="20:20" x14ac:dyDescent="0.25">
      <c r="T7476" s="98"/>
    </row>
    <row r="7477" spans="20:20" x14ac:dyDescent="0.25">
      <c r="T7477" s="98"/>
    </row>
    <row r="7478" spans="20:20" x14ac:dyDescent="0.25">
      <c r="T7478" s="98"/>
    </row>
    <row r="7479" spans="20:20" x14ac:dyDescent="0.25">
      <c r="T7479" s="98"/>
    </row>
    <row r="7480" spans="20:20" x14ac:dyDescent="0.25">
      <c r="T7480" s="98"/>
    </row>
    <row r="7481" spans="20:20" x14ac:dyDescent="0.25">
      <c r="T7481" s="98"/>
    </row>
    <row r="7482" spans="20:20" x14ac:dyDescent="0.25">
      <c r="T7482" s="98"/>
    </row>
    <row r="7483" spans="20:20" x14ac:dyDescent="0.25">
      <c r="T7483" s="98"/>
    </row>
    <row r="7484" spans="20:20" x14ac:dyDescent="0.25">
      <c r="T7484" s="98"/>
    </row>
    <row r="7485" spans="20:20" x14ac:dyDescent="0.25">
      <c r="T7485" s="98"/>
    </row>
    <row r="7486" spans="20:20" x14ac:dyDescent="0.25">
      <c r="T7486" s="98"/>
    </row>
    <row r="7487" spans="20:20" x14ac:dyDescent="0.25">
      <c r="T7487" s="98"/>
    </row>
    <row r="7488" spans="20:20" x14ac:dyDescent="0.25">
      <c r="T7488" s="98"/>
    </row>
    <row r="7489" spans="20:20" x14ac:dyDescent="0.25">
      <c r="T7489" s="98"/>
    </row>
    <row r="7490" spans="20:20" x14ac:dyDescent="0.25">
      <c r="T7490" s="98"/>
    </row>
    <row r="7491" spans="20:20" x14ac:dyDescent="0.25">
      <c r="T7491" s="98"/>
    </row>
    <row r="7492" spans="20:20" x14ac:dyDescent="0.25">
      <c r="T7492" s="98"/>
    </row>
    <row r="7493" spans="20:20" x14ac:dyDescent="0.25">
      <c r="T7493" s="98"/>
    </row>
    <row r="7494" spans="20:20" x14ac:dyDescent="0.25">
      <c r="T7494" s="98"/>
    </row>
    <row r="7495" spans="20:20" x14ac:dyDescent="0.25">
      <c r="T7495" s="98"/>
    </row>
    <row r="7496" spans="20:20" x14ac:dyDescent="0.25">
      <c r="T7496" s="98"/>
    </row>
    <row r="7497" spans="20:20" x14ac:dyDescent="0.25">
      <c r="T7497" s="98"/>
    </row>
    <row r="7498" spans="20:20" x14ac:dyDescent="0.25">
      <c r="T7498" s="98"/>
    </row>
    <row r="7499" spans="20:20" x14ac:dyDescent="0.25">
      <c r="T7499" s="98"/>
    </row>
    <row r="7500" spans="20:20" x14ac:dyDescent="0.25">
      <c r="T7500" s="98"/>
    </row>
    <row r="7501" spans="20:20" x14ac:dyDescent="0.25">
      <c r="T7501" s="98"/>
    </row>
    <row r="7502" spans="20:20" x14ac:dyDescent="0.25">
      <c r="T7502" s="98"/>
    </row>
    <row r="7503" spans="20:20" x14ac:dyDescent="0.25">
      <c r="T7503" s="98"/>
    </row>
    <row r="7504" spans="20:20" x14ac:dyDescent="0.25">
      <c r="T7504" s="98"/>
    </row>
    <row r="7505" spans="20:20" x14ac:dyDescent="0.25">
      <c r="T7505" s="98"/>
    </row>
    <row r="7506" spans="20:20" x14ac:dyDescent="0.25">
      <c r="T7506" s="98"/>
    </row>
    <row r="7507" spans="20:20" x14ac:dyDescent="0.25">
      <c r="T7507" s="98"/>
    </row>
    <row r="7508" spans="20:20" x14ac:dyDescent="0.25">
      <c r="T7508" s="98"/>
    </row>
    <row r="7509" spans="20:20" x14ac:dyDescent="0.25">
      <c r="T7509" s="98"/>
    </row>
    <row r="7510" spans="20:20" x14ac:dyDescent="0.25">
      <c r="T7510" s="98"/>
    </row>
    <row r="7511" spans="20:20" x14ac:dyDescent="0.25">
      <c r="T7511" s="98"/>
    </row>
    <row r="7512" spans="20:20" x14ac:dyDescent="0.25">
      <c r="T7512" s="98"/>
    </row>
    <row r="7513" spans="20:20" x14ac:dyDescent="0.25">
      <c r="T7513" s="98"/>
    </row>
    <row r="7514" spans="20:20" x14ac:dyDescent="0.25">
      <c r="T7514" s="98"/>
    </row>
    <row r="7515" spans="20:20" x14ac:dyDescent="0.25">
      <c r="T7515" s="98"/>
    </row>
    <row r="7516" spans="20:20" x14ac:dyDescent="0.25">
      <c r="T7516" s="98"/>
    </row>
    <row r="7517" spans="20:20" x14ac:dyDescent="0.25">
      <c r="T7517" s="98"/>
    </row>
    <row r="7518" spans="20:20" x14ac:dyDescent="0.25">
      <c r="T7518" s="98"/>
    </row>
    <row r="7519" spans="20:20" x14ac:dyDescent="0.25">
      <c r="T7519" s="98"/>
    </row>
    <row r="7520" spans="20:20" x14ac:dyDescent="0.25">
      <c r="T7520" s="98"/>
    </row>
    <row r="7521" spans="20:20" x14ac:dyDescent="0.25">
      <c r="T7521" s="98"/>
    </row>
    <row r="7522" spans="20:20" x14ac:dyDescent="0.25">
      <c r="T7522" s="98"/>
    </row>
    <row r="7523" spans="20:20" x14ac:dyDescent="0.25">
      <c r="T7523" s="98"/>
    </row>
    <row r="7524" spans="20:20" x14ac:dyDescent="0.25">
      <c r="T7524" s="98"/>
    </row>
    <row r="7525" spans="20:20" x14ac:dyDescent="0.25">
      <c r="T7525" s="98"/>
    </row>
    <row r="7526" spans="20:20" x14ac:dyDescent="0.25">
      <c r="T7526" s="98"/>
    </row>
    <row r="7527" spans="20:20" x14ac:dyDescent="0.25">
      <c r="T7527" s="98"/>
    </row>
    <row r="7528" spans="20:20" x14ac:dyDescent="0.25">
      <c r="T7528" s="98"/>
    </row>
    <row r="7529" spans="20:20" x14ac:dyDescent="0.25">
      <c r="T7529" s="98"/>
    </row>
    <row r="7530" spans="20:20" x14ac:dyDescent="0.25">
      <c r="T7530" s="98"/>
    </row>
    <row r="7531" spans="20:20" x14ac:dyDescent="0.25">
      <c r="T7531" s="98"/>
    </row>
    <row r="7532" spans="20:20" x14ac:dyDescent="0.25">
      <c r="T7532" s="98"/>
    </row>
    <row r="7533" spans="20:20" x14ac:dyDescent="0.25">
      <c r="T7533" s="98"/>
    </row>
    <row r="7534" spans="20:20" x14ac:dyDescent="0.25">
      <c r="T7534" s="98"/>
    </row>
    <row r="7535" spans="20:20" x14ac:dyDescent="0.25">
      <c r="T7535" s="98"/>
    </row>
    <row r="7536" spans="20:20" x14ac:dyDescent="0.25">
      <c r="T7536" s="98"/>
    </row>
    <row r="7537" spans="20:20" x14ac:dyDescent="0.25">
      <c r="T7537" s="98"/>
    </row>
    <row r="7538" spans="20:20" x14ac:dyDescent="0.25">
      <c r="T7538" s="98"/>
    </row>
    <row r="7539" spans="20:20" x14ac:dyDescent="0.25">
      <c r="T7539" s="98"/>
    </row>
    <row r="7540" spans="20:20" x14ac:dyDescent="0.25">
      <c r="T7540" s="98"/>
    </row>
    <row r="7541" spans="20:20" x14ac:dyDescent="0.25">
      <c r="T7541" s="98"/>
    </row>
    <row r="7542" spans="20:20" x14ac:dyDescent="0.25">
      <c r="T7542" s="98"/>
    </row>
    <row r="7543" spans="20:20" x14ac:dyDescent="0.25">
      <c r="T7543" s="98"/>
    </row>
    <row r="7544" spans="20:20" x14ac:dyDescent="0.25">
      <c r="T7544" s="98"/>
    </row>
    <row r="7545" spans="20:20" x14ac:dyDescent="0.25">
      <c r="T7545" s="98"/>
    </row>
    <row r="7546" spans="20:20" x14ac:dyDescent="0.25">
      <c r="T7546" s="98"/>
    </row>
    <row r="7547" spans="20:20" x14ac:dyDescent="0.25">
      <c r="T7547" s="98"/>
    </row>
    <row r="7548" spans="20:20" x14ac:dyDescent="0.25">
      <c r="T7548" s="98"/>
    </row>
    <row r="7549" spans="20:20" x14ac:dyDescent="0.25">
      <c r="T7549" s="98"/>
    </row>
    <row r="7550" spans="20:20" x14ac:dyDescent="0.25">
      <c r="T7550" s="98"/>
    </row>
    <row r="7551" spans="20:20" x14ac:dyDescent="0.25">
      <c r="T7551" s="98"/>
    </row>
    <row r="7552" spans="20:20" x14ac:dyDescent="0.25">
      <c r="T7552" s="98"/>
    </row>
    <row r="7553" spans="20:20" x14ac:dyDescent="0.25">
      <c r="T7553" s="98"/>
    </row>
    <row r="7554" spans="20:20" x14ac:dyDescent="0.25">
      <c r="T7554" s="98"/>
    </row>
    <row r="7555" spans="20:20" x14ac:dyDescent="0.25">
      <c r="T7555" s="98"/>
    </row>
    <row r="7556" spans="20:20" x14ac:dyDescent="0.25">
      <c r="T7556" s="98"/>
    </row>
    <row r="7557" spans="20:20" x14ac:dyDescent="0.25">
      <c r="T7557" s="98"/>
    </row>
    <row r="7558" spans="20:20" x14ac:dyDescent="0.25">
      <c r="T7558" s="98"/>
    </row>
    <row r="7559" spans="20:20" x14ac:dyDescent="0.25">
      <c r="T7559" s="98"/>
    </row>
    <row r="7560" spans="20:20" x14ac:dyDescent="0.25">
      <c r="T7560" s="98"/>
    </row>
    <row r="7561" spans="20:20" x14ac:dyDescent="0.25">
      <c r="T7561" s="98"/>
    </row>
    <row r="7562" spans="20:20" x14ac:dyDescent="0.25">
      <c r="T7562" s="98"/>
    </row>
    <row r="7563" spans="20:20" x14ac:dyDescent="0.25">
      <c r="T7563" s="98"/>
    </row>
    <row r="7564" spans="20:20" x14ac:dyDescent="0.25">
      <c r="T7564" s="98"/>
    </row>
    <row r="7565" spans="20:20" x14ac:dyDescent="0.25">
      <c r="T7565" s="98"/>
    </row>
    <row r="7566" spans="20:20" x14ac:dyDescent="0.25">
      <c r="T7566" s="98"/>
    </row>
    <row r="7567" spans="20:20" x14ac:dyDescent="0.25">
      <c r="T7567" s="98"/>
    </row>
    <row r="7568" spans="20:20" x14ac:dyDescent="0.25">
      <c r="T7568" s="98"/>
    </row>
    <row r="7569" spans="20:20" x14ac:dyDescent="0.25">
      <c r="T7569" s="98"/>
    </row>
    <row r="7570" spans="20:20" x14ac:dyDescent="0.25">
      <c r="T7570" s="98"/>
    </row>
    <row r="7571" spans="20:20" x14ac:dyDescent="0.25">
      <c r="T7571" s="98"/>
    </row>
    <row r="7572" spans="20:20" x14ac:dyDescent="0.25">
      <c r="T7572" s="98"/>
    </row>
    <row r="7573" spans="20:20" x14ac:dyDescent="0.25">
      <c r="T7573" s="98"/>
    </row>
    <row r="7574" spans="20:20" x14ac:dyDescent="0.25">
      <c r="T7574" s="98"/>
    </row>
    <row r="7575" spans="20:20" x14ac:dyDescent="0.25">
      <c r="T7575" s="98"/>
    </row>
    <row r="7576" spans="20:20" x14ac:dyDescent="0.25">
      <c r="T7576" s="98"/>
    </row>
    <row r="7577" spans="20:20" x14ac:dyDescent="0.25">
      <c r="T7577" s="98"/>
    </row>
    <row r="7578" spans="20:20" x14ac:dyDescent="0.25">
      <c r="T7578" s="98"/>
    </row>
    <row r="7579" spans="20:20" x14ac:dyDescent="0.25">
      <c r="T7579" s="98"/>
    </row>
    <row r="7580" spans="20:20" x14ac:dyDescent="0.25">
      <c r="T7580" s="98"/>
    </row>
    <row r="7581" spans="20:20" x14ac:dyDescent="0.25">
      <c r="T7581" s="98"/>
    </row>
    <row r="7582" spans="20:20" x14ac:dyDescent="0.25">
      <c r="T7582" s="98"/>
    </row>
    <row r="7583" spans="20:20" x14ac:dyDescent="0.25">
      <c r="T7583" s="98"/>
    </row>
    <row r="7584" spans="20:20" x14ac:dyDescent="0.25">
      <c r="T7584" s="98"/>
    </row>
    <row r="7585" spans="20:20" x14ac:dyDescent="0.25">
      <c r="T7585" s="98"/>
    </row>
    <row r="7586" spans="20:20" x14ac:dyDescent="0.25">
      <c r="T7586" s="98"/>
    </row>
    <row r="7587" spans="20:20" x14ac:dyDescent="0.25">
      <c r="T7587" s="98"/>
    </row>
    <row r="7588" spans="20:20" x14ac:dyDescent="0.25">
      <c r="T7588" s="98"/>
    </row>
    <row r="7589" spans="20:20" x14ac:dyDescent="0.25">
      <c r="T7589" s="98"/>
    </row>
    <row r="7590" spans="20:20" x14ac:dyDescent="0.25">
      <c r="T7590" s="98"/>
    </row>
    <row r="7591" spans="20:20" x14ac:dyDescent="0.25">
      <c r="T7591" s="98"/>
    </row>
    <row r="7592" spans="20:20" x14ac:dyDescent="0.25">
      <c r="T7592" s="98"/>
    </row>
    <row r="7593" spans="20:20" x14ac:dyDescent="0.25">
      <c r="T7593" s="98"/>
    </row>
    <row r="7594" spans="20:20" x14ac:dyDescent="0.25">
      <c r="T7594" s="98"/>
    </row>
    <row r="7595" spans="20:20" x14ac:dyDescent="0.25">
      <c r="T7595" s="98"/>
    </row>
    <row r="7596" spans="20:20" x14ac:dyDescent="0.25">
      <c r="T7596" s="98"/>
    </row>
    <row r="7597" spans="20:20" x14ac:dyDescent="0.25">
      <c r="T7597" s="98"/>
    </row>
    <row r="7598" spans="20:20" x14ac:dyDescent="0.25">
      <c r="T7598" s="98"/>
    </row>
    <row r="7599" spans="20:20" x14ac:dyDescent="0.25">
      <c r="T7599" s="98"/>
    </row>
    <row r="7600" spans="20:20" x14ac:dyDescent="0.25">
      <c r="T7600" s="98"/>
    </row>
    <row r="7601" spans="20:20" x14ac:dyDescent="0.25">
      <c r="T7601" s="98"/>
    </row>
    <row r="7602" spans="20:20" x14ac:dyDescent="0.25">
      <c r="T7602" s="98"/>
    </row>
    <row r="7603" spans="20:20" x14ac:dyDescent="0.25">
      <c r="T7603" s="98"/>
    </row>
    <row r="7604" spans="20:20" x14ac:dyDescent="0.25">
      <c r="T7604" s="98"/>
    </row>
    <row r="7605" spans="20:20" x14ac:dyDescent="0.25">
      <c r="T7605" s="98"/>
    </row>
    <row r="7606" spans="20:20" x14ac:dyDescent="0.25">
      <c r="T7606" s="98"/>
    </row>
    <row r="7607" spans="20:20" x14ac:dyDescent="0.25">
      <c r="T7607" s="98"/>
    </row>
    <row r="7608" spans="20:20" x14ac:dyDescent="0.25">
      <c r="T7608" s="98"/>
    </row>
    <row r="7609" spans="20:20" x14ac:dyDescent="0.25">
      <c r="T7609" s="98"/>
    </row>
    <row r="7610" spans="20:20" x14ac:dyDescent="0.25">
      <c r="T7610" s="98"/>
    </row>
    <row r="7611" spans="20:20" x14ac:dyDescent="0.25">
      <c r="T7611" s="98"/>
    </row>
    <row r="7612" spans="20:20" x14ac:dyDescent="0.25">
      <c r="T7612" s="98"/>
    </row>
    <row r="7613" spans="20:20" x14ac:dyDescent="0.25">
      <c r="T7613" s="98"/>
    </row>
    <row r="7614" spans="20:20" x14ac:dyDescent="0.25">
      <c r="T7614" s="98"/>
    </row>
    <row r="7615" spans="20:20" x14ac:dyDescent="0.25">
      <c r="T7615" s="98"/>
    </row>
    <row r="7616" spans="20:20" x14ac:dyDescent="0.25">
      <c r="T7616" s="98"/>
    </row>
    <row r="7617" spans="20:20" x14ac:dyDescent="0.25">
      <c r="T7617" s="98"/>
    </row>
    <row r="7618" spans="20:20" x14ac:dyDescent="0.25">
      <c r="T7618" s="98"/>
    </row>
    <row r="7619" spans="20:20" x14ac:dyDescent="0.25">
      <c r="T7619" s="98"/>
    </row>
    <row r="7620" spans="20:20" x14ac:dyDescent="0.25">
      <c r="T7620" s="98"/>
    </row>
    <row r="7621" spans="20:20" x14ac:dyDescent="0.25">
      <c r="T7621" s="98"/>
    </row>
    <row r="7622" spans="20:20" x14ac:dyDescent="0.25">
      <c r="T7622" s="98"/>
    </row>
    <row r="7623" spans="20:20" x14ac:dyDescent="0.25">
      <c r="T7623" s="98"/>
    </row>
    <row r="7624" spans="20:20" x14ac:dyDescent="0.25">
      <c r="T7624" s="98"/>
    </row>
    <row r="7625" spans="20:20" x14ac:dyDescent="0.25">
      <c r="T7625" s="98"/>
    </row>
    <row r="7626" spans="20:20" x14ac:dyDescent="0.25">
      <c r="T7626" s="98"/>
    </row>
    <row r="7627" spans="20:20" x14ac:dyDescent="0.25">
      <c r="T7627" s="98"/>
    </row>
    <row r="7628" spans="20:20" x14ac:dyDescent="0.25">
      <c r="T7628" s="98"/>
    </row>
    <row r="7629" spans="20:20" x14ac:dyDescent="0.25">
      <c r="T7629" s="98"/>
    </row>
    <row r="7630" spans="20:20" x14ac:dyDescent="0.25">
      <c r="T7630" s="98"/>
    </row>
    <row r="7631" spans="20:20" x14ac:dyDescent="0.25">
      <c r="T7631" s="98"/>
    </row>
    <row r="7632" spans="20:20" x14ac:dyDescent="0.25">
      <c r="T7632" s="98"/>
    </row>
    <row r="7633" spans="20:20" x14ac:dyDescent="0.25">
      <c r="T7633" s="98"/>
    </row>
    <row r="7634" spans="20:20" x14ac:dyDescent="0.25">
      <c r="T7634" s="98"/>
    </row>
    <row r="7635" spans="20:20" x14ac:dyDescent="0.25">
      <c r="T7635" s="98"/>
    </row>
    <row r="7636" spans="20:20" x14ac:dyDescent="0.25">
      <c r="T7636" s="98"/>
    </row>
    <row r="7637" spans="20:20" x14ac:dyDescent="0.25">
      <c r="T7637" s="98"/>
    </row>
    <row r="7638" spans="20:20" x14ac:dyDescent="0.25">
      <c r="T7638" s="98"/>
    </row>
    <row r="7639" spans="20:20" x14ac:dyDescent="0.25">
      <c r="T7639" s="98"/>
    </row>
    <row r="7640" spans="20:20" x14ac:dyDescent="0.25">
      <c r="T7640" s="98"/>
    </row>
    <row r="7641" spans="20:20" x14ac:dyDescent="0.25">
      <c r="T7641" s="98"/>
    </row>
    <row r="7642" spans="20:20" x14ac:dyDescent="0.25">
      <c r="T7642" s="98"/>
    </row>
    <row r="7643" spans="20:20" x14ac:dyDescent="0.25">
      <c r="T7643" s="98"/>
    </row>
    <row r="7644" spans="20:20" x14ac:dyDescent="0.25">
      <c r="T7644" s="98"/>
    </row>
    <row r="7645" spans="20:20" x14ac:dyDescent="0.25">
      <c r="T7645" s="98"/>
    </row>
    <row r="7646" spans="20:20" x14ac:dyDescent="0.25">
      <c r="T7646" s="98"/>
    </row>
    <row r="7647" spans="20:20" x14ac:dyDescent="0.25">
      <c r="T7647" s="98"/>
    </row>
    <row r="7648" spans="20:20" x14ac:dyDescent="0.25">
      <c r="T7648" s="98"/>
    </row>
    <row r="7649" spans="20:20" x14ac:dyDescent="0.25">
      <c r="T7649" s="98"/>
    </row>
    <row r="7650" spans="20:20" x14ac:dyDescent="0.25">
      <c r="T7650" s="98"/>
    </row>
    <row r="7651" spans="20:20" x14ac:dyDescent="0.25">
      <c r="T7651" s="98"/>
    </row>
    <row r="7652" spans="20:20" x14ac:dyDescent="0.25">
      <c r="T7652" s="98"/>
    </row>
    <row r="7653" spans="20:20" x14ac:dyDescent="0.25">
      <c r="T7653" s="98"/>
    </row>
    <row r="7654" spans="20:20" x14ac:dyDescent="0.25">
      <c r="T7654" s="98"/>
    </row>
    <row r="7655" spans="20:20" x14ac:dyDescent="0.25">
      <c r="T7655" s="98"/>
    </row>
    <row r="7656" spans="20:20" x14ac:dyDescent="0.25">
      <c r="T7656" s="98"/>
    </row>
    <row r="7657" spans="20:20" x14ac:dyDescent="0.25">
      <c r="T7657" s="98"/>
    </row>
    <row r="7658" spans="20:20" x14ac:dyDescent="0.25">
      <c r="T7658" s="98"/>
    </row>
    <row r="7659" spans="20:20" x14ac:dyDescent="0.25">
      <c r="T7659" s="98"/>
    </row>
    <row r="7660" spans="20:20" x14ac:dyDescent="0.25">
      <c r="T7660" s="98"/>
    </row>
    <row r="7661" spans="20:20" x14ac:dyDescent="0.25">
      <c r="T7661" s="98"/>
    </row>
    <row r="7662" spans="20:20" x14ac:dyDescent="0.25">
      <c r="T7662" s="98"/>
    </row>
    <row r="7663" spans="20:20" x14ac:dyDescent="0.25">
      <c r="T7663" s="98"/>
    </row>
    <row r="7664" spans="20:20" x14ac:dyDescent="0.25">
      <c r="T7664" s="98"/>
    </row>
    <row r="7665" spans="20:20" x14ac:dyDescent="0.25">
      <c r="T7665" s="98"/>
    </row>
    <row r="7666" spans="20:20" x14ac:dyDescent="0.25">
      <c r="T7666" s="98"/>
    </row>
    <row r="7667" spans="20:20" x14ac:dyDescent="0.25">
      <c r="T7667" s="98"/>
    </row>
    <row r="7668" spans="20:20" x14ac:dyDescent="0.25">
      <c r="T7668" s="98"/>
    </row>
    <row r="7669" spans="20:20" x14ac:dyDescent="0.25">
      <c r="T7669" s="98"/>
    </row>
    <row r="7670" spans="20:20" x14ac:dyDescent="0.25">
      <c r="T7670" s="98"/>
    </row>
    <row r="7671" spans="20:20" x14ac:dyDescent="0.25">
      <c r="T7671" s="98"/>
    </row>
    <row r="7672" spans="20:20" x14ac:dyDescent="0.25">
      <c r="T7672" s="98"/>
    </row>
    <row r="7673" spans="20:20" x14ac:dyDescent="0.25">
      <c r="T7673" s="98"/>
    </row>
    <row r="7674" spans="20:20" x14ac:dyDescent="0.25">
      <c r="T7674" s="98"/>
    </row>
    <row r="7675" spans="20:20" x14ac:dyDescent="0.25">
      <c r="T7675" s="98"/>
    </row>
    <row r="7676" spans="20:20" x14ac:dyDescent="0.25">
      <c r="T7676" s="98"/>
    </row>
    <row r="7677" spans="20:20" x14ac:dyDescent="0.25">
      <c r="T7677" s="98"/>
    </row>
    <row r="7678" spans="20:20" x14ac:dyDescent="0.25">
      <c r="T7678" s="98"/>
    </row>
    <row r="7679" spans="20:20" x14ac:dyDescent="0.25">
      <c r="T7679" s="98"/>
    </row>
    <row r="7680" spans="20:20" x14ac:dyDescent="0.25">
      <c r="T7680" s="98"/>
    </row>
    <row r="7681" spans="20:20" x14ac:dyDescent="0.25">
      <c r="T7681" s="98"/>
    </row>
    <row r="7682" spans="20:20" x14ac:dyDescent="0.25">
      <c r="T7682" s="98"/>
    </row>
    <row r="7683" spans="20:20" x14ac:dyDescent="0.25">
      <c r="T7683" s="98"/>
    </row>
    <row r="7684" spans="20:20" x14ac:dyDescent="0.25">
      <c r="T7684" s="98"/>
    </row>
    <row r="7685" spans="20:20" x14ac:dyDescent="0.25">
      <c r="T7685" s="98"/>
    </row>
    <row r="7686" spans="20:20" x14ac:dyDescent="0.25">
      <c r="T7686" s="98"/>
    </row>
    <row r="7687" spans="20:20" x14ac:dyDescent="0.25">
      <c r="T7687" s="98"/>
    </row>
    <row r="7688" spans="20:20" x14ac:dyDescent="0.25">
      <c r="T7688" s="98"/>
    </row>
    <row r="7689" spans="20:20" x14ac:dyDescent="0.25">
      <c r="T7689" s="98"/>
    </row>
    <row r="7690" spans="20:20" x14ac:dyDescent="0.25">
      <c r="T7690" s="98"/>
    </row>
    <row r="7691" spans="20:20" x14ac:dyDescent="0.25">
      <c r="T7691" s="98"/>
    </row>
    <row r="7692" spans="20:20" x14ac:dyDescent="0.25">
      <c r="T7692" s="98"/>
    </row>
    <row r="7693" spans="20:20" x14ac:dyDescent="0.25">
      <c r="T7693" s="98"/>
    </row>
    <row r="7694" spans="20:20" x14ac:dyDescent="0.25">
      <c r="T7694" s="98"/>
    </row>
    <row r="7695" spans="20:20" x14ac:dyDescent="0.25">
      <c r="T7695" s="98"/>
    </row>
    <row r="7696" spans="20:20" x14ac:dyDescent="0.25">
      <c r="T7696" s="98"/>
    </row>
    <row r="7697" spans="20:20" x14ac:dyDescent="0.25">
      <c r="T7697" s="98"/>
    </row>
    <row r="7698" spans="20:20" x14ac:dyDescent="0.25">
      <c r="T7698" s="98"/>
    </row>
    <row r="7699" spans="20:20" x14ac:dyDescent="0.25">
      <c r="T7699" s="98"/>
    </row>
    <row r="7700" spans="20:20" x14ac:dyDescent="0.25">
      <c r="T7700" s="98"/>
    </row>
    <row r="7701" spans="20:20" x14ac:dyDescent="0.25">
      <c r="T7701" s="98"/>
    </row>
    <row r="7702" spans="20:20" x14ac:dyDescent="0.25">
      <c r="T7702" s="98"/>
    </row>
    <row r="7703" spans="20:20" x14ac:dyDescent="0.25">
      <c r="T7703" s="98"/>
    </row>
    <row r="7704" spans="20:20" x14ac:dyDescent="0.25">
      <c r="T7704" s="98"/>
    </row>
    <row r="7705" spans="20:20" x14ac:dyDescent="0.25">
      <c r="T7705" s="98"/>
    </row>
    <row r="7706" spans="20:20" x14ac:dyDescent="0.25">
      <c r="T7706" s="98"/>
    </row>
    <row r="7707" spans="20:20" x14ac:dyDescent="0.25">
      <c r="T7707" s="98"/>
    </row>
    <row r="7708" spans="20:20" x14ac:dyDescent="0.25">
      <c r="T7708" s="98"/>
    </row>
    <row r="7709" spans="20:20" x14ac:dyDescent="0.25">
      <c r="T7709" s="98"/>
    </row>
    <row r="7710" spans="20:20" x14ac:dyDescent="0.25">
      <c r="T7710" s="98"/>
    </row>
    <row r="7711" spans="20:20" x14ac:dyDescent="0.25">
      <c r="T7711" s="98"/>
    </row>
    <row r="7712" spans="20:20" x14ac:dyDescent="0.25">
      <c r="T7712" s="98"/>
    </row>
    <row r="7713" spans="20:20" x14ac:dyDescent="0.25">
      <c r="T7713" s="98"/>
    </row>
    <row r="7714" spans="20:20" x14ac:dyDescent="0.25">
      <c r="T7714" s="98"/>
    </row>
    <row r="7715" spans="20:20" x14ac:dyDescent="0.25">
      <c r="T7715" s="98"/>
    </row>
    <row r="7716" spans="20:20" x14ac:dyDescent="0.25">
      <c r="T7716" s="98"/>
    </row>
    <row r="7717" spans="20:20" x14ac:dyDescent="0.25">
      <c r="T7717" s="98"/>
    </row>
    <row r="7718" spans="20:20" x14ac:dyDescent="0.25">
      <c r="T7718" s="98"/>
    </row>
    <row r="7719" spans="20:20" x14ac:dyDescent="0.25">
      <c r="T7719" s="98"/>
    </row>
    <row r="7720" spans="20:20" x14ac:dyDescent="0.25">
      <c r="T7720" s="98"/>
    </row>
    <row r="7721" spans="20:20" x14ac:dyDescent="0.25">
      <c r="T7721" s="98"/>
    </row>
    <row r="7722" spans="20:20" x14ac:dyDescent="0.25">
      <c r="T7722" s="98"/>
    </row>
    <row r="7723" spans="20:20" x14ac:dyDescent="0.25">
      <c r="T7723" s="98"/>
    </row>
    <row r="7724" spans="20:20" x14ac:dyDescent="0.25">
      <c r="T7724" s="98"/>
    </row>
    <row r="7725" spans="20:20" x14ac:dyDescent="0.25">
      <c r="T7725" s="98"/>
    </row>
    <row r="7726" spans="20:20" x14ac:dyDescent="0.25">
      <c r="T7726" s="98"/>
    </row>
    <row r="7727" spans="20:20" x14ac:dyDescent="0.25">
      <c r="T7727" s="98"/>
    </row>
    <row r="7728" spans="20:20" x14ac:dyDescent="0.25">
      <c r="T7728" s="98"/>
    </row>
    <row r="7729" spans="20:20" x14ac:dyDescent="0.25">
      <c r="T7729" s="98"/>
    </row>
    <row r="7730" spans="20:20" x14ac:dyDescent="0.25">
      <c r="T7730" s="98"/>
    </row>
    <row r="7731" spans="20:20" x14ac:dyDescent="0.25">
      <c r="T7731" s="98"/>
    </row>
    <row r="7732" spans="20:20" x14ac:dyDescent="0.25">
      <c r="T7732" s="98"/>
    </row>
    <row r="7733" spans="20:20" x14ac:dyDescent="0.25">
      <c r="T7733" s="98"/>
    </row>
    <row r="7734" spans="20:20" x14ac:dyDescent="0.25">
      <c r="T7734" s="98"/>
    </row>
    <row r="7735" spans="20:20" x14ac:dyDescent="0.25">
      <c r="T7735" s="98"/>
    </row>
    <row r="7736" spans="20:20" x14ac:dyDescent="0.25">
      <c r="T7736" s="98"/>
    </row>
    <row r="7737" spans="20:20" x14ac:dyDescent="0.25">
      <c r="T7737" s="98"/>
    </row>
    <row r="7738" spans="20:20" x14ac:dyDescent="0.25">
      <c r="T7738" s="98"/>
    </row>
    <row r="7739" spans="20:20" x14ac:dyDescent="0.25">
      <c r="T7739" s="98"/>
    </row>
    <row r="7740" spans="20:20" x14ac:dyDescent="0.25">
      <c r="T7740" s="98"/>
    </row>
    <row r="7741" spans="20:20" x14ac:dyDescent="0.25">
      <c r="T7741" s="98"/>
    </row>
    <row r="7742" spans="20:20" x14ac:dyDescent="0.25">
      <c r="T7742" s="98"/>
    </row>
    <row r="7743" spans="20:20" x14ac:dyDescent="0.25">
      <c r="T7743" s="98"/>
    </row>
    <row r="7744" spans="20:20" x14ac:dyDescent="0.25">
      <c r="T7744" s="98"/>
    </row>
    <row r="7745" spans="20:20" x14ac:dyDescent="0.25">
      <c r="T7745" s="98"/>
    </row>
    <row r="7746" spans="20:20" x14ac:dyDescent="0.25">
      <c r="T7746" s="98"/>
    </row>
    <row r="7747" spans="20:20" x14ac:dyDescent="0.25">
      <c r="T7747" s="98"/>
    </row>
    <row r="7748" spans="20:20" x14ac:dyDescent="0.25">
      <c r="T7748" s="98"/>
    </row>
    <row r="7749" spans="20:20" x14ac:dyDescent="0.25">
      <c r="T7749" s="98"/>
    </row>
    <row r="7750" spans="20:20" x14ac:dyDescent="0.25">
      <c r="T7750" s="98"/>
    </row>
    <row r="7751" spans="20:20" x14ac:dyDescent="0.25">
      <c r="T7751" s="98"/>
    </row>
    <row r="7752" spans="20:20" x14ac:dyDescent="0.25">
      <c r="T7752" s="98"/>
    </row>
    <row r="7753" spans="20:20" x14ac:dyDescent="0.25">
      <c r="T7753" s="98"/>
    </row>
    <row r="7754" spans="20:20" x14ac:dyDescent="0.25">
      <c r="T7754" s="98"/>
    </row>
    <row r="7755" spans="20:20" x14ac:dyDescent="0.25">
      <c r="T7755" s="98"/>
    </row>
    <row r="7756" spans="20:20" x14ac:dyDescent="0.25">
      <c r="T7756" s="98"/>
    </row>
    <row r="7757" spans="20:20" x14ac:dyDescent="0.25">
      <c r="T7757" s="98"/>
    </row>
    <row r="7758" spans="20:20" x14ac:dyDescent="0.25">
      <c r="T7758" s="98"/>
    </row>
    <row r="7759" spans="20:20" x14ac:dyDescent="0.25">
      <c r="T7759" s="98"/>
    </row>
    <row r="7760" spans="20:20" x14ac:dyDescent="0.25">
      <c r="T7760" s="98"/>
    </row>
    <row r="7761" spans="20:20" x14ac:dyDescent="0.25">
      <c r="T7761" s="98"/>
    </row>
    <row r="7762" spans="20:20" x14ac:dyDescent="0.25">
      <c r="T7762" s="98"/>
    </row>
    <row r="7763" spans="20:20" x14ac:dyDescent="0.25">
      <c r="T7763" s="98"/>
    </row>
    <row r="7764" spans="20:20" x14ac:dyDescent="0.25">
      <c r="T7764" s="98"/>
    </row>
    <row r="7765" spans="20:20" x14ac:dyDescent="0.25">
      <c r="T7765" s="98"/>
    </row>
    <row r="7766" spans="20:20" x14ac:dyDescent="0.25">
      <c r="T7766" s="98"/>
    </row>
    <row r="7767" spans="20:20" x14ac:dyDescent="0.25">
      <c r="T7767" s="98"/>
    </row>
    <row r="7768" spans="20:20" x14ac:dyDescent="0.25">
      <c r="T7768" s="98"/>
    </row>
    <row r="7769" spans="20:20" x14ac:dyDescent="0.25">
      <c r="T7769" s="98"/>
    </row>
    <row r="7770" spans="20:20" x14ac:dyDescent="0.25">
      <c r="T7770" s="98"/>
    </row>
    <row r="7771" spans="20:20" x14ac:dyDescent="0.25">
      <c r="T7771" s="98"/>
    </row>
    <row r="7772" spans="20:20" x14ac:dyDescent="0.25">
      <c r="T7772" s="98"/>
    </row>
    <row r="7773" spans="20:20" x14ac:dyDescent="0.25">
      <c r="T7773" s="98"/>
    </row>
    <row r="7774" spans="20:20" x14ac:dyDescent="0.25">
      <c r="T7774" s="98"/>
    </row>
    <row r="7775" spans="20:20" x14ac:dyDescent="0.25">
      <c r="T7775" s="98"/>
    </row>
    <row r="7776" spans="20:20" x14ac:dyDescent="0.25">
      <c r="T7776" s="98"/>
    </row>
    <row r="7777" spans="20:20" x14ac:dyDescent="0.25">
      <c r="T7777" s="98"/>
    </row>
    <row r="7778" spans="20:20" x14ac:dyDescent="0.25">
      <c r="T7778" s="98"/>
    </row>
    <row r="7779" spans="20:20" x14ac:dyDescent="0.25">
      <c r="T7779" s="98"/>
    </row>
    <row r="7780" spans="20:20" x14ac:dyDescent="0.25">
      <c r="T7780" s="98"/>
    </row>
    <row r="7781" spans="20:20" x14ac:dyDescent="0.25">
      <c r="T7781" s="98"/>
    </row>
    <row r="7782" spans="20:20" x14ac:dyDescent="0.25">
      <c r="T7782" s="98"/>
    </row>
    <row r="7783" spans="20:20" x14ac:dyDescent="0.25">
      <c r="T7783" s="98"/>
    </row>
    <row r="7784" spans="20:20" x14ac:dyDescent="0.25">
      <c r="T7784" s="98"/>
    </row>
    <row r="7785" spans="20:20" x14ac:dyDescent="0.25">
      <c r="T7785" s="98"/>
    </row>
    <row r="7786" spans="20:20" x14ac:dyDescent="0.25">
      <c r="T7786" s="98"/>
    </row>
    <row r="7787" spans="20:20" x14ac:dyDescent="0.25">
      <c r="T7787" s="98"/>
    </row>
    <row r="7788" spans="20:20" x14ac:dyDescent="0.25">
      <c r="T7788" s="98"/>
    </row>
    <row r="7789" spans="20:20" x14ac:dyDescent="0.25">
      <c r="T7789" s="98"/>
    </row>
    <row r="7790" spans="20:20" x14ac:dyDescent="0.25">
      <c r="T7790" s="98"/>
    </row>
    <row r="7791" spans="20:20" x14ac:dyDescent="0.25">
      <c r="T7791" s="98"/>
    </row>
    <row r="7792" spans="20:20" x14ac:dyDescent="0.25">
      <c r="T7792" s="98"/>
    </row>
    <row r="7793" spans="20:20" x14ac:dyDescent="0.25">
      <c r="T7793" s="98"/>
    </row>
    <row r="7794" spans="20:20" x14ac:dyDescent="0.25">
      <c r="T7794" s="98"/>
    </row>
    <row r="7795" spans="20:20" x14ac:dyDescent="0.25">
      <c r="T7795" s="98"/>
    </row>
    <row r="7796" spans="20:20" x14ac:dyDescent="0.25">
      <c r="T7796" s="98"/>
    </row>
    <row r="7797" spans="20:20" x14ac:dyDescent="0.25">
      <c r="T7797" s="98"/>
    </row>
    <row r="7798" spans="20:20" x14ac:dyDescent="0.25">
      <c r="T7798" s="98"/>
    </row>
    <row r="7799" spans="20:20" x14ac:dyDescent="0.25">
      <c r="T7799" s="98"/>
    </row>
    <row r="7800" spans="20:20" x14ac:dyDescent="0.25">
      <c r="T7800" s="98"/>
    </row>
    <row r="7801" spans="20:20" x14ac:dyDescent="0.25">
      <c r="T7801" s="98"/>
    </row>
    <row r="7802" spans="20:20" x14ac:dyDescent="0.25">
      <c r="T7802" s="98"/>
    </row>
    <row r="7803" spans="20:20" x14ac:dyDescent="0.25">
      <c r="T7803" s="98"/>
    </row>
    <row r="7804" spans="20:20" x14ac:dyDescent="0.25">
      <c r="T7804" s="98"/>
    </row>
    <row r="7805" spans="20:20" x14ac:dyDescent="0.25">
      <c r="T7805" s="98"/>
    </row>
    <row r="7806" spans="20:20" x14ac:dyDescent="0.25">
      <c r="T7806" s="98"/>
    </row>
    <row r="7807" spans="20:20" x14ac:dyDescent="0.25">
      <c r="T7807" s="98"/>
    </row>
    <row r="7808" spans="20:20" x14ac:dyDescent="0.25">
      <c r="T7808" s="98"/>
    </row>
    <row r="7809" spans="20:20" x14ac:dyDescent="0.25">
      <c r="T7809" s="98"/>
    </row>
    <row r="7810" spans="20:20" x14ac:dyDescent="0.25">
      <c r="T7810" s="98"/>
    </row>
    <row r="7811" spans="20:20" x14ac:dyDescent="0.25">
      <c r="T7811" s="98"/>
    </row>
    <row r="7812" spans="20:20" x14ac:dyDescent="0.25">
      <c r="T7812" s="98"/>
    </row>
    <row r="7813" spans="20:20" x14ac:dyDescent="0.25">
      <c r="T7813" s="98"/>
    </row>
    <row r="7814" spans="20:20" x14ac:dyDescent="0.25">
      <c r="T7814" s="98"/>
    </row>
    <row r="7815" spans="20:20" x14ac:dyDescent="0.25">
      <c r="T7815" s="98"/>
    </row>
    <row r="7816" spans="20:20" x14ac:dyDescent="0.25">
      <c r="T7816" s="98"/>
    </row>
    <row r="7817" spans="20:20" x14ac:dyDescent="0.25">
      <c r="T7817" s="98"/>
    </row>
    <row r="7818" spans="20:20" x14ac:dyDescent="0.25">
      <c r="T7818" s="98"/>
    </row>
    <row r="7819" spans="20:20" x14ac:dyDescent="0.25">
      <c r="T7819" s="98"/>
    </row>
    <row r="7820" spans="20:20" x14ac:dyDescent="0.25">
      <c r="T7820" s="98"/>
    </row>
    <row r="7821" spans="20:20" x14ac:dyDescent="0.25">
      <c r="T7821" s="98"/>
    </row>
    <row r="7822" spans="20:20" x14ac:dyDescent="0.25">
      <c r="T7822" s="98"/>
    </row>
    <row r="7823" spans="20:20" x14ac:dyDescent="0.25">
      <c r="T7823" s="98"/>
    </row>
    <row r="7824" spans="20:20" x14ac:dyDescent="0.25">
      <c r="T7824" s="98"/>
    </row>
    <row r="7825" spans="20:20" x14ac:dyDescent="0.25">
      <c r="T7825" s="98"/>
    </row>
    <row r="7826" spans="20:20" x14ac:dyDescent="0.25">
      <c r="T7826" s="98"/>
    </row>
    <row r="7827" spans="20:20" x14ac:dyDescent="0.25">
      <c r="T7827" s="98"/>
    </row>
    <row r="7828" spans="20:20" x14ac:dyDescent="0.25">
      <c r="T7828" s="98"/>
    </row>
    <row r="7829" spans="20:20" x14ac:dyDescent="0.25">
      <c r="T7829" s="98"/>
    </row>
    <row r="7830" spans="20:20" x14ac:dyDescent="0.25">
      <c r="T7830" s="98"/>
    </row>
    <row r="7831" spans="20:20" x14ac:dyDescent="0.25">
      <c r="T7831" s="98"/>
    </row>
    <row r="7832" spans="20:20" x14ac:dyDescent="0.25">
      <c r="T7832" s="98"/>
    </row>
    <row r="7833" spans="20:20" x14ac:dyDescent="0.25">
      <c r="T7833" s="98"/>
    </row>
    <row r="7834" spans="20:20" x14ac:dyDescent="0.25">
      <c r="T7834" s="98"/>
    </row>
    <row r="7835" spans="20:20" x14ac:dyDescent="0.25">
      <c r="T7835" s="98"/>
    </row>
    <row r="7836" spans="20:20" x14ac:dyDescent="0.25">
      <c r="T7836" s="98"/>
    </row>
    <row r="7837" spans="20:20" x14ac:dyDescent="0.25">
      <c r="T7837" s="98"/>
    </row>
    <row r="7838" spans="20:20" x14ac:dyDescent="0.25">
      <c r="T7838" s="98"/>
    </row>
    <row r="7839" spans="20:20" x14ac:dyDescent="0.25">
      <c r="T7839" s="98"/>
    </row>
    <row r="7840" spans="20:20" x14ac:dyDescent="0.25">
      <c r="T7840" s="98"/>
    </row>
    <row r="7841" spans="20:20" x14ac:dyDescent="0.25">
      <c r="T7841" s="98"/>
    </row>
    <row r="7842" spans="20:20" x14ac:dyDescent="0.25">
      <c r="T7842" s="98"/>
    </row>
    <row r="7843" spans="20:20" x14ac:dyDescent="0.25">
      <c r="T7843" s="98"/>
    </row>
    <row r="7844" spans="20:20" x14ac:dyDescent="0.25">
      <c r="T7844" s="98"/>
    </row>
    <row r="7845" spans="20:20" x14ac:dyDescent="0.25">
      <c r="T7845" s="98"/>
    </row>
    <row r="7846" spans="20:20" x14ac:dyDescent="0.25">
      <c r="T7846" s="98"/>
    </row>
    <row r="7847" spans="20:20" x14ac:dyDescent="0.25">
      <c r="T7847" s="98"/>
    </row>
    <row r="7848" spans="20:20" x14ac:dyDescent="0.25">
      <c r="T7848" s="98"/>
    </row>
    <row r="7849" spans="20:20" x14ac:dyDescent="0.25">
      <c r="T7849" s="98"/>
    </row>
    <row r="7850" spans="20:20" x14ac:dyDescent="0.25">
      <c r="T7850" s="98"/>
    </row>
    <row r="7851" spans="20:20" x14ac:dyDescent="0.25">
      <c r="T7851" s="98"/>
    </row>
    <row r="7852" spans="20:20" x14ac:dyDescent="0.25">
      <c r="T7852" s="98"/>
    </row>
    <row r="7853" spans="20:20" x14ac:dyDescent="0.25">
      <c r="T7853" s="98"/>
    </row>
    <row r="7854" spans="20:20" x14ac:dyDescent="0.25">
      <c r="T7854" s="98"/>
    </row>
    <row r="7855" spans="20:20" x14ac:dyDescent="0.25">
      <c r="T7855" s="98"/>
    </row>
    <row r="7856" spans="20:20" x14ac:dyDescent="0.25">
      <c r="T7856" s="98"/>
    </row>
    <row r="7857" spans="20:20" x14ac:dyDescent="0.25">
      <c r="T7857" s="98"/>
    </row>
    <row r="7858" spans="20:20" x14ac:dyDescent="0.25">
      <c r="T7858" s="98"/>
    </row>
    <row r="7859" spans="20:20" x14ac:dyDescent="0.25">
      <c r="T7859" s="98"/>
    </row>
    <row r="7860" spans="20:20" x14ac:dyDescent="0.25">
      <c r="T7860" s="98"/>
    </row>
    <row r="7861" spans="20:20" x14ac:dyDescent="0.25">
      <c r="T7861" s="98"/>
    </row>
    <row r="7862" spans="20:20" x14ac:dyDescent="0.25">
      <c r="T7862" s="98"/>
    </row>
    <row r="7863" spans="20:20" x14ac:dyDescent="0.25">
      <c r="T7863" s="98"/>
    </row>
    <row r="7864" spans="20:20" x14ac:dyDescent="0.25">
      <c r="T7864" s="98"/>
    </row>
    <row r="7865" spans="20:20" x14ac:dyDescent="0.25">
      <c r="T7865" s="98"/>
    </row>
    <row r="7866" spans="20:20" x14ac:dyDescent="0.25">
      <c r="T7866" s="98"/>
    </row>
    <row r="7867" spans="20:20" x14ac:dyDescent="0.25">
      <c r="T7867" s="98"/>
    </row>
    <row r="7868" spans="20:20" x14ac:dyDescent="0.25">
      <c r="T7868" s="98"/>
    </row>
    <row r="7869" spans="20:20" x14ac:dyDescent="0.25">
      <c r="T7869" s="98"/>
    </row>
    <row r="7870" spans="20:20" x14ac:dyDescent="0.25">
      <c r="T7870" s="98"/>
    </row>
    <row r="7871" spans="20:20" x14ac:dyDescent="0.25">
      <c r="T7871" s="98"/>
    </row>
    <row r="7872" spans="20:20" x14ac:dyDescent="0.25">
      <c r="T7872" s="98"/>
    </row>
    <row r="7873" spans="20:20" x14ac:dyDescent="0.25">
      <c r="T7873" s="98"/>
    </row>
    <row r="7874" spans="20:20" x14ac:dyDescent="0.25">
      <c r="T7874" s="98"/>
    </row>
    <row r="7875" spans="20:20" x14ac:dyDescent="0.25">
      <c r="T7875" s="98"/>
    </row>
    <row r="7876" spans="20:20" x14ac:dyDescent="0.25">
      <c r="T7876" s="98"/>
    </row>
    <row r="7877" spans="20:20" x14ac:dyDescent="0.25">
      <c r="T7877" s="98"/>
    </row>
    <row r="7878" spans="20:20" x14ac:dyDescent="0.25">
      <c r="T7878" s="98"/>
    </row>
    <row r="7879" spans="20:20" x14ac:dyDescent="0.25">
      <c r="T7879" s="98"/>
    </row>
    <row r="7880" spans="20:20" x14ac:dyDescent="0.25">
      <c r="T7880" s="98"/>
    </row>
    <row r="7881" spans="20:20" x14ac:dyDescent="0.25">
      <c r="T7881" s="98"/>
    </row>
    <row r="7882" spans="20:20" x14ac:dyDescent="0.25">
      <c r="T7882" s="98"/>
    </row>
    <row r="7883" spans="20:20" x14ac:dyDescent="0.25">
      <c r="T7883" s="98"/>
    </row>
    <row r="7884" spans="20:20" x14ac:dyDescent="0.25">
      <c r="T7884" s="98"/>
    </row>
    <row r="7885" spans="20:20" x14ac:dyDescent="0.25">
      <c r="T7885" s="98"/>
    </row>
    <row r="7886" spans="20:20" x14ac:dyDescent="0.25">
      <c r="T7886" s="98"/>
    </row>
    <row r="7887" spans="20:20" x14ac:dyDescent="0.25">
      <c r="T7887" s="98"/>
    </row>
    <row r="7888" spans="20:20" x14ac:dyDescent="0.25">
      <c r="T7888" s="98"/>
    </row>
    <row r="7889" spans="20:20" x14ac:dyDescent="0.25">
      <c r="T7889" s="98"/>
    </row>
    <row r="7890" spans="20:20" x14ac:dyDescent="0.25">
      <c r="T7890" s="98"/>
    </row>
    <row r="7891" spans="20:20" x14ac:dyDescent="0.25">
      <c r="T7891" s="98"/>
    </row>
    <row r="7892" spans="20:20" x14ac:dyDescent="0.25">
      <c r="T7892" s="98"/>
    </row>
    <row r="7893" spans="20:20" x14ac:dyDescent="0.25">
      <c r="T7893" s="98"/>
    </row>
    <row r="7894" spans="20:20" x14ac:dyDescent="0.25">
      <c r="T7894" s="98"/>
    </row>
    <row r="7895" spans="20:20" x14ac:dyDescent="0.25">
      <c r="T7895" s="98"/>
    </row>
    <row r="7896" spans="20:20" x14ac:dyDescent="0.25">
      <c r="T7896" s="98"/>
    </row>
    <row r="7897" spans="20:20" x14ac:dyDescent="0.25">
      <c r="T7897" s="98"/>
    </row>
    <row r="7898" spans="20:20" x14ac:dyDescent="0.25">
      <c r="T7898" s="98"/>
    </row>
    <row r="7899" spans="20:20" x14ac:dyDescent="0.25">
      <c r="T7899" s="98"/>
    </row>
    <row r="7900" spans="20:20" x14ac:dyDescent="0.25">
      <c r="T7900" s="98"/>
    </row>
    <row r="7901" spans="20:20" x14ac:dyDescent="0.25">
      <c r="T7901" s="98"/>
    </row>
    <row r="7902" spans="20:20" x14ac:dyDescent="0.25">
      <c r="T7902" s="98"/>
    </row>
    <row r="7903" spans="20:20" x14ac:dyDescent="0.25">
      <c r="T7903" s="98"/>
    </row>
    <row r="7904" spans="20:20" x14ac:dyDescent="0.25">
      <c r="T7904" s="98"/>
    </row>
    <row r="7905" spans="20:20" x14ac:dyDescent="0.25">
      <c r="T7905" s="98"/>
    </row>
    <row r="7906" spans="20:20" x14ac:dyDescent="0.25">
      <c r="T7906" s="98"/>
    </row>
    <row r="7907" spans="20:20" x14ac:dyDescent="0.25">
      <c r="T7907" s="98"/>
    </row>
    <row r="7908" spans="20:20" x14ac:dyDescent="0.25">
      <c r="T7908" s="98"/>
    </row>
    <row r="7909" spans="20:20" x14ac:dyDescent="0.25">
      <c r="T7909" s="98"/>
    </row>
    <row r="7910" spans="20:20" x14ac:dyDescent="0.25">
      <c r="T7910" s="98"/>
    </row>
    <row r="7911" spans="20:20" x14ac:dyDescent="0.25">
      <c r="T7911" s="98"/>
    </row>
    <row r="7912" spans="20:20" x14ac:dyDescent="0.25">
      <c r="T7912" s="98"/>
    </row>
    <row r="7913" spans="20:20" x14ac:dyDescent="0.25">
      <c r="T7913" s="98"/>
    </row>
    <row r="7914" spans="20:20" x14ac:dyDescent="0.25">
      <c r="T7914" s="98"/>
    </row>
    <row r="7915" spans="20:20" x14ac:dyDescent="0.25">
      <c r="T7915" s="98"/>
    </row>
    <row r="7916" spans="20:20" x14ac:dyDescent="0.25">
      <c r="T7916" s="98"/>
    </row>
    <row r="7917" spans="20:20" x14ac:dyDescent="0.25">
      <c r="T7917" s="98"/>
    </row>
    <row r="7918" spans="20:20" x14ac:dyDescent="0.25">
      <c r="T7918" s="98"/>
    </row>
    <row r="7919" spans="20:20" x14ac:dyDescent="0.25">
      <c r="T7919" s="98"/>
    </row>
    <row r="7920" spans="20:20" x14ac:dyDescent="0.25">
      <c r="T7920" s="98"/>
    </row>
    <row r="7921" spans="20:20" x14ac:dyDescent="0.25">
      <c r="T7921" s="98"/>
    </row>
    <row r="7922" spans="20:20" x14ac:dyDescent="0.25">
      <c r="T7922" s="98"/>
    </row>
    <row r="7923" spans="20:20" x14ac:dyDescent="0.25">
      <c r="T7923" s="98"/>
    </row>
    <row r="7924" spans="20:20" x14ac:dyDescent="0.25">
      <c r="T7924" s="98"/>
    </row>
    <row r="7925" spans="20:20" x14ac:dyDescent="0.25">
      <c r="T7925" s="98"/>
    </row>
    <row r="7926" spans="20:20" x14ac:dyDescent="0.25">
      <c r="T7926" s="98"/>
    </row>
    <row r="7927" spans="20:20" x14ac:dyDescent="0.25">
      <c r="T7927" s="98"/>
    </row>
    <row r="7928" spans="20:20" x14ac:dyDescent="0.25">
      <c r="T7928" s="98"/>
    </row>
    <row r="7929" spans="20:20" x14ac:dyDescent="0.25">
      <c r="T7929" s="98"/>
    </row>
    <row r="7930" spans="20:20" x14ac:dyDescent="0.25">
      <c r="T7930" s="98"/>
    </row>
    <row r="7931" spans="20:20" x14ac:dyDescent="0.25">
      <c r="T7931" s="98"/>
    </row>
    <row r="7932" spans="20:20" x14ac:dyDescent="0.25">
      <c r="T7932" s="98"/>
    </row>
    <row r="7933" spans="20:20" x14ac:dyDescent="0.25">
      <c r="T7933" s="98"/>
    </row>
    <row r="7934" spans="20:20" x14ac:dyDescent="0.25">
      <c r="T7934" s="98"/>
    </row>
    <row r="7935" spans="20:20" x14ac:dyDescent="0.25">
      <c r="T7935" s="98"/>
    </row>
    <row r="7936" spans="20:20" x14ac:dyDescent="0.25">
      <c r="T7936" s="98"/>
    </row>
    <row r="7937" spans="20:20" x14ac:dyDescent="0.25">
      <c r="T7937" s="98"/>
    </row>
    <row r="7938" spans="20:20" x14ac:dyDescent="0.25">
      <c r="T7938" s="98"/>
    </row>
    <row r="7939" spans="20:20" x14ac:dyDescent="0.25">
      <c r="T7939" s="98"/>
    </row>
    <row r="7940" spans="20:20" x14ac:dyDescent="0.25">
      <c r="T7940" s="98"/>
    </row>
    <row r="7941" spans="20:20" x14ac:dyDescent="0.25">
      <c r="T7941" s="98"/>
    </row>
    <row r="7942" spans="20:20" x14ac:dyDescent="0.25">
      <c r="T7942" s="98"/>
    </row>
    <row r="7943" spans="20:20" x14ac:dyDescent="0.25">
      <c r="T7943" s="98"/>
    </row>
    <row r="7944" spans="20:20" x14ac:dyDescent="0.25">
      <c r="T7944" s="98"/>
    </row>
    <row r="7945" spans="20:20" x14ac:dyDescent="0.25">
      <c r="T7945" s="98"/>
    </row>
    <row r="7946" spans="20:20" x14ac:dyDescent="0.25">
      <c r="T7946" s="98"/>
    </row>
    <row r="7947" spans="20:20" x14ac:dyDescent="0.25">
      <c r="T7947" s="98"/>
    </row>
    <row r="7948" spans="20:20" x14ac:dyDescent="0.25">
      <c r="T7948" s="98"/>
    </row>
    <row r="7949" spans="20:20" x14ac:dyDescent="0.25">
      <c r="T7949" s="98"/>
    </row>
    <row r="7950" spans="20:20" x14ac:dyDescent="0.25">
      <c r="T7950" s="98"/>
    </row>
    <row r="7951" spans="20:20" x14ac:dyDescent="0.25">
      <c r="T7951" s="98"/>
    </row>
    <row r="7952" spans="20:20" x14ac:dyDescent="0.25">
      <c r="T7952" s="98"/>
    </row>
    <row r="7953" spans="20:20" x14ac:dyDescent="0.25">
      <c r="T7953" s="98"/>
    </row>
    <row r="7954" spans="20:20" x14ac:dyDescent="0.25">
      <c r="T7954" s="98"/>
    </row>
    <row r="7955" spans="20:20" x14ac:dyDescent="0.25">
      <c r="T7955" s="98"/>
    </row>
    <row r="7956" spans="20:20" x14ac:dyDescent="0.25">
      <c r="T7956" s="98"/>
    </row>
    <row r="7957" spans="20:20" x14ac:dyDescent="0.25">
      <c r="T7957" s="98"/>
    </row>
    <row r="7958" spans="20:20" x14ac:dyDescent="0.25">
      <c r="T7958" s="98"/>
    </row>
    <row r="7959" spans="20:20" x14ac:dyDescent="0.25">
      <c r="T7959" s="98"/>
    </row>
    <row r="7960" spans="20:20" x14ac:dyDescent="0.25">
      <c r="T7960" s="98"/>
    </row>
    <row r="7961" spans="20:20" x14ac:dyDescent="0.25">
      <c r="T7961" s="98"/>
    </row>
    <row r="7962" spans="20:20" x14ac:dyDescent="0.25">
      <c r="T7962" s="98"/>
    </row>
    <row r="7963" spans="20:20" x14ac:dyDescent="0.25">
      <c r="T7963" s="98"/>
    </row>
    <row r="7964" spans="20:20" x14ac:dyDescent="0.25">
      <c r="T7964" s="98"/>
    </row>
    <row r="7965" spans="20:20" x14ac:dyDescent="0.25">
      <c r="T7965" s="98"/>
    </row>
    <row r="7966" spans="20:20" x14ac:dyDescent="0.25">
      <c r="T7966" s="98"/>
    </row>
    <row r="7967" spans="20:20" x14ac:dyDescent="0.25">
      <c r="T7967" s="98"/>
    </row>
    <row r="7968" spans="20:20" x14ac:dyDescent="0.25">
      <c r="T7968" s="98"/>
    </row>
    <row r="7969" spans="20:20" x14ac:dyDescent="0.25">
      <c r="T7969" s="98"/>
    </row>
    <row r="7970" spans="20:20" x14ac:dyDescent="0.25">
      <c r="T7970" s="98"/>
    </row>
    <row r="7971" spans="20:20" x14ac:dyDescent="0.25">
      <c r="T7971" s="98"/>
    </row>
    <row r="7972" spans="20:20" x14ac:dyDescent="0.25">
      <c r="T7972" s="98"/>
    </row>
    <row r="7973" spans="20:20" x14ac:dyDescent="0.25">
      <c r="T7973" s="98"/>
    </row>
    <row r="7974" spans="20:20" x14ac:dyDescent="0.25">
      <c r="T7974" s="98"/>
    </row>
    <row r="7975" spans="20:20" x14ac:dyDescent="0.25">
      <c r="T7975" s="98"/>
    </row>
    <row r="7976" spans="20:20" x14ac:dyDescent="0.25">
      <c r="T7976" s="98"/>
    </row>
    <row r="7977" spans="20:20" x14ac:dyDescent="0.25">
      <c r="T7977" s="98"/>
    </row>
    <row r="7978" spans="20:20" x14ac:dyDescent="0.25">
      <c r="T7978" s="98"/>
    </row>
    <row r="7979" spans="20:20" x14ac:dyDescent="0.25">
      <c r="T7979" s="98"/>
    </row>
    <row r="7980" spans="20:20" x14ac:dyDescent="0.25">
      <c r="T7980" s="98"/>
    </row>
    <row r="7981" spans="20:20" x14ac:dyDescent="0.25">
      <c r="T7981" s="98"/>
    </row>
    <row r="7982" spans="20:20" x14ac:dyDescent="0.25">
      <c r="T7982" s="98"/>
    </row>
    <row r="7983" spans="20:20" x14ac:dyDescent="0.25">
      <c r="T7983" s="98"/>
    </row>
    <row r="7984" spans="20:20" x14ac:dyDescent="0.25">
      <c r="T7984" s="98"/>
    </row>
    <row r="7985" spans="20:20" x14ac:dyDescent="0.25">
      <c r="T7985" s="98"/>
    </row>
    <row r="7986" spans="20:20" x14ac:dyDescent="0.25">
      <c r="T7986" s="98"/>
    </row>
    <row r="7987" spans="20:20" x14ac:dyDescent="0.25">
      <c r="T7987" s="98"/>
    </row>
    <row r="7988" spans="20:20" x14ac:dyDescent="0.25">
      <c r="T7988" s="98"/>
    </row>
    <row r="7989" spans="20:20" x14ac:dyDescent="0.25">
      <c r="T7989" s="98"/>
    </row>
    <row r="7990" spans="20:20" x14ac:dyDescent="0.25">
      <c r="T7990" s="98"/>
    </row>
    <row r="7991" spans="20:20" x14ac:dyDescent="0.25">
      <c r="T7991" s="98"/>
    </row>
    <row r="7992" spans="20:20" x14ac:dyDescent="0.25">
      <c r="T7992" s="98"/>
    </row>
    <row r="7993" spans="20:20" x14ac:dyDescent="0.25">
      <c r="T7993" s="98"/>
    </row>
    <row r="7994" spans="20:20" x14ac:dyDescent="0.25">
      <c r="T7994" s="98"/>
    </row>
    <row r="7995" spans="20:20" x14ac:dyDescent="0.25">
      <c r="T7995" s="98"/>
    </row>
    <row r="7996" spans="20:20" x14ac:dyDescent="0.25">
      <c r="T7996" s="98"/>
    </row>
    <row r="7997" spans="20:20" x14ac:dyDescent="0.25">
      <c r="T7997" s="98"/>
    </row>
    <row r="7998" spans="20:20" x14ac:dyDescent="0.25">
      <c r="T7998" s="98"/>
    </row>
    <row r="7999" spans="20:20" x14ac:dyDescent="0.25">
      <c r="T7999" s="98"/>
    </row>
    <row r="8000" spans="20:20" x14ac:dyDescent="0.25">
      <c r="T8000" s="98"/>
    </row>
    <row r="8001" spans="20:20" x14ac:dyDescent="0.25">
      <c r="T8001" s="98"/>
    </row>
    <row r="8002" spans="20:20" x14ac:dyDescent="0.25">
      <c r="T8002" s="98"/>
    </row>
    <row r="8003" spans="20:20" x14ac:dyDescent="0.25">
      <c r="T8003" s="98"/>
    </row>
    <row r="8004" spans="20:20" x14ac:dyDescent="0.25">
      <c r="T8004" s="98"/>
    </row>
    <row r="8005" spans="20:20" x14ac:dyDescent="0.25">
      <c r="T8005" s="98"/>
    </row>
    <row r="8006" spans="20:20" x14ac:dyDescent="0.25">
      <c r="T8006" s="98"/>
    </row>
    <row r="8007" spans="20:20" x14ac:dyDescent="0.25">
      <c r="T8007" s="98"/>
    </row>
    <row r="8008" spans="20:20" x14ac:dyDescent="0.25">
      <c r="T8008" s="98"/>
    </row>
    <row r="8009" spans="20:20" x14ac:dyDescent="0.25">
      <c r="T8009" s="98"/>
    </row>
    <row r="8010" spans="20:20" x14ac:dyDescent="0.25">
      <c r="T8010" s="98"/>
    </row>
    <row r="8011" spans="20:20" x14ac:dyDescent="0.25">
      <c r="T8011" s="98"/>
    </row>
    <row r="8012" spans="20:20" x14ac:dyDescent="0.25">
      <c r="T8012" s="98"/>
    </row>
    <row r="8013" spans="20:20" x14ac:dyDescent="0.25">
      <c r="T8013" s="98"/>
    </row>
    <row r="8014" spans="20:20" x14ac:dyDescent="0.25">
      <c r="T8014" s="98"/>
    </row>
    <row r="8015" spans="20:20" x14ac:dyDescent="0.25">
      <c r="T8015" s="98"/>
    </row>
    <row r="8016" spans="20:20" x14ac:dyDescent="0.25">
      <c r="T8016" s="98"/>
    </row>
    <row r="8017" spans="20:20" x14ac:dyDescent="0.25">
      <c r="T8017" s="98"/>
    </row>
    <row r="8018" spans="20:20" x14ac:dyDescent="0.25">
      <c r="T8018" s="98"/>
    </row>
    <row r="8019" spans="20:20" x14ac:dyDescent="0.25">
      <c r="T8019" s="98"/>
    </row>
    <row r="8020" spans="20:20" x14ac:dyDescent="0.25">
      <c r="T8020" s="98"/>
    </row>
    <row r="8021" spans="20:20" x14ac:dyDescent="0.25">
      <c r="T8021" s="98"/>
    </row>
    <row r="8022" spans="20:20" x14ac:dyDescent="0.25">
      <c r="T8022" s="98"/>
    </row>
    <row r="8023" spans="20:20" x14ac:dyDescent="0.25">
      <c r="T8023" s="98"/>
    </row>
    <row r="8024" spans="20:20" x14ac:dyDescent="0.25">
      <c r="T8024" s="98"/>
    </row>
    <row r="8025" spans="20:20" x14ac:dyDescent="0.25">
      <c r="T8025" s="98"/>
    </row>
    <row r="8026" spans="20:20" x14ac:dyDescent="0.25">
      <c r="T8026" s="98"/>
    </row>
    <row r="8027" spans="20:20" x14ac:dyDescent="0.25">
      <c r="T8027" s="98"/>
    </row>
    <row r="8028" spans="20:20" x14ac:dyDescent="0.25">
      <c r="T8028" s="98"/>
    </row>
    <row r="8029" spans="20:20" x14ac:dyDescent="0.25">
      <c r="T8029" s="98"/>
    </row>
    <row r="8030" spans="20:20" x14ac:dyDescent="0.25">
      <c r="T8030" s="98"/>
    </row>
    <row r="8031" spans="20:20" x14ac:dyDescent="0.25">
      <c r="T8031" s="98"/>
    </row>
    <row r="8032" spans="20:20" x14ac:dyDescent="0.25">
      <c r="T8032" s="98"/>
    </row>
    <row r="8033" spans="20:20" x14ac:dyDescent="0.25">
      <c r="T8033" s="98"/>
    </row>
    <row r="8034" spans="20:20" x14ac:dyDescent="0.25">
      <c r="T8034" s="98"/>
    </row>
    <row r="8035" spans="20:20" x14ac:dyDescent="0.25">
      <c r="T8035" s="98"/>
    </row>
    <row r="8036" spans="20:20" x14ac:dyDescent="0.25">
      <c r="T8036" s="98"/>
    </row>
    <row r="8037" spans="20:20" x14ac:dyDescent="0.25">
      <c r="T8037" s="98"/>
    </row>
    <row r="8038" spans="20:20" x14ac:dyDescent="0.25">
      <c r="T8038" s="98"/>
    </row>
    <row r="8039" spans="20:20" x14ac:dyDescent="0.25">
      <c r="T8039" s="98"/>
    </row>
    <row r="8040" spans="20:20" x14ac:dyDescent="0.25">
      <c r="T8040" s="98"/>
    </row>
    <row r="8041" spans="20:20" x14ac:dyDescent="0.25">
      <c r="T8041" s="98"/>
    </row>
    <row r="8042" spans="20:20" x14ac:dyDescent="0.25">
      <c r="T8042" s="98"/>
    </row>
    <row r="8043" spans="20:20" x14ac:dyDescent="0.25">
      <c r="T8043" s="98"/>
    </row>
    <row r="8044" spans="20:20" x14ac:dyDescent="0.25">
      <c r="T8044" s="98"/>
    </row>
    <row r="8045" spans="20:20" x14ac:dyDescent="0.25">
      <c r="T8045" s="98"/>
    </row>
    <row r="8046" spans="20:20" x14ac:dyDescent="0.25">
      <c r="T8046" s="98"/>
    </row>
    <row r="8047" spans="20:20" x14ac:dyDescent="0.25">
      <c r="T8047" s="98"/>
    </row>
    <row r="8048" spans="20:20" x14ac:dyDescent="0.25">
      <c r="T8048" s="98"/>
    </row>
    <row r="8049" spans="20:20" x14ac:dyDescent="0.25">
      <c r="T8049" s="98"/>
    </row>
    <row r="8050" spans="20:20" x14ac:dyDescent="0.25">
      <c r="T8050" s="98"/>
    </row>
    <row r="8051" spans="20:20" x14ac:dyDescent="0.25">
      <c r="T8051" s="98"/>
    </row>
    <row r="8052" spans="20:20" x14ac:dyDescent="0.25">
      <c r="T8052" s="98"/>
    </row>
    <row r="8053" spans="20:20" x14ac:dyDescent="0.25">
      <c r="T8053" s="98"/>
    </row>
    <row r="8054" spans="20:20" x14ac:dyDescent="0.25">
      <c r="T8054" s="98"/>
    </row>
    <row r="8055" spans="20:20" x14ac:dyDescent="0.25">
      <c r="T8055" s="98"/>
    </row>
    <row r="8056" spans="20:20" x14ac:dyDescent="0.25">
      <c r="T8056" s="98"/>
    </row>
    <row r="8057" spans="20:20" x14ac:dyDescent="0.25">
      <c r="T8057" s="98"/>
    </row>
    <row r="8058" spans="20:20" x14ac:dyDescent="0.25">
      <c r="T8058" s="98"/>
    </row>
    <row r="8059" spans="20:20" x14ac:dyDescent="0.25">
      <c r="T8059" s="98"/>
    </row>
    <row r="8060" spans="20:20" x14ac:dyDescent="0.25">
      <c r="T8060" s="98"/>
    </row>
    <row r="8061" spans="20:20" x14ac:dyDescent="0.25">
      <c r="T8061" s="98"/>
    </row>
    <row r="8062" spans="20:20" x14ac:dyDescent="0.25">
      <c r="T8062" s="98"/>
    </row>
    <row r="8063" spans="20:20" x14ac:dyDescent="0.25">
      <c r="T8063" s="98"/>
    </row>
    <row r="8064" spans="20:20" x14ac:dyDescent="0.25">
      <c r="T8064" s="98"/>
    </row>
    <row r="8065" spans="20:20" x14ac:dyDescent="0.25">
      <c r="T8065" s="98"/>
    </row>
    <row r="8066" spans="20:20" x14ac:dyDescent="0.25">
      <c r="T8066" s="98"/>
    </row>
    <row r="8067" spans="20:20" x14ac:dyDescent="0.25">
      <c r="T8067" s="98"/>
    </row>
    <row r="8068" spans="20:20" x14ac:dyDescent="0.25">
      <c r="T8068" s="98"/>
    </row>
    <row r="8069" spans="20:20" x14ac:dyDescent="0.25">
      <c r="T8069" s="98"/>
    </row>
    <row r="8070" spans="20:20" x14ac:dyDescent="0.25">
      <c r="T8070" s="98"/>
    </row>
    <row r="8071" spans="20:20" x14ac:dyDescent="0.25">
      <c r="T8071" s="98"/>
    </row>
    <row r="8072" spans="20:20" x14ac:dyDescent="0.25">
      <c r="T8072" s="98"/>
    </row>
    <row r="8073" spans="20:20" x14ac:dyDescent="0.25">
      <c r="T8073" s="98"/>
    </row>
    <row r="8074" spans="20:20" x14ac:dyDescent="0.25">
      <c r="T8074" s="98"/>
    </row>
    <row r="8075" spans="20:20" x14ac:dyDescent="0.25">
      <c r="T8075" s="98"/>
    </row>
    <row r="8076" spans="20:20" x14ac:dyDescent="0.25">
      <c r="T8076" s="98"/>
    </row>
    <row r="8077" spans="20:20" x14ac:dyDescent="0.25">
      <c r="T8077" s="98"/>
    </row>
    <row r="8078" spans="20:20" x14ac:dyDescent="0.25">
      <c r="T8078" s="98"/>
    </row>
    <row r="8079" spans="20:20" x14ac:dyDescent="0.25">
      <c r="T8079" s="98"/>
    </row>
    <row r="8080" spans="20:20" x14ac:dyDescent="0.25">
      <c r="T8080" s="98"/>
    </row>
    <row r="8081" spans="20:20" x14ac:dyDescent="0.25">
      <c r="T8081" s="98"/>
    </row>
    <row r="8082" spans="20:20" x14ac:dyDescent="0.25">
      <c r="T8082" s="98"/>
    </row>
    <row r="8083" spans="20:20" x14ac:dyDescent="0.25">
      <c r="T8083" s="98"/>
    </row>
    <row r="8084" spans="20:20" x14ac:dyDescent="0.25">
      <c r="T8084" s="98"/>
    </row>
    <row r="8085" spans="20:20" x14ac:dyDescent="0.25">
      <c r="T8085" s="98"/>
    </row>
    <row r="8086" spans="20:20" x14ac:dyDescent="0.25">
      <c r="T8086" s="98"/>
    </row>
    <row r="8087" spans="20:20" x14ac:dyDescent="0.25">
      <c r="T8087" s="98"/>
    </row>
    <row r="8088" spans="20:20" x14ac:dyDescent="0.25">
      <c r="T8088" s="98"/>
    </row>
    <row r="8089" spans="20:20" x14ac:dyDescent="0.25">
      <c r="T8089" s="98"/>
    </row>
    <row r="8090" spans="20:20" x14ac:dyDescent="0.25">
      <c r="T8090" s="98"/>
    </row>
    <row r="8091" spans="20:20" x14ac:dyDescent="0.25">
      <c r="T8091" s="98"/>
    </row>
    <row r="8092" spans="20:20" x14ac:dyDescent="0.25">
      <c r="T8092" s="98"/>
    </row>
    <row r="8093" spans="20:20" x14ac:dyDescent="0.25">
      <c r="T8093" s="98"/>
    </row>
    <row r="8094" spans="20:20" x14ac:dyDescent="0.25">
      <c r="T8094" s="98"/>
    </row>
    <row r="8095" spans="20:20" x14ac:dyDescent="0.25">
      <c r="T8095" s="98"/>
    </row>
    <row r="8096" spans="20:20" x14ac:dyDescent="0.25">
      <c r="T8096" s="98"/>
    </row>
    <row r="8097" spans="20:20" x14ac:dyDescent="0.25">
      <c r="T8097" s="98"/>
    </row>
    <row r="8098" spans="20:20" x14ac:dyDescent="0.25">
      <c r="T8098" s="98"/>
    </row>
    <row r="8099" spans="20:20" x14ac:dyDescent="0.25">
      <c r="T8099" s="98"/>
    </row>
    <row r="8100" spans="20:20" x14ac:dyDescent="0.25">
      <c r="T8100" s="98"/>
    </row>
    <row r="8101" spans="20:20" x14ac:dyDescent="0.25">
      <c r="T8101" s="98"/>
    </row>
    <row r="8102" spans="20:20" x14ac:dyDescent="0.25">
      <c r="T8102" s="98"/>
    </row>
    <row r="8103" spans="20:20" x14ac:dyDescent="0.25">
      <c r="T8103" s="98"/>
    </row>
    <row r="8104" spans="20:20" x14ac:dyDescent="0.25">
      <c r="T8104" s="98"/>
    </row>
    <row r="8105" spans="20:20" x14ac:dyDescent="0.25">
      <c r="T8105" s="98"/>
    </row>
    <row r="8106" spans="20:20" x14ac:dyDescent="0.25">
      <c r="T8106" s="98"/>
    </row>
    <row r="8107" spans="20:20" x14ac:dyDescent="0.25">
      <c r="T8107" s="98"/>
    </row>
    <row r="8108" spans="20:20" x14ac:dyDescent="0.25">
      <c r="T8108" s="98"/>
    </row>
    <row r="8109" spans="20:20" x14ac:dyDescent="0.25">
      <c r="T8109" s="98"/>
    </row>
    <row r="8110" spans="20:20" x14ac:dyDescent="0.25">
      <c r="T8110" s="98"/>
    </row>
    <row r="8111" spans="20:20" x14ac:dyDescent="0.25">
      <c r="T8111" s="98"/>
    </row>
    <row r="8112" spans="20:20" x14ac:dyDescent="0.25">
      <c r="T8112" s="98"/>
    </row>
    <row r="8113" spans="20:20" x14ac:dyDescent="0.25">
      <c r="T8113" s="98"/>
    </row>
    <row r="8114" spans="20:20" x14ac:dyDescent="0.25">
      <c r="T8114" s="98"/>
    </row>
    <row r="8115" spans="20:20" x14ac:dyDescent="0.25">
      <c r="T8115" s="98"/>
    </row>
    <row r="8116" spans="20:20" x14ac:dyDescent="0.25">
      <c r="T8116" s="98"/>
    </row>
    <row r="8117" spans="20:20" x14ac:dyDescent="0.25">
      <c r="T8117" s="98"/>
    </row>
    <row r="8118" spans="20:20" x14ac:dyDescent="0.25">
      <c r="T8118" s="98"/>
    </row>
    <row r="8119" spans="20:20" x14ac:dyDescent="0.25">
      <c r="T8119" s="98"/>
    </row>
    <row r="8120" spans="20:20" x14ac:dyDescent="0.25">
      <c r="T8120" s="98"/>
    </row>
    <row r="8121" spans="20:20" x14ac:dyDescent="0.25">
      <c r="T8121" s="98"/>
    </row>
    <row r="8122" spans="20:20" x14ac:dyDescent="0.25">
      <c r="T8122" s="98"/>
    </row>
    <row r="8123" spans="20:20" x14ac:dyDescent="0.25">
      <c r="T8123" s="98"/>
    </row>
    <row r="8124" spans="20:20" x14ac:dyDescent="0.25">
      <c r="T8124" s="98"/>
    </row>
    <row r="8125" spans="20:20" x14ac:dyDescent="0.25">
      <c r="T8125" s="98"/>
    </row>
    <row r="8126" spans="20:20" x14ac:dyDescent="0.25">
      <c r="T8126" s="98"/>
    </row>
    <row r="8127" spans="20:20" x14ac:dyDescent="0.25">
      <c r="T8127" s="98"/>
    </row>
    <row r="8128" spans="20:20" x14ac:dyDescent="0.25">
      <c r="T8128" s="98"/>
    </row>
    <row r="8129" spans="20:20" x14ac:dyDescent="0.25">
      <c r="T8129" s="98"/>
    </row>
    <row r="8130" spans="20:20" x14ac:dyDescent="0.25">
      <c r="T8130" s="98"/>
    </row>
    <row r="8131" spans="20:20" x14ac:dyDescent="0.25">
      <c r="T8131" s="98"/>
    </row>
    <row r="8132" spans="20:20" x14ac:dyDescent="0.25">
      <c r="T8132" s="98"/>
    </row>
    <row r="8133" spans="20:20" x14ac:dyDescent="0.25">
      <c r="T8133" s="98"/>
    </row>
    <row r="8134" spans="20:20" x14ac:dyDescent="0.25">
      <c r="T8134" s="98"/>
    </row>
    <row r="8135" spans="20:20" x14ac:dyDescent="0.25">
      <c r="T8135" s="98"/>
    </row>
    <row r="8136" spans="20:20" x14ac:dyDescent="0.25">
      <c r="T8136" s="98"/>
    </row>
    <row r="8137" spans="20:20" x14ac:dyDescent="0.25">
      <c r="T8137" s="98"/>
    </row>
    <row r="8138" spans="20:20" x14ac:dyDescent="0.25">
      <c r="T8138" s="98"/>
    </row>
    <row r="8139" spans="20:20" x14ac:dyDescent="0.25">
      <c r="T8139" s="98"/>
    </row>
    <row r="8140" spans="20:20" x14ac:dyDescent="0.25">
      <c r="T8140" s="98"/>
    </row>
    <row r="8141" spans="20:20" x14ac:dyDescent="0.25">
      <c r="T8141" s="98"/>
    </row>
    <row r="8142" spans="20:20" x14ac:dyDescent="0.25">
      <c r="T8142" s="98"/>
    </row>
    <row r="8143" spans="20:20" x14ac:dyDescent="0.25">
      <c r="T8143" s="98"/>
    </row>
    <row r="8144" spans="20:20" x14ac:dyDescent="0.25">
      <c r="T8144" s="98"/>
    </row>
    <row r="8145" spans="20:20" x14ac:dyDescent="0.25">
      <c r="T8145" s="98"/>
    </row>
    <row r="8146" spans="20:20" x14ac:dyDescent="0.25">
      <c r="T8146" s="98"/>
    </row>
    <row r="8147" spans="20:20" x14ac:dyDescent="0.25">
      <c r="T8147" s="98"/>
    </row>
    <row r="8148" spans="20:20" x14ac:dyDescent="0.25">
      <c r="T8148" s="98"/>
    </row>
    <row r="8149" spans="20:20" x14ac:dyDescent="0.25">
      <c r="T8149" s="98"/>
    </row>
    <row r="8150" spans="20:20" x14ac:dyDescent="0.25">
      <c r="T8150" s="98"/>
    </row>
    <row r="8151" spans="20:20" x14ac:dyDescent="0.25">
      <c r="T8151" s="98"/>
    </row>
    <row r="8152" spans="20:20" x14ac:dyDescent="0.25">
      <c r="T8152" s="98"/>
    </row>
    <row r="8153" spans="20:20" x14ac:dyDescent="0.25">
      <c r="T8153" s="98"/>
    </row>
    <row r="8154" spans="20:20" x14ac:dyDescent="0.25">
      <c r="T8154" s="98"/>
    </row>
    <row r="8155" spans="20:20" x14ac:dyDescent="0.25">
      <c r="T8155" s="98"/>
    </row>
    <row r="8156" spans="20:20" x14ac:dyDescent="0.25">
      <c r="T8156" s="98"/>
    </row>
    <row r="8157" spans="20:20" x14ac:dyDescent="0.25">
      <c r="T8157" s="98"/>
    </row>
    <row r="8158" spans="20:20" x14ac:dyDescent="0.25">
      <c r="T8158" s="98"/>
    </row>
    <row r="8159" spans="20:20" x14ac:dyDescent="0.25">
      <c r="T8159" s="98"/>
    </row>
    <row r="8160" spans="20:20" x14ac:dyDescent="0.25">
      <c r="T8160" s="98"/>
    </row>
    <row r="8161" spans="20:20" x14ac:dyDescent="0.25">
      <c r="T8161" s="98"/>
    </row>
    <row r="8162" spans="20:20" x14ac:dyDescent="0.25">
      <c r="T8162" s="98"/>
    </row>
    <row r="8163" spans="20:20" x14ac:dyDescent="0.25">
      <c r="T8163" s="98"/>
    </row>
    <row r="8164" spans="20:20" x14ac:dyDescent="0.25">
      <c r="T8164" s="98"/>
    </row>
    <row r="8165" spans="20:20" x14ac:dyDescent="0.25">
      <c r="T8165" s="98"/>
    </row>
    <row r="8166" spans="20:20" x14ac:dyDescent="0.25">
      <c r="T8166" s="98"/>
    </row>
    <row r="8167" spans="20:20" x14ac:dyDescent="0.25">
      <c r="T8167" s="98"/>
    </row>
    <row r="8168" spans="20:20" x14ac:dyDescent="0.25">
      <c r="T8168" s="98"/>
    </row>
    <row r="8169" spans="20:20" x14ac:dyDescent="0.25">
      <c r="T8169" s="98"/>
    </row>
    <row r="8170" spans="20:20" x14ac:dyDescent="0.25">
      <c r="T8170" s="98"/>
    </row>
    <row r="8171" spans="20:20" x14ac:dyDescent="0.25">
      <c r="T8171" s="98"/>
    </row>
    <row r="8172" spans="20:20" x14ac:dyDescent="0.25">
      <c r="T8172" s="98"/>
    </row>
    <row r="8173" spans="20:20" x14ac:dyDescent="0.25">
      <c r="T8173" s="98"/>
    </row>
    <row r="8174" spans="20:20" x14ac:dyDescent="0.25">
      <c r="T8174" s="98"/>
    </row>
    <row r="8175" spans="20:20" x14ac:dyDescent="0.25">
      <c r="T8175" s="98"/>
    </row>
    <row r="8176" spans="20:20" x14ac:dyDescent="0.25">
      <c r="T8176" s="98"/>
    </row>
    <row r="8177" spans="20:20" x14ac:dyDescent="0.25">
      <c r="T8177" s="98"/>
    </row>
    <row r="8178" spans="20:20" x14ac:dyDescent="0.25">
      <c r="T8178" s="98"/>
    </row>
    <row r="8179" spans="20:20" x14ac:dyDescent="0.25">
      <c r="T8179" s="98"/>
    </row>
    <row r="8180" spans="20:20" x14ac:dyDescent="0.25">
      <c r="T8180" s="98"/>
    </row>
    <row r="8181" spans="20:20" x14ac:dyDescent="0.25">
      <c r="T8181" s="98"/>
    </row>
    <row r="8182" spans="20:20" x14ac:dyDescent="0.25">
      <c r="T8182" s="98"/>
    </row>
    <row r="8183" spans="20:20" x14ac:dyDescent="0.25">
      <c r="T8183" s="98"/>
    </row>
    <row r="8184" spans="20:20" x14ac:dyDescent="0.25">
      <c r="T8184" s="98"/>
    </row>
    <row r="8185" spans="20:20" x14ac:dyDescent="0.25">
      <c r="T8185" s="98"/>
    </row>
    <row r="8186" spans="20:20" x14ac:dyDescent="0.25">
      <c r="T8186" s="98"/>
    </row>
    <row r="8187" spans="20:20" x14ac:dyDescent="0.25">
      <c r="T8187" s="98"/>
    </row>
    <row r="8188" spans="20:20" x14ac:dyDescent="0.25">
      <c r="T8188" s="98"/>
    </row>
    <row r="8189" spans="20:20" x14ac:dyDescent="0.25">
      <c r="T8189" s="98"/>
    </row>
    <row r="8190" spans="20:20" x14ac:dyDescent="0.25">
      <c r="T8190" s="98"/>
    </row>
    <row r="8191" spans="20:20" x14ac:dyDescent="0.25">
      <c r="T8191" s="98"/>
    </row>
    <row r="8192" spans="20:20" x14ac:dyDescent="0.25">
      <c r="T8192" s="98"/>
    </row>
    <row r="8193" spans="20:20" x14ac:dyDescent="0.25">
      <c r="T8193" s="98"/>
    </row>
    <row r="8194" spans="20:20" x14ac:dyDescent="0.25">
      <c r="T8194" s="98"/>
    </row>
    <row r="8195" spans="20:20" x14ac:dyDescent="0.25">
      <c r="T8195" s="98"/>
    </row>
    <row r="8196" spans="20:20" x14ac:dyDescent="0.25">
      <c r="T8196" s="98"/>
    </row>
    <row r="8197" spans="20:20" x14ac:dyDescent="0.25">
      <c r="T8197" s="98"/>
    </row>
    <row r="8198" spans="20:20" x14ac:dyDescent="0.25">
      <c r="T8198" s="98"/>
    </row>
    <row r="8199" spans="20:20" x14ac:dyDescent="0.25">
      <c r="T8199" s="98"/>
    </row>
    <row r="8200" spans="20:20" x14ac:dyDescent="0.25">
      <c r="T8200" s="98"/>
    </row>
    <row r="8201" spans="20:20" x14ac:dyDescent="0.25">
      <c r="T8201" s="98"/>
    </row>
    <row r="8202" spans="20:20" x14ac:dyDescent="0.25">
      <c r="T8202" s="98"/>
    </row>
    <row r="8203" spans="20:20" x14ac:dyDescent="0.25">
      <c r="T8203" s="98"/>
    </row>
    <row r="8204" spans="20:20" x14ac:dyDescent="0.25">
      <c r="T8204" s="98"/>
    </row>
    <row r="8205" spans="20:20" x14ac:dyDescent="0.25">
      <c r="T8205" s="98"/>
    </row>
    <row r="8206" spans="20:20" x14ac:dyDescent="0.25">
      <c r="T8206" s="98"/>
    </row>
    <row r="8207" spans="20:20" x14ac:dyDescent="0.25">
      <c r="T8207" s="98"/>
    </row>
    <row r="8208" spans="20:20" x14ac:dyDescent="0.25">
      <c r="T8208" s="98"/>
    </row>
    <row r="8209" spans="20:20" x14ac:dyDescent="0.25">
      <c r="T8209" s="98"/>
    </row>
    <row r="8210" spans="20:20" x14ac:dyDescent="0.25">
      <c r="T8210" s="98"/>
    </row>
    <row r="8211" spans="20:20" x14ac:dyDescent="0.25">
      <c r="T8211" s="98"/>
    </row>
    <row r="8212" spans="20:20" x14ac:dyDescent="0.25">
      <c r="T8212" s="98"/>
    </row>
    <row r="8213" spans="20:20" x14ac:dyDescent="0.25">
      <c r="T8213" s="98"/>
    </row>
    <row r="8214" spans="20:20" x14ac:dyDescent="0.25">
      <c r="T8214" s="98"/>
    </row>
    <row r="8215" spans="20:20" x14ac:dyDescent="0.25">
      <c r="T8215" s="98"/>
    </row>
    <row r="8216" spans="20:20" x14ac:dyDescent="0.25">
      <c r="T8216" s="98"/>
    </row>
    <row r="8217" spans="20:20" x14ac:dyDescent="0.25">
      <c r="T8217" s="98"/>
    </row>
    <row r="8218" spans="20:20" x14ac:dyDescent="0.25">
      <c r="T8218" s="98"/>
    </row>
    <row r="8219" spans="20:20" x14ac:dyDescent="0.25">
      <c r="T8219" s="98"/>
    </row>
    <row r="8220" spans="20:20" x14ac:dyDescent="0.25">
      <c r="T8220" s="98"/>
    </row>
    <row r="8221" spans="20:20" x14ac:dyDescent="0.25">
      <c r="T8221" s="98"/>
    </row>
    <row r="8222" spans="20:20" x14ac:dyDescent="0.25">
      <c r="T8222" s="98"/>
    </row>
    <row r="8223" spans="20:20" x14ac:dyDescent="0.25">
      <c r="T8223" s="98"/>
    </row>
    <row r="8224" spans="20:20" x14ac:dyDescent="0.25">
      <c r="T8224" s="98"/>
    </row>
    <row r="8225" spans="20:20" x14ac:dyDescent="0.25">
      <c r="T8225" s="98"/>
    </row>
    <row r="8226" spans="20:20" x14ac:dyDescent="0.25">
      <c r="T8226" s="98"/>
    </row>
    <row r="8227" spans="20:20" x14ac:dyDescent="0.25">
      <c r="T8227" s="98"/>
    </row>
    <row r="8228" spans="20:20" x14ac:dyDescent="0.25">
      <c r="T8228" s="98"/>
    </row>
    <row r="8229" spans="20:20" x14ac:dyDescent="0.25">
      <c r="T8229" s="98"/>
    </row>
    <row r="8230" spans="20:20" x14ac:dyDescent="0.25">
      <c r="T8230" s="98"/>
    </row>
    <row r="8231" spans="20:20" x14ac:dyDescent="0.25">
      <c r="T8231" s="98"/>
    </row>
    <row r="8232" spans="20:20" x14ac:dyDescent="0.25">
      <c r="T8232" s="98"/>
    </row>
    <row r="8233" spans="20:20" x14ac:dyDescent="0.25">
      <c r="T8233" s="98"/>
    </row>
    <row r="8234" spans="20:20" x14ac:dyDescent="0.25">
      <c r="T8234" s="98"/>
    </row>
    <row r="8235" spans="20:20" x14ac:dyDescent="0.25">
      <c r="T8235" s="98"/>
    </row>
    <row r="8236" spans="20:20" x14ac:dyDescent="0.25">
      <c r="T8236" s="98"/>
    </row>
    <row r="8237" spans="20:20" x14ac:dyDescent="0.25">
      <c r="T8237" s="98"/>
    </row>
    <row r="8238" spans="20:20" x14ac:dyDescent="0.25">
      <c r="T8238" s="98"/>
    </row>
    <row r="8239" spans="20:20" x14ac:dyDescent="0.25">
      <c r="T8239" s="98"/>
    </row>
    <row r="8240" spans="20:20" x14ac:dyDescent="0.25">
      <c r="T8240" s="98"/>
    </row>
    <row r="8241" spans="20:20" x14ac:dyDescent="0.25">
      <c r="T8241" s="98"/>
    </row>
    <row r="8242" spans="20:20" x14ac:dyDescent="0.25">
      <c r="T8242" s="98"/>
    </row>
    <row r="8243" spans="20:20" x14ac:dyDescent="0.25">
      <c r="T8243" s="98"/>
    </row>
    <row r="8244" spans="20:20" x14ac:dyDescent="0.25">
      <c r="T8244" s="98"/>
    </row>
    <row r="8245" spans="20:20" x14ac:dyDescent="0.25">
      <c r="T8245" s="98"/>
    </row>
    <row r="8246" spans="20:20" x14ac:dyDescent="0.25">
      <c r="T8246" s="98"/>
    </row>
    <row r="8247" spans="20:20" x14ac:dyDescent="0.25">
      <c r="T8247" s="98"/>
    </row>
    <row r="8248" spans="20:20" x14ac:dyDescent="0.25">
      <c r="T8248" s="98"/>
    </row>
    <row r="8249" spans="20:20" x14ac:dyDescent="0.25">
      <c r="T8249" s="98"/>
    </row>
    <row r="8250" spans="20:20" x14ac:dyDescent="0.25">
      <c r="T8250" s="98"/>
    </row>
    <row r="8251" spans="20:20" x14ac:dyDescent="0.25">
      <c r="T8251" s="98"/>
    </row>
    <row r="8252" spans="20:20" x14ac:dyDescent="0.25">
      <c r="T8252" s="98"/>
    </row>
    <row r="8253" spans="20:20" x14ac:dyDescent="0.25">
      <c r="T8253" s="98"/>
    </row>
    <row r="8254" spans="20:20" x14ac:dyDescent="0.25">
      <c r="T8254" s="98"/>
    </row>
    <row r="8255" spans="20:20" x14ac:dyDescent="0.25">
      <c r="T8255" s="98"/>
    </row>
    <row r="8256" spans="20:20" x14ac:dyDescent="0.25">
      <c r="T8256" s="98"/>
    </row>
    <row r="8257" spans="20:20" x14ac:dyDescent="0.25">
      <c r="T8257" s="98"/>
    </row>
    <row r="8258" spans="20:20" x14ac:dyDescent="0.25">
      <c r="T8258" s="98"/>
    </row>
    <row r="8259" spans="20:20" x14ac:dyDescent="0.25">
      <c r="T8259" s="98"/>
    </row>
    <row r="8260" spans="20:20" x14ac:dyDescent="0.25">
      <c r="T8260" s="98"/>
    </row>
    <row r="8261" spans="20:20" x14ac:dyDescent="0.25">
      <c r="T8261" s="98"/>
    </row>
    <row r="8262" spans="20:20" x14ac:dyDescent="0.25">
      <c r="T8262" s="98"/>
    </row>
    <row r="8263" spans="20:20" x14ac:dyDescent="0.25">
      <c r="T8263" s="98"/>
    </row>
    <row r="8264" spans="20:20" x14ac:dyDescent="0.25">
      <c r="T8264" s="98"/>
    </row>
    <row r="8265" spans="20:20" x14ac:dyDescent="0.25">
      <c r="T8265" s="98"/>
    </row>
    <row r="8266" spans="20:20" x14ac:dyDescent="0.25">
      <c r="T8266" s="98"/>
    </row>
    <row r="8267" spans="20:20" x14ac:dyDescent="0.25">
      <c r="T8267" s="98"/>
    </row>
    <row r="8268" spans="20:20" x14ac:dyDescent="0.25">
      <c r="T8268" s="98"/>
    </row>
    <row r="8269" spans="20:20" x14ac:dyDescent="0.25">
      <c r="T8269" s="98"/>
    </row>
    <row r="8270" spans="20:20" x14ac:dyDescent="0.25">
      <c r="T8270" s="98"/>
    </row>
    <row r="8271" spans="20:20" x14ac:dyDescent="0.25">
      <c r="T8271" s="98"/>
    </row>
    <row r="8272" spans="20:20" x14ac:dyDescent="0.25">
      <c r="T8272" s="98"/>
    </row>
    <row r="8273" spans="20:20" x14ac:dyDescent="0.25">
      <c r="T8273" s="98"/>
    </row>
    <row r="8274" spans="20:20" x14ac:dyDescent="0.25">
      <c r="T8274" s="98"/>
    </row>
    <row r="8275" spans="20:20" x14ac:dyDescent="0.25">
      <c r="T8275" s="98"/>
    </row>
    <row r="8276" spans="20:20" x14ac:dyDescent="0.25">
      <c r="T8276" s="98"/>
    </row>
    <row r="8277" spans="20:20" x14ac:dyDescent="0.25">
      <c r="T8277" s="98"/>
    </row>
    <row r="8278" spans="20:20" x14ac:dyDescent="0.25">
      <c r="T8278" s="98"/>
    </row>
    <row r="8279" spans="20:20" x14ac:dyDescent="0.25">
      <c r="T8279" s="98"/>
    </row>
    <row r="8280" spans="20:20" x14ac:dyDescent="0.25">
      <c r="T8280" s="98"/>
    </row>
    <row r="8281" spans="20:20" x14ac:dyDescent="0.25">
      <c r="T8281" s="98"/>
    </row>
    <row r="8282" spans="20:20" x14ac:dyDescent="0.25">
      <c r="T8282" s="98"/>
    </row>
    <row r="8283" spans="20:20" x14ac:dyDescent="0.25">
      <c r="T8283" s="98"/>
    </row>
    <row r="8284" spans="20:20" x14ac:dyDescent="0.25">
      <c r="T8284" s="98"/>
    </row>
    <row r="8285" spans="20:20" x14ac:dyDescent="0.25">
      <c r="T8285" s="98"/>
    </row>
    <row r="8286" spans="20:20" x14ac:dyDescent="0.25">
      <c r="T8286" s="98"/>
    </row>
    <row r="8287" spans="20:20" x14ac:dyDescent="0.25">
      <c r="T8287" s="98"/>
    </row>
    <row r="8288" spans="20:20" x14ac:dyDescent="0.25">
      <c r="T8288" s="98"/>
    </row>
    <row r="8289" spans="20:20" x14ac:dyDescent="0.25">
      <c r="T8289" s="98"/>
    </row>
    <row r="8290" spans="20:20" x14ac:dyDescent="0.25">
      <c r="T8290" s="98"/>
    </row>
    <row r="8291" spans="20:20" x14ac:dyDescent="0.25">
      <c r="T8291" s="98"/>
    </row>
    <row r="8292" spans="20:20" x14ac:dyDescent="0.25">
      <c r="T8292" s="98"/>
    </row>
    <row r="8293" spans="20:20" x14ac:dyDescent="0.25">
      <c r="T8293" s="98"/>
    </row>
    <row r="8294" spans="20:20" x14ac:dyDescent="0.25">
      <c r="T8294" s="98"/>
    </row>
    <row r="8295" spans="20:20" x14ac:dyDescent="0.25">
      <c r="T8295" s="98"/>
    </row>
    <row r="8296" spans="20:20" x14ac:dyDescent="0.25">
      <c r="T8296" s="98"/>
    </row>
    <row r="8297" spans="20:20" x14ac:dyDescent="0.25">
      <c r="T8297" s="98"/>
    </row>
    <row r="8298" spans="20:20" x14ac:dyDescent="0.25">
      <c r="T8298" s="98"/>
    </row>
    <row r="8299" spans="20:20" x14ac:dyDescent="0.25">
      <c r="T8299" s="98"/>
    </row>
    <row r="8300" spans="20:20" x14ac:dyDescent="0.25">
      <c r="T8300" s="98"/>
    </row>
    <row r="8301" spans="20:20" x14ac:dyDescent="0.25">
      <c r="T8301" s="98"/>
    </row>
    <row r="8302" spans="20:20" x14ac:dyDescent="0.25">
      <c r="T8302" s="98"/>
    </row>
    <row r="8303" spans="20:20" x14ac:dyDescent="0.25">
      <c r="T8303" s="98"/>
    </row>
    <row r="8304" spans="20:20" x14ac:dyDescent="0.25">
      <c r="T8304" s="98"/>
    </row>
    <row r="8305" spans="20:20" x14ac:dyDescent="0.25">
      <c r="T8305" s="98"/>
    </row>
    <row r="8306" spans="20:20" x14ac:dyDescent="0.25">
      <c r="T8306" s="98"/>
    </row>
    <row r="8307" spans="20:20" x14ac:dyDescent="0.25">
      <c r="T8307" s="98"/>
    </row>
    <row r="8308" spans="20:20" x14ac:dyDescent="0.25">
      <c r="T8308" s="98"/>
    </row>
    <row r="8309" spans="20:20" x14ac:dyDescent="0.25">
      <c r="T8309" s="98"/>
    </row>
    <row r="8310" spans="20:20" x14ac:dyDescent="0.25">
      <c r="T8310" s="98"/>
    </row>
    <row r="8311" spans="20:20" x14ac:dyDescent="0.25">
      <c r="T8311" s="98"/>
    </row>
    <row r="8312" spans="20:20" x14ac:dyDescent="0.25">
      <c r="T8312" s="98"/>
    </row>
    <row r="8313" spans="20:20" x14ac:dyDescent="0.25">
      <c r="T8313" s="98"/>
    </row>
    <row r="8314" spans="20:20" x14ac:dyDescent="0.25">
      <c r="T8314" s="98"/>
    </row>
    <row r="8315" spans="20:20" x14ac:dyDescent="0.25">
      <c r="T8315" s="98"/>
    </row>
    <row r="8316" spans="20:20" x14ac:dyDescent="0.25">
      <c r="T8316" s="98"/>
    </row>
    <row r="8317" spans="20:20" x14ac:dyDescent="0.25">
      <c r="T8317" s="98"/>
    </row>
    <row r="8318" spans="20:20" x14ac:dyDescent="0.25">
      <c r="T8318" s="98"/>
    </row>
    <row r="8319" spans="20:20" x14ac:dyDescent="0.25">
      <c r="T8319" s="98"/>
    </row>
    <row r="8320" spans="20:20" x14ac:dyDescent="0.25">
      <c r="T8320" s="98"/>
    </row>
    <row r="8321" spans="20:20" x14ac:dyDescent="0.25">
      <c r="T8321" s="98"/>
    </row>
    <row r="8322" spans="20:20" x14ac:dyDescent="0.25">
      <c r="T8322" s="98"/>
    </row>
    <row r="8323" spans="20:20" x14ac:dyDescent="0.25">
      <c r="T8323" s="98"/>
    </row>
    <row r="8324" spans="20:20" x14ac:dyDescent="0.25">
      <c r="T8324" s="98"/>
    </row>
    <row r="8325" spans="20:20" x14ac:dyDescent="0.25">
      <c r="T8325" s="98"/>
    </row>
    <row r="8326" spans="20:20" x14ac:dyDescent="0.25">
      <c r="T8326" s="98"/>
    </row>
    <row r="8327" spans="20:20" x14ac:dyDescent="0.25">
      <c r="T8327" s="98"/>
    </row>
    <row r="8328" spans="20:20" x14ac:dyDescent="0.25">
      <c r="T8328" s="98"/>
    </row>
    <row r="8329" spans="20:20" x14ac:dyDescent="0.25">
      <c r="T8329" s="98"/>
    </row>
    <row r="8330" spans="20:20" x14ac:dyDescent="0.25">
      <c r="T8330" s="98"/>
    </row>
    <row r="8331" spans="20:20" x14ac:dyDescent="0.25">
      <c r="T8331" s="98"/>
    </row>
    <row r="8332" spans="20:20" x14ac:dyDescent="0.25">
      <c r="T8332" s="98"/>
    </row>
    <row r="8333" spans="20:20" x14ac:dyDescent="0.25">
      <c r="T8333" s="98"/>
    </row>
    <row r="8334" spans="20:20" x14ac:dyDescent="0.25">
      <c r="T8334" s="98"/>
    </row>
    <row r="8335" spans="20:20" x14ac:dyDescent="0.25">
      <c r="T8335" s="98"/>
    </row>
    <row r="8336" spans="20:20" x14ac:dyDescent="0.25">
      <c r="T8336" s="98"/>
    </row>
    <row r="8337" spans="20:20" x14ac:dyDescent="0.25">
      <c r="T8337" s="98"/>
    </row>
    <row r="8338" spans="20:20" x14ac:dyDescent="0.25">
      <c r="T8338" s="98"/>
    </row>
    <row r="8339" spans="20:20" x14ac:dyDescent="0.25">
      <c r="T8339" s="98"/>
    </row>
    <row r="8340" spans="20:20" x14ac:dyDescent="0.25">
      <c r="T8340" s="98"/>
    </row>
    <row r="8341" spans="20:20" x14ac:dyDescent="0.25">
      <c r="T8341" s="98"/>
    </row>
    <row r="8342" spans="20:20" x14ac:dyDescent="0.25">
      <c r="T8342" s="98"/>
    </row>
    <row r="8343" spans="20:20" x14ac:dyDescent="0.25">
      <c r="T8343" s="98"/>
    </row>
    <row r="8344" spans="20:20" x14ac:dyDescent="0.25">
      <c r="T8344" s="98"/>
    </row>
    <row r="8345" spans="20:20" x14ac:dyDescent="0.25">
      <c r="T8345" s="98"/>
    </row>
    <row r="8346" spans="20:20" x14ac:dyDescent="0.25">
      <c r="T8346" s="98"/>
    </row>
    <row r="8347" spans="20:20" x14ac:dyDescent="0.25">
      <c r="T8347" s="98"/>
    </row>
    <row r="8348" spans="20:20" x14ac:dyDescent="0.25">
      <c r="T8348" s="98"/>
    </row>
    <row r="8349" spans="20:20" x14ac:dyDescent="0.25">
      <c r="T8349" s="98"/>
    </row>
    <row r="8350" spans="20:20" x14ac:dyDescent="0.25">
      <c r="T8350" s="98"/>
    </row>
    <row r="8351" spans="20:20" x14ac:dyDescent="0.25">
      <c r="T8351" s="98"/>
    </row>
    <row r="8352" spans="20:20" x14ac:dyDescent="0.25">
      <c r="T8352" s="98"/>
    </row>
    <row r="8353" spans="20:20" x14ac:dyDescent="0.25">
      <c r="T8353" s="98"/>
    </row>
    <row r="8354" spans="20:20" x14ac:dyDescent="0.25">
      <c r="T8354" s="98"/>
    </row>
    <row r="8355" spans="20:20" x14ac:dyDescent="0.25">
      <c r="T8355" s="98"/>
    </row>
    <row r="8356" spans="20:20" x14ac:dyDescent="0.25">
      <c r="T8356" s="98"/>
    </row>
    <row r="8357" spans="20:20" x14ac:dyDescent="0.25">
      <c r="T8357" s="98"/>
    </row>
    <row r="8358" spans="20:20" x14ac:dyDescent="0.25">
      <c r="T8358" s="98"/>
    </row>
    <row r="8359" spans="20:20" x14ac:dyDescent="0.25">
      <c r="T8359" s="98"/>
    </row>
    <row r="8360" spans="20:20" x14ac:dyDescent="0.25">
      <c r="T8360" s="98"/>
    </row>
    <row r="8361" spans="20:20" x14ac:dyDescent="0.25">
      <c r="T8361" s="98"/>
    </row>
    <row r="8362" spans="20:20" x14ac:dyDescent="0.25">
      <c r="T8362" s="98"/>
    </row>
    <row r="8363" spans="20:20" x14ac:dyDescent="0.25">
      <c r="T8363" s="98"/>
    </row>
    <row r="8364" spans="20:20" x14ac:dyDescent="0.25">
      <c r="T8364" s="98"/>
    </row>
    <row r="8365" spans="20:20" x14ac:dyDescent="0.25">
      <c r="T8365" s="98"/>
    </row>
    <row r="8366" spans="20:20" x14ac:dyDescent="0.25">
      <c r="T8366" s="98"/>
    </row>
    <row r="8367" spans="20:20" x14ac:dyDescent="0.25">
      <c r="T8367" s="98"/>
    </row>
    <row r="8368" spans="20:20" x14ac:dyDescent="0.25">
      <c r="T8368" s="98"/>
    </row>
    <row r="8369" spans="20:20" x14ac:dyDescent="0.25">
      <c r="T8369" s="98"/>
    </row>
    <row r="8370" spans="20:20" x14ac:dyDescent="0.25">
      <c r="T8370" s="98"/>
    </row>
    <row r="8371" spans="20:20" x14ac:dyDescent="0.25">
      <c r="T8371" s="98"/>
    </row>
    <row r="8372" spans="20:20" x14ac:dyDescent="0.25">
      <c r="T8372" s="98"/>
    </row>
    <row r="8373" spans="20:20" x14ac:dyDescent="0.25">
      <c r="T8373" s="98"/>
    </row>
    <row r="8374" spans="20:20" x14ac:dyDescent="0.25">
      <c r="T8374" s="98"/>
    </row>
    <row r="8375" spans="20:20" x14ac:dyDescent="0.25">
      <c r="T8375" s="98"/>
    </row>
    <row r="8376" spans="20:20" x14ac:dyDescent="0.25">
      <c r="T8376" s="98"/>
    </row>
    <row r="8377" spans="20:20" x14ac:dyDescent="0.25">
      <c r="T8377" s="98"/>
    </row>
    <row r="8378" spans="20:20" x14ac:dyDescent="0.25">
      <c r="T8378" s="98"/>
    </row>
    <row r="8379" spans="20:20" x14ac:dyDescent="0.25">
      <c r="T8379" s="98"/>
    </row>
    <row r="8380" spans="20:20" x14ac:dyDescent="0.25">
      <c r="T8380" s="98"/>
    </row>
    <row r="8381" spans="20:20" x14ac:dyDescent="0.25">
      <c r="T8381" s="98"/>
    </row>
    <row r="8382" spans="20:20" x14ac:dyDescent="0.25">
      <c r="T8382" s="98"/>
    </row>
    <row r="8383" spans="20:20" x14ac:dyDescent="0.25">
      <c r="T8383" s="98"/>
    </row>
    <row r="8384" spans="20:20" x14ac:dyDescent="0.25">
      <c r="T8384" s="98"/>
    </row>
    <row r="8385" spans="20:20" x14ac:dyDescent="0.25">
      <c r="T8385" s="98"/>
    </row>
    <row r="8386" spans="20:20" x14ac:dyDescent="0.25">
      <c r="T8386" s="98"/>
    </row>
    <row r="8387" spans="20:20" x14ac:dyDescent="0.25">
      <c r="T8387" s="98"/>
    </row>
    <row r="8388" spans="20:20" x14ac:dyDescent="0.25">
      <c r="T8388" s="98"/>
    </row>
    <row r="8389" spans="20:20" x14ac:dyDescent="0.25">
      <c r="T8389" s="98"/>
    </row>
    <row r="8390" spans="20:20" x14ac:dyDescent="0.25">
      <c r="T8390" s="98"/>
    </row>
    <row r="8391" spans="20:20" x14ac:dyDescent="0.25">
      <c r="T8391" s="98"/>
    </row>
    <row r="8392" spans="20:20" x14ac:dyDescent="0.25">
      <c r="T8392" s="98"/>
    </row>
    <row r="8393" spans="20:20" x14ac:dyDescent="0.25">
      <c r="T8393" s="98"/>
    </row>
    <row r="8394" spans="20:20" x14ac:dyDescent="0.25">
      <c r="T8394" s="98"/>
    </row>
    <row r="8395" spans="20:20" x14ac:dyDescent="0.25">
      <c r="T8395" s="98"/>
    </row>
    <row r="8396" spans="20:20" x14ac:dyDescent="0.25">
      <c r="T8396" s="98"/>
    </row>
    <row r="8397" spans="20:20" x14ac:dyDescent="0.25">
      <c r="T8397" s="98"/>
    </row>
    <row r="8398" spans="20:20" x14ac:dyDescent="0.25">
      <c r="T8398" s="98"/>
    </row>
    <row r="8399" spans="20:20" x14ac:dyDescent="0.25">
      <c r="T8399" s="98"/>
    </row>
    <row r="8400" spans="20:20" x14ac:dyDescent="0.25">
      <c r="T8400" s="98"/>
    </row>
    <row r="8401" spans="20:20" x14ac:dyDescent="0.25">
      <c r="T8401" s="98"/>
    </row>
    <row r="8402" spans="20:20" x14ac:dyDescent="0.25">
      <c r="T8402" s="98"/>
    </row>
    <row r="8403" spans="20:20" x14ac:dyDescent="0.25">
      <c r="T8403" s="98"/>
    </row>
    <row r="8404" spans="20:20" x14ac:dyDescent="0.25">
      <c r="T8404" s="98"/>
    </row>
    <row r="8405" spans="20:20" x14ac:dyDescent="0.25">
      <c r="T8405" s="98"/>
    </row>
    <row r="8406" spans="20:20" x14ac:dyDescent="0.25">
      <c r="T8406" s="98"/>
    </row>
    <row r="8407" spans="20:20" x14ac:dyDescent="0.25">
      <c r="T8407" s="98"/>
    </row>
    <row r="8408" spans="20:20" x14ac:dyDescent="0.25">
      <c r="T8408" s="98"/>
    </row>
    <row r="8409" spans="20:20" x14ac:dyDescent="0.25">
      <c r="T8409" s="98"/>
    </row>
    <row r="8410" spans="20:20" x14ac:dyDescent="0.25">
      <c r="T8410" s="98"/>
    </row>
    <row r="8411" spans="20:20" x14ac:dyDescent="0.25">
      <c r="T8411" s="98"/>
    </row>
    <row r="8412" spans="20:20" x14ac:dyDescent="0.25">
      <c r="T8412" s="98"/>
    </row>
    <row r="8413" spans="20:20" x14ac:dyDescent="0.25">
      <c r="T8413" s="98"/>
    </row>
    <row r="8414" spans="20:20" x14ac:dyDescent="0.25">
      <c r="T8414" s="98"/>
    </row>
    <row r="8415" spans="20:20" x14ac:dyDescent="0.25">
      <c r="T8415" s="98"/>
    </row>
    <row r="8416" spans="20:20" x14ac:dyDescent="0.25">
      <c r="T8416" s="98"/>
    </row>
    <row r="8417" spans="20:20" x14ac:dyDescent="0.25">
      <c r="T8417" s="98"/>
    </row>
    <row r="8418" spans="20:20" x14ac:dyDescent="0.25">
      <c r="T8418" s="98"/>
    </row>
    <row r="8419" spans="20:20" x14ac:dyDescent="0.25">
      <c r="T8419" s="98"/>
    </row>
    <row r="8420" spans="20:20" x14ac:dyDescent="0.25">
      <c r="T8420" s="98"/>
    </row>
    <row r="8421" spans="20:20" x14ac:dyDescent="0.25">
      <c r="T8421" s="98"/>
    </row>
    <row r="8422" spans="20:20" x14ac:dyDescent="0.25">
      <c r="T8422" s="98"/>
    </row>
    <row r="8423" spans="20:20" x14ac:dyDescent="0.25">
      <c r="T8423" s="98"/>
    </row>
    <row r="8424" spans="20:20" x14ac:dyDescent="0.25">
      <c r="T8424" s="98"/>
    </row>
    <row r="8425" spans="20:20" x14ac:dyDescent="0.25">
      <c r="T8425" s="98"/>
    </row>
    <row r="8426" spans="20:20" x14ac:dyDescent="0.25">
      <c r="T8426" s="98"/>
    </row>
    <row r="8427" spans="20:20" x14ac:dyDescent="0.25">
      <c r="T8427" s="98"/>
    </row>
    <row r="8428" spans="20:20" x14ac:dyDescent="0.25">
      <c r="T8428" s="98"/>
    </row>
    <row r="8429" spans="20:20" x14ac:dyDescent="0.25">
      <c r="T8429" s="98"/>
    </row>
    <row r="8430" spans="20:20" x14ac:dyDescent="0.25">
      <c r="T8430" s="98"/>
    </row>
    <row r="8431" spans="20:20" x14ac:dyDescent="0.25">
      <c r="T8431" s="98"/>
    </row>
    <row r="8432" spans="20:20" x14ac:dyDescent="0.25">
      <c r="T8432" s="98"/>
    </row>
    <row r="8433" spans="20:20" x14ac:dyDescent="0.25">
      <c r="T8433" s="98"/>
    </row>
    <row r="8434" spans="20:20" x14ac:dyDescent="0.25">
      <c r="T8434" s="98"/>
    </row>
    <row r="8435" spans="20:20" x14ac:dyDescent="0.25">
      <c r="T8435" s="98"/>
    </row>
    <row r="8436" spans="20:20" x14ac:dyDescent="0.25">
      <c r="T8436" s="98"/>
    </row>
    <row r="8437" spans="20:20" x14ac:dyDescent="0.25">
      <c r="T8437" s="98"/>
    </row>
    <row r="8438" spans="20:20" x14ac:dyDescent="0.25">
      <c r="T8438" s="98"/>
    </row>
    <row r="8439" spans="20:20" x14ac:dyDescent="0.25">
      <c r="T8439" s="98"/>
    </row>
    <row r="8440" spans="20:20" x14ac:dyDescent="0.25">
      <c r="T8440" s="98"/>
    </row>
    <row r="8441" spans="20:20" x14ac:dyDescent="0.25">
      <c r="T8441" s="98"/>
    </row>
    <row r="8442" spans="20:20" x14ac:dyDescent="0.25">
      <c r="T8442" s="98"/>
    </row>
    <row r="8443" spans="20:20" x14ac:dyDescent="0.25">
      <c r="T8443" s="98"/>
    </row>
    <row r="8444" spans="20:20" x14ac:dyDescent="0.25">
      <c r="T8444" s="98"/>
    </row>
    <row r="8445" spans="20:20" x14ac:dyDescent="0.25">
      <c r="T8445" s="98"/>
    </row>
    <row r="8446" spans="20:20" x14ac:dyDescent="0.25">
      <c r="T8446" s="98"/>
    </row>
    <row r="8447" spans="20:20" x14ac:dyDescent="0.25">
      <c r="T8447" s="98"/>
    </row>
    <row r="8448" spans="20:20" x14ac:dyDescent="0.25">
      <c r="T8448" s="98"/>
    </row>
    <row r="8449" spans="20:20" x14ac:dyDescent="0.25">
      <c r="T8449" s="98"/>
    </row>
    <row r="8450" spans="20:20" x14ac:dyDescent="0.25">
      <c r="T8450" s="98"/>
    </row>
    <row r="8451" spans="20:20" x14ac:dyDescent="0.25">
      <c r="T8451" s="98"/>
    </row>
    <row r="8452" spans="20:20" x14ac:dyDescent="0.25">
      <c r="T8452" s="98"/>
    </row>
    <row r="8453" spans="20:20" x14ac:dyDescent="0.25">
      <c r="T8453" s="98"/>
    </row>
    <row r="8454" spans="20:20" x14ac:dyDescent="0.25">
      <c r="T8454" s="98"/>
    </row>
    <row r="8455" spans="20:20" x14ac:dyDescent="0.25">
      <c r="T8455" s="98"/>
    </row>
    <row r="8456" spans="20:20" x14ac:dyDescent="0.25">
      <c r="T8456" s="98"/>
    </row>
    <row r="8457" spans="20:20" x14ac:dyDescent="0.25">
      <c r="T8457" s="98"/>
    </row>
    <row r="8458" spans="20:20" x14ac:dyDescent="0.25">
      <c r="T8458" s="98"/>
    </row>
    <row r="8459" spans="20:20" x14ac:dyDescent="0.25">
      <c r="T8459" s="98"/>
    </row>
    <row r="8460" spans="20:20" x14ac:dyDescent="0.25">
      <c r="T8460" s="98"/>
    </row>
    <row r="8461" spans="20:20" x14ac:dyDescent="0.25">
      <c r="T8461" s="98"/>
    </row>
    <row r="8462" spans="20:20" x14ac:dyDescent="0.25">
      <c r="T8462" s="98"/>
    </row>
    <row r="8463" spans="20:20" x14ac:dyDescent="0.25">
      <c r="T8463" s="98"/>
    </row>
    <row r="8464" spans="20:20" x14ac:dyDescent="0.25">
      <c r="T8464" s="98"/>
    </row>
    <row r="8465" spans="20:20" x14ac:dyDescent="0.25">
      <c r="T8465" s="98"/>
    </row>
    <row r="8466" spans="20:20" x14ac:dyDescent="0.25">
      <c r="T8466" s="98"/>
    </row>
    <row r="8467" spans="20:20" x14ac:dyDescent="0.25">
      <c r="T8467" s="98"/>
    </row>
    <row r="8468" spans="20:20" x14ac:dyDescent="0.25">
      <c r="T8468" s="98"/>
    </row>
    <row r="8469" spans="20:20" x14ac:dyDescent="0.25">
      <c r="T8469" s="98"/>
    </row>
    <row r="8470" spans="20:20" x14ac:dyDescent="0.25">
      <c r="T8470" s="98"/>
    </row>
    <row r="8471" spans="20:20" x14ac:dyDescent="0.25">
      <c r="T8471" s="98"/>
    </row>
    <row r="8472" spans="20:20" x14ac:dyDescent="0.25">
      <c r="T8472" s="98"/>
    </row>
    <row r="8473" spans="20:20" x14ac:dyDescent="0.25">
      <c r="T8473" s="98"/>
    </row>
    <row r="8474" spans="20:20" x14ac:dyDescent="0.25">
      <c r="T8474" s="98"/>
    </row>
    <row r="8475" spans="20:20" x14ac:dyDescent="0.25">
      <c r="T8475" s="98"/>
    </row>
    <row r="8476" spans="20:20" x14ac:dyDescent="0.25">
      <c r="T8476" s="98"/>
    </row>
    <row r="8477" spans="20:20" x14ac:dyDescent="0.25">
      <c r="T8477" s="98"/>
    </row>
    <row r="8478" spans="20:20" x14ac:dyDescent="0.25">
      <c r="T8478" s="98"/>
    </row>
    <row r="8479" spans="20:20" x14ac:dyDescent="0.25">
      <c r="T8479" s="98"/>
    </row>
    <row r="8480" spans="20:20" x14ac:dyDescent="0.25">
      <c r="T8480" s="98"/>
    </row>
    <row r="8481" spans="20:20" x14ac:dyDescent="0.25">
      <c r="T8481" s="98"/>
    </row>
    <row r="8482" spans="20:20" x14ac:dyDescent="0.25">
      <c r="T8482" s="98"/>
    </row>
    <row r="8483" spans="20:20" x14ac:dyDescent="0.25">
      <c r="T8483" s="98"/>
    </row>
    <row r="8484" spans="20:20" x14ac:dyDescent="0.25">
      <c r="T8484" s="98"/>
    </row>
    <row r="8485" spans="20:20" x14ac:dyDescent="0.25">
      <c r="T8485" s="98"/>
    </row>
    <row r="8486" spans="20:20" x14ac:dyDescent="0.25">
      <c r="T8486" s="98"/>
    </row>
    <row r="8487" spans="20:20" x14ac:dyDescent="0.25">
      <c r="T8487" s="98"/>
    </row>
    <row r="8488" spans="20:20" x14ac:dyDescent="0.25">
      <c r="T8488" s="98"/>
    </row>
    <row r="8489" spans="20:20" x14ac:dyDescent="0.25">
      <c r="T8489" s="98"/>
    </row>
    <row r="8490" spans="20:20" x14ac:dyDescent="0.25">
      <c r="T8490" s="98"/>
    </row>
    <row r="8491" spans="20:20" x14ac:dyDescent="0.25">
      <c r="T8491" s="98"/>
    </row>
    <row r="8492" spans="20:20" x14ac:dyDescent="0.25">
      <c r="T8492" s="98"/>
    </row>
    <row r="8493" spans="20:20" x14ac:dyDescent="0.25">
      <c r="T8493" s="98"/>
    </row>
    <row r="8494" spans="20:20" x14ac:dyDescent="0.25">
      <c r="T8494" s="98"/>
    </row>
    <row r="8495" spans="20:20" x14ac:dyDescent="0.25">
      <c r="T8495" s="98"/>
    </row>
    <row r="8496" spans="20:20" x14ac:dyDescent="0.25">
      <c r="T8496" s="98"/>
    </row>
    <row r="8497" spans="20:20" x14ac:dyDescent="0.25">
      <c r="T8497" s="98"/>
    </row>
    <row r="8498" spans="20:20" x14ac:dyDescent="0.25">
      <c r="T8498" s="98"/>
    </row>
    <row r="8499" spans="20:20" x14ac:dyDescent="0.25">
      <c r="T8499" s="98"/>
    </row>
    <row r="8500" spans="20:20" x14ac:dyDescent="0.25">
      <c r="T8500" s="98"/>
    </row>
    <row r="8501" spans="20:20" x14ac:dyDescent="0.25">
      <c r="T8501" s="98"/>
    </row>
    <row r="8502" spans="20:20" x14ac:dyDescent="0.25">
      <c r="T8502" s="98"/>
    </row>
    <row r="8503" spans="20:20" x14ac:dyDescent="0.25">
      <c r="T8503" s="98"/>
    </row>
    <row r="8504" spans="20:20" x14ac:dyDescent="0.25">
      <c r="T8504" s="98"/>
    </row>
    <row r="8505" spans="20:20" x14ac:dyDescent="0.25">
      <c r="T8505" s="98"/>
    </row>
    <row r="8506" spans="20:20" x14ac:dyDescent="0.25">
      <c r="T8506" s="98"/>
    </row>
    <row r="8507" spans="20:20" x14ac:dyDescent="0.25">
      <c r="T8507" s="98"/>
    </row>
    <row r="8508" spans="20:20" x14ac:dyDescent="0.25">
      <c r="T8508" s="98"/>
    </row>
    <row r="8509" spans="20:20" x14ac:dyDescent="0.25">
      <c r="T8509" s="98"/>
    </row>
    <row r="8510" spans="20:20" x14ac:dyDescent="0.25">
      <c r="T8510" s="98"/>
    </row>
    <row r="8511" spans="20:20" x14ac:dyDescent="0.25">
      <c r="T8511" s="98"/>
    </row>
    <row r="8512" spans="20:20" x14ac:dyDescent="0.25">
      <c r="T8512" s="98"/>
    </row>
    <row r="8513" spans="20:20" x14ac:dyDescent="0.25">
      <c r="T8513" s="98"/>
    </row>
    <row r="8514" spans="20:20" x14ac:dyDescent="0.25">
      <c r="T8514" s="98"/>
    </row>
    <row r="8515" spans="20:20" x14ac:dyDescent="0.25">
      <c r="T8515" s="98"/>
    </row>
    <row r="8516" spans="20:20" x14ac:dyDescent="0.25">
      <c r="T8516" s="98"/>
    </row>
    <row r="8517" spans="20:20" x14ac:dyDescent="0.25">
      <c r="T8517" s="98"/>
    </row>
    <row r="8518" spans="20:20" x14ac:dyDescent="0.25">
      <c r="T8518" s="98"/>
    </row>
    <row r="8519" spans="20:20" x14ac:dyDescent="0.25">
      <c r="T8519" s="98"/>
    </row>
    <row r="8520" spans="20:20" x14ac:dyDescent="0.25">
      <c r="T8520" s="98"/>
    </row>
    <row r="8521" spans="20:20" x14ac:dyDescent="0.25">
      <c r="T8521" s="98"/>
    </row>
    <row r="8522" spans="20:20" x14ac:dyDescent="0.25">
      <c r="T8522" s="98"/>
    </row>
    <row r="8523" spans="20:20" x14ac:dyDescent="0.25">
      <c r="T8523" s="98"/>
    </row>
    <row r="8524" spans="20:20" x14ac:dyDescent="0.25">
      <c r="T8524" s="98"/>
    </row>
    <row r="8525" spans="20:20" x14ac:dyDescent="0.25">
      <c r="T8525" s="98"/>
    </row>
    <row r="8526" spans="20:20" x14ac:dyDescent="0.25">
      <c r="T8526" s="98"/>
    </row>
    <row r="8527" spans="20:20" x14ac:dyDescent="0.25">
      <c r="T8527" s="98"/>
    </row>
    <row r="8528" spans="20:20" x14ac:dyDescent="0.25">
      <c r="T8528" s="98"/>
    </row>
    <row r="8529" spans="20:20" x14ac:dyDescent="0.25">
      <c r="T8529" s="98"/>
    </row>
    <row r="8530" spans="20:20" x14ac:dyDescent="0.25">
      <c r="T8530" s="98"/>
    </row>
    <row r="8531" spans="20:20" x14ac:dyDescent="0.25">
      <c r="T8531" s="98"/>
    </row>
    <row r="8532" spans="20:20" x14ac:dyDescent="0.25">
      <c r="T8532" s="98"/>
    </row>
    <row r="8533" spans="20:20" x14ac:dyDescent="0.25">
      <c r="T8533" s="98"/>
    </row>
    <row r="8534" spans="20:20" x14ac:dyDescent="0.25">
      <c r="T8534" s="98"/>
    </row>
    <row r="8535" spans="20:20" x14ac:dyDescent="0.25">
      <c r="T8535" s="98"/>
    </row>
    <row r="8536" spans="20:20" x14ac:dyDescent="0.25">
      <c r="T8536" s="98"/>
    </row>
    <row r="8537" spans="20:20" x14ac:dyDescent="0.25">
      <c r="T8537" s="98"/>
    </row>
    <row r="8538" spans="20:20" x14ac:dyDescent="0.25">
      <c r="T8538" s="98"/>
    </row>
    <row r="8539" spans="20:20" x14ac:dyDescent="0.25">
      <c r="T8539" s="98"/>
    </row>
    <row r="8540" spans="20:20" x14ac:dyDescent="0.25">
      <c r="T8540" s="98"/>
    </row>
    <row r="8541" spans="20:20" x14ac:dyDescent="0.25">
      <c r="T8541" s="98"/>
    </row>
    <row r="8542" spans="20:20" x14ac:dyDescent="0.25">
      <c r="T8542" s="98"/>
    </row>
    <row r="8543" spans="20:20" x14ac:dyDescent="0.25">
      <c r="T8543" s="98"/>
    </row>
    <row r="8544" spans="20:20" x14ac:dyDescent="0.25">
      <c r="T8544" s="98"/>
    </row>
    <row r="8545" spans="20:20" x14ac:dyDescent="0.25">
      <c r="T8545" s="98"/>
    </row>
    <row r="8546" spans="20:20" x14ac:dyDescent="0.25">
      <c r="T8546" s="98"/>
    </row>
    <row r="8547" spans="20:20" x14ac:dyDescent="0.25">
      <c r="T8547" s="98"/>
    </row>
    <row r="8548" spans="20:20" x14ac:dyDescent="0.25">
      <c r="T8548" s="98"/>
    </row>
    <row r="8549" spans="20:20" x14ac:dyDescent="0.25">
      <c r="T8549" s="98"/>
    </row>
    <row r="8550" spans="20:20" x14ac:dyDescent="0.25">
      <c r="T8550" s="98"/>
    </row>
    <row r="8551" spans="20:20" x14ac:dyDescent="0.25">
      <c r="T8551" s="98"/>
    </row>
    <row r="8552" spans="20:20" x14ac:dyDescent="0.25">
      <c r="T8552" s="98"/>
    </row>
    <row r="8553" spans="20:20" x14ac:dyDescent="0.25">
      <c r="T8553" s="98"/>
    </row>
    <row r="8554" spans="20:20" x14ac:dyDescent="0.25">
      <c r="T8554" s="98"/>
    </row>
    <row r="8555" spans="20:20" x14ac:dyDescent="0.25">
      <c r="T8555" s="98"/>
    </row>
    <row r="8556" spans="20:20" x14ac:dyDescent="0.25">
      <c r="T8556" s="98"/>
    </row>
    <row r="8557" spans="20:20" x14ac:dyDescent="0.25">
      <c r="T8557" s="98"/>
    </row>
    <row r="8558" spans="20:20" x14ac:dyDescent="0.25">
      <c r="T8558" s="98"/>
    </row>
    <row r="8559" spans="20:20" x14ac:dyDescent="0.25">
      <c r="T8559" s="98"/>
    </row>
    <row r="8560" spans="20:20" x14ac:dyDescent="0.25">
      <c r="T8560" s="98"/>
    </row>
    <row r="8561" spans="20:20" x14ac:dyDescent="0.25">
      <c r="T8561" s="98"/>
    </row>
    <row r="8562" spans="20:20" x14ac:dyDescent="0.25">
      <c r="T8562" s="98"/>
    </row>
    <row r="8563" spans="20:20" x14ac:dyDescent="0.25">
      <c r="T8563" s="98"/>
    </row>
    <row r="8564" spans="20:20" x14ac:dyDescent="0.25">
      <c r="T8564" s="98"/>
    </row>
    <row r="8565" spans="20:20" x14ac:dyDescent="0.25">
      <c r="T8565" s="98"/>
    </row>
    <row r="8566" spans="20:20" x14ac:dyDescent="0.25">
      <c r="T8566" s="98"/>
    </row>
    <row r="8567" spans="20:20" x14ac:dyDescent="0.25">
      <c r="T8567" s="98"/>
    </row>
    <row r="8568" spans="20:20" x14ac:dyDescent="0.25">
      <c r="T8568" s="98"/>
    </row>
    <row r="8569" spans="20:20" x14ac:dyDescent="0.25">
      <c r="T8569" s="98"/>
    </row>
    <row r="8570" spans="20:20" x14ac:dyDescent="0.25">
      <c r="T8570" s="98"/>
    </row>
    <row r="8571" spans="20:20" x14ac:dyDescent="0.25">
      <c r="T8571" s="98"/>
    </row>
    <row r="8572" spans="20:20" x14ac:dyDescent="0.25">
      <c r="T8572" s="98"/>
    </row>
    <row r="8573" spans="20:20" x14ac:dyDescent="0.25">
      <c r="T8573" s="98"/>
    </row>
    <row r="8574" spans="20:20" x14ac:dyDescent="0.25">
      <c r="T8574" s="98"/>
    </row>
    <row r="8575" spans="20:20" x14ac:dyDescent="0.25">
      <c r="T8575" s="98"/>
    </row>
    <row r="8576" spans="20:20" x14ac:dyDescent="0.25">
      <c r="T8576" s="98"/>
    </row>
    <row r="8577" spans="20:20" x14ac:dyDescent="0.25">
      <c r="T8577" s="98"/>
    </row>
    <row r="8578" spans="20:20" x14ac:dyDescent="0.25">
      <c r="T8578" s="98"/>
    </row>
    <row r="8579" spans="20:20" x14ac:dyDescent="0.25">
      <c r="T8579" s="98"/>
    </row>
    <row r="8580" spans="20:20" x14ac:dyDescent="0.25">
      <c r="T8580" s="98"/>
    </row>
    <row r="8581" spans="20:20" x14ac:dyDescent="0.25">
      <c r="T8581" s="98"/>
    </row>
    <row r="8582" spans="20:20" x14ac:dyDescent="0.25">
      <c r="T8582" s="98"/>
    </row>
    <row r="8583" spans="20:20" x14ac:dyDescent="0.25">
      <c r="T8583" s="98"/>
    </row>
    <row r="8584" spans="20:20" x14ac:dyDescent="0.25">
      <c r="T8584" s="98"/>
    </row>
    <row r="8585" spans="20:20" x14ac:dyDescent="0.25">
      <c r="T8585" s="98"/>
    </row>
    <row r="8586" spans="20:20" x14ac:dyDescent="0.25">
      <c r="T8586" s="98"/>
    </row>
    <row r="8587" spans="20:20" x14ac:dyDescent="0.25">
      <c r="T8587" s="98"/>
    </row>
    <row r="8588" spans="20:20" x14ac:dyDescent="0.25">
      <c r="T8588" s="98"/>
    </row>
    <row r="8589" spans="20:20" x14ac:dyDescent="0.25">
      <c r="T8589" s="98"/>
    </row>
    <row r="8590" spans="20:20" x14ac:dyDescent="0.25">
      <c r="T8590" s="98"/>
    </row>
    <row r="8591" spans="20:20" x14ac:dyDescent="0.25">
      <c r="T8591" s="98"/>
    </row>
    <row r="8592" spans="20:20" x14ac:dyDescent="0.25">
      <c r="T8592" s="98"/>
    </row>
    <row r="8593" spans="20:20" x14ac:dyDescent="0.25">
      <c r="T8593" s="98"/>
    </row>
    <row r="8594" spans="20:20" x14ac:dyDescent="0.25">
      <c r="T8594" s="98"/>
    </row>
    <row r="8595" spans="20:20" x14ac:dyDescent="0.25">
      <c r="T8595" s="98"/>
    </row>
    <row r="8596" spans="20:20" x14ac:dyDescent="0.25">
      <c r="T8596" s="98"/>
    </row>
    <row r="8597" spans="20:20" x14ac:dyDescent="0.25">
      <c r="T8597" s="98"/>
    </row>
    <row r="8598" spans="20:20" x14ac:dyDescent="0.25">
      <c r="T8598" s="98"/>
    </row>
    <row r="8599" spans="20:20" x14ac:dyDescent="0.25">
      <c r="T8599" s="98"/>
    </row>
    <row r="8600" spans="20:20" x14ac:dyDescent="0.25">
      <c r="T8600" s="98"/>
    </row>
    <row r="8601" spans="20:20" x14ac:dyDescent="0.25">
      <c r="T8601" s="98"/>
    </row>
    <row r="8602" spans="20:20" x14ac:dyDescent="0.25">
      <c r="T8602" s="98"/>
    </row>
    <row r="8603" spans="20:20" x14ac:dyDescent="0.25">
      <c r="T8603" s="98"/>
    </row>
    <row r="8604" spans="20:20" x14ac:dyDescent="0.25">
      <c r="T8604" s="98"/>
    </row>
    <row r="8605" spans="20:20" x14ac:dyDescent="0.25">
      <c r="T8605" s="98"/>
    </row>
    <row r="8606" spans="20:20" x14ac:dyDescent="0.25">
      <c r="T8606" s="98"/>
    </row>
    <row r="8607" spans="20:20" x14ac:dyDescent="0.25">
      <c r="T8607" s="98"/>
    </row>
    <row r="8608" spans="20:20" x14ac:dyDescent="0.25">
      <c r="T8608" s="98"/>
    </row>
    <row r="8609" spans="20:20" x14ac:dyDescent="0.25">
      <c r="T8609" s="98"/>
    </row>
    <row r="8610" spans="20:20" x14ac:dyDescent="0.25">
      <c r="T8610" s="98"/>
    </row>
    <row r="8611" spans="20:20" x14ac:dyDescent="0.25">
      <c r="T8611" s="98"/>
    </row>
    <row r="8612" spans="20:20" x14ac:dyDescent="0.25">
      <c r="T8612" s="98"/>
    </row>
    <row r="8613" spans="20:20" x14ac:dyDescent="0.25">
      <c r="T8613" s="98"/>
    </row>
    <row r="8614" spans="20:20" x14ac:dyDescent="0.25">
      <c r="T8614" s="98"/>
    </row>
    <row r="8615" spans="20:20" x14ac:dyDescent="0.25">
      <c r="T8615" s="98"/>
    </row>
    <row r="8616" spans="20:20" x14ac:dyDescent="0.25">
      <c r="T8616" s="98"/>
    </row>
    <row r="8617" spans="20:20" x14ac:dyDescent="0.25">
      <c r="T8617" s="98"/>
    </row>
    <row r="8618" spans="20:20" x14ac:dyDescent="0.25">
      <c r="T8618" s="98"/>
    </row>
    <row r="8619" spans="20:20" x14ac:dyDescent="0.25">
      <c r="T8619" s="98"/>
    </row>
    <row r="8620" spans="20:20" x14ac:dyDescent="0.25">
      <c r="T8620" s="98"/>
    </row>
    <row r="8621" spans="20:20" x14ac:dyDescent="0.25">
      <c r="T8621" s="98"/>
    </row>
    <row r="8622" spans="20:20" x14ac:dyDescent="0.25">
      <c r="T8622" s="98"/>
    </row>
    <row r="8623" spans="20:20" x14ac:dyDescent="0.25">
      <c r="T8623" s="98"/>
    </row>
    <row r="8624" spans="20:20" x14ac:dyDescent="0.25">
      <c r="T8624" s="98"/>
    </row>
    <row r="8625" spans="20:20" x14ac:dyDescent="0.25">
      <c r="T8625" s="98"/>
    </row>
    <row r="8626" spans="20:20" x14ac:dyDescent="0.25">
      <c r="T8626" s="98"/>
    </row>
    <row r="8627" spans="20:20" x14ac:dyDescent="0.25">
      <c r="T8627" s="98"/>
    </row>
    <row r="8628" spans="20:20" x14ac:dyDescent="0.25">
      <c r="T8628" s="98"/>
    </row>
    <row r="8629" spans="20:20" x14ac:dyDescent="0.25">
      <c r="T8629" s="98"/>
    </row>
    <row r="8630" spans="20:20" x14ac:dyDescent="0.25">
      <c r="T8630" s="98"/>
    </row>
    <row r="8631" spans="20:20" x14ac:dyDescent="0.25">
      <c r="T8631" s="98"/>
    </row>
    <row r="8632" spans="20:20" x14ac:dyDescent="0.25">
      <c r="T8632" s="98"/>
    </row>
    <row r="8633" spans="20:20" x14ac:dyDescent="0.25">
      <c r="T8633" s="98"/>
    </row>
    <row r="8634" spans="20:20" x14ac:dyDescent="0.25">
      <c r="T8634" s="98"/>
    </row>
    <row r="8635" spans="20:20" x14ac:dyDescent="0.25">
      <c r="T8635" s="98"/>
    </row>
    <row r="8636" spans="20:20" x14ac:dyDescent="0.25">
      <c r="T8636" s="98"/>
    </row>
    <row r="8637" spans="20:20" x14ac:dyDescent="0.25">
      <c r="T8637" s="98"/>
    </row>
    <row r="8638" spans="20:20" x14ac:dyDescent="0.25">
      <c r="T8638" s="98"/>
    </row>
    <row r="8639" spans="20:20" x14ac:dyDescent="0.25">
      <c r="T8639" s="98"/>
    </row>
    <row r="8640" spans="20:20" x14ac:dyDescent="0.25">
      <c r="T8640" s="98"/>
    </row>
    <row r="8641" spans="20:20" x14ac:dyDescent="0.25">
      <c r="T8641" s="98"/>
    </row>
    <row r="8642" spans="20:20" x14ac:dyDescent="0.25">
      <c r="T8642" s="98"/>
    </row>
    <row r="8643" spans="20:20" x14ac:dyDescent="0.25">
      <c r="T8643" s="98"/>
    </row>
    <row r="8644" spans="20:20" x14ac:dyDescent="0.25">
      <c r="T8644" s="98"/>
    </row>
    <row r="8645" spans="20:20" x14ac:dyDescent="0.25">
      <c r="T8645" s="98"/>
    </row>
    <row r="8646" spans="20:20" x14ac:dyDescent="0.25">
      <c r="T8646" s="98"/>
    </row>
    <row r="8647" spans="20:20" x14ac:dyDescent="0.25">
      <c r="T8647" s="98"/>
    </row>
    <row r="8648" spans="20:20" x14ac:dyDescent="0.25">
      <c r="T8648" s="98"/>
    </row>
    <row r="8649" spans="20:20" x14ac:dyDescent="0.25">
      <c r="T8649" s="98"/>
    </row>
    <row r="8650" spans="20:20" x14ac:dyDescent="0.25">
      <c r="T8650" s="98"/>
    </row>
    <row r="8651" spans="20:20" x14ac:dyDescent="0.25">
      <c r="T8651" s="98"/>
    </row>
    <row r="8652" spans="20:20" x14ac:dyDescent="0.25">
      <c r="T8652" s="98"/>
    </row>
    <row r="8653" spans="20:20" x14ac:dyDescent="0.25">
      <c r="T8653" s="98"/>
    </row>
    <row r="8654" spans="20:20" x14ac:dyDescent="0.25">
      <c r="T8654" s="98"/>
    </row>
    <row r="8655" spans="20:20" x14ac:dyDescent="0.25">
      <c r="T8655" s="98"/>
    </row>
    <row r="8656" spans="20:20" x14ac:dyDescent="0.25">
      <c r="T8656" s="98"/>
    </row>
    <row r="8657" spans="20:20" x14ac:dyDescent="0.25">
      <c r="T8657" s="98"/>
    </row>
    <row r="8658" spans="20:20" x14ac:dyDescent="0.25">
      <c r="T8658" s="98"/>
    </row>
    <row r="8659" spans="20:20" x14ac:dyDescent="0.25">
      <c r="T8659" s="98"/>
    </row>
    <row r="8660" spans="20:20" x14ac:dyDescent="0.25">
      <c r="T8660" s="98"/>
    </row>
    <row r="8661" spans="20:20" x14ac:dyDescent="0.25">
      <c r="T8661" s="98"/>
    </row>
    <row r="8662" spans="20:20" x14ac:dyDescent="0.25">
      <c r="T8662" s="98"/>
    </row>
    <row r="8663" spans="20:20" x14ac:dyDescent="0.25">
      <c r="T8663" s="98"/>
    </row>
    <row r="8664" spans="20:20" x14ac:dyDescent="0.25">
      <c r="T8664" s="98"/>
    </row>
    <row r="8665" spans="20:20" x14ac:dyDescent="0.25">
      <c r="T8665" s="98"/>
    </row>
    <row r="8666" spans="20:20" x14ac:dyDescent="0.25">
      <c r="T8666" s="98"/>
    </row>
    <row r="8667" spans="20:20" x14ac:dyDescent="0.25">
      <c r="T8667" s="98"/>
    </row>
    <row r="8668" spans="20:20" x14ac:dyDescent="0.25">
      <c r="T8668" s="98"/>
    </row>
    <row r="8669" spans="20:20" x14ac:dyDescent="0.25">
      <c r="T8669" s="98"/>
    </row>
    <row r="8670" spans="20:20" x14ac:dyDescent="0.25">
      <c r="T8670" s="98"/>
    </row>
    <row r="8671" spans="20:20" x14ac:dyDescent="0.25">
      <c r="T8671" s="98"/>
    </row>
    <row r="8672" spans="20:20" x14ac:dyDescent="0.25">
      <c r="T8672" s="98"/>
    </row>
    <row r="8673" spans="20:20" x14ac:dyDescent="0.25">
      <c r="T8673" s="98"/>
    </row>
    <row r="8674" spans="20:20" x14ac:dyDescent="0.25">
      <c r="T8674" s="98"/>
    </row>
    <row r="8675" spans="20:20" x14ac:dyDescent="0.25">
      <c r="T8675" s="98"/>
    </row>
    <row r="8676" spans="20:20" x14ac:dyDescent="0.25">
      <c r="T8676" s="98"/>
    </row>
    <row r="8677" spans="20:20" x14ac:dyDescent="0.25">
      <c r="T8677" s="98"/>
    </row>
    <row r="8678" spans="20:20" x14ac:dyDescent="0.25">
      <c r="T8678" s="98"/>
    </row>
    <row r="8679" spans="20:20" x14ac:dyDescent="0.25">
      <c r="T8679" s="98"/>
    </row>
    <row r="8680" spans="20:20" x14ac:dyDescent="0.25">
      <c r="T8680" s="98"/>
    </row>
    <row r="8681" spans="20:20" x14ac:dyDescent="0.25">
      <c r="T8681" s="98"/>
    </row>
    <row r="8682" spans="20:20" x14ac:dyDescent="0.25">
      <c r="T8682" s="98"/>
    </row>
    <row r="8683" spans="20:20" x14ac:dyDescent="0.25">
      <c r="T8683" s="98"/>
    </row>
    <row r="8684" spans="20:20" x14ac:dyDescent="0.25">
      <c r="T8684" s="98"/>
    </row>
    <row r="8685" spans="20:20" x14ac:dyDescent="0.25">
      <c r="T8685" s="98"/>
    </row>
    <row r="8686" spans="20:20" x14ac:dyDescent="0.25">
      <c r="T8686" s="98"/>
    </row>
    <row r="8687" spans="20:20" x14ac:dyDescent="0.25">
      <c r="T8687" s="98"/>
    </row>
    <row r="8688" spans="20:20" x14ac:dyDescent="0.25">
      <c r="T8688" s="98"/>
    </row>
    <row r="8689" spans="20:20" x14ac:dyDescent="0.25">
      <c r="T8689" s="98"/>
    </row>
    <row r="8690" spans="20:20" x14ac:dyDescent="0.25">
      <c r="T8690" s="98"/>
    </row>
    <row r="8691" spans="20:20" x14ac:dyDescent="0.25">
      <c r="T8691" s="98"/>
    </row>
    <row r="8692" spans="20:20" x14ac:dyDescent="0.25">
      <c r="T8692" s="98"/>
    </row>
    <row r="8693" spans="20:20" x14ac:dyDescent="0.25">
      <c r="T8693" s="98"/>
    </row>
    <row r="8694" spans="20:20" x14ac:dyDescent="0.25">
      <c r="T8694" s="98"/>
    </row>
    <row r="8695" spans="20:20" x14ac:dyDescent="0.25">
      <c r="T8695" s="98"/>
    </row>
    <row r="8696" spans="20:20" x14ac:dyDescent="0.25">
      <c r="T8696" s="98"/>
    </row>
    <row r="8697" spans="20:20" x14ac:dyDescent="0.25">
      <c r="T8697" s="98"/>
    </row>
    <row r="8698" spans="20:20" x14ac:dyDescent="0.25">
      <c r="T8698" s="98"/>
    </row>
    <row r="8699" spans="20:20" x14ac:dyDescent="0.25">
      <c r="T8699" s="98"/>
    </row>
    <row r="8700" spans="20:20" x14ac:dyDescent="0.25">
      <c r="T8700" s="98"/>
    </row>
    <row r="8701" spans="20:20" x14ac:dyDescent="0.25">
      <c r="T8701" s="98"/>
    </row>
    <row r="8702" spans="20:20" x14ac:dyDescent="0.25">
      <c r="T8702" s="98"/>
    </row>
    <row r="8703" spans="20:20" x14ac:dyDescent="0.25">
      <c r="T8703" s="98"/>
    </row>
    <row r="8704" spans="20:20" x14ac:dyDescent="0.25">
      <c r="T8704" s="98"/>
    </row>
    <row r="8705" spans="20:20" x14ac:dyDescent="0.25">
      <c r="T8705" s="98"/>
    </row>
    <row r="8706" spans="20:20" x14ac:dyDescent="0.25">
      <c r="T8706" s="98"/>
    </row>
    <row r="8707" spans="20:20" x14ac:dyDescent="0.25">
      <c r="T8707" s="98"/>
    </row>
    <row r="8708" spans="20:20" x14ac:dyDescent="0.25">
      <c r="T8708" s="98"/>
    </row>
    <row r="8709" spans="20:20" x14ac:dyDescent="0.25">
      <c r="T8709" s="98"/>
    </row>
    <row r="8710" spans="20:20" x14ac:dyDescent="0.25">
      <c r="T8710" s="98"/>
    </row>
    <row r="8711" spans="20:20" x14ac:dyDescent="0.25">
      <c r="T8711" s="98"/>
    </row>
    <row r="8712" spans="20:20" x14ac:dyDescent="0.25">
      <c r="T8712" s="98"/>
    </row>
    <row r="8713" spans="20:20" x14ac:dyDescent="0.25">
      <c r="T8713" s="98"/>
    </row>
    <row r="8714" spans="20:20" x14ac:dyDescent="0.25">
      <c r="T8714" s="98"/>
    </row>
    <row r="8715" spans="20:20" x14ac:dyDescent="0.25">
      <c r="T8715" s="98"/>
    </row>
    <row r="8716" spans="20:20" x14ac:dyDescent="0.25">
      <c r="T8716" s="98"/>
    </row>
    <row r="8717" spans="20:20" x14ac:dyDescent="0.25">
      <c r="T8717" s="98"/>
    </row>
    <row r="8718" spans="20:20" x14ac:dyDescent="0.25">
      <c r="T8718" s="98"/>
    </row>
    <row r="8719" spans="20:20" x14ac:dyDescent="0.25">
      <c r="T8719" s="98"/>
    </row>
    <row r="8720" spans="20:20" x14ac:dyDescent="0.25">
      <c r="T8720" s="98"/>
    </row>
    <row r="8721" spans="20:20" x14ac:dyDescent="0.25">
      <c r="T8721" s="98"/>
    </row>
    <row r="8722" spans="20:20" x14ac:dyDescent="0.25">
      <c r="T8722" s="98"/>
    </row>
    <row r="8723" spans="20:20" x14ac:dyDescent="0.25">
      <c r="T8723" s="98"/>
    </row>
    <row r="8724" spans="20:20" x14ac:dyDescent="0.25">
      <c r="T8724" s="98"/>
    </row>
    <row r="8725" spans="20:20" x14ac:dyDescent="0.25">
      <c r="T8725" s="98"/>
    </row>
    <row r="8726" spans="20:20" x14ac:dyDescent="0.25">
      <c r="T8726" s="98"/>
    </row>
    <row r="8727" spans="20:20" x14ac:dyDescent="0.25">
      <c r="T8727" s="98"/>
    </row>
    <row r="8728" spans="20:20" x14ac:dyDescent="0.25">
      <c r="T8728" s="98"/>
    </row>
    <row r="8729" spans="20:20" x14ac:dyDescent="0.25">
      <c r="T8729" s="98"/>
    </row>
    <row r="8730" spans="20:20" x14ac:dyDescent="0.25">
      <c r="T8730" s="98"/>
    </row>
    <row r="8731" spans="20:20" x14ac:dyDescent="0.25">
      <c r="T8731" s="98"/>
    </row>
    <row r="8732" spans="20:20" x14ac:dyDescent="0.25">
      <c r="T8732" s="98"/>
    </row>
    <row r="8733" spans="20:20" x14ac:dyDescent="0.25">
      <c r="T8733" s="98"/>
    </row>
    <row r="8734" spans="20:20" x14ac:dyDescent="0.25">
      <c r="T8734" s="98"/>
    </row>
    <row r="8735" spans="20:20" x14ac:dyDescent="0.25">
      <c r="T8735" s="98"/>
    </row>
    <row r="8736" spans="20:20" x14ac:dyDescent="0.25">
      <c r="T8736" s="98"/>
    </row>
    <row r="8737" spans="20:20" x14ac:dyDescent="0.25">
      <c r="T8737" s="98"/>
    </row>
    <row r="8738" spans="20:20" x14ac:dyDescent="0.25">
      <c r="T8738" s="98"/>
    </row>
    <row r="8739" spans="20:20" x14ac:dyDescent="0.25">
      <c r="T8739" s="98"/>
    </row>
    <row r="8740" spans="20:20" x14ac:dyDescent="0.25">
      <c r="T8740" s="98"/>
    </row>
    <row r="8741" spans="20:20" x14ac:dyDescent="0.25">
      <c r="T8741" s="98"/>
    </row>
    <row r="8742" spans="20:20" x14ac:dyDescent="0.25">
      <c r="T8742" s="98"/>
    </row>
    <row r="8743" spans="20:20" x14ac:dyDescent="0.25">
      <c r="T8743" s="98"/>
    </row>
    <row r="8744" spans="20:20" x14ac:dyDescent="0.25">
      <c r="T8744" s="98"/>
    </row>
    <row r="8745" spans="20:20" x14ac:dyDescent="0.25">
      <c r="T8745" s="98"/>
    </row>
    <row r="8746" spans="20:20" x14ac:dyDescent="0.25">
      <c r="T8746" s="98"/>
    </row>
    <row r="8747" spans="20:20" x14ac:dyDescent="0.25">
      <c r="T8747" s="98"/>
    </row>
    <row r="8748" spans="20:20" x14ac:dyDescent="0.25">
      <c r="T8748" s="98"/>
    </row>
    <row r="8749" spans="20:20" x14ac:dyDescent="0.25">
      <c r="T8749" s="98"/>
    </row>
    <row r="8750" spans="20:20" x14ac:dyDescent="0.25">
      <c r="T8750" s="98"/>
    </row>
    <row r="8751" spans="20:20" x14ac:dyDescent="0.25">
      <c r="T8751" s="98"/>
    </row>
    <row r="8752" spans="20:20" x14ac:dyDescent="0.25">
      <c r="T8752" s="98"/>
    </row>
    <row r="8753" spans="20:20" x14ac:dyDescent="0.25">
      <c r="T8753" s="98"/>
    </row>
    <row r="8754" spans="20:20" x14ac:dyDescent="0.25">
      <c r="T8754" s="98"/>
    </row>
    <row r="8755" spans="20:20" x14ac:dyDescent="0.25">
      <c r="T8755" s="98"/>
    </row>
    <row r="8756" spans="20:20" x14ac:dyDescent="0.25">
      <c r="T8756" s="98"/>
    </row>
    <row r="8757" spans="20:20" x14ac:dyDescent="0.25">
      <c r="T8757" s="98"/>
    </row>
    <row r="8758" spans="20:20" x14ac:dyDescent="0.25">
      <c r="T8758" s="98"/>
    </row>
    <row r="8759" spans="20:20" x14ac:dyDescent="0.25">
      <c r="T8759" s="98"/>
    </row>
    <row r="8760" spans="20:20" x14ac:dyDescent="0.25">
      <c r="T8760" s="98"/>
    </row>
    <row r="8761" spans="20:20" x14ac:dyDescent="0.25">
      <c r="T8761" s="98"/>
    </row>
    <row r="8762" spans="20:20" x14ac:dyDescent="0.25">
      <c r="T8762" s="98"/>
    </row>
    <row r="8763" spans="20:20" x14ac:dyDescent="0.25">
      <c r="T8763" s="98"/>
    </row>
    <row r="8764" spans="20:20" x14ac:dyDescent="0.25">
      <c r="T8764" s="98"/>
    </row>
    <row r="8765" spans="20:20" x14ac:dyDescent="0.25">
      <c r="T8765" s="98"/>
    </row>
    <row r="8766" spans="20:20" x14ac:dyDescent="0.25">
      <c r="T8766" s="98"/>
    </row>
    <row r="8767" spans="20:20" x14ac:dyDescent="0.25">
      <c r="T8767" s="98"/>
    </row>
    <row r="8768" spans="20:20" x14ac:dyDescent="0.25">
      <c r="T8768" s="98"/>
    </row>
    <row r="8769" spans="20:20" x14ac:dyDescent="0.25">
      <c r="T8769" s="98"/>
    </row>
    <row r="8770" spans="20:20" x14ac:dyDescent="0.25">
      <c r="T8770" s="98"/>
    </row>
    <row r="8771" spans="20:20" x14ac:dyDescent="0.25">
      <c r="T8771" s="98"/>
    </row>
    <row r="8772" spans="20:20" x14ac:dyDescent="0.25">
      <c r="T8772" s="98"/>
    </row>
    <row r="8773" spans="20:20" x14ac:dyDescent="0.25">
      <c r="T8773" s="98"/>
    </row>
    <row r="8774" spans="20:20" x14ac:dyDescent="0.25">
      <c r="T8774" s="98"/>
    </row>
    <row r="8775" spans="20:20" x14ac:dyDescent="0.25">
      <c r="T8775" s="98"/>
    </row>
    <row r="8776" spans="20:20" x14ac:dyDescent="0.25">
      <c r="T8776" s="98"/>
    </row>
    <row r="8777" spans="20:20" x14ac:dyDescent="0.25">
      <c r="T8777" s="98"/>
    </row>
    <row r="8778" spans="20:20" x14ac:dyDescent="0.25">
      <c r="T8778" s="98"/>
    </row>
    <row r="8779" spans="20:20" x14ac:dyDescent="0.25">
      <c r="T8779" s="98"/>
    </row>
    <row r="8780" spans="20:20" x14ac:dyDescent="0.25">
      <c r="T8780" s="98"/>
    </row>
    <row r="8781" spans="20:20" x14ac:dyDescent="0.25">
      <c r="T8781" s="98"/>
    </row>
    <row r="8782" spans="20:20" x14ac:dyDescent="0.25">
      <c r="T8782" s="98"/>
    </row>
    <row r="8783" spans="20:20" x14ac:dyDescent="0.25">
      <c r="T8783" s="98"/>
    </row>
    <row r="8784" spans="20:20" x14ac:dyDescent="0.25">
      <c r="T8784" s="98"/>
    </row>
    <row r="8785" spans="20:20" x14ac:dyDescent="0.25">
      <c r="T8785" s="98"/>
    </row>
    <row r="8786" spans="20:20" x14ac:dyDescent="0.25">
      <c r="T8786" s="98"/>
    </row>
    <row r="8787" spans="20:20" x14ac:dyDescent="0.25">
      <c r="T8787" s="98"/>
    </row>
    <row r="8788" spans="20:20" x14ac:dyDescent="0.25">
      <c r="T8788" s="98"/>
    </row>
    <row r="8789" spans="20:20" x14ac:dyDescent="0.25">
      <c r="T8789" s="98"/>
    </row>
    <row r="8790" spans="20:20" x14ac:dyDescent="0.25">
      <c r="T8790" s="98"/>
    </row>
    <row r="8791" spans="20:20" x14ac:dyDescent="0.25">
      <c r="T8791" s="98"/>
    </row>
    <row r="8792" spans="20:20" x14ac:dyDescent="0.25">
      <c r="T8792" s="98"/>
    </row>
    <row r="8793" spans="20:20" x14ac:dyDescent="0.25">
      <c r="T8793" s="98"/>
    </row>
    <row r="8794" spans="20:20" x14ac:dyDescent="0.25">
      <c r="T8794" s="98"/>
    </row>
    <row r="8795" spans="20:20" x14ac:dyDescent="0.25">
      <c r="T8795" s="98"/>
    </row>
    <row r="8796" spans="20:20" x14ac:dyDescent="0.25">
      <c r="T8796" s="98"/>
    </row>
    <row r="8797" spans="20:20" x14ac:dyDescent="0.25">
      <c r="T8797" s="98"/>
    </row>
    <row r="8798" spans="20:20" x14ac:dyDescent="0.25">
      <c r="T8798" s="98"/>
    </row>
    <row r="8799" spans="20:20" x14ac:dyDescent="0.25">
      <c r="T8799" s="98"/>
    </row>
    <row r="8800" spans="20:20" x14ac:dyDescent="0.25">
      <c r="T8800" s="98"/>
    </row>
    <row r="8801" spans="20:20" x14ac:dyDescent="0.25">
      <c r="T8801" s="98"/>
    </row>
    <row r="8802" spans="20:20" x14ac:dyDescent="0.25">
      <c r="T8802" s="98"/>
    </row>
    <row r="8803" spans="20:20" x14ac:dyDescent="0.25">
      <c r="T8803" s="98"/>
    </row>
    <row r="8804" spans="20:20" x14ac:dyDescent="0.25">
      <c r="T8804" s="98"/>
    </row>
    <row r="8805" spans="20:20" x14ac:dyDescent="0.25">
      <c r="T8805" s="98"/>
    </row>
    <row r="8806" spans="20:20" x14ac:dyDescent="0.25">
      <c r="T8806" s="98"/>
    </row>
    <row r="8807" spans="20:20" x14ac:dyDescent="0.25">
      <c r="T8807" s="98"/>
    </row>
    <row r="8808" spans="20:20" x14ac:dyDescent="0.25">
      <c r="T8808" s="98"/>
    </row>
    <row r="8809" spans="20:20" x14ac:dyDescent="0.25">
      <c r="T8809" s="98"/>
    </row>
    <row r="8810" spans="20:20" x14ac:dyDescent="0.25">
      <c r="T8810" s="98"/>
    </row>
    <row r="8811" spans="20:20" x14ac:dyDescent="0.25">
      <c r="T8811" s="98"/>
    </row>
    <row r="8812" spans="20:20" x14ac:dyDescent="0.25">
      <c r="T8812" s="98"/>
    </row>
    <row r="8813" spans="20:20" x14ac:dyDescent="0.25">
      <c r="T8813" s="98"/>
    </row>
    <row r="8814" spans="20:20" x14ac:dyDescent="0.25">
      <c r="T8814" s="98"/>
    </row>
    <row r="8815" spans="20:20" x14ac:dyDescent="0.25">
      <c r="T8815" s="98"/>
    </row>
    <row r="8816" spans="20:20" x14ac:dyDescent="0.25">
      <c r="T8816" s="98"/>
    </row>
    <row r="8817" spans="20:20" x14ac:dyDescent="0.25">
      <c r="T8817" s="98"/>
    </row>
    <row r="8818" spans="20:20" x14ac:dyDescent="0.25">
      <c r="T8818" s="98"/>
    </row>
    <row r="8819" spans="20:20" x14ac:dyDescent="0.25">
      <c r="T8819" s="98"/>
    </row>
    <row r="8820" spans="20:20" x14ac:dyDescent="0.25">
      <c r="T8820" s="98"/>
    </row>
    <row r="8821" spans="20:20" x14ac:dyDescent="0.25">
      <c r="T8821" s="98"/>
    </row>
    <row r="8822" spans="20:20" x14ac:dyDescent="0.25">
      <c r="T8822" s="98"/>
    </row>
    <row r="8823" spans="20:20" x14ac:dyDescent="0.25">
      <c r="T8823" s="98"/>
    </row>
    <row r="8824" spans="20:20" x14ac:dyDescent="0.25">
      <c r="T8824" s="98"/>
    </row>
    <row r="8825" spans="20:20" x14ac:dyDescent="0.25">
      <c r="T8825" s="98"/>
    </row>
    <row r="8826" spans="20:20" x14ac:dyDescent="0.25">
      <c r="T8826" s="98"/>
    </row>
    <row r="8827" spans="20:20" x14ac:dyDescent="0.25">
      <c r="T8827" s="98"/>
    </row>
    <row r="8828" spans="20:20" x14ac:dyDescent="0.25">
      <c r="T8828" s="98"/>
    </row>
    <row r="8829" spans="20:20" x14ac:dyDescent="0.25">
      <c r="T8829" s="98"/>
    </row>
    <row r="8830" spans="20:20" x14ac:dyDescent="0.25">
      <c r="T8830" s="98"/>
    </row>
    <row r="8831" spans="20:20" x14ac:dyDescent="0.25">
      <c r="T8831" s="98"/>
    </row>
    <row r="8832" spans="20:20" x14ac:dyDescent="0.25">
      <c r="T8832" s="98"/>
    </row>
    <row r="8833" spans="20:20" x14ac:dyDescent="0.25">
      <c r="T8833" s="98"/>
    </row>
    <row r="8834" spans="20:20" x14ac:dyDescent="0.25">
      <c r="T8834" s="98"/>
    </row>
    <row r="8835" spans="20:20" x14ac:dyDescent="0.25">
      <c r="T8835" s="98"/>
    </row>
    <row r="8836" spans="20:20" x14ac:dyDescent="0.25">
      <c r="T8836" s="98"/>
    </row>
    <row r="8837" spans="20:20" x14ac:dyDescent="0.25">
      <c r="T8837" s="98"/>
    </row>
    <row r="8838" spans="20:20" x14ac:dyDescent="0.25">
      <c r="T8838" s="98"/>
    </row>
    <row r="8839" spans="20:20" x14ac:dyDescent="0.25">
      <c r="T8839" s="98"/>
    </row>
    <row r="8840" spans="20:20" x14ac:dyDescent="0.25">
      <c r="T8840" s="98"/>
    </row>
    <row r="8841" spans="20:20" x14ac:dyDescent="0.25">
      <c r="T8841" s="98"/>
    </row>
    <row r="8842" spans="20:20" x14ac:dyDescent="0.25">
      <c r="T8842" s="98"/>
    </row>
    <row r="8843" spans="20:20" x14ac:dyDescent="0.25">
      <c r="T8843" s="98"/>
    </row>
    <row r="8844" spans="20:20" x14ac:dyDescent="0.25">
      <c r="T8844" s="98"/>
    </row>
    <row r="8845" spans="20:20" x14ac:dyDescent="0.25">
      <c r="T8845" s="98"/>
    </row>
    <row r="8846" spans="20:20" x14ac:dyDescent="0.25">
      <c r="T8846" s="98"/>
    </row>
    <row r="8847" spans="20:20" x14ac:dyDescent="0.25">
      <c r="T8847" s="98"/>
    </row>
    <row r="8848" spans="20:20" x14ac:dyDescent="0.25">
      <c r="T8848" s="98"/>
    </row>
    <row r="8849" spans="20:20" x14ac:dyDescent="0.25">
      <c r="T8849" s="98"/>
    </row>
    <row r="8850" spans="20:20" x14ac:dyDescent="0.25">
      <c r="T8850" s="98"/>
    </row>
    <row r="8851" spans="20:20" x14ac:dyDescent="0.25">
      <c r="T8851" s="98"/>
    </row>
    <row r="8852" spans="20:20" x14ac:dyDescent="0.25">
      <c r="T8852" s="98"/>
    </row>
    <row r="8853" spans="20:20" x14ac:dyDescent="0.25">
      <c r="T8853" s="98"/>
    </row>
    <row r="8854" spans="20:20" x14ac:dyDescent="0.25">
      <c r="T8854" s="98"/>
    </row>
    <row r="8855" spans="20:20" x14ac:dyDescent="0.25">
      <c r="T8855" s="98"/>
    </row>
    <row r="8856" spans="20:20" x14ac:dyDescent="0.25">
      <c r="T8856" s="98"/>
    </row>
    <row r="8857" spans="20:20" x14ac:dyDescent="0.25">
      <c r="T8857" s="98"/>
    </row>
    <row r="8858" spans="20:20" x14ac:dyDescent="0.25">
      <c r="T8858" s="98"/>
    </row>
    <row r="8859" spans="20:20" x14ac:dyDescent="0.25">
      <c r="T8859" s="98"/>
    </row>
    <row r="8860" spans="20:20" x14ac:dyDescent="0.25">
      <c r="T8860" s="98"/>
    </row>
    <row r="8861" spans="20:20" x14ac:dyDescent="0.25">
      <c r="T8861" s="98"/>
    </row>
    <row r="8862" spans="20:20" x14ac:dyDescent="0.25">
      <c r="T8862" s="98"/>
    </row>
    <row r="8863" spans="20:20" x14ac:dyDescent="0.25">
      <c r="T8863" s="98"/>
    </row>
    <row r="8864" spans="20:20" x14ac:dyDescent="0.25">
      <c r="T8864" s="98"/>
    </row>
    <row r="8865" spans="20:20" x14ac:dyDescent="0.25">
      <c r="T8865" s="98"/>
    </row>
    <row r="8866" spans="20:20" x14ac:dyDescent="0.25">
      <c r="T8866" s="98"/>
    </row>
    <row r="8867" spans="20:20" x14ac:dyDescent="0.25">
      <c r="T8867" s="98"/>
    </row>
    <row r="8868" spans="20:20" x14ac:dyDescent="0.25">
      <c r="T8868" s="98"/>
    </row>
    <row r="8869" spans="20:20" x14ac:dyDescent="0.25">
      <c r="T8869" s="98"/>
    </row>
    <row r="8870" spans="20:20" x14ac:dyDescent="0.25">
      <c r="T8870" s="98"/>
    </row>
    <row r="8871" spans="20:20" x14ac:dyDescent="0.25">
      <c r="T8871" s="98"/>
    </row>
    <row r="8872" spans="20:20" x14ac:dyDescent="0.25">
      <c r="T8872" s="98"/>
    </row>
    <row r="8873" spans="20:20" x14ac:dyDescent="0.25">
      <c r="T8873" s="98"/>
    </row>
    <row r="8874" spans="20:20" x14ac:dyDescent="0.25">
      <c r="T8874" s="98"/>
    </row>
    <row r="8875" spans="20:20" x14ac:dyDescent="0.25">
      <c r="T8875" s="98"/>
    </row>
    <row r="8876" spans="20:20" x14ac:dyDescent="0.25">
      <c r="T8876" s="98"/>
    </row>
    <row r="8877" spans="20:20" x14ac:dyDescent="0.25">
      <c r="T8877" s="98"/>
    </row>
    <row r="8878" spans="20:20" x14ac:dyDescent="0.25">
      <c r="T8878" s="98"/>
    </row>
    <row r="8879" spans="20:20" x14ac:dyDescent="0.25">
      <c r="T8879" s="98"/>
    </row>
    <row r="8880" spans="20:20" x14ac:dyDescent="0.25">
      <c r="T8880" s="98"/>
    </row>
    <row r="8881" spans="20:20" x14ac:dyDescent="0.25">
      <c r="T8881" s="98"/>
    </row>
    <row r="8882" spans="20:20" x14ac:dyDescent="0.25">
      <c r="T8882" s="98"/>
    </row>
    <row r="8883" spans="20:20" x14ac:dyDescent="0.25">
      <c r="T8883" s="98"/>
    </row>
    <row r="8884" spans="20:20" x14ac:dyDescent="0.25">
      <c r="T8884" s="98"/>
    </row>
    <row r="8885" spans="20:20" x14ac:dyDescent="0.25">
      <c r="T8885" s="98"/>
    </row>
    <row r="8886" spans="20:20" x14ac:dyDescent="0.25">
      <c r="T8886" s="98"/>
    </row>
    <row r="8887" spans="20:20" x14ac:dyDescent="0.25">
      <c r="T8887" s="98"/>
    </row>
    <row r="8888" spans="20:20" x14ac:dyDescent="0.25">
      <c r="T8888" s="98"/>
    </row>
    <row r="8889" spans="20:20" x14ac:dyDescent="0.25">
      <c r="T8889" s="98"/>
    </row>
    <row r="8890" spans="20:20" x14ac:dyDescent="0.25">
      <c r="T8890" s="98"/>
    </row>
    <row r="8891" spans="20:20" x14ac:dyDescent="0.25">
      <c r="T8891" s="98"/>
    </row>
    <row r="8892" spans="20:20" x14ac:dyDescent="0.25">
      <c r="T8892" s="98"/>
    </row>
    <row r="8893" spans="20:20" x14ac:dyDescent="0.25">
      <c r="T8893" s="98"/>
    </row>
    <row r="8894" spans="20:20" x14ac:dyDescent="0.25">
      <c r="T8894" s="98"/>
    </row>
    <row r="8895" spans="20:20" x14ac:dyDescent="0.25">
      <c r="T8895" s="98"/>
    </row>
    <row r="8896" spans="20:20" x14ac:dyDescent="0.25">
      <c r="T8896" s="98"/>
    </row>
    <row r="8897" spans="20:20" x14ac:dyDescent="0.25">
      <c r="T8897" s="98"/>
    </row>
    <row r="8898" spans="20:20" x14ac:dyDescent="0.25">
      <c r="T8898" s="98"/>
    </row>
    <row r="8899" spans="20:20" x14ac:dyDescent="0.25">
      <c r="T8899" s="98"/>
    </row>
    <row r="8900" spans="20:20" x14ac:dyDescent="0.25">
      <c r="T8900" s="98"/>
    </row>
    <row r="8901" spans="20:20" x14ac:dyDescent="0.25">
      <c r="T8901" s="98"/>
    </row>
    <row r="8902" spans="20:20" x14ac:dyDescent="0.25">
      <c r="T8902" s="98"/>
    </row>
    <row r="8903" spans="20:20" x14ac:dyDescent="0.25">
      <c r="T8903" s="98"/>
    </row>
    <row r="8904" spans="20:20" x14ac:dyDescent="0.25">
      <c r="T8904" s="98"/>
    </row>
    <row r="8905" spans="20:20" x14ac:dyDescent="0.25">
      <c r="T8905" s="98"/>
    </row>
    <row r="8906" spans="20:20" x14ac:dyDescent="0.25">
      <c r="T8906" s="98"/>
    </row>
    <row r="8907" spans="20:20" x14ac:dyDescent="0.25">
      <c r="T8907" s="98"/>
    </row>
    <row r="8908" spans="20:20" x14ac:dyDescent="0.25">
      <c r="T8908" s="98"/>
    </row>
    <row r="8909" spans="20:20" x14ac:dyDescent="0.25">
      <c r="T8909" s="98"/>
    </row>
    <row r="8910" spans="20:20" x14ac:dyDescent="0.25">
      <c r="T8910" s="98"/>
    </row>
    <row r="8911" spans="20:20" x14ac:dyDescent="0.25">
      <c r="T8911" s="98"/>
    </row>
    <row r="8912" spans="20:20" x14ac:dyDescent="0.25">
      <c r="T8912" s="98"/>
    </row>
    <row r="8913" spans="20:20" x14ac:dyDescent="0.25">
      <c r="T8913" s="98"/>
    </row>
    <row r="8914" spans="20:20" x14ac:dyDescent="0.25">
      <c r="T8914" s="98"/>
    </row>
    <row r="8915" spans="20:20" x14ac:dyDescent="0.25">
      <c r="T8915" s="98"/>
    </row>
    <row r="8916" spans="20:20" x14ac:dyDescent="0.25">
      <c r="T8916" s="98"/>
    </row>
    <row r="8917" spans="20:20" x14ac:dyDescent="0.25">
      <c r="T8917" s="98"/>
    </row>
    <row r="8918" spans="20:20" x14ac:dyDescent="0.25">
      <c r="T8918" s="98"/>
    </row>
    <row r="8919" spans="20:20" x14ac:dyDescent="0.25">
      <c r="T8919" s="98"/>
    </row>
    <row r="8920" spans="20:20" x14ac:dyDescent="0.25">
      <c r="T8920" s="98"/>
    </row>
    <row r="8921" spans="20:20" x14ac:dyDescent="0.25">
      <c r="T8921" s="98"/>
    </row>
    <row r="8922" spans="20:20" x14ac:dyDescent="0.25">
      <c r="T8922" s="98"/>
    </row>
    <row r="8923" spans="20:20" x14ac:dyDescent="0.25">
      <c r="T8923" s="98"/>
    </row>
    <row r="8924" spans="20:20" x14ac:dyDescent="0.25">
      <c r="T8924" s="98"/>
    </row>
    <row r="8925" spans="20:20" x14ac:dyDescent="0.25">
      <c r="T8925" s="98"/>
    </row>
    <row r="8926" spans="20:20" x14ac:dyDescent="0.25">
      <c r="T8926" s="98"/>
    </row>
    <row r="8927" spans="20:20" x14ac:dyDescent="0.25">
      <c r="T8927" s="98"/>
    </row>
    <row r="8928" spans="20:20" x14ac:dyDescent="0.25">
      <c r="T8928" s="98"/>
    </row>
    <row r="8929" spans="20:20" x14ac:dyDescent="0.25">
      <c r="T8929" s="98"/>
    </row>
    <row r="8930" spans="20:20" x14ac:dyDescent="0.25">
      <c r="T8930" s="98"/>
    </row>
    <row r="8931" spans="20:20" x14ac:dyDescent="0.25">
      <c r="T8931" s="98"/>
    </row>
    <row r="8932" spans="20:20" x14ac:dyDescent="0.25">
      <c r="T8932" s="98"/>
    </row>
    <row r="8933" spans="20:20" x14ac:dyDescent="0.25">
      <c r="T8933" s="98"/>
    </row>
    <row r="8934" spans="20:20" x14ac:dyDescent="0.25">
      <c r="T8934" s="98"/>
    </row>
    <row r="8935" spans="20:20" x14ac:dyDescent="0.25">
      <c r="T8935" s="98"/>
    </row>
    <row r="8936" spans="20:20" x14ac:dyDescent="0.25">
      <c r="T8936" s="98"/>
    </row>
    <row r="8937" spans="20:20" x14ac:dyDescent="0.25">
      <c r="T8937" s="98"/>
    </row>
    <row r="8938" spans="20:20" x14ac:dyDescent="0.25">
      <c r="T8938" s="98"/>
    </row>
    <row r="8939" spans="20:20" x14ac:dyDescent="0.25">
      <c r="T8939" s="98"/>
    </row>
    <row r="8940" spans="20:20" x14ac:dyDescent="0.25">
      <c r="T8940" s="98"/>
    </row>
    <row r="8941" spans="20:20" x14ac:dyDescent="0.25">
      <c r="T8941" s="98"/>
    </row>
    <row r="8942" spans="20:20" x14ac:dyDescent="0.25">
      <c r="T8942" s="98"/>
    </row>
    <row r="8943" spans="20:20" x14ac:dyDescent="0.25">
      <c r="T8943" s="98"/>
    </row>
    <row r="8944" spans="20:20" x14ac:dyDescent="0.25">
      <c r="T8944" s="98"/>
    </row>
    <row r="8945" spans="20:20" x14ac:dyDescent="0.25">
      <c r="T8945" s="98"/>
    </row>
    <row r="8946" spans="20:20" x14ac:dyDescent="0.25">
      <c r="T8946" s="98"/>
    </row>
    <row r="8947" spans="20:20" x14ac:dyDescent="0.25">
      <c r="T8947" s="98"/>
    </row>
    <row r="8948" spans="20:20" x14ac:dyDescent="0.25">
      <c r="T8948" s="98"/>
    </row>
    <row r="8949" spans="20:20" x14ac:dyDescent="0.25">
      <c r="T8949" s="98"/>
    </row>
    <row r="8950" spans="20:20" x14ac:dyDescent="0.25">
      <c r="T8950" s="98"/>
    </row>
    <row r="8951" spans="20:20" x14ac:dyDescent="0.25">
      <c r="T8951" s="98"/>
    </row>
    <row r="8952" spans="20:20" x14ac:dyDescent="0.25">
      <c r="T8952" s="98"/>
    </row>
    <row r="8953" spans="20:20" x14ac:dyDescent="0.25">
      <c r="T8953" s="98"/>
    </row>
    <row r="8954" spans="20:20" x14ac:dyDescent="0.25">
      <c r="T8954" s="98"/>
    </row>
    <row r="8955" spans="20:20" x14ac:dyDescent="0.25">
      <c r="T8955" s="98"/>
    </row>
    <row r="8956" spans="20:20" x14ac:dyDescent="0.25">
      <c r="T8956" s="98"/>
    </row>
    <row r="8957" spans="20:20" x14ac:dyDescent="0.25">
      <c r="T8957" s="98"/>
    </row>
    <row r="8958" spans="20:20" x14ac:dyDescent="0.25">
      <c r="T8958" s="98"/>
    </row>
    <row r="8959" spans="20:20" x14ac:dyDescent="0.25">
      <c r="T8959" s="98"/>
    </row>
    <row r="8960" spans="20:20" x14ac:dyDescent="0.25">
      <c r="T8960" s="98"/>
    </row>
    <row r="8961" spans="20:20" x14ac:dyDescent="0.25">
      <c r="T8961" s="98"/>
    </row>
    <row r="8962" spans="20:20" x14ac:dyDescent="0.25">
      <c r="T8962" s="98"/>
    </row>
    <row r="8963" spans="20:20" x14ac:dyDescent="0.25">
      <c r="T8963" s="98"/>
    </row>
    <row r="8964" spans="20:20" x14ac:dyDescent="0.25">
      <c r="T8964" s="98"/>
    </row>
    <row r="8965" spans="20:20" x14ac:dyDescent="0.25">
      <c r="T8965" s="98"/>
    </row>
    <row r="8966" spans="20:20" x14ac:dyDescent="0.25">
      <c r="T8966" s="98"/>
    </row>
    <row r="8967" spans="20:20" x14ac:dyDescent="0.25">
      <c r="T8967" s="98"/>
    </row>
    <row r="8968" spans="20:20" x14ac:dyDescent="0.25">
      <c r="T8968" s="98"/>
    </row>
    <row r="8969" spans="20:20" x14ac:dyDescent="0.25">
      <c r="T8969" s="98"/>
    </row>
    <row r="8970" spans="20:20" x14ac:dyDescent="0.25">
      <c r="T8970" s="98"/>
    </row>
    <row r="8971" spans="20:20" x14ac:dyDescent="0.25">
      <c r="T8971" s="98"/>
    </row>
    <row r="8972" spans="20:20" x14ac:dyDescent="0.25">
      <c r="T8972" s="98"/>
    </row>
    <row r="8973" spans="20:20" x14ac:dyDescent="0.25">
      <c r="T8973" s="98"/>
    </row>
    <row r="8974" spans="20:20" x14ac:dyDescent="0.25">
      <c r="T8974" s="98"/>
    </row>
    <row r="8975" spans="20:20" x14ac:dyDescent="0.25">
      <c r="T8975" s="98"/>
    </row>
    <row r="8976" spans="20:20" x14ac:dyDescent="0.25">
      <c r="T8976" s="98"/>
    </row>
    <row r="8977" spans="20:20" x14ac:dyDescent="0.25">
      <c r="T8977" s="98"/>
    </row>
    <row r="8978" spans="20:20" x14ac:dyDescent="0.25">
      <c r="T8978" s="98"/>
    </row>
    <row r="8979" spans="20:20" x14ac:dyDescent="0.25">
      <c r="T8979" s="98"/>
    </row>
    <row r="8980" spans="20:20" x14ac:dyDescent="0.25">
      <c r="T8980" s="98"/>
    </row>
    <row r="8981" spans="20:20" x14ac:dyDescent="0.25">
      <c r="T8981" s="98"/>
    </row>
    <row r="8982" spans="20:20" x14ac:dyDescent="0.25">
      <c r="T8982" s="98"/>
    </row>
    <row r="8983" spans="20:20" x14ac:dyDescent="0.25">
      <c r="T8983" s="98"/>
    </row>
    <row r="8984" spans="20:20" x14ac:dyDescent="0.25">
      <c r="T8984" s="98"/>
    </row>
    <row r="8985" spans="20:20" x14ac:dyDescent="0.25">
      <c r="T8985" s="98"/>
    </row>
    <row r="8986" spans="20:20" x14ac:dyDescent="0.25">
      <c r="T8986" s="98"/>
    </row>
    <row r="8987" spans="20:20" x14ac:dyDescent="0.25">
      <c r="T8987" s="98"/>
    </row>
    <row r="8988" spans="20:20" x14ac:dyDescent="0.25">
      <c r="T8988" s="98"/>
    </row>
    <row r="8989" spans="20:20" x14ac:dyDescent="0.25">
      <c r="T8989" s="98"/>
    </row>
    <row r="8990" spans="20:20" x14ac:dyDescent="0.25">
      <c r="T8990" s="98"/>
    </row>
    <row r="8991" spans="20:20" x14ac:dyDescent="0.25">
      <c r="T8991" s="98"/>
    </row>
    <row r="8992" spans="20:20" x14ac:dyDescent="0.25">
      <c r="T8992" s="98"/>
    </row>
    <row r="8993" spans="20:20" x14ac:dyDescent="0.25">
      <c r="T8993" s="98"/>
    </row>
    <row r="8994" spans="20:20" x14ac:dyDescent="0.25">
      <c r="T8994" s="98"/>
    </row>
    <row r="8995" spans="20:20" x14ac:dyDescent="0.25">
      <c r="T8995" s="98"/>
    </row>
    <row r="8996" spans="20:20" x14ac:dyDescent="0.25">
      <c r="T8996" s="98"/>
    </row>
    <row r="8997" spans="20:20" x14ac:dyDescent="0.25">
      <c r="T8997" s="98"/>
    </row>
    <row r="8998" spans="20:20" x14ac:dyDescent="0.25">
      <c r="T8998" s="98"/>
    </row>
    <row r="8999" spans="20:20" x14ac:dyDescent="0.25">
      <c r="T8999" s="98"/>
    </row>
    <row r="9000" spans="20:20" x14ac:dyDescent="0.25">
      <c r="T9000" s="98"/>
    </row>
    <row r="9001" spans="20:20" x14ac:dyDescent="0.25">
      <c r="T9001" s="98"/>
    </row>
    <row r="9002" spans="20:20" x14ac:dyDescent="0.25">
      <c r="T9002" s="98"/>
    </row>
    <row r="9003" spans="20:20" x14ac:dyDescent="0.25">
      <c r="T9003" s="98"/>
    </row>
    <row r="9004" spans="20:20" x14ac:dyDescent="0.25">
      <c r="T9004" s="98"/>
    </row>
    <row r="9005" spans="20:20" x14ac:dyDescent="0.25">
      <c r="T9005" s="98"/>
    </row>
    <row r="9006" spans="20:20" x14ac:dyDescent="0.25">
      <c r="T9006" s="98"/>
    </row>
    <row r="9007" spans="20:20" x14ac:dyDescent="0.25">
      <c r="T9007" s="98"/>
    </row>
    <row r="9008" spans="20:20" x14ac:dyDescent="0.25">
      <c r="T9008" s="98"/>
    </row>
    <row r="9009" spans="20:20" x14ac:dyDescent="0.25">
      <c r="T9009" s="98"/>
    </row>
    <row r="9010" spans="20:20" x14ac:dyDescent="0.25">
      <c r="T9010" s="98"/>
    </row>
    <row r="9011" spans="20:20" x14ac:dyDescent="0.25">
      <c r="T9011" s="98"/>
    </row>
    <row r="9012" spans="20:20" x14ac:dyDescent="0.25">
      <c r="T9012" s="98"/>
    </row>
    <row r="9013" spans="20:20" x14ac:dyDescent="0.25">
      <c r="T9013" s="98"/>
    </row>
    <row r="9014" spans="20:20" x14ac:dyDescent="0.25">
      <c r="T9014" s="98"/>
    </row>
    <row r="9015" spans="20:20" x14ac:dyDescent="0.25">
      <c r="T9015" s="98"/>
    </row>
    <row r="9016" spans="20:20" x14ac:dyDescent="0.25">
      <c r="T9016" s="98"/>
    </row>
    <row r="9017" spans="20:20" x14ac:dyDescent="0.25">
      <c r="T9017" s="98"/>
    </row>
    <row r="9018" spans="20:20" x14ac:dyDescent="0.25">
      <c r="T9018" s="98"/>
    </row>
    <row r="9019" spans="20:20" x14ac:dyDescent="0.25">
      <c r="T9019" s="98"/>
    </row>
    <row r="9020" spans="20:20" x14ac:dyDescent="0.25">
      <c r="T9020" s="98"/>
    </row>
    <row r="9021" spans="20:20" x14ac:dyDescent="0.25">
      <c r="T9021" s="98"/>
    </row>
    <row r="9022" spans="20:20" x14ac:dyDescent="0.25">
      <c r="T9022" s="98"/>
    </row>
    <row r="9023" spans="20:20" x14ac:dyDescent="0.25">
      <c r="T9023" s="98"/>
    </row>
    <row r="9024" spans="20:20" x14ac:dyDescent="0.25">
      <c r="T9024" s="98"/>
    </row>
    <row r="9025" spans="20:20" x14ac:dyDescent="0.25">
      <c r="T9025" s="98"/>
    </row>
    <row r="9026" spans="20:20" x14ac:dyDescent="0.25">
      <c r="T9026" s="98"/>
    </row>
    <row r="9027" spans="20:20" x14ac:dyDescent="0.25">
      <c r="T9027" s="98"/>
    </row>
    <row r="9028" spans="20:20" x14ac:dyDescent="0.25">
      <c r="T9028" s="98"/>
    </row>
    <row r="9029" spans="20:20" x14ac:dyDescent="0.25">
      <c r="T9029" s="98"/>
    </row>
    <row r="9030" spans="20:20" x14ac:dyDescent="0.25">
      <c r="T9030" s="98"/>
    </row>
    <row r="9031" spans="20:20" x14ac:dyDescent="0.25">
      <c r="T9031" s="98"/>
    </row>
    <row r="9032" spans="20:20" x14ac:dyDescent="0.25">
      <c r="T9032" s="98"/>
    </row>
    <row r="9033" spans="20:20" x14ac:dyDescent="0.25">
      <c r="T9033" s="98"/>
    </row>
    <row r="9034" spans="20:20" x14ac:dyDescent="0.25">
      <c r="T9034" s="98"/>
    </row>
    <row r="9035" spans="20:20" x14ac:dyDescent="0.25">
      <c r="T9035" s="98"/>
    </row>
    <row r="9036" spans="20:20" x14ac:dyDescent="0.25">
      <c r="T9036" s="98"/>
    </row>
    <row r="9037" spans="20:20" x14ac:dyDescent="0.25">
      <c r="T9037" s="98"/>
    </row>
    <row r="9038" spans="20:20" x14ac:dyDescent="0.25">
      <c r="T9038" s="98"/>
    </row>
    <row r="9039" spans="20:20" x14ac:dyDescent="0.25">
      <c r="T9039" s="98"/>
    </row>
    <row r="9040" spans="20:20" x14ac:dyDescent="0.25">
      <c r="T9040" s="98"/>
    </row>
    <row r="9041" spans="20:20" x14ac:dyDescent="0.25">
      <c r="T9041" s="98"/>
    </row>
    <row r="9042" spans="20:20" x14ac:dyDescent="0.25">
      <c r="T9042" s="98"/>
    </row>
    <row r="9043" spans="20:20" x14ac:dyDescent="0.25">
      <c r="T9043" s="98"/>
    </row>
    <row r="9044" spans="20:20" x14ac:dyDescent="0.25">
      <c r="T9044" s="98"/>
    </row>
    <row r="9045" spans="20:20" x14ac:dyDescent="0.25">
      <c r="T9045" s="98"/>
    </row>
    <row r="9046" spans="20:20" x14ac:dyDescent="0.25">
      <c r="T9046" s="98"/>
    </row>
    <row r="9047" spans="20:20" x14ac:dyDescent="0.25">
      <c r="T9047" s="98"/>
    </row>
    <row r="9048" spans="20:20" x14ac:dyDescent="0.25">
      <c r="T9048" s="98"/>
    </row>
    <row r="9049" spans="20:20" x14ac:dyDescent="0.25">
      <c r="T9049" s="98"/>
    </row>
    <row r="9050" spans="20:20" x14ac:dyDescent="0.25">
      <c r="T9050" s="98"/>
    </row>
    <row r="9051" spans="20:20" x14ac:dyDescent="0.25">
      <c r="T9051" s="98"/>
    </row>
    <row r="9052" spans="20:20" x14ac:dyDescent="0.25">
      <c r="T9052" s="98"/>
    </row>
    <row r="9053" spans="20:20" x14ac:dyDescent="0.25">
      <c r="T9053" s="98"/>
    </row>
    <row r="9054" spans="20:20" x14ac:dyDescent="0.25">
      <c r="T9054" s="98"/>
    </row>
    <row r="9055" spans="20:20" x14ac:dyDescent="0.25">
      <c r="T9055" s="98"/>
    </row>
    <row r="9056" spans="20:20" x14ac:dyDescent="0.25">
      <c r="T9056" s="98"/>
    </row>
    <row r="9057" spans="20:20" x14ac:dyDescent="0.25">
      <c r="T9057" s="98"/>
    </row>
    <row r="9058" spans="20:20" x14ac:dyDescent="0.25">
      <c r="T9058" s="98"/>
    </row>
    <row r="9059" spans="20:20" x14ac:dyDescent="0.25">
      <c r="T9059" s="98"/>
    </row>
    <row r="9060" spans="20:20" x14ac:dyDescent="0.25">
      <c r="T9060" s="98"/>
    </row>
    <row r="9061" spans="20:20" x14ac:dyDescent="0.25">
      <c r="T9061" s="98"/>
    </row>
    <row r="9062" spans="20:20" x14ac:dyDescent="0.25">
      <c r="T9062" s="98"/>
    </row>
    <row r="9063" spans="20:20" x14ac:dyDescent="0.25">
      <c r="T9063" s="98"/>
    </row>
    <row r="9064" spans="20:20" x14ac:dyDescent="0.25">
      <c r="T9064" s="98"/>
    </row>
    <row r="9065" spans="20:20" x14ac:dyDescent="0.25">
      <c r="T9065" s="98"/>
    </row>
    <row r="9066" spans="20:20" x14ac:dyDescent="0.25">
      <c r="T9066" s="98"/>
    </row>
    <row r="9067" spans="20:20" x14ac:dyDescent="0.25">
      <c r="T9067" s="98"/>
    </row>
    <row r="9068" spans="20:20" x14ac:dyDescent="0.25">
      <c r="T9068" s="98"/>
    </row>
    <row r="9069" spans="20:20" x14ac:dyDescent="0.25">
      <c r="T9069" s="98"/>
    </row>
    <row r="9070" spans="20:20" x14ac:dyDescent="0.25">
      <c r="T9070" s="98"/>
    </row>
    <row r="9071" spans="20:20" x14ac:dyDescent="0.25">
      <c r="T9071" s="98"/>
    </row>
    <row r="9072" spans="20:20" x14ac:dyDescent="0.25">
      <c r="T9072" s="98"/>
    </row>
    <row r="9073" spans="20:20" x14ac:dyDescent="0.25">
      <c r="T9073" s="98"/>
    </row>
    <row r="9074" spans="20:20" x14ac:dyDescent="0.25">
      <c r="T9074" s="98"/>
    </row>
    <row r="9075" spans="20:20" x14ac:dyDescent="0.25">
      <c r="T9075" s="98"/>
    </row>
    <row r="9076" spans="20:20" x14ac:dyDescent="0.25">
      <c r="T9076" s="98"/>
    </row>
    <row r="9077" spans="20:20" x14ac:dyDescent="0.25">
      <c r="T9077" s="98"/>
    </row>
    <row r="9078" spans="20:20" x14ac:dyDescent="0.25">
      <c r="T9078" s="98"/>
    </row>
    <row r="9079" spans="20:20" x14ac:dyDescent="0.25">
      <c r="T9079" s="98"/>
    </row>
    <row r="9080" spans="20:20" x14ac:dyDescent="0.25">
      <c r="T9080" s="98"/>
    </row>
    <row r="9081" spans="20:20" x14ac:dyDescent="0.25">
      <c r="T9081" s="98"/>
    </row>
    <row r="9082" spans="20:20" x14ac:dyDescent="0.25">
      <c r="T9082" s="98"/>
    </row>
    <row r="9083" spans="20:20" x14ac:dyDescent="0.25">
      <c r="T9083" s="98"/>
    </row>
    <row r="9084" spans="20:20" x14ac:dyDescent="0.25">
      <c r="T9084" s="98"/>
    </row>
    <row r="9085" spans="20:20" x14ac:dyDescent="0.25">
      <c r="T9085" s="98"/>
    </row>
    <row r="9086" spans="20:20" x14ac:dyDescent="0.25">
      <c r="T9086" s="98"/>
    </row>
    <row r="9087" spans="20:20" x14ac:dyDescent="0.25">
      <c r="T9087" s="98"/>
    </row>
    <row r="9088" spans="20:20" x14ac:dyDescent="0.25">
      <c r="T9088" s="98"/>
    </row>
    <row r="9089" spans="20:20" x14ac:dyDescent="0.25">
      <c r="T9089" s="98"/>
    </row>
    <row r="9090" spans="20:20" x14ac:dyDescent="0.25">
      <c r="T9090" s="98"/>
    </row>
    <row r="9091" spans="20:20" x14ac:dyDescent="0.25">
      <c r="T9091" s="98"/>
    </row>
    <row r="9092" spans="20:20" x14ac:dyDescent="0.25">
      <c r="T9092" s="98"/>
    </row>
    <row r="9093" spans="20:20" x14ac:dyDescent="0.25">
      <c r="T9093" s="98"/>
    </row>
    <row r="9094" spans="20:20" x14ac:dyDescent="0.25">
      <c r="T9094" s="98"/>
    </row>
    <row r="9095" spans="20:20" x14ac:dyDescent="0.25">
      <c r="T9095" s="98"/>
    </row>
    <row r="9096" spans="20:20" x14ac:dyDescent="0.25">
      <c r="T9096" s="98"/>
    </row>
    <row r="9097" spans="20:20" x14ac:dyDescent="0.25">
      <c r="T9097" s="98"/>
    </row>
    <row r="9098" spans="20:20" x14ac:dyDescent="0.25">
      <c r="T9098" s="98"/>
    </row>
    <row r="9099" spans="20:20" x14ac:dyDescent="0.25">
      <c r="T9099" s="98"/>
    </row>
    <row r="9100" spans="20:20" x14ac:dyDescent="0.25">
      <c r="T9100" s="98"/>
    </row>
    <row r="9101" spans="20:20" x14ac:dyDescent="0.25">
      <c r="T9101" s="98"/>
    </row>
    <row r="9102" spans="20:20" x14ac:dyDescent="0.25">
      <c r="T9102" s="98"/>
    </row>
    <row r="9103" spans="20:20" x14ac:dyDescent="0.25">
      <c r="T9103" s="98"/>
    </row>
    <row r="9104" spans="20:20" x14ac:dyDescent="0.25">
      <c r="T9104" s="98"/>
    </row>
    <row r="9105" spans="20:20" x14ac:dyDescent="0.25">
      <c r="T9105" s="98"/>
    </row>
    <row r="9106" spans="20:20" x14ac:dyDescent="0.25">
      <c r="T9106" s="98"/>
    </row>
    <row r="9107" spans="20:20" x14ac:dyDescent="0.25">
      <c r="T9107" s="98"/>
    </row>
    <row r="9108" spans="20:20" x14ac:dyDescent="0.25">
      <c r="T9108" s="98"/>
    </row>
    <row r="9109" spans="20:20" x14ac:dyDescent="0.25">
      <c r="T9109" s="98"/>
    </row>
    <row r="9110" spans="20:20" x14ac:dyDescent="0.25">
      <c r="T9110" s="98"/>
    </row>
    <row r="9111" spans="20:20" x14ac:dyDescent="0.25">
      <c r="T9111" s="98"/>
    </row>
    <row r="9112" spans="20:20" x14ac:dyDescent="0.25">
      <c r="T9112" s="98"/>
    </row>
    <row r="9113" spans="20:20" x14ac:dyDescent="0.25">
      <c r="T9113" s="98"/>
    </row>
    <row r="9114" spans="20:20" x14ac:dyDescent="0.25">
      <c r="T9114" s="98"/>
    </row>
    <row r="9115" spans="20:20" x14ac:dyDescent="0.25">
      <c r="T9115" s="98"/>
    </row>
    <row r="9116" spans="20:20" x14ac:dyDescent="0.25">
      <c r="T9116" s="98"/>
    </row>
    <row r="9117" spans="20:20" x14ac:dyDescent="0.25">
      <c r="T9117" s="98"/>
    </row>
    <row r="9118" spans="20:20" x14ac:dyDescent="0.25">
      <c r="T9118" s="98"/>
    </row>
    <row r="9119" spans="20:20" x14ac:dyDescent="0.25">
      <c r="T9119" s="98"/>
    </row>
    <row r="9120" spans="20:20" x14ac:dyDescent="0.25">
      <c r="T9120" s="98"/>
    </row>
    <row r="9121" spans="20:20" x14ac:dyDescent="0.25">
      <c r="T9121" s="98"/>
    </row>
    <row r="9122" spans="20:20" x14ac:dyDescent="0.25">
      <c r="T9122" s="98"/>
    </row>
    <row r="9123" spans="20:20" x14ac:dyDescent="0.25">
      <c r="T9123" s="98"/>
    </row>
    <row r="9124" spans="20:20" x14ac:dyDescent="0.25">
      <c r="T9124" s="98"/>
    </row>
    <row r="9125" spans="20:20" x14ac:dyDescent="0.25">
      <c r="T9125" s="98"/>
    </row>
    <row r="9126" spans="20:20" x14ac:dyDescent="0.25">
      <c r="T9126" s="98"/>
    </row>
    <row r="9127" spans="20:20" x14ac:dyDescent="0.25">
      <c r="T9127" s="98"/>
    </row>
    <row r="9128" spans="20:20" x14ac:dyDescent="0.25">
      <c r="T9128" s="98"/>
    </row>
    <row r="9129" spans="20:20" x14ac:dyDescent="0.25">
      <c r="T9129" s="98"/>
    </row>
    <row r="9130" spans="20:20" x14ac:dyDescent="0.25">
      <c r="T9130" s="98"/>
    </row>
    <row r="9131" spans="20:20" x14ac:dyDescent="0.25">
      <c r="T9131" s="98"/>
    </row>
    <row r="9132" spans="20:20" x14ac:dyDescent="0.25">
      <c r="T9132" s="98"/>
    </row>
    <row r="9133" spans="20:20" x14ac:dyDescent="0.25">
      <c r="T9133" s="98"/>
    </row>
    <row r="9134" spans="20:20" x14ac:dyDescent="0.25">
      <c r="T9134" s="98"/>
    </row>
    <row r="9135" spans="20:20" x14ac:dyDescent="0.25">
      <c r="T9135" s="98"/>
    </row>
    <row r="9136" spans="20:20" x14ac:dyDescent="0.25">
      <c r="T9136" s="98"/>
    </row>
    <row r="9137" spans="20:20" x14ac:dyDescent="0.25">
      <c r="T9137" s="98"/>
    </row>
    <row r="9138" spans="20:20" x14ac:dyDescent="0.25">
      <c r="T9138" s="98"/>
    </row>
    <row r="9139" spans="20:20" x14ac:dyDescent="0.25">
      <c r="T9139" s="98"/>
    </row>
    <row r="9140" spans="20:20" x14ac:dyDescent="0.25">
      <c r="T9140" s="98"/>
    </row>
    <row r="9141" spans="20:20" x14ac:dyDescent="0.25">
      <c r="T9141" s="98"/>
    </row>
    <row r="9142" spans="20:20" x14ac:dyDescent="0.25">
      <c r="T9142" s="98"/>
    </row>
    <row r="9143" spans="20:20" x14ac:dyDescent="0.25">
      <c r="T9143" s="98"/>
    </row>
    <row r="9144" spans="20:20" x14ac:dyDescent="0.25">
      <c r="T9144" s="98"/>
    </row>
    <row r="9145" spans="20:20" x14ac:dyDescent="0.25">
      <c r="T9145" s="98"/>
    </row>
    <row r="9146" spans="20:20" x14ac:dyDescent="0.25">
      <c r="T9146" s="98"/>
    </row>
    <row r="9147" spans="20:20" x14ac:dyDescent="0.25">
      <c r="T9147" s="98"/>
    </row>
    <row r="9148" spans="20:20" x14ac:dyDescent="0.25">
      <c r="T9148" s="98"/>
    </row>
    <row r="9149" spans="20:20" x14ac:dyDescent="0.25">
      <c r="T9149" s="98"/>
    </row>
    <row r="9150" spans="20:20" x14ac:dyDescent="0.25">
      <c r="T9150" s="98"/>
    </row>
    <row r="9151" spans="20:20" x14ac:dyDescent="0.25">
      <c r="T9151" s="98"/>
    </row>
    <row r="9152" spans="20:20" x14ac:dyDescent="0.25">
      <c r="T9152" s="98"/>
    </row>
    <row r="9153" spans="20:20" x14ac:dyDescent="0.25">
      <c r="T9153" s="98"/>
    </row>
    <row r="9154" spans="20:20" x14ac:dyDescent="0.25">
      <c r="T9154" s="98"/>
    </row>
    <row r="9155" spans="20:20" x14ac:dyDescent="0.25">
      <c r="T9155" s="98"/>
    </row>
    <row r="9156" spans="20:20" x14ac:dyDescent="0.25">
      <c r="T9156" s="98"/>
    </row>
    <row r="9157" spans="20:20" x14ac:dyDescent="0.25">
      <c r="T9157" s="98"/>
    </row>
    <row r="9158" spans="20:20" x14ac:dyDescent="0.25">
      <c r="T9158" s="98"/>
    </row>
    <row r="9159" spans="20:20" x14ac:dyDescent="0.25">
      <c r="T9159" s="98"/>
    </row>
    <row r="9160" spans="20:20" x14ac:dyDescent="0.25">
      <c r="T9160" s="98"/>
    </row>
    <row r="9161" spans="20:20" x14ac:dyDescent="0.25">
      <c r="T9161" s="98"/>
    </row>
    <row r="9162" spans="20:20" x14ac:dyDescent="0.25">
      <c r="T9162" s="98"/>
    </row>
    <row r="9163" spans="20:20" x14ac:dyDescent="0.25">
      <c r="T9163" s="98"/>
    </row>
    <row r="9164" spans="20:20" x14ac:dyDescent="0.25">
      <c r="T9164" s="98"/>
    </row>
    <row r="9165" spans="20:20" x14ac:dyDescent="0.25">
      <c r="T9165" s="98"/>
    </row>
    <row r="9166" spans="20:20" x14ac:dyDescent="0.25">
      <c r="T9166" s="98"/>
    </row>
    <row r="9167" spans="20:20" x14ac:dyDescent="0.25">
      <c r="T9167" s="98"/>
    </row>
    <row r="9168" spans="20:20" x14ac:dyDescent="0.25">
      <c r="T9168" s="98"/>
    </row>
    <row r="9169" spans="20:20" x14ac:dyDescent="0.25">
      <c r="T9169" s="98"/>
    </row>
    <row r="9170" spans="20:20" x14ac:dyDescent="0.25">
      <c r="T9170" s="98"/>
    </row>
    <row r="9171" spans="20:20" x14ac:dyDescent="0.25">
      <c r="T9171" s="98"/>
    </row>
    <row r="9172" spans="20:20" x14ac:dyDescent="0.25">
      <c r="T9172" s="98"/>
    </row>
    <row r="9173" spans="20:20" x14ac:dyDescent="0.25">
      <c r="T9173" s="98"/>
    </row>
    <row r="9174" spans="20:20" x14ac:dyDescent="0.25">
      <c r="T9174" s="98"/>
    </row>
    <row r="9175" spans="20:20" x14ac:dyDescent="0.25">
      <c r="T9175" s="98"/>
    </row>
    <row r="9176" spans="20:20" x14ac:dyDescent="0.25">
      <c r="T9176" s="98"/>
    </row>
    <row r="9177" spans="20:20" x14ac:dyDescent="0.25">
      <c r="T9177" s="98"/>
    </row>
    <row r="9178" spans="20:20" x14ac:dyDescent="0.25">
      <c r="T9178" s="98"/>
    </row>
    <row r="9179" spans="20:20" x14ac:dyDescent="0.25">
      <c r="T9179" s="98"/>
    </row>
    <row r="9180" spans="20:20" x14ac:dyDescent="0.25">
      <c r="T9180" s="98"/>
    </row>
    <row r="9181" spans="20:20" x14ac:dyDescent="0.25">
      <c r="T9181" s="98"/>
    </row>
    <row r="9182" spans="20:20" x14ac:dyDescent="0.25">
      <c r="T9182" s="98"/>
    </row>
    <row r="9183" spans="20:20" x14ac:dyDescent="0.25">
      <c r="T9183" s="98"/>
    </row>
    <row r="9184" spans="20:20" x14ac:dyDescent="0.25">
      <c r="T9184" s="98"/>
    </row>
    <row r="9185" spans="20:20" x14ac:dyDescent="0.25">
      <c r="T9185" s="98"/>
    </row>
    <row r="9186" spans="20:20" x14ac:dyDescent="0.25">
      <c r="T9186" s="98"/>
    </row>
    <row r="9187" spans="20:20" x14ac:dyDescent="0.25">
      <c r="T9187" s="98"/>
    </row>
    <row r="9188" spans="20:20" x14ac:dyDescent="0.25">
      <c r="T9188" s="98"/>
    </row>
    <row r="9189" spans="20:20" x14ac:dyDescent="0.25">
      <c r="T9189" s="98"/>
    </row>
    <row r="9190" spans="20:20" x14ac:dyDescent="0.25">
      <c r="T9190" s="98"/>
    </row>
    <row r="9191" spans="20:20" x14ac:dyDescent="0.25">
      <c r="T9191" s="98"/>
    </row>
    <row r="9192" spans="20:20" x14ac:dyDescent="0.25">
      <c r="T9192" s="98"/>
    </row>
    <row r="9193" spans="20:20" x14ac:dyDescent="0.25">
      <c r="T9193" s="98"/>
    </row>
    <row r="9194" spans="20:20" x14ac:dyDescent="0.25">
      <c r="T9194" s="98"/>
    </row>
    <row r="9195" spans="20:20" x14ac:dyDescent="0.25">
      <c r="T9195" s="98"/>
    </row>
    <row r="9196" spans="20:20" x14ac:dyDescent="0.25">
      <c r="T9196" s="98"/>
    </row>
    <row r="9197" spans="20:20" x14ac:dyDescent="0.25">
      <c r="T9197" s="98"/>
    </row>
    <row r="9198" spans="20:20" x14ac:dyDescent="0.25">
      <c r="T9198" s="98"/>
    </row>
    <row r="9199" spans="20:20" x14ac:dyDescent="0.25">
      <c r="T9199" s="98"/>
    </row>
    <row r="9200" spans="20:20" x14ac:dyDescent="0.25">
      <c r="T9200" s="98"/>
    </row>
    <row r="9201" spans="20:20" x14ac:dyDescent="0.25">
      <c r="T9201" s="98"/>
    </row>
    <row r="9202" spans="20:20" x14ac:dyDescent="0.25">
      <c r="T9202" s="98"/>
    </row>
    <row r="9203" spans="20:20" x14ac:dyDescent="0.25">
      <c r="T9203" s="98"/>
    </row>
    <row r="9204" spans="20:20" x14ac:dyDescent="0.25">
      <c r="T9204" s="98"/>
    </row>
    <row r="9205" spans="20:20" x14ac:dyDescent="0.25">
      <c r="T9205" s="98"/>
    </row>
    <row r="9206" spans="20:20" x14ac:dyDescent="0.25">
      <c r="T9206" s="98"/>
    </row>
    <row r="9207" spans="20:20" x14ac:dyDescent="0.25">
      <c r="T9207" s="98"/>
    </row>
    <row r="9208" spans="20:20" x14ac:dyDescent="0.25">
      <c r="T9208" s="98"/>
    </row>
    <row r="9209" spans="20:20" x14ac:dyDescent="0.25">
      <c r="T9209" s="98"/>
    </row>
    <row r="9210" spans="20:20" x14ac:dyDescent="0.25">
      <c r="T9210" s="98"/>
    </row>
    <row r="9211" spans="20:20" x14ac:dyDescent="0.25">
      <c r="T9211" s="98"/>
    </row>
    <row r="9212" spans="20:20" x14ac:dyDescent="0.25">
      <c r="T9212" s="98"/>
    </row>
    <row r="9213" spans="20:20" x14ac:dyDescent="0.25">
      <c r="T9213" s="98"/>
    </row>
    <row r="9214" spans="20:20" x14ac:dyDescent="0.25">
      <c r="T9214" s="98"/>
    </row>
    <row r="9215" spans="20:20" x14ac:dyDescent="0.25">
      <c r="T9215" s="98"/>
    </row>
    <row r="9216" spans="20:20" x14ac:dyDescent="0.25">
      <c r="T9216" s="98"/>
    </row>
    <row r="9217" spans="20:20" x14ac:dyDescent="0.25">
      <c r="T9217" s="98"/>
    </row>
    <row r="9218" spans="20:20" x14ac:dyDescent="0.25">
      <c r="T9218" s="98"/>
    </row>
    <row r="9219" spans="20:20" x14ac:dyDescent="0.25">
      <c r="T9219" s="98"/>
    </row>
    <row r="9220" spans="20:20" x14ac:dyDescent="0.25">
      <c r="T9220" s="98"/>
    </row>
    <row r="9221" spans="20:20" x14ac:dyDescent="0.25">
      <c r="T9221" s="98"/>
    </row>
    <row r="9222" spans="20:20" x14ac:dyDescent="0.25">
      <c r="T9222" s="98"/>
    </row>
    <row r="9223" spans="20:20" x14ac:dyDescent="0.25">
      <c r="T9223" s="98"/>
    </row>
    <row r="9224" spans="20:20" x14ac:dyDescent="0.25">
      <c r="T9224" s="98"/>
    </row>
    <row r="9225" spans="20:20" x14ac:dyDescent="0.25">
      <c r="T9225" s="98"/>
    </row>
    <row r="9226" spans="20:20" x14ac:dyDescent="0.25">
      <c r="T9226" s="98"/>
    </row>
    <row r="9227" spans="20:20" x14ac:dyDescent="0.25">
      <c r="T9227" s="98"/>
    </row>
    <row r="9228" spans="20:20" x14ac:dyDescent="0.25">
      <c r="T9228" s="98"/>
    </row>
    <row r="9229" spans="20:20" x14ac:dyDescent="0.25">
      <c r="T9229" s="98"/>
    </row>
    <row r="9230" spans="20:20" x14ac:dyDescent="0.25">
      <c r="T9230" s="98"/>
    </row>
    <row r="9231" spans="20:20" x14ac:dyDescent="0.25">
      <c r="T9231" s="98"/>
    </row>
    <row r="9232" spans="20:20" x14ac:dyDescent="0.25">
      <c r="T9232" s="98"/>
    </row>
    <row r="9233" spans="20:20" x14ac:dyDescent="0.25">
      <c r="T9233" s="98"/>
    </row>
    <row r="9234" spans="20:20" x14ac:dyDescent="0.25">
      <c r="T9234" s="98"/>
    </row>
    <row r="9235" spans="20:20" x14ac:dyDescent="0.25">
      <c r="T9235" s="98"/>
    </row>
    <row r="9236" spans="20:20" x14ac:dyDescent="0.25">
      <c r="T9236" s="98"/>
    </row>
    <row r="9237" spans="20:20" x14ac:dyDescent="0.25">
      <c r="T9237" s="98"/>
    </row>
    <row r="9238" spans="20:20" x14ac:dyDescent="0.25">
      <c r="T9238" s="98"/>
    </row>
    <row r="9239" spans="20:20" x14ac:dyDescent="0.25">
      <c r="T9239" s="98"/>
    </row>
    <row r="9240" spans="20:20" x14ac:dyDescent="0.25">
      <c r="T9240" s="98"/>
    </row>
    <row r="9241" spans="20:20" x14ac:dyDescent="0.25">
      <c r="T9241" s="98"/>
    </row>
    <row r="9242" spans="20:20" x14ac:dyDescent="0.25">
      <c r="T9242" s="98"/>
    </row>
    <row r="9243" spans="20:20" x14ac:dyDescent="0.25">
      <c r="T9243" s="98"/>
    </row>
    <row r="9244" spans="20:20" x14ac:dyDescent="0.25">
      <c r="T9244" s="98"/>
    </row>
    <row r="9245" spans="20:20" x14ac:dyDescent="0.25">
      <c r="T9245" s="98"/>
    </row>
    <row r="9246" spans="20:20" x14ac:dyDescent="0.25">
      <c r="T9246" s="98"/>
    </row>
    <row r="9247" spans="20:20" x14ac:dyDescent="0.25">
      <c r="T9247" s="98"/>
    </row>
    <row r="9248" spans="20:20" x14ac:dyDescent="0.25">
      <c r="T9248" s="98"/>
    </row>
    <row r="9249" spans="20:20" x14ac:dyDescent="0.25">
      <c r="T9249" s="98"/>
    </row>
    <row r="9250" spans="20:20" x14ac:dyDescent="0.25">
      <c r="T9250" s="98"/>
    </row>
    <row r="9251" spans="20:20" x14ac:dyDescent="0.25">
      <c r="T9251" s="98"/>
    </row>
    <row r="9252" spans="20:20" x14ac:dyDescent="0.25">
      <c r="T9252" s="98"/>
    </row>
    <row r="9253" spans="20:20" x14ac:dyDescent="0.25">
      <c r="T9253" s="98"/>
    </row>
    <row r="9254" spans="20:20" x14ac:dyDescent="0.25">
      <c r="T9254" s="98"/>
    </row>
    <row r="9255" spans="20:20" x14ac:dyDescent="0.25">
      <c r="T9255" s="98"/>
    </row>
    <row r="9256" spans="20:20" x14ac:dyDescent="0.25">
      <c r="T9256" s="98"/>
    </row>
    <row r="9257" spans="20:20" x14ac:dyDescent="0.25">
      <c r="T9257" s="98"/>
    </row>
    <row r="9258" spans="20:20" x14ac:dyDescent="0.25">
      <c r="T9258" s="98"/>
    </row>
    <row r="9259" spans="20:20" x14ac:dyDescent="0.25">
      <c r="T9259" s="98"/>
    </row>
    <row r="9260" spans="20:20" x14ac:dyDescent="0.25">
      <c r="T9260" s="98"/>
    </row>
    <row r="9261" spans="20:20" x14ac:dyDescent="0.25">
      <c r="T9261" s="98"/>
    </row>
    <row r="9262" spans="20:20" x14ac:dyDescent="0.25">
      <c r="T9262" s="98"/>
    </row>
    <row r="9263" spans="20:20" x14ac:dyDescent="0.25">
      <c r="T9263" s="98"/>
    </row>
    <row r="9264" spans="20:20" x14ac:dyDescent="0.25">
      <c r="T9264" s="98"/>
    </row>
    <row r="9265" spans="20:20" x14ac:dyDescent="0.25">
      <c r="T9265" s="98"/>
    </row>
    <row r="9266" spans="20:20" x14ac:dyDescent="0.25">
      <c r="T9266" s="98"/>
    </row>
    <row r="9267" spans="20:20" x14ac:dyDescent="0.25">
      <c r="T9267" s="98"/>
    </row>
    <row r="9268" spans="20:20" x14ac:dyDescent="0.25">
      <c r="T9268" s="98"/>
    </row>
    <row r="9269" spans="20:20" x14ac:dyDescent="0.25">
      <c r="T9269" s="98"/>
    </row>
    <row r="9270" spans="20:20" x14ac:dyDescent="0.25">
      <c r="T9270" s="98"/>
    </row>
    <row r="9271" spans="20:20" x14ac:dyDescent="0.25">
      <c r="T9271" s="98"/>
    </row>
    <row r="9272" spans="20:20" x14ac:dyDescent="0.25">
      <c r="T9272" s="98"/>
    </row>
    <row r="9273" spans="20:20" x14ac:dyDescent="0.25">
      <c r="T9273" s="98"/>
    </row>
    <row r="9274" spans="20:20" x14ac:dyDescent="0.25">
      <c r="T9274" s="98"/>
    </row>
    <row r="9275" spans="20:20" x14ac:dyDescent="0.25">
      <c r="T9275" s="98"/>
    </row>
    <row r="9276" spans="20:20" x14ac:dyDescent="0.25">
      <c r="T9276" s="98"/>
    </row>
    <row r="9277" spans="20:20" x14ac:dyDescent="0.25">
      <c r="T9277" s="98"/>
    </row>
    <row r="9278" spans="20:20" x14ac:dyDescent="0.25">
      <c r="T9278" s="98"/>
    </row>
    <row r="9279" spans="20:20" x14ac:dyDescent="0.25">
      <c r="T9279" s="98"/>
    </row>
    <row r="9280" spans="20:20" x14ac:dyDescent="0.25">
      <c r="T9280" s="98"/>
    </row>
    <row r="9281" spans="20:20" x14ac:dyDescent="0.25">
      <c r="T9281" s="98"/>
    </row>
    <row r="9282" spans="20:20" x14ac:dyDescent="0.25">
      <c r="T9282" s="98"/>
    </row>
    <row r="9283" spans="20:20" x14ac:dyDescent="0.25">
      <c r="T9283" s="98"/>
    </row>
    <row r="9284" spans="20:20" x14ac:dyDescent="0.25">
      <c r="T9284" s="98"/>
    </row>
    <row r="9285" spans="20:20" x14ac:dyDescent="0.25">
      <c r="T9285" s="98"/>
    </row>
    <row r="9286" spans="20:20" x14ac:dyDescent="0.25">
      <c r="T9286" s="98"/>
    </row>
    <row r="9287" spans="20:20" x14ac:dyDescent="0.25">
      <c r="T9287" s="98"/>
    </row>
    <row r="9288" spans="20:20" x14ac:dyDescent="0.25">
      <c r="T9288" s="98"/>
    </row>
    <row r="9289" spans="20:20" x14ac:dyDescent="0.25">
      <c r="T9289" s="98"/>
    </row>
    <row r="9290" spans="20:20" x14ac:dyDescent="0.25">
      <c r="T9290" s="98"/>
    </row>
    <row r="9291" spans="20:20" x14ac:dyDescent="0.25">
      <c r="T9291" s="98"/>
    </row>
    <row r="9292" spans="20:20" x14ac:dyDescent="0.25">
      <c r="T9292" s="98"/>
    </row>
    <row r="9293" spans="20:20" x14ac:dyDescent="0.25">
      <c r="T9293" s="98"/>
    </row>
    <row r="9294" spans="20:20" x14ac:dyDescent="0.25">
      <c r="T9294" s="98"/>
    </row>
    <row r="9295" spans="20:20" x14ac:dyDescent="0.25">
      <c r="T9295" s="98"/>
    </row>
    <row r="9296" spans="20:20" x14ac:dyDescent="0.25">
      <c r="T9296" s="98"/>
    </row>
    <row r="9297" spans="20:20" x14ac:dyDescent="0.25">
      <c r="T9297" s="98"/>
    </row>
    <row r="9298" spans="20:20" x14ac:dyDescent="0.25">
      <c r="T9298" s="98"/>
    </row>
    <row r="9299" spans="20:20" x14ac:dyDescent="0.25">
      <c r="T9299" s="98"/>
    </row>
    <row r="9300" spans="20:20" x14ac:dyDescent="0.25">
      <c r="T9300" s="98"/>
    </row>
    <row r="9301" spans="20:20" x14ac:dyDescent="0.25">
      <c r="T9301" s="98"/>
    </row>
    <row r="9302" spans="20:20" x14ac:dyDescent="0.25">
      <c r="T9302" s="98"/>
    </row>
    <row r="9303" spans="20:20" x14ac:dyDescent="0.25">
      <c r="T9303" s="98"/>
    </row>
    <row r="9304" spans="20:20" x14ac:dyDescent="0.25">
      <c r="T9304" s="98"/>
    </row>
    <row r="9305" spans="20:20" x14ac:dyDescent="0.25">
      <c r="T9305" s="98"/>
    </row>
    <row r="9306" spans="20:20" x14ac:dyDescent="0.25">
      <c r="T9306" s="98"/>
    </row>
    <row r="9307" spans="20:20" x14ac:dyDescent="0.25">
      <c r="T9307" s="98"/>
    </row>
    <row r="9308" spans="20:20" x14ac:dyDescent="0.25">
      <c r="T9308" s="98"/>
    </row>
    <row r="9309" spans="20:20" x14ac:dyDescent="0.25">
      <c r="T9309" s="98"/>
    </row>
    <row r="9310" spans="20:20" x14ac:dyDescent="0.25">
      <c r="T9310" s="98"/>
    </row>
    <row r="9311" spans="20:20" x14ac:dyDescent="0.25">
      <c r="T9311" s="98"/>
    </row>
    <row r="9312" spans="20:20" x14ac:dyDescent="0.25">
      <c r="T9312" s="98"/>
    </row>
    <row r="9313" spans="20:20" x14ac:dyDescent="0.25">
      <c r="T9313" s="98"/>
    </row>
    <row r="9314" spans="20:20" x14ac:dyDescent="0.25">
      <c r="T9314" s="98"/>
    </row>
    <row r="9315" spans="20:20" x14ac:dyDescent="0.25">
      <c r="T9315" s="98"/>
    </row>
    <row r="9316" spans="20:20" x14ac:dyDescent="0.25">
      <c r="T9316" s="98"/>
    </row>
    <row r="9317" spans="20:20" x14ac:dyDescent="0.25">
      <c r="T9317" s="98"/>
    </row>
    <row r="9318" spans="20:20" x14ac:dyDescent="0.25">
      <c r="T9318" s="98"/>
    </row>
    <row r="9319" spans="20:20" x14ac:dyDescent="0.25">
      <c r="T9319" s="98"/>
    </row>
    <row r="9320" spans="20:20" x14ac:dyDescent="0.25">
      <c r="T9320" s="98"/>
    </row>
    <row r="9321" spans="20:20" x14ac:dyDescent="0.25">
      <c r="T9321" s="98"/>
    </row>
    <row r="9322" spans="20:20" x14ac:dyDescent="0.25">
      <c r="T9322" s="98"/>
    </row>
    <row r="9323" spans="20:20" x14ac:dyDescent="0.25">
      <c r="T9323" s="98"/>
    </row>
    <row r="9324" spans="20:20" x14ac:dyDescent="0.25">
      <c r="T9324" s="98"/>
    </row>
    <row r="9325" spans="20:20" x14ac:dyDescent="0.25">
      <c r="T9325" s="98"/>
    </row>
    <row r="9326" spans="20:20" x14ac:dyDescent="0.25">
      <c r="T9326" s="98"/>
    </row>
    <row r="9327" spans="20:20" x14ac:dyDescent="0.25">
      <c r="T9327" s="98"/>
    </row>
    <row r="9328" spans="20:20" x14ac:dyDescent="0.25">
      <c r="T9328" s="98"/>
    </row>
    <row r="9329" spans="20:20" x14ac:dyDescent="0.25">
      <c r="T9329" s="98"/>
    </row>
    <row r="9330" spans="20:20" x14ac:dyDescent="0.25">
      <c r="T9330" s="98"/>
    </row>
    <row r="9331" spans="20:20" x14ac:dyDescent="0.25">
      <c r="T9331" s="98"/>
    </row>
    <row r="9332" spans="20:20" x14ac:dyDescent="0.25">
      <c r="T9332" s="98"/>
    </row>
    <row r="9333" spans="20:20" x14ac:dyDescent="0.25">
      <c r="T9333" s="98"/>
    </row>
    <row r="9334" spans="20:20" x14ac:dyDescent="0.25">
      <c r="T9334" s="98"/>
    </row>
    <row r="9335" spans="20:20" x14ac:dyDescent="0.25">
      <c r="T9335" s="98"/>
    </row>
    <row r="9336" spans="20:20" x14ac:dyDescent="0.25">
      <c r="T9336" s="98"/>
    </row>
    <row r="9337" spans="20:20" x14ac:dyDescent="0.25">
      <c r="T9337" s="98"/>
    </row>
    <row r="9338" spans="20:20" x14ac:dyDescent="0.25">
      <c r="T9338" s="98"/>
    </row>
    <row r="9339" spans="20:20" x14ac:dyDescent="0.25">
      <c r="T9339" s="98"/>
    </row>
    <row r="9340" spans="20:20" x14ac:dyDescent="0.25">
      <c r="T9340" s="98"/>
    </row>
    <row r="9341" spans="20:20" x14ac:dyDescent="0.25">
      <c r="T9341" s="98"/>
    </row>
    <row r="9342" spans="20:20" x14ac:dyDescent="0.25">
      <c r="T9342" s="98"/>
    </row>
    <row r="9343" spans="20:20" x14ac:dyDescent="0.25">
      <c r="T9343" s="98"/>
    </row>
    <row r="9344" spans="20:20" x14ac:dyDescent="0.25">
      <c r="T9344" s="98"/>
    </row>
    <row r="9345" spans="20:20" x14ac:dyDescent="0.25">
      <c r="T9345" s="98"/>
    </row>
    <row r="9346" spans="20:20" x14ac:dyDescent="0.25">
      <c r="T9346" s="98"/>
    </row>
    <row r="9347" spans="20:20" x14ac:dyDescent="0.25">
      <c r="T9347" s="98"/>
    </row>
    <row r="9348" spans="20:20" x14ac:dyDescent="0.25">
      <c r="T9348" s="98"/>
    </row>
    <row r="9349" spans="20:20" x14ac:dyDescent="0.25">
      <c r="T9349" s="98"/>
    </row>
    <row r="9350" spans="20:20" x14ac:dyDescent="0.25">
      <c r="T9350" s="98"/>
    </row>
    <row r="9351" spans="20:20" x14ac:dyDescent="0.25">
      <c r="T9351" s="98"/>
    </row>
    <row r="9352" spans="20:20" x14ac:dyDescent="0.25">
      <c r="T9352" s="98"/>
    </row>
    <row r="9353" spans="20:20" x14ac:dyDescent="0.25">
      <c r="T9353" s="98"/>
    </row>
    <row r="9354" spans="20:20" x14ac:dyDescent="0.25">
      <c r="T9354" s="98"/>
    </row>
    <row r="9355" spans="20:20" x14ac:dyDescent="0.25">
      <c r="T9355" s="98"/>
    </row>
    <row r="9356" spans="20:20" x14ac:dyDescent="0.25">
      <c r="T9356" s="98"/>
    </row>
    <row r="9357" spans="20:20" x14ac:dyDescent="0.25">
      <c r="T9357" s="98"/>
    </row>
    <row r="9358" spans="20:20" x14ac:dyDescent="0.25">
      <c r="T9358" s="98"/>
    </row>
    <row r="9359" spans="20:20" x14ac:dyDescent="0.25">
      <c r="T9359" s="98"/>
    </row>
    <row r="9360" spans="20:20" x14ac:dyDescent="0.25">
      <c r="T9360" s="98"/>
    </row>
    <row r="9361" spans="20:20" x14ac:dyDescent="0.25">
      <c r="T9361" s="98"/>
    </row>
    <row r="9362" spans="20:20" x14ac:dyDescent="0.25">
      <c r="T9362" s="98"/>
    </row>
    <row r="9363" spans="20:20" x14ac:dyDescent="0.25">
      <c r="T9363" s="98"/>
    </row>
    <row r="9364" spans="20:20" x14ac:dyDescent="0.25">
      <c r="T9364" s="98"/>
    </row>
    <row r="9365" spans="20:20" x14ac:dyDescent="0.25">
      <c r="T9365" s="98"/>
    </row>
    <row r="9366" spans="20:20" x14ac:dyDescent="0.25">
      <c r="T9366" s="98"/>
    </row>
    <row r="9367" spans="20:20" x14ac:dyDescent="0.25">
      <c r="T9367" s="98"/>
    </row>
    <row r="9368" spans="20:20" x14ac:dyDescent="0.25">
      <c r="T9368" s="98"/>
    </row>
    <row r="9369" spans="20:20" x14ac:dyDescent="0.25">
      <c r="T9369" s="98"/>
    </row>
    <row r="9370" spans="20:20" x14ac:dyDescent="0.25">
      <c r="T9370" s="98"/>
    </row>
    <row r="9371" spans="20:20" x14ac:dyDescent="0.25">
      <c r="T9371" s="98"/>
    </row>
    <row r="9372" spans="20:20" x14ac:dyDescent="0.25">
      <c r="T9372" s="98"/>
    </row>
    <row r="9373" spans="20:20" x14ac:dyDescent="0.25">
      <c r="T9373" s="98"/>
    </row>
    <row r="9374" spans="20:20" x14ac:dyDescent="0.25">
      <c r="T9374" s="98"/>
    </row>
    <row r="9375" spans="20:20" x14ac:dyDescent="0.25">
      <c r="T9375" s="98"/>
    </row>
    <row r="9376" spans="20:20" x14ac:dyDescent="0.25">
      <c r="T9376" s="98"/>
    </row>
    <row r="9377" spans="20:20" x14ac:dyDescent="0.25">
      <c r="T9377" s="98"/>
    </row>
    <row r="9378" spans="20:20" x14ac:dyDescent="0.25">
      <c r="T9378" s="98"/>
    </row>
    <row r="9379" spans="20:20" x14ac:dyDescent="0.25">
      <c r="T9379" s="98"/>
    </row>
    <row r="9380" spans="20:20" x14ac:dyDescent="0.25">
      <c r="T9380" s="98"/>
    </row>
    <row r="9381" spans="20:20" x14ac:dyDescent="0.25">
      <c r="T9381" s="98"/>
    </row>
    <row r="9382" spans="20:20" x14ac:dyDescent="0.25">
      <c r="T9382" s="98"/>
    </row>
    <row r="9383" spans="20:20" x14ac:dyDescent="0.25">
      <c r="T9383" s="98"/>
    </row>
    <row r="9384" spans="20:20" x14ac:dyDescent="0.25">
      <c r="T9384" s="98"/>
    </row>
    <row r="9385" spans="20:20" x14ac:dyDescent="0.25">
      <c r="T9385" s="98"/>
    </row>
    <row r="9386" spans="20:20" x14ac:dyDescent="0.25">
      <c r="T9386" s="98"/>
    </row>
    <row r="9387" spans="20:20" x14ac:dyDescent="0.25">
      <c r="T9387" s="98"/>
    </row>
    <row r="9388" spans="20:20" x14ac:dyDescent="0.25">
      <c r="T9388" s="98"/>
    </row>
    <row r="9389" spans="20:20" x14ac:dyDescent="0.25">
      <c r="T9389" s="98"/>
    </row>
    <row r="9390" spans="20:20" x14ac:dyDescent="0.25">
      <c r="T9390" s="98"/>
    </row>
    <row r="9391" spans="20:20" x14ac:dyDescent="0.25">
      <c r="T9391" s="98"/>
    </row>
    <row r="9392" spans="20:20" x14ac:dyDescent="0.25">
      <c r="T9392" s="98"/>
    </row>
    <row r="9393" spans="20:20" x14ac:dyDescent="0.25">
      <c r="T9393" s="98"/>
    </row>
    <row r="9394" spans="20:20" x14ac:dyDescent="0.25">
      <c r="T9394" s="98"/>
    </row>
    <row r="9395" spans="20:20" x14ac:dyDescent="0.25">
      <c r="T9395" s="98"/>
    </row>
    <row r="9396" spans="20:20" x14ac:dyDescent="0.25">
      <c r="T9396" s="98"/>
    </row>
    <row r="9397" spans="20:20" x14ac:dyDescent="0.25">
      <c r="T9397" s="98"/>
    </row>
    <row r="9398" spans="20:20" x14ac:dyDescent="0.25">
      <c r="T9398" s="98"/>
    </row>
    <row r="9399" spans="20:20" x14ac:dyDescent="0.25">
      <c r="T9399" s="98"/>
    </row>
    <row r="9400" spans="20:20" x14ac:dyDescent="0.25">
      <c r="T9400" s="98"/>
    </row>
    <row r="9401" spans="20:20" x14ac:dyDescent="0.25">
      <c r="T9401" s="98"/>
    </row>
    <row r="9402" spans="20:20" x14ac:dyDescent="0.25">
      <c r="T9402" s="98"/>
    </row>
    <row r="9403" spans="20:20" x14ac:dyDescent="0.25">
      <c r="T9403" s="98"/>
    </row>
    <row r="9404" spans="20:20" x14ac:dyDescent="0.25">
      <c r="T9404" s="98"/>
    </row>
    <row r="9405" spans="20:20" x14ac:dyDescent="0.25">
      <c r="T9405" s="98"/>
    </row>
    <row r="9406" spans="20:20" x14ac:dyDescent="0.25">
      <c r="T9406" s="98"/>
    </row>
    <row r="9407" spans="20:20" x14ac:dyDescent="0.25">
      <c r="T9407" s="98"/>
    </row>
    <row r="9408" spans="20:20" x14ac:dyDescent="0.25">
      <c r="T9408" s="98"/>
    </row>
    <row r="9409" spans="20:20" x14ac:dyDescent="0.25">
      <c r="T9409" s="98"/>
    </row>
    <row r="9410" spans="20:20" x14ac:dyDescent="0.25">
      <c r="T9410" s="98"/>
    </row>
    <row r="9411" spans="20:20" x14ac:dyDescent="0.25">
      <c r="T9411" s="98"/>
    </row>
    <row r="9412" spans="20:20" x14ac:dyDescent="0.25">
      <c r="T9412" s="98"/>
    </row>
    <row r="9413" spans="20:20" x14ac:dyDescent="0.25">
      <c r="T9413" s="98"/>
    </row>
    <row r="9414" spans="20:20" x14ac:dyDescent="0.25">
      <c r="T9414" s="98"/>
    </row>
    <row r="9415" spans="20:20" x14ac:dyDescent="0.25">
      <c r="T9415" s="98"/>
    </row>
    <row r="9416" spans="20:20" x14ac:dyDescent="0.25">
      <c r="T9416" s="98"/>
    </row>
    <row r="9417" spans="20:20" x14ac:dyDescent="0.25">
      <c r="T9417" s="98"/>
    </row>
    <row r="9418" spans="20:20" x14ac:dyDescent="0.25">
      <c r="T9418" s="98"/>
    </row>
    <row r="9419" spans="20:20" x14ac:dyDescent="0.25">
      <c r="T9419" s="98"/>
    </row>
    <row r="9420" spans="20:20" x14ac:dyDescent="0.25">
      <c r="T9420" s="98"/>
    </row>
    <row r="9421" spans="20:20" x14ac:dyDescent="0.25">
      <c r="T9421" s="98"/>
    </row>
    <row r="9422" spans="20:20" x14ac:dyDescent="0.25">
      <c r="T9422" s="98"/>
    </row>
    <row r="9423" spans="20:20" x14ac:dyDescent="0.25">
      <c r="T9423" s="98"/>
    </row>
    <row r="9424" spans="20:20" x14ac:dyDescent="0.25">
      <c r="T9424" s="98"/>
    </row>
    <row r="9425" spans="20:20" x14ac:dyDescent="0.25">
      <c r="T9425" s="98"/>
    </row>
    <row r="9426" spans="20:20" x14ac:dyDescent="0.25">
      <c r="T9426" s="98"/>
    </row>
    <row r="9427" spans="20:20" x14ac:dyDescent="0.25">
      <c r="T9427" s="98"/>
    </row>
    <row r="9428" spans="20:20" x14ac:dyDescent="0.25">
      <c r="T9428" s="98"/>
    </row>
    <row r="9429" spans="20:20" x14ac:dyDescent="0.25">
      <c r="T9429" s="98"/>
    </row>
    <row r="9430" spans="20:20" x14ac:dyDescent="0.25">
      <c r="T9430" s="98"/>
    </row>
    <row r="9431" spans="20:20" x14ac:dyDescent="0.25">
      <c r="T9431" s="98"/>
    </row>
    <row r="9432" spans="20:20" x14ac:dyDescent="0.25">
      <c r="T9432" s="98"/>
    </row>
    <row r="9433" spans="20:20" x14ac:dyDescent="0.25">
      <c r="T9433" s="98"/>
    </row>
    <row r="9434" spans="20:20" x14ac:dyDescent="0.25">
      <c r="T9434" s="98"/>
    </row>
    <row r="9435" spans="20:20" x14ac:dyDescent="0.25">
      <c r="T9435" s="98"/>
    </row>
    <row r="9436" spans="20:20" x14ac:dyDescent="0.25">
      <c r="T9436" s="98"/>
    </row>
    <row r="9437" spans="20:20" x14ac:dyDescent="0.25">
      <c r="T9437" s="98"/>
    </row>
    <row r="9438" spans="20:20" x14ac:dyDescent="0.25">
      <c r="T9438" s="98"/>
    </row>
    <row r="9439" spans="20:20" x14ac:dyDescent="0.25">
      <c r="T9439" s="98"/>
    </row>
    <row r="9440" spans="20:20" x14ac:dyDescent="0.25">
      <c r="T9440" s="98"/>
    </row>
    <row r="9441" spans="20:20" x14ac:dyDescent="0.25">
      <c r="T9441" s="98"/>
    </row>
    <row r="9442" spans="20:20" x14ac:dyDescent="0.25">
      <c r="T9442" s="98"/>
    </row>
    <row r="9443" spans="20:20" x14ac:dyDescent="0.25">
      <c r="T9443" s="98"/>
    </row>
    <row r="9444" spans="20:20" x14ac:dyDescent="0.25">
      <c r="T9444" s="98"/>
    </row>
    <row r="9445" spans="20:20" x14ac:dyDescent="0.25">
      <c r="T9445" s="98"/>
    </row>
    <row r="9446" spans="20:20" x14ac:dyDescent="0.25">
      <c r="T9446" s="98"/>
    </row>
    <row r="9447" spans="20:20" x14ac:dyDescent="0.25">
      <c r="T9447" s="98"/>
    </row>
    <row r="9448" spans="20:20" x14ac:dyDescent="0.25">
      <c r="T9448" s="98"/>
    </row>
    <row r="9449" spans="20:20" x14ac:dyDescent="0.25">
      <c r="T9449" s="98"/>
    </row>
    <row r="9450" spans="20:20" x14ac:dyDescent="0.25">
      <c r="T9450" s="98"/>
    </row>
    <row r="9451" spans="20:20" x14ac:dyDescent="0.25">
      <c r="T9451" s="98"/>
    </row>
    <row r="9452" spans="20:20" x14ac:dyDescent="0.25">
      <c r="T9452" s="98"/>
    </row>
    <row r="9453" spans="20:20" x14ac:dyDescent="0.25">
      <c r="T9453" s="98"/>
    </row>
    <row r="9454" spans="20:20" x14ac:dyDescent="0.25">
      <c r="T9454" s="98"/>
    </row>
    <row r="9455" spans="20:20" x14ac:dyDescent="0.25">
      <c r="T9455" s="98"/>
    </row>
    <row r="9456" spans="20:20" x14ac:dyDescent="0.25">
      <c r="T9456" s="98"/>
    </row>
    <row r="9457" spans="20:20" x14ac:dyDescent="0.25">
      <c r="T9457" s="98"/>
    </row>
    <row r="9458" spans="20:20" x14ac:dyDescent="0.25">
      <c r="T9458" s="98"/>
    </row>
    <row r="9459" spans="20:20" x14ac:dyDescent="0.25">
      <c r="T9459" s="98"/>
    </row>
    <row r="9460" spans="20:20" x14ac:dyDescent="0.25">
      <c r="T9460" s="98"/>
    </row>
    <row r="9461" spans="20:20" x14ac:dyDescent="0.25">
      <c r="T9461" s="98"/>
    </row>
    <row r="9462" spans="20:20" x14ac:dyDescent="0.25">
      <c r="T9462" s="98"/>
    </row>
    <row r="9463" spans="20:20" x14ac:dyDescent="0.25">
      <c r="T9463" s="98"/>
    </row>
    <row r="9464" spans="20:20" x14ac:dyDescent="0.25">
      <c r="T9464" s="98"/>
    </row>
    <row r="9465" spans="20:20" x14ac:dyDescent="0.25">
      <c r="T9465" s="98"/>
    </row>
    <row r="9466" spans="20:20" x14ac:dyDescent="0.25">
      <c r="T9466" s="98"/>
    </row>
    <row r="9467" spans="20:20" x14ac:dyDescent="0.25">
      <c r="T9467" s="98"/>
    </row>
    <row r="9468" spans="20:20" x14ac:dyDescent="0.25">
      <c r="T9468" s="98"/>
    </row>
    <row r="9469" spans="20:20" x14ac:dyDescent="0.25">
      <c r="T9469" s="98"/>
    </row>
    <row r="9470" spans="20:20" x14ac:dyDescent="0.25">
      <c r="T9470" s="98"/>
    </row>
    <row r="9471" spans="20:20" x14ac:dyDescent="0.25">
      <c r="T9471" s="98"/>
    </row>
    <row r="9472" spans="20:20" x14ac:dyDescent="0.25">
      <c r="T9472" s="98"/>
    </row>
    <row r="9473" spans="20:20" x14ac:dyDescent="0.25">
      <c r="T9473" s="98"/>
    </row>
    <row r="9474" spans="20:20" x14ac:dyDescent="0.25">
      <c r="T9474" s="98"/>
    </row>
    <row r="9475" spans="20:20" x14ac:dyDescent="0.25">
      <c r="T9475" s="98"/>
    </row>
    <row r="9476" spans="20:20" x14ac:dyDescent="0.25">
      <c r="T9476" s="98"/>
    </row>
    <row r="9477" spans="20:20" x14ac:dyDescent="0.25">
      <c r="T9477" s="98"/>
    </row>
    <row r="9478" spans="20:20" x14ac:dyDescent="0.25">
      <c r="T9478" s="98"/>
    </row>
    <row r="9479" spans="20:20" x14ac:dyDescent="0.25">
      <c r="T9479" s="98"/>
    </row>
    <row r="9480" spans="20:20" x14ac:dyDescent="0.25">
      <c r="T9480" s="98"/>
    </row>
    <row r="9481" spans="20:20" x14ac:dyDescent="0.25">
      <c r="T9481" s="98"/>
    </row>
    <row r="9482" spans="20:20" x14ac:dyDescent="0.25">
      <c r="T9482" s="98"/>
    </row>
    <row r="9483" spans="20:20" x14ac:dyDescent="0.25">
      <c r="T9483" s="98"/>
    </row>
    <row r="9484" spans="20:20" x14ac:dyDescent="0.25">
      <c r="T9484" s="98"/>
    </row>
    <row r="9485" spans="20:20" x14ac:dyDescent="0.25">
      <c r="T9485" s="98"/>
    </row>
    <row r="9486" spans="20:20" x14ac:dyDescent="0.25">
      <c r="T9486" s="98"/>
    </row>
    <row r="9487" spans="20:20" x14ac:dyDescent="0.25">
      <c r="T9487" s="98"/>
    </row>
    <row r="9488" spans="20:20" x14ac:dyDescent="0.25">
      <c r="T9488" s="98"/>
    </row>
    <row r="9489" spans="20:20" x14ac:dyDescent="0.25">
      <c r="T9489" s="98"/>
    </row>
    <row r="9490" spans="20:20" x14ac:dyDescent="0.25">
      <c r="T9490" s="98"/>
    </row>
    <row r="9491" spans="20:20" x14ac:dyDescent="0.25">
      <c r="T9491" s="98"/>
    </row>
    <row r="9492" spans="20:20" x14ac:dyDescent="0.25">
      <c r="T9492" s="98"/>
    </row>
    <row r="9493" spans="20:20" x14ac:dyDescent="0.25">
      <c r="T9493" s="98"/>
    </row>
    <row r="9494" spans="20:20" x14ac:dyDescent="0.25">
      <c r="T9494" s="98"/>
    </row>
    <row r="9495" spans="20:20" x14ac:dyDescent="0.25">
      <c r="T9495" s="98"/>
    </row>
    <row r="9496" spans="20:20" x14ac:dyDescent="0.25">
      <c r="T9496" s="98"/>
    </row>
    <row r="9497" spans="20:20" x14ac:dyDescent="0.25">
      <c r="T9497" s="98"/>
    </row>
    <row r="9498" spans="20:20" x14ac:dyDescent="0.25">
      <c r="T9498" s="98"/>
    </row>
    <row r="9499" spans="20:20" x14ac:dyDescent="0.25">
      <c r="T9499" s="98"/>
    </row>
    <row r="9500" spans="20:20" x14ac:dyDescent="0.25">
      <c r="T9500" s="98"/>
    </row>
    <row r="9501" spans="20:20" x14ac:dyDescent="0.25">
      <c r="T9501" s="98"/>
    </row>
    <row r="9502" spans="20:20" x14ac:dyDescent="0.25">
      <c r="T9502" s="98"/>
    </row>
    <row r="9503" spans="20:20" x14ac:dyDescent="0.25">
      <c r="T9503" s="98"/>
    </row>
    <row r="9504" spans="20:20" x14ac:dyDescent="0.25">
      <c r="T9504" s="98"/>
    </row>
    <row r="9505" spans="20:20" x14ac:dyDescent="0.25">
      <c r="T9505" s="98"/>
    </row>
    <row r="9506" spans="20:20" x14ac:dyDescent="0.25">
      <c r="T9506" s="98"/>
    </row>
    <row r="9507" spans="20:20" x14ac:dyDescent="0.25">
      <c r="T9507" s="98"/>
    </row>
    <row r="9508" spans="20:20" x14ac:dyDescent="0.25">
      <c r="T9508" s="98"/>
    </row>
    <row r="9509" spans="20:20" x14ac:dyDescent="0.25">
      <c r="T9509" s="98"/>
    </row>
    <row r="9510" spans="20:20" x14ac:dyDescent="0.25">
      <c r="T9510" s="98"/>
    </row>
    <row r="9511" spans="20:20" x14ac:dyDescent="0.25">
      <c r="T9511" s="98"/>
    </row>
    <row r="9512" spans="20:20" x14ac:dyDescent="0.25">
      <c r="T9512" s="98"/>
    </row>
    <row r="9513" spans="20:20" x14ac:dyDescent="0.25">
      <c r="T9513" s="98"/>
    </row>
    <row r="9514" spans="20:20" x14ac:dyDescent="0.25">
      <c r="T9514" s="98"/>
    </row>
    <row r="9515" spans="20:20" x14ac:dyDescent="0.25">
      <c r="T9515" s="98"/>
    </row>
    <row r="9516" spans="20:20" x14ac:dyDescent="0.25">
      <c r="T9516" s="98"/>
    </row>
    <row r="9517" spans="20:20" x14ac:dyDescent="0.25">
      <c r="T9517" s="98"/>
    </row>
    <row r="9518" spans="20:20" x14ac:dyDescent="0.25">
      <c r="T9518" s="98"/>
    </row>
    <row r="9519" spans="20:20" x14ac:dyDescent="0.25">
      <c r="T9519" s="98"/>
    </row>
    <row r="9520" spans="20:20" x14ac:dyDescent="0.25">
      <c r="T9520" s="98"/>
    </row>
    <row r="9521" spans="20:20" x14ac:dyDescent="0.25">
      <c r="T9521" s="98"/>
    </row>
    <row r="9522" spans="20:20" x14ac:dyDescent="0.25">
      <c r="T9522" s="98"/>
    </row>
    <row r="9523" spans="20:20" x14ac:dyDescent="0.25">
      <c r="T9523" s="98"/>
    </row>
    <row r="9524" spans="20:20" x14ac:dyDescent="0.25">
      <c r="T9524" s="98"/>
    </row>
    <row r="9525" spans="20:20" x14ac:dyDescent="0.25">
      <c r="T9525" s="98"/>
    </row>
    <row r="9526" spans="20:20" x14ac:dyDescent="0.25">
      <c r="T9526" s="98"/>
    </row>
    <row r="9527" spans="20:20" x14ac:dyDescent="0.25">
      <c r="T9527" s="98"/>
    </row>
    <row r="9528" spans="20:20" x14ac:dyDescent="0.25">
      <c r="T9528" s="98"/>
    </row>
    <row r="9529" spans="20:20" x14ac:dyDescent="0.25">
      <c r="T9529" s="98"/>
    </row>
    <row r="9530" spans="20:20" x14ac:dyDescent="0.25">
      <c r="T9530" s="98"/>
    </row>
    <row r="9531" spans="20:20" x14ac:dyDescent="0.25">
      <c r="T9531" s="98"/>
    </row>
    <row r="9532" spans="20:20" x14ac:dyDescent="0.25">
      <c r="T9532" s="98"/>
    </row>
    <row r="9533" spans="20:20" x14ac:dyDescent="0.25">
      <c r="T9533" s="98"/>
    </row>
    <row r="9534" spans="20:20" x14ac:dyDescent="0.25">
      <c r="T9534" s="98"/>
    </row>
    <row r="9535" spans="20:20" x14ac:dyDescent="0.25">
      <c r="T9535" s="98"/>
    </row>
    <row r="9536" spans="20:20" x14ac:dyDescent="0.25">
      <c r="T9536" s="98"/>
    </row>
    <row r="9537" spans="20:20" x14ac:dyDescent="0.25">
      <c r="T9537" s="98"/>
    </row>
    <row r="9538" spans="20:20" x14ac:dyDescent="0.25">
      <c r="T9538" s="98"/>
    </row>
    <row r="9539" spans="20:20" x14ac:dyDescent="0.25">
      <c r="T9539" s="98"/>
    </row>
    <row r="9540" spans="20:20" x14ac:dyDescent="0.25">
      <c r="T9540" s="98"/>
    </row>
    <row r="9541" spans="20:20" x14ac:dyDescent="0.25">
      <c r="T9541" s="98"/>
    </row>
    <row r="9542" spans="20:20" x14ac:dyDescent="0.25">
      <c r="T9542" s="98"/>
    </row>
    <row r="9543" spans="20:20" x14ac:dyDescent="0.25">
      <c r="T9543" s="98"/>
    </row>
    <row r="9544" spans="20:20" x14ac:dyDescent="0.25">
      <c r="T9544" s="98"/>
    </row>
    <row r="9545" spans="20:20" x14ac:dyDescent="0.25">
      <c r="T9545" s="98"/>
    </row>
    <row r="9546" spans="20:20" x14ac:dyDescent="0.25">
      <c r="T9546" s="98"/>
    </row>
    <row r="9547" spans="20:20" x14ac:dyDescent="0.25">
      <c r="T9547" s="98"/>
    </row>
    <row r="9548" spans="20:20" x14ac:dyDescent="0.25">
      <c r="T9548" s="98"/>
    </row>
    <row r="9549" spans="20:20" x14ac:dyDescent="0.25">
      <c r="T9549" s="98"/>
    </row>
    <row r="9550" spans="20:20" x14ac:dyDescent="0.25">
      <c r="T9550" s="98"/>
    </row>
    <row r="9551" spans="20:20" x14ac:dyDescent="0.25">
      <c r="T9551" s="98"/>
    </row>
    <row r="9552" spans="20:20" x14ac:dyDescent="0.25">
      <c r="T9552" s="98"/>
    </row>
    <row r="9553" spans="20:20" x14ac:dyDescent="0.25">
      <c r="T9553" s="98"/>
    </row>
    <row r="9554" spans="20:20" x14ac:dyDescent="0.25">
      <c r="T9554" s="98"/>
    </row>
    <row r="9555" spans="20:20" x14ac:dyDescent="0.25">
      <c r="T9555" s="98"/>
    </row>
    <row r="9556" spans="20:20" x14ac:dyDescent="0.25">
      <c r="T9556" s="98"/>
    </row>
    <row r="9557" spans="20:20" x14ac:dyDescent="0.25">
      <c r="T9557" s="98"/>
    </row>
    <row r="9558" spans="20:20" x14ac:dyDescent="0.25">
      <c r="T9558" s="98"/>
    </row>
    <row r="9559" spans="20:20" x14ac:dyDescent="0.25">
      <c r="T9559" s="98"/>
    </row>
    <row r="9560" spans="20:20" x14ac:dyDescent="0.25">
      <c r="T9560" s="98"/>
    </row>
    <row r="9561" spans="20:20" x14ac:dyDescent="0.25">
      <c r="T9561" s="98"/>
    </row>
    <row r="9562" spans="20:20" x14ac:dyDescent="0.25">
      <c r="T9562" s="98"/>
    </row>
    <row r="9563" spans="20:20" x14ac:dyDescent="0.25">
      <c r="T9563" s="98"/>
    </row>
    <row r="9564" spans="20:20" x14ac:dyDescent="0.25">
      <c r="T9564" s="98"/>
    </row>
    <row r="9565" spans="20:20" x14ac:dyDescent="0.25">
      <c r="T9565" s="98"/>
    </row>
    <row r="9566" spans="20:20" x14ac:dyDescent="0.25">
      <c r="T9566" s="98"/>
    </row>
    <row r="9567" spans="20:20" x14ac:dyDescent="0.25">
      <c r="T9567" s="98"/>
    </row>
    <row r="9568" spans="20:20" x14ac:dyDescent="0.25">
      <c r="T9568" s="98"/>
    </row>
    <row r="9569" spans="20:20" x14ac:dyDescent="0.25">
      <c r="T9569" s="98"/>
    </row>
    <row r="9570" spans="20:20" x14ac:dyDescent="0.25">
      <c r="T9570" s="98"/>
    </row>
    <row r="9571" spans="20:20" x14ac:dyDescent="0.25">
      <c r="T9571" s="98"/>
    </row>
    <row r="9572" spans="20:20" x14ac:dyDescent="0.25">
      <c r="T9572" s="98"/>
    </row>
    <row r="9573" spans="20:20" x14ac:dyDescent="0.25">
      <c r="T9573" s="98"/>
    </row>
    <row r="9574" spans="20:20" x14ac:dyDescent="0.25">
      <c r="T9574" s="98"/>
    </row>
    <row r="9575" spans="20:20" x14ac:dyDescent="0.25">
      <c r="T9575" s="98"/>
    </row>
    <row r="9576" spans="20:20" x14ac:dyDescent="0.25">
      <c r="T9576" s="98"/>
    </row>
    <row r="9577" spans="20:20" x14ac:dyDescent="0.25">
      <c r="T9577" s="98"/>
    </row>
    <row r="9578" spans="20:20" x14ac:dyDescent="0.25">
      <c r="T9578" s="98"/>
    </row>
    <row r="9579" spans="20:20" x14ac:dyDescent="0.25">
      <c r="T9579" s="98"/>
    </row>
    <row r="9580" spans="20:20" x14ac:dyDescent="0.25">
      <c r="T9580" s="98"/>
    </row>
    <row r="9581" spans="20:20" x14ac:dyDescent="0.25">
      <c r="T9581" s="98"/>
    </row>
    <row r="9582" spans="20:20" x14ac:dyDescent="0.25">
      <c r="T9582" s="98"/>
    </row>
    <row r="9583" spans="20:20" x14ac:dyDescent="0.25">
      <c r="T9583" s="98"/>
    </row>
    <row r="9584" spans="20:20" x14ac:dyDescent="0.25">
      <c r="T9584" s="98"/>
    </row>
    <row r="9585" spans="20:20" x14ac:dyDescent="0.25">
      <c r="T9585" s="98"/>
    </row>
    <row r="9586" spans="20:20" x14ac:dyDescent="0.25">
      <c r="T9586" s="98"/>
    </row>
    <row r="9587" spans="20:20" x14ac:dyDescent="0.25">
      <c r="T9587" s="98"/>
    </row>
    <row r="9588" spans="20:20" x14ac:dyDescent="0.25">
      <c r="T9588" s="98"/>
    </row>
    <row r="9589" spans="20:20" x14ac:dyDescent="0.25">
      <c r="T9589" s="98"/>
    </row>
    <row r="9590" spans="20:20" x14ac:dyDescent="0.25">
      <c r="T9590" s="98"/>
    </row>
    <row r="9591" spans="20:20" x14ac:dyDescent="0.25">
      <c r="T9591" s="98"/>
    </row>
    <row r="9592" spans="20:20" x14ac:dyDescent="0.25">
      <c r="T9592" s="98"/>
    </row>
    <row r="9593" spans="20:20" x14ac:dyDescent="0.25">
      <c r="T9593" s="98"/>
    </row>
    <row r="9594" spans="20:20" x14ac:dyDescent="0.25">
      <c r="T9594" s="98"/>
    </row>
    <row r="9595" spans="20:20" x14ac:dyDescent="0.25">
      <c r="T9595" s="98"/>
    </row>
    <row r="9596" spans="20:20" x14ac:dyDescent="0.25">
      <c r="T9596" s="98"/>
    </row>
    <row r="9597" spans="20:20" x14ac:dyDescent="0.25">
      <c r="T9597" s="98"/>
    </row>
    <row r="9598" spans="20:20" x14ac:dyDescent="0.25">
      <c r="T9598" s="98"/>
    </row>
    <row r="9599" spans="20:20" x14ac:dyDescent="0.25">
      <c r="T9599" s="98"/>
    </row>
    <row r="9600" spans="20:20" x14ac:dyDescent="0.25">
      <c r="T9600" s="98"/>
    </row>
    <row r="9601" spans="20:20" x14ac:dyDescent="0.25">
      <c r="T9601" s="98"/>
    </row>
    <row r="9602" spans="20:20" x14ac:dyDescent="0.25">
      <c r="T9602" s="98"/>
    </row>
    <row r="9603" spans="20:20" x14ac:dyDescent="0.25">
      <c r="T9603" s="98"/>
    </row>
    <row r="9604" spans="20:20" x14ac:dyDescent="0.25">
      <c r="T9604" s="98"/>
    </row>
    <row r="9605" spans="20:20" x14ac:dyDescent="0.25">
      <c r="T9605" s="98"/>
    </row>
    <row r="9606" spans="20:20" x14ac:dyDescent="0.25">
      <c r="T9606" s="98"/>
    </row>
    <row r="9607" spans="20:20" x14ac:dyDescent="0.25">
      <c r="T9607" s="98"/>
    </row>
    <row r="9608" spans="20:20" x14ac:dyDescent="0.25">
      <c r="T9608" s="98"/>
    </row>
    <row r="9609" spans="20:20" x14ac:dyDescent="0.25">
      <c r="T9609" s="98"/>
    </row>
    <row r="9610" spans="20:20" x14ac:dyDescent="0.25">
      <c r="T9610" s="98"/>
    </row>
    <row r="9611" spans="20:20" x14ac:dyDescent="0.25">
      <c r="T9611" s="98"/>
    </row>
    <row r="9612" spans="20:20" x14ac:dyDescent="0.25">
      <c r="T9612" s="98"/>
    </row>
    <row r="9613" spans="20:20" x14ac:dyDescent="0.25">
      <c r="T9613" s="98"/>
    </row>
    <row r="9614" spans="20:20" x14ac:dyDescent="0.25">
      <c r="T9614" s="98"/>
    </row>
    <row r="9615" spans="20:20" x14ac:dyDescent="0.25">
      <c r="T9615" s="98"/>
    </row>
    <row r="9616" spans="20:20" x14ac:dyDescent="0.25">
      <c r="T9616" s="98"/>
    </row>
    <row r="9617" spans="20:20" x14ac:dyDescent="0.25">
      <c r="T9617" s="98"/>
    </row>
    <row r="9618" spans="20:20" x14ac:dyDescent="0.25">
      <c r="T9618" s="98"/>
    </row>
    <row r="9619" spans="20:20" x14ac:dyDescent="0.25">
      <c r="T9619" s="98"/>
    </row>
    <row r="9620" spans="20:20" x14ac:dyDescent="0.25">
      <c r="T9620" s="98"/>
    </row>
    <row r="9621" spans="20:20" x14ac:dyDescent="0.25">
      <c r="T9621" s="98"/>
    </row>
    <row r="9622" spans="20:20" x14ac:dyDescent="0.25">
      <c r="T9622" s="98"/>
    </row>
    <row r="9623" spans="20:20" x14ac:dyDescent="0.25">
      <c r="T9623" s="98"/>
    </row>
    <row r="9624" spans="20:20" x14ac:dyDescent="0.25">
      <c r="T9624" s="98"/>
    </row>
    <row r="9625" spans="20:20" x14ac:dyDescent="0.25">
      <c r="T9625" s="98"/>
    </row>
    <row r="9626" spans="20:20" x14ac:dyDescent="0.25">
      <c r="T9626" s="98"/>
    </row>
    <row r="9627" spans="20:20" x14ac:dyDescent="0.25">
      <c r="T9627" s="98"/>
    </row>
    <row r="9628" spans="20:20" x14ac:dyDescent="0.25">
      <c r="T9628" s="98"/>
    </row>
    <row r="9629" spans="20:20" x14ac:dyDescent="0.25">
      <c r="T9629" s="98"/>
    </row>
    <row r="9630" spans="20:20" x14ac:dyDescent="0.25">
      <c r="T9630" s="98"/>
    </row>
    <row r="9631" spans="20:20" x14ac:dyDescent="0.25">
      <c r="T9631" s="98"/>
    </row>
    <row r="9632" spans="20:20" x14ac:dyDescent="0.25">
      <c r="T9632" s="98"/>
    </row>
    <row r="9633" spans="20:20" x14ac:dyDescent="0.25">
      <c r="T9633" s="98"/>
    </row>
    <row r="9634" spans="20:20" x14ac:dyDescent="0.25">
      <c r="T9634" s="98"/>
    </row>
    <row r="9635" spans="20:20" x14ac:dyDescent="0.25">
      <c r="T9635" s="98"/>
    </row>
    <row r="9636" spans="20:20" x14ac:dyDescent="0.25">
      <c r="T9636" s="98"/>
    </row>
    <row r="9637" spans="20:20" x14ac:dyDescent="0.25">
      <c r="T9637" s="98"/>
    </row>
    <row r="9638" spans="20:20" x14ac:dyDescent="0.25">
      <c r="T9638" s="98"/>
    </row>
    <row r="9639" spans="20:20" x14ac:dyDescent="0.25">
      <c r="T9639" s="98"/>
    </row>
    <row r="9640" spans="20:20" x14ac:dyDescent="0.25">
      <c r="T9640" s="98"/>
    </row>
    <row r="9641" spans="20:20" x14ac:dyDescent="0.25">
      <c r="T9641" s="98"/>
    </row>
    <row r="9642" spans="20:20" x14ac:dyDescent="0.25">
      <c r="T9642" s="98"/>
    </row>
    <row r="9643" spans="20:20" x14ac:dyDescent="0.25">
      <c r="T9643" s="98"/>
    </row>
    <row r="9644" spans="20:20" x14ac:dyDescent="0.25">
      <c r="T9644" s="98"/>
    </row>
    <row r="9645" spans="20:20" x14ac:dyDescent="0.25">
      <c r="T9645" s="98"/>
    </row>
    <row r="9646" spans="20:20" x14ac:dyDescent="0.25">
      <c r="T9646" s="98"/>
    </row>
    <row r="9647" spans="20:20" x14ac:dyDescent="0.25">
      <c r="T9647" s="98"/>
    </row>
    <row r="9648" spans="20:20" x14ac:dyDescent="0.25">
      <c r="T9648" s="98"/>
    </row>
    <row r="9649" spans="20:20" x14ac:dyDescent="0.25">
      <c r="T9649" s="98"/>
    </row>
    <row r="9650" spans="20:20" x14ac:dyDescent="0.25">
      <c r="T9650" s="98"/>
    </row>
    <row r="9651" spans="20:20" x14ac:dyDescent="0.25">
      <c r="T9651" s="98"/>
    </row>
    <row r="9652" spans="20:20" x14ac:dyDescent="0.25">
      <c r="T9652" s="98"/>
    </row>
    <row r="9653" spans="20:20" x14ac:dyDescent="0.25">
      <c r="T9653" s="98"/>
    </row>
    <row r="9654" spans="20:20" x14ac:dyDescent="0.25">
      <c r="T9654" s="98"/>
    </row>
    <row r="9655" spans="20:20" x14ac:dyDescent="0.25">
      <c r="T9655" s="98"/>
    </row>
    <row r="9656" spans="20:20" x14ac:dyDescent="0.25">
      <c r="T9656" s="98"/>
    </row>
    <row r="9657" spans="20:20" x14ac:dyDescent="0.25">
      <c r="T9657" s="98"/>
    </row>
    <row r="9658" spans="20:20" x14ac:dyDescent="0.25">
      <c r="T9658" s="98"/>
    </row>
    <row r="9659" spans="20:20" x14ac:dyDescent="0.25">
      <c r="T9659" s="98"/>
    </row>
    <row r="9660" spans="20:20" x14ac:dyDescent="0.25">
      <c r="T9660" s="98"/>
    </row>
    <row r="9661" spans="20:20" x14ac:dyDescent="0.25">
      <c r="T9661" s="98"/>
    </row>
    <row r="9662" spans="20:20" x14ac:dyDescent="0.25">
      <c r="T9662" s="98"/>
    </row>
    <row r="9663" spans="20:20" x14ac:dyDescent="0.25">
      <c r="T9663" s="98"/>
    </row>
    <row r="9664" spans="20:20" x14ac:dyDescent="0.25">
      <c r="T9664" s="98"/>
    </row>
    <row r="9665" spans="20:20" x14ac:dyDescent="0.25">
      <c r="T9665" s="98"/>
    </row>
    <row r="9666" spans="20:20" x14ac:dyDescent="0.25">
      <c r="T9666" s="98"/>
    </row>
    <row r="9667" spans="20:20" x14ac:dyDescent="0.25">
      <c r="T9667" s="98"/>
    </row>
    <row r="9668" spans="20:20" x14ac:dyDescent="0.25">
      <c r="T9668" s="98"/>
    </row>
    <row r="9669" spans="20:20" x14ac:dyDescent="0.25">
      <c r="T9669" s="98"/>
    </row>
    <row r="9670" spans="20:20" x14ac:dyDescent="0.25">
      <c r="T9670" s="98"/>
    </row>
    <row r="9671" spans="20:20" x14ac:dyDescent="0.25">
      <c r="T9671" s="98"/>
    </row>
    <row r="9672" spans="20:20" x14ac:dyDescent="0.25">
      <c r="T9672" s="98"/>
    </row>
    <row r="9673" spans="20:20" x14ac:dyDescent="0.25">
      <c r="T9673" s="98"/>
    </row>
    <row r="9674" spans="20:20" x14ac:dyDescent="0.25">
      <c r="T9674" s="98"/>
    </row>
    <row r="9675" spans="20:20" x14ac:dyDescent="0.25">
      <c r="T9675" s="98"/>
    </row>
    <row r="9676" spans="20:20" x14ac:dyDescent="0.25">
      <c r="T9676" s="98"/>
    </row>
    <row r="9677" spans="20:20" x14ac:dyDescent="0.25">
      <c r="T9677" s="98"/>
    </row>
    <row r="9678" spans="20:20" x14ac:dyDescent="0.25">
      <c r="T9678" s="98"/>
    </row>
    <row r="9679" spans="20:20" x14ac:dyDescent="0.25">
      <c r="T9679" s="98"/>
    </row>
    <row r="9680" spans="20:20" x14ac:dyDescent="0.25">
      <c r="T9680" s="98"/>
    </row>
    <row r="9681" spans="20:20" x14ac:dyDescent="0.25">
      <c r="T9681" s="98"/>
    </row>
    <row r="9682" spans="20:20" x14ac:dyDescent="0.25">
      <c r="T9682" s="98"/>
    </row>
    <row r="9683" spans="20:20" x14ac:dyDescent="0.25">
      <c r="T9683" s="98"/>
    </row>
    <row r="9684" spans="20:20" x14ac:dyDescent="0.25">
      <c r="T9684" s="98"/>
    </row>
    <row r="9685" spans="20:20" x14ac:dyDescent="0.25">
      <c r="T9685" s="98"/>
    </row>
    <row r="9686" spans="20:20" x14ac:dyDescent="0.25">
      <c r="T9686" s="98"/>
    </row>
    <row r="9687" spans="20:20" x14ac:dyDescent="0.25">
      <c r="T9687" s="98"/>
    </row>
    <row r="9688" spans="20:20" x14ac:dyDescent="0.25">
      <c r="T9688" s="98"/>
    </row>
    <row r="9689" spans="20:20" x14ac:dyDescent="0.25">
      <c r="T9689" s="98"/>
    </row>
    <row r="9690" spans="20:20" x14ac:dyDescent="0.25">
      <c r="T9690" s="98"/>
    </row>
    <row r="9691" spans="20:20" x14ac:dyDescent="0.25">
      <c r="T9691" s="98"/>
    </row>
    <row r="9692" spans="20:20" x14ac:dyDescent="0.25">
      <c r="T9692" s="98"/>
    </row>
    <row r="9693" spans="20:20" x14ac:dyDescent="0.25">
      <c r="T9693" s="98"/>
    </row>
    <row r="9694" spans="20:20" x14ac:dyDescent="0.25">
      <c r="T9694" s="98"/>
    </row>
    <row r="9695" spans="20:20" x14ac:dyDescent="0.25">
      <c r="T9695" s="98"/>
    </row>
    <row r="9696" spans="20:20" x14ac:dyDescent="0.25">
      <c r="T9696" s="98"/>
    </row>
    <row r="9697" spans="20:20" x14ac:dyDescent="0.25">
      <c r="T9697" s="98"/>
    </row>
    <row r="9698" spans="20:20" x14ac:dyDescent="0.25">
      <c r="T9698" s="98"/>
    </row>
    <row r="9699" spans="20:20" x14ac:dyDescent="0.25">
      <c r="T9699" s="98"/>
    </row>
    <row r="9700" spans="20:20" x14ac:dyDescent="0.25">
      <c r="T9700" s="98"/>
    </row>
    <row r="9701" spans="20:20" x14ac:dyDescent="0.25">
      <c r="T9701" s="98"/>
    </row>
    <row r="9702" spans="20:20" x14ac:dyDescent="0.25">
      <c r="T9702" s="98"/>
    </row>
    <row r="9703" spans="20:20" x14ac:dyDescent="0.25">
      <c r="T9703" s="98"/>
    </row>
    <row r="9704" spans="20:20" x14ac:dyDescent="0.25">
      <c r="T9704" s="98"/>
    </row>
    <row r="9705" spans="20:20" x14ac:dyDescent="0.25">
      <c r="T9705" s="98"/>
    </row>
    <row r="9706" spans="20:20" x14ac:dyDescent="0.25">
      <c r="T9706" s="98"/>
    </row>
    <row r="9707" spans="20:20" x14ac:dyDescent="0.25">
      <c r="T9707" s="98"/>
    </row>
    <row r="9708" spans="20:20" x14ac:dyDescent="0.25">
      <c r="T9708" s="98"/>
    </row>
    <row r="9709" spans="20:20" x14ac:dyDescent="0.25">
      <c r="T9709" s="98"/>
    </row>
    <row r="9710" spans="20:20" x14ac:dyDescent="0.25">
      <c r="T9710" s="98"/>
    </row>
    <row r="9711" spans="20:20" x14ac:dyDescent="0.25">
      <c r="T9711" s="98"/>
    </row>
    <row r="9712" spans="20:20" x14ac:dyDescent="0.25">
      <c r="T9712" s="98"/>
    </row>
    <row r="9713" spans="20:20" x14ac:dyDescent="0.25">
      <c r="T9713" s="98"/>
    </row>
    <row r="9714" spans="20:20" x14ac:dyDescent="0.25">
      <c r="T9714" s="98"/>
    </row>
    <row r="9715" spans="20:20" x14ac:dyDescent="0.25">
      <c r="T9715" s="98"/>
    </row>
    <row r="9716" spans="20:20" x14ac:dyDescent="0.25">
      <c r="T9716" s="98"/>
    </row>
    <row r="9717" spans="20:20" x14ac:dyDescent="0.25">
      <c r="T9717" s="98"/>
    </row>
    <row r="9718" spans="20:20" x14ac:dyDescent="0.25">
      <c r="T9718" s="98"/>
    </row>
    <row r="9719" spans="20:20" x14ac:dyDescent="0.25">
      <c r="T9719" s="98"/>
    </row>
    <row r="9720" spans="20:20" x14ac:dyDescent="0.25">
      <c r="T9720" s="98"/>
    </row>
    <row r="9721" spans="20:20" x14ac:dyDescent="0.25">
      <c r="T9721" s="98"/>
    </row>
    <row r="9722" spans="20:20" x14ac:dyDescent="0.25">
      <c r="T9722" s="98"/>
    </row>
    <row r="9723" spans="20:20" x14ac:dyDescent="0.25">
      <c r="T9723" s="98"/>
    </row>
    <row r="9724" spans="20:20" x14ac:dyDescent="0.25">
      <c r="T9724" s="98"/>
    </row>
    <row r="9725" spans="20:20" x14ac:dyDescent="0.25">
      <c r="T9725" s="98"/>
    </row>
    <row r="9726" spans="20:20" x14ac:dyDescent="0.25">
      <c r="T9726" s="98"/>
    </row>
    <row r="9727" spans="20:20" x14ac:dyDescent="0.25">
      <c r="T9727" s="98"/>
    </row>
    <row r="9728" spans="20:20" x14ac:dyDescent="0.25">
      <c r="T9728" s="98"/>
    </row>
    <row r="9729" spans="20:20" x14ac:dyDescent="0.25">
      <c r="T9729" s="98"/>
    </row>
    <row r="9730" spans="20:20" x14ac:dyDescent="0.25">
      <c r="T9730" s="98"/>
    </row>
    <row r="9731" spans="20:20" x14ac:dyDescent="0.25">
      <c r="T9731" s="98"/>
    </row>
    <row r="9732" spans="20:20" x14ac:dyDescent="0.25">
      <c r="T9732" s="98"/>
    </row>
    <row r="9733" spans="20:20" x14ac:dyDescent="0.25">
      <c r="T9733" s="98"/>
    </row>
    <row r="9734" spans="20:20" x14ac:dyDescent="0.25">
      <c r="T9734" s="98"/>
    </row>
    <row r="9735" spans="20:20" x14ac:dyDescent="0.25">
      <c r="T9735" s="98"/>
    </row>
    <row r="9736" spans="20:20" x14ac:dyDescent="0.25">
      <c r="T9736" s="98"/>
    </row>
    <row r="9737" spans="20:20" x14ac:dyDescent="0.25">
      <c r="T9737" s="98"/>
    </row>
    <row r="9738" spans="20:20" x14ac:dyDescent="0.25">
      <c r="T9738" s="98"/>
    </row>
    <row r="9739" spans="20:20" x14ac:dyDescent="0.25">
      <c r="T9739" s="98"/>
    </row>
    <row r="9740" spans="20:20" x14ac:dyDescent="0.25">
      <c r="T9740" s="98"/>
    </row>
    <row r="9741" spans="20:20" x14ac:dyDescent="0.25">
      <c r="T9741" s="98"/>
    </row>
    <row r="9742" spans="20:20" x14ac:dyDescent="0.25">
      <c r="T9742" s="98"/>
    </row>
    <row r="9743" spans="20:20" x14ac:dyDescent="0.25">
      <c r="T9743" s="98"/>
    </row>
    <row r="9744" spans="20:20" x14ac:dyDescent="0.25">
      <c r="T9744" s="98"/>
    </row>
    <row r="9745" spans="20:20" x14ac:dyDescent="0.25">
      <c r="T9745" s="98"/>
    </row>
    <row r="9746" spans="20:20" x14ac:dyDescent="0.25">
      <c r="T9746" s="98"/>
    </row>
    <row r="9747" spans="20:20" x14ac:dyDescent="0.25">
      <c r="T9747" s="98"/>
    </row>
    <row r="9748" spans="20:20" x14ac:dyDescent="0.25">
      <c r="T9748" s="98"/>
    </row>
    <row r="9749" spans="20:20" x14ac:dyDescent="0.25">
      <c r="T9749" s="98"/>
    </row>
    <row r="9750" spans="20:20" x14ac:dyDescent="0.25">
      <c r="T9750" s="98"/>
    </row>
    <row r="9751" spans="20:20" x14ac:dyDescent="0.25">
      <c r="T9751" s="98"/>
    </row>
    <row r="9752" spans="20:20" x14ac:dyDescent="0.25">
      <c r="T9752" s="98"/>
    </row>
    <row r="9753" spans="20:20" x14ac:dyDescent="0.25">
      <c r="T9753" s="98"/>
    </row>
    <row r="9754" spans="20:20" x14ac:dyDescent="0.25">
      <c r="T9754" s="98"/>
    </row>
    <row r="9755" spans="20:20" x14ac:dyDescent="0.25">
      <c r="T9755" s="98"/>
    </row>
    <row r="9756" spans="20:20" x14ac:dyDescent="0.25">
      <c r="T9756" s="98"/>
    </row>
    <row r="9757" spans="20:20" x14ac:dyDescent="0.25">
      <c r="T9757" s="98"/>
    </row>
    <row r="9758" spans="20:20" x14ac:dyDescent="0.25">
      <c r="T9758" s="98"/>
    </row>
    <row r="9759" spans="20:20" x14ac:dyDescent="0.25">
      <c r="T9759" s="98"/>
    </row>
    <row r="9760" spans="20:20" x14ac:dyDescent="0.25">
      <c r="T9760" s="98"/>
    </row>
    <row r="9761" spans="20:20" x14ac:dyDescent="0.25">
      <c r="T9761" s="98"/>
    </row>
    <row r="9762" spans="20:20" x14ac:dyDescent="0.25">
      <c r="T9762" s="98"/>
    </row>
    <row r="9763" spans="20:20" x14ac:dyDescent="0.25">
      <c r="T9763" s="98"/>
    </row>
    <row r="9764" spans="20:20" x14ac:dyDescent="0.25">
      <c r="T9764" s="98"/>
    </row>
    <row r="9765" spans="20:20" x14ac:dyDescent="0.25">
      <c r="T9765" s="98"/>
    </row>
    <row r="9766" spans="20:20" x14ac:dyDescent="0.25">
      <c r="T9766" s="98"/>
    </row>
    <row r="9767" spans="20:20" x14ac:dyDescent="0.25">
      <c r="T9767" s="98"/>
    </row>
    <row r="9768" spans="20:20" x14ac:dyDescent="0.25">
      <c r="T9768" s="98"/>
    </row>
    <row r="9769" spans="20:20" x14ac:dyDescent="0.25">
      <c r="T9769" s="98"/>
    </row>
    <row r="9770" spans="20:20" x14ac:dyDescent="0.25">
      <c r="T9770" s="98"/>
    </row>
    <row r="9771" spans="20:20" x14ac:dyDescent="0.25">
      <c r="T9771" s="98"/>
    </row>
    <row r="9772" spans="20:20" x14ac:dyDescent="0.25">
      <c r="T9772" s="98"/>
    </row>
    <row r="9773" spans="20:20" x14ac:dyDescent="0.25">
      <c r="T9773" s="98"/>
    </row>
    <row r="9774" spans="20:20" x14ac:dyDescent="0.25">
      <c r="T9774" s="98"/>
    </row>
    <row r="9775" spans="20:20" x14ac:dyDescent="0.25">
      <c r="T9775" s="98"/>
    </row>
    <row r="9776" spans="20:20" x14ac:dyDescent="0.25">
      <c r="T9776" s="98"/>
    </row>
    <row r="9777" spans="20:20" x14ac:dyDescent="0.25">
      <c r="T9777" s="98"/>
    </row>
    <row r="9778" spans="20:20" x14ac:dyDescent="0.25">
      <c r="T9778" s="98"/>
    </row>
    <row r="9779" spans="20:20" x14ac:dyDescent="0.25">
      <c r="T9779" s="98"/>
    </row>
    <row r="9780" spans="20:20" x14ac:dyDescent="0.25">
      <c r="T9780" s="98"/>
    </row>
    <row r="9781" spans="20:20" x14ac:dyDescent="0.25">
      <c r="T9781" s="98"/>
    </row>
    <row r="9782" spans="20:20" x14ac:dyDescent="0.25">
      <c r="T9782" s="98"/>
    </row>
    <row r="9783" spans="20:20" x14ac:dyDescent="0.25">
      <c r="T9783" s="98"/>
    </row>
    <row r="9784" spans="20:20" x14ac:dyDescent="0.25">
      <c r="T9784" s="98"/>
    </row>
    <row r="9785" spans="20:20" x14ac:dyDescent="0.25">
      <c r="T9785" s="98"/>
    </row>
    <row r="9786" spans="20:20" x14ac:dyDescent="0.25">
      <c r="T9786" s="98"/>
    </row>
    <row r="9787" spans="20:20" x14ac:dyDescent="0.25">
      <c r="T9787" s="98"/>
    </row>
    <row r="9788" spans="20:20" x14ac:dyDescent="0.25">
      <c r="T9788" s="98"/>
    </row>
    <row r="9789" spans="20:20" x14ac:dyDescent="0.25">
      <c r="T9789" s="98"/>
    </row>
    <row r="9790" spans="20:20" x14ac:dyDescent="0.25">
      <c r="T9790" s="98"/>
    </row>
    <row r="9791" spans="20:20" x14ac:dyDescent="0.25">
      <c r="T9791" s="98"/>
    </row>
    <row r="9792" spans="20:20" x14ac:dyDescent="0.25">
      <c r="T9792" s="98"/>
    </row>
    <row r="9793" spans="20:20" x14ac:dyDescent="0.25">
      <c r="T9793" s="98"/>
    </row>
    <row r="9794" spans="20:20" x14ac:dyDescent="0.25">
      <c r="T9794" s="98"/>
    </row>
    <row r="9795" spans="20:20" x14ac:dyDescent="0.25">
      <c r="T9795" s="98"/>
    </row>
    <row r="9796" spans="20:20" x14ac:dyDescent="0.25">
      <c r="T9796" s="98"/>
    </row>
    <row r="9797" spans="20:20" x14ac:dyDescent="0.25">
      <c r="T9797" s="98"/>
    </row>
    <row r="9798" spans="20:20" x14ac:dyDescent="0.25">
      <c r="T9798" s="98"/>
    </row>
    <row r="9799" spans="20:20" x14ac:dyDescent="0.25">
      <c r="T9799" s="98"/>
    </row>
    <row r="9800" spans="20:20" x14ac:dyDescent="0.25">
      <c r="T9800" s="98"/>
    </row>
    <row r="9801" spans="20:20" x14ac:dyDescent="0.25">
      <c r="T9801" s="98"/>
    </row>
    <row r="9802" spans="20:20" x14ac:dyDescent="0.25">
      <c r="T9802" s="98"/>
    </row>
    <row r="9803" spans="20:20" x14ac:dyDescent="0.25">
      <c r="T9803" s="98"/>
    </row>
    <row r="9804" spans="20:20" x14ac:dyDescent="0.25">
      <c r="T9804" s="98"/>
    </row>
    <row r="9805" spans="20:20" x14ac:dyDescent="0.25">
      <c r="T9805" s="98"/>
    </row>
    <row r="9806" spans="20:20" x14ac:dyDescent="0.25">
      <c r="T9806" s="98"/>
    </row>
    <row r="9807" spans="20:20" x14ac:dyDescent="0.25">
      <c r="T9807" s="98"/>
    </row>
    <row r="9808" spans="20:20" x14ac:dyDescent="0.25">
      <c r="T9808" s="98"/>
    </row>
    <row r="9809" spans="20:20" x14ac:dyDescent="0.25">
      <c r="T9809" s="98"/>
    </row>
    <row r="9810" spans="20:20" x14ac:dyDescent="0.25">
      <c r="T9810" s="98"/>
    </row>
    <row r="9811" spans="20:20" x14ac:dyDescent="0.25">
      <c r="T9811" s="98"/>
    </row>
    <row r="9812" spans="20:20" x14ac:dyDescent="0.25">
      <c r="T9812" s="98"/>
    </row>
    <row r="9813" spans="20:20" x14ac:dyDescent="0.25">
      <c r="T9813" s="98"/>
    </row>
    <row r="9814" spans="20:20" x14ac:dyDescent="0.25">
      <c r="T9814" s="98"/>
    </row>
    <row r="9815" spans="20:20" x14ac:dyDescent="0.25">
      <c r="T9815" s="98"/>
    </row>
    <row r="9816" spans="20:20" x14ac:dyDescent="0.25">
      <c r="T9816" s="98"/>
    </row>
    <row r="9817" spans="20:20" x14ac:dyDescent="0.25">
      <c r="T9817" s="98"/>
    </row>
    <row r="9818" spans="20:20" x14ac:dyDescent="0.25">
      <c r="T9818" s="98"/>
    </row>
    <row r="9819" spans="20:20" x14ac:dyDescent="0.25">
      <c r="T9819" s="98"/>
    </row>
    <row r="9820" spans="20:20" x14ac:dyDescent="0.25">
      <c r="T9820" s="98"/>
    </row>
    <row r="9821" spans="20:20" x14ac:dyDescent="0.25">
      <c r="T9821" s="98"/>
    </row>
    <row r="9822" spans="20:20" x14ac:dyDescent="0.25">
      <c r="T9822" s="98"/>
    </row>
    <row r="9823" spans="20:20" x14ac:dyDescent="0.25">
      <c r="T9823" s="98"/>
    </row>
    <row r="9824" spans="20:20" x14ac:dyDescent="0.25">
      <c r="T9824" s="98"/>
    </row>
    <row r="9825" spans="20:20" x14ac:dyDescent="0.25">
      <c r="T9825" s="98"/>
    </row>
    <row r="9826" spans="20:20" x14ac:dyDescent="0.25">
      <c r="T9826" s="98"/>
    </row>
    <row r="9827" spans="20:20" x14ac:dyDescent="0.25">
      <c r="T9827" s="98"/>
    </row>
    <row r="9828" spans="20:20" x14ac:dyDescent="0.25">
      <c r="T9828" s="98"/>
    </row>
    <row r="9829" spans="20:20" x14ac:dyDescent="0.25">
      <c r="T9829" s="98"/>
    </row>
    <row r="9830" spans="20:20" x14ac:dyDescent="0.25">
      <c r="T9830" s="98"/>
    </row>
    <row r="9831" spans="20:20" x14ac:dyDescent="0.25">
      <c r="T9831" s="98"/>
    </row>
    <row r="9832" spans="20:20" x14ac:dyDescent="0.25">
      <c r="T9832" s="98"/>
    </row>
    <row r="9833" spans="20:20" x14ac:dyDescent="0.25">
      <c r="T9833" s="98"/>
    </row>
    <row r="9834" spans="20:20" x14ac:dyDescent="0.25">
      <c r="T9834" s="98"/>
    </row>
    <row r="9835" spans="20:20" x14ac:dyDescent="0.25">
      <c r="T9835" s="98"/>
    </row>
    <row r="9836" spans="20:20" x14ac:dyDescent="0.25">
      <c r="T9836" s="98"/>
    </row>
    <row r="9837" spans="20:20" x14ac:dyDescent="0.25">
      <c r="T9837" s="98"/>
    </row>
    <row r="9838" spans="20:20" x14ac:dyDescent="0.25">
      <c r="T9838" s="98"/>
    </row>
    <row r="9839" spans="20:20" x14ac:dyDescent="0.25">
      <c r="T9839" s="98"/>
    </row>
    <row r="9840" spans="20:20" x14ac:dyDescent="0.25">
      <c r="T9840" s="98"/>
    </row>
    <row r="9841" spans="20:20" x14ac:dyDescent="0.25">
      <c r="T9841" s="98"/>
    </row>
    <row r="9842" spans="20:20" x14ac:dyDescent="0.25">
      <c r="T9842" s="98"/>
    </row>
    <row r="9843" spans="20:20" x14ac:dyDescent="0.25">
      <c r="T9843" s="98"/>
    </row>
    <row r="9844" spans="20:20" x14ac:dyDescent="0.25">
      <c r="T9844" s="98"/>
    </row>
    <row r="9845" spans="20:20" x14ac:dyDescent="0.25">
      <c r="T9845" s="98"/>
    </row>
    <row r="9846" spans="20:20" x14ac:dyDescent="0.25">
      <c r="T9846" s="98"/>
    </row>
    <row r="9847" spans="20:20" x14ac:dyDescent="0.25">
      <c r="T9847" s="98"/>
    </row>
    <row r="9848" spans="20:20" x14ac:dyDescent="0.25">
      <c r="T9848" s="98"/>
    </row>
    <row r="9849" spans="20:20" x14ac:dyDescent="0.25">
      <c r="T9849" s="98"/>
    </row>
    <row r="9850" spans="20:20" x14ac:dyDescent="0.25">
      <c r="T9850" s="98"/>
    </row>
    <row r="9851" spans="20:20" x14ac:dyDescent="0.25">
      <c r="T9851" s="98"/>
    </row>
    <row r="9852" spans="20:20" x14ac:dyDescent="0.25">
      <c r="T9852" s="98"/>
    </row>
    <row r="9853" spans="20:20" x14ac:dyDescent="0.25">
      <c r="T9853" s="98"/>
    </row>
    <row r="9854" spans="20:20" x14ac:dyDescent="0.25">
      <c r="T9854" s="98"/>
    </row>
    <row r="9855" spans="20:20" x14ac:dyDescent="0.25">
      <c r="T9855" s="98"/>
    </row>
    <row r="9856" spans="20:20" x14ac:dyDescent="0.25">
      <c r="T9856" s="98"/>
    </row>
    <row r="9857" spans="20:20" x14ac:dyDescent="0.25">
      <c r="T9857" s="98"/>
    </row>
    <row r="9858" spans="20:20" x14ac:dyDescent="0.25">
      <c r="T9858" s="98"/>
    </row>
    <row r="9859" spans="20:20" x14ac:dyDescent="0.25">
      <c r="T9859" s="98"/>
    </row>
    <row r="9860" spans="20:20" x14ac:dyDescent="0.25">
      <c r="T9860" s="98"/>
    </row>
    <row r="9861" spans="20:20" x14ac:dyDescent="0.25">
      <c r="T9861" s="98"/>
    </row>
    <row r="9862" spans="20:20" x14ac:dyDescent="0.25">
      <c r="T9862" s="98"/>
    </row>
    <row r="9863" spans="20:20" x14ac:dyDescent="0.25">
      <c r="T9863" s="98"/>
    </row>
    <row r="9864" spans="20:20" x14ac:dyDescent="0.25">
      <c r="T9864" s="98"/>
    </row>
    <row r="9865" spans="20:20" x14ac:dyDescent="0.25">
      <c r="T9865" s="98"/>
    </row>
    <row r="9866" spans="20:20" x14ac:dyDescent="0.25">
      <c r="T9866" s="98"/>
    </row>
    <row r="9867" spans="20:20" x14ac:dyDescent="0.25">
      <c r="T9867" s="98"/>
    </row>
    <row r="9868" spans="20:20" x14ac:dyDescent="0.25">
      <c r="T9868" s="98"/>
    </row>
    <row r="9869" spans="20:20" x14ac:dyDescent="0.25">
      <c r="T9869" s="98"/>
    </row>
    <row r="9870" spans="20:20" x14ac:dyDescent="0.25">
      <c r="T9870" s="98"/>
    </row>
    <row r="9871" spans="20:20" x14ac:dyDescent="0.25">
      <c r="T9871" s="98"/>
    </row>
    <row r="9872" spans="20:20" x14ac:dyDescent="0.25">
      <c r="T9872" s="98"/>
    </row>
    <row r="9873" spans="20:20" x14ac:dyDescent="0.25">
      <c r="T9873" s="98"/>
    </row>
    <row r="9874" spans="20:20" x14ac:dyDescent="0.25">
      <c r="T9874" s="98"/>
    </row>
    <row r="9875" spans="20:20" x14ac:dyDescent="0.25">
      <c r="T9875" s="98"/>
    </row>
    <row r="9876" spans="20:20" x14ac:dyDescent="0.25">
      <c r="T9876" s="98"/>
    </row>
    <row r="9877" spans="20:20" x14ac:dyDescent="0.25">
      <c r="T9877" s="98"/>
    </row>
    <row r="9878" spans="20:20" x14ac:dyDescent="0.25">
      <c r="T9878" s="98"/>
    </row>
    <row r="9879" spans="20:20" x14ac:dyDescent="0.25">
      <c r="T9879" s="98"/>
    </row>
    <row r="9880" spans="20:20" x14ac:dyDescent="0.25">
      <c r="T9880" s="98"/>
    </row>
    <row r="9881" spans="20:20" x14ac:dyDescent="0.25">
      <c r="T9881" s="98"/>
    </row>
    <row r="9882" spans="20:20" x14ac:dyDescent="0.25">
      <c r="T9882" s="98"/>
    </row>
    <row r="9883" spans="20:20" x14ac:dyDescent="0.25">
      <c r="T9883" s="98"/>
    </row>
    <row r="9884" spans="20:20" x14ac:dyDescent="0.25">
      <c r="T9884" s="98"/>
    </row>
    <row r="9885" spans="20:20" x14ac:dyDescent="0.25">
      <c r="T9885" s="98"/>
    </row>
    <row r="9886" spans="20:20" x14ac:dyDescent="0.25">
      <c r="T9886" s="98"/>
    </row>
    <row r="9887" spans="20:20" x14ac:dyDescent="0.25">
      <c r="T9887" s="98"/>
    </row>
    <row r="9888" spans="20:20" x14ac:dyDescent="0.25">
      <c r="T9888" s="98"/>
    </row>
    <row r="9889" spans="20:20" x14ac:dyDescent="0.25">
      <c r="T9889" s="98"/>
    </row>
    <row r="9890" spans="20:20" x14ac:dyDescent="0.25">
      <c r="T9890" s="98"/>
    </row>
    <row r="9891" spans="20:20" x14ac:dyDescent="0.25">
      <c r="T9891" s="98"/>
    </row>
    <row r="9892" spans="20:20" x14ac:dyDescent="0.25">
      <c r="T9892" s="98"/>
    </row>
    <row r="9893" spans="20:20" x14ac:dyDescent="0.25">
      <c r="T9893" s="98"/>
    </row>
    <row r="9894" spans="20:20" x14ac:dyDescent="0.25">
      <c r="T9894" s="98"/>
    </row>
    <row r="9895" spans="20:20" x14ac:dyDescent="0.25">
      <c r="T9895" s="98"/>
    </row>
    <row r="9896" spans="20:20" x14ac:dyDescent="0.25">
      <c r="T9896" s="98"/>
    </row>
    <row r="9897" spans="20:20" x14ac:dyDescent="0.25">
      <c r="T9897" s="98"/>
    </row>
    <row r="9898" spans="20:20" x14ac:dyDescent="0.25">
      <c r="T9898" s="98"/>
    </row>
    <row r="9899" spans="20:20" x14ac:dyDescent="0.25">
      <c r="T9899" s="98"/>
    </row>
    <row r="9900" spans="20:20" x14ac:dyDescent="0.25">
      <c r="T9900" s="98"/>
    </row>
    <row r="9901" spans="20:20" x14ac:dyDescent="0.25">
      <c r="T9901" s="98"/>
    </row>
    <row r="9902" spans="20:20" x14ac:dyDescent="0.25">
      <c r="T9902" s="98"/>
    </row>
    <row r="9903" spans="20:20" x14ac:dyDescent="0.25">
      <c r="T9903" s="98"/>
    </row>
    <row r="9904" spans="20:20" x14ac:dyDescent="0.25">
      <c r="T9904" s="98"/>
    </row>
    <row r="9905" spans="20:20" x14ac:dyDescent="0.25">
      <c r="T9905" s="98"/>
    </row>
    <row r="9906" spans="20:20" x14ac:dyDescent="0.25">
      <c r="T9906" s="98"/>
    </row>
    <row r="9907" spans="20:20" x14ac:dyDescent="0.25">
      <c r="T9907" s="98"/>
    </row>
    <row r="9908" spans="20:20" x14ac:dyDescent="0.25">
      <c r="T9908" s="98"/>
    </row>
    <row r="9909" spans="20:20" x14ac:dyDescent="0.25">
      <c r="T9909" s="98"/>
    </row>
    <row r="9910" spans="20:20" x14ac:dyDescent="0.25">
      <c r="T9910" s="98"/>
    </row>
    <row r="9911" spans="20:20" x14ac:dyDescent="0.25">
      <c r="T9911" s="98"/>
    </row>
    <row r="9912" spans="20:20" x14ac:dyDescent="0.25">
      <c r="T9912" s="98"/>
    </row>
    <row r="9913" spans="20:20" x14ac:dyDescent="0.25">
      <c r="T9913" s="98"/>
    </row>
    <row r="9914" spans="20:20" x14ac:dyDescent="0.25">
      <c r="T9914" s="98"/>
    </row>
    <row r="9915" spans="20:20" x14ac:dyDescent="0.25">
      <c r="T9915" s="98"/>
    </row>
    <row r="9916" spans="20:20" x14ac:dyDescent="0.25">
      <c r="T9916" s="98"/>
    </row>
    <row r="9917" spans="20:20" x14ac:dyDescent="0.25">
      <c r="T9917" s="98"/>
    </row>
    <row r="9918" spans="20:20" x14ac:dyDescent="0.25">
      <c r="T9918" s="98"/>
    </row>
    <row r="9919" spans="20:20" x14ac:dyDescent="0.25">
      <c r="T9919" s="98"/>
    </row>
    <row r="9920" spans="20:20" x14ac:dyDescent="0.25">
      <c r="T9920" s="98"/>
    </row>
    <row r="9921" spans="20:20" x14ac:dyDescent="0.25">
      <c r="T9921" s="98"/>
    </row>
    <row r="9922" spans="20:20" x14ac:dyDescent="0.25">
      <c r="T9922" s="98"/>
    </row>
    <row r="9923" spans="20:20" x14ac:dyDescent="0.25">
      <c r="T9923" s="98"/>
    </row>
    <row r="9924" spans="20:20" x14ac:dyDescent="0.25">
      <c r="T9924" s="98"/>
    </row>
    <row r="9925" spans="20:20" x14ac:dyDescent="0.25">
      <c r="T9925" s="98"/>
    </row>
    <row r="9926" spans="20:20" x14ac:dyDescent="0.25">
      <c r="T9926" s="98"/>
    </row>
    <row r="9927" spans="20:20" x14ac:dyDescent="0.25">
      <c r="T9927" s="98"/>
    </row>
    <row r="9928" spans="20:20" x14ac:dyDescent="0.25">
      <c r="T9928" s="98"/>
    </row>
    <row r="9929" spans="20:20" x14ac:dyDescent="0.25">
      <c r="T9929" s="98"/>
    </row>
    <row r="9930" spans="20:20" x14ac:dyDescent="0.25">
      <c r="T9930" s="98"/>
    </row>
    <row r="9931" spans="20:20" x14ac:dyDescent="0.25">
      <c r="T9931" s="98"/>
    </row>
    <row r="9932" spans="20:20" x14ac:dyDescent="0.25">
      <c r="T9932" s="98"/>
    </row>
    <row r="9933" spans="20:20" x14ac:dyDescent="0.25">
      <c r="T9933" s="98"/>
    </row>
    <row r="9934" spans="20:20" x14ac:dyDescent="0.25">
      <c r="T9934" s="98"/>
    </row>
    <row r="9935" spans="20:20" x14ac:dyDescent="0.25">
      <c r="T9935" s="98"/>
    </row>
    <row r="9936" spans="20:20" x14ac:dyDescent="0.25">
      <c r="T9936" s="98"/>
    </row>
    <row r="9937" spans="20:20" x14ac:dyDescent="0.25">
      <c r="T9937" s="98"/>
    </row>
    <row r="9938" spans="20:20" x14ac:dyDescent="0.25">
      <c r="T9938" s="98"/>
    </row>
    <row r="9939" spans="20:20" x14ac:dyDescent="0.25">
      <c r="T9939" s="98"/>
    </row>
    <row r="9940" spans="20:20" x14ac:dyDescent="0.25">
      <c r="T9940" s="98"/>
    </row>
    <row r="9941" spans="20:20" x14ac:dyDescent="0.25">
      <c r="T9941" s="98"/>
    </row>
    <row r="9942" spans="20:20" x14ac:dyDescent="0.25">
      <c r="T9942" s="98"/>
    </row>
    <row r="9943" spans="20:20" x14ac:dyDescent="0.25">
      <c r="T9943" s="98"/>
    </row>
    <row r="9944" spans="20:20" x14ac:dyDescent="0.25">
      <c r="T9944" s="98"/>
    </row>
    <row r="9945" spans="20:20" x14ac:dyDescent="0.25">
      <c r="T9945" s="98"/>
    </row>
    <row r="9946" spans="20:20" x14ac:dyDescent="0.25">
      <c r="T9946" s="98"/>
    </row>
    <row r="9947" spans="20:20" x14ac:dyDescent="0.25">
      <c r="T9947" s="98"/>
    </row>
    <row r="9948" spans="20:20" x14ac:dyDescent="0.25">
      <c r="T9948" s="98"/>
    </row>
    <row r="9949" spans="20:20" x14ac:dyDescent="0.25">
      <c r="T9949" s="98"/>
    </row>
    <row r="9950" spans="20:20" x14ac:dyDescent="0.25">
      <c r="T9950" s="98"/>
    </row>
    <row r="9951" spans="20:20" x14ac:dyDescent="0.25">
      <c r="T9951" s="98"/>
    </row>
    <row r="9952" spans="20:20" x14ac:dyDescent="0.25">
      <c r="T9952" s="98"/>
    </row>
    <row r="9953" spans="20:20" x14ac:dyDescent="0.25">
      <c r="T9953" s="98"/>
    </row>
    <row r="9954" spans="20:20" x14ac:dyDescent="0.25">
      <c r="T9954" s="98"/>
    </row>
    <row r="9955" spans="20:20" x14ac:dyDescent="0.25">
      <c r="T9955" s="98"/>
    </row>
    <row r="9956" spans="20:20" x14ac:dyDescent="0.25">
      <c r="T9956" s="98"/>
    </row>
    <row r="9957" spans="20:20" x14ac:dyDescent="0.25">
      <c r="T9957" s="98"/>
    </row>
    <row r="9958" spans="20:20" x14ac:dyDescent="0.25">
      <c r="T9958" s="98"/>
    </row>
    <row r="9959" spans="20:20" x14ac:dyDescent="0.25">
      <c r="T9959" s="98"/>
    </row>
    <row r="9960" spans="20:20" x14ac:dyDescent="0.25">
      <c r="T9960" s="98"/>
    </row>
    <row r="9961" spans="20:20" x14ac:dyDescent="0.25">
      <c r="T9961" s="98"/>
    </row>
    <row r="9962" spans="20:20" x14ac:dyDescent="0.25">
      <c r="T9962" s="98"/>
    </row>
    <row r="9963" spans="20:20" x14ac:dyDescent="0.25">
      <c r="T9963" s="98"/>
    </row>
    <row r="9964" spans="20:20" x14ac:dyDescent="0.25">
      <c r="T9964" s="98"/>
    </row>
    <row r="9965" spans="20:20" x14ac:dyDescent="0.25">
      <c r="T9965" s="98"/>
    </row>
    <row r="9966" spans="20:20" x14ac:dyDescent="0.25">
      <c r="T9966" s="98"/>
    </row>
    <row r="9967" spans="20:20" x14ac:dyDescent="0.25">
      <c r="T9967" s="98"/>
    </row>
    <row r="9968" spans="20:20" x14ac:dyDescent="0.25">
      <c r="T9968" s="98"/>
    </row>
    <row r="9969" spans="20:20" x14ac:dyDescent="0.25">
      <c r="T9969" s="98"/>
    </row>
    <row r="9970" spans="20:20" x14ac:dyDescent="0.25">
      <c r="T9970" s="98"/>
    </row>
    <row r="9971" spans="20:20" x14ac:dyDescent="0.25">
      <c r="T9971" s="98"/>
    </row>
    <row r="9972" spans="20:20" x14ac:dyDescent="0.25">
      <c r="T9972" s="98"/>
    </row>
    <row r="9973" spans="20:20" x14ac:dyDescent="0.25">
      <c r="T9973" s="98"/>
    </row>
    <row r="9974" spans="20:20" x14ac:dyDescent="0.25">
      <c r="T9974" s="98"/>
    </row>
    <row r="9975" spans="20:20" x14ac:dyDescent="0.25">
      <c r="T9975" s="98"/>
    </row>
    <row r="9976" spans="20:20" x14ac:dyDescent="0.25">
      <c r="T9976" s="98"/>
    </row>
    <row r="9977" spans="20:20" x14ac:dyDescent="0.25">
      <c r="T9977" s="98"/>
    </row>
    <row r="9978" spans="20:20" x14ac:dyDescent="0.25">
      <c r="T9978" s="98"/>
    </row>
    <row r="9979" spans="20:20" x14ac:dyDescent="0.25">
      <c r="T9979" s="98"/>
    </row>
    <row r="9980" spans="20:20" x14ac:dyDescent="0.25">
      <c r="T9980" s="98"/>
    </row>
    <row r="9981" spans="20:20" x14ac:dyDescent="0.25">
      <c r="T9981" s="98"/>
    </row>
    <row r="9982" spans="20:20" x14ac:dyDescent="0.25">
      <c r="T9982" s="98"/>
    </row>
    <row r="9983" spans="20:20" x14ac:dyDescent="0.25">
      <c r="T9983" s="98"/>
    </row>
    <row r="9984" spans="20:20" x14ac:dyDescent="0.25">
      <c r="T9984" s="98"/>
    </row>
    <row r="9985" spans="20:20" x14ac:dyDescent="0.25">
      <c r="T9985" s="98"/>
    </row>
    <row r="9986" spans="20:20" x14ac:dyDescent="0.25">
      <c r="T9986" s="98"/>
    </row>
    <row r="9987" spans="20:20" x14ac:dyDescent="0.25">
      <c r="T9987" s="98"/>
    </row>
    <row r="9988" spans="20:20" x14ac:dyDescent="0.25">
      <c r="T9988" s="98"/>
    </row>
    <row r="9989" spans="20:20" x14ac:dyDescent="0.25">
      <c r="T9989" s="98"/>
    </row>
    <row r="9990" spans="20:20" x14ac:dyDescent="0.25">
      <c r="T9990" s="98"/>
    </row>
    <row r="9991" spans="20:20" x14ac:dyDescent="0.25">
      <c r="T9991" s="98"/>
    </row>
    <row r="9992" spans="20:20" x14ac:dyDescent="0.25">
      <c r="T9992" s="98"/>
    </row>
    <row r="9993" spans="20:20" x14ac:dyDescent="0.25">
      <c r="T9993" s="98"/>
    </row>
    <row r="9994" spans="20:20" x14ac:dyDescent="0.25">
      <c r="T9994" s="98"/>
    </row>
    <row r="9995" spans="20:20" x14ac:dyDescent="0.25">
      <c r="T9995" s="98"/>
    </row>
    <row r="9996" spans="20:20" x14ac:dyDescent="0.25">
      <c r="T9996" s="98"/>
    </row>
    <row r="9997" spans="20:20" x14ac:dyDescent="0.25">
      <c r="T9997" s="98"/>
    </row>
    <row r="9998" spans="20:20" x14ac:dyDescent="0.25">
      <c r="T9998" s="98"/>
    </row>
    <row r="9999" spans="20:20" x14ac:dyDescent="0.25">
      <c r="T9999" s="98"/>
    </row>
    <row r="10000" spans="20:20" x14ac:dyDescent="0.25">
      <c r="T10000" s="98"/>
    </row>
    <row r="10001" spans="20:20" x14ac:dyDescent="0.25">
      <c r="T10001" s="98"/>
    </row>
    <row r="10002" spans="20:20" x14ac:dyDescent="0.25">
      <c r="T10002" s="98"/>
    </row>
    <row r="10003" spans="20:20" x14ac:dyDescent="0.25">
      <c r="T10003" s="98"/>
    </row>
    <row r="10004" spans="20:20" x14ac:dyDescent="0.25">
      <c r="T10004" s="98"/>
    </row>
    <row r="10005" spans="20:20" x14ac:dyDescent="0.25">
      <c r="T10005" s="98"/>
    </row>
    <row r="10006" spans="20:20" x14ac:dyDescent="0.25">
      <c r="T10006" s="98"/>
    </row>
    <row r="10007" spans="20:20" x14ac:dyDescent="0.25">
      <c r="T10007" s="98"/>
    </row>
    <row r="10008" spans="20:20" x14ac:dyDescent="0.25">
      <c r="T10008" s="98"/>
    </row>
    <row r="10009" spans="20:20" x14ac:dyDescent="0.25">
      <c r="T10009" s="98"/>
    </row>
    <row r="10010" spans="20:20" x14ac:dyDescent="0.25">
      <c r="T10010" s="98"/>
    </row>
    <row r="10011" spans="20:20" x14ac:dyDescent="0.25">
      <c r="T10011" s="98"/>
    </row>
    <row r="10012" spans="20:20" x14ac:dyDescent="0.25">
      <c r="T10012" s="98"/>
    </row>
    <row r="10013" spans="20:20" x14ac:dyDescent="0.25">
      <c r="T10013" s="98"/>
    </row>
    <row r="10014" spans="20:20" x14ac:dyDescent="0.25">
      <c r="T10014" s="98"/>
    </row>
    <row r="10015" spans="20:20" x14ac:dyDescent="0.25">
      <c r="T10015" s="98"/>
    </row>
    <row r="10016" spans="20:20" x14ac:dyDescent="0.25">
      <c r="T10016" s="98"/>
    </row>
    <row r="10017" spans="20:20" x14ac:dyDescent="0.25">
      <c r="T10017" s="98"/>
    </row>
    <row r="10018" spans="20:20" x14ac:dyDescent="0.25">
      <c r="T10018" s="98"/>
    </row>
    <row r="10019" spans="20:20" x14ac:dyDescent="0.25">
      <c r="T10019" s="98"/>
    </row>
    <row r="10020" spans="20:20" x14ac:dyDescent="0.25">
      <c r="T10020" s="98"/>
    </row>
    <row r="10021" spans="20:20" x14ac:dyDescent="0.25">
      <c r="T10021" s="98"/>
    </row>
    <row r="10022" spans="20:20" x14ac:dyDescent="0.25">
      <c r="T10022" s="98"/>
    </row>
    <row r="10023" spans="20:20" x14ac:dyDescent="0.25">
      <c r="T10023" s="98"/>
    </row>
    <row r="10024" spans="20:20" x14ac:dyDescent="0.25">
      <c r="T10024" s="98"/>
    </row>
    <row r="10025" spans="20:20" x14ac:dyDescent="0.25">
      <c r="T10025" s="98"/>
    </row>
    <row r="10026" spans="20:20" x14ac:dyDescent="0.25">
      <c r="T10026" s="98"/>
    </row>
    <row r="10027" spans="20:20" x14ac:dyDescent="0.25">
      <c r="T10027" s="98"/>
    </row>
    <row r="10028" spans="20:20" x14ac:dyDescent="0.25">
      <c r="T10028" s="98"/>
    </row>
    <row r="10029" spans="20:20" x14ac:dyDescent="0.25">
      <c r="T10029" s="98"/>
    </row>
    <row r="10030" spans="20:20" x14ac:dyDescent="0.25">
      <c r="T10030" s="98"/>
    </row>
    <row r="10031" spans="20:20" x14ac:dyDescent="0.25">
      <c r="T10031" s="98"/>
    </row>
    <row r="10032" spans="20:20" x14ac:dyDescent="0.25">
      <c r="T10032" s="98"/>
    </row>
    <row r="10033" spans="20:20" x14ac:dyDescent="0.25">
      <c r="T10033" s="98"/>
    </row>
    <row r="10034" spans="20:20" x14ac:dyDescent="0.25">
      <c r="T10034" s="98"/>
    </row>
    <row r="10035" spans="20:20" x14ac:dyDescent="0.25">
      <c r="T10035" s="98"/>
    </row>
    <row r="10036" spans="20:20" x14ac:dyDescent="0.25">
      <c r="T10036" s="98"/>
    </row>
    <row r="10037" spans="20:20" x14ac:dyDescent="0.25">
      <c r="T10037" s="98"/>
    </row>
    <row r="10038" spans="20:20" x14ac:dyDescent="0.25">
      <c r="T10038" s="98"/>
    </row>
    <row r="10039" spans="20:20" x14ac:dyDescent="0.25">
      <c r="T10039" s="98"/>
    </row>
    <row r="10040" spans="20:20" x14ac:dyDescent="0.25">
      <c r="T10040" s="98"/>
    </row>
    <row r="10041" spans="20:20" x14ac:dyDescent="0.25">
      <c r="T10041" s="98"/>
    </row>
    <row r="10042" spans="20:20" x14ac:dyDescent="0.25">
      <c r="T10042" s="98"/>
    </row>
    <row r="10043" spans="20:20" x14ac:dyDescent="0.25">
      <c r="T10043" s="98"/>
    </row>
    <row r="10044" spans="20:20" x14ac:dyDescent="0.25">
      <c r="T10044" s="98"/>
    </row>
    <row r="10045" spans="20:20" x14ac:dyDescent="0.25">
      <c r="T10045" s="98"/>
    </row>
    <row r="10046" spans="20:20" x14ac:dyDescent="0.25">
      <c r="T10046" s="98"/>
    </row>
    <row r="10047" spans="20:20" x14ac:dyDescent="0.25">
      <c r="T10047" s="98"/>
    </row>
    <row r="10048" spans="20:20" x14ac:dyDescent="0.25">
      <c r="T10048" s="98"/>
    </row>
    <row r="10049" spans="20:20" x14ac:dyDescent="0.25">
      <c r="T10049" s="98"/>
    </row>
    <row r="10050" spans="20:20" x14ac:dyDescent="0.25">
      <c r="T10050" s="98"/>
    </row>
    <row r="10051" spans="20:20" x14ac:dyDescent="0.25">
      <c r="T10051" s="98"/>
    </row>
    <row r="10052" spans="20:20" x14ac:dyDescent="0.25">
      <c r="T10052" s="98"/>
    </row>
    <row r="10053" spans="20:20" x14ac:dyDescent="0.25">
      <c r="T10053" s="98"/>
    </row>
    <row r="10054" spans="20:20" x14ac:dyDescent="0.25">
      <c r="T10054" s="98"/>
    </row>
    <row r="10055" spans="20:20" x14ac:dyDescent="0.25">
      <c r="T10055" s="98"/>
    </row>
    <row r="10056" spans="20:20" x14ac:dyDescent="0.25">
      <c r="T10056" s="98"/>
    </row>
    <row r="10057" spans="20:20" x14ac:dyDescent="0.25">
      <c r="T10057" s="98"/>
    </row>
    <row r="10058" spans="20:20" x14ac:dyDescent="0.25">
      <c r="T10058" s="98"/>
    </row>
    <row r="10059" spans="20:20" x14ac:dyDescent="0.25">
      <c r="T10059" s="98"/>
    </row>
    <row r="10060" spans="20:20" x14ac:dyDescent="0.25">
      <c r="T10060" s="98"/>
    </row>
    <row r="10061" spans="20:20" x14ac:dyDescent="0.25">
      <c r="T10061" s="98"/>
    </row>
    <row r="10062" spans="20:20" x14ac:dyDescent="0.25">
      <c r="T10062" s="98"/>
    </row>
    <row r="10063" spans="20:20" x14ac:dyDescent="0.25">
      <c r="T10063" s="98"/>
    </row>
    <row r="10064" spans="20:20" x14ac:dyDescent="0.25">
      <c r="T10064" s="98"/>
    </row>
    <row r="10065" spans="20:20" x14ac:dyDescent="0.25">
      <c r="T10065" s="98"/>
    </row>
    <row r="10066" spans="20:20" x14ac:dyDescent="0.25">
      <c r="T10066" s="98"/>
    </row>
    <row r="10067" spans="20:20" x14ac:dyDescent="0.25">
      <c r="T10067" s="98"/>
    </row>
    <row r="10068" spans="20:20" x14ac:dyDescent="0.25">
      <c r="T10068" s="98"/>
    </row>
    <row r="10069" spans="20:20" x14ac:dyDescent="0.25">
      <c r="T10069" s="98"/>
    </row>
    <row r="10070" spans="20:20" x14ac:dyDescent="0.25">
      <c r="T10070" s="98"/>
    </row>
    <row r="10071" spans="20:20" x14ac:dyDescent="0.25">
      <c r="T10071" s="98"/>
    </row>
    <row r="10072" spans="20:20" x14ac:dyDescent="0.25">
      <c r="T10072" s="98"/>
    </row>
    <row r="10073" spans="20:20" x14ac:dyDescent="0.25">
      <c r="T10073" s="98"/>
    </row>
    <row r="10074" spans="20:20" x14ac:dyDescent="0.25">
      <c r="T10074" s="98"/>
    </row>
    <row r="10075" spans="20:20" x14ac:dyDescent="0.25">
      <c r="T10075" s="98"/>
    </row>
    <row r="10076" spans="20:20" x14ac:dyDescent="0.25">
      <c r="T10076" s="98"/>
    </row>
    <row r="10077" spans="20:20" x14ac:dyDescent="0.25">
      <c r="T10077" s="98"/>
    </row>
    <row r="10078" spans="20:20" x14ac:dyDescent="0.25">
      <c r="T10078" s="98"/>
    </row>
    <row r="10079" spans="20:20" x14ac:dyDescent="0.25">
      <c r="T10079" s="98"/>
    </row>
    <row r="10080" spans="20:20" x14ac:dyDescent="0.25">
      <c r="T10080" s="98"/>
    </row>
    <row r="10081" spans="20:20" x14ac:dyDescent="0.25">
      <c r="T10081" s="98"/>
    </row>
    <row r="10082" spans="20:20" x14ac:dyDescent="0.25">
      <c r="T10082" s="98"/>
    </row>
    <row r="10083" spans="20:20" x14ac:dyDescent="0.25">
      <c r="T10083" s="98"/>
    </row>
    <row r="10084" spans="20:20" x14ac:dyDescent="0.25">
      <c r="T10084" s="98"/>
    </row>
    <row r="10085" spans="20:20" x14ac:dyDescent="0.25">
      <c r="T10085" s="98"/>
    </row>
    <row r="10086" spans="20:20" x14ac:dyDescent="0.25">
      <c r="T10086" s="98"/>
    </row>
    <row r="10087" spans="20:20" x14ac:dyDescent="0.25">
      <c r="T10087" s="98"/>
    </row>
    <row r="10088" spans="20:20" x14ac:dyDescent="0.25">
      <c r="T10088" s="98"/>
    </row>
    <row r="10089" spans="20:20" x14ac:dyDescent="0.25">
      <c r="T10089" s="98"/>
    </row>
    <row r="10090" spans="20:20" x14ac:dyDescent="0.25">
      <c r="T10090" s="98"/>
    </row>
    <row r="10091" spans="20:20" x14ac:dyDescent="0.25">
      <c r="T10091" s="98"/>
    </row>
    <row r="10092" spans="20:20" x14ac:dyDescent="0.25">
      <c r="T10092" s="98"/>
    </row>
    <row r="10093" spans="20:20" x14ac:dyDescent="0.25">
      <c r="T10093" s="98"/>
    </row>
    <row r="10094" spans="20:20" x14ac:dyDescent="0.25">
      <c r="T10094" s="98"/>
    </row>
    <row r="10095" spans="20:20" x14ac:dyDescent="0.25">
      <c r="T10095" s="98"/>
    </row>
    <row r="10096" spans="20:20" x14ac:dyDescent="0.25">
      <c r="T10096" s="98"/>
    </row>
    <row r="10097" spans="20:20" x14ac:dyDescent="0.25">
      <c r="T10097" s="98"/>
    </row>
    <row r="10098" spans="20:20" x14ac:dyDescent="0.25">
      <c r="T10098" s="98"/>
    </row>
    <row r="10099" spans="20:20" x14ac:dyDescent="0.25">
      <c r="T10099" s="98"/>
    </row>
    <row r="10100" spans="20:20" x14ac:dyDescent="0.25">
      <c r="T10100" s="98"/>
    </row>
    <row r="10101" spans="20:20" x14ac:dyDescent="0.25">
      <c r="T10101" s="98"/>
    </row>
    <row r="10102" spans="20:20" x14ac:dyDescent="0.25">
      <c r="T10102" s="98"/>
    </row>
    <row r="10103" spans="20:20" x14ac:dyDescent="0.25">
      <c r="T10103" s="98"/>
    </row>
    <row r="10104" spans="20:20" x14ac:dyDescent="0.25">
      <c r="T10104" s="98"/>
    </row>
    <row r="10105" spans="20:20" x14ac:dyDescent="0.25">
      <c r="T10105" s="98"/>
    </row>
    <row r="10106" spans="20:20" x14ac:dyDescent="0.25">
      <c r="T10106" s="98"/>
    </row>
    <row r="10107" spans="20:20" x14ac:dyDescent="0.25">
      <c r="T10107" s="98"/>
    </row>
    <row r="10108" spans="20:20" x14ac:dyDescent="0.25">
      <c r="T10108" s="98"/>
    </row>
    <row r="10109" spans="20:20" x14ac:dyDescent="0.25">
      <c r="T10109" s="98"/>
    </row>
    <row r="10110" spans="20:20" x14ac:dyDescent="0.25">
      <c r="T10110" s="98"/>
    </row>
    <row r="10111" spans="20:20" x14ac:dyDescent="0.25">
      <c r="T10111" s="98"/>
    </row>
    <row r="10112" spans="20:20" x14ac:dyDescent="0.25">
      <c r="T10112" s="98"/>
    </row>
    <row r="10113" spans="20:20" x14ac:dyDescent="0.25">
      <c r="T10113" s="98"/>
    </row>
    <row r="10114" spans="20:20" x14ac:dyDescent="0.25">
      <c r="T10114" s="98"/>
    </row>
    <row r="10115" spans="20:20" x14ac:dyDescent="0.25">
      <c r="T10115" s="98"/>
    </row>
    <row r="10116" spans="20:20" x14ac:dyDescent="0.25">
      <c r="T10116" s="98"/>
    </row>
    <row r="10117" spans="20:20" x14ac:dyDescent="0.25">
      <c r="T10117" s="98"/>
    </row>
    <row r="10118" spans="20:20" x14ac:dyDescent="0.25">
      <c r="T10118" s="98"/>
    </row>
    <row r="10119" spans="20:20" x14ac:dyDescent="0.25">
      <c r="T10119" s="98"/>
    </row>
    <row r="10120" spans="20:20" x14ac:dyDescent="0.25">
      <c r="T10120" s="98"/>
    </row>
    <row r="10121" spans="20:20" x14ac:dyDescent="0.25">
      <c r="T10121" s="98"/>
    </row>
    <row r="10122" spans="20:20" x14ac:dyDescent="0.25">
      <c r="T10122" s="98"/>
    </row>
    <row r="10123" spans="20:20" x14ac:dyDescent="0.25">
      <c r="T10123" s="98"/>
    </row>
    <row r="10124" spans="20:20" x14ac:dyDescent="0.25">
      <c r="T10124" s="98"/>
    </row>
    <row r="10125" spans="20:20" x14ac:dyDescent="0.25">
      <c r="T10125" s="98"/>
    </row>
    <row r="10126" spans="20:20" x14ac:dyDescent="0.25">
      <c r="T10126" s="98"/>
    </row>
    <row r="10127" spans="20:20" x14ac:dyDescent="0.25">
      <c r="T10127" s="98"/>
    </row>
    <row r="10128" spans="20:20" x14ac:dyDescent="0.25">
      <c r="T10128" s="98"/>
    </row>
    <row r="10129" spans="20:20" x14ac:dyDescent="0.25">
      <c r="T10129" s="98"/>
    </row>
    <row r="10130" spans="20:20" x14ac:dyDescent="0.25">
      <c r="T10130" s="98"/>
    </row>
    <row r="10131" spans="20:20" x14ac:dyDescent="0.25">
      <c r="T10131" s="98"/>
    </row>
    <row r="10132" spans="20:20" x14ac:dyDescent="0.25">
      <c r="T10132" s="98"/>
    </row>
    <row r="10133" spans="20:20" x14ac:dyDescent="0.25">
      <c r="T10133" s="98"/>
    </row>
    <row r="10134" spans="20:20" x14ac:dyDescent="0.25">
      <c r="T10134" s="98"/>
    </row>
    <row r="10135" spans="20:20" x14ac:dyDescent="0.25">
      <c r="T10135" s="98"/>
    </row>
    <row r="10136" spans="20:20" x14ac:dyDescent="0.25">
      <c r="T10136" s="98"/>
    </row>
    <row r="10137" spans="20:20" x14ac:dyDescent="0.25">
      <c r="T10137" s="98"/>
    </row>
    <row r="10138" spans="20:20" x14ac:dyDescent="0.25">
      <c r="T10138" s="98"/>
    </row>
    <row r="10139" spans="20:20" x14ac:dyDescent="0.25">
      <c r="T10139" s="98"/>
    </row>
    <row r="10140" spans="20:20" x14ac:dyDescent="0.25">
      <c r="T10140" s="98"/>
    </row>
    <row r="10141" spans="20:20" x14ac:dyDescent="0.25">
      <c r="T10141" s="98"/>
    </row>
    <row r="10142" spans="20:20" x14ac:dyDescent="0.25">
      <c r="T10142" s="98"/>
    </row>
    <row r="10143" spans="20:20" x14ac:dyDescent="0.25">
      <c r="T10143" s="98"/>
    </row>
    <row r="10144" spans="20:20" x14ac:dyDescent="0.25">
      <c r="T10144" s="98"/>
    </row>
    <row r="10145" spans="20:20" x14ac:dyDescent="0.25">
      <c r="T10145" s="98"/>
    </row>
    <row r="10146" spans="20:20" x14ac:dyDescent="0.25">
      <c r="T10146" s="98"/>
    </row>
    <row r="10147" spans="20:20" x14ac:dyDescent="0.25">
      <c r="T10147" s="98"/>
    </row>
    <row r="10148" spans="20:20" x14ac:dyDescent="0.25">
      <c r="T10148" s="98"/>
    </row>
    <row r="10149" spans="20:20" x14ac:dyDescent="0.25">
      <c r="T10149" s="98"/>
    </row>
    <row r="10150" spans="20:20" x14ac:dyDescent="0.25">
      <c r="T10150" s="98"/>
    </row>
    <row r="10151" spans="20:20" x14ac:dyDescent="0.25">
      <c r="T10151" s="98"/>
    </row>
    <row r="10152" spans="20:20" x14ac:dyDescent="0.25">
      <c r="T10152" s="98"/>
    </row>
    <row r="10153" spans="20:20" x14ac:dyDescent="0.25">
      <c r="T10153" s="98"/>
    </row>
    <row r="10154" spans="20:20" x14ac:dyDescent="0.25">
      <c r="T10154" s="98"/>
    </row>
    <row r="10155" spans="20:20" x14ac:dyDescent="0.25">
      <c r="T10155" s="98"/>
    </row>
    <row r="10156" spans="20:20" x14ac:dyDescent="0.25">
      <c r="T10156" s="98"/>
    </row>
    <row r="10157" spans="20:20" x14ac:dyDescent="0.25">
      <c r="T10157" s="98"/>
    </row>
    <row r="10158" spans="20:20" x14ac:dyDescent="0.25">
      <c r="T10158" s="98"/>
    </row>
    <row r="10159" spans="20:20" x14ac:dyDescent="0.25">
      <c r="T10159" s="98"/>
    </row>
    <row r="10160" spans="20:20" x14ac:dyDescent="0.25">
      <c r="T10160" s="98"/>
    </row>
    <row r="10161" spans="20:20" x14ac:dyDescent="0.25">
      <c r="T10161" s="98"/>
    </row>
    <row r="10162" spans="20:20" x14ac:dyDescent="0.25">
      <c r="T10162" s="98"/>
    </row>
    <row r="10163" spans="20:20" x14ac:dyDescent="0.25">
      <c r="T10163" s="98"/>
    </row>
    <row r="10164" spans="20:20" x14ac:dyDescent="0.25">
      <c r="T10164" s="98"/>
    </row>
    <row r="10165" spans="20:20" x14ac:dyDescent="0.25">
      <c r="T10165" s="98"/>
    </row>
    <row r="10166" spans="20:20" x14ac:dyDescent="0.25">
      <c r="T10166" s="98"/>
    </row>
    <row r="10167" spans="20:20" x14ac:dyDescent="0.25">
      <c r="T10167" s="98"/>
    </row>
    <row r="10168" spans="20:20" x14ac:dyDescent="0.25">
      <c r="T10168" s="98"/>
    </row>
    <row r="10169" spans="20:20" x14ac:dyDescent="0.25">
      <c r="T10169" s="98"/>
    </row>
    <row r="10170" spans="20:20" x14ac:dyDescent="0.25">
      <c r="T10170" s="98"/>
    </row>
    <row r="10171" spans="20:20" x14ac:dyDescent="0.25">
      <c r="T10171" s="98"/>
    </row>
    <row r="10172" spans="20:20" x14ac:dyDescent="0.25">
      <c r="T10172" s="98"/>
    </row>
    <row r="10173" spans="20:20" x14ac:dyDescent="0.25">
      <c r="T10173" s="98"/>
    </row>
    <row r="10174" spans="20:20" x14ac:dyDescent="0.25">
      <c r="T10174" s="98"/>
    </row>
    <row r="10175" spans="20:20" x14ac:dyDescent="0.25">
      <c r="T10175" s="98"/>
    </row>
    <row r="10176" spans="20:20" x14ac:dyDescent="0.25">
      <c r="T10176" s="98"/>
    </row>
    <row r="10177" spans="20:20" x14ac:dyDescent="0.25">
      <c r="T10177" s="98"/>
    </row>
    <row r="10178" spans="20:20" x14ac:dyDescent="0.25">
      <c r="T10178" s="98"/>
    </row>
    <row r="10179" spans="20:20" x14ac:dyDescent="0.25">
      <c r="T10179" s="98"/>
    </row>
    <row r="10180" spans="20:20" x14ac:dyDescent="0.25">
      <c r="T10180" s="98"/>
    </row>
    <row r="10181" spans="20:20" x14ac:dyDescent="0.25">
      <c r="T10181" s="98"/>
    </row>
    <row r="10182" spans="20:20" x14ac:dyDescent="0.25">
      <c r="T10182" s="98"/>
    </row>
    <row r="10183" spans="20:20" x14ac:dyDescent="0.25">
      <c r="T10183" s="98"/>
    </row>
    <row r="10184" spans="20:20" x14ac:dyDescent="0.25">
      <c r="T10184" s="98"/>
    </row>
    <row r="10185" spans="20:20" x14ac:dyDescent="0.25">
      <c r="T10185" s="98"/>
    </row>
    <row r="10186" spans="20:20" x14ac:dyDescent="0.25">
      <c r="T10186" s="98"/>
    </row>
    <row r="10187" spans="20:20" x14ac:dyDescent="0.25">
      <c r="T10187" s="98"/>
    </row>
    <row r="10188" spans="20:20" x14ac:dyDescent="0.25">
      <c r="T10188" s="98"/>
    </row>
    <row r="10189" spans="20:20" x14ac:dyDescent="0.25">
      <c r="T10189" s="98"/>
    </row>
    <row r="10190" spans="20:20" x14ac:dyDescent="0.25">
      <c r="T10190" s="98"/>
    </row>
    <row r="10191" spans="20:20" x14ac:dyDescent="0.25">
      <c r="T10191" s="98"/>
    </row>
    <row r="10192" spans="20:20" x14ac:dyDescent="0.25">
      <c r="T10192" s="98"/>
    </row>
    <row r="10193" spans="20:20" x14ac:dyDescent="0.25">
      <c r="T10193" s="98"/>
    </row>
    <row r="10194" spans="20:20" x14ac:dyDescent="0.25">
      <c r="T10194" s="98"/>
    </row>
    <row r="10195" spans="20:20" x14ac:dyDescent="0.25">
      <c r="T10195" s="98"/>
    </row>
    <row r="10196" spans="20:20" x14ac:dyDescent="0.25">
      <c r="T10196" s="98"/>
    </row>
    <row r="10197" spans="20:20" x14ac:dyDescent="0.25">
      <c r="T10197" s="98"/>
    </row>
    <row r="10198" spans="20:20" x14ac:dyDescent="0.25">
      <c r="T10198" s="98"/>
    </row>
    <row r="10199" spans="20:20" x14ac:dyDescent="0.25">
      <c r="T10199" s="98"/>
    </row>
    <row r="10200" spans="20:20" x14ac:dyDescent="0.25">
      <c r="T10200" s="98"/>
    </row>
    <row r="10201" spans="20:20" x14ac:dyDescent="0.25">
      <c r="T10201" s="98"/>
    </row>
    <row r="10202" spans="20:20" x14ac:dyDescent="0.25">
      <c r="T10202" s="98"/>
    </row>
    <row r="10203" spans="20:20" x14ac:dyDescent="0.25">
      <c r="T10203" s="98"/>
    </row>
    <row r="10204" spans="20:20" x14ac:dyDescent="0.25">
      <c r="T10204" s="98"/>
    </row>
    <row r="10205" spans="20:20" x14ac:dyDescent="0.25">
      <c r="T10205" s="98"/>
    </row>
    <row r="10206" spans="20:20" x14ac:dyDescent="0.25">
      <c r="T10206" s="98"/>
    </row>
    <row r="10207" spans="20:20" x14ac:dyDescent="0.25">
      <c r="T10207" s="98"/>
    </row>
    <row r="10208" spans="20:20" x14ac:dyDescent="0.25">
      <c r="T10208" s="98"/>
    </row>
    <row r="10209" spans="20:20" x14ac:dyDescent="0.25">
      <c r="T10209" s="98"/>
    </row>
    <row r="10210" spans="20:20" x14ac:dyDescent="0.25">
      <c r="T10210" s="98"/>
    </row>
    <row r="10211" spans="20:20" x14ac:dyDescent="0.25">
      <c r="T10211" s="98"/>
    </row>
    <row r="10212" spans="20:20" x14ac:dyDescent="0.25">
      <c r="T10212" s="98"/>
    </row>
    <row r="10213" spans="20:20" x14ac:dyDescent="0.25">
      <c r="T10213" s="98"/>
    </row>
    <row r="10214" spans="20:20" x14ac:dyDescent="0.25">
      <c r="T10214" s="98"/>
    </row>
    <row r="10215" spans="20:20" x14ac:dyDescent="0.25">
      <c r="T10215" s="98"/>
    </row>
    <row r="10216" spans="20:20" x14ac:dyDescent="0.25">
      <c r="T10216" s="98"/>
    </row>
    <row r="10217" spans="20:20" x14ac:dyDescent="0.25">
      <c r="T10217" s="98"/>
    </row>
    <row r="10218" spans="20:20" x14ac:dyDescent="0.25">
      <c r="T10218" s="98"/>
    </row>
    <row r="10219" spans="20:20" x14ac:dyDescent="0.25">
      <c r="T10219" s="98"/>
    </row>
    <row r="10220" spans="20:20" x14ac:dyDescent="0.25">
      <c r="T10220" s="98"/>
    </row>
    <row r="10221" spans="20:20" x14ac:dyDescent="0.25">
      <c r="T10221" s="98"/>
    </row>
    <row r="10222" spans="20:20" x14ac:dyDescent="0.25">
      <c r="T10222" s="98"/>
    </row>
    <row r="10223" spans="20:20" x14ac:dyDescent="0.25">
      <c r="T10223" s="98"/>
    </row>
    <row r="10224" spans="20:20" x14ac:dyDescent="0.25">
      <c r="T10224" s="98"/>
    </row>
    <row r="10225" spans="20:20" x14ac:dyDescent="0.25">
      <c r="T10225" s="98"/>
    </row>
    <row r="10226" spans="20:20" x14ac:dyDescent="0.25">
      <c r="T10226" s="98"/>
    </row>
    <row r="10227" spans="20:20" x14ac:dyDescent="0.25">
      <c r="T10227" s="98"/>
    </row>
    <row r="10228" spans="20:20" x14ac:dyDescent="0.25">
      <c r="T10228" s="98"/>
    </row>
    <row r="10229" spans="20:20" x14ac:dyDescent="0.25">
      <c r="T10229" s="98"/>
    </row>
    <row r="10230" spans="20:20" x14ac:dyDescent="0.25">
      <c r="T10230" s="98"/>
    </row>
    <row r="10231" spans="20:20" x14ac:dyDescent="0.25">
      <c r="T10231" s="98"/>
    </row>
    <row r="10232" spans="20:20" x14ac:dyDescent="0.25">
      <c r="T10232" s="98"/>
    </row>
    <row r="10233" spans="20:20" x14ac:dyDescent="0.25">
      <c r="T10233" s="98"/>
    </row>
    <row r="10234" spans="20:20" x14ac:dyDescent="0.25">
      <c r="T10234" s="98"/>
    </row>
    <row r="10235" spans="20:20" x14ac:dyDescent="0.25">
      <c r="T10235" s="98"/>
    </row>
    <row r="10236" spans="20:20" x14ac:dyDescent="0.25">
      <c r="T10236" s="98"/>
    </row>
    <row r="10237" spans="20:20" x14ac:dyDescent="0.25">
      <c r="T10237" s="98"/>
    </row>
    <row r="10238" spans="20:20" x14ac:dyDescent="0.25">
      <c r="T10238" s="98"/>
    </row>
    <row r="10239" spans="20:20" x14ac:dyDescent="0.25">
      <c r="T10239" s="98"/>
    </row>
    <row r="10240" spans="20:20" x14ac:dyDescent="0.25">
      <c r="T10240" s="98"/>
    </row>
    <row r="10241" spans="20:20" x14ac:dyDescent="0.25">
      <c r="T10241" s="98"/>
    </row>
    <row r="10242" spans="20:20" x14ac:dyDescent="0.25">
      <c r="T10242" s="98"/>
    </row>
    <row r="10243" spans="20:20" x14ac:dyDescent="0.25">
      <c r="T10243" s="98"/>
    </row>
    <row r="10244" spans="20:20" x14ac:dyDescent="0.25">
      <c r="T10244" s="98"/>
    </row>
    <row r="10245" spans="20:20" x14ac:dyDescent="0.25">
      <c r="T10245" s="98"/>
    </row>
    <row r="10246" spans="20:20" x14ac:dyDescent="0.25">
      <c r="T10246" s="98"/>
    </row>
    <row r="10247" spans="20:20" x14ac:dyDescent="0.25">
      <c r="T10247" s="98"/>
    </row>
    <row r="10248" spans="20:20" x14ac:dyDescent="0.25">
      <c r="T10248" s="98"/>
    </row>
    <row r="10249" spans="20:20" x14ac:dyDescent="0.25">
      <c r="T10249" s="98"/>
    </row>
    <row r="10250" spans="20:20" x14ac:dyDescent="0.25">
      <c r="T10250" s="98"/>
    </row>
    <row r="10251" spans="20:20" x14ac:dyDescent="0.25">
      <c r="T10251" s="98"/>
    </row>
    <row r="10252" spans="20:20" x14ac:dyDescent="0.25">
      <c r="T10252" s="98"/>
    </row>
    <row r="10253" spans="20:20" x14ac:dyDescent="0.25">
      <c r="T10253" s="98"/>
    </row>
    <row r="10254" spans="20:20" x14ac:dyDescent="0.25">
      <c r="T10254" s="98"/>
    </row>
    <row r="10255" spans="20:20" x14ac:dyDescent="0.25">
      <c r="T10255" s="98"/>
    </row>
    <row r="10256" spans="20:20" x14ac:dyDescent="0.25">
      <c r="T10256" s="98"/>
    </row>
    <row r="10257" spans="20:20" x14ac:dyDescent="0.25">
      <c r="T10257" s="98"/>
    </row>
    <row r="10258" spans="20:20" x14ac:dyDescent="0.25">
      <c r="T10258" s="98"/>
    </row>
    <row r="10259" spans="20:20" x14ac:dyDescent="0.25">
      <c r="T10259" s="98"/>
    </row>
    <row r="10260" spans="20:20" x14ac:dyDescent="0.25">
      <c r="T10260" s="98"/>
    </row>
    <row r="10261" spans="20:20" x14ac:dyDescent="0.25">
      <c r="T10261" s="98"/>
    </row>
    <row r="10262" spans="20:20" x14ac:dyDescent="0.25">
      <c r="T10262" s="98"/>
    </row>
    <row r="10263" spans="20:20" x14ac:dyDescent="0.25">
      <c r="T10263" s="98"/>
    </row>
    <row r="10264" spans="20:20" x14ac:dyDescent="0.25">
      <c r="T10264" s="98"/>
    </row>
    <row r="10265" spans="20:20" x14ac:dyDescent="0.25">
      <c r="T10265" s="98"/>
    </row>
    <row r="10266" spans="20:20" x14ac:dyDescent="0.25">
      <c r="T10266" s="98"/>
    </row>
    <row r="10267" spans="20:20" x14ac:dyDescent="0.25">
      <c r="T10267" s="98"/>
    </row>
    <row r="10268" spans="20:20" x14ac:dyDescent="0.25">
      <c r="T10268" s="98"/>
    </row>
    <row r="10269" spans="20:20" x14ac:dyDescent="0.25">
      <c r="T10269" s="98"/>
    </row>
    <row r="10270" spans="20:20" x14ac:dyDescent="0.25">
      <c r="T10270" s="98"/>
    </row>
    <row r="10271" spans="20:20" x14ac:dyDescent="0.25">
      <c r="T10271" s="98"/>
    </row>
    <row r="10272" spans="20:20" x14ac:dyDescent="0.25">
      <c r="T10272" s="98"/>
    </row>
    <row r="10273" spans="20:20" x14ac:dyDescent="0.25">
      <c r="T10273" s="98"/>
    </row>
    <row r="10274" spans="20:20" x14ac:dyDescent="0.25">
      <c r="T10274" s="98"/>
    </row>
    <row r="10275" spans="20:20" x14ac:dyDescent="0.25">
      <c r="T10275" s="98"/>
    </row>
    <row r="10276" spans="20:20" x14ac:dyDescent="0.25">
      <c r="T10276" s="98"/>
    </row>
    <row r="10277" spans="20:20" x14ac:dyDescent="0.25">
      <c r="T10277" s="98"/>
    </row>
    <row r="10278" spans="20:20" x14ac:dyDescent="0.25">
      <c r="T10278" s="98"/>
    </row>
    <row r="10279" spans="20:20" x14ac:dyDescent="0.25">
      <c r="T10279" s="98"/>
    </row>
    <row r="10280" spans="20:20" x14ac:dyDescent="0.25">
      <c r="T10280" s="98"/>
    </row>
    <row r="10281" spans="20:20" x14ac:dyDescent="0.25">
      <c r="T10281" s="98"/>
    </row>
    <row r="10282" spans="20:20" x14ac:dyDescent="0.25">
      <c r="T10282" s="98"/>
    </row>
    <row r="10283" spans="20:20" x14ac:dyDescent="0.25">
      <c r="T10283" s="98"/>
    </row>
    <row r="10284" spans="20:20" x14ac:dyDescent="0.25">
      <c r="T10284" s="98"/>
    </row>
    <row r="10285" spans="20:20" x14ac:dyDescent="0.25">
      <c r="T10285" s="98"/>
    </row>
    <row r="10286" spans="20:20" x14ac:dyDescent="0.25">
      <c r="T10286" s="98"/>
    </row>
    <row r="10287" spans="20:20" x14ac:dyDescent="0.25">
      <c r="T10287" s="98"/>
    </row>
    <row r="10288" spans="20:20" x14ac:dyDescent="0.25">
      <c r="T10288" s="98"/>
    </row>
    <row r="10289" spans="20:20" x14ac:dyDescent="0.25">
      <c r="T10289" s="98"/>
    </row>
    <row r="10290" spans="20:20" x14ac:dyDescent="0.25">
      <c r="T10290" s="98"/>
    </row>
    <row r="10291" spans="20:20" x14ac:dyDescent="0.25">
      <c r="T10291" s="98"/>
    </row>
    <row r="10292" spans="20:20" x14ac:dyDescent="0.25">
      <c r="T10292" s="98"/>
    </row>
    <row r="10293" spans="20:20" x14ac:dyDescent="0.25">
      <c r="T10293" s="98"/>
    </row>
    <row r="10294" spans="20:20" x14ac:dyDescent="0.25">
      <c r="T10294" s="98"/>
    </row>
    <row r="10295" spans="20:20" x14ac:dyDescent="0.25">
      <c r="T10295" s="98"/>
    </row>
    <row r="10296" spans="20:20" x14ac:dyDescent="0.25">
      <c r="T10296" s="98"/>
    </row>
    <row r="10297" spans="20:20" x14ac:dyDescent="0.25">
      <c r="T10297" s="98"/>
    </row>
    <row r="10298" spans="20:20" x14ac:dyDescent="0.25">
      <c r="T10298" s="98"/>
    </row>
    <row r="10299" spans="20:20" x14ac:dyDescent="0.25">
      <c r="T10299" s="98"/>
    </row>
    <row r="10300" spans="20:20" x14ac:dyDescent="0.25">
      <c r="T10300" s="98"/>
    </row>
    <row r="10301" spans="20:20" x14ac:dyDescent="0.25">
      <c r="T10301" s="98"/>
    </row>
    <row r="10302" spans="20:20" x14ac:dyDescent="0.25">
      <c r="T10302" s="98"/>
    </row>
    <row r="10303" spans="20:20" x14ac:dyDescent="0.25">
      <c r="T10303" s="98"/>
    </row>
    <row r="10304" spans="20:20" x14ac:dyDescent="0.25">
      <c r="T10304" s="98"/>
    </row>
    <row r="10305" spans="20:20" x14ac:dyDescent="0.25">
      <c r="T10305" s="98"/>
    </row>
    <row r="10306" spans="20:20" x14ac:dyDescent="0.25">
      <c r="T10306" s="98"/>
    </row>
    <row r="10307" spans="20:20" x14ac:dyDescent="0.25">
      <c r="T10307" s="98"/>
    </row>
    <row r="10308" spans="20:20" x14ac:dyDescent="0.25">
      <c r="T10308" s="98"/>
    </row>
    <row r="10309" spans="20:20" x14ac:dyDescent="0.25">
      <c r="T10309" s="98"/>
    </row>
    <row r="10310" spans="20:20" x14ac:dyDescent="0.25">
      <c r="T10310" s="98"/>
    </row>
    <row r="10311" spans="20:20" x14ac:dyDescent="0.25">
      <c r="T10311" s="98"/>
    </row>
    <row r="10312" spans="20:20" x14ac:dyDescent="0.25">
      <c r="T10312" s="98"/>
    </row>
    <row r="10313" spans="20:20" x14ac:dyDescent="0.25">
      <c r="T10313" s="98"/>
    </row>
    <row r="10314" spans="20:20" x14ac:dyDescent="0.25">
      <c r="T10314" s="98"/>
    </row>
    <row r="10315" spans="20:20" x14ac:dyDescent="0.25">
      <c r="T10315" s="98"/>
    </row>
    <row r="10316" spans="20:20" x14ac:dyDescent="0.25">
      <c r="T10316" s="98"/>
    </row>
    <row r="10317" spans="20:20" x14ac:dyDescent="0.25">
      <c r="T10317" s="98"/>
    </row>
    <row r="10318" spans="20:20" x14ac:dyDescent="0.25">
      <c r="T10318" s="98"/>
    </row>
    <row r="10319" spans="20:20" x14ac:dyDescent="0.25">
      <c r="T10319" s="98"/>
    </row>
    <row r="10320" spans="20:20" x14ac:dyDescent="0.25">
      <c r="T10320" s="98"/>
    </row>
    <row r="10321" spans="20:20" x14ac:dyDescent="0.25">
      <c r="T10321" s="98"/>
    </row>
    <row r="10322" spans="20:20" x14ac:dyDescent="0.25">
      <c r="T10322" s="98"/>
    </row>
    <row r="10323" spans="20:20" x14ac:dyDescent="0.25">
      <c r="T10323" s="98"/>
    </row>
    <row r="10324" spans="20:20" x14ac:dyDescent="0.25">
      <c r="T10324" s="98"/>
    </row>
    <row r="10325" spans="20:20" x14ac:dyDescent="0.25">
      <c r="T10325" s="98"/>
    </row>
    <row r="10326" spans="20:20" x14ac:dyDescent="0.25">
      <c r="T10326" s="98"/>
    </row>
    <row r="10327" spans="20:20" x14ac:dyDescent="0.25">
      <c r="T10327" s="98"/>
    </row>
    <row r="10328" spans="20:20" x14ac:dyDescent="0.25">
      <c r="T10328" s="98"/>
    </row>
    <row r="10329" spans="20:20" x14ac:dyDescent="0.25">
      <c r="T10329" s="98"/>
    </row>
    <row r="10330" spans="20:20" x14ac:dyDescent="0.25">
      <c r="T10330" s="98"/>
    </row>
    <row r="10331" spans="20:20" x14ac:dyDescent="0.25">
      <c r="T10331" s="98"/>
    </row>
    <row r="10332" spans="20:20" x14ac:dyDescent="0.25">
      <c r="T10332" s="98"/>
    </row>
    <row r="10333" spans="20:20" x14ac:dyDescent="0.25">
      <c r="T10333" s="98"/>
    </row>
    <row r="10334" spans="20:20" x14ac:dyDescent="0.25">
      <c r="T10334" s="98"/>
    </row>
    <row r="10335" spans="20:20" x14ac:dyDescent="0.25">
      <c r="T10335" s="98"/>
    </row>
    <row r="10336" spans="20:20" x14ac:dyDescent="0.25">
      <c r="T10336" s="98"/>
    </row>
    <row r="10337" spans="20:20" x14ac:dyDescent="0.25">
      <c r="T10337" s="98"/>
    </row>
    <row r="10338" spans="20:20" x14ac:dyDescent="0.25">
      <c r="T10338" s="98"/>
    </row>
    <row r="10339" spans="20:20" x14ac:dyDescent="0.25">
      <c r="T10339" s="98"/>
    </row>
    <row r="10340" spans="20:20" x14ac:dyDescent="0.25">
      <c r="T10340" s="98"/>
    </row>
    <row r="10341" spans="20:20" x14ac:dyDescent="0.25">
      <c r="T10341" s="98"/>
    </row>
    <row r="10342" spans="20:20" x14ac:dyDescent="0.25">
      <c r="T10342" s="98"/>
    </row>
    <row r="10343" spans="20:20" x14ac:dyDescent="0.25">
      <c r="T10343" s="98"/>
    </row>
    <row r="10344" spans="20:20" x14ac:dyDescent="0.25">
      <c r="T10344" s="98"/>
    </row>
    <row r="10345" spans="20:20" x14ac:dyDescent="0.25">
      <c r="T10345" s="98"/>
    </row>
    <row r="10346" spans="20:20" x14ac:dyDescent="0.25">
      <c r="T10346" s="98"/>
    </row>
    <row r="10347" spans="20:20" x14ac:dyDescent="0.25">
      <c r="T10347" s="98"/>
    </row>
    <row r="10348" spans="20:20" x14ac:dyDescent="0.25">
      <c r="T10348" s="98"/>
    </row>
    <row r="10349" spans="20:20" x14ac:dyDescent="0.25">
      <c r="T10349" s="98"/>
    </row>
    <row r="10350" spans="20:20" x14ac:dyDescent="0.25">
      <c r="T10350" s="98"/>
    </row>
    <row r="10351" spans="20:20" x14ac:dyDescent="0.25">
      <c r="T10351" s="98"/>
    </row>
    <row r="10352" spans="20:20" x14ac:dyDescent="0.25">
      <c r="T10352" s="98"/>
    </row>
    <row r="10353" spans="20:20" x14ac:dyDescent="0.25">
      <c r="T10353" s="98"/>
    </row>
    <row r="10354" spans="20:20" x14ac:dyDescent="0.25">
      <c r="T10354" s="98"/>
    </row>
    <row r="10355" spans="20:20" x14ac:dyDescent="0.25">
      <c r="T10355" s="98"/>
    </row>
    <row r="10356" spans="20:20" x14ac:dyDescent="0.25">
      <c r="T10356" s="98"/>
    </row>
    <row r="10357" spans="20:20" x14ac:dyDescent="0.25">
      <c r="T10357" s="98"/>
    </row>
    <row r="10358" spans="20:20" x14ac:dyDescent="0.25">
      <c r="T10358" s="98"/>
    </row>
    <row r="10359" spans="20:20" x14ac:dyDescent="0.25">
      <c r="T10359" s="98"/>
    </row>
    <row r="10360" spans="20:20" x14ac:dyDescent="0.25">
      <c r="T10360" s="98"/>
    </row>
    <row r="10361" spans="20:20" x14ac:dyDescent="0.25">
      <c r="T10361" s="98"/>
    </row>
    <row r="10362" spans="20:20" x14ac:dyDescent="0.25">
      <c r="T10362" s="98"/>
    </row>
    <row r="10363" spans="20:20" x14ac:dyDescent="0.25">
      <c r="T10363" s="98"/>
    </row>
    <row r="10364" spans="20:20" x14ac:dyDescent="0.25">
      <c r="T10364" s="98"/>
    </row>
    <row r="10365" spans="20:20" x14ac:dyDescent="0.25">
      <c r="T10365" s="98"/>
    </row>
    <row r="10366" spans="20:20" x14ac:dyDescent="0.25">
      <c r="T10366" s="98"/>
    </row>
    <row r="10367" spans="20:20" x14ac:dyDescent="0.25">
      <c r="T10367" s="98"/>
    </row>
    <row r="10368" spans="20:20" x14ac:dyDescent="0.25">
      <c r="T10368" s="98"/>
    </row>
    <row r="10369" spans="20:20" x14ac:dyDescent="0.25">
      <c r="T10369" s="98"/>
    </row>
    <row r="10370" spans="20:20" x14ac:dyDescent="0.25">
      <c r="T10370" s="98"/>
    </row>
    <row r="10371" spans="20:20" x14ac:dyDescent="0.25">
      <c r="T10371" s="98"/>
    </row>
    <row r="10372" spans="20:20" x14ac:dyDescent="0.25">
      <c r="T10372" s="98"/>
    </row>
    <row r="10373" spans="20:20" x14ac:dyDescent="0.25">
      <c r="T10373" s="98"/>
    </row>
    <row r="10374" spans="20:20" x14ac:dyDescent="0.25">
      <c r="T10374" s="98"/>
    </row>
    <row r="10375" spans="20:20" x14ac:dyDescent="0.25">
      <c r="T10375" s="98"/>
    </row>
    <row r="10376" spans="20:20" x14ac:dyDescent="0.25">
      <c r="T10376" s="98"/>
    </row>
    <row r="10377" spans="20:20" x14ac:dyDescent="0.25">
      <c r="T10377" s="98"/>
    </row>
    <row r="10378" spans="20:20" x14ac:dyDescent="0.25">
      <c r="T10378" s="98"/>
    </row>
    <row r="10379" spans="20:20" x14ac:dyDescent="0.25">
      <c r="T10379" s="98"/>
    </row>
    <row r="10380" spans="20:20" x14ac:dyDescent="0.25">
      <c r="T10380" s="98"/>
    </row>
    <row r="10381" spans="20:20" x14ac:dyDescent="0.25">
      <c r="T10381" s="98"/>
    </row>
    <row r="10382" spans="20:20" x14ac:dyDescent="0.25">
      <c r="T10382" s="98"/>
    </row>
    <row r="10383" spans="20:20" x14ac:dyDescent="0.25">
      <c r="T10383" s="98"/>
    </row>
    <row r="10384" spans="20:20" x14ac:dyDescent="0.25">
      <c r="T10384" s="98"/>
    </row>
    <row r="10385" spans="20:20" x14ac:dyDescent="0.25">
      <c r="T10385" s="98"/>
    </row>
    <row r="10386" spans="20:20" x14ac:dyDescent="0.25">
      <c r="T10386" s="98"/>
    </row>
    <row r="10387" spans="20:20" x14ac:dyDescent="0.25">
      <c r="T10387" s="98"/>
    </row>
    <row r="10388" spans="20:20" x14ac:dyDescent="0.25">
      <c r="T10388" s="98"/>
    </row>
    <row r="10389" spans="20:20" x14ac:dyDescent="0.25">
      <c r="T10389" s="98"/>
    </row>
    <row r="10390" spans="20:20" x14ac:dyDescent="0.25">
      <c r="T10390" s="98"/>
    </row>
    <row r="10391" spans="20:20" x14ac:dyDescent="0.25">
      <c r="T10391" s="98"/>
    </row>
    <row r="10392" spans="20:20" x14ac:dyDescent="0.25">
      <c r="T10392" s="98"/>
    </row>
    <row r="10393" spans="20:20" x14ac:dyDescent="0.25">
      <c r="T10393" s="98"/>
    </row>
    <row r="10394" spans="20:20" x14ac:dyDescent="0.25">
      <c r="T10394" s="98"/>
    </row>
    <row r="10395" spans="20:20" x14ac:dyDescent="0.25">
      <c r="T10395" s="98"/>
    </row>
    <row r="10396" spans="20:20" x14ac:dyDescent="0.25">
      <c r="T10396" s="98"/>
    </row>
    <row r="10397" spans="20:20" x14ac:dyDescent="0.25">
      <c r="T10397" s="98"/>
    </row>
    <row r="10398" spans="20:20" x14ac:dyDescent="0.25">
      <c r="T10398" s="98"/>
    </row>
    <row r="10399" spans="20:20" x14ac:dyDescent="0.25">
      <c r="T10399" s="98"/>
    </row>
    <row r="10400" spans="20:20" x14ac:dyDescent="0.25">
      <c r="T10400" s="98"/>
    </row>
    <row r="10401" spans="20:20" x14ac:dyDescent="0.25">
      <c r="T10401" s="98"/>
    </row>
    <row r="10402" spans="20:20" x14ac:dyDescent="0.25">
      <c r="T10402" s="98"/>
    </row>
    <row r="10403" spans="20:20" x14ac:dyDescent="0.25">
      <c r="T10403" s="98"/>
    </row>
    <row r="10404" spans="20:20" x14ac:dyDescent="0.25">
      <c r="T10404" s="98"/>
    </row>
    <row r="10405" spans="20:20" x14ac:dyDescent="0.25">
      <c r="T10405" s="98"/>
    </row>
    <row r="10406" spans="20:20" x14ac:dyDescent="0.25">
      <c r="T10406" s="98"/>
    </row>
    <row r="10407" spans="20:20" x14ac:dyDescent="0.25">
      <c r="T10407" s="98"/>
    </row>
    <row r="10408" spans="20:20" x14ac:dyDescent="0.25">
      <c r="T10408" s="98"/>
    </row>
    <row r="10409" spans="20:20" x14ac:dyDescent="0.25">
      <c r="T10409" s="98"/>
    </row>
    <row r="10410" spans="20:20" x14ac:dyDescent="0.25">
      <c r="T10410" s="98"/>
    </row>
    <row r="10411" spans="20:20" x14ac:dyDescent="0.25">
      <c r="T10411" s="98"/>
    </row>
    <row r="10412" spans="20:20" x14ac:dyDescent="0.25">
      <c r="T10412" s="98"/>
    </row>
    <row r="10413" spans="20:20" x14ac:dyDescent="0.25">
      <c r="T10413" s="98"/>
    </row>
    <row r="10414" spans="20:20" x14ac:dyDescent="0.25">
      <c r="T10414" s="98"/>
    </row>
    <row r="10415" spans="20:20" x14ac:dyDescent="0.25">
      <c r="T10415" s="98"/>
    </row>
    <row r="10416" spans="20:20" x14ac:dyDescent="0.25">
      <c r="T10416" s="98"/>
    </row>
    <row r="10417" spans="20:20" x14ac:dyDescent="0.25">
      <c r="T10417" s="98"/>
    </row>
    <row r="10418" spans="20:20" x14ac:dyDescent="0.25">
      <c r="T10418" s="98"/>
    </row>
    <row r="10419" spans="20:20" x14ac:dyDescent="0.25">
      <c r="T10419" s="98"/>
    </row>
    <row r="10420" spans="20:20" x14ac:dyDescent="0.25">
      <c r="T10420" s="98"/>
    </row>
    <row r="10421" spans="20:20" x14ac:dyDescent="0.25">
      <c r="T10421" s="98"/>
    </row>
    <row r="10422" spans="20:20" x14ac:dyDescent="0.25">
      <c r="T10422" s="98"/>
    </row>
    <row r="10423" spans="20:20" x14ac:dyDescent="0.25">
      <c r="T10423" s="98"/>
    </row>
    <row r="10424" spans="20:20" x14ac:dyDescent="0.25">
      <c r="T10424" s="98"/>
    </row>
    <row r="10425" spans="20:20" x14ac:dyDescent="0.25">
      <c r="T10425" s="98"/>
    </row>
    <row r="10426" spans="20:20" x14ac:dyDescent="0.25">
      <c r="T10426" s="98"/>
    </row>
    <row r="10427" spans="20:20" x14ac:dyDescent="0.25">
      <c r="T10427" s="98"/>
    </row>
    <row r="10428" spans="20:20" x14ac:dyDescent="0.25">
      <c r="T10428" s="98"/>
    </row>
    <row r="10429" spans="20:20" x14ac:dyDescent="0.25">
      <c r="T10429" s="98"/>
    </row>
    <row r="10430" spans="20:20" x14ac:dyDescent="0.25">
      <c r="T10430" s="98"/>
    </row>
    <row r="10431" spans="20:20" x14ac:dyDescent="0.25">
      <c r="T10431" s="98"/>
    </row>
    <row r="10432" spans="20:20" x14ac:dyDescent="0.25">
      <c r="T10432" s="98"/>
    </row>
    <row r="10433" spans="20:20" x14ac:dyDescent="0.25">
      <c r="T10433" s="98"/>
    </row>
    <row r="10434" spans="20:20" x14ac:dyDescent="0.25">
      <c r="T10434" s="98"/>
    </row>
    <row r="10435" spans="20:20" x14ac:dyDescent="0.25">
      <c r="T10435" s="98"/>
    </row>
    <row r="10436" spans="20:20" x14ac:dyDescent="0.25">
      <c r="T10436" s="98"/>
    </row>
    <row r="10437" spans="20:20" x14ac:dyDescent="0.25">
      <c r="T10437" s="98"/>
    </row>
    <row r="10438" spans="20:20" x14ac:dyDescent="0.25">
      <c r="T10438" s="98"/>
    </row>
    <row r="10439" spans="20:20" x14ac:dyDescent="0.25">
      <c r="T10439" s="98"/>
    </row>
    <row r="10440" spans="20:20" x14ac:dyDescent="0.25">
      <c r="T10440" s="98"/>
    </row>
    <row r="10441" spans="20:20" x14ac:dyDescent="0.25">
      <c r="T10441" s="98"/>
    </row>
    <row r="10442" spans="20:20" x14ac:dyDescent="0.25">
      <c r="T10442" s="98"/>
    </row>
    <row r="10443" spans="20:20" x14ac:dyDescent="0.25">
      <c r="T10443" s="98"/>
    </row>
    <row r="10444" spans="20:20" x14ac:dyDescent="0.25">
      <c r="T10444" s="98"/>
    </row>
    <row r="10445" spans="20:20" x14ac:dyDescent="0.25">
      <c r="T10445" s="98"/>
    </row>
    <row r="10446" spans="20:20" x14ac:dyDescent="0.25">
      <c r="T10446" s="98"/>
    </row>
    <row r="10447" spans="20:20" x14ac:dyDescent="0.25">
      <c r="T10447" s="98"/>
    </row>
    <row r="10448" spans="20:20" x14ac:dyDescent="0.25">
      <c r="T10448" s="98"/>
    </row>
    <row r="10449" spans="20:20" x14ac:dyDescent="0.25">
      <c r="T10449" s="98"/>
    </row>
    <row r="10450" spans="20:20" x14ac:dyDescent="0.25">
      <c r="T10450" s="98"/>
    </row>
    <row r="10451" spans="20:20" x14ac:dyDescent="0.25">
      <c r="T10451" s="98"/>
    </row>
    <row r="10452" spans="20:20" x14ac:dyDescent="0.25">
      <c r="T10452" s="98"/>
    </row>
    <row r="10453" spans="20:20" x14ac:dyDescent="0.25">
      <c r="T10453" s="98"/>
    </row>
    <row r="10454" spans="20:20" x14ac:dyDescent="0.25">
      <c r="T10454" s="98"/>
    </row>
    <row r="10455" spans="20:20" x14ac:dyDescent="0.25">
      <c r="T10455" s="98"/>
    </row>
    <row r="10456" spans="20:20" x14ac:dyDescent="0.25">
      <c r="T10456" s="98"/>
    </row>
    <row r="10457" spans="20:20" x14ac:dyDescent="0.25">
      <c r="T10457" s="98"/>
    </row>
    <row r="10458" spans="20:20" x14ac:dyDescent="0.25">
      <c r="T10458" s="98"/>
    </row>
    <row r="10459" spans="20:20" x14ac:dyDescent="0.25">
      <c r="T10459" s="98"/>
    </row>
    <row r="10460" spans="20:20" x14ac:dyDescent="0.25">
      <c r="T10460" s="98"/>
    </row>
    <row r="10461" spans="20:20" x14ac:dyDescent="0.25">
      <c r="T10461" s="98"/>
    </row>
    <row r="10462" spans="20:20" x14ac:dyDescent="0.25">
      <c r="T10462" s="98"/>
    </row>
    <row r="10463" spans="20:20" x14ac:dyDescent="0.25">
      <c r="T10463" s="98"/>
    </row>
    <row r="10464" spans="20:20" x14ac:dyDescent="0.25">
      <c r="T10464" s="98"/>
    </row>
    <row r="10465" spans="20:20" x14ac:dyDescent="0.25">
      <c r="T10465" s="98"/>
    </row>
    <row r="10466" spans="20:20" x14ac:dyDescent="0.25">
      <c r="T10466" s="98"/>
    </row>
    <row r="10467" spans="20:20" x14ac:dyDescent="0.25">
      <c r="T10467" s="98"/>
    </row>
    <row r="10468" spans="20:20" x14ac:dyDescent="0.25">
      <c r="T10468" s="98"/>
    </row>
    <row r="10469" spans="20:20" x14ac:dyDescent="0.25">
      <c r="T10469" s="98"/>
    </row>
    <row r="10470" spans="20:20" x14ac:dyDescent="0.25">
      <c r="T10470" s="98"/>
    </row>
    <row r="10471" spans="20:20" x14ac:dyDescent="0.25">
      <c r="T10471" s="98"/>
    </row>
    <row r="10472" spans="20:20" x14ac:dyDescent="0.25">
      <c r="T10472" s="98"/>
    </row>
    <row r="10473" spans="20:20" x14ac:dyDescent="0.25">
      <c r="T10473" s="98"/>
    </row>
    <row r="10474" spans="20:20" x14ac:dyDescent="0.25">
      <c r="T10474" s="98"/>
    </row>
    <row r="10475" spans="20:20" x14ac:dyDescent="0.25">
      <c r="T10475" s="98"/>
    </row>
    <row r="10476" spans="20:20" x14ac:dyDescent="0.25">
      <c r="T10476" s="98"/>
    </row>
    <row r="10477" spans="20:20" x14ac:dyDescent="0.25">
      <c r="T10477" s="98"/>
    </row>
    <row r="10478" spans="20:20" x14ac:dyDescent="0.25">
      <c r="T10478" s="98"/>
    </row>
    <row r="10479" spans="20:20" x14ac:dyDescent="0.25">
      <c r="T10479" s="98"/>
    </row>
    <row r="10480" spans="20:20" x14ac:dyDescent="0.25">
      <c r="T10480" s="98"/>
    </row>
    <row r="10481" spans="20:20" x14ac:dyDescent="0.25">
      <c r="T10481" s="98"/>
    </row>
    <row r="10482" spans="20:20" x14ac:dyDescent="0.25">
      <c r="T10482" s="98"/>
    </row>
    <row r="10483" spans="20:20" x14ac:dyDescent="0.25">
      <c r="T10483" s="98"/>
    </row>
    <row r="10484" spans="20:20" x14ac:dyDescent="0.25">
      <c r="T10484" s="98"/>
    </row>
    <row r="10485" spans="20:20" x14ac:dyDescent="0.25">
      <c r="T10485" s="98"/>
    </row>
    <row r="10486" spans="20:20" x14ac:dyDescent="0.25">
      <c r="T10486" s="98"/>
    </row>
    <row r="10487" spans="20:20" x14ac:dyDescent="0.25">
      <c r="T10487" s="98"/>
    </row>
    <row r="10488" spans="20:20" x14ac:dyDescent="0.25">
      <c r="T10488" s="98"/>
    </row>
    <row r="10489" spans="20:20" x14ac:dyDescent="0.25">
      <c r="T10489" s="98"/>
    </row>
    <row r="10490" spans="20:20" x14ac:dyDescent="0.25">
      <c r="T10490" s="98"/>
    </row>
    <row r="10491" spans="20:20" x14ac:dyDescent="0.25">
      <c r="T10491" s="98"/>
    </row>
    <row r="10492" spans="20:20" x14ac:dyDescent="0.25">
      <c r="T10492" s="98"/>
    </row>
    <row r="10493" spans="20:20" x14ac:dyDescent="0.25">
      <c r="T10493" s="98"/>
    </row>
    <row r="10494" spans="20:20" x14ac:dyDescent="0.25">
      <c r="T10494" s="98"/>
    </row>
    <row r="10495" spans="20:20" x14ac:dyDescent="0.25">
      <c r="T10495" s="98"/>
    </row>
    <row r="10496" spans="20:20" x14ac:dyDescent="0.25">
      <c r="T10496" s="98"/>
    </row>
    <row r="10497" spans="20:20" x14ac:dyDescent="0.25">
      <c r="T10497" s="98"/>
    </row>
    <row r="10498" spans="20:20" x14ac:dyDescent="0.25">
      <c r="T10498" s="98"/>
    </row>
    <row r="10499" spans="20:20" x14ac:dyDescent="0.25">
      <c r="T10499" s="98"/>
    </row>
    <row r="10500" spans="20:20" x14ac:dyDescent="0.25">
      <c r="T10500" s="98"/>
    </row>
    <row r="10501" spans="20:20" x14ac:dyDescent="0.25">
      <c r="T10501" s="98"/>
    </row>
    <row r="10502" spans="20:20" x14ac:dyDescent="0.25">
      <c r="T10502" s="98"/>
    </row>
    <row r="10503" spans="20:20" x14ac:dyDescent="0.25">
      <c r="T10503" s="98"/>
    </row>
    <row r="10504" spans="20:20" x14ac:dyDescent="0.25">
      <c r="T10504" s="98"/>
    </row>
    <row r="10505" spans="20:20" x14ac:dyDescent="0.25">
      <c r="T10505" s="98"/>
    </row>
    <row r="10506" spans="20:20" x14ac:dyDescent="0.25">
      <c r="T10506" s="98"/>
    </row>
    <row r="10507" spans="20:20" x14ac:dyDescent="0.25">
      <c r="T10507" s="98"/>
    </row>
    <row r="10508" spans="20:20" x14ac:dyDescent="0.25">
      <c r="T10508" s="98"/>
    </row>
    <row r="10509" spans="20:20" x14ac:dyDescent="0.25">
      <c r="T10509" s="98"/>
    </row>
    <row r="10510" spans="20:20" x14ac:dyDescent="0.25">
      <c r="T10510" s="98"/>
    </row>
    <row r="10511" spans="20:20" x14ac:dyDescent="0.25">
      <c r="T10511" s="98"/>
    </row>
    <row r="10512" spans="20:20" x14ac:dyDescent="0.25">
      <c r="T10512" s="98"/>
    </row>
    <row r="10513" spans="20:20" x14ac:dyDescent="0.25">
      <c r="T10513" s="98"/>
    </row>
    <row r="10514" spans="20:20" x14ac:dyDescent="0.25">
      <c r="T10514" s="98"/>
    </row>
    <row r="10515" spans="20:20" x14ac:dyDescent="0.25">
      <c r="T10515" s="98"/>
    </row>
    <row r="10516" spans="20:20" x14ac:dyDescent="0.25">
      <c r="T10516" s="98"/>
    </row>
    <row r="10517" spans="20:20" x14ac:dyDescent="0.25">
      <c r="T10517" s="98"/>
    </row>
    <row r="10518" spans="20:20" x14ac:dyDescent="0.25">
      <c r="T10518" s="98"/>
    </row>
    <row r="10519" spans="20:20" x14ac:dyDescent="0.25">
      <c r="T10519" s="98"/>
    </row>
    <row r="10520" spans="20:20" x14ac:dyDescent="0.25">
      <c r="T10520" s="98"/>
    </row>
    <row r="10521" spans="20:20" x14ac:dyDescent="0.25">
      <c r="T10521" s="98"/>
    </row>
    <row r="10522" spans="20:20" x14ac:dyDescent="0.25">
      <c r="T10522" s="98"/>
    </row>
    <row r="10523" spans="20:20" x14ac:dyDescent="0.25">
      <c r="T10523" s="98"/>
    </row>
    <row r="10524" spans="20:20" x14ac:dyDescent="0.25">
      <c r="T10524" s="98"/>
    </row>
    <row r="10525" spans="20:20" x14ac:dyDescent="0.25">
      <c r="T10525" s="98"/>
    </row>
    <row r="10526" spans="20:20" x14ac:dyDescent="0.25">
      <c r="T10526" s="98"/>
    </row>
    <row r="10527" spans="20:20" x14ac:dyDescent="0.25">
      <c r="T10527" s="98"/>
    </row>
    <row r="10528" spans="20:20" x14ac:dyDescent="0.25">
      <c r="T10528" s="98"/>
    </row>
    <row r="10529" spans="20:20" x14ac:dyDescent="0.25">
      <c r="T10529" s="98"/>
    </row>
    <row r="10530" spans="20:20" x14ac:dyDescent="0.25">
      <c r="T10530" s="98"/>
    </row>
    <row r="10531" spans="20:20" x14ac:dyDescent="0.25">
      <c r="T10531" s="98"/>
    </row>
    <row r="10532" spans="20:20" x14ac:dyDescent="0.25">
      <c r="T10532" s="98"/>
    </row>
    <row r="10533" spans="20:20" x14ac:dyDescent="0.25">
      <c r="T10533" s="98"/>
    </row>
    <row r="10534" spans="20:20" x14ac:dyDescent="0.25">
      <c r="T10534" s="98"/>
    </row>
    <row r="10535" spans="20:20" x14ac:dyDescent="0.25">
      <c r="T10535" s="98"/>
    </row>
    <row r="10536" spans="20:20" x14ac:dyDescent="0.25">
      <c r="T10536" s="98"/>
    </row>
    <row r="10537" spans="20:20" x14ac:dyDescent="0.25">
      <c r="T10537" s="98"/>
    </row>
    <row r="10538" spans="20:20" x14ac:dyDescent="0.25">
      <c r="T10538" s="98"/>
    </row>
    <row r="10539" spans="20:20" x14ac:dyDescent="0.25">
      <c r="T10539" s="98"/>
    </row>
    <row r="10540" spans="20:20" x14ac:dyDescent="0.25">
      <c r="T10540" s="98"/>
    </row>
    <row r="10541" spans="20:20" x14ac:dyDescent="0.25">
      <c r="T10541" s="98"/>
    </row>
    <row r="10542" spans="20:20" x14ac:dyDescent="0.25">
      <c r="T10542" s="98"/>
    </row>
    <row r="10543" spans="20:20" x14ac:dyDescent="0.25">
      <c r="T10543" s="98"/>
    </row>
    <row r="10544" spans="20:20" x14ac:dyDescent="0.25">
      <c r="T10544" s="98"/>
    </row>
    <row r="10545" spans="20:20" x14ac:dyDescent="0.25">
      <c r="T10545" s="98"/>
    </row>
    <row r="10546" spans="20:20" x14ac:dyDescent="0.25">
      <c r="T10546" s="98"/>
    </row>
    <row r="10547" spans="20:20" x14ac:dyDescent="0.25">
      <c r="T10547" s="98"/>
    </row>
    <row r="10548" spans="20:20" x14ac:dyDescent="0.25">
      <c r="T10548" s="98"/>
    </row>
    <row r="10549" spans="20:20" x14ac:dyDescent="0.25">
      <c r="T10549" s="98"/>
    </row>
    <row r="10550" spans="20:20" x14ac:dyDescent="0.25">
      <c r="T10550" s="98"/>
    </row>
    <row r="10551" spans="20:20" x14ac:dyDescent="0.25">
      <c r="T10551" s="98"/>
    </row>
    <row r="10552" spans="20:20" x14ac:dyDescent="0.25">
      <c r="T10552" s="98"/>
    </row>
    <row r="10553" spans="20:20" x14ac:dyDescent="0.25">
      <c r="T10553" s="98"/>
    </row>
    <row r="10554" spans="20:20" x14ac:dyDescent="0.25">
      <c r="T10554" s="98"/>
    </row>
    <row r="10555" spans="20:20" x14ac:dyDescent="0.25">
      <c r="T10555" s="98"/>
    </row>
    <row r="10556" spans="20:20" x14ac:dyDescent="0.25">
      <c r="T10556" s="98"/>
    </row>
    <row r="10557" spans="20:20" x14ac:dyDescent="0.25">
      <c r="T10557" s="98"/>
    </row>
    <row r="10558" spans="20:20" x14ac:dyDescent="0.25">
      <c r="T10558" s="98"/>
    </row>
    <row r="10559" spans="20:20" x14ac:dyDescent="0.25">
      <c r="T10559" s="98"/>
    </row>
    <row r="10560" spans="20:20" x14ac:dyDescent="0.25">
      <c r="T10560" s="98"/>
    </row>
    <row r="10561" spans="20:20" x14ac:dyDescent="0.25">
      <c r="T10561" s="98"/>
    </row>
    <row r="10562" spans="20:20" x14ac:dyDescent="0.25">
      <c r="T10562" s="98"/>
    </row>
    <row r="10563" spans="20:20" x14ac:dyDescent="0.25">
      <c r="T10563" s="98"/>
    </row>
    <row r="10564" spans="20:20" x14ac:dyDescent="0.25">
      <c r="T10564" s="98"/>
    </row>
    <row r="10565" spans="20:20" x14ac:dyDescent="0.25">
      <c r="T10565" s="98"/>
    </row>
    <row r="10566" spans="20:20" x14ac:dyDescent="0.25">
      <c r="T10566" s="98"/>
    </row>
    <row r="10567" spans="20:20" x14ac:dyDescent="0.25">
      <c r="T10567" s="98"/>
    </row>
    <row r="10568" spans="20:20" x14ac:dyDescent="0.25">
      <c r="T10568" s="98"/>
    </row>
    <row r="10569" spans="20:20" x14ac:dyDescent="0.25">
      <c r="T10569" s="98"/>
    </row>
    <row r="10570" spans="20:20" x14ac:dyDescent="0.25">
      <c r="T10570" s="98"/>
    </row>
    <row r="10571" spans="20:20" x14ac:dyDescent="0.25">
      <c r="T10571" s="98"/>
    </row>
    <row r="10572" spans="20:20" x14ac:dyDescent="0.25">
      <c r="T10572" s="98"/>
    </row>
    <row r="10573" spans="20:20" x14ac:dyDescent="0.25">
      <c r="T10573" s="98"/>
    </row>
    <row r="10574" spans="20:20" x14ac:dyDescent="0.25">
      <c r="T10574" s="98"/>
    </row>
    <row r="10575" spans="20:20" x14ac:dyDescent="0.25">
      <c r="T10575" s="98"/>
    </row>
    <row r="10576" spans="20:20" x14ac:dyDescent="0.25">
      <c r="T10576" s="98"/>
    </row>
    <row r="10577" spans="20:20" x14ac:dyDescent="0.25">
      <c r="T10577" s="98"/>
    </row>
    <row r="10578" spans="20:20" x14ac:dyDescent="0.25">
      <c r="T10578" s="98"/>
    </row>
    <row r="10579" spans="20:20" x14ac:dyDescent="0.25">
      <c r="T10579" s="98"/>
    </row>
    <row r="10580" spans="20:20" x14ac:dyDescent="0.25">
      <c r="T10580" s="98"/>
    </row>
    <row r="10581" spans="20:20" x14ac:dyDescent="0.25">
      <c r="T10581" s="98"/>
    </row>
    <row r="10582" spans="20:20" x14ac:dyDescent="0.25">
      <c r="T10582" s="98"/>
    </row>
    <row r="10583" spans="20:20" x14ac:dyDescent="0.25">
      <c r="T10583" s="98"/>
    </row>
    <row r="10584" spans="20:20" x14ac:dyDescent="0.25">
      <c r="T10584" s="98"/>
    </row>
    <row r="10585" spans="20:20" x14ac:dyDescent="0.25">
      <c r="T10585" s="98"/>
    </row>
    <row r="10586" spans="20:20" x14ac:dyDescent="0.25">
      <c r="T10586" s="98"/>
    </row>
    <row r="10587" spans="20:20" x14ac:dyDescent="0.25">
      <c r="T10587" s="98"/>
    </row>
    <row r="10588" spans="20:20" x14ac:dyDescent="0.25">
      <c r="T10588" s="98"/>
    </row>
    <row r="10589" spans="20:20" x14ac:dyDescent="0.25">
      <c r="T10589" s="98"/>
    </row>
    <row r="10590" spans="20:20" x14ac:dyDescent="0.25">
      <c r="T10590" s="98"/>
    </row>
    <row r="10591" spans="20:20" x14ac:dyDescent="0.25">
      <c r="T10591" s="98"/>
    </row>
    <row r="10592" spans="20:20" x14ac:dyDescent="0.25">
      <c r="T10592" s="98"/>
    </row>
    <row r="10593" spans="20:20" x14ac:dyDescent="0.25">
      <c r="T10593" s="98"/>
    </row>
    <row r="10594" spans="20:20" x14ac:dyDescent="0.25">
      <c r="T10594" s="98"/>
    </row>
    <row r="10595" spans="20:20" x14ac:dyDescent="0.25">
      <c r="T10595" s="98"/>
    </row>
    <row r="10596" spans="20:20" x14ac:dyDescent="0.25">
      <c r="T10596" s="98"/>
    </row>
    <row r="10597" spans="20:20" x14ac:dyDescent="0.25">
      <c r="T10597" s="98"/>
    </row>
    <row r="10598" spans="20:20" x14ac:dyDescent="0.25">
      <c r="T10598" s="98"/>
    </row>
    <row r="10599" spans="20:20" x14ac:dyDescent="0.25">
      <c r="T10599" s="98"/>
    </row>
    <row r="10600" spans="20:20" x14ac:dyDescent="0.25">
      <c r="T10600" s="98"/>
    </row>
    <row r="10601" spans="20:20" x14ac:dyDescent="0.25">
      <c r="T10601" s="98"/>
    </row>
    <row r="10602" spans="20:20" x14ac:dyDescent="0.25">
      <c r="T10602" s="98"/>
    </row>
    <row r="10603" spans="20:20" x14ac:dyDescent="0.25">
      <c r="T10603" s="98"/>
    </row>
    <row r="10604" spans="20:20" x14ac:dyDescent="0.25">
      <c r="T10604" s="98"/>
    </row>
    <row r="10605" spans="20:20" x14ac:dyDescent="0.25">
      <c r="T10605" s="98"/>
    </row>
    <row r="10606" spans="20:20" x14ac:dyDescent="0.25">
      <c r="T10606" s="98"/>
    </row>
    <row r="10607" spans="20:20" x14ac:dyDescent="0.25">
      <c r="T10607" s="98"/>
    </row>
    <row r="10608" spans="20:20" x14ac:dyDescent="0.25">
      <c r="T10608" s="98"/>
    </row>
    <row r="10609" spans="20:20" x14ac:dyDescent="0.25">
      <c r="T10609" s="98"/>
    </row>
    <row r="10610" spans="20:20" x14ac:dyDescent="0.25">
      <c r="T10610" s="98"/>
    </row>
    <row r="10611" spans="20:20" x14ac:dyDescent="0.25">
      <c r="T10611" s="98"/>
    </row>
    <row r="10612" spans="20:20" x14ac:dyDescent="0.25">
      <c r="T10612" s="98"/>
    </row>
    <row r="10613" spans="20:20" x14ac:dyDescent="0.25">
      <c r="T10613" s="98"/>
    </row>
    <row r="10614" spans="20:20" x14ac:dyDescent="0.25">
      <c r="T10614" s="98"/>
    </row>
    <row r="10615" spans="20:20" x14ac:dyDescent="0.25">
      <c r="T10615" s="98"/>
    </row>
    <row r="10616" spans="20:20" x14ac:dyDescent="0.25">
      <c r="T10616" s="98"/>
    </row>
    <row r="10617" spans="20:20" x14ac:dyDescent="0.25">
      <c r="T10617" s="98"/>
    </row>
    <row r="10618" spans="20:20" x14ac:dyDescent="0.25">
      <c r="T10618" s="98"/>
    </row>
    <row r="10619" spans="20:20" x14ac:dyDescent="0.25">
      <c r="T10619" s="98"/>
    </row>
    <row r="10620" spans="20:20" x14ac:dyDescent="0.25">
      <c r="T10620" s="98"/>
    </row>
    <row r="10621" spans="20:20" x14ac:dyDescent="0.25">
      <c r="T10621" s="98"/>
    </row>
    <row r="10622" spans="20:20" x14ac:dyDescent="0.25">
      <c r="T10622" s="98"/>
    </row>
    <row r="10623" spans="20:20" x14ac:dyDescent="0.25">
      <c r="T10623" s="98"/>
    </row>
    <row r="10624" spans="20:20" x14ac:dyDescent="0.25">
      <c r="T10624" s="98"/>
    </row>
    <row r="10625" spans="20:20" x14ac:dyDescent="0.25">
      <c r="T10625" s="98"/>
    </row>
    <row r="10626" spans="20:20" x14ac:dyDescent="0.25">
      <c r="T10626" s="98"/>
    </row>
    <row r="10627" spans="20:20" x14ac:dyDescent="0.25">
      <c r="T10627" s="98"/>
    </row>
    <row r="10628" spans="20:20" x14ac:dyDescent="0.25">
      <c r="T10628" s="98"/>
    </row>
    <row r="10629" spans="20:20" x14ac:dyDescent="0.25">
      <c r="T10629" s="98"/>
    </row>
    <row r="10630" spans="20:20" x14ac:dyDescent="0.25">
      <c r="T10630" s="98"/>
    </row>
    <row r="10631" spans="20:20" x14ac:dyDescent="0.25">
      <c r="T10631" s="98"/>
    </row>
    <row r="10632" spans="20:20" x14ac:dyDescent="0.25">
      <c r="T10632" s="98"/>
    </row>
    <row r="10633" spans="20:20" x14ac:dyDescent="0.25">
      <c r="T10633" s="98"/>
    </row>
    <row r="10634" spans="20:20" x14ac:dyDescent="0.25">
      <c r="T10634" s="98"/>
    </row>
    <row r="10635" spans="20:20" x14ac:dyDescent="0.25">
      <c r="T10635" s="98"/>
    </row>
    <row r="10636" spans="20:20" x14ac:dyDescent="0.25">
      <c r="T10636" s="98"/>
    </row>
    <row r="10637" spans="20:20" x14ac:dyDescent="0.25">
      <c r="T10637" s="98"/>
    </row>
    <row r="10638" spans="20:20" x14ac:dyDescent="0.25">
      <c r="T10638" s="98"/>
    </row>
    <row r="10639" spans="20:20" x14ac:dyDescent="0.25">
      <c r="T10639" s="98"/>
    </row>
    <row r="10640" spans="20:20" x14ac:dyDescent="0.25">
      <c r="T10640" s="98"/>
    </row>
    <row r="10641" spans="20:20" x14ac:dyDescent="0.25">
      <c r="T10641" s="98"/>
    </row>
    <row r="10642" spans="20:20" x14ac:dyDescent="0.25">
      <c r="T10642" s="98"/>
    </row>
    <row r="10643" spans="20:20" x14ac:dyDescent="0.25">
      <c r="T10643" s="98"/>
    </row>
    <row r="10644" spans="20:20" x14ac:dyDescent="0.25">
      <c r="T10644" s="98"/>
    </row>
    <row r="10645" spans="20:20" x14ac:dyDescent="0.25">
      <c r="T10645" s="98"/>
    </row>
    <row r="10646" spans="20:20" x14ac:dyDescent="0.25">
      <c r="T10646" s="98"/>
    </row>
    <row r="10647" spans="20:20" x14ac:dyDescent="0.25">
      <c r="T10647" s="98"/>
    </row>
    <row r="10648" spans="20:20" x14ac:dyDescent="0.25">
      <c r="T10648" s="98"/>
    </row>
    <row r="10649" spans="20:20" x14ac:dyDescent="0.25">
      <c r="T10649" s="98"/>
    </row>
    <row r="10650" spans="20:20" x14ac:dyDescent="0.25">
      <c r="T10650" s="98"/>
    </row>
    <row r="10651" spans="20:20" x14ac:dyDescent="0.25">
      <c r="T10651" s="98"/>
    </row>
    <row r="10652" spans="20:20" x14ac:dyDescent="0.25">
      <c r="T10652" s="98"/>
    </row>
    <row r="10653" spans="20:20" x14ac:dyDescent="0.25">
      <c r="T10653" s="98"/>
    </row>
    <row r="10654" spans="20:20" x14ac:dyDescent="0.25">
      <c r="T10654" s="98"/>
    </row>
    <row r="10655" spans="20:20" x14ac:dyDescent="0.25">
      <c r="T10655" s="98"/>
    </row>
    <row r="10656" spans="20:20" x14ac:dyDescent="0.25">
      <c r="T10656" s="98"/>
    </row>
    <row r="10657" spans="20:20" x14ac:dyDescent="0.25">
      <c r="T10657" s="98"/>
    </row>
    <row r="10658" spans="20:20" x14ac:dyDescent="0.25">
      <c r="T10658" s="98"/>
    </row>
    <row r="10659" spans="20:20" x14ac:dyDescent="0.25">
      <c r="T10659" s="98"/>
    </row>
    <row r="10660" spans="20:20" x14ac:dyDescent="0.25">
      <c r="T10660" s="98"/>
    </row>
    <row r="10661" spans="20:20" x14ac:dyDescent="0.25">
      <c r="T10661" s="98"/>
    </row>
    <row r="10662" spans="20:20" x14ac:dyDescent="0.25">
      <c r="T10662" s="98"/>
    </row>
    <row r="10663" spans="20:20" x14ac:dyDescent="0.25">
      <c r="T10663" s="98"/>
    </row>
    <row r="10664" spans="20:20" x14ac:dyDescent="0.25">
      <c r="T10664" s="98"/>
    </row>
    <row r="10665" spans="20:20" x14ac:dyDescent="0.25">
      <c r="T10665" s="98"/>
    </row>
    <row r="10666" spans="20:20" x14ac:dyDescent="0.25">
      <c r="T10666" s="98"/>
    </row>
    <row r="10667" spans="20:20" x14ac:dyDescent="0.25">
      <c r="T10667" s="98"/>
    </row>
    <row r="10668" spans="20:20" x14ac:dyDescent="0.25">
      <c r="T10668" s="98"/>
    </row>
    <row r="10669" spans="20:20" x14ac:dyDescent="0.25">
      <c r="T10669" s="98"/>
    </row>
    <row r="10670" spans="20:20" x14ac:dyDescent="0.25">
      <c r="T10670" s="98"/>
    </row>
    <row r="10671" spans="20:20" x14ac:dyDescent="0.25">
      <c r="T10671" s="98"/>
    </row>
    <row r="10672" spans="20:20" x14ac:dyDescent="0.25">
      <c r="T10672" s="98"/>
    </row>
    <row r="10673" spans="20:20" x14ac:dyDescent="0.25">
      <c r="T10673" s="98"/>
    </row>
    <row r="10674" spans="20:20" x14ac:dyDescent="0.25">
      <c r="T10674" s="98"/>
    </row>
    <row r="10675" spans="20:20" x14ac:dyDescent="0.25">
      <c r="T10675" s="98"/>
    </row>
    <row r="10676" spans="20:20" x14ac:dyDescent="0.25">
      <c r="T10676" s="98"/>
    </row>
    <row r="10677" spans="20:20" x14ac:dyDescent="0.25">
      <c r="T10677" s="98"/>
    </row>
    <row r="10678" spans="20:20" x14ac:dyDescent="0.25">
      <c r="T10678" s="98"/>
    </row>
    <row r="10679" spans="20:20" x14ac:dyDescent="0.25">
      <c r="T10679" s="98"/>
    </row>
    <row r="10680" spans="20:20" x14ac:dyDescent="0.25">
      <c r="T10680" s="98"/>
    </row>
    <row r="10681" spans="20:20" x14ac:dyDescent="0.25">
      <c r="T10681" s="98"/>
    </row>
    <row r="10682" spans="20:20" x14ac:dyDescent="0.25">
      <c r="T10682" s="98"/>
    </row>
    <row r="10683" spans="20:20" x14ac:dyDescent="0.25">
      <c r="T10683" s="98"/>
    </row>
    <row r="10684" spans="20:20" x14ac:dyDescent="0.25">
      <c r="T10684" s="98"/>
    </row>
    <row r="10685" spans="20:20" x14ac:dyDescent="0.25">
      <c r="T10685" s="98"/>
    </row>
    <row r="10686" spans="20:20" x14ac:dyDescent="0.25">
      <c r="T10686" s="98"/>
    </row>
    <row r="10687" spans="20:20" x14ac:dyDescent="0.25">
      <c r="T10687" s="98"/>
    </row>
    <row r="10688" spans="20:20" x14ac:dyDescent="0.25">
      <c r="T10688" s="98"/>
    </row>
    <row r="10689" spans="20:20" x14ac:dyDescent="0.25">
      <c r="T10689" s="98"/>
    </row>
    <row r="10690" spans="20:20" x14ac:dyDescent="0.25">
      <c r="T10690" s="98"/>
    </row>
    <row r="10691" spans="20:20" x14ac:dyDescent="0.25">
      <c r="T10691" s="98"/>
    </row>
    <row r="10692" spans="20:20" x14ac:dyDescent="0.25">
      <c r="T10692" s="98"/>
    </row>
    <row r="10693" spans="20:20" x14ac:dyDescent="0.25">
      <c r="T10693" s="98"/>
    </row>
    <row r="10694" spans="20:20" x14ac:dyDescent="0.25">
      <c r="T10694" s="98"/>
    </row>
    <row r="10695" spans="20:20" x14ac:dyDescent="0.25">
      <c r="T10695" s="98"/>
    </row>
    <row r="10696" spans="20:20" x14ac:dyDescent="0.25">
      <c r="T10696" s="98"/>
    </row>
    <row r="10697" spans="20:20" x14ac:dyDescent="0.25">
      <c r="T10697" s="98"/>
    </row>
    <row r="10698" spans="20:20" x14ac:dyDescent="0.25">
      <c r="T10698" s="98"/>
    </row>
    <row r="10699" spans="20:20" x14ac:dyDescent="0.25">
      <c r="T10699" s="98"/>
    </row>
    <row r="10700" spans="20:20" x14ac:dyDescent="0.25">
      <c r="T10700" s="98"/>
    </row>
    <row r="10701" spans="20:20" x14ac:dyDescent="0.25">
      <c r="T10701" s="98"/>
    </row>
    <row r="10702" spans="20:20" x14ac:dyDescent="0.25">
      <c r="T10702" s="98"/>
    </row>
    <row r="10703" spans="20:20" x14ac:dyDescent="0.25">
      <c r="T10703" s="98"/>
    </row>
    <row r="10704" spans="20:20" x14ac:dyDescent="0.25">
      <c r="T10704" s="98"/>
    </row>
    <row r="10705" spans="20:20" x14ac:dyDescent="0.25">
      <c r="T10705" s="98"/>
    </row>
    <row r="10706" spans="20:20" x14ac:dyDescent="0.25">
      <c r="T10706" s="98"/>
    </row>
    <row r="10707" spans="20:20" x14ac:dyDescent="0.25">
      <c r="T10707" s="98"/>
    </row>
    <row r="10708" spans="20:20" x14ac:dyDescent="0.25">
      <c r="T10708" s="98"/>
    </row>
    <row r="10709" spans="20:20" x14ac:dyDescent="0.25">
      <c r="T10709" s="98"/>
    </row>
    <row r="10710" spans="20:20" x14ac:dyDescent="0.25">
      <c r="T10710" s="98"/>
    </row>
    <row r="10711" spans="20:20" x14ac:dyDescent="0.25">
      <c r="T10711" s="98"/>
    </row>
    <row r="10712" spans="20:20" x14ac:dyDescent="0.25">
      <c r="T10712" s="98"/>
    </row>
    <row r="10713" spans="20:20" x14ac:dyDescent="0.25">
      <c r="T10713" s="98"/>
    </row>
    <row r="10714" spans="20:20" x14ac:dyDescent="0.25">
      <c r="T10714" s="98"/>
    </row>
    <row r="10715" spans="20:20" x14ac:dyDescent="0.25">
      <c r="T10715" s="98"/>
    </row>
    <row r="10716" spans="20:20" x14ac:dyDescent="0.25">
      <c r="T10716" s="98"/>
    </row>
    <row r="10717" spans="20:20" x14ac:dyDescent="0.25">
      <c r="T10717" s="98"/>
    </row>
    <row r="10718" spans="20:20" x14ac:dyDescent="0.25">
      <c r="T10718" s="98"/>
    </row>
    <row r="10719" spans="20:20" x14ac:dyDescent="0.25">
      <c r="T10719" s="98"/>
    </row>
    <row r="10720" spans="20:20" x14ac:dyDescent="0.25">
      <c r="T10720" s="98"/>
    </row>
    <row r="10721" spans="20:20" x14ac:dyDescent="0.25">
      <c r="T10721" s="98"/>
    </row>
    <row r="10722" spans="20:20" x14ac:dyDescent="0.25">
      <c r="T10722" s="98"/>
    </row>
    <row r="10723" spans="20:20" x14ac:dyDescent="0.25">
      <c r="T10723" s="98"/>
    </row>
    <row r="10724" spans="20:20" x14ac:dyDescent="0.25">
      <c r="T10724" s="98"/>
    </row>
    <row r="10725" spans="20:20" x14ac:dyDescent="0.25">
      <c r="T10725" s="98"/>
    </row>
    <row r="10726" spans="20:20" x14ac:dyDescent="0.25">
      <c r="T10726" s="98"/>
    </row>
    <row r="10727" spans="20:20" x14ac:dyDescent="0.25">
      <c r="T10727" s="98"/>
    </row>
    <row r="10728" spans="20:20" x14ac:dyDescent="0.25">
      <c r="T10728" s="98"/>
    </row>
    <row r="10729" spans="20:20" x14ac:dyDescent="0.25">
      <c r="T10729" s="98"/>
    </row>
    <row r="10730" spans="20:20" x14ac:dyDescent="0.25">
      <c r="T10730" s="98"/>
    </row>
    <row r="10731" spans="20:20" x14ac:dyDescent="0.25">
      <c r="T10731" s="98"/>
    </row>
    <row r="10732" spans="20:20" x14ac:dyDescent="0.25">
      <c r="T10732" s="98"/>
    </row>
    <row r="10733" spans="20:20" x14ac:dyDescent="0.25">
      <c r="T10733" s="98"/>
    </row>
    <row r="10734" spans="20:20" x14ac:dyDescent="0.25">
      <c r="T10734" s="98"/>
    </row>
    <row r="10735" spans="20:20" x14ac:dyDescent="0.25">
      <c r="T10735" s="98"/>
    </row>
    <row r="10736" spans="20:20" x14ac:dyDescent="0.25">
      <c r="T10736" s="98"/>
    </row>
    <row r="10737" spans="20:20" x14ac:dyDescent="0.25">
      <c r="T10737" s="98"/>
    </row>
    <row r="10738" spans="20:20" x14ac:dyDescent="0.25">
      <c r="T10738" s="98"/>
    </row>
    <row r="10739" spans="20:20" x14ac:dyDescent="0.25">
      <c r="T10739" s="98"/>
    </row>
    <row r="10740" spans="20:20" x14ac:dyDescent="0.25">
      <c r="T10740" s="98"/>
    </row>
    <row r="10741" spans="20:20" x14ac:dyDescent="0.25">
      <c r="T10741" s="98"/>
    </row>
    <row r="10742" spans="20:20" x14ac:dyDescent="0.25">
      <c r="T10742" s="98"/>
    </row>
    <row r="10743" spans="20:20" x14ac:dyDescent="0.25">
      <c r="T10743" s="98"/>
    </row>
    <row r="10744" spans="20:20" x14ac:dyDescent="0.25">
      <c r="T10744" s="98"/>
    </row>
    <row r="10745" spans="20:20" x14ac:dyDescent="0.25">
      <c r="T10745" s="98"/>
    </row>
    <row r="10746" spans="20:20" x14ac:dyDescent="0.25">
      <c r="T10746" s="98"/>
    </row>
    <row r="10747" spans="20:20" x14ac:dyDescent="0.25">
      <c r="T10747" s="98"/>
    </row>
    <row r="10748" spans="20:20" x14ac:dyDescent="0.25">
      <c r="T10748" s="98"/>
    </row>
    <row r="10749" spans="20:20" x14ac:dyDescent="0.25">
      <c r="T10749" s="98"/>
    </row>
    <row r="10750" spans="20:20" x14ac:dyDescent="0.25">
      <c r="T10750" s="98"/>
    </row>
    <row r="10751" spans="20:20" x14ac:dyDescent="0.25">
      <c r="T10751" s="98"/>
    </row>
    <row r="10752" spans="20:20" x14ac:dyDescent="0.25">
      <c r="T10752" s="98"/>
    </row>
    <row r="10753" spans="20:20" x14ac:dyDescent="0.25">
      <c r="T10753" s="98"/>
    </row>
    <row r="10754" spans="20:20" x14ac:dyDescent="0.25">
      <c r="T10754" s="98"/>
    </row>
    <row r="10755" spans="20:20" x14ac:dyDescent="0.25">
      <c r="T10755" s="98"/>
    </row>
    <row r="10756" spans="20:20" x14ac:dyDescent="0.25">
      <c r="T10756" s="98"/>
    </row>
    <row r="10757" spans="20:20" x14ac:dyDescent="0.25">
      <c r="T10757" s="98"/>
    </row>
    <row r="10758" spans="20:20" x14ac:dyDescent="0.25">
      <c r="T10758" s="98"/>
    </row>
    <row r="10759" spans="20:20" x14ac:dyDescent="0.25">
      <c r="T10759" s="98"/>
    </row>
    <row r="10760" spans="20:20" x14ac:dyDescent="0.25">
      <c r="T10760" s="98"/>
    </row>
    <row r="10761" spans="20:20" x14ac:dyDescent="0.25">
      <c r="T10761" s="98"/>
    </row>
    <row r="10762" spans="20:20" x14ac:dyDescent="0.25">
      <c r="T10762" s="98"/>
    </row>
    <row r="10763" spans="20:20" x14ac:dyDescent="0.25">
      <c r="T10763" s="98"/>
    </row>
    <row r="10764" spans="20:20" x14ac:dyDescent="0.25">
      <c r="T10764" s="98"/>
    </row>
    <row r="10765" spans="20:20" x14ac:dyDescent="0.25">
      <c r="T10765" s="98"/>
    </row>
    <row r="10766" spans="20:20" x14ac:dyDescent="0.25">
      <c r="T10766" s="98"/>
    </row>
    <row r="10767" spans="20:20" x14ac:dyDescent="0.25">
      <c r="T10767" s="98"/>
    </row>
    <row r="10768" spans="20:20" x14ac:dyDescent="0.25">
      <c r="T10768" s="98"/>
    </row>
    <row r="10769" spans="20:20" x14ac:dyDescent="0.25">
      <c r="T10769" s="98"/>
    </row>
    <row r="10770" spans="20:20" x14ac:dyDescent="0.25">
      <c r="T10770" s="98"/>
    </row>
    <row r="10771" spans="20:20" x14ac:dyDescent="0.25">
      <c r="T10771" s="98"/>
    </row>
    <row r="10772" spans="20:20" x14ac:dyDescent="0.25">
      <c r="T10772" s="98"/>
    </row>
    <row r="10773" spans="20:20" x14ac:dyDescent="0.25">
      <c r="T10773" s="98"/>
    </row>
    <row r="10774" spans="20:20" x14ac:dyDescent="0.25">
      <c r="T10774" s="98"/>
    </row>
    <row r="10775" spans="20:20" x14ac:dyDescent="0.25">
      <c r="T10775" s="98"/>
    </row>
    <row r="10776" spans="20:20" x14ac:dyDescent="0.25">
      <c r="T10776" s="98"/>
    </row>
    <row r="10777" spans="20:20" x14ac:dyDescent="0.25">
      <c r="T10777" s="98"/>
    </row>
    <row r="10778" spans="20:20" x14ac:dyDescent="0.25">
      <c r="T10778" s="98"/>
    </row>
    <row r="10779" spans="20:20" x14ac:dyDescent="0.25">
      <c r="T10779" s="98"/>
    </row>
    <row r="10780" spans="20:20" x14ac:dyDescent="0.25">
      <c r="T10780" s="98"/>
    </row>
    <row r="10781" spans="20:20" x14ac:dyDescent="0.25">
      <c r="T10781" s="98"/>
    </row>
    <row r="10782" spans="20:20" x14ac:dyDescent="0.25">
      <c r="T10782" s="98"/>
    </row>
    <row r="10783" spans="20:20" x14ac:dyDescent="0.25">
      <c r="T10783" s="98"/>
    </row>
    <row r="10784" spans="20:20" x14ac:dyDescent="0.25">
      <c r="T10784" s="98"/>
    </row>
    <row r="10785" spans="20:20" x14ac:dyDescent="0.25">
      <c r="T10785" s="98"/>
    </row>
    <row r="10786" spans="20:20" x14ac:dyDescent="0.25">
      <c r="T10786" s="98"/>
    </row>
    <row r="10787" spans="20:20" x14ac:dyDescent="0.25">
      <c r="T10787" s="98"/>
    </row>
    <row r="10788" spans="20:20" x14ac:dyDescent="0.25">
      <c r="T10788" s="98"/>
    </row>
    <row r="10789" spans="20:20" x14ac:dyDescent="0.25">
      <c r="T10789" s="98"/>
    </row>
    <row r="10790" spans="20:20" x14ac:dyDescent="0.25">
      <c r="T10790" s="98"/>
    </row>
    <row r="10791" spans="20:20" x14ac:dyDescent="0.25">
      <c r="T10791" s="98"/>
    </row>
    <row r="10792" spans="20:20" x14ac:dyDescent="0.25">
      <c r="T10792" s="98"/>
    </row>
    <row r="10793" spans="20:20" x14ac:dyDescent="0.25">
      <c r="T10793" s="98"/>
    </row>
    <row r="10794" spans="20:20" x14ac:dyDescent="0.25">
      <c r="T10794" s="98"/>
    </row>
    <row r="10795" spans="20:20" x14ac:dyDescent="0.25">
      <c r="T10795" s="98"/>
    </row>
    <row r="10796" spans="20:20" x14ac:dyDescent="0.25">
      <c r="T10796" s="98"/>
    </row>
    <row r="10797" spans="20:20" x14ac:dyDescent="0.25">
      <c r="T10797" s="98"/>
    </row>
    <row r="10798" spans="20:20" x14ac:dyDescent="0.25">
      <c r="T10798" s="98"/>
    </row>
    <row r="10799" spans="20:20" x14ac:dyDescent="0.25">
      <c r="T10799" s="98"/>
    </row>
    <row r="10800" spans="20:20" x14ac:dyDescent="0.25">
      <c r="T10800" s="98"/>
    </row>
    <row r="10801" spans="20:20" x14ac:dyDescent="0.25">
      <c r="T10801" s="98"/>
    </row>
    <row r="10802" spans="20:20" x14ac:dyDescent="0.25">
      <c r="T10802" s="98"/>
    </row>
    <row r="10803" spans="20:20" x14ac:dyDescent="0.25">
      <c r="T10803" s="98"/>
    </row>
    <row r="10804" spans="20:20" x14ac:dyDescent="0.25">
      <c r="T10804" s="98"/>
    </row>
    <row r="10805" spans="20:20" x14ac:dyDescent="0.25">
      <c r="T10805" s="98"/>
    </row>
    <row r="10806" spans="20:20" x14ac:dyDescent="0.25">
      <c r="T10806" s="98"/>
    </row>
    <row r="10807" spans="20:20" x14ac:dyDescent="0.25">
      <c r="T10807" s="98"/>
    </row>
    <row r="10808" spans="20:20" x14ac:dyDescent="0.25">
      <c r="T10808" s="98"/>
    </row>
    <row r="10809" spans="20:20" x14ac:dyDescent="0.25">
      <c r="T10809" s="98"/>
    </row>
    <row r="10810" spans="20:20" x14ac:dyDescent="0.25">
      <c r="T10810" s="98"/>
    </row>
    <row r="10811" spans="20:20" x14ac:dyDescent="0.25">
      <c r="T10811" s="98"/>
    </row>
    <row r="10812" spans="20:20" x14ac:dyDescent="0.25">
      <c r="T10812" s="98"/>
    </row>
    <row r="10813" spans="20:20" x14ac:dyDescent="0.25">
      <c r="T10813" s="98"/>
    </row>
    <row r="10814" spans="20:20" x14ac:dyDescent="0.25">
      <c r="T10814" s="98"/>
    </row>
    <row r="10815" spans="20:20" x14ac:dyDescent="0.25">
      <c r="T10815" s="98"/>
    </row>
    <row r="10816" spans="20:20" x14ac:dyDescent="0.25">
      <c r="T10816" s="98"/>
    </row>
    <row r="10817" spans="20:20" x14ac:dyDescent="0.25">
      <c r="T10817" s="98"/>
    </row>
    <row r="10818" spans="20:20" x14ac:dyDescent="0.25">
      <c r="T10818" s="98"/>
    </row>
    <row r="10819" spans="20:20" x14ac:dyDescent="0.25">
      <c r="T10819" s="98"/>
    </row>
    <row r="10820" spans="20:20" x14ac:dyDescent="0.25">
      <c r="T10820" s="98"/>
    </row>
    <row r="10821" spans="20:20" x14ac:dyDescent="0.25">
      <c r="T10821" s="98"/>
    </row>
    <row r="10822" spans="20:20" x14ac:dyDescent="0.25">
      <c r="T10822" s="98"/>
    </row>
    <row r="10823" spans="20:20" x14ac:dyDescent="0.25">
      <c r="T10823" s="98"/>
    </row>
    <row r="10824" spans="20:20" x14ac:dyDescent="0.25">
      <c r="T10824" s="98"/>
    </row>
    <row r="10825" spans="20:20" x14ac:dyDescent="0.25">
      <c r="T10825" s="98"/>
    </row>
    <row r="10826" spans="20:20" x14ac:dyDescent="0.25">
      <c r="T10826" s="98"/>
    </row>
    <row r="10827" spans="20:20" x14ac:dyDescent="0.25">
      <c r="T10827" s="98"/>
    </row>
    <row r="10828" spans="20:20" x14ac:dyDescent="0.25">
      <c r="T10828" s="98"/>
    </row>
    <row r="10829" spans="20:20" x14ac:dyDescent="0.25">
      <c r="T10829" s="98"/>
    </row>
    <row r="10830" spans="20:20" x14ac:dyDescent="0.25">
      <c r="T10830" s="98"/>
    </row>
    <row r="10831" spans="20:20" x14ac:dyDescent="0.25">
      <c r="T10831" s="98"/>
    </row>
    <row r="10832" spans="20:20" x14ac:dyDescent="0.25">
      <c r="T10832" s="98"/>
    </row>
    <row r="10833" spans="20:20" x14ac:dyDescent="0.25">
      <c r="T10833" s="98"/>
    </row>
    <row r="10834" spans="20:20" x14ac:dyDescent="0.25">
      <c r="T10834" s="98"/>
    </row>
    <row r="10835" spans="20:20" x14ac:dyDescent="0.25">
      <c r="T10835" s="98"/>
    </row>
    <row r="10836" spans="20:20" x14ac:dyDescent="0.25">
      <c r="T10836" s="98"/>
    </row>
    <row r="10837" spans="20:20" x14ac:dyDescent="0.25">
      <c r="T10837" s="98"/>
    </row>
    <row r="10838" spans="20:20" x14ac:dyDescent="0.25">
      <c r="T10838" s="98"/>
    </row>
    <row r="10839" spans="20:20" x14ac:dyDescent="0.25">
      <c r="T10839" s="98"/>
    </row>
    <row r="10840" spans="20:20" x14ac:dyDescent="0.25">
      <c r="T10840" s="98"/>
    </row>
    <row r="10841" spans="20:20" x14ac:dyDescent="0.25">
      <c r="T10841" s="98"/>
    </row>
    <row r="10842" spans="20:20" x14ac:dyDescent="0.25">
      <c r="T10842" s="98"/>
    </row>
    <row r="10843" spans="20:20" x14ac:dyDescent="0.25">
      <c r="T10843" s="98"/>
    </row>
    <row r="10844" spans="20:20" x14ac:dyDescent="0.25">
      <c r="T10844" s="98"/>
    </row>
    <row r="10845" spans="20:20" x14ac:dyDescent="0.25">
      <c r="T10845" s="98"/>
    </row>
    <row r="10846" spans="20:20" x14ac:dyDescent="0.25">
      <c r="T10846" s="98"/>
    </row>
    <row r="10847" spans="20:20" x14ac:dyDescent="0.25">
      <c r="T10847" s="98"/>
    </row>
    <row r="10848" spans="20:20" x14ac:dyDescent="0.25">
      <c r="T10848" s="98"/>
    </row>
    <row r="10849" spans="20:20" x14ac:dyDescent="0.25">
      <c r="T10849" s="98"/>
    </row>
    <row r="10850" spans="20:20" x14ac:dyDescent="0.25">
      <c r="T10850" s="98"/>
    </row>
    <row r="10851" spans="20:20" x14ac:dyDescent="0.25">
      <c r="T10851" s="98"/>
    </row>
    <row r="10852" spans="20:20" x14ac:dyDescent="0.25">
      <c r="T10852" s="98"/>
    </row>
    <row r="10853" spans="20:20" x14ac:dyDescent="0.25">
      <c r="T10853" s="98"/>
    </row>
    <row r="10854" spans="20:20" x14ac:dyDescent="0.25">
      <c r="T10854" s="98"/>
    </row>
    <row r="10855" spans="20:20" x14ac:dyDescent="0.25">
      <c r="T10855" s="98"/>
    </row>
    <row r="10856" spans="20:20" x14ac:dyDescent="0.25">
      <c r="T10856" s="98"/>
    </row>
    <row r="10857" spans="20:20" x14ac:dyDescent="0.25">
      <c r="T10857" s="98"/>
    </row>
    <row r="10858" spans="20:20" x14ac:dyDescent="0.25">
      <c r="T10858" s="98"/>
    </row>
    <row r="10859" spans="20:20" x14ac:dyDescent="0.25">
      <c r="T10859" s="98"/>
    </row>
    <row r="10860" spans="20:20" x14ac:dyDescent="0.25">
      <c r="T10860" s="98"/>
    </row>
    <row r="10861" spans="20:20" x14ac:dyDescent="0.25">
      <c r="T10861" s="98"/>
    </row>
    <row r="10862" spans="20:20" x14ac:dyDescent="0.25">
      <c r="T10862" s="98"/>
    </row>
    <row r="10863" spans="20:20" x14ac:dyDescent="0.25">
      <c r="T10863" s="98"/>
    </row>
    <row r="10864" spans="20:20" x14ac:dyDescent="0.25">
      <c r="T10864" s="98"/>
    </row>
    <row r="10865" spans="20:20" x14ac:dyDescent="0.25">
      <c r="T10865" s="98"/>
    </row>
    <row r="10866" spans="20:20" x14ac:dyDescent="0.25">
      <c r="T10866" s="98"/>
    </row>
    <row r="10867" spans="20:20" x14ac:dyDescent="0.25">
      <c r="T10867" s="98"/>
    </row>
    <row r="10868" spans="20:20" x14ac:dyDescent="0.25">
      <c r="T10868" s="98"/>
    </row>
    <row r="10869" spans="20:20" x14ac:dyDescent="0.25">
      <c r="T10869" s="98"/>
    </row>
    <row r="10870" spans="20:20" x14ac:dyDescent="0.25">
      <c r="T10870" s="98"/>
    </row>
    <row r="10871" spans="20:20" x14ac:dyDescent="0.25">
      <c r="T10871" s="98"/>
    </row>
    <row r="10872" spans="20:20" x14ac:dyDescent="0.25">
      <c r="T10872" s="98"/>
    </row>
    <row r="10873" spans="20:20" x14ac:dyDescent="0.25">
      <c r="T10873" s="98"/>
    </row>
    <row r="10874" spans="20:20" x14ac:dyDescent="0.25">
      <c r="T10874" s="98"/>
    </row>
    <row r="10875" spans="20:20" x14ac:dyDescent="0.25">
      <c r="T10875" s="98"/>
    </row>
    <row r="10876" spans="20:20" x14ac:dyDescent="0.25">
      <c r="T10876" s="98"/>
    </row>
    <row r="10877" spans="20:20" x14ac:dyDescent="0.25">
      <c r="T10877" s="98"/>
    </row>
    <row r="10878" spans="20:20" x14ac:dyDescent="0.25">
      <c r="T10878" s="98"/>
    </row>
    <row r="10879" spans="20:20" x14ac:dyDescent="0.25">
      <c r="T10879" s="98"/>
    </row>
    <row r="10880" spans="20:20" x14ac:dyDescent="0.25">
      <c r="T10880" s="98"/>
    </row>
    <row r="10881" spans="20:20" x14ac:dyDescent="0.25">
      <c r="T10881" s="98"/>
    </row>
    <row r="10882" spans="20:20" x14ac:dyDescent="0.25">
      <c r="T10882" s="98"/>
    </row>
    <row r="10883" spans="20:20" x14ac:dyDescent="0.25">
      <c r="T10883" s="98"/>
    </row>
    <row r="10884" spans="20:20" x14ac:dyDescent="0.25">
      <c r="T10884" s="98"/>
    </row>
    <row r="10885" spans="20:20" x14ac:dyDescent="0.25">
      <c r="T10885" s="98"/>
    </row>
    <row r="10886" spans="20:20" x14ac:dyDescent="0.25">
      <c r="T10886" s="98"/>
    </row>
    <row r="10887" spans="20:20" x14ac:dyDescent="0.25">
      <c r="T10887" s="98"/>
    </row>
    <row r="10888" spans="20:20" x14ac:dyDescent="0.25">
      <c r="T10888" s="98"/>
    </row>
    <row r="10889" spans="20:20" x14ac:dyDescent="0.25">
      <c r="T10889" s="98"/>
    </row>
    <row r="10890" spans="20:20" x14ac:dyDescent="0.25">
      <c r="T10890" s="98"/>
    </row>
    <row r="10891" spans="20:20" x14ac:dyDescent="0.25">
      <c r="T10891" s="98"/>
    </row>
    <row r="10892" spans="20:20" x14ac:dyDescent="0.25">
      <c r="T10892" s="98"/>
    </row>
    <row r="10893" spans="20:20" x14ac:dyDescent="0.25">
      <c r="T10893" s="98"/>
    </row>
    <row r="10894" spans="20:20" x14ac:dyDescent="0.25">
      <c r="T10894" s="98"/>
    </row>
    <row r="10895" spans="20:20" x14ac:dyDescent="0.25">
      <c r="T10895" s="98"/>
    </row>
    <row r="10896" spans="20:20" x14ac:dyDescent="0.25">
      <c r="T10896" s="98"/>
    </row>
    <row r="10897" spans="20:20" x14ac:dyDescent="0.25">
      <c r="T10897" s="98"/>
    </row>
    <row r="10898" spans="20:20" x14ac:dyDescent="0.25">
      <c r="T10898" s="98"/>
    </row>
    <row r="10899" spans="20:20" x14ac:dyDescent="0.25">
      <c r="T10899" s="98"/>
    </row>
    <row r="10900" spans="20:20" x14ac:dyDescent="0.25">
      <c r="T10900" s="98"/>
    </row>
    <row r="10901" spans="20:20" x14ac:dyDescent="0.25">
      <c r="T10901" s="98"/>
    </row>
    <row r="10902" spans="20:20" x14ac:dyDescent="0.25">
      <c r="T10902" s="98"/>
    </row>
    <row r="10903" spans="20:20" x14ac:dyDescent="0.25">
      <c r="T10903" s="98"/>
    </row>
    <row r="10904" spans="20:20" x14ac:dyDescent="0.25">
      <c r="T10904" s="98"/>
    </row>
    <row r="10905" spans="20:20" x14ac:dyDescent="0.25">
      <c r="T10905" s="98"/>
    </row>
    <row r="10906" spans="20:20" x14ac:dyDescent="0.25">
      <c r="T10906" s="98"/>
    </row>
    <row r="10907" spans="20:20" x14ac:dyDescent="0.25">
      <c r="T10907" s="98"/>
    </row>
    <row r="10908" spans="20:20" x14ac:dyDescent="0.25">
      <c r="T10908" s="98"/>
    </row>
    <row r="10909" spans="20:20" x14ac:dyDescent="0.25">
      <c r="T10909" s="98"/>
    </row>
    <row r="10910" spans="20:20" x14ac:dyDescent="0.25">
      <c r="T10910" s="98"/>
    </row>
    <row r="10911" spans="20:20" x14ac:dyDescent="0.25">
      <c r="T10911" s="98"/>
    </row>
    <row r="10912" spans="20:20" x14ac:dyDescent="0.25">
      <c r="T10912" s="98"/>
    </row>
    <row r="10913" spans="20:20" x14ac:dyDescent="0.25">
      <c r="T10913" s="98"/>
    </row>
    <row r="10914" spans="20:20" x14ac:dyDescent="0.25">
      <c r="T10914" s="98"/>
    </row>
    <row r="10915" spans="20:20" x14ac:dyDescent="0.25">
      <c r="T10915" s="98"/>
    </row>
    <row r="10916" spans="20:20" x14ac:dyDescent="0.25">
      <c r="T10916" s="98"/>
    </row>
    <row r="10917" spans="20:20" x14ac:dyDescent="0.25">
      <c r="T10917" s="98"/>
    </row>
    <row r="10918" spans="20:20" x14ac:dyDescent="0.25">
      <c r="T10918" s="98"/>
    </row>
    <row r="10919" spans="20:20" x14ac:dyDescent="0.25">
      <c r="T10919" s="98"/>
    </row>
    <row r="10920" spans="20:20" x14ac:dyDescent="0.25">
      <c r="T10920" s="98"/>
    </row>
    <row r="10921" spans="20:20" x14ac:dyDescent="0.25">
      <c r="T10921" s="98"/>
    </row>
    <row r="10922" spans="20:20" x14ac:dyDescent="0.25">
      <c r="T10922" s="98"/>
    </row>
    <row r="10923" spans="20:20" x14ac:dyDescent="0.25">
      <c r="T10923" s="98"/>
    </row>
    <row r="10924" spans="20:20" x14ac:dyDescent="0.25">
      <c r="T10924" s="98"/>
    </row>
    <row r="10925" spans="20:20" x14ac:dyDescent="0.25">
      <c r="T10925" s="98"/>
    </row>
    <row r="10926" spans="20:20" x14ac:dyDescent="0.25">
      <c r="T10926" s="98"/>
    </row>
    <row r="10927" spans="20:20" x14ac:dyDescent="0.25">
      <c r="T10927" s="98"/>
    </row>
    <row r="10928" spans="20:20" x14ac:dyDescent="0.25">
      <c r="T10928" s="98"/>
    </row>
    <row r="10929" spans="20:20" x14ac:dyDescent="0.25">
      <c r="T10929" s="98"/>
    </row>
    <row r="10930" spans="20:20" x14ac:dyDescent="0.25">
      <c r="T10930" s="98"/>
    </row>
    <row r="10931" spans="20:20" x14ac:dyDescent="0.25">
      <c r="T10931" s="98"/>
    </row>
    <row r="10932" spans="20:20" x14ac:dyDescent="0.25">
      <c r="T10932" s="98"/>
    </row>
    <row r="10933" spans="20:20" x14ac:dyDescent="0.25">
      <c r="T10933" s="98"/>
    </row>
    <row r="10934" spans="20:20" x14ac:dyDescent="0.25">
      <c r="T10934" s="98"/>
    </row>
    <row r="10935" spans="20:20" x14ac:dyDescent="0.25">
      <c r="T10935" s="98"/>
    </row>
    <row r="10936" spans="20:20" x14ac:dyDescent="0.25">
      <c r="T10936" s="98"/>
    </row>
    <row r="10937" spans="20:20" x14ac:dyDescent="0.25">
      <c r="T10937" s="98"/>
    </row>
    <row r="10938" spans="20:20" x14ac:dyDescent="0.25">
      <c r="T10938" s="98"/>
    </row>
    <row r="10939" spans="20:20" x14ac:dyDescent="0.25">
      <c r="T10939" s="98"/>
    </row>
    <row r="10940" spans="20:20" x14ac:dyDescent="0.25">
      <c r="T10940" s="98"/>
    </row>
    <row r="10941" spans="20:20" x14ac:dyDescent="0.25">
      <c r="T10941" s="98"/>
    </row>
    <row r="10942" spans="20:20" x14ac:dyDescent="0.25">
      <c r="T10942" s="98"/>
    </row>
    <row r="10943" spans="20:20" x14ac:dyDescent="0.25">
      <c r="T10943" s="98"/>
    </row>
    <row r="10944" spans="20:20" x14ac:dyDescent="0.25">
      <c r="T10944" s="98"/>
    </row>
    <row r="10945" spans="20:20" x14ac:dyDescent="0.25">
      <c r="T10945" s="98"/>
    </row>
    <row r="10946" spans="20:20" x14ac:dyDescent="0.25">
      <c r="T10946" s="98"/>
    </row>
    <row r="10947" spans="20:20" x14ac:dyDescent="0.25">
      <c r="T10947" s="98"/>
    </row>
    <row r="10948" spans="20:20" x14ac:dyDescent="0.25">
      <c r="T10948" s="98"/>
    </row>
    <row r="10949" spans="20:20" x14ac:dyDescent="0.25">
      <c r="T10949" s="98"/>
    </row>
    <row r="10950" spans="20:20" x14ac:dyDescent="0.25">
      <c r="T10950" s="98"/>
    </row>
    <row r="10951" spans="20:20" x14ac:dyDescent="0.25">
      <c r="T10951" s="98"/>
    </row>
    <row r="10952" spans="20:20" x14ac:dyDescent="0.25">
      <c r="T10952" s="98"/>
    </row>
    <row r="10953" spans="20:20" x14ac:dyDescent="0.25">
      <c r="T10953" s="98"/>
    </row>
    <row r="10954" spans="20:20" x14ac:dyDescent="0.25">
      <c r="T10954" s="98"/>
    </row>
    <row r="10955" spans="20:20" x14ac:dyDescent="0.25">
      <c r="T10955" s="98"/>
    </row>
    <row r="10956" spans="20:20" x14ac:dyDescent="0.25">
      <c r="T10956" s="98"/>
    </row>
    <row r="10957" spans="20:20" x14ac:dyDescent="0.25">
      <c r="T10957" s="98"/>
    </row>
    <row r="10958" spans="20:20" x14ac:dyDescent="0.25">
      <c r="T10958" s="98"/>
    </row>
    <row r="10959" spans="20:20" x14ac:dyDescent="0.25">
      <c r="T10959" s="98"/>
    </row>
    <row r="10960" spans="20:20" x14ac:dyDescent="0.25">
      <c r="T10960" s="98"/>
    </row>
    <row r="10961" spans="20:20" x14ac:dyDescent="0.25">
      <c r="T10961" s="98"/>
    </row>
    <row r="10962" spans="20:20" x14ac:dyDescent="0.25">
      <c r="T10962" s="98"/>
    </row>
    <row r="10963" spans="20:20" x14ac:dyDescent="0.25">
      <c r="T10963" s="98"/>
    </row>
    <row r="10964" spans="20:20" x14ac:dyDescent="0.25">
      <c r="T10964" s="98"/>
    </row>
    <row r="10965" spans="20:20" x14ac:dyDescent="0.25">
      <c r="T10965" s="98"/>
    </row>
    <row r="10966" spans="20:20" x14ac:dyDescent="0.25">
      <c r="T10966" s="98"/>
    </row>
    <row r="10967" spans="20:20" x14ac:dyDescent="0.25">
      <c r="T10967" s="98"/>
    </row>
    <row r="10968" spans="20:20" x14ac:dyDescent="0.25">
      <c r="T10968" s="98"/>
    </row>
    <row r="10969" spans="20:20" x14ac:dyDescent="0.25">
      <c r="T10969" s="98"/>
    </row>
    <row r="10970" spans="20:20" x14ac:dyDescent="0.25">
      <c r="T10970" s="98"/>
    </row>
    <row r="10971" spans="20:20" x14ac:dyDescent="0.25">
      <c r="T10971" s="98"/>
    </row>
    <row r="10972" spans="20:20" x14ac:dyDescent="0.25">
      <c r="T10972" s="98"/>
    </row>
    <row r="10973" spans="20:20" x14ac:dyDescent="0.25">
      <c r="T10973" s="98"/>
    </row>
    <row r="10974" spans="20:20" x14ac:dyDescent="0.25">
      <c r="T10974" s="98"/>
    </row>
    <row r="10975" spans="20:20" x14ac:dyDescent="0.25">
      <c r="T10975" s="98"/>
    </row>
    <row r="10976" spans="20:20" x14ac:dyDescent="0.25">
      <c r="T10976" s="98"/>
    </row>
    <row r="10977" spans="20:20" x14ac:dyDescent="0.25">
      <c r="T10977" s="98"/>
    </row>
    <row r="10978" spans="20:20" x14ac:dyDescent="0.25">
      <c r="T10978" s="98"/>
    </row>
    <row r="10979" spans="20:20" x14ac:dyDescent="0.25">
      <c r="T10979" s="98"/>
    </row>
    <row r="10980" spans="20:20" x14ac:dyDescent="0.25">
      <c r="T10980" s="98"/>
    </row>
    <row r="10981" spans="20:20" x14ac:dyDescent="0.25">
      <c r="T10981" s="98"/>
    </row>
    <row r="10982" spans="20:20" x14ac:dyDescent="0.25">
      <c r="T10982" s="98"/>
    </row>
    <row r="10983" spans="20:20" x14ac:dyDescent="0.25">
      <c r="T10983" s="98"/>
    </row>
    <row r="10984" spans="20:20" x14ac:dyDescent="0.25">
      <c r="T10984" s="98"/>
    </row>
    <row r="10985" spans="20:20" x14ac:dyDescent="0.25">
      <c r="T10985" s="98"/>
    </row>
    <row r="10986" spans="20:20" x14ac:dyDescent="0.25">
      <c r="T10986" s="98"/>
    </row>
    <row r="10987" spans="20:20" x14ac:dyDescent="0.25">
      <c r="T10987" s="98"/>
    </row>
    <row r="10988" spans="20:20" x14ac:dyDescent="0.25">
      <c r="T10988" s="98"/>
    </row>
    <row r="10989" spans="20:20" x14ac:dyDescent="0.25">
      <c r="T10989" s="98"/>
    </row>
    <row r="10990" spans="20:20" x14ac:dyDescent="0.25">
      <c r="T10990" s="98"/>
    </row>
    <row r="10991" spans="20:20" x14ac:dyDescent="0.25">
      <c r="T10991" s="98"/>
    </row>
    <row r="10992" spans="20:20" x14ac:dyDescent="0.25">
      <c r="T10992" s="98"/>
    </row>
    <row r="10993" spans="20:20" x14ac:dyDescent="0.25">
      <c r="T10993" s="98"/>
    </row>
    <row r="10994" spans="20:20" x14ac:dyDescent="0.25">
      <c r="T10994" s="98"/>
    </row>
    <row r="10995" spans="20:20" x14ac:dyDescent="0.25">
      <c r="T10995" s="98"/>
    </row>
    <row r="10996" spans="20:20" x14ac:dyDescent="0.25">
      <c r="T10996" s="98"/>
    </row>
    <row r="10997" spans="20:20" x14ac:dyDescent="0.25">
      <c r="T10997" s="98"/>
    </row>
    <row r="10998" spans="20:20" x14ac:dyDescent="0.25">
      <c r="T10998" s="98"/>
    </row>
    <row r="10999" spans="20:20" x14ac:dyDescent="0.25">
      <c r="T10999" s="98"/>
    </row>
    <row r="11000" spans="20:20" x14ac:dyDescent="0.25">
      <c r="T11000" s="98"/>
    </row>
    <row r="11001" spans="20:20" x14ac:dyDescent="0.25">
      <c r="T11001" s="98"/>
    </row>
    <row r="11002" spans="20:20" x14ac:dyDescent="0.25">
      <c r="T11002" s="98"/>
    </row>
    <row r="11003" spans="20:20" x14ac:dyDescent="0.25">
      <c r="T11003" s="98"/>
    </row>
    <row r="11004" spans="20:20" x14ac:dyDescent="0.25">
      <c r="T11004" s="98"/>
    </row>
    <row r="11005" spans="20:20" x14ac:dyDescent="0.25">
      <c r="T11005" s="98"/>
    </row>
    <row r="11006" spans="20:20" x14ac:dyDescent="0.25">
      <c r="T11006" s="98"/>
    </row>
    <row r="11007" spans="20:20" x14ac:dyDescent="0.25">
      <c r="T11007" s="98"/>
    </row>
    <row r="11008" spans="20:20" x14ac:dyDescent="0.25">
      <c r="T11008" s="98"/>
    </row>
    <row r="11009" spans="20:20" x14ac:dyDescent="0.25">
      <c r="T11009" s="98"/>
    </row>
    <row r="11010" spans="20:20" x14ac:dyDescent="0.25">
      <c r="T11010" s="98"/>
    </row>
    <row r="11011" spans="20:20" x14ac:dyDescent="0.25">
      <c r="T11011" s="98"/>
    </row>
    <row r="11012" spans="20:20" x14ac:dyDescent="0.25">
      <c r="T11012" s="98"/>
    </row>
    <row r="11013" spans="20:20" x14ac:dyDescent="0.25">
      <c r="T11013" s="98"/>
    </row>
    <row r="11014" spans="20:20" x14ac:dyDescent="0.25">
      <c r="T11014" s="98"/>
    </row>
    <row r="11015" spans="20:20" x14ac:dyDescent="0.25">
      <c r="T11015" s="98"/>
    </row>
    <row r="11016" spans="20:20" x14ac:dyDescent="0.25">
      <c r="T11016" s="98"/>
    </row>
    <row r="11017" spans="20:20" x14ac:dyDescent="0.25">
      <c r="T11017" s="98"/>
    </row>
    <row r="11018" spans="20:20" x14ac:dyDescent="0.25">
      <c r="T11018" s="98"/>
    </row>
    <row r="11019" spans="20:20" x14ac:dyDescent="0.25">
      <c r="T11019" s="98"/>
    </row>
    <row r="11020" spans="20:20" x14ac:dyDescent="0.25">
      <c r="T11020" s="98"/>
    </row>
    <row r="11021" spans="20:20" x14ac:dyDescent="0.25">
      <c r="T11021" s="98"/>
    </row>
    <row r="11022" spans="20:20" x14ac:dyDescent="0.25">
      <c r="T11022" s="98"/>
    </row>
    <row r="11023" spans="20:20" x14ac:dyDescent="0.25">
      <c r="T11023" s="98"/>
    </row>
    <row r="11024" spans="20:20" x14ac:dyDescent="0.25">
      <c r="T11024" s="98"/>
    </row>
    <row r="11025" spans="20:20" x14ac:dyDescent="0.25">
      <c r="T11025" s="98"/>
    </row>
    <row r="11026" spans="20:20" x14ac:dyDescent="0.25">
      <c r="T11026" s="98"/>
    </row>
    <row r="11027" spans="20:20" x14ac:dyDescent="0.25">
      <c r="T11027" s="98"/>
    </row>
    <row r="11028" spans="20:20" x14ac:dyDescent="0.25">
      <c r="T11028" s="98"/>
    </row>
    <row r="11029" spans="20:20" x14ac:dyDescent="0.25">
      <c r="T11029" s="98"/>
    </row>
    <row r="11030" spans="20:20" x14ac:dyDescent="0.25">
      <c r="T11030" s="98"/>
    </row>
    <row r="11031" spans="20:20" x14ac:dyDescent="0.25">
      <c r="T11031" s="98"/>
    </row>
    <row r="11032" spans="20:20" x14ac:dyDescent="0.25">
      <c r="T11032" s="98"/>
    </row>
    <row r="11033" spans="20:20" x14ac:dyDescent="0.25">
      <c r="T11033" s="98"/>
    </row>
    <row r="11034" spans="20:20" x14ac:dyDescent="0.25">
      <c r="T11034" s="98"/>
    </row>
    <row r="11035" spans="20:20" x14ac:dyDescent="0.25">
      <c r="T11035" s="98"/>
    </row>
    <row r="11036" spans="20:20" x14ac:dyDescent="0.25">
      <c r="T11036" s="98"/>
    </row>
    <row r="11037" spans="20:20" x14ac:dyDescent="0.25">
      <c r="T11037" s="98"/>
    </row>
    <row r="11038" spans="20:20" x14ac:dyDescent="0.25">
      <c r="T11038" s="98"/>
    </row>
    <row r="11039" spans="20:20" x14ac:dyDescent="0.25">
      <c r="T11039" s="98"/>
    </row>
    <row r="11040" spans="20:20" x14ac:dyDescent="0.25">
      <c r="T11040" s="98"/>
    </row>
    <row r="11041" spans="20:20" x14ac:dyDescent="0.25">
      <c r="T11041" s="98"/>
    </row>
    <row r="11042" spans="20:20" x14ac:dyDescent="0.25">
      <c r="T11042" s="98"/>
    </row>
    <row r="11043" spans="20:20" x14ac:dyDescent="0.25">
      <c r="T11043" s="98"/>
    </row>
    <row r="11044" spans="20:20" x14ac:dyDescent="0.25">
      <c r="T11044" s="98"/>
    </row>
    <row r="11045" spans="20:20" x14ac:dyDescent="0.25">
      <c r="T11045" s="98"/>
    </row>
    <row r="11046" spans="20:20" x14ac:dyDescent="0.25">
      <c r="T11046" s="98"/>
    </row>
    <row r="11047" spans="20:20" x14ac:dyDescent="0.25">
      <c r="T11047" s="98"/>
    </row>
    <row r="11048" spans="20:20" x14ac:dyDescent="0.25">
      <c r="T11048" s="98"/>
    </row>
    <row r="11049" spans="20:20" x14ac:dyDescent="0.25">
      <c r="T11049" s="98"/>
    </row>
    <row r="11050" spans="20:20" x14ac:dyDescent="0.25">
      <c r="T11050" s="98"/>
    </row>
    <row r="11051" spans="20:20" x14ac:dyDescent="0.25">
      <c r="T11051" s="98"/>
    </row>
    <row r="11052" spans="20:20" x14ac:dyDescent="0.25">
      <c r="T11052" s="98"/>
    </row>
    <row r="11053" spans="20:20" x14ac:dyDescent="0.25">
      <c r="T11053" s="98"/>
    </row>
    <row r="11054" spans="20:20" x14ac:dyDescent="0.25">
      <c r="T11054" s="98"/>
    </row>
    <row r="11055" spans="20:20" x14ac:dyDescent="0.25">
      <c r="T11055" s="98"/>
    </row>
    <row r="11056" spans="20:20" x14ac:dyDescent="0.25">
      <c r="T11056" s="98"/>
    </row>
    <row r="11057" spans="20:20" x14ac:dyDescent="0.25">
      <c r="T11057" s="98"/>
    </row>
    <row r="11058" spans="20:20" x14ac:dyDescent="0.25">
      <c r="T11058" s="98"/>
    </row>
    <row r="11059" spans="20:20" x14ac:dyDescent="0.25">
      <c r="T11059" s="98"/>
    </row>
    <row r="11060" spans="20:20" x14ac:dyDescent="0.25">
      <c r="T11060" s="98"/>
    </row>
    <row r="11061" spans="20:20" x14ac:dyDescent="0.25">
      <c r="T11061" s="98"/>
    </row>
    <row r="11062" spans="20:20" x14ac:dyDescent="0.25">
      <c r="T11062" s="98"/>
    </row>
    <row r="11063" spans="20:20" x14ac:dyDescent="0.25">
      <c r="T11063" s="98"/>
    </row>
    <row r="11064" spans="20:20" x14ac:dyDescent="0.25">
      <c r="T11064" s="98"/>
    </row>
    <row r="11065" spans="20:20" x14ac:dyDescent="0.25">
      <c r="T11065" s="98"/>
    </row>
    <row r="11066" spans="20:20" x14ac:dyDescent="0.25">
      <c r="T11066" s="98"/>
    </row>
    <row r="11067" spans="20:20" x14ac:dyDescent="0.25">
      <c r="T11067" s="98"/>
    </row>
    <row r="11068" spans="20:20" x14ac:dyDescent="0.25">
      <c r="T11068" s="98"/>
    </row>
    <row r="11069" spans="20:20" x14ac:dyDescent="0.25">
      <c r="T11069" s="98"/>
    </row>
    <row r="11070" spans="20:20" x14ac:dyDescent="0.25">
      <c r="T11070" s="98"/>
    </row>
    <row r="11071" spans="20:20" x14ac:dyDescent="0.25">
      <c r="T11071" s="98"/>
    </row>
    <row r="11072" spans="20:20" x14ac:dyDescent="0.25">
      <c r="T11072" s="98"/>
    </row>
    <row r="11073" spans="20:20" x14ac:dyDescent="0.25">
      <c r="T11073" s="98"/>
    </row>
    <row r="11074" spans="20:20" x14ac:dyDescent="0.25">
      <c r="T11074" s="98"/>
    </row>
    <row r="11075" spans="20:20" x14ac:dyDescent="0.25">
      <c r="T11075" s="98"/>
    </row>
    <row r="11076" spans="20:20" x14ac:dyDescent="0.25">
      <c r="T11076" s="98"/>
    </row>
    <row r="11077" spans="20:20" x14ac:dyDescent="0.25">
      <c r="T11077" s="98"/>
    </row>
    <row r="11078" spans="20:20" x14ac:dyDescent="0.25">
      <c r="T11078" s="98"/>
    </row>
    <row r="11079" spans="20:20" x14ac:dyDescent="0.25">
      <c r="T11079" s="98"/>
    </row>
    <row r="11080" spans="20:20" x14ac:dyDescent="0.25">
      <c r="T11080" s="98"/>
    </row>
    <row r="11081" spans="20:20" x14ac:dyDescent="0.25">
      <c r="T11081" s="98"/>
    </row>
    <row r="11082" spans="20:20" x14ac:dyDescent="0.25">
      <c r="T11082" s="98"/>
    </row>
    <row r="11083" spans="20:20" x14ac:dyDescent="0.25">
      <c r="T11083" s="98"/>
    </row>
    <row r="11084" spans="20:20" x14ac:dyDescent="0.25">
      <c r="T11084" s="98"/>
    </row>
    <row r="11085" spans="20:20" x14ac:dyDescent="0.25">
      <c r="T11085" s="98"/>
    </row>
    <row r="11086" spans="20:20" x14ac:dyDescent="0.25">
      <c r="T11086" s="98"/>
    </row>
    <row r="11087" spans="20:20" x14ac:dyDescent="0.25">
      <c r="T11087" s="98"/>
    </row>
    <row r="11088" spans="20:20" x14ac:dyDescent="0.25">
      <c r="T11088" s="98"/>
    </row>
    <row r="11089" spans="20:20" x14ac:dyDescent="0.25">
      <c r="T11089" s="98"/>
    </row>
    <row r="11090" spans="20:20" x14ac:dyDescent="0.25">
      <c r="T11090" s="98"/>
    </row>
    <row r="11091" spans="20:20" x14ac:dyDescent="0.25">
      <c r="T11091" s="98"/>
    </row>
    <row r="11092" spans="20:20" x14ac:dyDescent="0.25">
      <c r="T11092" s="98"/>
    </row>
    <row r="11093" spans="20:20" x14ac:dyDescent="0.25">
      <c r="T11093" s="98"/>
    </row>
    <row r="11094" spans="20:20" x14ac:dyDescent="0.25">
      <c r="T11094" s="98"/>
    </row>
    <row r="11095" spans="20:20" x14ac:dyDescent="0.25">
      <c r="T11095" s="98"/>
    </row>
    <row r="11096" spans="20:20" x14ac:dyDescent="0.25">
      <c r="T11096" s="98"/>
    </row>
    <row r="11097" spans="20:20" x14ac:dyDescent="0.25">
      <c r="T11097" s="98"/>
    </row>
    <row r="11098" spans="20:20" x14ac:dyDescent="0.25">
      <c r="T11098" s="98"/>
    </row>
    <row r="11099" spans="20:20" x14ac:dyDescent="0.25">
      <c r="T11099" s="98"/>
    </row>
    <row r="11100" spans="20:20" x14ac:dyDescent="0.25">
      <c r="T11100" s="98"/>
    </row>
    <row r="11101" spans="20:20" x14ac:dyDescent="0.25">
      <c r="T11101" s="98"/>
    </row>
    <row r="11102" spans="20:20" x14ac:dyDescent="0.25">
      <c r="T11102" s="98"/>
    </row>
    <row r="11103" spans="20:20" x14ac:dyDescent="0.25">
      <c r="T11103" s="98"/>
    </row>
    <row r="11104" spans="20:20" x14ac:dyDescent="0.25">
      <c r="T11104" s="98"/>
    </row>
    <row r="11105" spans="20:20" x14ac:dyDescent="0.25">
      <c r="T11105" s="98"/>
    </row>
    <row r="11106" spans="20:20" x14ac:dyDescent="0.25">
      <c r="T11106" s="98"/>
    </row>
    <row r="11107" spans="20:20" x14ac:dyDescent="0.25">
      <c r="T11107" s="98"/>
    </row>
    <row r="11108" spans="20:20" x14ac:dyDescent="0.25">
      <c r="T11108" s="98"/>
    </row>
    <row r="11109" spans="20:20" x14ac:dyDescent="0.25">
      <c r="T11109" s="98"/>
    </row>
    <row r="11110" spans="20:20" x14ac:dyDescent="0.25">
      <c r="T11110" s="98"/>
    </row>
    <row r="11111" spans="20:20" x14ac:dyDescent="0.25">
      <c r="T11111" s="98"/>
    </row>
    <row r="11112" spans="20:20" x14ac:dyDescent="0.25">
      <c r="T11112" s="98"/>
    </row>
    <row r="11113" spans="20:20" x14ac:dyDescent="0.25">
      <c r="T11113" s="98"/>
    </row>
    <row r="11114" spans="20:20" x14ac:dyDescent="0.25">
      <c r="T11114" s="98"/>
    </row>
    <row r="11115" spans="20:20" x14ac:dyDescent="0.25">
      <c r="T11115" s="98"/>
    </row>
    <row r="11116" spans="20:20" x14ac:dyDescent="0.25">
      <c r="T11116" s="98"/>
    </row>
    <row r="11117" spans="20:20" x14ac:dyDescent="0.25">
      <c r="T11117" s="98"/>
    </row>
    <row r="11118" spans="20:20" x14ac:dyDescent="0.25">
      <c r="T11118" s="98"/>
    </row>
    <row r="11119" spans="20:20" x14ac:dyDescent="0.25">
      <c r="T11119" s="98"/>
    </row>
    <row r="11120" spans="20:20" x14ac:dyDescent="0.25">
      <c r="T11120" s="98"/>
    </row>
    <row r="11121" spans="20:20" x14ac:dyDescent="0.25">
      <c r="T11121" s="98"/>
    </row>
    <row r="11122" spans="20:20" x14ac:dyDescent="0.25">
      <c r="T11122" s="98"/>
    </row>
    <row r="11123" spans="20:20" x14ac:dyDescent="0.25">
      <c r="T11123" s="98"/>
    </row>
    <row r="11124" spans="20:20" x14ac:dyDescent="0.25">
      <c r="T11124" s="98"/>
    </row>
    <row r="11125" spans="20:20" x14ac:dyDescent="0.25">
      <c r="T11125" s="98"/>
    </row>
    <row r="11126" spans="20:20" x14ac:dyDescent="0.25">
      <c r="T11126" s="98"/>
    </row>
    <row r="11127" spans="20:20" x14ac:dyDescent="0.25">
      <c r="T11127" s="98"/>
    </row>
    <row r="11128" spans="20:20" x14ac:dyDescent="0.25">
      <c r="T11128" s="98"/>
    </row>
    <row r="11129" spans="20:20" x14ac:dyDescent="0.25">
      <c r="T11129" s="98"/>
    </row>
    <row r="11130" spans="20:20" x14ac:dyDescent="0.25">
      <c r="T11130" s="98"/>
    </row>
    <row r="11131" spans="20:20" x14ac:dyDescent="0.25">
      <c r="T11131" s="98"/>
    </row>
    <row r="11132" spans="20:20" x14ac:dyDescent="0.25">
      <c r="T11132" s="98"/>
    </row>
    <row r="11133" spans="20:20" x14ac:dyDescent="0.25">
      <c r="T11133" s="98"/>
    </row>
    <row r="11134" spans="20:20" x14ac:dyDescent="0.25">
      <c r="T11134" s="98"/>
    </row>
    <row r="11135" spans="20:20" x14ac:dyDescent="0.25">
      <c r="T11135" s="98"/>
    </row>
    <row r="11136" spans="20:20" x14ac:dyDescent="0.25">
      <c r="T11136" s="98"/>
    </row>
    <row r="11137" spans="20:20" x14ac:dyDescent="0.25">
      <c r="T11137" s="98"/>
    </row>
    <row r="11138" spans="20:20" x14ac:dyDescent="0.25">
      <c r="T11138" s="98"/>
    </row>
    <row r="11139" spans="20:20" x14ac:dyDescent="0.25">
      <c r="T11139" s="98"/>
    </row>
    <row r="11140" spans="20:20" x14ac:dyDescent="0.25">
      <c r="T11140" s="98"/>
    </row>
    <row r="11141" spans="20:20" x14ac:dyDescent="0.25">
      <c r="T11141" s="98"/>
    </row>
    <row r="11142" spans="20:20" x14ac:dyDescent="0.25">
      <c r="T11142" s="98"/>
    </row>
    <row r="11143" spans="20:20" x14ac:dyDescent="0.25">
      <c r="T11143" s="98"/>
    </row>
    <row r="11144" spans="20:20" x14ac:dyDescent="0.25">
      <c r="T11144" s="98"/>
    </row>
    <row r="11145" spans="20:20" x14ac:dyDescent="0.25">
      <c r="T11145" s="98"/>
    </row>
    <row r="11146" spans="20:20" x14ac:dyDescent="0.25">
      <c r="T11146" s="98"/>
    </row>
    <row r="11147" spans="20:20" x14ac:dyDescent="0.25">
      <c r="T11147" s="98"/>
    </row>
    <row r="11148" spans="20:20" x14ac:dyDescent="0.25">
      <c r="T11148" s="98"/>
    </row>
    <row r="11149" spans="20:20" x14ac:dyDescent="0.25">
      <c r="T11149" s="98"/>
    </row>
    <row r="11150" spans="20:20" x14ac:dyDescent="0.25">
      <c r="T11150" s="98"/>
    </row>
    <row r="11151" spans="20:20" x14ac:dyDescent="0.25">
      <c r="T11151" s="98"/>
    </row>
    <row r="11152" spans="20:20" x14ac:dyDescent="0.25">
      <c r="T11152" s="98"/>
    </row>
    <row r="11153" spans="20:20" x14ac:dyDescent="0.25">
      <c r="T11153" s="98"/>
    </row>
    <row r="11154" spans="20:20" x14ac:dyDescent="0.25">
      <c r="T11154" s="98"/>
    </row>
    <row r="11155" spans="20:20" x14ac:dyDescent="0.25">
      <c r="T11155" s="98"/>
    </row>
    <row r="11156" spans="20:20" x14ac:dyDescent="0.25">
      <c r="T11156" s="98"/>
    </row>
    <row r="11157" spans="20:20" x14ac:dyDescent="0.25">
      <c r="T11157" s="98"/>
    </row>
    <row r="11158" spans="20:20" x14ac:dyDescent="0.25">
      <c r="T11158" s="98"/>
    </row>
    <row r="11159" spans="20:20" x14ac:dyDescent="0.25">
      <c r="T11159" s="98"/>
    </row>
    <row r="11160" spans="20:20" x14ac:dyDescent="0.25">
      <c r="T11160" s="98"/>
    </row>
    <row r="11161" spans="20:20" x14ac:dyDescent="0.25">
      <c r="T11161" s="98"/>
    </row>
    <row r="11162" spans="20:20" x14ac:dyDescent="0.25">
      <c r="T11162" s="98"/>
    </row>
    <row r="11163" spans="20:20" x14ac:dyDescent="0.25">
      <c r="T11163" s="98"/>
    </row>
    <row r="11164" spans="20:20" x14ac:dyDescent="0.25">
      <c r="T11164" s="98"/>
    </row>
    <row r="11165" spans="20:20" x14ac:dyDescent="0.25">
      <c r="T11165" s="98"/>
    </row>
    <row r="11166" spans="20:20" x14ac:dyDescent="0.25">
      <c r="T11166" s="98"/>
    </row>
    <row r="11167" spans="20:20" x14ac:dyDescent="0.25">
      <c r="T11167" s="98"/>
    </row>
    <row r="11168" spans="20:20" x14ac:dyDescent="0.25">
      <c r="T11168" s="98"/>
    </row>
    <row r="11169" spans="20:20" x14ac:dyDescent="0.25">
      <c r="T11169" s="98"/>
    </row>
    <row r="11170" spans="20:20" x14ac:dyDescent="0.25">
      <c r="T11170" s="98"/>
    </row>
    <row r="11171" spans="20:20" x14ac:dyDescent="0.25">
      <c r="T11171" s="98"/>
    </row>
    <row r="11172" spans="20:20" x14ac:dyDescent="0.25">
      <c r="T11172" s="98"/>
    </row>
    <row r="11173" spans="20:20" x14ac:dyDescent="0.25">
      <c r="T11173" s="98"/>
    </row>
    <row r="11174" spans="20:20" x14ac:dyDescent="0.25">
      <c r="T11174" s="98"/>
    </row>
    <row r="11175" spans="20:20" x14ac:dyDescent="0.25">
      <c r="T11175" s="98"/>
    </row>
    <row r="11176" spans="20:20" x14ac:dyDescent="0.25">
      <c r="T11176" s="98"/>
    </row>
    <row r="11177" spans="20:20" x14ac:dyDescent="0.25">
      <c r="T11177" s="98"/>
    </row>
    <row r="11178" spans="20:20" x14ac:dyDescent="0.25">
      <c r="T11178" s="98"/>
    </row>
    <row r="11179" spans="20:20" x14ac:dyDescent="0.25">
      <c r="T11179" s="98"/>
    </row>
    <row r="11180" spans="20:20" x14ac:dyDescent="0.25">
      <c r="T11180" s="98"/>
    </row>
    <row r="11181" spans="20:20" x14ac:dyDescent="0.25">
      <c r="T11181" s="98"/>
    </row>
    <row r="11182" spans="20:20" x14ac:dyDescent="0.25">
      <c r="T11182" s="98"/>
    </row>
    <row r="11183" spans="20:20" x14ac:dyDescent="0.25">
      <c r="T11183" s="98"/>
    </row>
    <row r="11184" spans="20:20" x14ac:dyDescent="0.25">
      <c r="T11184" s="98"/>
    </row>
    <row r="11185" spans="20:20" x14ac:dyDescent="0.25">
      <c r="T11185" s="98"/>
    </row>
    <row r="11186" spans="20:20" x14ac:dyDescent="0.25">
      <c r="T11186" s="98"/>
    </row>
    <row r="11187" spans="20:20" x14ac:dyDescent="0.25">
      <c r="T11187" s="98"/>
    </row>
    <row r="11188" spans="20:20" x14ac:dyDescent="0.25">
      <c r="T11188" s="98"/>
    </row>
    <row r="11189" spans="20:20" x14ac:dyDescent="0.25">
      <c r="T11189" s="98"/>
    </row>
    <row r="11190" spans="20:20" x14ac:dyDescent="0.25">
      <c r="T11190" s="98"/>
    </row>
    <row r="11191" spans="20:20" x14ac:dyDescent="0.25">
      <c r="T11191" s="98"/>
    </row>
    <row r="11192" spans="20:20" x14ac:dyDescent="0.25">
      <c r="T11192" s="98"/>
    </row>
    <row r="11193" spans="20:20" x14ac:dyDescent="0.25">
      <c r="T11193" s="98"/>
    </row>
    <row r="11194" spans="20:20" x14ac:dyDescent="0.25">
      <c r="T11194" s="98"/>
    </row>
    <row r="11195" spans="20:20" x14ac:dyDescent="0.25">
      <c r="T11195" s="98"/>
    </row>
    <row r="11196" spans="20:20" x14ac:dyDescent="0.25">
      <c r="T11196" s="98"/>
    </row>
    <row r="11197" spans="20:20" x14ac:dyDescent="0.25">
      <c r="T11197" s="98"/>
    </row>
    <row r="11198" spans="20:20" x14ac:dyDescent="0.25">
      <c r="T11198" s="98"/>
    </row>
    <row r="11199" spans="20:20" x14ac:dyDescent="0.25">
      <c r="T11199" s="98"/>
    </row>
    <row r="11200" spans="20:20" x14ac:dyDescent="0.25">
      <c r="T11200" s="98"/>
    </row>
    <row r="11201" spans="20:20" x14ac:dyDescent="0.25">
      <c r="T11201" s="98"/>
    </row>
    <row r="11202" spans="20:20" x14ac:dyDescent="0.25">
      <c r="T11202" s="98"/>
    </row>
    <row r="11203" spans="20:20" x14ac:dyDescent="0.25">
      <c r="T11203" s="98"/>
    </row>
    <row r="11204" spans="20:20" x14ac:dyDescent="0.25">
      <c r="T11204" s="98"/>
    </row>
    <row r="11205" spans="20:20" x14ac:dyDescent="0.25">
      <c r="T11205" s="98"/>
    </row>
    <row r="11206" spans="20:20" x14ac:dyDescent="0.25">
      <c r="T11206" s="98"/>
    </row>
    <row r="11207" spans="20:20" x14ac:dyDescent="0.25">
      <c r="T11207" s="98"/>
    </row>
    <row r="11208" spans="20:20" x14ac:dyDescent="0.25">
      <c r="T11208" s="98"/>
    </row>
    <row r="11209" spans="20:20" x14ac:dyDescent="0.25">
      <c r="T11209" s="98"/>
    </row>
    <row r="11210" spans="20:20" x14ac:dyDescent="0.25">
      <c r="T11210" s="98"/>
    </row>
    <row r="11211" spans="20:20" x14ac:dyDescent="0.25">
      <c r="T11211" s="98"/>
    </row>
    <row r="11212" spans="20:20" x14ac:dyDescent="0.25">
      <c r="T11212" s="98"/>
    </row>
    <row r="11213" spans="20:20" x14ac:dyDescent="0.25">
      <c r="T11213" s="98"/>
    </row>
    <row r="11214" spans="20:20" x14ac:dyDescent="0.25">
      <c r="T11214" s="98"/>
    </row>
    <row r="11215" spans="20:20" x14ac:dyDescent="0.25">
      <c r="T11215" s="98"/>
    </row>
    <row r="11216" spans="20:20" x14ac:dyDescent="0.25">
      <c r="T11216" s="98"/>
    </row>
    <row r="11217" spans="20:20" x14ac:dyDescent="0.25">
      <c r="T11217" s="98"/>
    </row>
    <row r="11218" spans="20:20" x14ac:dyDescent="0.25">
      <c r="T11218" s="98"/>
    </row>
    <row r="11219" spans="20:20" x14ac:dyDescent="0.25">
      <c r="T11219" s="98"/>
    </row>
    <row r="11220" spans="20:20" x14ac:dyDescent="0.25">
      <c r="T11220" s="98"/>
    </row>
    <row r="11221" spans="20:20" x14ac:dyDescent="0.25">
      <c r="T11221" s="98"/>
    </row>
    <row r="11222" spans="20:20" x14ac:dyDescent="0.25">
      <c r="T11222" s="98"/>
    </row>
    <row r="11223" spans="20:20" x14ac:dyDescent="0.25">
      <c r="T11223" s="98"/>
    </row>
    <row r="11224" spans="20:20" x14ac:dyDescent="0.25">
      <c r="T11224" s="98"/>
    </row>
    <row r="11225" spans="20:20" x14ac:dyDescent="0.25">
      <c r="T11225" s="98"/>
    </row>
    <row r="11226" spans="20:20" x14ac:dyDescent="0.25">
      <c r="T11226" s="98"/>
    </row>
    <row r="11227" spans="20:20" x14ac:dyDescent="0.25">
      <c r="T11227" s="98"/>
    </row>
    <row r="11228" spans="20:20" x14ac:dyDescent="0.25">
      <c r="T11228" s="98"/>
    </row>
    <row r="11229" spans="20:20" x14ac:dyDescent="0.25">
      <c r="T11229" s="98"/>
    </row>
    <row r="11230" spans="20:20" x14ac:dyDescent="0.25">
      <c r="T11230" s="98"/>
    </row>
    <row r="11231" spans="20:20" x14ac:dyDescent="0.25">
      <c r="T11231" s="98"/>
    </row>
    <row r="11232" spans="20:20" x14ac:dyDescent="0.25">
      <c r="T11232" s="98"/>
    </row>
    <row r="11233" spans="20:20" x14ac:dyDescent="0.25">
      <c r="T11233" s="98"/>
    </row>
    <row r="11234" spans="20:20" x14ac:dyDescent="0.25">
      <c r="T11234" s="98"/>
    </row>
    <row r="11235" spans="20:20" x14ac:dyDescent="0.25">
      <c r="T11235" s="98"/>
    </row>
    <row r="11236" spans="20:20" x14ac:dyDescent="0.25">
      <c r="T11236" s="98"/>
    </row>
    <row r="11237" spans="20:20" x14ac:dyDescent="0.25">
      <c r="T11237" s="98"/>
    </row>
    <row r="11238" spans="20:20" x14ac:dyDescent="0.25">
      <c r="T11238" s="98"/>
    </row>
    <row r="11239" spans="20:20" x14ac:dyDescent="0.25">
      <c r="T11239" s="98"/>
    </row>
    <row r="11240" spans="20:20" x14ac:dyDescent="0.25">
      <c r="T11240" s="98"/>
    </row>
    <row r="11241" spans="20:20" x14ac:dyDescent="0.25">
      <c r="T11241" s="98"/>
    </row>
    <row r="11242" spans="20:20" x14ac:dyDescent="0.25">
      <c r="T11242" s="98"/>
    </row>
    <row r="11243" spans="20:20" x14ac:dyDescent="0.25">
      <c r="T11243" s="98"/>
    </row>
    <row r="11244" spans="20:20" x14ac:dyDescent="0.25">
      <c r="T11244" s="98"/>
    </row>
    <row r="11245" spans="20:20" x14ac:dyDescent="0.25">
      <c r="T11245" s="98"/>
    </row>
    <row r="11246" spans="20:20" x14ac:dyDescent="0.25">
      <c r="T11246" s="98"/>
    </row>
    <row r="11247" spans="20:20" x14ac:dyDescent="0.25">
      <c r="T11247" s="98"/>
    </row>
    <row r="11248" spans="20:20" x14ac:dyDescent="0.25">
      <c r="T11248" s="98"/>
    </row>
    <row r="11249" spans="20:20" x14ac:dyDescent="0.25">
      <c r="T11249" s="98"/>
    </row>
    <row r="11250" spans="20:20" x14ac:dyDescent="0.25">
      <c r="T11250" s="98"/>
    </row>
    <row r="11251" spans="20:20" x14ac:dyDescent="0.25">
      <c r="T11251" s="98"/>
    </row>
    <row r="11252" spans="20:20" x14ac:dyDescent="0.25">
      <c r="T11252" s="98"/>
    </row>
    <row r="11253" spans="20:20" x14ac:dyDescent="0.25">
      <c r="T11253" s="98"/>
    </row>
    <row r="11254" spans="20:20" x14ac:dyDescent="0.25">
      <c r="T11254" s="98"/>
    </row>
    <row r="11255" spans="20:20" x14ac:dyDescent="0.25">
      <c r="T11255" s="98"/>
    </row>
    <row r="11256" spans="20:20" x14ac:dyDescent="0.25">
      <c r="T11256" s="98"/>
    </row>
    <row r="11257" spans="20:20" x14ac:dyDescent="0.25">
      <c r="T11257" s="98"/>
    </row>
    <row r="11258" spans="20:20" x14ac:dyDescent="0.25">
      <c r="T11258" s="98"/>
    </row>
    <row r="11259" spans="20:20" x14ac:dyDescent="0.25">
      <c r="T11259" s="98"/>
    </row>
    <row r="11260" spans="20:20" x14ac:dyDescent="0.25">
      <c r="T11260" s="98"/>
    </row>
    <row r="11261" spans="20:20" x14ac:dyDescent="0.25">
      <c r="T11261" s="98"/>
    </row>
    <row r="11262" spans="20:20" x14ac:dyDescent="0.25">
      <c r="T11262" s="98"/>
    </row>
    <row r="11263" spans="20:20" x14ac:dyDescent="0.25">
      <c r="T11263" s="98"/>
    </row>
    <row r="11264" spans="20:20" x14ac:dyDescent="0.25">
      <c r="T11264" s="98"/>
    </row>
    <row r="11265" spans="20:20" x14ac:dyDescent="0.25">
      <c r="T11265" s="98"/>
    </row>
    <row r="11266" spans="20:20" x14ac:dyDescent="0.25">
      <c r="T11266" s="98"/>
    </row>
    <row r="11267" spans="20:20" x14ac:dyDescent="0.25">
      <c r="T11267" s="98"/>
    </row>
    <row r="11268" spans="20:20" x14ac:dyDescent="0.25">
      <c r="T11268" s="98"/>
    </row>
    <row r="11269" spans="20:20" x14ac:dyDescent="0.25">
      <c r="T11269" s="98"/>
    </row>
    <row r="11270" spans="20:20" x14ac:dyDescent="0.25">
      <c r="T11270" s="98"/>
    </row>
    <row r="11271" spans="20:20" x14ac:dyDescent="0.25">
      <c r="T11271" s="98"/>
    </row>
    <row r="11272" spans="20:20" x14ac:dyDescent="0.25">
      <c r="T11272" s="98"/>
    </row>
    <row r="11273" spans="20:20" x14ac:dyDescent="0.25">
      <c r="T11273" s="98"/>
    </row>
    <row r="11274" spans="20:20" x14ac:dyDescent="0.25">
      <c r="T11274" s="98"/>
    </row>
    <row r="11275" spans="20:20" x14ac:dyDescent="0.25">
      <c r="T11275" s="98"/>
    </row>
    <row r="11276" spans="20:20" x14ac:dyDescent="0.25">
      <c r="T11276" s="98"/>
    </row>
    <row r="11277" spans="20:20" x14ac:dyDescent="0.25">
      <c r="T11277" s="98"/>
    </row>
    <row r="11278" spans="20:20" x14ac:dyDescent="0.25">
      <c r="T11278" s="98"/>
    </row>
    <row r="11279" spans="20:20" x14ac:dyDescent="0.25">
      <c r="T11279" s="98"/>
    </row>
    <row r="11280" spans="20:20" x14ac:dyDescent="0.25">
      <c r="T11280" s="98"/>
    </row>
    <row r="11281" spans="20:20" x14ac:dyDescent="0.25">
      <c r="T11281" s="98"/>
    </row>
    <row r="11282" spans="20:20" x14ac:dyDescent="0.25">
      <c r="T11282" s="98"/>
    </row>
    <row r="11283" spans="20:20" x14ac:dyDescent="0.25">
      <c r="T11283" s="98"/>
    </row>
    <row r="11284" spans="20:20" x14ac:dyDescent="0.25">
      <c r="T11284" s="98"/>
    </row>
    <row r="11285" spans="20:20" x14ac:dyDescent="0.25">
      <c r="T11285" s="98"/>
    </row>
    <row r="11286" spans="20:20" x14ac:dyDescent="0.25">
      <c r="T11286" s="98"/>
    </row>
    <row r="11287" spans="20:20" x14ac:dyDescent="0.25">
      <c r="T11287" s="98"/>
    </row>
    <row r="11288" spans="20:20" x14ac:dyDescent="0.25">
      <c r="T11288" s="98"/>
    </row>
    <row r="11289" spans="20:20" x14ac:dyDescent="0.25">
      <c r="T11289" s="98"/>
    </row>
    <row r="11290" spans="20:20" x14ac:dyDescent="0.25">
      <c r="T11290" s="98"/>
    </row>
    <row r="11291" spans="20:20" x14ac:dyDescent="0.25">
      <c r="T11291" s="98"/>
    </row>
    <row r="11292" spans="20:20" x14ac:dyDescent="0.25">
      <c r="T11292" s="98"/>
    </row>
    <row r="11293" spans="20:20" x14ac:dyDescent="0.25">
      <c r="T11293" s="98"/>
    </row>
    <row r="11294" spans="20:20" x14ac:dyDescent="0.25">
      <c r="T11294" s="98"/>
    </row>
    <row r="11295" spans="20:20" x14ac:dyDescent="0.25">
      <c r="T11295" s="98"/>
    </row>
    <row r="11296" spans="20:20" x14ac:dyDescent="0.25">
      <c r="T11296" s="98"/>
    </row>
    <row r="11297" spans="20:20" x14ac:dyDescent="0.25">
      <c r="T11297" s="98"/>
    </row>
    <row r="11298" spans="20:20" x14ac:dyDescent="0.25">
      <c r="T11298" s="98"/>
    </row>
    <row r="11299" spans="20:20" x14ac:dyDescent="0.25">
      <c r="T11299" s="98"/>
    </row>
    <row r="11300" spans="20:20" x14ac:dyDescent="0.25">
      <c r="T11300" s="98"/>
    </row>
    <row r="11301" spans="20:20" x14ac:dyDescent="0.25">
      <c r="T11301" s="98"/>
    </row>
    <row r="11302" spans="20:20" x14ac:dyDescent="0.25">
      <c r="T11302" s="98"/>
    </row>
    <row r="11303" spans="20:20" x14ac:dyDescent="0.25">
      <c r="T11303" s="98"/>
    </row>
    <row r="11304" spans="20:20" x14ac:dyDescent="0.25">
      <c r="T11304" s="98"/>
    </row>
    <row r="11305" spans="20:20" x14ac:dyDescent="0.25">
      <c r="T11305" s="98"/>
    </row>
    <row r="11306" spans="20:20" x14ac:dyDescent="0.25">
      <c r="T11306" s="98"/>
    </row>
    <row r="11307" spans="20:20" x14ac:dyDescent="0.25">
      <c r="T11307" s="98"/>
    </row>
    <row r="11308" spans="20:20" x14ac:dyDescent="0.25">
      <c r="T11308" s="98"/>
    </row>
    <row r="11309" spans="20:20" x14ac:dyDescent="0.25">
      <c r="T11309" s="98"/>
    </row>
    <row r="11310" spans="20:20" x14ac:dyDescent="0.25">
      <c r="T11310" s="98"/>
    </row>
    <row r="11311" spans="20:20" x14ac:dyDescent="0.25">
      <c r="T11311" s="98"/>
    </row>
    <row r="11312" spans="20:20" x14ac:dyDescent="0.25">
      <c r="T11312" s="98"/>
    </row>
    <row r="11313" spans="20:20" x14ac:dyDescent="0.25">
      <c r="T11313" s="98"/>
    </row>
    <row r="11314" spans="20:20" x14ac:dyDescent="0.25">
      <c r="T11314" s="98"/>
    </row>
    <row r="11315" spans="20:20" x14ac:dyDescent="0.25">
      <c r="T11315" s="98"/>
    </row>
    <row r="11316" spans="20:20" x14ac:dyDescent="0.25">
      <c r="T11316" s="98"/>
    </row>
    <row r="11317" spans="20:20" x14ac:dyDescent="0.25">
      <c r="T11317" s="98"/>
    </row>
    <row r="11318" spans="20:20" x14ac:dyDescent="0.25">
      <c r="T11318" s="98"/>
    </row>
    <row r="11319" spans="20:20" x14ac:dyDescent="0.25">
      <c r="T11319" s="98"/>
    </row>
    <row r="11320" spans="20:20" x14ac:dyDescent="0.25">
      <c r="T11320" s="98"/>
    </row>
    <row r="11321" spans="20:20" x14ac:dyDescent="0.25">
      <c r="T11321" s="98"/>
    </row>
    <row r="11322" spans="20:20" x14ac:dyDescent="0.25">
      <c r="T11322" s="98"/>
    </row>
    <row r="11323" spans="20:20" x14ac:dyDescent="0.25">
      <c r="T11323" s="98"/>
    </row>
    <row r="11324" spans="20:20" x14ac:dyDescent="0.25">
      <c r="T11324" s="98"/>
    </row>
    <row r="11325" spans="20:20" x14ac:dyDescent="0.25">
      <c r="T11325" s="98"/>
    </row>
    <row r="11326" spans="20:20" x14ac:dyDescent="0.25">
      <c r="T11326" s="98"/>
    </row>
    <row r="11327" spans="20:20" x14ac:dyDescent="0.25">
      <c r="T11327" s="98"/>
    </row>
    <row r="11328" spans="20:20" x14ac:dyDescent="0.25">
      <c r="T11328" s="98"/>
    </row>
    <row r="11329" spans="20:20" x14ac:dyDescent="0.25">
      <c r="T11329" s="98"/>
    </row>
    <row r="11330" spans="20:20" x14ac:dyDescent="0.25">
      <c r="T11330" s="98"/>
    </row>
    <row r="11331" spans="20:20" x14ac:dyDescent="0.25">
      <c r="T11331" s="98"/>
    </row>
    <row r="11332" spans="20:20" x14ac:dyDescent="0.25">
      <c r="T11332" s="98"/>
    </row>
    <row r="11333" spans="20:20" x14ac:dyDescent="0.25">
      <c r="T11333" s="98"/>
    </row>
    <row r="11334" spans="20:20" x14ac:dyDescent="0.25">
      <c r="T11334" s="98"/>
    </row>
    <row r="11335" spans="20:20" x14ac:dyDescent="0.25">
      <c r="T11335" s="98"/>
    </row>
    <row r="11336" spans="20:20" x14ac:dyDescent="0.25">
      <c r="T11336" s="98"/>
    </row>
    <row r="11337" spans="20:20" x14ac:dyDescent="0.25">
      <c r="T11337" s="98"/>
    </row>
    <row r="11338" spans="20:20" x14ac:dyDescent="0.25">
      <c r="T11338" s="98"/>
    </row>
    <row r="11339" spans="20:20" x14ac:dyDescent="0.25">
      <c r="T11339" s="98"/>
    </row>
    <row r="11340" spans="20:20" x14ac:dyDescent="0.25">
      <c r="T11340" s="98"/>
    </row>
    <row r="11341" spans="20:20" x14ac:dyDescent="0.25">
      <c r="T11341" s="98"/>
    </row>
    <row r="11342" spans="20:20" x14ac:dyDescent="0.25">
      <c r="T11342" s="98"/>
    </row>
    <row r="11343" spans="20:20" x14ac:dyDescent="0.25">
      <c r="T11343" s="98"/>
    </row>
    <row r="11344" spans="20:20" x14ac:dyDescent="0.25">
      <c r="T11344" s="98"/>
    </row>
    <row r="11345" spans="20:20" x14ac:dyDescent="0.25">
      <c r="T11345" s="98"/>
    </row>
    <row r="11346" spans="20:20" x14ac:dyDescent="0.25">
      <c r="T11346" s="98"/>
    </row>
    <row r="11347" spans="20:20" x14ac:dyDescent="0.25">
      <c r="T11347" s="98"/>
    </row>
    <row r="11348" spans="20:20" x14ac:dyDescent="0.25">
      <c r="T11348" s="98"/>
    </row>
    <row r="11349" spans="20:20" x14ac:dyDescent="0.25">
      <c r="T11349" s="98"/>
    </row>
    <row r="11350" spans="20:20" x14ac:dyDescent="0.25">
      <c r="T11350" s="98"/>
    </row>
    <row r="11351" spans="20:20" x14ac:dyDescent="0.25">
      <c r="T11351" s="98"/>
    </row>
    <row r="11352" spans="20:20" x14ac:dyDescent="0.25">
      <c r="T11352" s="98"/>
    </row>
    <row r="11353" spans="20:20" x14ac:dyDescent="0.25">
      <c r="T11353" s="98"/>
    </row>
    <row r="11354" spans="20:20" x14ac:dyDescent="0.25">
      <c r="T11354" s="98"/>
    </row>
    <row r="11355" spans="20:20" x14ac:dyDescent="0.25">
      <c r="T11355" s="98"/>
    </row>
    <row r="11356" spans="20:20" x14ac:dyDescent="0.25">
      <c r="T11356" s="98"/>
    </row>
    <row r="11357" spans="20:20" x14ac:dyDescent="0.25">
      <c r="T11357" s="98"/>
    </row>
    <row r="11358" spans="20:20" x14ac:dyDescent="0.25">
      <c r="T11358" s="98"/>
    </row>
    <row r="11359" spans="20:20" x14ac:dyDescent="0.25">
      <c r="T11359" s="98"/>
    </row>
    <row r="11360" spans="20:20" x14ac:dyDescent="0.25">
      <c r="T11360" s="98"/>
    </row>
    <row r="11361" spans="20:20" x14ac:dyDescent="0.25">
      <c r="T11361" s="98"/>
    </row>
    <row r="11362" spans="20:20" x14ac:dyDescent="0.25">
      <c r="T11362" s="98"/>
    </row>
    <row r="11363" spans="20:20" x14ac:dyDescent="0.25">
      <c r="T11363" s="98"/>
    </row>
    <row r="11364" spans="20:20" x14ac:dyDescent="0.25">
      <c r="T11364" s="98"/>
    </row>
    <row r="11365" spans="20:20" x14ac:dyDescent="0.25">
      <c r="T11365" s="98"/>
    </row>
    <row r="11366" spans="20:20" x14ac:dyDescent="0.25">
      <c r="T11366" s="98"/>
    </row>
    <row r="11367" spans="20:20" x14ac:dyDescent="0.25">
      <c r="T11367" s="98"/>
    </row>
    <row r="11368" spans="20:20" x14ac:dyDescent="0.25">
      <c r="T11368" s="98"/>
    </row>
    <row r="11369" spans="20:20" x14ac:dyDescent="0.25">
      <c r="T11369" s="98"/>
    </row>
    <row r="11370" spans="20:20" x14ac:dyDescent="0.25">
      <c r="T11370" s="98"/>
    </row>
    <row r="11371" spans="20:20" x14ac:dyDescent="0.25">
      <c r="T11371" s="98"/>
    </row>
    <row r="11372" spans="20:20" x14ac:dyDescent="0.25">
      <c r="T11372" s="98"/>
    </row>
    <row r="11373" spans="20:20" x14ac:dyDescent="0.25">
      <c r="T11373" s="98"/>
    </row>
    <row r="11374" spans="20:20" x14ac:dyDescent="0.25">
      <c r="T11374" s="98"/>
    </row>
    <row r="11375" spans="20:20" x14ac:dyDescent="0.25">
      <c r="T11375" s="98"/>
    </row>
    <row r="11376" spans="20:20" x14ac:dyDescent="0.25">
      <c r="T11376" s="98"/>
    </row>
    <row r="11377" spans="20:20" x14ac:dyDescent="0.25">
      <c r="T11377" s="98"/>
    </row>
    <row r="11378" spans="20:20" x14ac:dyDescent="0.25">
      <c r="T11378" s="98"/>
    </row>
    <row r="11379" spans="20:20" x14ac:dyDescent="0.25">
      <c r="T11379" s="98"/>
    </row>
    <row r="11380" spans="20:20" x14ac:dyDescent="0.25">
      <c r="T11380" s="98"/>
    </row>
    <row r="11381" spans="20:20" x14ac:dyDescent="0.25">
      <c r="T11381" s="98"/>
    </row>
    <row r="11382" spans="20:20" x14ac:dyDescent="0.25">
      <c r="T11382" s="98"/>
    </row>
    <row r="11383" spans="20:20" x14ac:dyDescent="0.25">
      <c r="T11383" s="98"/>
    </row>
    <row r="11384" spans="20:20" x14ac:dyDescent="0.25">
      <c r="T11384" s="98"/>
    </row>
    <row r="11385" spans="20:20" x14ac:dyDescent="0.25">
      <c r="T11385" s="98"/>
    </row>
    <row r="11386" spans="20:20" x14ac:dyDescent="0.25">
      <c r="T11386" s="98"/>
    </row>
    <row r="11387" spans="20:20" x14ac:dyDescent="0.25">
      <c r="T11387" s="98"/>
    </row>
    <row r="11388" spans="20:20" x14ac:dyDescent="0.25">
      <c r="T11388" s="98"/>
    </row>
    <row r="11389" spans="20:20" x14ac:dyDescent="0.25">
      <c r="T11389" s="98"/>
    </row>
    <row r="11390" spans="20:20" x14ac:dyDescent="0.25">
      <c r="T11390" s="98"/>
    </row>
    <row r="11391" spans="20:20" x14ac:dyDescent="0.25">
      <c r="T11391" s="98"/>
    </row>
    <row r="11392" spans="20:20" x14ac:dyDescent="0.25">
      <c r="T11392" s="98"/>
    </row>
    <row r="11393" spans="20:20" x14ac:dyDescent="0.25">
      <c r="T11393" s="98"/>
    </row>
    <row r="11394" spans="20:20" x14ac:dyDescent="0.25">
      <c r="T11394" s="98"/>
    </row>
    <row r="11395" spans="20:20" x14ac:dyDescent="0.25">
      <c r="T11395" s="98"/>
    </row>
    <row r="11396" spans="20:20" x14ac:dyDescent="0.25">
      <c r="T11396" s="98"/>
    </row>
    <row r="11397" spans="20:20" x14ac:dyDescent="0.25">
      <c r="T11397" s="98"/>
    </row>
    <row r="11398" spans="20:20" x14ac:dyDescent="0.25">
      <c r="T11398" s="98"/>
    </row>
    <row r="11399" spans="20:20" x14ac:dyDescent="0.25">
      <c r="T11399" s="98"/>
    </row>
    <row r="11400" spans="20:20" x14ac:dyDescent="0.25">
      <c r="T11400" s="98"/>
    </row>
    <row r="11401" spans="20:20" x14ac:dyDescent="0.25">
      <c r="T11401" s="98"/>
    </row>
    <row r="11402" spans="20:20" x14ac:dyDescent="0.25">
      <c r="T11402" s="98"/>
    </row>
    <row r="11403" spans="20:20" x14ac:dyDescent="0.25">
      <c r="T11403" s="98"/>
    </row>
    <row r="11404" spans="20:20" x14ac:dyDescent="0.25">
      <c r="T11404" s="98"/>
    </row>
    <row r="11405" spans="20:20" x14ac:dyDescent="0.25">
      <c r="T11405" s="98"/>
    </row>
    <row r="11406" spans="20:20" x14ac:dyDescent="0.25">
      <c r="T11406" s="98"/>
    </row>
    <row r="11407" spans="20:20" x14ac:dyDescent="0.25">
      <c r="T11407" s="98"/>
    </row>
    <row r="11408" spans="20:20" x14ac:dyDescent="0.25">
      <c r="T11408" s="98"/>
    </row>
    <row r="11409" spans="20:20" x14ac:dyDescent="0.25">
      <c r="T11409" s="98"/>
    </row>
    <row r="11410" spans="20:20" x14ac:dyDescent="0.25">
      <c r="T11410" s="98"/>
    </row>
    <row r="11411" spans="20:20" x14ac:dyDescent="0.25">
      <c r="T11411" s="98"/>
    </row>
    <row r="11412" spans="20:20" x14ac:dyDescent="0.25">
      <c r="T11412" s="98"/>
    </row>
    <row r="11413" spans="20:20" x14ac:dyDescent="0.25">
      <c r="T11413" s="98"/>
    </row>
    <row r="11414" spans="20:20" x14ac:dyDescent="0.25">
      <c r="T11414" s="98"/>
    </row>
    <row r="11415" spans="20:20" x14ac:dyDescent="0.25">
      <c r="T11415" s="98"/>
    </row>
    <row r="11416" spans="20:20" x14ac:dyDescent="0.25">
      <c r="T11416" s="98"/>
    </row>
    <row r="11417" spans="20:20" x14ac:dyDescent="0.25">
      <c r="T11417" s="98"/>
    </row>
    <row r="11418" spans="20:20" x14ac:dyDescent="0.25">
      <c r="T11418" s="98"/>
    </row>
    <row r="11419" spans="20:20" x14ac:dyDescent="0.25">
      <c r="T11419" s="98"/>
    </row>
    <row r="11420" spans="20:20" x14ac:dyDescent="0.25">
      <c r="T11420" s="98"/>
    </row>
    <row r="11421" spans="20:20" x14ac:dyDescent="0.25">
      <c r="T11421" s="98"/>
    </row>
    <row r="11422" spans="20:20" x14ac:dyDescent="0.25">
      <c r="T11422" s="98"/>
    </row>
    <row r="11423" spans="20:20" x14ac:dyDescent="0.25">
      <c r="T11423" s="98"/>
    </row>
    <row r="11424" spans="20:20" x14ac:dyDescent="0.25">
      <c r="T11424" s="98"/>
    </row>
    <row r="11425" spans="20:20" x14ac:dyDescent="0.25">
      <c r="T11425" s="98"/>
    </row>
    <row r="11426" spans="20:20" x14ac:dyDescent="0.25">
      <c r="T11426" s="98"/>
    </row>
    <row r="11427" spans="20:20" x14ac:dyDescent="0.25">
      <c r="T11427" s="98"/>
    </row>
    <row r="11428" spans="20:20" x14ac:dyDescent="0.25">
      <c r="T11428" s="98"/>
    </row>
    <row r="11429" spans="20:20" x14ac:dyDescent="0.25">
      <c r="T11429" s="98"/>
    </row>
    <row r="11430" spans="20:20" x14ac:dyDescent="0.25">
      <c r="T11430" s="98"/>
    </row>
    <row r="11431" spans="20:20" x14ac:dyDescent="0.25">
      <c r="T11431" s="98"/>
    </row>
    <row r="11432" spans="20:20" x14ac:dyDescent="0.25">
      <c r="T11432" s="98"/>
    </row>
    <row r="11433" spans="20:20" x14ac:dyDescent="0.25">
      <c r="T11433" s="98"/>
    </row>
    <row r="11434" spans="20:20" x14ac:dyDescent="0.25">
      <c r="T11434" s="98"/>
    </row>
    <row r="11435" spans="20:20" x14ac:dyDescent="0.25">
      <c r="T11435" s="98"/>
    </row>
    <row r="11436" spans="20:20" x14ac:dyDescent="0.25">
      <c r="T11436" s="98"/>
    </row>
    <row r="11437" spans="20:20" x14ac:dyDescent="0.25">
      <c r="T11437" s="98"/>
    </row>
    <row r="11438" spans="20:20" x14ac:dyDescent="0.25">
      <c r="T11438" s="98"/>
    </row>
    <row r="11439" spans="20:20" x14ac:dyDescent="0.25">
      <c r="T11439" s="98"/>
    </row>
    <row r="11440" spans="20:20" x14ac:dyDescent="0.25">
      <c r="T11440" s="98"/>
    </row>
    <row r="11441" spans="20:20" x14ac:dyDescent="0.25">
      <c r="T11441" s="98"/>
    </row>
    <row r="11442" spans="20:20" x14ac:dyDescent="0.25">
      <c r="T11442" s="98"/>
    </row>
    <row r="11443" spans="20:20" x14ac:dyDescent="0.25">
      <c r="T11443" s="98"/>
    </row>
    <row r="11444" spans="20:20" x14ac:dyDescent="0.25">
      <c r="T11444" s="98"/>
    </row>
    <row r="11445" spans="20:20" x14ac:dyDescent="0.25">
      <c r="T11445" s="98"/>
    </row>
    <row r="11446" spans="20:20" x14ac:dyDescent="0.25">
      <c r="T11446" s="98"/>
    </row>
    <row r="11447" spans="20:20" x14ac:dyDescent="0.25">
      <c r="T11447" s="98"/>
    </row>
    <row r="11448" spans="20:20" x14ac:dyDescent="0.25">
      <c r="T11448" s="98"/>
    </row>
    <row r="11449" spans="20:20" x14ac:dyDescent="0.25">
      <c r="T11449" s="98"/>
    </row>
    <row r="11450" spans="20:20" x14ac:dyDescent="0.25">
      <c r="T11450" s="98"/>
    </row>
    <row r="11451" spans="20:20" x14ac:dyDescent="0.25">
      <c r="T11451" s="98"/>
    </row>
    <row r="11452" spans="20:20" x14ac:dyDescent="0.25">
      <c r="T11452" s="98"/>
    </row>
    <row r="11453" spans="20:20" x14ac:dyDescent="0.25">
      <c r="T11453" s="98"/>
    </row>
    <row r="11454" spans="20:20" x14ac:dyDescent="0.25">
      <c r="T11454" s="98"/>
    </row>
    <row r="11455" spans="20:20" x14ac:dyDescent="0.25">
      <c r="T11455" s="98"/>
    </row>
    <row r="11456" spans="20:20" x14ac:dyDescent="0.25">
      <c r="T11456" s="98"/>
    </row>
    <row r="11457" spans="20:20" x14ac:dyDescent="0.25">
      <c r="T11457" s="98"/>
    </row>
    <row r="11458" spans="20:20" x14ac:dyDescent="0.25">
      <c r="T11458" s="98"/>
    </row>
    <row r="11459" spans="20:20" x14ac:dyDescent="0.25">
      <c r="T11459" s="98"/>
    </row>
    <row r="11460" spans="20:20" x14ac:dyDescent="0.25">
      <c r="T11460" s="98"/>
    </row>
    <row r="11461" spans="20:20" x14ac:dyDescent="0.25">
      <c r="T11461" s="98"/>
    </row>
    <row r="11462" spans="20:20" x14ac:dyDescent="0.25">
      <c r="T11462" s="98"/>
    </row>
    <row r="11463" spans="20:20" x14ac:dyDescent="0.25">
      <c r="T11463" s="98"/>
    </row>
    <row r="11464" spans="20:20" x14ac:dyDescent="0.25">
      <c r="T11464" s="98"/>
    </row>
    <row r="11465" spans="20:20" x14ac:dyDescent="0.25">
      <c r="T11465" s="98"/>
    </row>
    <row r="11466" spans="20:20" x14ac:dyDescent="0.25">
      <c r="T11466" s="98"/>
    </row>
    <row r="11467" spans="20:20" x14ac:dyDescent="0.25">
      <c r="T11467" s="98"/>
    </row>
    <row r="11468" spans="20:20" x14ac:dyDescent="0.25">
      <c r="T11468" s="98"/>
    </row>
    <row r="11469" spans="20:20" x14ac:dyDescent="0.25">
      <c r="T11469" s="98"/>
    </row>
    <row r="11470" spans="20:20" x14ac:dyDescent="0.25">
      <c r="T11470" s="98"/>
    </row>
    <row r="11471" spans="20:20" x14ac:dyDescent="0.25">
      <c r="T11471" s="98"/>
    </row>
    <row r="11472" spans="20:20" x14ac:dyDescent="0.25">
      <c r="T11472" s="98"/>
    </row>
    <row r="11473" spans="20:20" x14ac:dyDescent="0.25">
      <c r="T11473" s="98"/>
    </row>
    <row r="11474" spans="20:20" x14ac:dyDescent="0.25">
      <c r="T11474" s="98"/>
    </row>
    <row r="11475" spans="20:20" x14ac:dyDescent="0.25">
      <c r="T11475" s="98"/>
    </row>
    <row r="11476" spans="20:20" x14ac:dyDescent="0.25">
      <c r="T11476" s="98"/>
    </row>
    <row r="11477" spans="20:20" x14ac:dyDescent="0.25">
      <c r="T11477" s="98"/>
    </row>
    <row r="11478" spans="20:20" x14ac:dyDescent="0.25">
      <c r="T11478" s="98"/>
    </row>
    <row r="11479" spans="20:20" x14ac:dyDescent="0.25">
      <c r="T11479" s="98"/>
    </row>
    <row r="11480" spans="20:20" x14ac:dyDescent="0.25">
      <c r="T11480" s="98"/>
    </row>
    <row r="11481" spans="20:20" x14ac:dyDescent="0.25">
      <c r="T11481" s="98"/>
    </row>
    <row r="11482" spans="20:20" x14ac:dyDescent="0.25">
      <c r="T11482" s="98"/>
    </row>
    <row r="11483" spans="20:20" x14ac:dyDescent="0.25">
      <c r="T11483" s="98"/>
    </row>
    <row r="11484" spans="20:20" x14ac:dyDescent="0.25">
      <c r="T11484" s="98"/>
    </row>
    <row r="11485" spans="20:20" x14ac:dyDescent="0.25">
      <c r="T11485" s="98"/>
    </row>
    <row r="11486" spans="20:20" x14ac:dyDescent="0.25">
      <c r="T11486" s="98"/>
    </row>
    <row r="11487" spans="20:20" x14ac:dyDescent="0.25">
      <c r="T11487" s="98"/>
    </row>
    <row r="11488" spans="20:20" x14ac:dyDescent="0.25">
      <c r="T11488" s="98"/>
    </row>
    <row r="11489" spans="20:20" x14ac:dyDescent="0.25">
      <c r="T11489" s="98"/>
    </row>
    <row r="11490" spans="20:20" x14ac:dyDescent="0.25">
      <c r="T11490" s="98"/>
    </row>
    <row r="11491" spans="20:20" x14ac:dyDescent="0.25">
      <c r="T11491" s="98"/>
    </row>
    <row r="11492" spans="20:20" x14ac:dyDescent="0.25">
      <c r="T11492" s="98"/>
    </row>
    <row r="11493" spans="20:20" x14ac:dyDescent="0.25">
      <c r="T11493" s="98"/>
    </row>
    <row r="11494" spans="20:20" x14ac:dyDescent="0.25">
      <c r="T11494" s="98"/>
    </row>
    <row r="11495" spans="20:20" x14ac:dyDescent="0.25">
      <c r="T11495" s="98"/>
    </row>
    <row r="11496" spans="20:20" x14ac:dyDescent="0.25">
      <c r="T11496" s="98"/>
    </row>
    <row r="11497" spans="20:20" x14ac:dyDescent="0.25">
      <c r="T11497" s="98"/>
    </row>
    <row r="11498" spans="20:20" x14ac:dyDescent="0.25">
      <c r="T11498" s="98"/>
    </row>
    <row r="11499" spans="20:20" x14ac:dyDescent="0.25">
      <c r="T11499" s="98"/>
    </row>
    <row r="11500" spans="20:20" x14ac:dyDescent="0.25">
      <c r="T11500" s="98"/>
    </row>
    <row r="11501" spans="20:20" x14ac:dyDescent="0.25">
      <c r="T11501" s="98"/>
    </row>
    <row r="11502" spans="20:20" x14ac:dyDescent="0.25">
      <c r="T11502" s="98"/>
    </row>
    <row r="11503" spans="20:20" x14ac:dyDescent="0.25">
      <c r="T11503" s="98"/>
    </row>
    <row r="11504" spans="20:20" x14ac:dyDescent="0.25">
      <c r="T11504" s="98"/>
    </row>
    <row r="11505" spans="20:20" x14ac:dyDescent="0.25">
      <c r="T11505" s="98"/>
    </row>
    <row r="11506" spans="20:20" x14ac:dyDescent="0.25">
      <c r="T11506" s="98"/>
    </row>
    <row r="11507" spans="20:20" x14ac:dyDescent="0.25">
      <c r="T11507" s="98"/>
    </row>
    <row r="11508" spans="20:20" x14ac:dyDescent="0.25">
      <c r="T11508" s="98"/>
    </row>
    <row r="11509" spans="20:20" x14ac:dyDescent="0.25">
      <c r="T11509" s="98"/>
    </row>
    <row r="11510" spans="20:20" x14ac:dyDescent="0.25">
      <c r="T11510" s="98"/>
    </row>
    <row r="11511" spans="20:20" x14ac:dyDescent="0.25">
      <c r="T11511" s="98"/>
    </row>
    <row r="11512" spans="20:20" x14ac:dyDescent="0.25">
      <c r="T11512" s="98"/>
    </row>
    <row r="11513" spans="20:20" x14ac:dyDescent="0.25">
      <c r="T11513" s="98"/>
    </row>
    <row r="11514" spans="20:20" x14ac:dyDescent="0.25">
      <c r="T11514" s="98"/>
    </row>
    <row r="11515" spans="20:20" x14ac:dyDescent="0.25">
      <c r="T11515" s="98"/>
    </row>
    <row r="11516" spans="20:20" x14ac:dyDescent="0.25">
      <c r="T11516" s="98"/>
    </row>
    <row r="11517" spans="20:20" x14ac:dyDescent="0.25">
      <c r="T11517" s="98"/>
    </row>
    <row r="11518" spans="20:20" x14ac:dyDescent="0.25">
      <c r="T11518" s="98"/>
    </row>
    <row r="11519" spans="20:20" x14ac:dyDescent="0.25">
      <c r="T11519" s="98"/>
    </row>
    <row r="11520" spans="20:20" x14ac:dyDescent="0.25">
      <c r="T11520" s="98"/>
    </row>
    <row r="11521" spans="20:20" x14ac:dyDescent="0.25">
      <c r="T11521" s="98"/>
    </row>
    <row r="11522" spans="20:20" x14ac:dyDescent="0.25">
      <c r="T11522" s="98"/>
    </row>
    <row r="11523" spans="20:20" x14ac:dyDescent="0.25">
      <c r="T11523" s="98"/>
    </row>
    <row r="11524" spans="20:20" x14ac:dyDescent="0.25">
      <c r="T11524" s="98"/>
    </row>
    <row r="11525" spans="20:20" x14ac:dyDescent="0.25">
      <c r="T11525" s="98"/>
    </row>
    <row r="11526" spans="20:20" x14ac:dyDescent="0.25">
      <c r="T11526" s="98"/>
    </row>
    <row r="11527" spans="20:20" x14ac:dyDescent="0.25">
      <c r="T11527" s="98"/>
    </row>
    <row r="11528" spans="20:20" x14ac:dyDescent="0.25">
      <c r="T11528" s="98"/>
    </row>
    <row r="11529" spans="20:20" x14ac:dyDescent="0.25">
      <c r="T11529" s="98"/>
    </row>
    <row r="11530" spans="20:20" x14ac:dyDescent="0.25">
      <c r="T11530" s="98"/>
    </row>
    <row r="11531" spans="20:20" x14ac:dyDescent="0.25">
      <c r="T11531" s="98"/>
    </row>
    <row r="11532" spans="20:20" x14ac:dyDescent="0.25">
      <c r="T11532" s="98"/>
    </row>
    <row r="11533" spans="20:20" x14ac:dyDescent="0.25">
      <c r="T11533" s="98"/>
    </row>
    <row r="11534" spans="20:20" x14ac:dyDescent="0.25">
      <c r="T11534" s="98"/>
    </row>
    <row r="11535" spans="20:20" x14ac:dyDescent="0.25">
      <c r="T11535" s="98"/>
    </row>
    <row r="11536" spans="20:20" x14ac:dyDescent="0.25">
      <c r="T11536" s="98"/>
    </row>
    <row r="11537" spans="20:20" x14ac:dyDescent="0.25">
      <c r="T11537" s="98"/>
    </row>
    <row r="11538" spans="20:20" x14ac:dyDescent="0.25">
      <c r="T11538" s="98"/>
    </row>
    <row r="11539" spans="20:20" x14ac:dyDescent="0.25">
      <c r="T11539" s="98"/>
    </row>
    <row r="11540" spans="20:20" x14ac:dyDescent="0.25">
      <c r="T11540" s="98"/>
    </row>
    <row r="11541" spans="20:20" x14ac:dyDescent="0.25">
      <c r="T11541" s="98"/>
    </row>
    <row r="11542" spans="20:20" x14ac:dyDescent="0.25">
      <c r="T11542" s="98"/>
    </row>
    <row r="11543" spans="20:20" x14ac:dyDescent="0.25">
      <c r="T11543" s="98"/>
    </row>
    <row r="11544" spans="20:20" x14ac:dyDescent="0.25">
      <c r="T11544" s="98"/>
    </row>
    <row r="11545" spans="20:20" x14ac:dyDescent="0.25">
      <c r="T11545" s="98"/>
    </row>
    <row r="11546" spans="20:20" x14ac:dyDescent="0.25">
      <c r="T11546" s="98"/>
    </row>
    <row r="11547" spans="20:20" x14ac:dyDescent="0.25">
      <c r="T11547" s="98"/>
    </row>
    <row r="11548" spans="20:20" x14ac:dyDescent="0.25">
      <c r="T11548" s="98"/>
    </row>
    <row r="11549" spans="20:20" x14ac:dyDescent="0.25">
      <c r="T11549" s="98"/>
    </row>
    <row r="11550" spans="20:20" x14ac:dyDescent="0.25">
      <c r="T11550" s="98"/>
    </row>
    <row r="11551" spans="20:20" x14ac:dyDescent="0.25">
      <c r="T11551" s="98"/>
    </row>
    <row r="11552" spans="20:20" x14ac:dyDescent="0.25">
      <c r="T11552" s="98"/>
    </row>
    <row r="11553" spans="20:20" x14ac:dyDescent="0.25">
      <c r="T11553" s="98"/>
    </row>
    <row r="11554" spans="20:20" x14ac:dyDescent="0.25">
      <c r="T11554" s="98"/>
    </row>
    <row r="11555" spans="20:20" x14ac:dyDescent="0.25">
      <c r="T11555" s="98"/>
    </row>
    <row r="11556" spans="20:20" x14ac:dyDescent="0.25">
      <c r="T11556" s="98"/>
    </row>
    <row r="11557" spans="20:20" x14ac:dyDescent="0.25">
      <c r="T11557" s="98"/>
    </row>
    <row r="11558" spans="20:20" x14ac:dyDescent="0.25">
      <c r="T11558" s="98"/>
    </row>
    <row r="11559" spans="20:20" x14ac:dyDescent="0.25">
      <c r="T11559" s="98"/>
    </row>
    <row r="11560" spans="20:20" x14ac:dyDescent="0.25">
      <c r="T11560" s="98"/>
    </row>
    <row r="11561" spans="20:20" x14ac:dyDescent="0.25">
      <c r="T11561" s="98"/>
    </row>
    <row r="11562" spans="20:20" x14ac:dyDescent="0.25">
      <c r="T11562" s="98"/>
    </row>
    <row r="11563" spans="20:20" x14ac:dyDescent="0.25">
      <c r="T11563" s="98"/>
    </row>
    <row r="11564" spans="20:20" x14ac:dyDescent="0.25">
      <c r="T11564" s="98"/>
    </row>
    <row r="11565" spans="20:20" x14ac:dyDescent="0.25">
      <c r="T11565" s="98"/>
    </row>
    <row r="11566" spans="20:20" x14ac:dyDescent="0.25">
      <c r="T11566" s="98"/>
    </row>
    <row r="11567" spans="20:20" x14ac:dyDescent="0.25">
      <c r="T11567" s="98"/>
    </row>
    <row r="11568" spans="20:20" x14ac:dyDescent="0.25">
      <c r="T11568" s="98"/>
    </row>
    <row r="11569" spans="20:20" x14ac:dyDescent="0.25">
      <c r="T11569" s="98"/>
    </row>
    <row r="11570" spans="20:20" x14ac:dyDescent="0.25">
      <c r="T11570" s="98"/>
    </row>
    <row r="11571" spans="20:20" x14ac:dyDescent="0.25">
      <c r="T11571" s="98"/>
    </row>
    <row r="11572" spans="20:20" x14ac:dyDescent="0.25">
      <c r="T11572" s="98"/>
    </row>
    <row r="11573" spans="20:20" x14ac:dyDescent="0.25">
      <c r="T11573" s="98"/>
    </row>
    <row r="11574" spans="20:20" x14ac:dyDescent="0.25">
      <c r="T11574" s="98"/>
    </row>
    <row r="11575" spans="20:20" x14ac:dyDescent="0.25">
      <c r="T11575" s="98"/>
    </row>
    <row r="11576" spans="20:20" x14ac:dyDescent="0.25">
      <c r="T11576" s="98"/>
    </row>
    <row r="11577" spans="20:20" x14ac:dyDescent="0.25">
      <c r="T11577" s="98"/>
    </row>
    <row r="11578" spans="20:20" x14ac:dyDescent="0.25">
      <c r="T11578" s="98"/>
    </row>
    <row r="11579" spans="20:20" x14ac:dyDescent="0.25">
      <c r="T11579" s="98"/>
    </row>
    <row r="11580" spans="20:20" x14ac:dyDescent="0.25">
      <c r="T11580" s="98"/>
    </row>
    <row r="11581" spans="20:20" x14ac:dyDescent="0.25">
      <c r="T11581" s="98"/>
    </row>
    <row r="11582" spans="20:20" x14ac:dyDescent="0.25">
      <c r="T11582" s="98"/>
    </row>
    <row r="11583" spans="20:20" x14ac:dyDescent="0.25">
      <c r="T11583" s="98"/>
    </row>
    <row r="11584" spans="20:20" x14ac:dyDescent="0.25">
      <c r="T11584" s="98"/>
    </row>
    <row r="11585" spans="20:20" x14ac:dyDescent="0.25">
      <c r="T11585" s="98"/>
    </row>
    <row r="11586" spans="20:20" x14ac:dyDescent="0.25">
      <c r="T11586" s="98"/>
    </row>
    <row r="11587" spans="20:20" x14ac:dyDescent="0.25">
      <c r="T11587" s="98"/>
    </row>
    <row r="11588" spans="20:20" x14ac:dyDescent="0.25">
      <c r="T11588" s="98"/>
    </row>
    <row r="11589" spans="20:20" x14ac:dyDescent="0.25">
      <c r="T11589" s="98"/>
    </row>
    <row r="11590" spans="20:20" x14ac:dyDescent="0.25">
      <c r="T11590" s="98"/>
    </row>
    <row r="11591" spans="20:20" x14ac:dyDescent="0.25">
      <c r="T11591" s="98"/>
    </row>
    <row r="11592" spans="20:20" x14ac:dyDescent="0.25">
      <c r="T11592" s="98"/>
    </row>
    <row r="11593" spans="20:20" x14ac:dyDescent="0.25">
      <c r="T11593" s="98"/>
    </row>
    <row r="11594" spans="20:20" x14ac:dyDescent="0.25">
      <c r="T11594" s="98"/>
    </row>
    <row r="11595" spans="20:20" x14ac:dyDescent="0.25">
      <c r="T11595" s="98"/>
    </row>
    <row r="11596" spans="20:20" x14ac:dyDescent="0.25">
      <c r="T11596" s="98"/>
    </row>
    <row r="11597" spans="20:20" x14ac:dyDescent="0.25">
      <c r="T11597" s="98"/>
    </row>
    <row r="11598" spans="20:20" x14ac:dyDescent="0.25">
      <c r="T11598" s="98"/>
    </row>
    <row r="11599" spans="20:20" x14ac:dyDescent="0.25">
      <c r="T11599" s="98"/>
    </row>
    <row r="11600" spans="20:20" x14ac:dyDescent="0.25">
      <c r="T11600" s="98"/>
    </row>
    <row r="11601" spans="20:20" x14ac:dyDescent="0.25">
      <c r="T11601" s="98"/>
    </row>
    <row r="11602" spans="20:20" x14ac:dyDescent="0.25">
      <c r="T11602" s="98"/>
    </row>
    <row r="11603" spans="20:20" x14ac:dyDescent="0.25">
      <c r="T11603" s="98"/>
    </row>
    <row r="11604" spans="20:20" x14ac:dyDescent="0.25">
      <c r="T11604" s="98"/>
    </row>
    <row r="11605" spans="20:20" x14ac:dyDescent="0.25">
      <c r="T11605" s="98"/>
    </row>
    <row r="11606" spans="20:20" x14ac:dyDescent="0.25">
      <c r="T11606" s="98"/>
    </row>
    <row r="11607" spans="20:20" x14ac:dyDescent="0.25">
      <c r="T11607" s="98"/>
    </row>
    <row r="11608" spans="20:20" x14ac:dyDescent="0.25">
      <c r="T11608" s="98"/>
    </row>
    <row r="11609" spans="20:20" x14ac:dyDescent="0.25">
      <c r="T11609" s="98"/>
    </row>
    <row r="11610" spans="20:20" x14ac:dyDescent="0.25">
      <c r="T11610" s="98"/>
    </row>
    <row r="11611" spans="20:20" x14ac:dyDescent="0.25">
      <c r="T11611" s="98"/>
    </row>
    <row r="11612" spans="20:20" x14ac:dyDescent="0.25">
      <c r="T11612" s="98"/>
    </row>
    <row r="11613" spans="20:20" x14ac:dyDescent="0.25">
      <c r="T11613" s="98"/>
    </row>
    <row r="11614" spans="20:20" x14ac:dyDescent="0.25">
      <c r="T11614" s="98"/>
    </row>
    <row r="11615" spans="20:20" x14ac:dyDescent="0.25">
      <c r="T11615" s="98"/>
    </row>
    <row r="11616" spans="20:20" x14ac:dyDescent="0.25">
      <c r="T11616" s="98"/>
    </row>
    <row r="11617" spans="20:20" x14ac:dyDescent="0.25">
      <c r="T11617" s="98"/>
    </row>
    <row r="11618" spans="20:20" x14ac:dyDescent="0.25">
      <c r="T11618" s="98"/>
    </row>
    <row r="11619" spans="20:20" x14ac:dyDescent="0.25">
      <c r="T11619" s="98"/>
    </row>
    <row r="11620" spans="20:20" x14ac:dyDescent="0.25">
      <c r="T11620" s="98"/>
    </row>
    <row r="11621" spans="20:20" x14ac:dyDescent="0.25">
      <c r="T11621" s="98"/>
    </row>
    <row r="11622" spans="20:20" x14ac:dyDescent="0.25">
      <c r="T11622" s="98"/>
    </row>
    <row r="11623" spans="20:20" x14ac:dyDescent="0.25">
      <c r="T11623" s="98"/>
    </row>
    <row r="11624" spans="20:20" x14ac:dyDescent="0.25">
      <c r="T11624" s="98"/>
    </row>
    <row r="11625" spans="20:20" x14ac:dyDescent="0.25">
      <c r="T11625" s="98"/>
    </row>
    <row r="11626" spans="20:20" x14ac:dyDescent="0.25">
      <c r="T11626" s="98"/>
    </row>
    <row r="11627" spans="20:20" x14ac:dyDescent="0.25">
      <c r="T11627" s="98"/>
    </row>
    <row r="11628" spans="20:20" x14ac:dyDescent="0.25">
      <c r="T11628" s="98"/>
    </row>
    <row r="11629" spans="20:20" x14ac:dyDescent="0.25">
      <c r="T11629" s="98"/>
    </row>
    <row r="11630" spans="20:20" x14ac:dyDescent="0.25">
      <c r="T11630" s="98"/>
    </row>
    <row r="11631" spans="20:20" x14ac:dyDescent="0.25">
      <c r="T11631" s="98"/>
    </row>
    <row r="11632" spans="20:20" x14ac:dyDescent="0.25">
      <c r="T11632" s="98"/>
    </row>
    <row r="11633" spans="20:20" x14ac:dyDescent="0.25">
      <c r="T11633" s="98"/>
    </row>
    <row r="11634" spans="20:20" x14ac:dyDescent="0.25">
      <c r="T11634" s="98"/>
    </row>
    <row r="11635" spans="20:20" x14ac:dyDescent="0.25">
      <c r="T11635" s="98"/>
    </row>
    <row r="11636" spans="20:20" x14ac:dyDescent="0.25">
      <c r="T11636" s="98"/>
    </row>
    <row r="11637" spans="20:20" x14ac:dyDescent="0.25">
      <c r="T11637" s="98"/>
    </row>
    <row r="11638" spans="20:20" x14ac:dyDescent="0.25">
      <c r="T11638" s="98"/>
    </row>
    <row r="11639" spans="20:20" x14ac:dyDescent="0.25">
      <c r="T11639" s="98"/>
    </row>
    <row r="11640" spans="20:20" x14ac:dyDescent="0.25">
      <c r="T11640" s="98"/>
    </row>
    <row r="11641" spans="20:20" x14ac:dyDescent="0.25">
      <c r="T11641" s="98"/>
    </row>
    <row r="11642" spans="20:20" x14ac:dyDescent="0.25">
      <c r="T11642" s="98"/>
    </row>
    <row r="11643" spans="20:20" x14ac:dyDescent="0.25">
      <c r="T11643" s="98"/>
    </row>
    <row r="11644" spans="20:20" x14ac:dyDescent="0.25">
      <c r="T11644" s="98"/>
    </row>
    <row r="11645" spans="20:20" x14ac:dyDescent="0.25">
      <c r="T11645" s="98"/>
    </row>
    <row r="11646" spans="20:20" x14ac:dyDescent="0.25">
      <c r="T11646" s="98"/>
    </row>
    <row r="11647" spans="20:20" x14ac:dyDescent="0.25">
      <c r="T11647" s="98"/>
    </row>
    <row r="11648" spans="20:20" x14ac:dyDescent="0.25">
      <c r="T11648" s="98"/>
    </row>
    <row r="11649" spans="20:20" x14ac:dyDescent="0.25">
      <c r="T11649" s="98"/>
    </row>
    <row r="11650" spans="20:20" x14ac:dyDescent="0.25">
      <c r="T11650" s="98"/>
    </row>
    <row r="11651" spans="20:20" x14ac:dyDescent="0.25">
      <c r="T11651" s="98"/>
    </row>
    <row r="11652" spans="20:20" x14ac:dyDescent="0.25">
      <c r="T11652" s="98"/>
    </row>
    <row r="11653" spans="20:20" x14ac:dyDescent="0.25">
      <c r="T11653" s="98"/>
    </row>
    <row r="11654" spans="20:20" x14ac:dyDescent="0.25">
      <c r="T11654" s="98"/>
    </row>
    <row r="11655" spans="20:20" x14ac:dyDescent="0.25">
      <c r="T11655" s="98"/>
    </row>
    <row r="11656" spans="20:20" x14ac:dyDescent="0.25">
      <c r="T11656" s="98"/>
    </row>
    <row r="11657" spans="20:20" x14ac:dyDescent="0.25">
      <c r="T11657" s="98"/>
    </row>
    <row r="11658" spans="20:20" x14ac:dyDescent="0.25">
      <c r="T11658" s="98"/>
    </row>
    <row r="11659" spans="20:20" x14ac:dyDescent="0.25">
      <c r="T11659" s="98"/>
    </row>
    <row r="11660" spans="20:20" x14ac:dyDescent="0.25">
      <c r="T11660" s="98"/>
    </row>
    <row r="11661" spans="20:20" x14ac:dyDescent="0.25">
      <c r="T11661" s="98"/>
    </row>
    <row r="11662" spans="20:20" x14ac:dyDescent="0.25">
      <c r="T11662" s="98"/>
    </row>
    <row r="11663" spans="20:20" x14ac:dyDescent="0.25">
      <c r="T11663" s="98"/>
    </row>
    <row r="11664" spans="20:20" x14ac:dyDescent="0.25">
      <c r="T11664" s="98"/>
    </row>
    <row r="11665" spans="20:20" x14ac:dyDescent="0.25">
      <c r="T11665" s="98"/>
    </row>
    <row r="11666" spans="20:20" x14ac:dyDescent="0.25">
      <c r="T11666" s="98"/>
    </row>
    <row r="11667" spans="20:20" x14ac:dyDescent="0.25">
      <c r="T11667" s="98"/>
    </row>
    <row r="11668" spans="20:20" x14ac:dyDescent="0.25">
      <c r="T11668" s="98"/>
    </row>
    <row r="11669" spans="20:20" x14ac:dyDescent="0.25">
      <c r="T11669" s="98"/>
    </row>
    <row r="11670" spans="20:20" x14ac:dyDescent="0.25">
      <c r="T11670" s="98"/>
    </row>
    <row r="11671" spans="20:20" x14ac:dyDescent="0.25">
      <c r="T11671" s="98"/>
    </row>
    <row r="11672" spans="20:20" x14ac:dyDescent="0.25">
      <c r="T11672" s="98"/>
    </row>
    <row r="11673" spans="20:20" x14ac:dyDescent="0.25">
      <c r="T11673" s="98"/>
    </row>
    <row r="11674" spans="20:20" x14ac:dyDescent="0.25">
      <c r="T11674" s="98"/>
    </row>
    <row r="11675" spans="20:20" x14ac:dyDescent="0.25">
      <c r="T11675" s="98"/>
    </row>
    <row r="11676" spans="20:20" x14ac:dyDescent="0.25">
      <c r="T11676" s="98"/>
    </row>
    <row r="11677" spans="20:20" x14ac:dyDescent="0.25">
      <c r="T11677" s="98"/>
    </row>
    <row r="11678" spans="20:20" x14ac:dyDescent="0.25">
      <c r="T11678" s="98"/>
    </row>
    <row r="11679" spans="20:20" x14ac:dyDescent="0.25">
      <c r="T11679" s="98"/>
    </row>
    <row r="11680" spans="20:20" x14ac:dyDescent="0.25">
      <c r="T11680" s="98"/>
    </row>
    <row r="11681" spans="20:20" x14ac:dyDescent="0.25">
      <c r="T11681" s="98"/>
    </row>
    <row r="11682" spans="20:20" x14ac:dyDescent="0.25">
      <c r="T11682" s="98"/>
    </row>
    <row r="11683" spans="20:20" x14ac:dyDescent="0.25">
      <c r="T11683" s="98"/>
    </row>
    <row r="11684" spans="20:20" x14ac:dyDescent="0.25">
      <c r="T11684" s="98"/>
    </row>
    <row r="11685" spans="20:20" x14ac:dyDescent="0.25">
      <c r="T11685" s="98"/>
    </row>
    <row r="11686" spans="20:20" x14ac:dyDescent="0.25">
      <c r="T11686" s="98"/>
    </row>
    <row r="11687" spans="20:20" x14ac:dyDescent="0.25">
      <c r="T11687" s="98"/>
    </row>
    <row r="11688" spans="20:20" x14ac:dyDescent="0.25">
      <c r="T11688" s="98"/>
    </row>
    <row r="11689" spans="20:20" x14ac:dyDescent="0.25">
      <c r="T11689" s="98"/>
    </row>
    <row r="11690" spans="20:20" x14ac:dyDescent="0.25">
      <c r="T11690" s="98"/>
    </row>
    <row r="11691" spans="20:20" x14ac:dyDescent="0.25">
      <c r="T11691" s="98"/>
    </row>
    <row r="11692" spans="20:20" x14ac:dyDescent="0.25">
      <c r="T11692" s="98"/>
    </row>
    <row r="11693" spans="20:20" x14ac:dyDescent="0.25">
      <c r="T11693" s="98"/>
    </row>
    <row r="11694" spans="20:20" x14ac:dyDescent="0.25">
      <c r="T11694" s="98"/>
    </row>
    <row r="11695" spans="20:20" x14ac:dyDescent="0.25">
      <c r="T11695" s="98"/>
    </row>
    <row r="11696" spans="20:20" x14ac:dyDescent="0.25">
      <c r="T11696" s="98"/>
    </row>
    <row r="11697" spans="20:20" x14ac:dyDescent="0.25">
      <c r="T11697" s="98"/>
    </row>
    <row r="11698" spans="20:20" x14ac:dyDescent="0.25">
      <c r="T11698" s="98"/>
    </row>
    <row r="11699" spans="20:20" x14ac:dyDescent="0.25">
      <c r="T11699" s="98"/>
    </row>
    <row r="11700" spans="20:20" x14ac:dyDescent="0.25">
      <c r="T11700" s="98"/>
    </row>
    <row r="11701" spans="20:20" x14ac:dyDescent="0.25">
      <c r="T11701" s="98"/>
    </row>
    <row r="11702" spans="20:20" x14ac:dyDescent="0.25">
      <c r="T11702" s="98"/>
    </row>
    <row r="11703" spans="20:20" x14ac:dyDescent="0.25">
      <c r="T11703" s="98"/>
    </row>
    <row r="11704" spans="20:20" x14ac:dyDescent="0.25">
      <c r="T11704" s="98"/>
    </row>
    <row r="11705" spans="20:20" x14ac:dyDescent="0.25">
      <c r="T11705" s="98"/>
    </row>
    <row r="11706" spans="20:20" x14ac:dyDescent="0.25">
      <c r="T11706" s="98"/>
    </row>
    <row r="11707" spans="20:20" x14ac:dyDescent="0.25">
      <c r="T11707" s="98"/>
    </row>
    <row r="11708" spans="20:20" x14ac:dyDescent="0.25">
      <c r="T11708" s="98"/>
    </row>
    <row r="11709" spans="20:20" x14ac:dyDescent="0.25">
      <c r="T11709" s="98"/>
    </row>
    <row r="11710" spans="20:20" x14ac:dyDescent="0.25">
      <c r="T11710" s="98"/>
    </row>
    <row r="11711" spans="20:20" x14ac:dyDescent="0.25">
      <c r="T11711" s="98"/>
    </row>
    <row r="11712" spans="20:20" x14ac:dyDescent="0.25">
      <c r="T11712" s="98"/>
    </row>
    <row r="11713" spans="20:20" x14ac:dyDescent="0.25">
      <c r="T11713" s="98"/>
    </row>
    <row r="11714" spans="20:20" x14ac:dyDescent="0.25">
      <c r="T11714" s="98"/>
    </row>
    <row r="11715" spans="20:20" x14ac:dyDescent="0.25">
      <c r="T11715" s="98"/>
    </row>
    <row r="11716" spans="20:20" x14ac:dyDescent="0.25">
      <c r="T11716" s="98"/>
    </row>
    <row r="11717" spans="20:20" x14ac:dyDescent="0.25">
      <c r="T11717" s="98"/>
    </row>
    <row r="11718" spans="20:20" x14ac:dyDescent="0.25">
      <c r="T11718" s="98"/>
    </row>
    <row r="11719" spans="20:20" x14ac:dyDescent="0.25">
      <c r="T11719" s="98"/>
    </row>
    <row r="11720" spans="20:20" x14ac:dyDescent="0.25">
      <c r="T11720" s="98"/>
    </row>
    <row r="11721" spans="20:20" x14ac:dyDescent="0.25">
      <c r="T11721" s="98"/>
    </row>
    <row r="11722" spans="20:20" x14ac:dyDescent="0.25">
      <c r="T11722" s="98"/>
    </row>
    <row r="11723" spans="20:20" x14ac:dyDescent="0.25">
      <c r="T11723" s="98"/>
    </row>
    <row r="11724" spans="20:20" x14ac:dyDescent="0.25">
      <c r="T11724" s="98"/>
    </row>
    <row r="11725" spans="20:20" x14ac:dyDescent="0.25">
      <c r="T11725" s="98"/>
    </row>
    <row r="11726" spans="20:20" x14ac:dyDescent="0.25">
      <c r="T11726" s="98"/>
    </row>
    <row r="11727" spans="20:20" x14ac:dyDescent="0.25">
      <c r="T11727" s="98"/>
    </row>
    <row r="11728" spans="20:20" x14ac:dyDescent="0.25">
      <c r="T11728" s="98"/>
    </row>
    <row r="11729" spans="20:20" x14ac:dyDescent="0.25">
      <c r="T11729" s="98"/>
    </row>
    <row r="11730" spans="20:20" x14ac:dyDescent="0.25">
      <c r="T11730" s="98"/>
    </row>
    <row r="11731" spans="20:20" x14ac:dyDescent="0.25">
      <c r="T11731" s="98"/>
    </row>
    <row r="11732" spans="20:20" x14ac:dyDescent="0.25">
      <c r="T11732" s="98"/>
    </row>
    <row r="11733" spans="20:20" x14ac:dyDescent="0.25">
      <c r="T11733" s="98"/>
    </row>
    <row r="11734" spans="20:20" x14ac:dyDescent="0.25">
      <c r="T11734" s="98"/>
    </row>
    <row r="11735" spans="20:20" x14ac:dyDescent="0.25">
      <c r="T11735" s="98"/>
    </row>
    <row r="11736" spans="20:20" x14ac:dyDescent="0.25">
      <c r="T11736" s="98"/>
    </row>
    <row r="11737" spans="20:20" x14ac:dyDescent="0.25">
      <c r="T11737" s="98"/>
    </row>
    <row r="11738" spans="20:20" x14ac:dyDescent="0.25">
      <c r="T11738" s="98"/>
    </row>
    <row r="11739" spans="20:20" x14ac:dyDescent="0.25">
      <c r="T11739" s="98"/>
    </row>
    <row r="11740" spans="20:20" x14ac:dyDescent="0.25">
      <c r="T11740" s="98"/>
    </row>
    <row r="11741" spans="20:20" x14ac:dyDescent="0.25">
      <c r="T11741" s="98"/>
    </row>
    <row r="11742" spans="20:20" x14ac:dyDescent="0.25">
      <c r="T11742" s="98"/>
    </row>
    <row r="11743" spans="20:20" x14ac:dyDescent="0.25">
      <c r="T11743" s="98"/>
    </row>
    <row r="11744" spans="20:20" x14ac:dyDescent="0.25">
      <c r="T11744" s="98"/>
    </row>
    <row r="11745" spans="20:20" x14ac:dyDescent="0.25">
      <c r="T11745" s="98"/>
    </row>
    <row r="11746" spans="20:20" x14ac:dyDescent="0.25">
      <c r="T11746" s="98"/>
    </row>
    <row r="11747" spans="20:20" x14ac:dyDescent="0.25">
      <c r="T11747" s="98"/>
    </row>
    <row r="11748" spans="20:20" x14ac:dyDescent="0.25">
      <c r="T11748" s="98"/>
    </row>
    <row r="11749" spans="20:20" x14ac:dyDescent="0.25">
      <c r="T11749" s="98"/>
    </row>
    <row r="11750" spans="20:20" x14ac:dyDescent="0.25">
      <c r="T11750" s="98"/>
    </row>
    <row r="11751" spans="20:20" x14ac:dyDescent="0.25">
      <c r="T11751" s="98"/>
    </row>
    <row r="11752" spans="20:20" x14ac:dyDescent="0.25">
      <c r="T11752" s="98"/>
    </row>
    <row r="11753" spans="20:20" x14ac:dyDescent="0.25">
      <c r="T11753" s="98"/>
    </row>
    <row r="11754" spans="20:20" x14ac:dyDescent="0.25">
      <c r="T11754" s="98"/>
    </row>
    <row r="11755" spans="20:20" x14ac:dyDescent="0.25">
      <c r="T11755" s="98"/>
    </row>
    <row r="11756" spans="20:20" x14ac:dyDescent="0.25">
      <c r="T11756" s="98"/>
    </row>
    <row r="11757" spans="20:20" x14ac:dyDescent="0.25">
      <c r="T11757" s="98"/>
    </row>
    <row r="11758" spans="20:20" x14ac:dyDescent="0.25">
      <c r="T11758" s="98"/>
    </row>
    <row r="11759" spans="20:20" x14ac:dyDescent="0.25">
      <c r="T11759" s="98"/>
    </row>
    <row r="11760" spans="20:20" x14ac:dyDescent="0.25">
      <c r="T11760" s="98"/>
    </row>
    <row r="11761" spans="20:20" x14ac:dyDescent="0.25">
      <c r="T11761" s="98"/>
    </row>
    <row r="11762" spans="20:20" x14ac:dyDescent="0.25">
      <c r="T11762" s="98"/>
    </row>
    <row r="11763" spans="20:20" x14ac:dyDescent="0.25">
      <c r="T11763" s="98"/>
    </row>
    <row r="11764" spans="20:20" x14ac:dyDescent="0.25">
      <c r="T11764" s="98"/>
    </row>
    <row r="11765" spans="20:20" x14ac:dyDescent="0.25">
      <c r="T11765" s="98"/>
    </row>
    <row r="11766" spans="20:20" x14ac:dyDescent="0.25">
      <c r="T11766" s="98"/>
    </row>
    <row r="11767" spans="20:20" x14ac:dyDescent="0.25">
      <c r="T11767" s="98"/>
    </row>
    <row r="11768" spans="20:20" x14ac:dyDescent="0.25">
      <c r="T11768" s="98"/>
    </row>
    <row r="11769" spans="20:20" x14ac:dyDescent="0.25">
      <c r="T11769" s="98"/>
    </row>
    <row r="11770" spans="20:20" x14ac:dyDescent="0.25">
      <c r="T11770" s="98"/>
    </row>
    <row r="11771" spans="20:20" x14ac:dyDescent="0.25">
      <c r="T11771" s="98"/>
    </row>
    <row r="11772" spans="20:20" x14ac:dyDescent="0.25">
      <c r="T11772" s="98"/>
    </row>
    <row r="11773" spans="20:20" x14ac:dyDescent="0.25">
      <c r="T11773" s="98"/>
    </row>
    <row r="11774" spans="20:20" x14ac:dyDescent="0.25">
      <c r="T11774" s="98"/>
    </row>
    <row r="11775" spans="20:20" x14ac:dyDescent="0.25">
      <c r="T11775" s="98"/>
    </row>
    <row r="11776" spans="20:20" x14ac:dyDescent="0.25">
      <c r="T11776" s="98"/>
    </row>
    <row r="11777" spans="20:20" x14ac:dyDescent="0.25">
      <c r="T11777" s="98"/>
    </row>
    <row r="11778" spans="20:20" x14ac:dyDescent="0.25">
      <c r="T11778" s="98"/>
    </row>
    <row r="11779" spans="20:20" x14ac:dyDescent="0.25">
      <c r="T11779" s="98"/>
    </row>
    <row r="11780" spans="20:20" x14ac:dyDescent="0.25">
      <c r="T11780" s="98"/>
    </row>
    <row r="11781" spans="20:20" x14ac:dyDescent="0.25">
      <c r="T11781" s="98"/>
    </row>
    <row r="11782" spans="20:20" x14ac:dyDescent="0.25">
      <c r="T11782" s="98"/>
    </row>
    <row r="11783" spans="20:20" x14ac:dyDescent="0.25">
      <c r="T11783" s="98"/>
    </row>
    <row r="11784" spans="20:20" x14ac:dyDescent="0.25">
      <c r="T11784" s="98"/>
    </row>
    <row r="11785" spans="20:20" x14ac:dyDescent="0.25">
      <c r="T11785" s="98"/>
    </row>
    <row r="11786" spans="20:20" x14ac:dyDescent="0.25">
      <c r="T11786" s="98"/>
    </row>
    <row r="11787" spans="20:20" x14ac:dyDescent="0.25">
      <c r="T11787" s="98"/>
    </row>
    <row r="11788" spans="20:20" x14ac:dyDescent="0.25">
      <c r="T11788" s="98"/>
    </row>
    <row r="11789" spans="20:20" x14ac:dyDescent="0.25">
      <c r="T11789" s="98"/>
    </row>
    <row r="11790" spans="20:20" x14ac:dyDescent="0.25">
      <c r="T11790" s="98"/>
    </row>
    <row r="11791" spans="20:20" x14ac:dyDescent="0.25">
      <c r="T11791" s="98"/>
    </row>
    <row r="11792" spans="20:20" x14ac:dyDescent="0.25">
      <c r="T11792" s="98"/>
    </row>
    <row r="11793" spans="20:20" x14ac:dyDescent="0.25">
      <c r="T11793" s="98"/>
    </row>
    <row r="11794" spans="20:20" x14ac:dyDescent="0.25">
      <c r="T11794" s="98"/>
    </row>
    <row r="11795" spans="20:20" x14ac:dyDescent="0.25">
      <c r="T11795" s="98"/>
    </row>
    <row r="11796" spans="20:20" x14ac:dyDescent="0.25">
      <c r="T11796" s="98"/>
    </row>
    <row r="11797" spans="20:20" x14ac:dyDescent="0.25">
      <c r="T11797" s="98"/>
    </row>
    <row r="11798" spans="20:20" x14ac:dyDescent="0.25">
      <c r="T11798" s="98"/>
    </row>
    <row r="11799" spans="20:20" x14ac:dyDescent="0.25">
      <c r="T11799" s="98"/>
    </row>
    <row r="11800" spans="20:20" x14ac:dyDescent="0.25">
      <c r="T11800" s="98"/>
    </row>
    <row r="11801" spans="20:20" x14ac:dyDescent="0.25">
      <c r="T11801" s="98"/>
    </row>
    <row r="11802" spans="20:20" x14ac:dyDescent="0.25">
      <c r="T11802" s="98"/>
    </row>
    <row r="11803" spans="20:20" x14ac:dyDescent="0.25">
      <c r="T11803" s="98"/>
    </row>
    <row r="11804" spans="20:20" x14ac:dyDescent="0.25">
      <c r="T11804" s="98"/>
    </row>
    <row r="11805" spans="20:20" x14ac:dyDescent="0.25">
      <c r="T11805" s="98"/>
    </row>
    <row r="11806" spans="20:20" x14ac:dyDescent="0.25">
      <c r="T11806" s="98"/>
    </row>
    <row r="11807" spans="20:20" x14ac:dyDescent="0.25">
      <c r="T11807" s="98"/>
    </row>
    <row r="11808" spans="20:20" x14ac:dyDescent="0.25">
      <c r="T11808" s="98"/>
    </row>
    <row r="11809" spans="20:20" x14ac:dyDescent="0.25">
      <c r="T11809" s="98"/>
    </row>
    <row r="11810" spans="20:20" x14ac:dyDescent="0.25">
      <c r="T11810" s="98"/>
    </row>
    <row r="11811" spans="20:20" x14ac:dyDescent="0.25">
      <c r="T11811" s="98"/>
    </row>
    <row r="11812" spans="20:20" x14ac:dyDescent="0.25">
      <c r="T11812" s="98"/>
    </row>
    <row r="11813" spans="20:20" x14ac:dyDescent="0.25">
      <c r="T11813" s="98"/>
    </row>
    <row r="11814" spans="20:20" x14ac:dyDescent="0.25">
      <c r="T11814" s="98"/>
    </row>
    <row r="11815" spans="20:20" x14ac:dyDescent="0.25">
      <c r="T11815" s="98"/>
    </row>
    <row r="11816" spans="20:20" x14ac:dyDescent="0.25">
      <c r="T11816" s="98"/>
    </row>
    <row r="11817" spans="20:20" x14ac:dyDescent="0.25">
      <c r="T11817" s="98"/>
    </row>
    <row r="11818" spans="20:20" x14ac:dyDescent="0.25">
      <c r="T11818" s="98"/>
    </row>
    <row r="11819" spans="20:20" x14ac:dyDescent="0.25">
      <c r="T11819" s="98"/>
    </row>
    <row r="11820" spans="20:20" x14ac:dyDescent="0.25">
      <c r="T11820" s="98"/>
    </row>
    <row r="11821" spans="20:20" x14ac:dyDescent="0.25">
      <c r="T11821" s="98"/>
    </row>
    <row r="11822" spans="20:20" x14ac:dyDescent="0.25">
      <c r="T11822" s="98"/>
    </row>
    <row r="11823" spans="20:20" x14ac:dyDescent="0.25">
      <c r="T11823" s="98"/>
    </row>
    <row r="11824" spans="20:20" x14ac:dyDescent="0.25">
      <c r="T11824" s="98"/>
    </row>
    <row r="11825" spans="20:20" x14ac:dyDescent="0.25">
      <c r="T11825" s="98"/>
    </row>
    <row r="11826" spans="20:20" x14ac:dyDescent="0.25">
      <c r="T11826" s="98"/>
    </row>
    <row r="11827" spans="20:20" x14ac:dyDescent="0.25">
      <c r="T11827" s="98"/>
    </row>
    <row r="11828" spans="20:20" x14ac:dyDescent="0.25">
      <c r="T11828" s="98"/>
    </row>
    <row r="11829" spans="20:20" x14ac:dyDescent="0.25">
      <c r="T11829" s="98"/>
    </row>
    <row r="11830" spans="20:20" x14ac:dyDescent="0.25">
      <c r="T11830" s="98"/>
    </row>
    <row r="11831" spans="20:20" x14ac:dyDescent="0.25">
      <c r="T11831" s="98"/>
    </row>
    <row r="11832" spans="20:20" x14ac:dyDescent="0.25">
      <c r="T11832" s="98"/>
    </row>
    <row r="11833" spans="20:20" x14ac:dyDescent="0.25">
      <c r="T11833" s="98"/>
    </row>
    <row r="11834" spans="20:20" x14ac:dyDescent="0.25">
      <c r="T11834" s="98"/>
    </row>
    <row r="11835" spans="20:20" x14ac:dyDescent="0.25">
      <c r="T11835" s="98"/>
    </row>
    <row r="11836" spans="20:20" x14ac:dyDescent="0.25">
      <c r="T11836" s="98"/>
    </row>
    <row r="11837" spans="20:20" x14ac:dyDescent="0.25">
      <c r="T11837" s="98"/>
    </row>
    <row r="11838" spans="20:20" x14ac:dyDescent="0.25">
      <c r="T11838" s="98"/>
    </row>
    <row r="11839" spans="20:20" x14ac:dyDescent="0.25">
      <c r="T11839" s="98"/>
    </row>
    <row r="11840" spans="20:20" x14ac:dyDescent="0.25">
      <c r="T11840" s="98"/>
    </row>
    <row r="11841" spans="20:20" x14ac:dyDescent="0.25">
      <c r="T11841" s="98"/>
    </row>
    <row r="11842" spans="20:20" x14ac:dyDescent="0.25">
      <c r="T11842" s="98"/>
    </row>
    <row r="11843" spans="20:20" x14ac:dyDescent="0.25">
      <c r="T11843" s="98"/>
    </row>
    <row r="11844" spans="20:20" x14ac:dyDescent="0.25">
      <c r="T11844" s="98"/>
    </row>
    <row r="11845" spans="20:20" x14ac:dyDescent="0.25">
      <c r="T11845" s="98"/>
    </row>
    <row r="11846" spans="20:20" x14ac:dyDescent="0.25">
      <c r="T11846" s="98"/>
    </row>
    <row r="11847" spans="20:20" x14ac:dyDescent="0.25">
      <c r="T11847" s="98"/>
    </row>
    <row r="11848" spans="20:20" x14ac:dyDescent="0.25">
      <c r="T11848" s="98"/>
    </row>
    <row r="11849" spans="20:20" x14ac:dyDescent="0.25">
      <c r="T11849" s="98"/>
    </row>
    <row r="11850" spans="20:20" x14ac:dyDescent="0.25">
      <c r="T11850" s="98"/>
    </row>
    <row r="11851" spans="20:20" x14ac:dyDescent="0.25">
      <c r="T11851" s="98"/>
    </row>
    <row r="11852" spans="20:20" x14ac:dyDescent="0.25">
      <c r="T11852" s="98"/>
    </row>
    <row r="11853" spans="20:20" x14ac:dyDescent="0.25">
      <c r="T11853" s="98"/>
    </row>
    <row r="11854" spans="20:20" x14ac:dyDescent="0.25">
      <c r="T11854" s="98"/>
    </row>
    <row r="11855" spans="20:20" x14ac:dyDescent="0.25">
      <c r="T11855" s="98"/>
    </row>
    <row r="11856" spans="20:20" x14ac:dyDescent="0.25">
      <c r="T11856" s="98"/>
    </row>
    <row r="11857" spans="20:20" x14ac:dyDescent="0.25">
      <c r="T11857" s="98"/>
    </row>
    <row r="11858" spans="20:20" x14ac:dyDescent="0.25">
      <c r="T11858" s="98"/>
    </row>
    <row r="11859" spans="20:20" x14ac:dyDescent="0.25">
      <c r="T11859" s="98"/>
    </row>
    <row r="11860" spans="20:20" x14ac:dyDescent="0.25">
      <c r="T11860" s="98"/>
    </row>
    <row r="11861" spans="20:20" x14ac:dyDescent="0.25">
      <c r="T11861" s="98"/>
    </row>
    <row r="11862" spans="20:20" x14ac:dyDescent="0.25">
      <c r="T11862" s="98"/>
    </row>
    <row r="11863" spans="20:20" x14ac:dyDescent="0.25">
      <c r="T11863" s="98"/>
    </row>
    <row r="11864" spans="20:20" x14ac:dyDescent="0.25">
      <c r="T11864" s="98"/>
    </row>
    <row r="11865" spans="20:20" x14ac:dyDescent="0.25">
      <c r="T11865" s="98"/>
    </row>
    <row r="11866" spans="20:20" x14ac:dyDescent="0.25">
      <c r="T11866" s="98"/>
    </row>
    <row r="11867" spans="20:20" x14ac:dyDescent="0.25">
      <c r="T11867" s="98"/>
    </row>
    <row r="11868" spans="20:20" x14ac:dyDescent="0.25">
      <c r="T11868" s="98"/>
    </row>
    <row r="11869" spans="20:20" x14ac:dyDescent="0.25">
      <c r="T11869" s="98"/>
    </row>
    <row r="11870" spans="20:20" x14ac:dyDescent="0.25">
      <c r="T11870" s="98"/>
    </row>
    <row r="11871" spans="20:20" x14ac:dyDescent="0.25">
      <c r="T11871" s="98"/>
    </row>
    <row r="11872" spans="20:20" x14ac:dyDescent="0.25">
      <c r="T11872" s="98"/>
    </row>
    <row r="11873" spans="20:20" x14ac:dyDescent="0.25">
      <c r="T11873" s="98"/>
    </row>
    <row r="11874" spans="20:20" x14ac:dyDescent="0.25">
      <c r="T11874" s="98"/>
    </row>
    <row r="11875" spans="20:20" x14ac:dyDescent="0.25">
      <c r="T11875" s="98"/>
    </row>
    <row r="11876" spans="20:20" x14ac:dyDescent="0.25">
      <c r="T11876" s="98"/>
    </row>
    <row r="11877" spans="20:20" x14ac:dyDescent="0.25">
      <c r="T11877" s="98"/>
    </row>
    <row r="11878" spans="20:20" x14ac:dyDescent="0.25">
      <c r="T11878" s="98"/>
    </row>
    <row r="11879" spans="20:20" x14ac:dyDescent="0.25">
      <c r="T11879" s="98"/>
    </row>
    <row r="11880" spans="20:20" x14ac:dyDescent="0.25">
      <c r="T11880" s="98"/>
    </row>
    <row r="11881" spans="20:20" x14ac:dyDescent="0.25">
      <c r="T11881" s="98"/>
    </row>
    <row r="11882" spans="20:20" x14ac:dyDescent="0.25">
      <c r="T11882" s="98"/>
    </row>
    <row r="11883" spans="20:20" x14ac:dyDescent="0.25">
      <c r="T11883" s="98"/>
    </row>
    <row r="11884" spans="20:20" x14ac:dyDescent="0.25">
      <c r="T11884" s="98"/>
    </row>
    <row r="11885" spans="20:20" x14ac:dyDescent="0.25">
      <c r="T11885" s="98"/>
    </row>
    <row r="11886" spans="20:20" x14ac:dyDescent="0.25">
      <c r="T11886" s="98"/>
    </row>
    <row r="11887" spans="20:20" x14ac:dyDescent="0.25">
      <c r="T11887" s="98"/>
    </row>
    <row r="11888" spans="20:20" x14ac:dyDescent="0.25">
      <c r="T11888" s="98"/>
    </row>
    <row r="11889" spans="20:20" x14ac:dyDescent="0.25">
      <c r="T11889" s="98"/>
    </row>
    <row r="11890" spans="20:20" x14ac:dyDescent="0.25">
      <c r="T11890" s="98"/>
    </row>
    <row r="11891" spans="20:20" x14ac:dyDescent="0.25">
      <c r="T11891" s="98"/>
    </row>
    <row r="11892" spans="20:20" x14ac:dyDescent="0.25">
      <c r="T11892" s="98"/>
    </row>
    <row r="11893" spans="20:20" x14ac:dyDescent="0.25">
      <c r="T11893" s="98"/>
    </row>
    <row r="11894" spans="20:20" x14ac:dyDescent="0.25">
      <c r="T11894" s="98"/>
    </row>
    <row r="11895" spans="20:20" x14ac:dyDescent="0.25">
      <c r="T11895" s="98"/>
    </row>
    <row r="11896" spans="20:20" x14ac:dyDescent="0.25">
      <c r="T11896" s="98"/>
    </row>
    <row r="11897" spans="20:20" x14ac:dyDescent="0.25">
      <c r="T11897" s="98"/>
    </row>
    <row r="11898" spans="20:20" x14ac:dyDescent="0.25">
      <c r="T11898" s="98"/>
    </row>
    <row r="11899" spans="20:20" x14ac:dyDescent="0.25">
      <c r="T11899" s="98"/>
    </row>
    <row r="11900" spans="20:20" x14ac:dyDescent="0.25">
      <c r="T11900" s="98"/>
    </row>
    <row r="11901" spans="20:20" x14ac:dyDescent="0.25">
      <c r="T11901" s="98"/>
    </row>
    <row r="11902" spans="20:20" x14ac:dyDescent="0.25">
      <c r="T11902" s="98"/>
    </row>
    <row r="11903" spans="20:20" x14ac:dyDescent="0.25">
      <c r="T11903" s="98"/>
    </row>
    <row r="11904" spans="20:20" x14ac:dyDescent="0.25">
      <c r="T11904" s="98"/>
    </row>
    <row r="11905" spans="20:20" x14ac:dyDescent="0.25">
      <c r="T11905" s="98"/>
    </row>
    <row r="11906" spans="20:20" x14ac:dyDescent="0.25">
      <c r="T11906" s="98"/>
    </row>
    <row r="11907" spans="20:20" x14ac:dyDescent="0.25">
      <c r="T11907" s="98"/>
    </row>
    <row r="11908" spans="20:20" x14ac:dyDescent="0.25">
      <c r="T11908" s="98"/>
    </row>
    <row r="11909" spans="20:20" x14ac:dyDescent="0.25">
      <c r="T11909" s="98"/>
    </row>
    <row r="11910" spans="20:20" x14ac:dyDescent="0.25">
      <c r="T11910" s="98"/>
    </row>
    <row r="11911" spans="20:20" x14ac:dyDescent="0.25">
      <c r="T11911" s="98"/>
    </row>
    <row r="11912" spans="20:20" x14ac:dyDescent="0.25">
      <c r="T11912" s="98"/>
    </row>
    <row r="11913" spans="20:20" x14ac:dyDescent="0.25">
      <c r="T11913" s="98"/>
    </row>
    <row r="11914" spans="20:20" x14ac:dyDescent="0.25">
      <c r="T11914" s="98"/>
    </row>
    <row r="11915" spans="20:20" x14ac:dyDescent="0.25">
      <c r="T11915" s="98"/>
    </row>
    <row r="11916" spans="20:20" x14ac:dyDescent="0.25">
      <c r="T11916" s="98"/>
    </row>
    <row r="11917" spans="20:20" x14ac:dyDescent="0.25">
      <c r="T11917" s="98"/>
    </row>
    <row r="11918" spans="20:20" x14ac:dyDescent="0.25">
      <c r="T11918" s="98"/>
    </row>
    <row r="11919" spans="20:20" x14ac:dyDescent="0.25">
      <c r="T11919" s="98"/>
    </row>
    <row r="11920" spans="20:20" x14ac:dyDescent="0.25">
      <c r="T11920" s="98"/>
    </row>
    <row r="11921" spans="20:20" x14ac:dyDescent="0.25">
      <c r="T11921" s="98"/>
    </row>
    <row r="11922" spans="20:20" x14ac:dyDescent="0.25">
      <c r="T11922" s="98"/>
    </row>
    <row r="11923" spans="20:20" x14ac:dyDescent="0.25">
      <c r="T11923" s="98"/>
    </row>
    <row r="11924" spans="20:20" x14ac:dyDescent="0.25">
      <c r="T11924" s="98"/>
    </row>
    <row r="11925" spans="20:20" x14ac:dyDescent="0.25">
      <c r="T11925" s="98"/>
    </row>
    <row r="11926" spans="20:20" x14ac:dyDescent="0.25">
      <c r="T11926" s="98"/>
    </row>
    <row r="11927" spans="20:20" x14ac:dyDescent="0.25">
      <c r="T11927" s="98"/>
    </row>
    <row r="11928" spans="20:20" x14ac:dyDescent="0.25">
      <c r="T11928" s="98"/>
    </row>
    <row r="11929" spans="20:20" x14ac:dyDescent="0.25">
      <c r="T11929" s="98"/>
    </row>
    <row r="11930" spans="20:20" x14ac:dyDescent="0.25">
      <c r="T11930" s="98"/>
    </row>
    <row r="11931" spans="20:20" x14ac:dyDescent="0.25">
      <c r="T11931" s="98"/>
    </row>
    <row r="11932" spans="20:20" x14ac:dyDescent="0.25">
      <c r="T11932" s="98"/>
    </row>
    <row r="11933" spans="20:20" x14ac:dyDescent="0.25">
      <c r="T11933" s="98"/>
    </row>
    <row r="11934" spans="20:20" x14ac:dyDescent="0.25">
      <c r="T11934" s="98"/>
    </row>
    <row r="11935" spans="20:20" x14ac:dyDescent="0.25">
      <c r="T11935" s="98"/>
    </row>
    <row r="11936" spans="20:20" x14ac:dyDescent="0.25">
      <c r="T11936" s="98"/>
    </row>
    <row r="11937" spans="20:20" x14ac:dyDescent="0.25">
      <c r="T11937" s="98"/>
    </row>
    <row r="11938" spans="20:20" x14ac:dyDescent="0.25">
      <c r="T11938" s="98"/>
    </row>
    <row r="11939" spans="20:20" x14ac:dyDescent="0.25">
      <c r="T11939" s="98"/>
    </row>
    <row r="11940" spans="20:20" x14ac:dyDescent="0.25">
      <c r="T11940" s="98"/>
    </row>
    <row r="11941" spans="20:20" x14ac:dyDescent="0.25">
      <c r="T11941" s="98"/>
    </row>
    <row r="11942" spans="20:20" x14ac:dyDescent="0.25">
      <c r="T11942" s="98"/>
    </row>
    <row r="11943" spans="20:20" x14ac:dyDescent="0.25">
      <c r="T11943" s="98"/>
    </row>
    <row r="11944" spans="20:20" x14ac:dyDescent="0.25">
      <c r="T11944" s="98"/>
    </row>
    <row r="11945" spans="20:20" x14ac:dyDescent="0.25">
      <c r="T11945" s="98"/>
    </row>
    <row r="11946" spans="20:20" x14ac:dyDescent="0.25">
      <c r="T11946" s="98"/>
    </row>
    <row r="11947" spans="20:20" x14ac:dyDescent="0.25">
      <c r="T11947" s="98"/>
    </row>
    <row r="11948" spans="20:20" x14ac:dyDescent="0.25">
      <c r="T11948" s="98"/>
    </row>
    <row r="11949" spans="20:20" x14ac:dyDescent="0.25">
      <c r="T11949" s="98"/>
    </row>
    <row r="11950" spans="20:20" x14ac:dyDescent="0.25">
      <c r="T11950" s="98"/>
    </row>
    <row r="11951" spans="20:20" x14ac:dyDescent="0.25">
      <c r="T11951" s="98"/>
    </row>
    <row r="11952" spans="20:20" x14ac:dyDescent="0.25">
      <c r="T11952" s="98"/>
    </row>
    <row r="11953" spans="20:20" x14ac:dyDescent="0.25">
      <c r="T11953" s="98"/>
    </row>
    <row r="11954" spans="20:20" x14ac:dyDescent="0.25">
      <c r="T11954" s="98"/>
    </row>
    <row r="11955" spans="20:20" x14ac:dyDescent="0.25">
      <c r="T11955" s="98"/>
    </row>
    <row r="11956" spans="20:20" x14ac:dyDescent="0.25">
      <c r="T11956" s="98"/>
    </row>
    <row r="11957" spans="20:20" x14ac:dyDescent="0.25">
      <c r="T11957" s="98"/>
    </row>
    <row r="11958" spans="20:20" x14ac:dyDescent="0.25">
      <c r="T11958" s="98"/>
    </row>
    <row r="11959" spans="20:20" x14ac:dyDescent="0.25">
      <c r="T11959" s="98"/>
    </row>
    <row r="11960" spans="20:20" x14ac:dyDescent="0.25">
      <c r="T11960" s="98"/>
    </row>
    <row r="11961" spans="20:20" x14ac:dyDescent="0.25">
      <c r="T11961" s="98"/>
    </row>
    <row r="11962" spans="20:20" x14ac:dyDescent="0.25">
      <c r="T11962" s="98"/>
    </row>
    <row r="11963" spans="20:20" x14ac:dyDescent="0.25">
      <c r="T11963" s="98"/>
    </row>
    <row r="11964" spans="20:20" x14ac:dyDescent="0.25">
      <c r="T11964" s="98"/>
    </row>
    <row r="11965" spans="20:20" x14ac:dyDescent="0.25">
      <c r="T11965" s="98"/>
    </row>
    <row r="11966" spans="20:20" x14ac:dyDescent="0.25">
      <c r="T11966" s="98"/>
    </row>
    <row r="11967" spans="20:20" x14ac:dyDescent="0.25">
      <c r="T11967" s="98"/>
    </row>
    <row r="11968" spans="20:20" x14ac:dyDescent="0.25">
      <c r="T11968" s="98"/>
    </row>
    <row r="11969" spans="20:20" x14ac:dyDescent="0.25">
      <c r="T11969" s="98"/>
    </row>
    <row r="11970" spans="20:20" x14ac:dyDescent="0.25">
      <c r="T11970" s="98"/>
    </row>
    <row r="11971" spans="20:20" x14ac:dyDescent="0.25">
      <c r="T11971" s="98"/>
    </row>
    <row r="11972" spans="20:20" x14ac:dyDescent="0.25">
      <c r="T11972" s="98"/>
    </row>
    <row r="11973" spans="20:20" x14ac:dyDescent="0.25">
      <c r="T11973" s="98"/>
    </row>
    <row r="11974" spans="20:20" x14ac:dyDescent="0.25">
      <c r="T11974" s="98"/>
    </row>
    <row r="11975" spans="20:20" x14ac:dyDescent="0.25">
      <c r="T11975" s="98"/>
    </row>
    <row r="11976" spans="20:20" x14ac:dyDescent="0.25">
      <c r="T11976" s="98"/>
    </row>
    <row r="11977" spans="20:20" x14ac:dyDescent="0.25">
      <c r="T11977" s="98"/>
    </row>
    <row r="11978" spans="20:20" x14ac:dyDescent="0.25">
      <c r="T11978" s="98"/>
    </row>
    <row r="11979" spans="20:20" x14ac:dyDescent="0.25">
      <c r="T11979" s="98"/>
    </row>
    <row r="11980" spans="20:20" x14ac:dyDescent="0.25">
      <c r="T11980" s="98"/>
    </row>
    <row r="11981" spans="20:20" x14ac:dyDescent="0.25">
      <c r="T11981" s="98"/>
    </row>
    <row r="11982" spans="20:20" x14ac:dyDescent="0.25">
      <c r="T11982" s="98"/>
    </row>
    <row r="11983" spans="20:20" x14ac:dyDescent="0.25">
      <c r="T11983" s="98"/>
    </row>
    <row r="11984" spans="20:20" x14ac:dyDescent="0.25">
      <c r="T11984" s="98"/>
    </row>
    <row r="11985" spans="20:20" x14ac:dyDescent="0.25">
      <c r="T11985" s="98"/>
    </row>
    <row r="11986" spans="20:20" x14ac:dyDescent="0.25">
      <c r="T11986" s="98"/>
    </row>
    <row r="11987" spans="20:20" x14ac:dyDescent="0.25">
      <c r="T11987" s="98"/>
    </row>
    <row r="11988" spans="20:20" x14ac:dyDescent="0.25">
      <c r="T11988" s="98"/>
    </row>
    <row r="11989" spans="20:20" x14ac:dyDescent="0.25">
      <c r="T11989" s="98"/>
    </row>
    <row r="11990" spans="20:20" x14ac:dyDescent="0.25">
      <c r="T11990" s="98"/>
    </row>
    <row r="11991" spans="20:20" x14ac:dyDescent="0.25">
      <c r="T11991" s="98"/>
    </row>
    <row r="11992" spans="20:20" x14ac:dyDescent="0.25">
      <c r="T11992" s="98"/>
    </row>
    <row r="11993" spans="20:20" x14ac:dyDescent="0.25">
      <c r="T11993" s="98"/>
    </row>
    <row r="11994" spans="20:20" x14ac:dyDescent="0.25">
      <c r="T11994" s="98"/>
    </row>
    <row r="11995" spans="20:20" x14ac:dyDescent="0.25">
      <c r="T11995" s="98"/>
    </row>
    <row r="11996" spans="20:20" x14ac:dyDescent="0.25">
      <c r="T11996" s="98"/>
    </row>
    <row r="11997" spans="20:20" x14ac:dyDescent="0.25">
      <c r="T11997" s="98"/>
    </row>
    <row r="11998" spans="20:20" x14ac:dyDescent="0.25">
      <c r="T11998" s="98"/>
    </row>
    <row r="11999" spans="20:20" x14ac:dyDescent="0.25">
      <c r="T11999" s="98"/>
    </row>
    <row r="12000" spans="20:20" x14ac:dyDescent="0.25">
      <c r="T12000" s="98"/>
    </row>
    <row r="12001" spans="20:20" x14ac:dyDescent="0.25">
      <c r="T12001" s="98"/>
    </row>
    <row r="12002" spans="20:20" x14ac:dyDescent="0.25">
      <c r="T12002" s="98"/>
    </row>
    <row r="12003" spans="20:20" x14ac:dyDescent="0.25">
      <c r="T12003" s="98"/>
    </row>
    <row r="12004" spans="20:20" x14ac:dyDescent="0.25">
      <c r="T12004" s="98"/>
    </row>
    <row r="12005" spans="20:20" x14ac:dyDescent="0.25">
      <c r="T12005" s="98"/>
    </row>
    <row r="12006" spans="20:20" x14ac:dyDescent="0.25">
      <c r="T12006" s="98"/>
    </row>
    <row r="12007" spans="20:20" x14ac:dyDescent="0.25">
      <c r="T12007" s="98"/>
    </row>
    <row r="12008" spans="20:20" x14ac:dyDescent="0.25">
      <c r="T12008" s="98"/>
    </row>
    <row r="12009" spans="20:20" x14ac:dyDescent="0.25">
      <c r="T12009" s="98"/>
    </row>
    <row r="12010" spans="20:20" x14ac:dyDescent="0.25">
      <c r="T12010" s="98"/>
    </row>
    <row r="12011" spans="20:20" x14ac:dyDescent="0.25">
      <c r="T12011" s="98"/>
    </row>
    <row r="12012" spans="20:20" x14ac:dyDescent="0.25">
      <c r="T12012" s="98"/>
    </row>
    <row r="12013" spans="20:20" x14ac:dyDescent="0.25">
      <c r="T12013" s="98"/>
    </row>
    <row r="12014" spans="20:20" x14ac:dyDescent="0.25">
      <c r="T12014" s="98"/>
    </row>
    <row r="12015" spans="20:20" x14ac:dyDescent="0.25">
      <c r="T12015" s="98"/>
    </row>
    <row r="12016" spans="20:20" x14ac:dyDescent="0.25">
      <c r="T12016" s="98"/>
    </row>
    <row r="12017" spans="20:20" x14ac:dyDescent="0.25">
      <c r="T12017" s="98"/>
    </row>
    <row r="12018" spans="20:20" x14ac:dyDescent="0.25">
      <c r="T12018" s="98"/>
    </row>
    <row r="12019" spans="20:20" x14ac:dyDescent="0.25">
      <c r="T12019" s="98"/>
    </row>
    <row r="12020" spans="20:20" x14ac:dyDescent="0.25">
      <c r="T12020" s="98"/>
    </row>
    <row r="12021" spans="20:20" x14ac:dyDescent="0.25">
      <c r="T12021" s="98"/>
    </row>
    <row r="12022" spans="20:20" x14ac:dyDescent="0.25">
      <c r="T12022" s="98"/>
    </row>
    <row r="12023" spans="20:20" x14ac:dyDescent="0.25">
      <c r="T12023" s="98"/>
    </row>
    <row r="12024" spans="20:20" x14ac:dyDescent="0.25">
      <c r="T12024" s="98"/>
    </row>
    <row r="12025" spans="20:20" x14ac:dyDescent="0.25">
      <c r="T12025" s="98"/>
    </row>
    <row r="12026" spans="20:20" x14ac:dyDescent="0.25">
      <c r="T12026" s="98"/>
    </row>
    <row r="12027" spans="20:20" x14ac:dyDescent="0.25">
      <c r="T12027" s="98"/>
    </row>
    <row r="12028" spans="20:20" x14ac:dyDescent="0.25">
      <c r="T12028" s="98"/>
    </row>
    <row r="12029" spans="20:20" x14ac:dyDescent="0.25">
      <c r="T12029" s="98"/>
    </row>
    <row r="12030" spans="20:20" x14ac:dyDescent="0.25">
      <c r="T12030" s="98"/>
    </row>
    <row r="12031" spans="20:20" x14ac:dyDescent="0.25">
      <c r="T12031" s="98"/>
    </row>
    <row r="12032" spans="20:20" x14ac:dyDescent="0.25">
      <c r="T12032" s="98"/>
    </row>
    <row r="12033" spans="20:20" x14ac:dyDescent="0.25">
      <c r="T12033" s="98"/>
    </row>
    <row r="12034" spans="20:20" x14ac:dyDescent="0.25">
      <c r="T12034" s="98"/>
    </row>
    <row r="12035" spans="20:20" x14ac:dyDescent="0.25">
      <c r="T12035" s="98"/>
    </row>
    <row r="12036" spans="20:20" x14ac:dyDescent="0.25">
      <c r="T12036" s="98"/>
    </row>
    <row r="12037" spans="20:20" x14ac:dyDescent="0.25">
      <c r="T12037" s="98"/>
    </row>
    <row r="12038" spans="20:20" x14ac:dyDescent="0.25">
      <c r="T12038" s="98"/>
    </row>
    <row r="12039" spans="20:20" x14ac:dyDescent="0.25">
      <c r="T12039" s="98"/>
    </row>
    <row r="12040" spans="20:20" x14ac:dyDescent="0.25">
      <c r="T12040" s="98"/>
    </row>
    <row r="12041" spans="20:20" x14ac:dyDescent="0.25">
      <c r="T12041" s="98"/>
    </row>
    <row r="12042" spans="20:20" x14ac:dyDescent="0.25">
      <c r="T12042" s="98"/>
    </row>
    <row r="12043" spans="20:20" x14ac:dyDescent="0.25">
      <c r="T12043" s="98"/>
    </row>
    <row r="12044" spans="20:20" x14ac:dyDescent="0.25">
      <c r="T12044" s="98"/>
    </row>
    <row r="12045" spans="20:20" x14ac:dyDescent="0.25">
      <c r="T12045" s="98"/>
    </row>
    <row r="12046" spans="20:20" x14ac:dyDescent="0.25">
      <c r="T12046" s="98"/>
    </row>
    <row r="12047" spans="20:20" x14ac:dyDescent="0.25">
      <c r="T12047" s="98"/>
    </row>
    <row r="12048" spans="20:20" x14ac:dyDescent="0.25">
      <c r="T12048" s="98"/>
    </row>
    <row r="12049" spans="20:20" x14ac:dyDescent="0.25">
      <c r="T12049" s="98"/>
    </row>
    <row r="12050" spans="20:20" x14ac:dyDescent="0.25">
      <c r="T12050" s="98"/>
    </row>
    <row r="12051" spans="20:20" x14ac:dyDescent="0.25">
      <c r="T12051" s="98"/>
    </row>
    <row r="12052" spans="20:20" x14ac:dyDescent="0.25">
      <c r="T12052" s="98"/>
    </row>
    <row r="12053" spans="20:20" x14ac:dyDescent="0.25">
      <c r="T12053" s="98"/>
    </row>
    <row r="12054" spans="20:20" x14ac:dyDescent="0.25">
      <c r="T12054" s="98"/>
    </row>
    <row r="12055" spans="20:20" x14ac:dyDescent="0.25">
      <c r="T12055" s="98"/>
    </row>
    <row r="12056" spans="20:20" x14ac:dyDescent="0.25">
      <c r="T12056" s="98"/>
    </row>
    <row r="12057" spans="20:20" x14ac:dyDescent="0.25">
      <c r="T12057" s="98"/>
    </row>
    <row r="12058" spans="20:20" x14ac:dyDescent="0.25">
      <c r="T12058" s="98"/>
    </row>
    <row r="12059" spans="20:20" x14ac:dyDescent="0.25">
      <c r="T12059" s="98"/>
    </row>
    <row r="12060" spans="20:20" x14ac:dyDescent="0.25">
      <c r="T12060" s="98"/>
    </row>
    <row r="12061" spans="20:20" x14ac:dyDescent="0.25">
      <c r="T12061" s="98"/>
    </row>
    <row r="12062" spans="20:20" x14ac:dyDescent="0.25">
      <c r="T12062" s="98"/>
    </row>
    <row r="12063" spans="20:20" x14ac:dyDescent="0.25">
      <c r="T12063" s="98"/>
    </row>
    <row r="12064" spans="20:20" x14ac:dyDescent="0.25">
      <c r="T12064" s="98"/>
    </row>
    <row r="12065" spans="20:20" x14ac:dyDescent="0.25">
      <c r="T12065" s="98"/>
    </row>
    <row r="12066" spans="20:20" x14ac:dyDescent="0.25">
      <c r="T12066" s="98"/>
    </row>
    <row r="12067" spans="20:20" x14ac:dyDescent="0.25">
      <c r="T12067" s="98"/>
    </row>
    <row r="12068" spans="20:20" x14ac:dyDescent="0.25">
      <c r="T12068" s="98"/>
    </row>
    <row r="12069" spans="20:20" x14ac:dyDescent="0.25">
      <c r="T12069" s="98"/>
    </row>
    <row r="12070" spans="20:20" x14ac:dyDescent="0.25">
      <c r="T12070" s="98"/>
    </row>
    <row r="12071" spans="20:20" x14ac:dyDescent="0.25">
      <c r="T12071" s="98"/>
    </row>
    <row r="12072" spans="20:20" x14ac:dyDescent="0.25">
      <c r="T12072" s="98"/>
    </row>
    <row r="12073" spans="20:20" x14ac:dyDescent="0.25">
      <c r="T12073" s="98"/>
    </row>
    <row r="12074" spans="20:20" x14ac:dyDescent="0.25">
      <c r="T12074" s="98"/>
    </row>
    <row r="12075" spans="20:20" x14ac:dyDescent="0.25">
      <c r="T12075" s="98"/>
    </row>
    <row r="12076" spans="20:20" x14ac:dyDescent="0.25">
      <c r="T12076" s="98"/>
    </row>
    <row r="12077" spans="20:20" x14ac:dyDescent="0.25">
      <c r="T12077" s="98"/>
    </row>
    <row r="12078" spans="20:20" x14ac:dyDescent="0.25">
      <c r="T12078" s="98"/>
    </row>
    <row r="12079" spans="20:20" x14ac:dyDescent="0.25">
      <c r="T12079" s="98"/>
    </row>
    <row r="12080" spans="20:20" x14ac:dyDescent="0.25">
      <c r="T12080" s="98"/>
    </row>
    <row r="12081" spans="20:20" x14ac:dyDescent="0.25">
      <c r="T12081" s="98"/>
    </row>
    <row r="12082" spans="20:20" x14ac:dyDescent="0.25">
      <c r="T12082" s="98"/>
    </row>
    <row r="12083" spans="20:20" x14ac:dyDescent="0.25">
      <c r="T12083" s="98"/>
    </row>
    <row r="12084" spans="20:20" x14ac:dyDescent="0.25">
      <c r="T12084" s="98"/>
    </row>
    <row r="12085" spans="20:20" x14ac:dyDescent="0.25">
      <c r="T12085" s="98"/>
    </row>
    <row r="12086" spans="20:20" x14ac:dyDescent="0.25">
      <c r="T12086" s="98"/>
    </row>
    <row r="12087" spans="20:20" x14ac:dyDescent="0.25">
      <c r="T12087" s="98"/>
    </row>
    <row r="12088" spans="20:20" x14ac:dyDescent="0.25">
      <c r="T12088" s="98"/>
    </row>
    <row r="12089" spans="20:20" x14ac:dyDescent="0.25">
      <c r="T12089" s="98"/>
    </row>
    <row r="12090" spans="20:20" x14ac:dyDescent="0.25">
      <c r="T12090" s="98"/>
    </row>
    <row r="12091" spans="20:20" x14ac:dyDescent="0.25">
      <c r="T12091" s="98"/>
    </row>
    <row r="12092" spans="20:20" x14ac:dyDescent="0.25">
      <c r="T12092" s="98"/>
    </row>
    <row r="12093" spans="20:20" x14ac:dyDescent="0.25">
      <c r="T12093" s="98"/>
    </row>
    <row r="12094" spans="20:20" x14ac:dyDescent="0.25">
      <c r="T12094" s="98"/>
    </row>
    <row r="12095" spans="20:20" x14ac:dyDescent="0.25">
      <c r="T12095" s="98"/>
    </row>
    <row r="12096" spans="20:20" x14ac:dyDescent="0.25">
      <c r="T12096" s="98"/>
    </row>
    <row r="12097" spans="20:20" x14ac:dyDescent="0.25">
      <c r="T12097" s="98"/>
    </row>
    <row r="12098" spans="20:20" x14ac:dyDescent="0.25">
      <c r="T12098" s="98"/>
    </row>
    <row r="12099" spans="20:20" x14ac:dyDescent="0.25">
      <c r="T12099" s="98"/>
    </row>
    <row r="12100" spans="20:20" x14ac:dyDescent="0.25">
      <c r="T12100" s="98"/>
    </row>
    <row r="12101" spans="20:20" x14ac:dyDescent="0.25">
      <c r="T12101" s="98"/>
    </row>
    <row r="12102" spans="20:20" x14ac:dyDescent="0.25">
      <c r="T12102" s="98"/>
    </row>
    <row r="12103" spans="20:20" x14ac:dyDescent="0.25">
      <c r="T12103" s="98"/>
    </row>
    <row r="12104" spans="20:20" x14ac:dyDescent="0.25">
      <c r="T12104" s="98"/>
    </row>
    <row r="12105" spans="20:20" x14ac:dyDescent="0.25">
      <c r="T12105" s="98"/>
    </row>
    <row r="12106" spans="20:20" x14ac:dyDescent="0.25">
      <c r="T12106" s="98"/>
    </row>
    <row r="12107" spans="20:20" x14ac:dyDescent="0.25">
      <c r="T12107" s="98"/>
    </row>
    <row r="12108" spans="20:20" x14ac:dyDescent="0.25">
      <c r="T12108" s="98"/>
    </row>
    <row r="12109" spans="20:20" x14ac:dyDescent="0.25">
      <c r="T12109" s="98"/>
    </row>
    <row r="12110" spans="20:20" x14ac:dyDescent="0.25">
      <c r="T12110" s="98"/>
    </row>
    <row r="12111" spans="20:20" x14ac:dyDescent="0.25">
      <c r="T12111" s="98"/>
    </row>
    <row r="12112" spans="20:20" x14ac:dyDescent="0.25">
      <c r="T12112" s="98"/>
    </row>
    <row r="12113" spans="20:20" x14ac:dyDescent="0.25">
      <c r="T12113" s="98"/>
    </row>
    <row r="12114" spans="20:20" x14ac:dyDescent="0.25">
      <c r="T12114" s="98"/>
    </row>
    <row r="12115" spans="20:20" x14ac:dyDescent="0.25">
      <c r="T12115" s="98"/>
    </row>
    <row r="12116" spans="20:20" x14ac:dyDescent="0.25">
      <c r="T12116" s="98"/>
    </row>
    <row r="12117" spans="20:20" x14ac:dyDescent="0.25">
      <c r="T12117" s="98"/>
    </row>
    <row r="12118" spans="20:20" x14ac:dyDescent="0.25">
      <c r="T12118" s="98"/>
    </row>
    <row r="12119" spans="20:20" x14ac:dyDescent="0.25">
      <c r="T12119" s="98"/>
    </row>
    <row r="12120" spans="20:20" x14ac:dyDescent="0.25">
      <c r="T12120" s="98"/>
    </row>
    <row r="12121" spans="20:20" x14ac:dyDescent="0.25">
      <c r="T12121" s="98"/>
    </row>
    <row r="12122" spans="20:20" x14ac:dyDescent="0.25">
      <c r="T12122" s="98"/>
    </row>
    <row r="12123" spans="20:20" x14ac:dyDescent="0.25">
      <c r="T12123" s="98"/>
    </row>
    <row r="12124" spans="20:20" x14ac:dyDescent="0.25">
      <c r="T12124" s="98"/>
    </row>
    <row r="12125" spans="20:20" x14ac:dyDescent="0.25">
      <c r="T12125" s="98"/>
    </row>
    <row r="12126" spans="20:20" x14ac:dyDescent="0.25">
      <c r="T12126" s="98"/>
    </row>
    <row r="12127" spans="20:20" x14ac:dyDescent="0.25">
      <c r="T12127" s="98"/>
    </row>
    <row r="12128" spans="20:20" x14ac:dyDescent="0.25">
      <c r="T12128" s="98"/>
    </row>
    <row r="12129" spans="20:20" x14ac:dyDescent="0.25">
      <c r="T12129" s="98"/>
    </row>
    <row r="12130" spans="20:20" x14ac:dyDescent="0.25">
      <c r="T12130" s="98"/>
    </row>
    <row r="12131" spans="20:20" x14ac:dyDescent="0.25">
      <c r="T12131" s="98"/>
    </row>
    <row r="12132" spans="20:20" x14ac:dyDescent="0.25">
      <c r="T12132" s="98"/>
    </row>
    <row r="12133" spans="20:20" x14ac:dyDescent="0.25">
      <c r="T12133" s="98"/>
    </row>
    <row r="12134" spans="20:20" x14ac:dyDescent="0.25">
      <c r="T12134" s="98"/>
    </row>
    <row r="12135" spans="20:20" x14ac:dyDescent="0.25">
      <c r="T12135" s="98"/>
    </row>
    <row r="12136" spans="20:20" x14ac:dyDescent="0.25">
      <c r="T12136" s="98"/>
    </row>
    <row r="12137" spans="20:20" x14ac:dyDescent="0.25">
      <c r="T12137" s="98"/>
    </row>
    <row r="12138" spans="20:20" x14ac:dyDescent="0.25">
      <c r="T12138" s="98"/>
    </row>
    <row r="12139" spans="20:20" x14ac:dyDescent="0.25">
      <c r="T12139" s="98"/>
    </row>
    <row r="12140" spans="20:20" x14ac:dyDescent="0.25">
      <c r="T12140" s="98"/>
    </row>
    <row r="12141" spans="20:20" x14ac:dyDescent="0.25">
      <c r="T12141" s="98"/>
    </row>
    <row r="12142" spans="20:20" x14ac:dyDescent="0.25">
      <c r="T12142" s="98"/>
    </row>
    <row r="12143" spans="20:20" x14ac:dyDescent="0.25">
      <c r="T12143" s="98"/>
    </row>
    <row r="12144" spans="20:20" x14ac:dyDescent="0.25">
      <c r="T12144" s="98"/>
    </row>
    <row r="12145" spans="20:20" x14ac:dyDescent="0.25">
      <c r="T12145" s="98"/>
    </row>
    <row r="12146" spans="20:20" x14ac:dyDescent="0.25">
      <c r="T12146" s="98"/>
    </row>
    <row r="12147" spans="20:20" x14ac:dyDescent="0.25">
      <c r="T12147" s="98"/>
    </row>
    <row r="12148" spans="20:20" x14ac:dyDescent="0.25">
      <c r="T12148" s="98"/>
    </row>
    <row r="12149" spans="20:20" x14ac:dyDescent="0.25">
      <c r="T12149" s="98"/>
    </row>
    <row r="12150" spans="20:20" x14ac:dyDescent="0.25">
      <c r="T12150" s="98"/>
    </row>
    <row r="12151" spans="20:20" x14ac:dyDescent="0.25">
      <c r="T12151" s="98"/>
    </row>
    <row r="12152" spans="20:20" x14ac:dyDescent="0.25">
      <c r="T12152" s="98"/>
    </row>
    <row r="12153" spans="20:20" x14ac:dyDescent="0.25">
      <c r="T12153" s="98"/>
    </row>
    <row r="12154" spans="20:20" x14ac:dyDescent="0.25">
      <c r="T12154" s="98"/>
    </row>
    <row r="12155" spans="20:20" x14ac:dyDescent="0.25">
      <c r="T12155" s="98"/>
    </row>
    <row r="12156" spans="20:20" x14ac:dyDescent="0.25">
      <c r="T12156" s="98"/>
    </row>
    <row r="12157" spans="20:20" x14ac:dyDescent="0.25">
      <c r="T12157" s="98"/>
    </row>
    <row r="12158" spans="20:20" x14ac:dyDescent="0.25">
      <c r="T12158" s="98"/>
    </row>
    <row r="12159" spans="20:20" x14ac:dyDescent="0.25">
      <c r="T12159" s="98"/>
    </row>
    <row r="12160" spans="20:20" x14ac:dyDescent="0.25">
      <c r="T12160" s="98"/>
    </row>
    <row r="12161" spans="20:20" x14ac:dyDescent="0.25">
      <c r="T12161" s="98"/>
    </row>
    <row r="12162" spans="20:20" x14ac:dyDescent="0.25">
      <c r="T12162" s="98"/>
    </row>
    <row r="12163" spans="20:20" x14ac:dyDescent="0.25">
      <c r="T12163" s="98"/>
    </row>
    <row r="12164" spans="20:20" x14ac:dyDescent="0.25">
      <c r="T12164" s="98"/>
    </row>
    <row r="12165" spans="20:20" x14ac:dyDescent="0.25">
      <c r="T12165" s="98"/>
    </row>
    <row r="12166" spans="20:20" x14ac:dyDescent="0.25">
      <c r="T12166" s="98"/>
    </row>
    <row r="12167" spans="20:20" x14ac:dyDescent="0.25">
      <c r="T12167" s="98"/>
    </row>
    <row r="12168" spans="20:20" x14ac:dyDescent="0.25">
      <c r="T12168" s="98"/>
    </row>
    <row r="12169" spans="20:20" x14ac:dyDescent="0.25">
      <c r="T12169" s="98"/>
    </row>
    <row r="12170" spans="20:20" x14ac:dyDescent="0.25">
      <c r="T12170" s="98"/>
    </row>
    <row r="12171" spans="20:20" x14ac:dyDescent="0.25">
      <c r="T12171" s="98"/>
    </row>
    <row r="12172" spans="20:20" x14ac:dyDescent="0.25">
      <c r="T12172" s="98"/>
    </row>
    <row r="12173" spans="20:20" x14ac:dyDescent="0.25">
      <c r="T12173" s="98"/>
    </row>
    <row r="12174" spans="20:20" x14ac:dyDescent="0.25">
      <c r="T12174" s="98"/>
    </row>
    <row r="12175" spans="20:20" x14ac:dyDescent="0.25">
      <c r="T12175" s="98"/>
    </row>
    <row r="12176" spans="20:20" x14ac:dyDescent="0.25">
      <c r="T12176" s="98"/>
    </row>
    <row r="12177" spans="20:20" x14ac:dyDescent="0.25">
      <c r="T12177" s="98"/>
    </row>
    <row r="12178" spans="20:20" x14ac:dyDescent="0.25">
      <c r="T12178" s="98"/>
    </row>
    <row r="12179" spans="20:20" x14ac:dyDescent="0.25">
      <c r="T12179" s="98"/>
    </row>
    <row r="12180" spans="20:20" x14ac:dyDescent="0.25">
      <c r="T12180" s="98"/>
    </row>
    <row r="12181" spans="20:20" x14ac:dyDescent="0.25">
      <c r="T12181" s="98"/>
    </row>
    <row r="12182" spans="20:20" x14ac:dyDescent="0.25">
      <c r="T12182" s="98"/>
    </row>
    <row r="12183" spans="20:20" x14ac:dyDescent="0.25">
      <c r="T12183" s="98"/>
    </row>
    <row r="12184" spans="20:20" x14ac:dyDescent="0.25">
      <c r="T12184" s="98"/>
    </row>
    <row r="12185" spans="20:20" x14ac:dyDescent="0.25">
      <c r="T12185" s="98"/>
    </row>
    <row r="12186" spans="20:20" x14ac:dyDescent="0.25">
      <c r="T12186" s="98"/>
    </row>
    <row r="12187" spans="20:20" x14ac:dyDescent="0.25">
      <c r="T12187" s="98"/>
    </row>
    <row r="12188" spans="20:20" x14ac:dyDescent="0.25">
      <c r="T12188" s="98"/>
    </row>
    <row r="12189" spans="20:20" x14ac:dyDescent="0.25">
      <c r="T12189" s="98"/>
    </row>
    <row r="12190" spans="20:20" x14ac:dyDescent="0.25">
      <c r="T12190" s="98"/>
    </row>
    <row r="12191" spans="20:20" x14ac:dyDescent="0.25">
      <c r="T12191" s="98"/>
    </row>
    <row r="12192" spans="20:20" x14ac:dyDescent="0.25">
      <c r="T12192" s="98"/>
    </row>
    <row r="12193" spans="20:20" x14ac:dyDescent="0.25">
      <c r="T12193" s="98"/>
    </row>
    <row r="12194" spans="20:20" x14ac:dyDescent="0.25">
      <c r="T12194" s="98"/>
    </row>
    <row r="12195" spans="20:20" x14ac:dyDescent="0.25">
      <c r="T12195" s="98"/>
    </row>
    <row r="12196" spans="20:20" x14ac:dyDescent="0.25">
      <c r="T12196" s="98"/>
    </row>
    <row r="12197" spans="20:20" x14ac:dyDescent="0.25">
      <c r="T12197" s="98"/>
    </row>
    <row r="12198" spans="20:20" x14ac:dyDescent="0.25">
      <c r="T12198" s="98"/>
    </row>
    <row r="12199" spans="20:20" x14ac:dyDescent="0.25">
      <c r="T12199" s="98"/>
    </row>
    <row r="12200" spans="20:20" x14ac:dyDescent="0.25">
      <c r="T12200" s="98"/>
    </row>
    <row r="12201" spans="20:20" x14ac:dyDescent="0.25">
      <c r="T12201" s="98"/>
    </row>
    <row r="12202" spans="20:20" x14ac:dyDescent="0.25">
      <c r="T12202" s="98"/>
    </row>
    <row r="12203" spans="20:20" x14ac:dyDescent="0.25">
      <c r="T12203" s="98"/>
    </row>
    <row r="12204" spans="20:20" x14ac:dyDescent="0.25">
      <c r="T12204" s="98"/>
    </row>
    <row r="12205" spans="20:20" x14ac:dyDescent="0.25">
      <c r="T12205" s="98"/>
    </row>
    <row r="12206" spans="20:20" x14ac:dyDescent="0.25">
      <c r="T12206" s="98"/>
    </row>
    <row r="12207" spans="20:20" x14ac:dyDescent="0.25">
      <c r="T12207" s="98"/>
    </row>
    <row r="12208" spans="20:20" x14ac:dyDescent="0.25">
      <c r="T12208" s="98"/>
    </row>
    <row r="12209" spans="20:20" x14ac:dyDescent="0.25">
      <c r="T12209" s="98"/>
    </row>
    <row r="12210" spans="20:20" x14ac:dyDescent="0.25">
      <c r="T12210" s="98"/>
    </row>
    <row r="12211" spans="20:20" x14ac:dyDescent="0.25">
      <c r="T12211" s="98"/>
    </row>
    <row r="12212" spans="20:20" x14ac:dyDescent="0.25">
      <c r="T12212" s="98"/>
    </row>
    <row r="12213" spans="20:20" x14ac:dyDescent="0.25">
      <c r="T12213" s="98"/>
    </row>
    <row r="12214" spans="20:20" x14ac:dyDescent="0.25">
      <c r="T12214" s="98"/>
    </row>
    <row r="12215" spans="20:20" x14ac:dyDescent="0.25">
      <c r="T12215" s="98"/>
    </row>
    <row r="12216" spans="20:20" x14ac:dyDescent="0.25">
      <c r="T12216" s="98"/>
    </row>
    <row r="12217" spans="20:20" x14ac:dyDescent="0.25">
      <c r="T12217" s="98"/>
    </row>
    <row r="12218" spans="20:20" x14ac:dyDescent="0.25">
      <c r="T12218" s="98"/>
    </row>
    <row r="12219" spans="20:20" x14ac:dyDescent="0.25">
      <c r="T12219" s="98"/>
    </row>
    <row r="12220" spans="20:20" x14ac:dyDescent="0.25">
      <c r="T12220" s="98"/>
    </row>
    <row r="12221" spans="20:20" x14ac:dyDescent="0.25">
      <c r="T12221" s="98"/>
    </row>
    <row r="12222" spans="20:20" x14ac:dyDescent="0.25">
      <c r="T12222" s="98"/>
    </row>
    <row r="12223" spans="20:20" x14ac:dyDescent="0.25">
      <c r="T12223" s="98"/>
    </row>
    <row r="12224" spans="20:20" x14ac:dyDescent="0.25">
      <c r="T12224" s="98"/>
    </row>
    <row r="12225" spans="20:20" x14ac:dyDescent="0.25">
      <c r="T12225" s="98"/>
    </row>
    <row r="12226" spans="20:20" x14ac:dyDescent="0.25">
      <c r="T12226" s="98"/>
    </row>
    <row r="12227" spans="20:20" x14ac:dyDescent="0.25">
      <c r="T12227" s="98"/>
    </row>
    <row r="12228" spans="20:20" x14ac:dyDescent="0.25">
      <c r="T12228" s="98"/>
    </row>
    <row r="12229" spans="20:20" x14ac:dyDescent="0.25">
      <c r="T12229" s="98"/>
    </row>
    <row r="12230" spans="20:20" x14ac:dyDescent="0.25">
      <c r="T12230" s="98"/>
    </row>
    <row r="12231" spans="20:20" x14ac:dyDescent="0.25">
      <c r="T12231" s="98"/>
    </row>
    <row r="12232" spans="20:20" x14ac:dyDescent="0.25">
      <c r="T12232" s="98"/>
    </row>
    <row r="12233" spans="20:20" x14ac:dyDescent="0.25">
      <c r="T12233" s="98"/>
    </row>
    <row r="12234" spans="20:20" x14ac:dyDescent="0.25">
      <c r="T12234" s="98"/>
    </row>
    <row r="12235" spans="20:20" x14ac:dyDescent="0.25">
      <c r="T12235" s="98"/>
    </row>
    <row r="12236" spans="20:20" x14ac:dyDescent="0.25">
      <c r="T12236" s="98"/>
    </row>
    <row r="12237" spans="20:20" x14ac:dyDescent="0.25">
      <c r="T12237" s="98"/>
    </row>
    <row r="12238" spans="20:20" x14ac:dyDescent="0.25">
      <c r="T12238" s="98"/>
    </row>
    <row r="12239" spans="20:20" x14ac:dyDescent="0.25">
      <c r="T12239" s="98"/>
    </row>
    <row r="12240" spans="20:20" x14ac:dyDescent="0.25">
      <c r="T12240" s="98"/>
    </row>
    <row r="12241" spans="20:20" x14ac:dyDescent="0.25">
      <c r="T12241" s="98"/>
    </row>
    <row r="12242" spans="20:20" x14ac:dyDescent="0.25">
      <c r="T12242" s="98"/>
    </row>
    <row r="12243" spans="20:20" x14ac:dyDescent="0.25">
      <c r="T12243" s="98"/>
    </row>
    <row r="12244" spans="20:20" x14ac:dyDescent="0.25">
      <c r="T12244" s="98"/>
    </row>
    <row r="12245" spans="20:20" x14ac:dyDescent="0.25">
      <c r="T12245" s="98"/>
    </row>
    <row r="12246" spans="20:20" x14ac:dyDescent="0.25">
      <c r="T12246" s="98"/>
    </row>
    <row r="12247" spans="20:20" x14ac:dyDescent="0.25">
      <c r="T12247" s="98"/>
    </row>
    <row r="12248" spans="20:20" x14ac:dyDescent="0.25">
      <c r="T12248" s="98"/>
    </row>
    <row r="12249" spans="20:20" x14ac:dyDescent="0.25">
      <c r="T12249" s="98"/>
    </row>
    <row r="12250" spans="20:20" x14ac:dyDescent="0.25">
      <c r="T12250" s="98"/>
    </row>
    <row r="12251" spans="20:20" x14ac:dyDescent="0.25">
      <c r="T12251" s="98"/>
    </row>
    <row r="12252" spans="20:20" x14ac:dyDescent="0.25">
      <c r="T12252" s="98"/>
    </row>
    <row r="12253" spans="20:20" x14ac:dyDescent="0.25">
      <c r="T12253" s="98"/>
    </row>
    <row r="12254" spans="20:20" x14ac:dyDescent="0.25">
      <c r="T12254" s="98"/>
    </row>
    <row r="12255" spans="20:20" x14ac:dyDescent="0.25">
      <c r="T12255" s="98"/>
    </row>
    <row r="12256" spans="20:20" x14ac:dyDescent="0.25">
      <c r="T12256" s="98"/>
    </row>
    <row r="12257" spans="20:20" x14ac:dyDescent="0.25">
      <c r="T12257" s="98"/>
    </row>
    <row r="12258" spans="20:20" x14ac:dyDescent="0.25">
      <c r="T12258" s="98"/>
    </row>
    <row r="12259" spans="20:20" x14ac:dyDescent="0.25">
      <c r="T12259" s="98"/>
    </row>
    <row r="12260" spans="20:20" x14ac:dyDescent="0.25">
      <c r="T12260" s="98"/>
    </row>
    <row r="12261" spans="20:20" x14ac:dyDescent="0.25">
      <c r="T12261" s="98"/>
    </row>
    <row r="12262" spans="20:20" x14ac:dyDescent="0.25">
      <c r="T12262" s="98"/>
    </row>
    <row r="12263" spans="20:20" x14ac:dyDescent="0.25">
      <c r="T12263" s="98"/>
    </row>
    <row r="12264" spans="20:20" x14ac:dyDescent="0.25">
      <c r="T12264" s="98"/>
    </row>
    <row r="12265" spans="20:20" x14ac:dyDescent="0.25">
      <c r="T12265" s="98"/>
    </row>
    <row r="12266" spans="20:20" x14ac:dyDescent="0.25">
      <c r="T12266" s="98"/>
    </row>
    <row r="12267" spans="20:20" x14ac:dyDescent="0.25">
      <c r="T12267" s="98"/>
    </row>
    <row r="12268" spans="20:20" x14ac:dyDescent="0.25">
      <c r="T12268" s="98"/>
    </row>
    <row r="12269" spans="20:20" x14ac:dyDescent="0.25">
      <c r="T12269" s="98"/>
    </row>
    <row r="12270" spans="20:20" x14ac:dyDescent="0.25">
      <c r="T12270" s="98"/>
    </row>
    <row r="12271" spans="20:20" x14ac:dyDescent="0.25">
      <c r="T12271" s="98"/>
    </row>
    <row r="12272" spans="20:20" x14ac:dyDescent="0.25">
      <c r="T12272" s="98"/>
    </row>
    <row r="12273" spans="20:20" x14ac:dyDescent="0.25">
      <c r="T12273" s="98"/>
    </row>
    <row r="12274" spans="20:20" x14ac:dyDescent="0.25">
      <c r="T12274" s="98"/>
    </row>
    <row r="12275" spans="20:20" x14ac:dyDescent="0.25">
      <c r="T12275" s="98"/>
    </row>
    <row r="12276" spans="20:20" x14ac:dyDescent="0.25">
      <c r="T12276" s="98"/>
    </row>
    <row r="12277" spans="20:20" x14ac:dyDescent="0.25">
      <c r="T12277" s="98"/>
    </row>
    <row r="12278" spans="20:20" x14ac:dyDescent="0.25">
      <c r="T12278" s="98"/>
    </row>
    <row r="12279" spans="20:20" x14ac:dyDescent="0.25">
      <c r="T12279" s="98"/>
    </row>
    <row r="12280" spans="20:20" x14ac:dyDescent="0.25">
      <c r="T12280" s="98"/>
    </row>
    <row r="12281" spans="20:20" x14ac:dyDescent="0.25">
      <c r="T12281" s="98"/>
    </row>
    <row r="12282" spans="20:20" x14ac:dyDescent="0.25">
      <c r="T12282" s="98"/>
    </row>
    <row r="12283" spans="20:20" x14ac:dyDescent="0.25">
      <c r="T12283" s="98"/>
    </row>
    <row r="12284" spans="20:20" x14ac:dyDescent="0.25">
      <c r="T12284" s="98"/>
    </row>
    <row r="12285" spans="20:20" x14ac:dyDescent="0.25">
      <c r="T12285" s="98"/>
    </row>
    <row r="12286" spans="20:20" x14ac:dyDescent="0.25">
      <c r="T12286" s="98"/>
    </row>
    <row r="12287" spans="20:20" x14ac:dyDescent="0.25">
      <c r="T12287" s="98"/>
    </row>
    <row r="12288" spans="20:20" x14ac:dyDescent="0.25">
      <c r="T12288" s="98"/>
    </row>
    <row r="12289" spans="20:20" x14ac:dyDescent="0.25">
      <c r="T12289" s="98"/>
    </row>
    <row r="12290" spans="20:20" x14ac:dyDescent="0.25">
      <c r="T12290" s="98"/>
    </row>
    <row r="12291" spans="20:20" x14ac:dyDescent="0.25">
      <c r="T12291" s="98"/>
    </row>
    <row r="12292" spans="20:20" x14ac:dyDescent="0.25">
      <c r="T12292" s="98"/>
    </row>
    <row r="12293" spans="20:20" x14ac:dyDescent="0.25">
      <c r="T12293" s="98"/>
    </row>
    <row r="12294" spans="20:20" x14ac:dyDescent="0.25">
      <c r="T12294" s="98"/>
    </row>
    <row r="12295" spans="20:20" x14ac:dyDescent="0.25">
      <c r="T12295" s="98"/>
    </row>
    <row r="12296" spans="20:20" x14ac:dyDescent="0.25">
      <c r="T12296" s="98"/>
    </row>
    <row r="12297" spans="20:20" x14ac:dyDescent="0.25">
      <c r="T12297" s="98"/>
    </row>
    <row r="12298" spans="20:20" x14ac:dyDescent="0.25">
      <c r="T12298" s="98"/>
    </row>
    <row r="12299" spans="20:20" x14ac:dyDescent="0.25">
      <c r="T12299" s="98"/>
    </row>
    <row r="12300" spans="20:20" x14ac:dyDescent="0.25">
      <c r="T12300" s="98"/>
    </row>
    <row r="12301" spans="20:20" x14ac:dyDescent="0.25">
      <c r="T12301" s="98"/>
    </row>
    <row r="12302" spans="20:20" x14ac:dyDescent="0.25">
      <c r="T12302" s="98"/>
    </row>
    <row r="12303" spans="20:20" x14ac:dyDescent="0.25">
      <c r="T12303" s="98"/>
    </row>
    <row r="12304" spans="20:20" x14ac:dyDescent="0.25">
      <c r="T12304" s="98"/>
    </row>
    <row r="12305" spans="20:20" x14ac:dyDescent="0.25">
      <c r="T12305" s="98"/>
    </row>
    <row r="12306" spans="20:20" x14ac:dyDescent="0.25">
      <c r="T12306" s="98"/>
    </row>
    <row r="12307" spans="20:20" x14ac:dyDescent="0.25">
      <c r="T12307" s="98"/>
    </row>
    <row r="12308" spans="20:20" x14ac:dyDescent="0.25">
      <c r="T12308" s="98"/>
    </row>
    <row r="12309" spans="20:20" x14ac:dyDescent="0.25">
      <c r="T12309" s="98"/>
    </row>
    <row r="12310" spans="20:20" x14ac:dyDescent="0.25">
      <c r="T12310" s="98"/>
    </row>
    <row r="12311" spans="20:20" x14ac:dyDescent="0.25">
      <c r="T12311" s="98"/>
    </row>
    <row r="12312" spans="20:20" x14ac:dyDescent="0.25">
      <c r="T12312" s="98"/>
    </row>
    <row r="12313" spans="20:20" x14ac:dyDescent="0.25">
      <c r="T12313" s="98"/>
    </row>
    <row r="12314" spans="20:20" x14ac:dyDescent="0.25">
      <c r="T12314" s="98"/>
    </row>
    <row r="12315" spans="20:20" x14ac:dyDescent="0.25">
      <c r="T12315" s="98"/>
    </row>
    <row r="12316" spans="20:20" x14ac:dyDescent="0.25">
      <c r="T12316" s="98"/>
    </row>
    <row r="12317" spans="20:20" x14ac:dyDescent="0.25">
      <c r="T12317" s="98"/>
    </row>
    <row r="12318" spans="20:20" x14ac:dyDescent="0.25">
      <c r="T12318" s="98"/>
    </row>
    <row r="12319" spans="20:20" x14ac:dyDescent="0.25">
      <c r="T12319" s="98"/>
    </row>
    <row r="12320" spans="20:20" x14ac:dyDescent="0.25">
      <c r="T12320" s="98"/>
    </row>
    <row r="12321" spans="20:20" x14ac:dyDescent="0.25">
      <c r="T12321" s="98"/>
    </row>
    <row r="12322" spans="20:20" x14ac:dyDescent="0.25">
      <c r="T12322" s="98"/>
    </row>
    <row r="12323" spans="20:20" x14ac:dyDescent="0.25">
      <c r="T12323" s="98"/>
    </row>
    <row r="12324" spans="20:20" x14ac:dyDescent="0.25">
      <c r="T12324" s="98"/>
    </row>
    <row r="12325" spans="20:20" x14ac:dyDescent="0.25">
      <c r="T12325" s="98"/>
    </row>
    <row r="12326" spans="20:20" x14ac:dyDescent="0.25">
      <c r="T12326" s="98"/>
    </row>
    <row r="12327" spans="20:20" x14ac:dyDescent="0.25">
      <c r="T12327" s="98"/>
    </row>
    <row r="12328" spans="20:20" x14ac:dyDescent="0.25">
      <c r="T12328" s="98"/>
    </row>
    <row r="12329" spans="20:20" x14ac:dyDescent="0.25">
      <c r="T12329" s="98"/>
    </row>
    <row r="12330" spans="20:20" x14ac:dyDescent="0.25">
      <c r="T12330" s="98"/>
    </row>
    <row r="12331" spans="20:20" x14ac:dyDescent="0.25">
      <c r="T12331" s="98"/>
    </row>
    <row r="12332" spans="20:20" x14ac:dyDescent="0.25">
      <c r="T12332" s="98"/>
    </row>
    <row r="12333" spans="20:20" x14ac:dyDescent="0.25">
      <c r="T12333" s="98"/>
    </row>
    <row r="12334" spans="20:20" x14ac:dyDescent="0.25">
      <c r="T12334" s="98"/>
    </row>
    <row r="12335" spans="20:20" x14ac:dyDescent="0.25">
      <c r="T12335" s="98"/>
    </row>
    <row r="12336" spans="20:20" x14ac:dyDescent="0.25">
      <c r="T12336" s="98"/>
    </row>
    <row r="12337" spans="20:20" x14ac:dyDescent="0.25">
      <c r="T12337" s="98"/>
    </row>
    <row r="12338" spans="20:20" x14ac:dyDescent="0.25">
      <c r="T12338" s="98"/>
    </row>
    <row r="12339" spans="20:20" x14ac:dyDescent="0.25">
      <c r="T12339" s="98"/>
    </row>
    <row r="12340" spans="20:20" x14ac:dyDescent="0.25">
      <c r="T12340" s="98"/>
    </row>
    <row r="12341" spans="20:20" x14ac:dyDescent="0.25">
      <c r="T12341" s="98"/>
    </row>
    <row r="12342" spans="20:20" x14ac:dyDescent="0.25">
      <c r="T12342" s="98"/>
    </row>
    <row r="12343" spans="20:20" x14ac:dyDescent="0.25">
      <c r="T12343" s="98"/>
    </row>
    <row r="12344" spans="20:20" x14ac:dyDescent="0.25">
      <c r="T12344" s="98"/>
    </row>
    <row r="12345" spans="20:20" x14ac:dyDescent="0.25">
      <c r="T12345" s="98"/>
    </row>
    <row r="12346" spans="20:20" x14ac:dyDescent="0.25">
      <c r="T12346" s="98"/>
    </row>
    <row r="12347" spans="20:20" x14ac:dyDescent="0.25">
      <c r="T12347" s="98"/>
    </row>
    <row r="12348" spans="20:20" x14ac:dyDescent="0.25">
      <c r="T12348" s="98"/>
    </row>
    <row r="12349" spans="20:20" x14ac:dyDescent="0.25">
      <c r="T12349" s="98"/>
    </row>
    <row r="12350" spans="20:20" x14ac:dyDescent="0.25">
      <c r="T12350" s="98"/>
    </row>
    <row r="12351" spans="20:20" x14ac:dyDescent="0.25">
      <c r="T12351" s="98"/>
    </row>
    <row r="12352" spans="20:20" x14ac:dyDescent="0.25">
      <c r="T12352" s="98"/>
    </row>
    <row r="12353" spans="20:20" x14ac:dyDescent="0.25">
      <c r="T12353" s="98"/>
    </row>
    <row r="12354" spans="20:20" x14ac:dyDescent="0.25">
      <c r="T12354" s="98"/>
    </row>
    <row r="12355" spans="20:20" x14ac:dyDescent="0.25">
      <c r="T12355" s="98"/>
    </row>
    <row r="12356" spans="20:20" x14ac:dyDescent="0.25">
      <c r="T12356" s="98"/>
    </row>
    <row r="12357" spans="20:20" x14ac:dyDescent="0.25">
      <c r="T12357" s="98"/>
    </row>
    <row r="12358" spans="20:20" x14ac:dyDescent="0.25">
      <c r="T12358" s="98"/>
    </row>
    <row r="12359" spans="20:20" x14ac:dyDescent="0.25">
      <c r="T12359" s="98"/>
    </row>
    <row r="12360" spans="20:20" x14ac:dyDescent="0.25">
      <c r="T12360" s="98"/>
    </row>
    <row r="12361" spans="20:20" x14ac:dyDescent="0.25">
      <c r="T12361" s="98"/>
    </row>
    <row r="12362" spans="20:20" x14ac:dyDescent="0.25">
      <c r="T12362" s="98"/>
    </row>
    <row r="12363" spans="20:20" x14ac:dyDescent="0.25">
      <c r="T12363" s="98"/>
    </row>
    <row r="12364" spans="20:20" x14ac:dyDescent="0.25">
      <c r="T12364" s="98"/>
    </row>
    <row r="12365" spans="20:20" x14ac:dyDescent="0.25">
      <c r="T12365" s="98"/>
    </row>
    <row r="12366" spans="20:20" x14ac:dyDescent="0.25">
      <c r="T12366" s="98"/>
    </row>
    <row r="12367" spans="20:20" x14ac:dyDescent="0.25">
      <c r="T12367" s="98"/>
    </row>
    <row r="12368" spans="20:20" x14ac:dyDescent="0.25">
      <c r="T12368" s="98"/>
    </row>
    <row r="12369" spans="20:20" x14ac:dyDescent="0.25">
      <c r="T12369" s="98"/>
    </row>
    <row r="12370" spans="20:20" x14ac:dyDescent="0.25">
      <c r="T12370" s="98"/>
    </row>
    <row r="12371" spans="20:20" x14ac:dyDescent="0.25">
      <c r="T12371" s="98"/>
    </row>
    <row r="12372" spans="20:20" x14ac:dyDescent="0.25">
      <c r="T12372" s="98"/>
    </row>
    <row r="12373" spans="20:20" x14ac:dyDescent="0.25">
      <c r="T12373" s="98"/>
    </row>
    <row r="12374" spans="20:20" x14ac:dyDescent="0.25">
      <c r="T12374" s="98"/>
    </row>
    <row r="12375" spans="20:20" x14ac:dyDescent="0.25">
      <c r="T12375" s="98"/>
    </row>
    <row r="12376" spans="20:20" x14ac:dyDescent="0.25">
      <c r="T12376" s="98"/>
    </row>
    <row r="12377" spans="20:20" x14ac:dyDescent="0.25">
      <c r="T12377" s="98"/>
    </row>
    <row r="12378" spans="20:20" x14ac:dyDescent="0.25">
      <c r="T12378" s="98"/>
    </row>
    <row r="12379" spans="20:20" x14ac:dyDescent="0.25">
      <c r="T12379" s="98"/>
    </row>
    <row r="12380" spans="20:20" x14ac:dyDescent="0.25">
      <c r="T12380" s="98"/>
    </row>
    <row r="12381" spans="20:20" x14ac:dyDescent="0.25">
      <c r="T12381" s="98"/>
    </row>
    <row r="12382" spans="20:20" x14ac:dyDescent="0.25">
      <c r="T12382" s="98"/>
    </row>
    <row r="12383" spans="20:20" x14ac:dyDescent="0.25">
      <c r="T12383" s="98"/>
    </row>
    <row r="12384" spans="20:20" x14ac:dyDescent="0.25">
      <c r="T12384" s="98"/>
    </row>
    <row r="12385" spans="20:20" x14ac:dyDescent="0.25">
      <c r="T12385" s="98"/>
    </row>
    <row r="12386" spans="20:20" x14ac:dyDescent="0.25">
      <c r="T12386" s="98"/>
    </row>
    <row r="12387" spans="20:20" x14ac:dyDescent="0.25">
      <c r="T12387" s="98"/>
    </row>
    <row r="12388" spans="20:20" x14ac:dyDescent="0.25">
      <c r="T12388" s="98"/>
    </row>
    <row r="12389" spans="20:20" x14ac:dyDescent="0.25">
      <c r="T12389" s="98"/>
    </row>
    <row r="12390" spans="20:20" x14ac:dyDescent="0.25">
      <c r="T12390" s="98"/>
    </row>
    <row r="12391" spans="20:20" x14ac:dyDescent="0.25">
      <c r="T12391" s="98"/>
    </row>
    <row r="12392" spans="20:20" x14ac:dyDescent="0.25">
      <c r="T12392" s="98"/>
    </row>
    <row r="12393" spans="20:20" x14ac:dyDescent="0.25">
      <c r="T12393" s="98"/>
    </row>
    <row r="12394" spans="20:20" x14ac:dyDescent="0.25">
      <c r="T12394" s="98"/>
    </row>
    <row r="12395" spans="20:20" x14ac:dyDescent="0.25">
      <c r="T12395" s="98"/>
    </row>
    <row r="12396" spans="20:20" x14ac:dyDescent="0.25">
      <c r="T12396" s="98"/>
    </row>
    <row r="12397" spans="20:20" x14ac:dyDescent="0.25">
      <c r="T12397" s="98"/>
    </row>
    <row r="12398" spans="20:20" x14ac:dyDescent="0.25">
      <c r="T12398" s="98"/>
    </row>
    <row r="12399" spans="20:20" x14ac:dyDescent="0.25">
      <c r="T12399" s="98"/>
    </row>
    <row r="12400" spans="20:20" x14ac:dyDescent="0.25">
      <c r="T12400" s="98"/>
    </row>
    <row r="12401" spans="20:20" x14ac:dyDescent="0.25">
      <c r="T12401" s="98"/>
    </row>
    <row r="12402" spans="20:20" x14ac:dyDescent="0.25">
      <c r="T12402" s="98"/>
    </row>
    <row r="12403" spans="20:20" x14ac:dyDescent="0.25">
      <c r="T12403" s="98"/>
    </row>
    <row r="12404" spans="20:20" x14ac:dyDescent="0.25">
      <c r="T12404" s="98"/>
    </row>
    <row r="12405" spans="20:20" x14ac:dyDescent="0.25">
      <c r="T12405" s="98"/>
    </row>
    <row r="12406" spans="20:20" x14ac:dyDescent="0.25">
      <c r="T12406" s="98"/>
    </row>
    <row r="12407" spans="20:20" x14ac:dyDescent="0.25">
      <c r="T12407" s="98"/>
    </row>
    <row r="12408" spans="20:20" x14ac:dyDescent="0.25">
      <c r="T12408" s="98"/>
    </row>
    <row r="12409" spans="20:20" x14ac:dyDescent="0.25">
      <c r="T12409" s="98"/>
    </row>
    <row r="12410" spans="20:20" x14ac:dyDescent="0.25">
      <c r="T12410" s="98"/>
    </row>
    <row r="12411" spans="20:20" x14ac:dyDescent="0.25">
      <c r="T12411" s="98"/>
    </row>
    <row r="12412" spans="20:20" x14ac:dyDescent="0.25">
      <c r="T12412" s="98"/>
    </row>
    <row r="12413" spans="20:20" x14ac:dyDescent="0.25">
      <c r="T12413" s="98"/>
    </row>
    <row r="12414" spans="20:20" x14ac:dyDescent="0.25">
      <c r="T12414" s="98"/>
    </row>
    <row r="12415" spans="20:20" x14ac:dyDescent="0.25">
      <c r="T12415" s="98"/>
    </row>
    <row r="12416" spans="20:20" x14ac:dyDescent="0.25">
      <c r="T12416" s="98"/>
    </row>
    <row r="12417" spans="20:20" x14ac:dyDescent="0.25">
      <c r="T12417" s="98"/>
    </row>
    <row r="12418" spans="20:20" x14ac:dyDescent="0.25">
      <c r="T12418" s="98"/>
    </row>
    <row r="12419" spans="20:20" x14ac:dyDescent="0.25">
      <c r="T12419" s="98"/>
    </row>
    <row r="12420" spans="20:20" x14ac:dyDescent="0.25">
      <c r="T12420" s="98"/>
    </row>
    <row r="12421" spans="20:20" x14ac:dyDescent="0.25">
      <c r="T12421" s="98"/>
    </row>
    <row r="12422" spans="20:20" x14ac:dyDescent="0.25">
      <c r="T12422" s="98"/>
    </row>
    <row r="12423" spans="20:20" x14ac:dyDescent="0.25">
      <c r="T12423" s="98"/>
    </row>
    <row r="12424" spans="20:20" x14ac:dyDescent="0.25">
      <c r="T12424" s="98"/>
    </row>
    <row r="12425" spans="20:20" x14ac:dyDescent="0.25">
      <c r="T12425" s="98"/>
    </row>
    <row r="12426" spans="20:20" x14ac:dyDescent="0.25">
      <c r="T12426" s="98"/>
    </row>
    <row r="12427" spans="20:20" x14ac:dyDescent="0.25">
      <c r="T12427" s="98"/>
    </row>
    <row r="12428" spans="20:20" x14ac:dyDescent="0.25">
      <c r="T12428" s="98"/>
    </row>
    <row r="12429" spans="20:20" x14ac:dyDescent="0.25">
      <c r="T12429" s="98"/>
    </row>
    <row r="12430" spans="20:20" x14ac:dyDescent="0.25">
      <c r="T12430" s="98"/>
    </row>
    <row r="12431" spans="20:20" x14ac:dyDescent="0.25">
      <c r="T12431" s="98"/>
    </row>
    <row r="12432" spans="20:20" x14ac:dyDescent="0.25">
      <c r="T12432" s="98"/>
    </row>
    <row r="12433" spans="20:20" x14ac:dyDescent="0.25">
      <c r="T12433" s="98"/>
    </row>
    <row r="12434" spans="20:20" x14ac:dyDescent="0.25">
      <c r="T12434" s="98"/>
    </row>
    <row r="12435" spans="20:20" x14ac:dyDescent="0.25">
      <c r="T12435" s="98"/>
    </row>
    <row r="12436" spans="20:20" x14ac:dyDescent="0.25">
      <c r="T12436" s="98"/>
    </row>
    <row r="12437" spans="20:20" x14ac:dyDescent="0.25">
      <c r="T12437" s="98"/>
    </row>
    <row r="12438" spans="20:20" x14ac:dyDescent="0.25">
      <c r="T12438" s="98"/>
    </row>
    <row r="12439" spans="20:20" x14ac:dyDescent="0.25">
      <c r="T12439" s="98"/>
    </row>
    <row r="12440" spans="20:20" x14ac:dyDescent="0.25">
      <c r="T12440" s="98"/>
    </row>
    <row r="12441" spans="20:20" x14ac:dyDescent="0.25">
      <c r="T12441" s="98"/>
    </row>
    <row r="12442" spans="20:20" x14ac:dyDescent="0.25">
      <c r="T12442" s="98"/>
    </row>
    <row r="12443" spans="20:20" x14ac:dyDescent="0.25">
      <c r="T12443" s="98"/>
    </row>
    <row r="12444" spans="20:20" x14ac:dyDescent="0.25">
      <c r="T12444" s="98"/>
    </row>
    <row r="12445" spans="20:20" x14ac:dyDescent="0.25">
      <c r="T12445" s="98"/>
    </row>
    <row r="12446" spans="20:20" x14ac:dyDescent="0.25">
      <c r="T12446" s="98"/>
    </row>
    <row r="12447" spans="20:20" x14ac:dyDescent="0.25">
      <c r="T12447" s="98"/>
    </row>
    <row r="12448" spans="20:20" x14ac:dyDescent="0.25">
      <c r="T12448" s="98"/>
    </row>
    <row r="12449" spans="20:20" x14ac:dyDescent="0.25">
      <c r="T12449" s="98"/>
    </row>
    <row r="12450" spans="20:20" x14ac:dyDescent="0.25">
      <c r="T12450" s="98"/>
    </row>
    <row r="12451" spans="20:20" x14ac:dyDescent="0.25">
      <c r="T12451" s="98"/>
    </row>
    <row r="12452" spans="20:20" x14ac:dyDescent="0.25">
      <c r="T12452" s="98"/>
    </row>
    <row r="12453" spans="20:20" x14ac:dyDescent="0.25">
      <c r="T12453" s="98"/>
    </row>
    <row r="12454" spans="20:20" x14ac:dyDescent="0.25">
      <c r="T12454" s="98"/>
    </row>
    <row r="12455" spans="20:20" x14ac:dyDescent="0.25">
      <c r="T12455" s="98"/>
    </row>
    <row r="12456" spans="20:20" x14ac:dyDescent="0.25">
      <c r="T12456" s="98"/>
    </row>
    <row r="12457" spans="20:20" x14ac:dyDescent="0.25">
      <c r="T12457" s="98"/>
    </row>
    <row r="12458" spans="20:20" x14ac:dyDescent="0.25">
      <c r="T12458" s="98"/>
    </row>
    <row r="12459" spans="20:20" x14ac:dyDescent="0.25">
      <c r="T12459" s="98"/>
    </row>
    <row r="12460" spans="20:20" x14ac:dyDescent="0.25">
      <c r="T12460" s="98"/>
    </row>
    <row r="12461" spans="20:20" x14ac:dyDescent="0.25">
      <c r="T12461" s="98"/>
    </row>
    <row r="12462" spans="20:20" x14ac:dyDescent="0.25">
      <c r="T12462" s="98"/>
    </row>
    <row r="12463" spans="20:20" x14ac:dyDescent="0.25">
      <c r="T12463" s="98"/>
    </row>
    <row r="12464" spans="20:20" x14ac:dyDescent="0.25">
      <c r="T12464" s="98"/>
    </row>
    <row r="12465" spans="20:20" x14ac:dyDescent="0.25">
      <c r="T12465" s="98"/>
    </row>
    <row r="12466" spans="20:20" x14ac:dyDescent="0.25">
      <c r="T12466" s="98"/>
    </row>
    <row r="12467" spans="20:20" x14ac:dyDescent="0.25">
      <c r="T12467" s="98"/>
    </row>
    <row r="12468" spans="20:20" x14ac:dyDescent="0.25">
      <c r="T12468" s="98"/>
    </row>
    <row r="12469" spans="20:20" x14ac:dyDescent="0.25">
      <c r="T12469" s="98"/>
    </row>
    <row r="12470" spans="20:20" x14ac:dyDescent="0.25">
      <c r="T12470" s="98"/>
    </row>
    <row r="12471" spans="20:20" x14ac:dyDescent="0.25">
      <c r="T12471" s="98"/>
    </row>
    <row r="12472" spans="20:20" x14ac:dyDescent="0.25">
      <c r="T12472" s="98"/>
    </row>
    <row r="12473" spans="20:20" x14ac:dyDescent="0.25">
      <c r="T12473" s="98"/>
    </row>
    <row r="12474" spans="20:20" x14ac:dyDescent="0.25">
      <c r="T12474" s="98"/>
    </row>
    <row r="12475" spans="20:20" x14ac:dyDescent="0.25">
      <c r="T12475" s="98"/>
    </row>
    <row r="12476" spans="20:20" x14ac:dyDescent="0.25">
      <c r="T12476" s="98"/>
    </row>
    <row r="12477" spans="20:20" x14ac:dyDescent="0.25">
      <c r="T12477" s="98"/>
    </row>
    <row r="12478" spans="20:20" x14ac:dyDescent="0.25">
      <c r="T12478" s="98"/>
    </row>
    <row r="12479" spans="20:20" x14ac:dyDescent="0.25">
      <c r="T12479" s="98"/>
    </row>
    <row r="12480" spans="20:20" x14ac:dyDescent="0.25">
      <c r="T12480" s="98"/>
    </row>
    <row r="12481" spans="20:20" x14ac:dyDescent="0.25">
      <c r="T12481" s="98"/>
    </row>
    <row r="12482" spans="20:20" x14ac:dyDescent="0.25">
      <c r="T12482" s="98"/>
    </row>
    <row r="12483" spans="20:20" x14ac:dyDescent="0.25">
      <c r="T12483" s="98"/>
    </row>
    <row r="12484" spans="20:20" x14ac:dyDescent="0.25">
      <c r="T12484" s="98"/>
    </row>
    <row r="12485" spans="20:20" x14ac:dyDescent="0.25">
      <c r="T12485" s="98"/>
    </row>
    <row r="12486" spans="20:20" x14ac:dyDescent="0.25">
      <c r="T12486" s="98"/>
    </row>
    <row r="12487" spans="20:20" x14ac:dyDescent="0.25">
      <c r="T12487" s="98"/>
    </row>
    <row r="12488" spans="20:20" x14ac:dyDescent="0.25">
      <c r="T12488" s="98"/>
    </row>
    <row r="12489" spans="20:20" x14ac:dyDescent="0.25">
      <c r="T12489" s="98"/>
    </row>
    <row r="12490" spans="20:20" x14ac:dyDescent="0.25">
      <c r="T12490" s="98"/>
    </row>
    <row r="12491" spans="20:20" x14ac:dyDescent="0.25">
      <c r="T12491" s="98"/>
    </row>
    <row r="12492" spans="20:20" x14ac:dyDescent="0.25">
      <c r="T12492" s="98"/>
    </row>
    <row r="12493" spans="20:20" x14ac:dyDescent="0.25">
      <c r="T12493" s="98"/>
    </row>
    <row r="12494" spans="20:20" x14ac:dyDescent="0.25">
      <c r="T12494" s="98"/>
    </row>
    <row r="12495" spans="20:20" x14ac:dyDescent="0.25">
      <c r="T12495" s="98"/>
    </row>
    <row r="12496" spans="20:20" x14ac:dyDescent="0.25">
      <c r="T12496" s="98"/>
    </row>
    <row r="12497" spans="20:20" x14ac:dyDescent="0.25">
      <c r="T12497" s="98"/>
    </row>
    <row r="12498" spans="20:20" x14ac:dyDescent="0.25">
      <c r="T12498" s="98"/>
    </row>
    <row r="12499" spans="20:20" x14ac:dyDescent="0.25">
      <c r="T12499" s="98"/>
    </row>
    <row r="12500" spans="20:20" x14ac:dyDescent="0.25">
      <c r="T12500" s="98"/>
    </row>
    <row r="12501" spans="20:20" x14ac:dyDescent="0.25">
      <c r="T12501" s="98"/>
    </row>
    <row r="12502" spans="20:20" x14ac:dyDescent="0.25">
      <c r="T12502" s="98"/>
    </row>
    <row r="12503" spans="20:20" x14ac:dyDescent="0.25">
      <c r="T12503" s="98"/>
    </row>
    <row r="12504" spans="20:20" x14ac:dyDescent="0.25">
      <c r="T12504" s="98"/>
    </row>
    <row r="12505" spans="20:20" x14ac:dyDescent="0.25">
      <c r="T12505" s="98"/>
    </row>
    <row r="12506" spans="20:20" x14ac:dyDescent="0.25">
      <c r="T12506" s="98"/>
    </row>
    <row r="12507" spans="20:20" x14ac:dyDescent="0.25">
      <c r="T12507" s="98"/>
    </row>
    <row r="12508" spans="20:20" x14ac:dyDescent="0.25">
      <c r="T12508" s="98"/>
    </row>
    <row r="12509" spans="20:20" x14ac:dyDescent="0.25">
      <c r="T12509" s="98"/>
    </row>
    <row r="12510" spans="20:20" x14ac:dyDescent="0.25">
      <c r="T12510" s="98"/>
    </row>
    <row r="12511" spans="20:20" x14ac:dyDescent="0.25">
      <c r="T12511" s="98"/>
    </row>
    <row r="12512" spans="20:20" x14ac:dyDescent="0.25">
      <c r="T12512" s="98"/>
    </row>
    <row r="12513" spans="20:20" x14ac:dyDescent="0.25">
      <c r="T12513" s="98"/>
    </row>
    <row r="12514" spans="20:20" x14ac:dyDescent="0.25">
      <c r="T12514" s="98"/>
    </row>
    <row r="12515" spans="20:20" x14ac:dyDescent="0.25">
      <c r="T12515" s="98"/>
    </row>
    <row r="12516" spans="20:20" x14ac:dyDescent="0.25">
      <c r="T12516" s="98"/>
    </row>
    <row r="12517" spans="20:20" x14ac:dyDescent="0.25">
      <c r="T12517" s="98"/>
    </row>
    <row r="12518" spans="20:20" x14ac:dyDescent="0.25">
      <c r="T12518" s="98"/>
    </row>
    <row r="12519" spans="20:20" x14ac:dyDescent="0.25">
      <c r="T12519" s="98"/>
    </row>
    <row r="12520" spans="20:20" x14ac:dyDescent="0.25">
      <c r="T12520" s="98"/>
    </row>
    <row r="12521" spans="20:20" x14ac:dyDescent="0.25">
      <c r="T12521" s="98"/>
    </row>
    <row r="12522" spans="20:20" x14ac:dyDescent="0.25">
      <c r="T12522" s="98"/>
    </row>
    <row r="12523" spans="20:20" x14ac:dyDescent="0.25">
      <c r="T12523" s="98"/>
    </row>
    <row r="12524" spans="20:20" x14ac:dyDescent="0.25">
      <c r="T12524" s="98"/>
    </row>
    <row r="12525" spans="20:20" x14ac:dyDescent="0.25">
      <c r="T12525" s="98"/>
    </row>
    <row r="12526" spans="20:20" x14ac:dyDescent="0.25">
      <c r="T12526" s="98"/>
    </row>
    <row r="12527" spans="20:20" x14ac:dyDescent="0.25">
      <c r="T12527" s="98"/>
    </row>
    <row r="12528" spans="20:20" x14ac:dyDescent="0.25">
      <c r="T12528" s="98"/>
    </row>
    <row r="12529" spans="20:20" x14ac:dyDescent="0.25">
      <c r="T12529" s="98"/>
    </row>
    <row r="12530" spans="20:20" x14ac:dyDescent="0.25">
      <c r="T12530" s="98"/>
    </row>
    <row r="12531" spans="20:20" x14ac:dyDescent="0.25">
      <c r="T12531" s="98"/>
    </row>
    <row r="12532" spans="20:20" x14ac:dyDescent="0.25">
      <c r="T12532" s="98"/>
    </row>
    <row r="12533" spans="20:20" x14ac:dyDescent="0.25">
      <c r="T12533" s="98"/>
    </row>
    <row r="12534" spans="20:20" x14ac:dyDescent="0.25">
      <c r="T12534" s="98"/>
    </row>
    <row r="12535" spans="20:20" x14ac:dyDescent="0.25">
      <c r="T12535" s="98"/>
    </row>
    <row r="12536" spans="20:20" x14ac:dyDescent="0.25">
      <c r="T12536" s="98"/>
    </row>
    <row r="12537" spans="20:20" x14ac:dyDescent="0.25">
      <c r="T12537" s="98"/>
    </row>
    <row r="12538" spans="20:20" x14ac:dyDescent="0.25">
      <c r="T12538" s="98"/>
    </row>
    <row r="12539" spans="20:20" x14ac:dyDescent="0.25">
      <c r="T12539" s="98"/>
    </row>
    <row r="12540" spans="20:20" x14ac:dyDescent="0.25">
      <c r="T12540" s="98"/>
    </row>
    <row r="12541" spans="20:20" x14ac:dyDescent="0.25">
      <c r="T12541" s="98"/>
    </row>
    <row r="12542" spans="20:20" x14ac:dyDescent="0.25">
      <c r="T12542" s="98"/>
    </row>
    <row r="12543" spans="20:20" x14ac:dyDescent="0.25">
      <c r="T12543" s="98"/>
    </row>
    <row r="12544" spans="20:20" x14ac:dyDescent="0.25">
      <c r="T12544" s="98"/>
    </row>
    <row r="12545" spans="20:20" x14ac:dyDescent="0.25">
      <c r="T12545" s="98"/>
    </row>
    <row r="12546" spans="20:20" x14ac:dyDescent="0.25">
      <c r="T12546" s="98"/>
    </row>
    <row r="12547" spans="20:20" x14ac:dyDescent="0.25">
      <c r="T12547" s="98"/>
    </row>
    <row r="12548" spans="20:20" x14ac:dyDescent="0.25">
      <c r="T12548" s="98"/>
    </row>
    <row r="12549" spans="20:20" x14ac:dyDescent="0.25">
      <c r="T12549" s="98"/>
    </row>
    <row r="12550" spans="20:20" x14ac:dyDescent="0.25">
      <c r="T12550" s="98"/>
    </row>
    <row r="12551" spans="20:20" x14ac:dyDescent="0.25">
      <c r="T12551" s="98"/>
    </row>
    <row r="12552" spans="20:20" x14ac:dyDescent="0.25">
      <c r="T12552" s="98"/>
    </row>
    <row r="12553" spans="20:20" x14ac:dyDescent="0.25">
      <c r="T12553" s="98"/>
    </row>
    <row r="12554" spans="20:20" x14ac:dyDescent="0.25">
      <c r="T12554" s="98"/>
    </row>
    <row r="12555" spans="20:20" x14ac:dyDescent="0.25">
      <c r="T12555" s="98"/>
    </row>
    <row r="12556" spans="20:20" x14ac:dyDescent="0.25">
      <c r="T12556" s="98"/>
    </row>
    <row r="12557" spans="20:20" x14ac:dyDescent="0.25">
      <c r="T12557" s="98"/>
    </row>
    <row r="12558" spans="20:20" x14ac:dyDescent="0.25">
      <c r="T12558" s="98"/>
    </row>
    <row r="12559" spans="20:20" x14ac:dyDescent="0.25">
      <c r="T12559" s="98"/>
    </row>
    <row r="12560" spans="20:20" x14ac:dyDescent="0.25">
      <c r="T12560" s="98"/>
    </row>
    <row r="12561" spans="20:20" x14ac:dyDescent="0.25">
      <c r="T12561" s="98"/>
    </row>
    <row r="12562" spans="20:20" x14ac:dyDescent="0.25">
      <c r="T12562" s="98"/>
    </row>
    <row r="12563" spans="20:20" x14ac:dyDescent="0.25">
      <c r="T12563" s="98"/>
    </row>
    <row r="12564" spans="20:20" x14ac:dyDescent="0.25">
      <c r="T12564" s="98"/>
    </row>
    <row r="12565" spans="20:20" x14ac:dyDescent="0.25">
      <c r="T12565" s="98"/>
    </row>
    <row r="12566" spans="20:20" x14ac:dyDescent="0.25">
      <c r="T12566" s="98"/>
    </row>
    <row r="12567" spans="20:20" x14ac:dyDescent="0.25">
      <c r="T12567" s="98"/>
    </row>
    <row r="12568" spans="20:20" x14ac:dyDescent="0.25">
      <c r="T12568" s="98"/>
    </row>
    <row r="12569" spans="20:20" x14ac:dyDescent="0.25">
      <c r="T12569" s="98"/>
    </row>
    <row r="12570" spans="20:20" x14ac:dyDescent="0.25">
      <c r="T12570" s="98"/>
    </row>
    <row r="12571" spans="20:20" x14ac:dyDescent="0.25">
      <c r="T12571" s="98"/>
    </row>
    <row r="12572" spans="20:20" x14ac:dyDescent="0.25">
      <c r="T12572" s="98"/>
    </row>
    <row r="12573" spans="20:20" x14ac:dyDescent="0.25">
      <c r="T12573" s="98"/>
    </row>
    <row r="12574" spans="20:20" x14ac:dyDescent="0.25">
      <c r="T12574" s="98"/>
    </row>
    <row r="12575" spans="20:20" x14ac:dyDescent="0.25">
      <c r="T12575" s="98"/>
    </row>
    <row r="12576" spans="20:20" x14ac:dyDescent="0.25">
      <c r="T12576" s="98"/>
    </row>
    <row r="12577" spans="20:20" x14ac:dyDescent="0.25">
      <c r="T12577" s="98"/>
    </row>
    <row r="12578" spans="20:20" x14ac:dyDescent="0.25">
      <c r="T12578" s="98"/>
    </row>
    <row r="12579" spans="20:20" x14ac:dyDescent="0.25">
      <c r="T12579" s="98"/>
    </row>
    <row r="12580" spans="20:20" x14ac:dyDescent="0.25">
      <c r="T12580" s="98"/>
    </row>
    <row r="12581" spans="20:20" x14ac:dyDescent="0.25">
      <c r="T12581" s="98"/>
    </row>
    <row r="12582" spans="20:20" x14ac:dyDescent="0.25">
      <c r="T12582" s="98"/>
    </row>
    <row r="12583" spans="20:20" x14ac:dyDescent="0.25">
      <c r="T12583" s="98"/>
    </row>
    <row r="12584" spans="20:20" x14ac:dyDescent="0.25">
      <c r="T12584" s="98"/>
    </row>
    <row r="12585" spans="20:20" x14ac:dyDescent="0.25">
      <c r="T12585" s="98"/>
    </row>
    <row r="12586" spans="20:20" x14ac:dyDescent="0.25">
      <c r="T12586" s="98"/>
    </row>
    <row r="12587" spans="20:20" x14ac:dyDescent="0.25">
      <c r="T12587" s="98"/>
    </row>
    <row r="12588" spans="20:20" x14ac:dyDescent="0.25">
      <c r="T12588" s="98"/>
    </row>
    <row r="12589" spans="20:20" x14ac:dyDescent="0.25">
      <c r="T12589" s="98"/>
    </row>
    <row r="12590" spans="20:20" x14ac:dyDescent="0.25">
      <c r="T12590" s="98"/>
    </row>
    <row r="12591" spans="20:20" x14ac:dyDescent="0.25">
      <c r="T12591" s="98"/>
    </row>
    <row r="12592" spans="20:20" x14ac:dyDescent="0.25">
      <c r="T12592" s="98"/>
    </row>
    <row r="12593" spans="20:20" x14ac:dyDescent="0.25">
      <c r="T12593" s="98"/>
    </row>
    <row r="12594" spans="20:20" x14ac:dyDescent="0.25">
      <c r="T12594" s="98"/>
    </row>
    <row r="12595" spans="20:20" x14ac:dyDescent="0.25">
      <c r="T12595" s="98"/>
    </row>
    <row r="12596" spans="20:20" x14ac:dyDescent="0.25">
      <c r="T12596" s="98"/>
    </row>
    <row r="12597" spans="20:20" x14ac:dyDescent="0.25">
      <c r="T12597" s="98"/>
    </row>
    <row r="12598" spans="20:20" x14ac:dyDescent="0.25">
      <c r="T12598" s="98"/>
    </row>
    <row r="12599" spans="20:20" x14ac:dyDescent="0.25">
      <c r="T12599" s="98"/>
    </row>
    <row r="12600" spans="20:20" x14ac:dyDescent="0.25">
      <c r="T12600" s="98"/>
    </row>
    <row r="12601" spans="20:20" x14ac:dyDescent="0.25">
      <c r="T12601" s="98"/>
    </row>
    <row r="12602" spans="20:20" x14ac:dyDescent="0.25">
      <c r="T12602" s="98"/>
    </row>
    <row r="12603" spans="20:20" x14ac:dyDescent="0.25">
      <c r="T12603" s="98"/>
    </row>
    <row r="12604" spans="20:20" x14ac:dyDescent="0.25">
      <c r="T12604" s="98"/>
    </row>
    <row r="12605" spans="20:20" x14ac:dyDescent="0.25">
      <c r="T12605" s="98"/>
    </row>
    <row r="12606" spans="20:20" x14ac:dyDescent="0.25">
      <c r="T12606" s="98"/>
    </row>
    <row r="12607" spans="20:20" x14ac:dyDescent="0.25">
      <c r="T12607" s="98"/>
    </row>
    <row r="12608" spans="20:20" x14ac:dyDescent="0.25">
      <c r="T12608" s="98"/>
    </row>
    <row r="12609" spans="20:20" x14ac:dyDescent="0.25">
      <c r="T12609" s="98"/>
    </row>
    <row r="12610" spans="20:20" x14ac:dyDescent="0.25">
      <c r="T12610" s="98"/>
    </row>
    <row r="12611" spans="20:20" x14ac:dyDescent="0.25">
      <c r="T12611" s="98"/>
    </row>
    <row r="12612" spans="20:20" x14ac:dyDescent="0.25">
      <c r="T12612" s="98"/>
    </row>
    <row r="12613" spans="20:20" x14ac:dyDescent="0.25">
      <c r="T12613" s="98"/>
    </row>
    <row r="12614" spans="20:20" x14ac:dyDescent="0.25">
      <c r="T12614" s="98"/>
    </row>
    <row r="12615" spans="20:20" x14ac:dyDescent="0.25">
      <c r="T12615" s="98"/>
    </row>
    <row r="12616" spans="20:20" x14ac:dyDescent="0.25">
      <c r="T12616" s="98"/>
    </row>
    <row r="12617" spans="20:20" x14ac:dyDescent="0.25">
      <c r="T12617" s="98"/>
    </row>
    <row r="12618" spans="20:20" x14ac:dyDescent="0.25">
      <c r="T12618" s="98"/>
    </row>
    <row r="12619" spans="20:20" x14ac:dyDescent="0.25">
      <c r="T12619" s="98"/>
    </row>
    <row r="12620" spans="20:20" x14ac:dyDescent="0.25">
      <c r="T12620" s="98"/>
    </row>
    <row r="12621" spans="20:20" x14ac:dyDescent="0.25">
      <c r="T12621" s="98"/>
    </row>
    <row r="12622" spans="20:20" x14ac:dyDescent="0.25">
      <c r="T12622" s="98"/>
    </row>
    <row r="12623" spans="20:20" x14ac:dyDescent="0.25">
      <c r="T12623" s="98"/>
    </row>
    <row r="12624" spans="20:20" x14ac:dyDescent="0.25">
      <c r="T12624" s="98"/>
    </row>
    <row r="12625" spans="20:20" x14ac:dyDescent="0.25">
      <c r="T12625" s="98"/>
    </row>
    <row r="12626" spans="20:20" x14ac:dyDescent="0.25">
      <c r="T12626" s="98"/>
    </row>
    <row r="12627" spans="20:20" x14ac:dyDescent="0.25">
      <c r="T12627" s="98"/>
    </row>
    <row r="12628" spans="20:20" x14ac:dyDescent="0.25">
      <c r="T12628" s="98"/>
    </row>
    <row r="12629" spans="20:20" x14ac:dyDescent="0.25">
      <c r="T12629" s="98"/>
    </row>
    <row r="12630" spans="20:20" x14ac:dyDescent="0.25">
      <c r="T12630" s="98"/>
    </row>
    <row r="12631" spans="20:20" x14ac:dyDescent="0.25">
      <c r="T12631" s="98"/>
    </row>
    <row r="12632" spans="20:20" x14ac:dyDescent="0.25">
      <c r="T12632" s="98"/>
    </row>
    <row r="12633" spans="20:20" x14ac:dyDescent="0.25">
      <c r="T12633" s="98"/>
    </row>
    <row r="12634" spans="20:20" x14ac:dyDescent="0.25">
      <c r="T12634" s="98"/>
    </row>
    <row r="12635" spans="20:20" x14ac:dyDescent="0.25">
      <c r="T12635" s="98"/>
    </row>
    <row r="12636" spans="20:20" x14ac:dyDescent="0.25">
      <c r="T12636" s="98"/>
    </row>
    <row r="12637" spans="20:20" x14ac:dyDescent="0.25">
      <c r="T12637" s="98"/>
    </row>
    <row r="12638" spans="20:20" x14ac:dyDescent="0.25">
      <c r="T12638" s="98"/>
    </row>
    <row r="12639" spans="20:20" x14ac:dyDescent="0.25">
      <c r="T12639" s="98"/>
    </row>
    <row r="12640" spans="20:20" x14ac:dyDescent="0.25">
      <c r="T12640" s="98"/>
    </row>
    <row r="12641" spans="20:20" x14ac:dyDescent="0.25">
      <c r="T12641" s="98"/>
    </row>
    <row r="12642" spans="20:20" x14ac:dyDescent="0.25">
      <c r="T12642" s="98"/>
    </row>
    <row r="12643" spans="20:20" x14ac:dyDescent="0.25">
      <c r="T12643" s="98"/>
    </row>
    <row r="12644" spans="20:20" x14ac:dyDescent="0.25">
      <c r="T12644" s="98"/>
    </row>
    <row r="12645" spans="20:20" x14ac:dyDescent="0.25">
      <c r="T12645" s="98"/>
    </row>
    <row r="12646" spans="20:20" x14ac:dyDescent="0.25">
      <c r="T12646" s="98"/>
    </row>
    <row r="12647" spans="20:20" x14ac:dyDescent="0.25">
      <c r="T12647" s="98"/>
    </row>
    <row r="12648" spans="20:20" x14ac:dyDescent="0.25">
      <c r="T12648" s="98"/>
    </row>
    <row r="12649" spans="20:20" x14ac:dyDescent="0.25">
      <c r="T12649" s="98"/>
    </row>
    <row r="12650" spans="20:20" x14ac:dyDescent="0.25">
      <c r="T12650" s="98"/>
    </row>
    <row r="12651" spans="20:20" x14ac:dyDescent="0.25">
      <c r="T12651" s="98"/>
    </row>
    <row r="12652" spans="20:20" x14ac:dyDescent="0.25">
      <c r="T12652" s="98"/>
    </row>
    <row r="12653" spans="20:20" x14ac:dyDescent="0.25">
      <c r="T12653" s="98"/>
    </row>
    <row r="12654" spans="20:20" x14ac:dyDescent="0.25">
      <c r="T12654" s="98"/>
    </row>
    <row r="12655" spans="20:20" x14ac:dyDescent="0.25">
      <c r="T12655" s="98"/>
    </row>
    <row r="12656" spans="20:20" x14ac:dyDescent="0.25">
      <c r="T12656" s="98"/>
    </row>
    <row r="12657" spans="20:20" x14ac:dyDescent="0.25">
      <c r="T12657" s="98"/>
    </row>
    <row r="12658" spans="20:20" x14ac:dyDescent="0.25">
      <c r="T12658" s="98"/>
    </row>
    <row r="12659" spans="20:20" x14ac:dyDescent="0.25">
      <c r="T12659" s="98"/>
    </row>
    <row r="12660" spans="20:20" x14ac:dyDescent="0.25">
      <c r="T12660" s="98"/>
    </row>
    <row r="12661" spans="20:20" x14ac:dyDescent="0.25">
      <c r="T12661" s="98"/>
    </row>
    <row r="12662" spans="20:20" x14ac:dyDescent="0.25">
      <c r="T12662" s="98"/>
    </row>
    <row r="12663" spans="20:20" x14ac:dyDescent="0.25">
      <c r="T12663" s="98"/>
    </row>
    <row r="12664" spans="20:20" x14ac:dyDescent="0.25">
      <c r="T12664" s="98"/>
    </row>
    <row r="12665" spans="20:20" x14ac:dyDescent="0.25">
      <c r="T12665" s="98"/>
    </row>
    <row r="12666" spans="20:20" x14ac:dyDescent="0.25">
      <c r="T12666" s="98"/>
    </row>
    <row r="12667" spans="20:20" x14ac:dyDescent="0.25">
      <c r="T12667" s="98"/>
    </row>
    <row r="12668" spans="20:20" x14ac:dyDescent="0.25">
      <c r="T12668" s="98"/>
    </row>
    <row r="12669" spans="20:20" x14ac:dyDescent="0.25">
      <c r="T12669" s="98"/>
    </row>
    <row r="12670" spans="20:20" x14ac:dyDescent="0.25">
      <c r="T12670" s="98"/>
    </row>
    <row r="12671" spans="20:20" x14ac:dyDescent="0.25">
      <c r="T12671" s="98"/>
    </row>
    <row r="12672" spans="20:20" x14ac:dyDescent="0.25">
      <c r="T12672" s="98"/>
    </row>
    <row r="12673" spans="20:20" x14ac:dyDescent="0.25">
      <c r="T12673" s="98"/>
    </row>
    <row r="12674" spans="20:20" x14ac:dyDescent="0.25">
      <c r="T12674" s="98"/>
    </row>
    <row r="12675" spans="20:20" x14ac:dyDescent="0.25">
      <c r="T12675" s="98"/>
    </row>
    <row r="12676" spans="20:20" x14ac:dyDescent="0.25">
      <c r="T12676" s="98"/>
    </row>
    <row r="12677" spans="20:20" x14ac:dyDescent="0.25">
      <c r="T12677" s="98"/>
    </row>
    <row r="12678" spans="20:20" x14ac:dyDescent="0.25">
      <c r="T12678" s="98"/>
    </row>
    <row r="12679" spans="20:20" x14ac:dyDescent="0.25">
      <c r="T12679" s="98"/>
    </row>
    <row r="12680" spans="20:20" x14ac:dyDescent="0.25">
      <c r="T12680" s="98"/>
    </row>
    <row r="12681" spans="20:20" x14ac:dyDescent="0.25">
      <c r="T12681" s="98"/>
    </row>
    <row r="12682" spans="20:20" x14ac:dyDescent="0.25">
      <c r="T12682" s="98"/>
    </row>
    <row r="12683" spans="20:20" x14ac:dyDescent="0.25">
      <c r="T12683" s="98"/>
    </row>
    <row r="12684" spans="20:20" x14ac:dyDescent="0.25">
      <c r="T12684" s="98"/>
    </row>
    <row r="12685" spans="20:20" x14ac:dyDescent="0.25">
      <c r="T12685" s="98"/>
    </row>
    <row r="12686" spans="20:20" x14ac:dyDescent="0.25">
      <c r="T12686" s="98"/>
    </row>
    <row r="12687" spans="20:20" x14ac:dyDescent="0.25">
      <c r="T12687" s="98"/>
    </row>
    <row r="12688" spans="20:20" x14ac:dyDescent="0.25">
      <c r="T12688" s="98"/>
    </row>
    <row r="12689" spans="20:20" x14ac:dyDescent="0.25">
      <c r="T12689" s="98"/>
    </row>
    <row r="12690" spans="20:20" x14ac:dyDescent="0.25">
      <c r="T12690" s="98"/>
    </row>
    <row r="12691" spans="20:20" x14ac:dyDescent="0.25">
      <c r="T12691" s="98"/>
    </row>
    <row r="12692" spans="20:20" x14ac:dyDescent="0.25">
      <c r="T12692" s="98"/>
    </row>
    <row r="12693" spans="20:20" x14ac:dyDescent="0.25">
      <c r="T12693" s="98"/>
    </row>
    <row r="12694" spans="20:20" x14ac:dyDescent="0.25">
      <c r="T12694" s="98"/>
    </row>
    <row r="12695" spans="20:20" x14ac:dyDescent="0.25">
      <c r="T12695" s="98"/>
    </row>
    <row r="12696" spans="20:20" x14ac:dyDescent="0.25">
      <c r="T12696" s="98"/>
    </row>
    <row r="12697" spans="20:20" x14ac:dyDescent="0.25">
      <c r="T12697" s="98"/>
    </row>
    <row r="12698" spans="20:20" x14ac:dyDescent="0.25">
      <c r="T12698" s="98"/>
    </row>
    <row r="12699" spans="20:20" x14ac:dyDescent="0.25">
      <c r="T12699" s="98"/>
    </row>
    <row r="12700" spans="20:20" x14ac:dyDescent="0.25">
      <c r="T12700" s="98"/>
    </row>
    <row r="12701" spans="20:20" x14ac:dyDescent="0.25">
      <c r="T12701" s="98"/>
    </row>
    <row r="12702" spans="20:20" x14ac:dyDescent="0.25">
      <c r="T12702" s="98"/>
    </row>
    <row r="12703" spans="20:20" x14ac:dyDescent="0.25">
      <c r="T12703" s="98"/>
    </row>
    <row r="12704" spans="20:20" x14ac:dyDescent="0.25">
      <c r="T12704" s="98"/>
    </row>
    <row r="12705" spans="20:20" x14ac:dyDescent="0.25">
      <c r="T12705" s="98"/>
    </row>
    <row r="12706" spans="20:20" x14ac:dyDescent="0.25">
      <c r="T12706" s="98"/>
    </row>
    <row r="12707" spans="20:20" x14ac:dyDescent="0.25">
      <c r="T12707" s="98"/>
    </row>
    <row r="12708" spans="20:20" x14ac:dyDescent="0.25">
      <c r="T12708" s="98"/>
    </row>
    <row r="12709" spans="20:20" x14ac:dyDescent="0.25">
      <c r="T12709" s="98"/>
    </row>
    <row r="12710" spans="20:20" x14ac:dyDescent="0.25">
      <c r="T12710" s="98"/>
    </row>
    <row r="12711" spans="20:20" x14ac:dyDescent="0.25">
      <c r="T12711" s="98"/>
    </row>
    <row r="12712" spans="20:20" x14ac:dyDescent="0.25">
      <c r="T12712" s="98"/>
    </row>
    <row r="12713" spans="20:20" x14ac:dyDescent="0.25">
      <c r="T12713" s="98"/>
    </row>
    <row r="12714" spans="20:20" x14ac:dyDescent="0.25">
      <c r="T12714" s="98"/>
    </row>
    <row r="12715" spans="20:20" x14ac:dyDescent="0.25">
      <c r="T12715" s="98"/>
    </row>
    <row r="12716" spans="20:20" x14ac:dyDescent="0.25">
      <c r="T12716" s="98"/>
    </row>
    <row r="12717" spans="20:20" x14ac:dyDescent="0.25">
      <c r="T12717" s="98"/>
    </row>
    <row r="12718" spans="20:20" x14ac:dyDescent="0.25">
      <c r="T12718" s="98"/>
    </row>
    <row r="12719" spans="20:20" x14ac:dyDescent="0.25">
      <c r="T12719" s="98"/>
    </row>
    <row r="12720" spans="20:20" x14ac:dyDescent="0.25">
      <c r="T12720" s="98"/>
    </row>
    <row r="12721" spans="20:20" x14ac:dyDescent="0.25">
      <c r="T12721" s="98"/>
    </row>
    <row r="12722" spans="20:20" x14ac:dyDescent="0.25">
      <c r="T12722" s="98"/>
    </row>
    <row r="12723" spans="20:20" x14ac:dyDescent="0.25">
      <c r="T12723" s="98"/>
    </row>
    <row r="12724" spans="20:20" x14ac:dyDescent="0.25">
      <c r="T12724" s="98"/>
    </row>
    <row r="12725" spans="20:20" x14ac:dyDescent="0.25">
      <c r="T12725" s="98"/>
    </row>
    <row r="12726" spans="20:20" x14ac:dyDescent="0.25">
      <c r="T12726" s="98"/>
    </row>
    <row r="12727" spans="20:20" x14ac:dyDescent="0.25">
      <c r="T12727" s="98"/>
    </row>
    <row r="12728" spans="20:20" x14ac:dyDescent="0.25">
      <c r="T12728" s="98"/>
    </row>
    <row r="12729" spans="20:20" x14ac:dyDescent="0.25">
      <c r="T12729" s="98"/>
    </row>
    <row r="12730" spans="20:20" x14ac:dyDescent="0.25">
      <c r="T12730" s="98"/>
    </row>
    <row r="12731" spans="20:20" x14ac:dyDescent="0.25">
      <c r="T12731" s="98"/>
    </row>
    <row r="12732" spans="20:20" x14ac:dyDescent="0.25">
      <c r="T12732" s="98"/>
    </row>
    <row r="12733" spans="20:20" x14ac:dyDescent="0.25">
      <c r="T12733" s="98"/>
    </row>
    <row r="12734" spans="20:20" x14ac:dyDescent="0.25">
      <c r="T12734" s="98"/>
    </row>
    <row r="12735" spans="20:20" x14ac:dyDescent="0.25">
      <c r="T12735" s="98"/>
    </row>
    <row r="12736" spans="20:20" x14ac:dyDescent="0.25">
      <c r="T12736" s="98"/>
    </row>
    <row r="12737" spans="20:20" x14ac:dyDescent="0.25">
      <c r="T12737" s="98"/>
    </row>
    <row r="12738" spans="20:20" x14ac:dyDescent="0.25">
      <c r="T12738" s="98"/>
    </row>
    <row r="12739" spans="20:20" x14ac:dyDescent="0.25">
      <c r="T12739" s="98"/>
    </row>
    <row r="12740" spans="20:20" x14ac:dyDescent="0.25">
      <c r="T12740" s="98"/>
    </row>
    <row r="12741" spans="20:20" x14ac:dyDescent="0.25">
      <c r="T12741" s="98"/>
    </row>
    <row r="12742" spans="20:20" x14ac:dyDescent="0.25">
      <c r="T12742" s="98"/>
    </row>
    <row r="12743" spans="20:20" x14ac:dyDescent="0.25">
      <c r="T12743" s="98"/>
    </row>
    <row r="12744" spans="20:20" x14ac:dyDescent="0.25">
      <c r="T12744" s="98"/>
    </row>
    <row r="12745" spans="20:20" x14ac:dyDescent="0.25">
      <c r="T12745" s="98"/>
    </row>
    <row r="12746" spans="20:20" x14ac:dyDescent="0.25">
      <c r="T12746" s="98"/>
    </row>
    <row r="12747" spans="20:20" x14ac:dyDescent="0.25">
      <c r="T12747" s="98"/>
    </row>
    <row r="12748" spans="20:20" x14ac:dyDescent="0.25">
      <c r="T12748" s="98"/>
    </row>
    <row r="12749" spans="20:20" x14ac:dyDescent="0.25">
      <c r="T12749" s="98"/>
    </row>
    <row r="12750" spans="20:20" x14ac:dyDescent="0.25">
      <c r="T12750" s="98"/>
    </row>
    <row r="12751" spans="20:20" x14ac:dyDescent="0.25">
      <c r="T12751" s="98"/>
    </row>
    <row r="12752" spans="20:20" x14ac:dyDescent="0.25">
      <c r="T12752" s="98"/>
    </row>
    <row r="12753" spans="20:20" x14ac:dyDescent="0.25">
      <c r="T12753" s="98"/>
    </row>
    <row r="12754" spans="20:20" x14ac:dyDescent="0.25">
      <c r="T12754" s="98"/>
    </row>
    <row r="12755" spans="20:20" x14ac:dyDescent="0.25">
      <c r="T12755" s="98"/>
    </row>
    <row r="12756" spans="20:20" x14ac:dyDescent="0.25">
      <c r="T12756" s="98"/>
    </row>
    <row r="12757" spans="20:20" x14ac:dyDescent="0.25">
      <c r="T12757" s="98"/>
    </row>
    <row r="12758" spans="20:20" x14ac:dyDescent="0.25">
      <c r="T12758" s="98"/>
    </row>
    <row r="12759" spans="20:20" x14ac:dyDescent="0.25">
      <c r="T12759" s="98"/>
    </row>
    <row r="12760" spans="20:20" x14ac:dyDescent="0.25">
      <c r="T12760" s="98"/>
    </row>
    <row r="12761" spans="20:20" x14ac:dyDescent="0.25">
      <c r="T12761" s="98"/>
    </row>
    <row r="12762" spans="20:20" x14ac:dyDescent="0.25">
      <c r="T12762" s="98"/>
    </row>
    <row r="12763" spans="20:20" x14ac:dyDescent="0.25">
      <c r="T12763" s="98"/>
    </row>
    <row r="12764" spans="20:20" x14ac:dyDescent="0.25">
      <c r="T12764" s="98"/>
    </row>
    <row r="12765" spans="20:20" x14ac:dyDescent="0.25">
      <c r="T12765" s="98"/>
    </row>
    <row r="12766" spans="20:20" x14ac:dyDescent="0.25">
      <c r="T12766" s="98"/>
    </row>
    <row r="12767" spans="20:20" x14ac:dyDescent="0.25">
      <c r="T12767" s="98"/>
    </row>
    <row r="12768" spans="20:20" x14ac:dyDescent="0.25">
      <c r="T12768" s="98"/>
    </row>
    <row r="12769" spans="20:20" x14ac:dyDescent="0.25">
      <c r="T12769" s="98"/>
    </row>
    <row r="12770" spans="20:20" x14ac:dyDescent="0.25">
      <c r="T12770" s="98"/>
    </row>
    <row r="12771" spans="20:20" x14ac:dyDescent="0.25">
      <c r="T12771" s="98"/>
    </row>
    <row r="12772" spans="20:20" x14ac:dyDescent="0.25">
      <c r="T12772" s="98"/>
    </row>
    <row r="12773" spans="20:20" x14ac:dyDescent="0.25">
      <c r="T12773" s="98"/>
    </row>
    <row r="12774" spans="20:20" x14ac:dyDescent="0.25">
      <c r="T12774" s="98"/>
    </row>
    <row r="12775" spans="20:20" x14ac:dyDescent="0.25">
      <c r="T12775" s="98"/>
    </row>
    <row r="12776" spans="20:20" x14ac:dyDescent="0.25">
      <c r="T12776" s="98"/>
    </row>
    <row r="12777" spans="20:20" x14ac:dyDescent="0.25">
      <c r="T12777" s="98"/>
    </row>
    <row r="12778" spans="20:20" x14ac:dyDescent="0.25">
      <c r="T12778" s="98"/>
    </row>
    <row r="12779" spans="20:20" x14ac:dyDescent="0.25">
      <c r="T12779" s="98"/>
    </row>
    <row r="12780" spans="20:20" x14ac:dyDescent="0.25">
      <c r="T12780" s="98"/>
    </row>
    <row r="12781" spans="20:20" x14ac:dyDescent="0.25">
      <c r="T12781" s="98"/>
    </row>
    <row r="12782" spans="20:20" x14ac:dyDescent="0.25">
      <c r="T12782" s="98"/>
    </row>
    <row r="12783" spans="20:20" x14ac:dyDescent="0.25">
      <c r="T12783" s="98"/>
    </row>
    <row r="12784" spans="20:20" x14ac:dyDescent="0.25">
      <c r="T12784" s="98"/>
    </row>
    <row r="12785" spans="20:20" x14ac:dyDescent="0.25">
      <c r="T12785" s="98"/>
    </row>
    <row r="12786" spans="20:20" x14ac:dyDescent="0.25">
      <c r="T12786" s="98"/>
    </row>
    <row r="12787" spans="20:20" x14ac:dyDescent="0.25">
      <c r="T12787" s="98"/>
    </row>
    <row r="12788" spans="20:20" x14ac:dyDescent="0.25">
      <c r="T12788" s="98"/>
    </row>
    <row r="12789" spans="20:20" x14ac:dyDescent="0.25">
      <c r="T12789" s="98"/>
    </row>
    <row r="12790" spans="20:20" x14ac:dyDescent="0.25">
      <c r="T12790" s="98"/>
    </row>
    <row r="12791" spans="20:20" x14ac:dyDescent="0.25">
      <c r="T12791" s="98"/>
    </row>
    <row r="12792" spans="20:20" x14ac:dyDescent="0.25">
      <c r="T12792" s="98"/>
    </row>
    <row r="12793" spans="20:20" x14ac:dyDescent="0.25">
      <c r="T12793" s="98"/>
    </row>
    <row r="12794" spans="20:20" x14ac:dyDescent="0.25">
      <c r="T12794" s="98"/>
    </row>
    <row r="12795" spans="20:20" x14ac:dyDescent="0.25">
      <c r="T12795" s="98"/>
    </row>
    <row r="12796" spans="20:20" x14ac:dyDescent="0.25">
      <c r="T12796" s="98"/>
    </row>
    <row r="12797" spans="20:20" x14ac:dyDescent="0.25">
      <c r="T12797" s="98"/>
    </row>
    <row r="12798" spans="20:20" x14ac:dyDescent="0.25">
      <c r="T12798" s="98"/>
    </row>
    <row r="12799" spans="20:20" x14ac:dyDescent="0.25">
      <c r="T12799" s="98"/>
    </row>
    <row r="12800" spans="20:20" x14ac:dyDescent="0.25">
      <c r="T12800" s="98"/>
    </row>
    <row r="12801" spans="20:20" x14ac:dyDescent="0.25">
      <c r="T12801" s="98"/>
    </row>
    <row r="12802" spans="20:20" x14ac:dyDescent="0.25">
      <c r="T12802" s="98"/>
    </row>
    <row r="12803" spans="20:20" x14ac:dyDescent="0.25">
      <c r="T12803" s="98"/>
    </row>
    <row r="12804" spans="20:20" x14ac:dyDescent="0.25">
      <c r="T12804" s="98"/>
    </row>
    <row r="12805" spans="20:20" x14ac:dyDescent="0.25">
      <c r="T12805" s="98"/>
    </row>
    <row r="12806" spans="20:20" x14ac:dyDescent="0.25">
      <c r="T12806" s="98"/>
    </row>
    <row r="12807" spans="20:20" x14ac:dyDescent="0.25">
      <c r="T12807" s="98"/>
    </row>
    <row r="12808" spans="20:20" x14ac:dyDescent="0.25">
      <c r="T12808" s="98"/>
    </row>
    <row r="12809" spans="20:20" x14ac:dyDescent="0.25">
      <c r="T12809" s="98"/>
    </row>
    <row r="12810" spans="20:20" x14ac:dyDescent="0.25">
      <c r="T12810" s="98"/>
    </row>
    <row r="12811" spans="20:20" x14ac:dyDescent="0.25">
      <c r="T12811" s="98"/>
    </row>
    <row r="12812" spans="20:20" x14ac:dyDescent="0.25">
      <c r="T12812" s="98"/>
    </row>
    <row r="12813" spans="20:20" x14ac:dyDescent="0.25">
      <c r="T12813" s="98"/>
    </row>
    <row r="12814" spans="20:20" x14ac:dyDescent="0.25">
      <c r="T12814" s="98"/>
    </row>
    <row r="12815" spans="20:20" x14ac:dyDescent="0.25">
      <c r="T12815" s="98"/>
    </row>
    <row r="12816" spans="20:20" x14ac:dyDescent="0.25">
      <c r="T12816" s="98"/>
    </row>
    <row r="12817" spans="20:20" x14ac:dyDescent="0.25">
      <c r="T12817" s="98"/>
    </row>
    <row r="12818" spans="20:20" x14ac:dyDescent="0.25">
      <c r="T12818" s="98"/>
    </row>
    <row r="12819" spans="20:20" x14ac:dyDescent="0.25">
      <c r="T12819" s="98"/>
    </row>
    <row r="12820" spans="20:20" x14ac:dyDescent="0.25">
      <c r="T12820" s="98"/>
    </row>
    <row r="12821" spans="20:20" x14ac:dyDescent="0.25">
      <c r="T12821" s="98"/>
    </row>
    <row r="12822" spans="20:20" x14ac:dyDescent="0.25">
      <c r="T12822" s="98"/>
    </row>
    <row r="12823" spans="20:20" x14ac:dyDescent="0.25">
      <c r="T12823" s="98"/>
    </row>
    <row r="12824" spans="20:20" x14ac:dyDescent="0.25">
      <c r="T12824" s="98"/>
    </row>
    <row r="12825" spans="20:20" x14ac:dyDescent="0.25">
      <c r="T12825" s="98"/>
    </row>
    <row r="12826" spans="20:20" x14ac:dyDescent="0.25">
      <c r="T12826" s="98"/>
    </row>
    <row r="12827" spans="20:20" x14ac:dyDescent="0.25">
      <c r="T12827" s="98"/>
    </row>
    <row r="12828" spans="20:20" x14ac:dyDescent="0.25">
      <c r="T12828" s="98"/>
    </row>
    <row r="12829" spans="20:20" x14ac:dyDescent="0.25">
      <c r="T12829" s="98"/>
    </row>
    <row r="12830" spans="20:20" x14ac:dyDescent="0.25">
      <c r="T12830" s="98"/>
    </row>
    <row r="12831" spans="20:20" x14ac:dyDescent="0.25">
      <c r="T12831" s="98"/>
    </row>
    <row r="12832" spans="20:20" x14ac:dyDescent="0.25">
      <c r="T12832" s="98"/>
    </row>
    <row r="12833" spans="20:20" x14ac:dyDescent="0.25">
      <c r="T12833" s="98"/>
    </row>
    <row r="12834" spans="20:20" x14ac:dyDescent="0.25">
      <c r="T12834" s="98"/>
    </row>
    <row r="12835" spans="20:20" x14ac:dyDescent="0.25">
      <c r="T12835" s="98"/>
    </row>
    <row r="12836" spans="20:20" x14ac:dyDescent="0.25">
      <c r="T12836" s="98"/>
    </row>
    <row r="12837" spans="20:20" x14ac:dyDescent="0.25">
      <c r="T12837" s="98"/>
    </row>
    <row r="12838" spans="20:20" x14ac:dyDescent="0.25">
      <c r="T12838" s="98"/>
    </row>
    <row r="12839" spans="20:20" x14ac:dyDescent="0.25">
      <c r="T12839" s="98"/>
    </row>
    <row r="12840" spans="20:20" x14ac:dyDescent="0.25">
      <c r="T12840" s="98"/>
    </row>
    <row r="12841" spans="20:20" x14ac:dyDescent="0.25">
      <c r="T12841" s="98"/>
    </row>
    <row r="12842" spans="20:20" x14ac:dyDescent="0.25">
      <c r="T12842" s="98"/>
    </row>
    <row r="12843" spans="20:20" x14ac:dyDescent="0.25">
      <c r="T12843" s="98"/>
    </row>
    <row r="12844" spans="20:20" x14ac:dyDescent="0.25">
      <c r="T12844" s="98"/>
    </row>
    <row r="12845" spans="20:20" x14ac:dyDescent="0.25">
      <c r="T12845" s="98"/>
    </row>
    <row r="12846" spans="20:20" x14ac:dyDescent="0.25">
      <c r="T12846" s="98"/>
    </row>
    <row r="12847" spans="20:20" x14ac:dyDescent="0.25">
      <c r="T12847" s="98"/>
    </row>
    <row r="12848" spans="20:20" x14ac:dyDescent="0.25">
      <c r="T12848" s="98"/>
    </row>
    <row r="12849" spans="20:20" x14ac:dyDescent="0.25">
      <c r="T12849" s="98"/>
    </row>
    <row r="12850" spans="20:20" x14ac:dyDescent="0.25">
      <c r="T12850" s="98"/>
    </row>
    <row r="12851" spans="20:20" x14ac:dyDescent="0.25">
      <c r="T12851" s="98"/>
    </row>
    <row r="12852" spans="20:20" x14ac:dyDescent="0.25">
      <c r="T12852" s="98"/>
    </row>
    <row r="12853" spans="20:20" x14ac:dyDescent="0.25">
      <c r="T12853" s="98"/>
    </row>
    <row r="12854" spans="20:20" x14ac:dyDescent="0.25">
      <c r="T12854" s="98"/>
    </row>
    <row r="12855" spans="20:20" x14ac:dyDescent="0.25">
      <c r="T12855" s="98"/>
    </row>
    <row r="12856" spans="20:20" x14ac:dyDescent="0.25">
      <c r="T12856" s="98"/>
    </row>
    <row r="12857" spans="20:20" x14ac:dyDescent="0.25">
      <c r="T12857" s="98"/>
    </row>
    <row r="12858" spans="20:20" x14ac:dyDescent="0.25">
      <c r="T12858" s="98"/>
    </row>
    <row r="12859" spans="20:20" x14ac:dyDescent="0.25">
      <c r="T12859" s="98"/>
    </row>
    <row r="12860" spans="20:20" x14ac:dyDescent="0.25">
      <c r="T12860" s="98"/>
    </row>
    <row r="12861" spans="20:20" x14ac:dyDescent="0.25">
      <c r="T12861" s="98"/>
    </row>
    <row r="12862" spans="20:20" x14ac:dyDescent="0.25">
      <c r="T12862" s="98"/>
    </row>
    <row r="12863" spans="20:20" x14ac:dyDescent="0.25">
      <c r="T12863" s="98"/>
    </row>
    <row r="12864" spans="20:20" x14ac:dyDescent="0.25">
      <c r="T12864" s="98"/>
    </row>
    <row r="12865" spans="20:20" x14ac:dyDescent="0.25">
      <c r="T12865" s="98"/>
    </row>
    <row r="12866" spans="20:20" x14ac:dyDescent="0.25">
      <c r="T12866" s="98"/>
    </row>
    <row r="12867" spans="20:20" x14ac:dyDescent="0.25">
      <c r="T12867" s="98"/>
    </row>
    <row r="12868" spans="20:20" x14ac:dyDescent="0.25">
      <c r="T12868" s="98"/>
    </row>
    <row r="12869" spans="20:20" x14ac:dyDescent="0.25">
      <c r="T12869" s="98"/>
    </row>
    <row r="12870" spans="20:20" x14ac:dyDescent="0.25">
      <c r="T12870" s="98"/>
    </row>
    <row r="12871" spans="20:20" x14ac:dyDescent="0.25">
      <c r="T12871" s="98"/>
    </row>
    <row r="12872" spans="20:20" x14ac:dyDescent="0.25">
      <c r="T12872" s="98"/>
    </row>
    <row r="12873" spans="20:20" x14ac:dyDescent="0.25">
      <c r="T12873" s="98"/>
    </row>
    <row r="12874" spans="20:20" x14ac:dyDescent="0.25">
      <c r="T12874" s="98"/>
    </row>
    <row r="12875" spans="20:20" x14ac:dyDescent="0.25">
      <c r="T12875" s="98"/>
    </row>
    <row r="12876" spans="20:20" x14ac:dyDescent="0.25">
      <c r="T12876" s="98"/>
    </row>
    <row r="12877" spans="20:20" x14ac:dyDescent="0.25">
      <c r="T12877" s="98"/>
    </row>
    <row r="12878" spans="20:20" x14ac:dyDescent="0.25">
      <c r="T12878" s="98"/>
    </row>
    <row r="12879" spans="20:20" x14ac:dyDescent="0.25">
      <c r="T12879" s="98"/>
    </row>
    <row r="12880" spans="20:20" x14ac:dyDescent="0.25">
      <c r="T12880" s="98"/>
    </row>
    <row r="12881" spans="20:20" x14ac:dyDescent="0.25">
      <c r="T12881" s="98"/>
    </row>
    <row r="12882" spans="20:20" x14ac:dyDescent="0.25">
      <c r="T12882" s="98"/>
    </row>
    <row r="12883" spans="20:20" x14ac:dyDescent="0.25">
      <c r="T12883" s="98"/>
    </row>
    <row r="12884" spans="20:20" x14ac:dyDescent="0.25">
      <c r="T12884" s="98"/>
    </row>
    <row r="12885" spans="20:20" x14ac:dyDescent="0.25">
      <c r="T12885" s="98"/>
    </row>
    <row r="12886" spans="20:20" x14ac:dyDescent="0.25">
      <c r="T12886" s="98"/>
    </row>
    <row r="12887" spans="20:20" x14ac:dyDescent="0.25">
      <c r="T12887" s="98"/>
    </row>
    <row r="12888" spans="20:20" x14ac:dyDescent="0.25">
      <c r="T12888" s="98"/>
    </row>
    <row r="12889" spans="20:20" x14ac:dyDescent="0.25">
      <c r="T12889" s="98"/>
    </row>
    <row r="12890" spans="20:20" x14ac:dyDescent="0.25">
      <c r="T12890" s="98"/>
    </row>
    <row r="12891" spans="20:20" x14ac:dyDescent="0.25">
      <c r="T12891" s="98"/>
    </row>
    <row r="12892" spans="20:20" x14ac:dyDescent="0.25">
      <c r="T12892" s="98"/>
    </row>
    <row r="12893" spans="20:20" x14ac:dyDescent="0.25">
      <c r="T12893" s="98"/>
    </row>
    <row r="12894" spans="20:20" x14ac:dyDescent="0.25">
      <c r="T12894" s="98"/>
    </row>
    <row r="12895" spans="20:20" x14ac:dyDescent="0.25">
      <c r="T12895" s="98"/>
    </row>
    <row r="12896" spans="20:20" x14ac:dyDescent="0.25">
      <c r="T12896" s="98"/>
    </row>
    <row r="12897" spans="20:20" x14ac:dyDescent="0.25">
      <c r="T12897" s="98"/>
    </row>
    <row r="12898" spans="20:20" x14ac:dyDescent="0.25">
      <c r="T12898" s="98"/>
    </row>
    <row r="12899" spans="20:20" x14ac:dyDescent="0.25">
      <c r="T12899" s="98"/>
    </row>
    <row r="12900" spans="20:20" x14ac:dyDescent="0.25">
      <c r="T12900" s="98"/>
    </row>
    <row r="12901" spans="20:20" x14ac:dyDescent="0.25">
      <c r="T12901" s="98"/>
    </row>
    <row r="12902" spans="20:20" x14ac:dyDescent="0.25">
      <c r="T12902" s="98"/>
    </row>
    <row r="12903" spans="20:20" x14ac:dyDescent="0.25">
      <c r="T12903" s="98"/>
    </row>
    <row r="12904" spans="20:20" x14ac:dyDescent="0.25">
      <c r="T12904" s="98"/>
    </row>
    <row r="12905" spans="20:20" x14ac:dyDescent="0.25">
      <c r="T12905" s="98"/>
    </row>
    <row r="12906" spans="20:20" x14ac:dyDescent="0.25">
      <c r="T12906" s="98"/>
    </row>
    <row r="12907" spans="20:20" x14ac:dyDescent="0.25">
      <c r="T12907" s="98"/>
    </row>
    <row r="12908" spans="20:20" x14ac:dyDescent="0.25">
      <c r="T12908" s="98"/>
    </row>
    <row r="12909" spans="20:20" x14ac:dyDescent="0.25">
      <c r="T12909" s="98"/>
    </row>
    <row r="12910" spans="20:20" x14ac:dyDescent="0.25">
      <c r="T12910" s="98"/>
    </row>
    <row r="12911" spans="20:20" x14ac:dyDescent="0.25">
      <c r="T12911" s="98"/>
    </row>
    <row r="12912" spans="20:20" x14ac:dyDescent="0.25">
      <c r="T12912" s="98"/>
    </row>
    <row r="12913" spans="20:20" x14ac:dyDescent="0.25">
      <c r="T12913" s="98"/>
    </row>
    <row r="12914" spans="20:20" x14ac:dyDescent="0.25">
      <c r="T12914" s="98"/>
    </row>
    <row r="12915" spans="20:20" x14ac:dyDescent="0.25">
      <c r="T12915" s="98"/>
    </row>
    <row r="12916" spans="20:20" x14ac:dyDescent="0.25">
      <c r="T12916" s="98"/>
    </row>
    <row r="12917" spans="20:20" x14ac:dyDescent="0.25">
      <c r="T12917" s="98"/>
    </row>
    <row r="12918" spans="20:20" x14ac:dyDescent="0.25">
      <c r="T12918" s="98"/>
    </row>
    <row r="12919" spans="20:20" x14ac:dyDescent="0.25">
      <c r="T12919" s="98"/>
    </row>
    <row r="12920" spans="20:20" x14ac:dyDescent="0.25">
      <c r="T12920" s="98"/>
    </row>
    <row r="12921" spans="20:20" x14ac:dyDescent="0.25">
      <c r="T12921" s="98"/>
    </row>
    <row r="12922" spans="20:20" x14ac:dyDescent="0.25">
      <c r="T12922" s="98"/>
    </row>
    <row r="12923" spans="20:20" x14ac:dyDescent="0.25">
      <c r="T12923" s="98"/>
    </row>
    <row r="12924" spans="20:20" x14ac:dyDescent="0.25">
      <c r="T12924" s="98"/>
    </row>
    <row r="12925" spans="20:20" x14ac:dyDescent="0.25">
      <c r="T12925" s="98"/>
    </row>
    <row r="12926" spans="20:20" x14ac:dyDescent="0.25">
      <c r="T12926" s="98"/>
    </row>
    <row r="12927" spans="20:20" x14ac:dyDescent="0.25">
      <c r="T12927" s="98"/>
    </row>
    <row r="12928" spans="20:20" x14ac:dyDescent="0.25">
      <c r="T12928" s="98"/>
    </row>
    <row r="12929" spans="20:20" x14ac:dyDescent="0.25">
      <c r="T12929" s="98"/>
    </row>
    <row r="12930" spans="20:20" x14ac:dyDescent="0.25">
      <c r="T12930" s="98"/>
    </row>
    <row r="12931" spans="20:20" x14ac:dyDescent="0.25">
      <c r="T12931" s="98"/>
    </row>
    <row r="12932" spans="20:20" x14ac:dyDescent="0.25">
      <c r="T12932" s="98"/>
    </row>
    <row r="12933" spans="20:20" x14ac:dyDescent="0.25">
      <c r="T12933" s="98"/>
    </row>
    <row r="12934" spans="20:20" x14ac:dyDescent="0.25">
      <c r="T12934" s="98"/>
    </row>
    <row r="12935" spans="20:20" x14ac:dyDescent="0.25">
      <c r="T12935" s="98"/>
    </row>
    <row r="12936" spans="20:20" x14ac:dyDescent="0.25">
      <c r="T12936" s="98"/>
    </row>
    <row r="12937" spans="20:20" x14ac:dyDescent="0.25">
      <c r="T12937" s="98"/>
    </row>
    <row r="12938" spans="20:20" x14ac:dyDescent="0.25">
      <c r="T12938" s="98"/>
    </row>
    <row r="12939" spans="20:20" x14ac:dyDescent="0.25">
      <c r="T12939" s="98"/>
    </row>
    <row r="12940" spans="20:20" x14ac:dyDescent="0.25">
      <c r="T12940" s="98"/>
    </row>
    <row r="12941" spans="20:20" x14ac:dyDescent="0.25">
      <c r="T12941" s="98"/>
    </row>
    <row r="12942" spans="20:20" x14ac:dyDescent="0.25">
      <c r="T12942" s="98"/>
    </row>
    <row r="12943" spans="20:20" x14ac:dyDescent="0.25">
      <c r="T12943" s="98"/>
    </row>
    <row r="12944" spans="20:20" x14ac:dyDescent="0.25">
      <c r="T12944" s="98"/>
    </row>
    <row r="12945" spans="20:20" x14ac:dyDescent="0.25">
      <c r="T12945" s="98"/>
    </row>
    <row r="12946" spans="20:20" x14ac:dyDescent="0.25">
      <c r="T12946" s="98"/>
    </row>
    <row r="12947" spans="20:20" x14ac:dyDescent="0.25">
      <c r="T12947" s="98"/>
    </row>
    <row r="12948" spans="20:20" x14ac:dyDescent="0.25">
      <c r="T12948" s="98"/>
    </row>
    <row r="12949" spans="20:20" x14ac:dyDescent="0.25">
      <c r="T12949" s="98"/>
    </row>
    <row r="12950" spans="20:20" x14ac:dyDescent="0.25">
      <c r="T12950" s="98"/>
    </row>
    <row r="12951" spans="20:20" x14ac:dyDescent="0.25">
      <c r="T12951" s="98"/>
    </row>
    <row r="12952" spans="20:20" x14ac:dyDescent="0.25">
      <c r="T12952" s="98"/>
    </row>
    <row r="12953" spans="20:20" x14ac:dyDescent="0.25">
      <c r="T12953" s="98"/>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Question 1abd</vt:lpstr>
      <vt:lpstr>Question 1c</vt:lpstr>
      <vt:lpstr>Question 1d</vt:lpstr>
      <vt:lpstr>Question 2</vt:lpstr>
      <vt:lpstr>Question 3</vt:lpstr>
      <vt:lpstr>Question 4</vt:lpstr>
      <vt:lpstr>Question 5a</vt:lpstr>
      <vt:lpstr>Question 5 Bi</vt:lpstr>
      <vt:lpstr>Question 5 Bii</vt:lpstr>
      <vt:lpstr>Question 5 Biii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2026-03-25T10:45:07Z</dcterms:modified>
</cp:coreProperties>
</file>